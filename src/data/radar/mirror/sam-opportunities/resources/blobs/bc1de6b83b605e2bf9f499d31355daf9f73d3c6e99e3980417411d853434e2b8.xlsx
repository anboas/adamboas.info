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codeName="ThisWorkbook" defaultThemeVersion="124226"/>
  <mc:AlternateContent xmlns:mc="http://schemas.openxmlformats.org/markup-compatibility/2006">
    <mc:Choice Requires="x15">
      <x15ac:absPath xmlns:x15ac="http://schemas.microsoft.com/office/spreadsheetml/2010/11/ac" url="C:\Users\vacogordok\Desktop\SAM Posting\"/>
    </mc:Choice>
  </mc:AlternateContent>
  <xr:revisionPtr revIDLastSave="0" documentId="8_{0B087B37-816C-47FC-9A07-1144A8DEA2C6}" xr6:coauthVersionLast="47" xr6:coauthVersionMax="47" xr10:uidLastSave="{00000000-0000-0000-0000-000000000000}"/>
  <bookViews>
    <workbookView xWindow="4650" yWindow="3000" windowWidth="19185" windowHeight="10785" tabRatio="934" xr2:uid="{00000000-000D-0000-FFFF-FFFF00000000}"/>
  </bookViews>
  <sheets>
    <sheet name="ALL Other SINs - Proposal" sheetId="8" r:id="rId1"/>
    <sheet name="Definitions &amp; Examples" sheetId="30" r:id="rId2"/>
    <sheet name="Country Codes" sheetId="28" r:id="rId3"/>
    <sheet name="Figure 515.4-2 CSP-1" sheetId="29" r:id="rId4"/>
    <sheet name="ManufPlaceOfPerf" sheetId="31" r:id="rId5"/>
    <sheet name="NonManufacturers" sheetId="32" r:id="rId6"/>
    <sheet name="Price Analysis" sheetId="26" state="hidden" r:id="rId7"/>
    <sheet name="Award" sheetId="27" state="hidden" r:id="rId8"/>
  </sheets>
  <definedNames>
    <definedName name="_xlnm.Print_Area" localSheetId="0">'ALL Other SINs - Proposal'!$A$1:$AC$300</definedName>
    <definedName name="_xlnm.Print_Area" localSheetId="7">Award!$A$2:$S$102</definedName>
    <definedName name="_xlnm.Print_Area" localSheetId="3">'Figure 515.4-2 CSP-1'!$A$1:$E$17</definedName>
    <definedName name="_xlnm.Print_Area" localSheetId="4">ManufPlaceOfPerf!$A$1:$I$20</definedName>
    <definedName name="_xlnm.Print_Area" localSheetId="5">NonManufacturers!$A$2:$K$24</definedName>
    <definedName name="_xlnm.Print_Titles" localSheetId="0">'ALL Other SINs - Proposal'!$B:$D,'ALL Other SINs - Proposal'!$1:$2</definedName>
    <definedName name="_xlnm.Print_Titles" localSheetId="7">Award!$2:$2</definedName>
    <definedName name="_xlnm.Print_Titles" localSheetId="2">'Country Codes'!$1:$1</definedName>
    <definedName name="_xlnm.Print_Titles" localSheetId="6">'Price Analysis'!$1:$2</definedName>
    <definedName name="Z_5A4C63A9_4655_4A1A_8127_D12210283D62_.wvu.PrintArea" localSheetId="0" hidden="1">'ALL Other SINs - Proposal'!$A$1:$AC$25</definedName>
    <definedName name="Z_5A4C63A9_4655_4A1A_8127_D12210283D62_.wvu.PrintTitles" localSheetId="0" hidden="1">'ALL Other SINs - Proposal'!$B:$B,'ALL Other SINs - Proposal'!$2:$2</definedName>
  </definedNames>
  <calcPr calcId="191029"/>
  <customWorkbookViews>
    <customWorkbookView name="MOD" guid="{5A4C63A9-4655-4A1A-8127-D12210283D62}" includeHiddenRowCol="0" maximized="1" xWindow="1" yWindow="1" windowWidth="1280" windowHeight="575" tabRatio="973" activeSheetId="1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H5"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H641" i="26"/>
  <c r="H642" i="26"/>
  <c r="H643" i="26"/>
  <c r="H644" i="26"/>
  <c r="H645" i="26"/>
  <c r="H646" i="26"/>
  <c r="H647" i="26"/>
  <c r="H648" i="26"/>
  <c r="H649" i="26"/>
  <c r="H650" i="26"/>
  <c r="H651" i="26"/>
  <c r="H652" i="26"/>
  <c r="H653" i="26"/>
  <c r="H654" i="26"/>
  <c r="H655" i="26"/>
  <c r="H656" i="26"/>
  <c r="H657" i="26"/>
  <c r="H658" i="26"/>
  <c r="H659" i="26"/>
  <c r="H660" i="26"/>
  <c r="H661" i="26"/>
  <c r="H662" i="26"/>
  <c r="H663" i="26"/>
  <c r="H664" i="26"/>
  <c r="H665" i="26"/>
  <c r="H666" i="26"/>
  <c r="H667" i="26"/>
  <c r="H668" i="26"/>
  <c r="H669" i="26"/>
  <c r="H670" i="26"/>
  <c r="H671" i="26"/>
  <c r="H672" i="26"/>
  <c r="H673" i="26"/>
  <c r="H674" i="26"/>
  <c r="H675" i="26"/>
  <c r="H676" i="26"/>
  <c r="H677" i="26"/>
  <c r="H678" i="26"/>
  <c r="H679" i="26"/>
  <c r="H680" i="26"/>
  <c r="H681" i="26"/>
  <c r="H682" i="26"/>
  <c r="H683" i="26"/>
  <c r="H684" i="26"/>
  <c r="H685" i="26"/>
  <c r="H686" i="26"/>
  <c r="H687" i="26"/>
  <c r="H688" i="26"/>
  <c r="H689" i="26"/>
  <c r="H690" i="26"/>
  <c r="H691" i="26"/>
  <c r="H692" i="26"/>
  <c r="H693" i="26"/>
  <c r="H694" i="26"/>
  <c r="H695" i="26"/>
  <c r="H696" i="26"/>
  <c r="H697" i="26"/>
  <c r="H698" i="26"/>
  <c r="H699" i="26"/>
  <c r="H700" i="26"/>
  <c r="H701" i="26"/>
  <c r="H702" i="26"/>
  <c r="H703" i="26"/>
  <c r="H704" i="26"/>
  <c r="H705" i="26"/>
  <c r="H706" i="26"/>
  <c r="H707" i="26"/>
  <c r="H708" i="26"/>
  <c r="H709" i="26"/>
  <c r="H710" i="26"/>
  <c r="H711" i="26"/>
  <c r="H712" i="26"/>
  <c r="H713" i="26"/>
  <c r="H714" i="26"/>
  <c r="H715" i="26"/>
  <c r="H716" i="26"/>
  <c r="H717" i="26"/>
  <c r="H718" i="26"/>
  <c r="H719" i="26"/>
  <c r="H720" i="26"/>
  <c r="H721" i="26"/>
  <c r="H722" i="26"/>
  <c r="H723" i="26"/>
  <c r="H724" i="26"/>
  <c r="H725" i="26"/>
  <c r="H726" i="26"/>
  <c r="H727" i="26"/>
  <c r="H728" i="26"/>
  <c r="H729" i="26"/>
  <c r="H730" i="26"/>
  <c r="H731" i="26"/>
  <c r="H732" i="26"/>
  <c r="H733" i="26"/>
  <c r="H734" i="26"/>
  <c r="H735" i="26"/>
  <c r="H736" i="26"/>
  <c r="H737" i="26"/>
  <c r="H738" i="26"/>
  <c r="H739" i="26"/>
  <c r="H740" i="26"/>
  <c r="H741" i="26"/>
  <c r="H742" i="26"/>
  <c r="H743" i="26"/>
  <c r="H744" i="26"/>
  <c r="H745" i="26"/>
  <c r="H746" i="26"/>
  <c r="H747" i="26"/>
  <c r="H748" i="26"/>
  <c r="H749" i="26"/>
  <c r="H750" i="26"/>
  <c r="H751" i="26"/>
  <c r="H752" i="26"/>
  <c r="H753" i="26"/>
  <c r="H754" i="26"/>
  <c r="H755" i="26"/>
  <c r="H756" i="26"/>
  <c r="H757" i="26"/>
  <c r="H758" i="26"/>
  <c r="H759" i="26"/>
  <c r="H760" i="26"/>
  <c r="H761" i="26"/>
  <c r="H762" i="26"/>
  <c r="H763" i="26"/>
  <c r="H764" i="26"/>
  <c r="H765" i="26"/>
  <c r="H766" i="26"/>
  <c r="H767" i="26"/>
  <c r="H768" i="26"/>
  <c r="H769" i="26"/>
  <c r="H770" i="26"/>
  <c r="H771" i="26"/>
  <c r="H772" i="26"/>
  <c r="H773" i="26"/>
  <c r="H774" i="26"/>
  <c r="H775" i="26"/>
  <c r="H776" i="26"/>
  <c r="H777" i="26"/>
  <c r="H778" i="26"/>
  <c r="H779" i="26"/>
  <c r="H780" i="26"/>
  <c r="H781" i="26"/>
  <c r="H782" i="26"/>
  <c r="H783" i="26"/>
  <c r="H784" i="26"/>
  <c r="H785" i="26"/>
  <c r="H786" i="26"/>
  <c r="H787" i="26"/>
  <c r="H788" i="26"/>
  <c r="H789" i="26"/>
  <c r="H790" i="26"/>
  <c r="H791" i="26"/>
  <c r="H792" i="26"/>
  <c r="H793" i="26"/>
  <c r="H794" i="26"/>
  <c r="H795" i="26"/>
  <c r="H796" i="26"/>
  <c r="H797" i="26"/>
  <c r="H798" i="26"/>
  <c r="H799" i="26"/>
  <c r="H800" i="26"/>
  <c r="H801" i="26"/>
  <c r="H802" i="26"/>
  <c r="H803" i="26"/>
  <c r="H804" i="26"/>
  <c r="H805" i="26"/>
  <c r="H806" i="26"/>
  <c r="H807" i="26"/>
  <c r="H808" i="26"/>
  <c r="H809" i="26"/>
  <c r="H810" i="26"/>
  <c r="H811" i="26"/>
  <c r="H812" i="26"/>
  <c r="H813" i="26"/>
  <c r="H814" i="26"/>
  <c r="H815" i="26"/>
  <c r="H816" i="26"/>
  <c r="H817" i="26"/>
  <c r="H818" i="26"/>
  <c r="H819" i="26"/>
  <c r="H820" i="26"/>
  <c r="H821" i="26"/>
  <c r="H822" i="26"/>
  <c r="H823" i="26"/>
  <c r="H824" i="26"/>
  <c r="H825" i="26"/>
  <c r="H826" i="26"/>
  <c r="H827" i="26"/>
  <c r="H828" i="26"/>
  <c r="H829" i="26"/>
  <c r="H830" i="26"/>
  <c r="H831" i="26"/>
  <c r="H832" i="26"/>
  <c r="H833" i="26"/>
  <c r="H834" i="26"/>
  <c r="H835" i="26"/>
  <c r="H836" i="26"/>
  <c r="H837" i="26"/>
  <c r="H838" i="26"/>
  <c r="H839" i="26"/>
  <c r="H840" i="26"/>
  <c r="H841" i="26"/>
  <c r="H842" i="26"/>
  <c r="H843" i="26"/>
  <c r="H844" i="26"/>
  <c r="H845" i="26"/>
  <c r="H846" i="26"/>
  <c r="H847" i="26"/>
  <c r="H848" i="26"/>
  <c r="H849" i="26"/>
  <c r="H850" i="26"/>
  <c r="H851" i="26"/>
  <c r="H852" i="26"/>
  <c r="H853" i="26"/>
  <c r="H854" i="26"/>
  <c r="H855" i="26"/>
  <c r="H856" i="26"/>
  <c r="H857" i="26"/>
  <c r="H858" i="26"/>
  <c r="H859" i="26"/>
  <c r="H860" i="26"/>
  <c r="H861" i="26"/>
  <c r="H862" i="26"/>
  <c r="H863" i="26"/>
  <c r="H864" i="26"/>
  <c r="H865" i="26"/>
  <c r="H866" i="26"/>
  <c r="H867" i="26"/>
  <c r="H868" i="26"/>
  <c r="H869" i="26"/>
  <c r="H870" i="26"/>
  <c r="H871" i="26"/>
  <c r="H872" i="26"/>
  <c r="H873" i="26"/>
  <c r="H874" i="26"/>
  <c r="H875" i="26"/>
  <c r="H876" i="26"/>
  <c r="H877" i="26"/>
  <c r="H878" i="26"/>
  <c r="H879" i="26"/>
  <c r="H880" i="26"/>
  <c r="H881" i="26"/>
  <c r="H882" i="26"/>
  <c r="H883" i="26"/>
  <c r="H884" i="26"/>
  <c r="H885" i="26"/>
  <c r="H886" i="26"/>
  <c r="H887" i="26"/>
  <c r="H888" i="26"/>
  <c r="H889" i="26"/>
  <c r="H890" i="26"/>
  <c r="H891" i="26"/>
  <c r="H892" i="26"/>
  <c r="H893" i="26"/>
  <c r="H894" i="26"/>
  <c r="H895" i="26"/>
  <c r="H896" i="26"/>
  <c r="H897" i="26"/>
  <c r="H898" i="26"/>
  <c r="H899" i="26"/>
  <c r="H900" i="26"/>
  <c r="H901" i="26"/>
  <c r="H902" i="26"/>
  <c r="H903" i="26"/>
  <c r="H904" i="26"/>
  <c r="H905" i="26"/>
  <c r="H906" i="26"/>
  <c r="H907" i="26"/>
  <c r="H908" i="26"/>
  <c r="H909" i="26"/>
  <c r="H910" i="26"/>
  <c r="H911" i="26"/>
  <c r="H912" i="26"/>
  <c r="H913" i="26"/>
  <c r="H914" i="26"/>
  <c r="H915" i="26"/>
  <c r="H916" i="26"/>
  <c r="H917" i="26"/>
  <c r="H918" i="26"/>
  <c r="H919" i="26"/>
  <c r="H920" i="26"/>
  <c r="H921" i="26"/>
  <c r="H922" i="26"/>
  <c r="H923" i="26"/>
  <c r="H924" i="26"/>
  <c r="H925" i="26"/>
  <c r="H926" i="26"/>
  <c r="H927" i="26"/>
  <c r="H928" i="26"/>
  <c r="H929" i="26"/>
  <c r="H930" i="26"/>
  <c r="H931" i="26"/>
  <c r="H932" i="26"/>
  <c r="H933" i="26"/>
  <c r="H934" i="26"/>
  <c r="H935" i="26"/>
  <c r="H936" i="26"/>
  <c r="H937" i="26"/>
  <c r="H938" i="26"/>
  <c r="H939" i="26"/>
  <c r="H940" i="26"/>
  <c r="H941" i="26"/>
  <c r="H942" i="26"/>
  <c r="H943" i="26"/>
  <c r="H944" i="26"/>
  <c r="H945" i="26"/>
  <c r="H946" i="26"/>
  <c r="H947" i="26"/>
  <c r="H948" i="26"/>
  <c r="H949" i="26"/>
  <c r="H950" i="26"/>
  <c r="H951" i="26"/>
  <c r="H952" i="26"/>
  <c r="H953" i="26"/>
  <c r="H954" i="26"/>
  <c r="H955" i="26"/>
  <c r="H956" i="26"/>
  <c r="H957" i="26"/>
  <c r="H958" i="26"/>
  <c r="H959" i="26"/>
  <c r="H960" i="26"/>
  <c r="H961" i="26"/>
  <c r="H962" i="26"/>
  <c r="H963" i="26"/>
  <c r="H964" i="26"/>
  <c r="H965" i="26"/>
  <c r="H966" i="26"/>
  <c r="H967" i="26"/>
  <c r="H968" i="26"/>
  <c r="H969" i="26"/>
  <c r="H970" i="26"/>
  <c r="H971" i="26"/>
  <c r="H972" i="26"/>
  <c r="H973" i="26"/>
  <c r="H974" i="26"/>
  <c r="H975" i="26"/>
  <c r="H976" i="26"/>
  <c r="H977" i="26"/>
  <c r="H978" i="26"/>
  <c r="H979" i="26"/>
  <c r="H980" i="26"/>
  <c r="H981" i="26"/>
  <c r="H982" i="26"/>
  <c r="H983" i="26"/>
  <c r="H984" i="26"/>
  <c r="H985" i="26"/>
  <c r="H986" i="26"/>
  <c r="H987" i="26"/>
  <c r="H988" i="26"/>
  <c r="H989" i="26"/>
  <c r="H990" i="26"/>
  <c r="H991" i="26"/>
  <c r="H992" i="26"/>
  <c r="H993" i="26"/>
  <c r="H994" i="26"/>
  <c r="H995" i="26"/>
  <c r="H996" i="26"/>
  <c r="H997" i="26"/>
  <c r="H998" i="26"/>
  <c r="H999" i="26"/>
  <c r="H1000" i="26"/>
  <c r="H1001" i="26"/>
  <c r="H1002" i="26"/>
  <c r="H3" i="26"/>
  <c r="N1002" i="27" l="1"/>
  <c r="N4" i="27"/>
  <c r="N5" i="27"/>
  <c r="N6" i="27"/>
  <c r="N7" i="27"/>
  <c r="N8" i="27"/>
  <c r="N9" i="27"/>
  <c r="N10" i="27"/>
  <c r="N11" i="27"/>
  <c r="N12" i="27"/>
  <c r="N13" i="27"/>
  <c r="N14" i="27"/>
  <c r="N15" i="27"/>
  <c r="N16" i="27"/>
  <c r="N17" i="27"/>
  <c r="N18" i="27"/>
  <c r="N19" i="27"/>
  <c r="N20" i="27"/>
  <c r="N21" i="27"/>
  <c r="N22" i="27"/>
  <c r="N23" i="27"/>
  <c r="N24" i="27"/>
  <c r="N25" i="27"/>
  <c r="N26" i="27"/>
  <c r="N27" i="27"/>
  <c r="N28" i="27"/>
  <c r="N29" i="27"/>
  <c r="N30" i="27"/>
  <c r="N31" i="27"/>
  <c r="N32" i="27"/>
  <c r="N33" i="27"/>
  <c r="N34" i="27"/>
  <c r="N35" i="27"/>
  <c r="N36" i="27"/>
  <c r="N37" i="27"/>
  <c r="N38" i="27"/>
  <c r="N39" i="27"/>
  <c r="N40" i="27"/>
  <c r="N41" i="27"/>
  <c r="N42" i="27"/>
  <c r="N43" i="27"/>
  <c r="N44" i="27"/>
  <c r="N45" i="27"/>
  <c r="N46" i="27"/>
  <c r="N47" i="27"/>
  <c r="N48" i="27"/>
  <c r="N49" i="27"/>
  <c r="N50" i="27"/>
  <c r="N51" i="27"/>
  <c r="N52" i="27"/>
  <c r="N53" i="27"/>
  <c r="N54" i="27"/>
  <c r="N55" i="27"/>
  <c r="N56" i="27"/>
  <c r="N57" i="27"/>
  <c r="N58" i="27"/>
  <c r="N59" i="27"/>
  <c r="N60" i="27"/>
  <c r="N61" i="27"/>
  <c r="N62" i="27"/>
  <c r="N63" i="27"/>
  <c r="N64" i="27"/>
  <c r="N65" i="27"/>
  <c r="N66" i="27"/>
  <c r="N67" i="27"/>
  <c r="N68" i="27"/>
  <c r="N69" i="27"/>
  <c r="N70" i="27"/>
  <c r="N71" i="27"/>
  <c r="N72" i="27"/>
  <c r="N73" i="27"/>
  <c r="N74" i="27"/>
  <c r="N75" i="27"/>
  <c r="N76" i="27"/>
  <c r="N77" i="27"/>
  <c r="N78" i="27"/>
  <c r="N79" i="27"/>
  <c r="N80" i="27"/>
  <c r="N81" i="27"/>
  <c r="N82" i="27"/>
  <c r="N83" i="27"/>
  <c r="N84" i="27"/>
  <c r="N85" i="27"/>
  <c r="N86" i="27"/>
  <c r="N87" i="27"/>
  <c r="N88" i="27"/>
  <c r="N89" i="27"/>
  <c r="N90" i="27"/>
  <c r="N91" i="27"/>
  <c r="N92" i="27"/>
  <c r="N93" i="27"/>
  <c r="N94" i="27"/>
  <c r="N95" i="27"/>
  <c r="N96" i="27"/>
  <c r="N97" i="27"/>
  <c r="N98" i="27"/>
  <c r="N99" i="27"/>
  <c r="N100" i="27"/>
  <c r="N101" i="27"/>
  <c r="N102" i="27"/>
  <c r="N103" i="27"/>
  <c r="N104" i="27"/>
  <c r="N105" i="27"/>
  <c r="N106" i="27"/>
  <c r="N107" i="27"/>
  <c r="N108" i="27"/>
  <c r="N109" i="27"/>
  <c r="N110" i="27"/>
  <c r="N111" i="27"/>
  <c r="N112" i="27"/>
  <c r="N113" i="27"/>
  <c r="N114" i="27"/>
  <c r="N115" i="27"/>
  <c r="N116" i="27"/>
  <c r="N117" i="27"/>
  <c r="N118" i="27"/>
  <c r="N119" i="27"/>
  <c r="N120" i="27"/>
  <c r="N121" i="27"/>
  <c r="N122" i="27"/>
  <c r="N123" i="27"/>
  <c r="N124" i="27"/>
  <c r="N125" i="27"/>
  <c r="N126" i="27"/>
  <c r="N127" i="27"/>
  <c r="N128" i="27"/>
  <c r="N129" i="27"/>
  <c r="N130" i="27"/>
  <c r="N131" i="27"/>
  <c r="N132" i="27"/>
  <c r="N133" i="27"/>
  <c r="N134" i="27"/>
  <c r="N135" i="27"/>
  <c r="N136" i="27"/>
  <c r="N137" i="27"/>
  <c r="N138" i="27"/>
  <c r="N139" i="27"/>
  <c r="N140" i="27"/>
  <c r="N141" i="27"/>
  <c r="N142" i="27"/>
  <c r="N143" i="27"/>
  <c r="N144" i="27"/>
  <c r="N145" i="27"/>
  <c r="N146" i="27"/>
  <c r="N147" i="27"/>
  <c r="N148" i="27"/>
  <c r="N149" i="27"/>
  <c r="N150" i="27"/>
  <c r="N151" i="27"/>
  <c r="N152" i="27"/>
  <c r="N153" i="27"/>
  <c r="N154" i="27"/>
  <c r="N155" i="27"/>
  <c r="N156" i="27"/>
  <c r="N157" i="27"/>
  <c r="N158" i="27"/>
  <c r="N159" i="27"/>
  <c r="N160" i="27"/>
  <c r="N161" i="27"/>
  <c r="N162" i="27"/>
  <c r="N163" i="27"/>
  <c r="N164" i="27"/>
  <c r="N165" i="27"/>
  <c r="N166" i="27"/>
  <c r="N167" i="27"/>
  <c r="N168" i="27"/>
  <c r="N169" i="27"/>
  <c r="N170" i="27"/>
  <c r="N171" i="27"/>
  <c r="N172" i="27"/>
  <c r="N173" i="27"/>
  <c r="N174" i="27"/>
  <c r="N175" i="27"/>
  <c r="N176" i="27"/>
  <c r="N177" i="27"/>
  <c r="N178" i="27"/>
  <c r="N179" i="27"/>
  <c r="N180" i="27"/>
  <c r="N181" i="27"/>
  <c r="N182" i="27"/>
  <c r="N183" i="27"/>
  <c r="N184" i="27"/>
  <c r="N185" i="27"/>
  <c r="N186" i="27"/>
  <c r="N187" i="27"/>
  <c r="N188" i="27"/>
  <c r="N189" i="27"/>
  <c r="N190" i="27"/>
  <c r="N191" i="27"/>
  <c r="N192" i="27"/>
  <c r="N193" i="27"/>
  <c r="N194" i="27"/>
  <c r="N195" i="27"/>
  <c r="N196" i="27"/>
  <c r="N197" i="27"/>
  <c r="N198" i="27"/>
  <c r="N199" i="27"/>
  <c r="N200" i="27"/>
  <c r="N201" i="27"/>
  <c r="N202" i="27"/>
  <c r="N203" i="27"/>
  <c r="N204" i="27"/>
  <c r="N205" i="27"/>
  <c r="N206" i="27"/>
  <c r="N207" i="27"/>
  <c r="N208" i="27"/>
  <c r="N209" i="27"/>
  <c r="N210" i="27"/>
  <c r="N211" i="27"/>
  <c r="N212" i="27"/>
  <c r="N213" i="27"/>
  <c r="N214" i="27"/>
  <c r="N215" i="27"/>
  <c r="N216" i="27"/>
  <c r="N217" i="27"/>
  <c r="N218" i="27"/>
  <c r="N219" i="27"/>
  <c r="N220" i="27"/>
  <c r="N221" i="27"/>
  <c r="N222" i="27"/>
  <c r="N223" i="27"/>
  <c r="N224" i="27"/>
  <c r="N225" i="27"/>
  <c r="N226" i="27"/>
  <c r="N227" i="27"/>
  <c r="N228" i="27"/>
  <c r="N229" i="27"/>
  <c r="N230" i="27"/>
  <c r="N231" i="27"/>
  <c r="N232" i="27"/>
  <c r="N233" i="27"/>
  <c r="N234" i="27"/>
  <c r="N235" i="27"/>
  <c r="N236" i="27"/>
  <c r="N237" i="27"/>
  <c r="N238" i="27"/>
  <c r="N239" i="27"/>
  <c r="N240" i="27"/>
  <c r="N241" i="27"/>
  <c r="N242" i="27"/>
  <c r="N243" i="27"/>
  <c r="N244" i="27"/>
  <c r="N245" i="27"/>
  <c r="N246" i="27"/>
  <c r="N247" i="27"/>
  <c r="N248" i="27"/>
  <c r="N249" i="27"/>
  <c r="N250" i="27"/>
  <c r="N251" i="27"/>
  <c r="N252" i="27"/>
  <c r="N253" i="27"/>
  <c r="N254" i="27"/>
  <c r="N255" i="27"/>
  <c r="N256" i="27"/>
  <c r="N257" i="27"/>
  <c r="N258" i="27"/>
  <c r="N259" i="27"/>
  <c r="N260" i="27"/>
  <c r="N261" i="27"/>
  <c r="N262" i="27"/>
  <c r="N263" i="27"/>
  <c r="N264" i="27"/>
  <c r="N265" i="27"/>
  <c r="N266" i="27"/>
  <c r="N267" i="27"/>
  <c r="N268" i="27"/>
  <c r="N269" i="27"/>
  <c r="N270" i="27"/>
  <c r="N271" i="27"/>
  <c r="N272" i="27"/>
  <c r="N273" i="27"/>
  <c r="N274" i="27"/>
  <c r="N275" i="27"/>
  <c r="N276" i="27"/>
  <c r="N277" i="27"/>
  <c r="N278" i="27"/>
  <c r="N279" i="27"/>
  <c r="N280" i="27"/>
  <c r="N281" i="27"/>
  <c r="N282" i="27"/>
  <c r="N283" i="27"/>
  <c r="N284" i="27"/>
  <c r="N285" i="27"/>
  <c r="N286" i="27"/>
  <c r="N287" i="27"/>
  <c r="N288" i="27"/>
  <c r="N289" i="27"/>
  <c r="N290" i="27"/>
  <c r="N291" i="27"/>
  <c r="N292" i="27"/>
  <c r="N293" i="27"/>
  <c r="N294" i="27"/>
  <c r="N295" i="27"/>
  <c r="N296" i="27"/>
  <c r="N297" i="27"/>
  <c r="N298" i="27"/>
  <c r="N299" i="27"/>
  <c r="N300" i="27"/>
  <c r="N301" i="27"/>
  <c r="N302" i="27"/>
  <c r="N303" i="27"/>
  <c r="N304" i="27"/>
  <c r="N305" i="27"/>
  <c r="N306" i="27"/>
  <c r="N307" i="27"/>
  <c r="N308" i="27"/>
  <c r="N309" i="27"/>
  <c r="N310" i="27"/>
  <c r="N311" i="27"/>
  <c r="N312" i="27"/>
  <c r="N313" i="27"/>
  <c r="N314" i="27"/>
  <c r="N315" i="27"/>
  <c r="N316" i="27"/>
  <c r="N317" i="27"/>
  <c r="N318" i="27"/>
  <c r="N319" i="27"/>
  <c r="N320" i="27"/>
  <c r="N321" i="27"/>
  <c r="N322" i="27"/>
  <c r="N323" i="27"/>
  <c r="N324" i="27"/>
  <c r="N325" i="27"/>
  <c r="N326" i="27"/>
  <c r="N327" i="27"/>
  <c r="N328" i="27"/>
  <c r="N329" i="27"/>
  <c r="N330" i="27"/>
  <c r="N331" i="27"/>
  <c r="N332" i="27"/>
  <c r="N333" i="27"/>
  <c r="N334" i="27"/>
  <c r="N335" i="27"/>
  <c r="N336" i="27"/>
  <c r="N337" i="27"/>
  <c r="N338" i="27"/>
  <c r="N339" i="27"/>
  <c r="N340" i="27"/>
  <c r="N341" i="27"/>
  <c r="N342" i="27"/>
  <c r="N343" i="27"/>
  <c r="N344" i="27"/>
  <c r="N345" i="27"/>
  <c r="N346" i="27"/>
  <c r="N347" i="27"/>
  <c r="N348" i="27"/>
  <c r="N349" i="27"/>
  <c r="N350" i="27"/>
  <c r="N351" i="27"/>
  <c r="N352" i="27"/>
  <c r="N353" i="27"/>
  <c r="N354" i="27"/>
  <c r="N355" i="27"/>
  <c r="N356" i="27"/>
  <c r="N357" i="27"/>
  <c r="N358" i="27"/>
  <c r="N359" i="27"/>
  <c r="N360" i="27"/>
  <c r="N361" i="27"/>
  <c r="N362" i="27"/>
  <c r="N363" i="27"/>
  <c r="N364" i="27"/>
  <c r="N365" i="27"/>
  <c r="N366" i="27"/>
  <c r="N367" i="27"/>
  <c r="N368" i="27"/>
  <c r="N369" i="27"/>
  <c r="N370" i="27"/>
  <c r="N371" i="27"/>
  <c r="N372" i="27"/>
  <c r="N373" i="27"/>
  <c r="N374" i="27"/>
  <c r="N375" i="27"/>
  <c r="N376" i="27"/>
  <c r="N377" i="27"/>
  <c r="N378" i="27"/>
  <c r="N379" i="27"/>
  <c r="N380" i="27"/>
  <c r="N381" i="27"/>
  <c r="N382" i="27"/>
  <c r="N383" i="27"/>
  <c r="N384" i="27"/>
  <c r="N385" i="27"/>
  <c r="N386" i="27"/>
  <c r="N387" i="27"/>
  <c r="N388" i="27"/>
  <c r="N389" i="27"/>
  <c r="N390" i="27"/>
  <c r="N391" i="27"/>
  <c r="N392" i="27"/>
  <c r="N393" i="27"/>
  <c r="N394" i="27"/>
  <c r="N395" i="27"/>
  <c r="N396" i="27"/>
  <c r="N397" i="27"/>
  <c r="N398" i="27"/>
  <c r="N399" i="27"/>
  <c r="N400" i="27"/>
  <c r="N401" i="27"/>
  <c r="N402" i="27"/>
  <c r="N403" i="27"/>
  <c r="N404" i="27"/>
  <c r="N405" i="27"/>
  <c r="N406" i="27"/>
  <c r="N407" i="27"/>
  <c r="N408" i="27"/>
  <c r="N409" i="27"/>
  <c r="N410" i="27"/>
  <c r="N411" i="27"/>
  <c r="N412" i="27"/>
  <c r="N413" i="27"/>
  <c r="N414" i="27"/>
  <c r="N415" i="27"/>
  <c r="N416" i="27"/>
  <c r="N417" i="27"/>
  <c r="N418" i="27"/>
  <c r="N419" i="27"/>
  <c r="N420" i="27"/>
  <c r="N421" i="27"/>
  <c r="N422" i="27"/>
  <c r="N423" i="27"/>
  <c r="N424" i="27"/>
  <c r="N425" i="27"/>
  <c r="N426" i="27"/>
  <c r="N427" i="27"/>
  <c r="N428" i="27"/>
  <c r="N429" i="27"/>
  <c r="N430" i="27"/>
  <c r="N431" i="27"/>
  <c r="N432" i="27"/>
  <c r="N433" i="27"/>
  <c r="N434" i="27"/>
  <c r="N435" i="27"/>
  <c r="N436" i="27"/>
  <c r="N437" i="27"/>
  <c r="N438" i="27"/>
  <c r="N439" i="27"/>
  <c r="N440" i="27"/>
  <c r="N441" i="27"/>
  <c r="N442" i="27"/>
  <c r="N443" i="27"/>
  <c r="N444" i="27"/>
  <c r="N445" i="27"/>
  <c r="N446" i="27"/>
  <c r="N447" i="27"/>
  <c r="N448" i="27"/>
  <c r="N449" i="27"/>
  <c r="N450" i="27"/>
  <c r="N451" i="27"/>
  <c r="N452" i="27"/>
  <c r="N453" i="27"/>
  <c r="N454" i="27"/>
  <c r="N455" i="27"/>
  <c r="N456" i="27"/>
  <c r="N457" i="27"/>
  <c r="N458" i="27"/>
  <c r="N459" i="27"/>
  <c r="N460" i="27"/>
  <c r="N461" i="27"/>
  <c r="N462" i="27"/>
  <c r="N463" i="27"/>
  <c r="N464" i="27"/>
  <c r="N465" i="27"/>
  <c r="N466" i="27"/>
  <c r="N467" i="27"/>
  <c r="N468" i="27"/>
  <c r="N469" i="27"/>
  <c r="N470" i="27"/>
  <c r="N471" i="27"/>
  <c r="N472" i="27"/>
  <c r="N473" i="27"/>
  <c r="N474" i="27"/>
  <c r="N475" i="27"/>
  <c r="N476" i="27"/>
  <c r="N477" i="27"/>
  <c r="N478" i="27"/>
  <c r="N479" i="27"/>
  <c r="N480" i="27"/>
  <c r="N481" i="27"/>
  <c r="N482" i="27"/>
  <c r="N483" i="27"/>
  <c r="N484" i="27"/>
  <c r="N485" i="27"/>
  <c r="N486" i="27"/>
  <c r="N487" i="27"/>
  <c r="N488" i="27"/>
  <c r="N489" i="27"/>
  <c r="N490" i="27"/>
  <c r="N491" i="27"/>
  <c r="N492" i="27"/>
  <c r="N493" i="27"/>
  <c r="N494" i="27"/>
  <c r="N495" i="27"/>
  <c r="N496" i="27"/>
  <c r="N497" i="27"/>
  <c r="N498" i="27"/>
  <c r="N499" i="27"/>
  <c r="N500" i="27"/>
  <c r="N501" i="27"/>
  <c r="N502" i="27"/>
  <c r="N503" i="27"/>
  <c r="N504" i="27"/>
  <c r="N505" i="27"/>
  <c r="N506" i="27"/>
  <c r="N507" i="27"/>
  <c r="N508" i="27"/>
  <c r="N509" i="27"/>
  <c r="N510" i="27"/>
  <c r="N511" i="27"/>
  <c r="N512" i="27"/>
  <c r="N513" i="27"/>
  <c r="N514" i="27"/>
  <c r="N515" i="27"/>
  <c r="N516" i="27"/>
  <c r="N517" i="27"/>
  <c r="N518" i="27"/>
  <c r="N519" i="27"/>
  <c r="N520" i="27"/>
  <c r="N521" i="27"/>
  <c r="N522" i="27"/>
  <c r="N523" i="27"/>
  <c r="N524" i="27"/>
  <c r="N525" i="27"/>
  <c r="N526" i="27"/>
  <c r="N527" i="27"/>
  <c r="N528" i="27"/>
  <c r="N529" i="27"/>
  <c r="N530" i="27"/>
  <c r="N531" i="27"/>
  <c r="N532" i="27"/>
  <c r="N533" i="27"/>
  <c r="N534" i="27"/>
  <c r="N535" i="27"/>
  <c r="N536" i="27"/>
  <c r="N537" i="27"/>
  <c r="N538" i="27"/>
  <c r="N539" i="27"/>
  <c r="N540" i="27"/>
  <c r="N541" i="27"/>
  <c r="N542" i="27"/>
  <c r="N543" i="27"/>
  <c r="N544" i="27"/>
  <c r="N545" i="27"/>
  <c r="N546" i="27"/>
  <c r="N547" i="27"/>
  <c r="N548" i="27"/>
  <c r="N549" i="27"/>
  <c r="N550" i="27"/>
  <c r="N551" i="27"/>
  <c r="N552" i="27"/>
  <c r="N553" i="27"/>
  <c r="N554" i="27"/>
  <c r="N555" i="27"/>
  <c r="N556" i="27"/>
  <c r="N557" i="27"/>
  <c r="N558" i="27"/>
  <c r="N559" i="27"/>
  <c r="N560" i="27"/>
  <c r="N561" i="27"/>
  <c r="N562" i="27"/>
  <c r="N563" i="27"/>
  <c r="N564" i="27"/>
  <c r="N565" i="27"/>
  <c r="N566" i="27"/>
  <c r="N567" i="27"/>
  <c r="N568" i="27"/>
  <c r="N569" i="27"/>
  <c r="N570" i="27"/>
  <c r="N571" i="27"/>
  <c r="N572" i="27"/>
  <c r="N573" i="27"/>
  <c r="N574" i="27"/>
  <c r="N575" i="27"/>
  <c r="N576" i="27"/>
  <c r="N577" i="27"/>
  <c r="N578" i="27"/>
  <c r="N579" i="27"/>
  <c r="N580" i="27"/>
  <c r="N581" i="27"/>
  <c r="N582" i="27"/>
  <c r="N583" i="27"/>
  <c r="N584" i="27"/>
  <c r="N585" i="27"/>
  <c r="N586" i="27"/>
  <c r="N587" i="27"/>
  <c r="N588" i="27"/>
  <c r="N589" i="27"/>
  <c r="N590" i="27"/>
  <c r="N591" i="27"/>
  <c r="N592" i="27"/>
  <c r="N593" i="27"/>
  <c r="N594" i="27"/>
  <c r="N595" i="27"/>
  <c r="N596" i="27"/>
  <c r="N597" i="27"/>
  <c r="N598" i="27"/>
  <c r="N599" i="27"/>
  <c r="N600" i="27"/>
  <c r="N601" i="27"/>
  <c r="N602" i="27"/>
  <c r="N603" i="27"/>
  <c r="N604" i="27"/>
  <c r="N605" i="27"/>
  <c r="N606" i="27"/>
  <c r="N607" i="27"/>
  <c r="N608" i="27"/>
  <c r="N609" i="27"/>
  <c r="N610" i="27"/>
  <c r="N611" i="27"/>
  <c r="N612" i="27"/>
  <c r="N613" i="27"/>
  <c r="N614" i="27"/>
  <c r="N615" i="27"/>
  <c r="N616" i="27"/>
  <c r="N617" i="27"/>
  <c r="N618" i="27"/>
  <c r="N619" i="27"/>
  <c r="N620" i="27"/>
  <c r="N621" i="27"/>
  <c r="N622" i="27"/>
  <c r="N623" i="27"/>
  <c r="N624" i="27"/>
  <c r="N625" i="27"/>
  <c r="N626" i="27"/>
  <c r="N627" i="27"/>
  <c r="N628" i="27"/>
  <c r="N629" i="27"/>
  <c r="N630" i="27"/>
  <c r="N631" i="27"/>
  <c r="N632" i="27"/>
  <c r="N633" i="27"/>
  <c r="N634" i="27"/>
  <c r="N635" i="27"/>
  <c r="N636" i="27"/>
  <c r="N637" i="27"/>
  <c r="N638" i="27"/>
  <c r="N639" i="27"/>
  <c r="N640" i="27"/>
  <c r="N641" i="27"/>
  <c r="N642" i="27"/>
  <c r="N643" i="27"/>
  <c r="N644" i="27"/>
  <c r="N645" i="27"/>
  <c r="N646" i="27"/>
  <c r="N647" i="27"/>
  <c r="N648" i="27"/>
  <c r="N649" i="27"/>
  <c r="N650" i="27"/>
  <c r="N651" i="27"/>
  <c r="N652" i="27"/>
  <c r="N653" i="27"/>
  <c r="N654" i="27"/>
  <c r="N655" i="27"/>
  <c r="N656" i="27"/>
  <c r="N657" i="27"/>
  <c r="N658" i="27"/>
  <c r="N659" i="27"/>
  <c r="N660" i="27"/>
  <c r="N661" i="27"/>
  <c r="N662" i="27"/>
  <c r="N663" i="27"/>
  <c r="N664" i="27"/>
  <c r="N665" i="27"/>
  <c r="N666" i="27"/>
  <c r="N667" i="27"/>
  <c r="N668" i="27"/>
  <c r="N669" i="27"/>
  <c r="N670" i="27"/>
  <c r="N671" i="27"/>
  <c r="N672" i="27"/>
  <c r="N673" i="27"/>
  <c r="N674" i="27"/>
  <c r="N675" i="27"/>
  <c r="N676" i="27"/>
  <c r="N677" i="27"/>
  <c r="N678" i="27"/>
  <c r="N679" i="27"/>
  <c r="N680" i="27"/>
  <c r="N681" i="27"/>
  <c r="N682" i="27"/>
  <c r="N683" i="27"/>
  <c r="N684" i="27"/>
  <c r="N685" i="27"/>
  <c r="N686" i="27"/>
  <c r="N687" i="27"/>
  <c r="N688" i="27"/>
  <c r="N689" i="27"/>
  <c r="N690" i="27"/>
  <c r="N691" i="27"/>
  <c r="N692" i="27"/>
  <c r="N693" i="27"/>
  <c r="N694" i="27"/>
  <c r="N695" i="27"/>
  <c r="N696" i="27"/>
  <c r="N697" i="27"/>
  <c r="N698" i="27"/>
  <c r="N699" i="27"/>
  <c r="N700" i="27"/>
  <c r="N701" i="27"/>
  <c r="N702" i="27"/>
  <c r="N703" i="27"/>
  <c r="N704" i="27"/>
  <c r="N705" i="27"/>
  <c r="N706" i="27"/>
  <c r="N707" i="27"/>
  <c r="N708" i="27"/>
  <c r="N709" i="27"/>
  <c r="N710" i="27"/>
  <c r="N711" i="27"/>
  <c r="N712" i="27"/>
  <c r="N713" i="27"/>
  <c r="N714" i="27"/>
  <c r="N715" i="27"/>
  <c r="N716" i="27"/>
  <c r="N717" i="27"/>
  <c r="N718" i="27"/>
  <c r="N719" i="27"/>
  <c r="N720" i="27"/>
  <c r="N721" i="27"/>
  <c r="N722" i="27"/>
  <c r="N723" i="27"/>
  <c r="N724" i="27"/>
  <c r="N725" i="27"/>
  <c r="N726" i="27"/>
  <c r="N727" i="27"/>
  <c r="N728" i="27"/>
  <c r="N729" i="27"/>
  <c r="N730" i="27"/>
  <c r="N731" i="27"/>
  <c r="N732" i="27"/>
  <c r="N733" i="27"/>
  <c r="N734" i="27"/>
  <c r="N735" i="27"/>
  <c r="N736" i="27"/>
  <c r="N737" i="27"/>
  <c r="N738" i="27"/>
  <c r="N739" i="27"/>
  <c r="N740" i="27"/>
  <c r="N741" i="27"/>
  <c r="N742" i="27"/>
  <c r="N743" i="27"/>
  <c r="N744" i="27"/>
  <c r="N745" i="27"/>
  <c r="N746" i="27"/>
  <c r="N747" i="27"/>
  <c r="N748" i="27"/>
  <c r="N749" i="27"/>
  <c r="N750" i="27"/>
  <c r="N751" i="27"/>
  <c r="N752" i="27"/>
  <c r="N753" i="27"/>
  <c r="N754" i="27"/>
  <c r="N755" i="27"/>
  <c r="N756" i="27"/>
  <c r="N757" i="27"/>
  <c r="N758" i="27"/>
  <c r="N759" i="27"/>
  <c r="N760" i="27"/>
  <c r="N761" i="27"/>
  <c r="N762" i="27"/>
  <c r="N763" i="27"/>
  <c r="N764" i="27"/>
  <c r="N765" i="27"/>
  <c r="N766" i="27"/>
  <c r="N767" i="27"/>
  <c r="N768" i="27"/>
  <c r="N769" i="27"/>
  <c r="N770" i="27"/>
  <c r="N771" i="27"/>
  <c r="N772" i="27"/>
  <c r="N773" i="27"/>
  <c r="N774" i="27"/>
  <c r="N775" i="27"/>
  <c r="N776" i="27"/>
  <c r="N777" i="27"/>
  <c r="N778" i="27"/>
  <c r="N779" i="27"/>
  <c r="N780" i="27"/>
  <c r="N781" i="27"/>
  <c r="N782" i="27"/>
  <c r="N783" i="27"/>
  <c r="N784" i="27"/>
  <c r="N785" i="27"/>
  <c r="N786" i="27"/>
  <c r="N787" i="27"/>
  <c r="N788" i="27"/>
  <c r="N789" i="27"/>
  <c r="N790" i="27"/>
  <c r="N791" i="27"/>
  <c r="N792" i="27"/>
  <c r="N793" i="27"/>
  <c r="N794" i="27"/>
  <c r="N795" i="27"/>
  <c r="N796" i="27"/>
  <c r="N797" i="27"/>
  <c r="N798" i="27"/>
  <c r="N799" i="27"/>
  <c r="N800" i="27"/>
  <c r="N801" i="27"/>
  <c r="N802" i="27"/>
  <c r="N803" i="27"/>
  <c r="N804" i="27"/>
  <c r="N805" i="27"/>
  <c r="N806" i="27"/>
  <c r="N807" i="27"/>
  <c r="N808" i="27"/>
  <c r="N809" i="27"/>
  <c r="N810" i="27"/>
  <c r="N811" i="27"/>
  <c r="N812" i="27"/>
  <c r="N813" i="27"/>
  <c r="N814" i="27"/>
  <c r="N815" i="27"/>
  <c r="N816" i="27"/>
  <c r="N817" i="27"/>
  <c r="N818" i="27"/>
  <c r="N819" i="27"/>
  <c r="N820" i="27"/>
  <c r="N821" i="27"/>
  <c r="N822" i="27"/>
  <c r="N823" i="27"/>
  <c r="N824" i="27"/>
  <c r="N825" i="27"/>
  <c r="N826" i="27"/>
  <c r="N827" i="27"/>
  <c r="N828" i="27"/>
  <c r="N829" i="27"/>
  <c r="N830" i="27"/>
  <c r="N831" i="27"/>
  <c r="N832" i="27"/>
  <c r="N833" i="27"/>
  <c r="N834" i="27"/>
  <c r="N835" i="27"/>
  <c r="N836" i="27"/>
  <c r="N837" i="27"/>
  <c r="N838" i="27"/>
  <c r="N839" i="27"/>
  <c r="N840" i="27"/>
  <c r="N841" i="27"/>
  <c r="N842" i="27"/>
  <c r="N843" i="27"/>
  <c r="N844" i="27"/>
  <c r="N845" i="27"/>
  <c r="N846" i="27"/>
  <c r="N847" i="27"/>
  <c r="N848" i="27"/>
  <c r="N849" i="27"/>
  <c r="N850" i="27"/>
  <c r="N851" i="27"/>
  <c r="N852" i="27"/>
  <c r="N853" i="27"/>
  <c r="N854" i="27"/>
  <c r="N855" i="27"/>
  <c r="N856" i="27"/>
  <c r="N857" i="27"/>
  <c r="N858" i="27"/>
  <c r="N859" i="27"/>
  <c r="N860" i="27"/>
  <c r="N861" i="27"/>
  <c r="N862" i="27"/>
  <c r="N863" i="27"/>
  <c r="N864" i="27"/>
  <c r="N865" i="27"/>
  <c r="N866" i="27"/>
  <c r="N867" i="27"/>
  <c r="N868" i="27"/>
  <c r="N869" i="27"/>
  <c r="N870" i="27"/>
  <c r="N871" i="27"/>
  <c r="N872" i="27"/>
  <c r="N873" i="27"/>
  <c r="N874" i="27"/>
  <c r="N875" i="27"/>
  <c r="N876" i="27"/>
  <c r="N877" i="27"/>
  <c r="N878" i="27"/>
  <c r="N879" i="27"/>
  <c r="N880" i="27"/>
  <c r="N881" i="27"/>
  <c r="N882" i="27"/>
  <c r="N883" i="27"/>
  <c r="N884" i="27"/>
  <c r="N885" i="27"/>
  <c r="N886" i="27"/>
  <c r="N887" i="27"/>
  <c r="N888" i="27"/>
  <c r="N889" i="27"/>
  <c r="N890" i="27"/>
  <c r="N891" i="27"/>
  <c r="N892" i="27"/>
  <c r="N893" i="27"/>
  <c r="N894" i="27"/>
  <c r="N895" i="27"/>
  <c r="N896" i="27"/>
  <c r="N897" i="27"/>
  <c r="N898" i="27"/>
  <c r="N899" i="27"/>
  <c r="N900" i="27"/>
  <c r="N901" i="27"/>
  <c r="N902" i="27"/>
  <c r="N903" i="27"/>
  <c r="N904" i="27"/>
  <c r="N905" i="27"/>
  <c r="N906" i="27"/>
  <c r="N907" i="27"/>
  <c r="N908" i="27"/>
  <c r="N909" i="27"/>
  <c r="N910" i="27"/>
  <c r="N911" i="27"/>
  <c r="N912" i="27"/>
  <c r="N913" i="27"/>
  <c r="N914" i="27"/>
  <c r="N915" i="27"/>
  <c r="N916" i="27"/>
  <c r="N917" i="27"/>
  <c r="N918" i="27"/>
  <c r="N919" i="27"/>
  <c r="N920" i="27"/>
  <c r="N921" i="27"/>
  <c r="N922" i="27"/>
  <c r="N923" i="27"/>
  <c r="N924" i="27"/>
  <c r="N925" i="27"/>
  <c r="N926" i="27"/>
  <c r="N927" i="27"/>
  <c r="N928" i="27"/>
  <c r="N929" i="27"/>
  <c r="N930" i="27"/>
  <c r="N931" i="27"/>
  <c r="N932" i="27"/>
  <c r="N933" i="27"/>
  <c r="N934" i="27"/>
  <c r="N935" i="27"/>
  <c r="N936" i="27"/>
  <c r="N937" i="27"/>
  <c r="N938" i="27"/>
  <c r="N939" i="27"/>
  <c r="N940" i="27"/>
  <c r="N941" i="27"/>
  <c r="N942" i="27"/>
  <c r="N943" i="27"/>
  <c r="N944" i="27"/>
  <c r="N945" i="27"/>
  <c r="N946" i="27"/>
  <c r="N947" i="27"/>
  <c r="N948" i="27"/>
  <c r="N949" i="27"/>
  <c r="N950" i="27"/>
  <c r="N951" i="27"/>
  <c r="N952" i="27"/>
  <c r="N953" i="27"/>
  <c r="N954" i="27"/>
  <c r="N955" i="27"/>
  <c r="N956" i="27"/>
  <c r="N957" i="27"/>
  <c r="N958" i="27"/>
  <c r="N959" i="27"/>
  <c r="N960" i="27"/>
  <c r="N961" i="27"/>
  <c r="N962" i="27"/>
  <c r="N963" i="27"/>
  <c r="N964" i="27"/>
  <c r="N965" i="27"/>
  <c r="N966" i="27"/>
  <c r="N967" i="27"/>
  <c r="N968" i="27"/>
  <c r="N969" i="27"/>
  <c r="N970" i="27"/>
  <c r="N971" i="27"/>
  <c r="N972" i="27"/>
  <c r="N973" i="27"/>
  <c r="N974" i="27"/>
  <c r="N975" i="27"/>
  <c r="N976" i="27"/>
  <c r="N977" i="27"/>
  <c r="N978" i="27"/>
  <c r="N979" i="27"/>
  <c r="N980" i="27"/>
  <c r="N981" i="27"/>
  <c r="N982" i="27"/>
  <c r="N983" i="27"/>
  <c r="N984" i="27"/>
  <c r="N985" i="27"/>
  <c r="N986" i="27"/>
  <c r="N987" i="27"/>
  <c r="N988" i="27"/>
  <c r="N989" i="27"/>
  <c r="N990" i="27"/>
  <c r="N991" i="27"/>
  <c r="N992" i="27"/>
  <c r="N993" i="27"/>
  <c r="N994" i="27"/>
  <c r="N995" i="27"/>
  <c r="N996" i="27"/>
  <c r="N997" i="27"/>
  <c r="N998" i="27"/>
  <c r="N999" i="27"/>
  <c r="N1000" i="27"/>
  <c r="N1001" i="27"/>
  <c r="N3" i="27" l="1"/>
  <c r="G4" i="27" l="1"/>
  <c r="H4" i="27"/>
  <c r="I4" i="27"/>
  <c r="J4" i="27"/>
  <c r="K4" i="27"/>
  <c r="L4" i="27"/>
  <c r="M4" i="27"/>
  <c r="G5" i="27"/>
  <c r="H5" i="27"/>
  <c r="I5" i="27"/>
  <c r="J5" i="27"/>
  <c r="K5" i="27"/>
  <c r="L5" i="27"/>
  <c r="M5" i="27"/>
  <c r="G6" i="27"/>
  <c r="H6" i="27"/>
  <c r="I6" i="27"/>
  <c r="J6" i="27"/>
  <c r="K6" i="27"/>
  <c r="L6" i="27"/>
  <c r="M6" i="27"/>
  <c r="G7" i="27"/>
  <c r="H7" i="27"/>
  <c r="I7" i="27"/>
  <c r="J7" i="27"/>
  <c r="K7" i="27"/>
  <c r="L7" i="27"/>
  <c r="M7" i="27"/>
  <c r="G8" i="27"/>
  <c r="H8" i="27"/>
  <c r="I8" i="27"/>
  <c r="J8" i="27"/>
  <c r="K8" i="27"/>
  <c r="L8" i="27"/>
  <c r="M8" i="27"/>
  <c r="G9" i="27"/>
  <c r="H9" i="27"/>
  <c r="I9" i="27"/>
  <c r="J9" i="27"/>
  <c r="K9" i="27"/>
  <c r="L9" i="27"/>
  <c r="M9" i="27"/>
  <c r="G10" i="27"/>
  <c r="H10" i="27"/>
  <c r="I10" i="27"/>
  <c r="J10" i="27"/>
  <c r="K10" i="27"/>
  <c r="L10" i="27"/>
  <c r="M10" i="27"/>
  <c r="G11" i="27"/>
  <c r="H11" i="27"/>
  <c r="I11" i="27"/>
  <c r="J11" i="27"/>
  <c r="K11" i="27"/>
  <c r="L11" i="27"/>
  <c r="M11" i="27"/>
  <c r="G12" i="27"/>
  <c r="H12" i="27"/>
  <c r="I12" i="27"/>
  <c r="J12" i="27"/>
  <c r="K12" i="27"/>
  <c r="L12" i="27"/>
  <c r="M12" i="27"/>
  <c r="G13" i="27"/>
  <c r="H13" i="27"/>
  <c r="I13" i="27"/>
  <c r="J13" i="27"/>
  <c r="K13" i="27"/>
  <c r="L13" i="27"/>
  <c r="M13" i="27"/>
  <c r="G14" i="27"/>
  <c r="H14" i="27"/>
  <c r="I14" i="27"/>
  <c r="J14" i="27"/>
  <c r="K14" i="27"/>
  <c r="L14" i="27"/>
  <c r="M14" i="27"/>
  <c r="G15" i="27"/>
  <c r="H15" i="27"/>
  <c r="I15" i="27"/>
  <c r="J15" i="27"/>
  <c r="K15" i="27"/>
  <c r="L15" i="27"/>
  <c r="M15" i="27"/>
  <c r="G16" i="27"/>
  <c r="H16" i="27"/>
  <c r="I16" i="27"/>
  <c r="J16" i="27"/>
  <c r="K16" i="27"/>
  <c r="L16" i="27"/>
  <c r="M16" i="27"/>
  <c r="G17" i="27"/>
  <c r="H17" i="27"/>
  <c r="I17" i="27"/>
  <c r="J17" i="27"/>
  <c r="K17" i="27"/>
  <c r="L17" i="27"/>
  <c r="M17" i="27"/>
  <c r="G18" i="27"/>
  <c r="H18" i="27"/>
  <c r="I18" i="27"/>
  <c r="J18" i="27"/>
  <c r="K18" i="27"/>
  <c r="L18" i="27"/>
  <c r="M18" i="27"/>
  <c r="G19" i="27"/>
  <c r="H19" i="27"/>
  <c r="I19" i="27"/>
  <c r="J19" i="27"/>
  <c r="K19" i="27"/>
  <c r="L19" i="27"/>
  <c r="M19" i="27"/>
  <c r="G20" i="27"/>
  <c r="H20" i="27"/>
  <c r="I20" i="27"/>
  <c r="J20" i="27"/>
  <c r="K20" i="27"/>
  <c r="L20" i="27"/>
  <c r="M20" i="27"/>
  <c r="G21" i="27"/>
  <c r="H21" i="27"/>
  <c r="I21" i="27"/>
  <c r="J21" i="27"/>
  <c r="K21" i="27"/>
  <c r="L21" i="27"/>
  <c r="M21" i="27"/>
  <c r="G22" i="27"/>
  <c r="H22" i="27"/>
  <c r="I22" i="27"/>
  <c r="J22" i="27"/>
  <c r="K22" i="27"/>
  <c r="L22" i="27"/>
  <c r="M22" i="27"/>
  <c r="G23" i="27"/>
  <c r="H23" i="27"/>
  <c r="I23" i="27"/>
  <c r="J23" i="27"/>
  <c r="K23" i="27"/>
  <c r="L23" i="27"/>
  <c r="M23" i="27"/>
  <c r="G24" i="27"/>
  <c r="H24" i="27"/>
  <c r="I24" i="27"/>
  <c r="J24" i="27"/>
  <c r="K24" i="27"/>
  <c r="L24" i="27"/>
  <c r="M24" i="27"/>
  <c r="G25" i="27"/>
  <c r="H25" i="27"/>
  <c r="I25" i="27"/>
  <c r="J25" i="27"/>
  <c r="K25" i="27"/>
  <c r="L25" i="27"/>
  <c r="M25" i="27"/>
  <c r="G26" i="27"/>
  <c r="H26" i="27"/>
  <c r="I26" i="27"/>
  <c r="J26" i="27"/>
  <c r="K26" i="27"/>
  <c r="L26" i="27"/>
  <c r="M26" i="27"/>
  <c r="G27" i="27"/>
  <c r="H27" i="27"/>
  <c r="I27" i="27"/>
  <c r="J27" i="27"/>
  <c r="K27" i="27"/>
  <c r="L27" i="27"/>
  <c r="M27" i="27"/>
  <c r="G28" i="27"/>
  <c r="H28" i="27"/>
  <c r="I28" i="27"/>
  <c r="J28" i="27"/>
  <c r="K28" i="27"/>
  <c r="L28" i="27"/>
  <c r="M28" i="27"/>
  <c r="G29" i="27"/>
  <c r="H29" i="27"/>
  <c r="I29" i="27"/>
  <c r="J29" i="27"/>
  <c r="K29" i="27"/>
  <c r="L29" i="27"/>
  <c r="M29" i="27"/>
  <c r="G30" i="27"/>
  <c r="H30" i="27"/>
  <c r="I30" i="27"/>
  <c r="J30" i="27"/>
  <c r="K30" i="27"/>
  <c r="L30" i="27"/>
  <c r="M30" i="27"/>
  <c r="G31" i="27"/>
  <c r="H31" i="27"/>
  <c r="I31" i="27"/>
  <c r="J31" i="27"/>
  <c r="K31" i="27"/>
  <c r="L31" i="27"/>
  <c r="M31" i="27"/>
  <c r="G32" i="27"/>
  <c r="H32" i="27"/>
  <c r="I32" i="27"/>
  <c r="J32" i="27"/>
  <c r="K32" i="27"/>
  <c r="L32" i="27"/>
  <c r="M32" i="27"/>
  <c r="G33" i="27"/>
  <c r="H33" i="27"/>
  <c r="I33" i="27"/>
  <c r="J33" i="27"/>
  <c r="K33" i="27"/>
  <c r="L33" i="27"/>
  <c r="M33" i="27"/>
  <c r="G34" i="27"/>
  <c r="H34" i="27"/>
  <c r="I34" i="27"/>
  <c r="J34" i="27"/>
  <c r="K34" i="27"/>
  <c r="L34" i="27"/>
  <c r="M34" i="27"/>
  <c r="G35" i="27"/>
  <c r="H35" i="27"/>
  <c r="I35" i="27"/>
  <c r="J35" i="27"/>
  <c r="K35" i="27"/>
  <c r="L35" i="27"/>
  <c r="M35" i="27"/>
  <c r="G36" i="27"/>
  <c r="H36" i="27"/>
  <c r="I36" i="27"/>
  <c r="J36" i="27"/>
  <c r="K36" i="27"/>
  <c r="L36" i="27"/>
  <c r="M36" i="27"/>
  <c r="G37" i="27"/>
  <c r="H37" i="27"/>
  <c r="I37" i="27"/>
  <c r="J37" i="27"/>
  <c r="K37" i="27"/>
  <c r="L37" i="27"/>
  <c r="M37" i="27"/>
  <c r="G38" i="27"/>
  <c r="H38" i="27"/>
  <c r="I38" i="27"/>
  <c r="J38" i="27"/>
  <c r="K38" i="27"/>
  <c r="L38" i="27"/>
  <c r="M38" i="27"/>
  <c r="G39" i="27"/>
  <c r="H39" i="27"/>
  <c r="I39" i="27"/>
  <c r="J39" i="27"/>
  <c r="K39" i="27"/>
  <c r="L39" i="27"/>
  <c r="M39" i="27"/>
  <c r="G40" i="27"/>
  <c r="H40" i="27"/>
  <c r="I40" i="27"/>
  <c r="J40" i="27"/>
  <c r="K40" i="27"/>
  <c r="L40" i="27"/>
  <c r="M40" i="27"/>
  <c r="G41" i="27"/>
  <c r="H41" i="27"/>
  <c r="I41" i="27"/>
  <c r="J41" i="27"/>
  <c r="K41" i="27"/>
  <c r="L41" i="27"/>
  <c r="M41" i="27"/>
  <c r="G42" i="27"/>
  <c r="H42" i="27"/>
  <c r="I42" i="27"/>
  <c r="J42" i="27"/>
  <c r="K42" i="27"/>
  <c r="L42" i="27"/>
  <c r="M42" i="27"/>
  <c r="G43" i="27"/>
  <c r="H43" i="27"/>
  <c r="I43" i="27"/>
  <c r="J43" i="27"/>
  <c r="K43" i="27"/>
  <c r="L43" i="27"/>
  <c r="M43" i="27"/>
  <c r="G44" i="27"/>
  <c r="H44" i="27"/>
  <c r="I44" i="27"/>
  <c r="J44" i="27"/>
  <c r="K44" i="27"/>
  <c r="L44" i="27"/>
  <c r="M44" i="27"/>
  <c r="G45" i="27"/>
  <c r="H45" i="27"/>
  <c r="I45" i="27"/>
  <c r="J45" i="27"/>
  <c r="K45" i="27"/>
  <c r="L45" i="27"/>
  <c r="M45" i="27"/>
  <c r="G46" i="27"/>
  <c r="H46" i="27"/>
  <c r="I46" i="27"/>
  <c r="J46" i="27"/>
  <c r="K46" i="27"/>
  <c r="L46" i="27"/>
  <c r="M46" i="27"/>
  <c r="G47" i="27"/>
  <c r="H47" i="27"/>
  <c r="I47" i="27"/>
  <c r="J47" i="27"/>
  <c r="K47" i="27"/>
  <c r="L47" i="27"/>
  <c r="M47" i="27"/>
  <c r="G48" i="27"/>
  <c r="H48" i="27"/>
  <c r="I48" i="27"/>
  <c r="J48" i="27"/>
  <c r="K48" i="27"/>
  <c r="L48" i="27"/>
  <c r="M48" i="27"/>
  <c r="G49" i="27"/>
  <c r="H49" i="27"/>
  <c r="I49" i="27"/>
  <c r="J49" i="27"/>
  <c r="K49" i="27"/>
  <c r="L49" i="27"/>
  <c r="M49" i="27"/>
  <c r="G50" i="27"/>
  <c r="H50" i="27"/>
  <c r="I50" i="27"/>
  <c r="J50" i="27"/>
  <c r="K50" i="27"/>
  <c r="L50" i="27"/>
  <c r="M50" i="27"/>
  <c r="G51" i="27"/>
  <c r="H51" i="27"/>
  <c r="I51" i="27"/>
  <c r="J51" i="27"/>
  <c r="K51" i="27"/>
  <c r="L51" i="27"/>
  <c r="M51" i="27"/>
  <c r="G52" i="27"/>
  <c r="H52" i="27"/>
  <c r="I52" i="27"/>
  <c r="J52" i="27"/>
  <c r="K52" i="27"/>
  <c r="L52" i="27"/>
  <c r="M52" i="27"/>
  <c r="G53" i="27"/>
  <c r="H53" i="27"/>
  <c r="I53" i="27"/>
  <c r="J53" i="27"/>
  <c r="K53" i="27"/>
  <c r="L53" i="27"/>
  <c r="M53" i="27"/>
  <c r="G54" i="27"/>
  <c r="H54" i="27"/>
  <c r="I54" i="27"/>
  <c r="J54" i="27"/>
  <c r="K54" i="27"/>
  <c r="L54" i="27"/>
  <c r="M54" i="27"/>
  <c r="G55" i="27"/>
  <c r="H55" i="27"/>
  <c r="I55" i="27"/>
  <c r="J55" i="27"/>
  <c r="K55" i="27"/>
  <c r="L55" i="27"/>
  <c r="M55" i="27"/>
  <c r="G56" i="27"/>
  <c r="H56" i="27"/>
  <c r="I56" i="27"/>
  <c r="J56" i="27"/>
  <c r="K56" i="27"/>
  <c r="L56" i="27"/>
  <c r="M56" i="27"/>
  <c r="G57" i="27"/>
  <c r="H57" i="27"/>
  <c r="I57" i="27"/>
  <c r="J57" i="27"/>
  <c r="K57" i="27"/>
  <c r="L57" i="27"/>
  <c r="M57" i="27"/>
  <c r="G58" i="27"/>
  <c r="H58" i="27"/>
  <c r="I58" i="27"/>
  <c r="J58" i="27"/>
  <c r="K58" i="27"/>
  <c r="L58" i="27"/>
  <c r="M58" i="27"/>
  <c r="G59" i="27"/>
  <c r="H59" i="27"/>
  <c r="I59" i="27"/>
  <c r="J59" i="27"/>
  <c r="K59" i="27"/>
  <c r="L59" i="27"/>
  <c r="M59" i="27"/>
  <c r="G60" i="27"/>
  <c r="H60" i="27"/>
  <c r="I60" i="27"/>
  <c r="J60" i="27"/>
  <c r="K60" i="27"/>
  <c r="L60" i="27"/>
  <c r="M60" i="27"/>
  <c r="G61" i="27"/>
  <c r="H61" i="27"/>
  <c r="I61" i="27"/>
  <c r="J61" i="27"/>
  <c r="K61" i="27"/>
  <c r="L61" i="27"/>
  <c r="M61" i="27"/>
  <c r="G62" i="27"/>
  <c r="H62" i="27"/>
  <c r="I62" i="27"/>
  <c r="J62" i="27"/>
  <c r="K62" i="27"/>
  <c r="L62" i="27"/>
  <c r="M62" i="27"/>
  <c r="G63" i="27"/>
  <c r="H63" i="27"/>
  <c r="I63" i="27"/>
  <c r="J63" i="27"/>
  <c r="K63" i="27"/>
  <c r="L63" i="27"/>
  <c r="M63" i="27"/>
  <c r="G64" i="27"/>
  <c r="H64" i="27"/>
  <c r="I64" i="27"/>
  <c r="J64" i="27"/>
  <c r="K64" i="27"/>
  <c r="L64" i="27"/>
  <c r="M64" i="27"/>
  <c r="G65" i="27"/>
  <c r="H65" i="27"/>
  <c r="I65" i="27"/>
  <c r="J65" i="27"/>
  <c r="K65" i="27"/>
  <c r="L65" i="27"/>
  <c r="M65" i="27"/>
  <c r="G66" i="27"/>
  <c r="H66" i="27"/>
  <c r="I66" i="27"/>
  <c r="J66" i="27"/>
  <c r="K66" i="27"/>
  <c r="L66" i="27"/>
  <c r="M66" i="27"/>
  <c r="G67" i="27"/>
  <c r="H67" i="27"/>
  <c r="I67" i="27"/>
  <c r="J67" i="27"/>
  <c r="K67" i="27"/>
  <c r="L67" i="27"/>
  <c r="M67" i="27"/>
  <c r="G68" i="27"/>
  <c r="H68" i="27"/>
  <c r="I68" i="27"/>
  <c r="J68" i="27"/>
  <c r="K68" i="27"/>
  <c r="L68" i="27"/>
  <c r="M68" i="27"/>
  <c r="G69" i="27"/>
  <c r="H69" i="27"/>
  <c r="I69" i="27"/>
  <c r="J69" i="27"/>
  <c r="K69" i="27"/>
  <c r="L69" i="27"/>
  <c r="M69" i="27"/>
  <c r="G70" i="27"/>
  <c r="H70" i="27"/>
  <c r="I70" i="27"/>
  <c r="J70" i="27"/>
  <c r="K70" i="27"/>
  <c r="L70" i="27"/>
  <c r="M70" i="27"/>
  <c r="G71" i="27"/>
  <c r="H71" i="27"/>
  <c r="I71" i="27"/>
  <c r="J71" i="27"/>
  <c r="K71" i="27"/>
  <c r="L71" i="27"/>
  <c r="M71" i="27"/>
  <c r="G72" i="27"/>
  <c r="H72" i="27"/>
  <c r="I72" i="27"/>
  <c r="J72" i="27"/>
  <c r="K72" i="27"/>
  <c r="L72" i="27"/>
  <c r="M72" i="27"/>
  <c r="G73" i="27"/>
  <c r="H73" i="27"/>
  <c r="I73" i="27"/>
  <c r="J73" i="27"/>
  <c r="K73" i="27"/>
  <c r="L73" i="27"/>
  <c r="M73" i="27"/>
  <c r="G74" i="27"/>
  <c r="H74" i="27"/>
  <c r="I74" i="27"/>
  <c r="J74" i="27"/>
  <c r="K74" i="27"/>
  <c r="L74" i="27"/>
  <c r="M74" i="27"/>
  <c r="G75" i="27"/>
  <c r="H75" i="27"/>
  <c r="I75" i="27"/>
  <c r="J75" i="27"/>
  <c r="K75" i="27"/>
  <c r="L75" i="27"/>
  <c r="M75" i="27"/>
  <c r="G76" i="27"/>
  <c r="H76" i="27"/>
  <c r="I76" i="27"/>
  <c r="J76" i="27"/>
  <c r="K76" i="27"/>
  <c r="L76" i="27"/>
  <c r="M76" i="27"/>
  <c r="G77" i="27"/>
  <c r="H77" i="27"/>
  <c r="I77" i="27"/>
  <c r="J77" i="27"/>
  <c r="K77" i="27"/>
  <c r="L77" i="27"/>
  <c r="M77" i="27"/>
  <c r="G78" i="27"/>
  <c r="H78" i="27"/>
  <c r="I78" i="27"/>
  <c r="J78" i="27"/>
  <c r="K78" i="27"/>
  <c r="L78" i="27"/>
  <c r="M78" i="27"/>
  <c r="G79" i="27"/>
  <c r="H79" i="27"/>
  <c r="I79" i="27"/>
  <c r="J79" i="27"/>
  <c r="K79" i="27"/>
  <c r="L79" i="27"/>
  <c r="M79" i="27"/>
  <c r="G80" i="27"/>
  <c r="H80" i="27"/>
  <c r="I80" i="27"/>
  <c r="J80" i="27"/>
  <c r="K80" i="27"/>
  <c r="L80" i="27"/>
  <c r="M80" i="27"/>
  <c r="G81" i="27"/>
  <c r="H81" i="27"/>
  <c r="I81" i="27"/>
  <c r="J81" i="27"/>
  <c r="K81" i="27"/>
  <c r="L81" i="27"/>
  <c r="M81" i="27"/>
  <c r="G82" i="27"/>
  <c r="H82" i="27"/>
  <c r="I82" i="27"/>
  <c r="J82" i="27"/>
  <c r="K82" i="27"/>
  <c r="L82" i="27"/>
  <c r="M82" i="27"/>
  <c r="G83" i="27"/>
  <c r="H83" i="27"/>
  <c r="I83" i="27"/>
  <c r="J83" i="27"/>
  <c r="K83" i="27"/>
  <c r="L83" i="27"/>
  <c r="M83" i="27"/>
  <c r="G84" i="27"/>
  <c r="H84" i="27"/>
  <c r="I84" i="27"/>
  <c r="J84" i="27"/>
  <c r="K84" i="27"/>
  <c r="L84" i="27"/>
  <c r="M84" i="27"/>
  <c r="G85" i="27"/>
  <c r="H85" i="27"/>
  <c r="I85" i="27"/>
  <c r="J85" i="27"/>
  <c r="K85" i="27"/>
  <c r="L85" i="27"/>
  <c r="M85" i="27"/>
  <c r="G86" i="27"/>
  <c r="H86" i="27"/>
  <c r="I86" i="27"/>
  <c r="J86" i="27"/>
  <c r="K86" i="27"/>
  <c r="L86" i="27"/>
  <c r="M86" i="27"/>
  <c r="G87" i="27"/>
  <c r="H87" i="27"/>
  <c r="I87" i="27"/>
  <c r="J87" i="27"/>
  <c r="K87" i="27"/>
  <c r="L87" i="27"/>
  <c r="M87" i="27"/>
  <c r="G88" i="27"/>
  <c r="H88" i="27"/>
  <c r="I88" i="27"/>
  <c r="J88" i="27"/>
  <c r="K88" i="27"/>
  <c r="L88" i="27"/>
  <c r="M88" i="27"/>
  <c r="G89" i="27"/>
  <c r="H89" i="27"/>
  <c r="I89" i="27"/>
  <c r="J89" i="27"/>
  <c r="K89" i="27"/>
  <c r="L89" i="27"/>
  <c r="M89" i="27"/>
  <c r="G90" i="27"/>
  <c r="H90" i="27"/>
  <c r="I90" i="27"/>
  <c r="J90" i="27"/>
  <c r="K90" i="27"/>
  <c r="L90" i="27"/>
  <c r="M90" i="27"/>
  <c r="G91" i="27"/>
  <c r="H91" i="27"/>
  <c r="I91" i="27"/>
  <c r="J91" i="27"/>
  <c r="K91" i="27"/>
  <c r="L91" i="27"/>
  <c r="M91" i="27"/>
  <c r="G92" i="27"/>
  <c r="H92" i="27"/>
  <c r="I92" i="27"/>
  <c r="J92" i="27"/>
  <c r="K92" i="27"/>
  <c r="L92" i="27"/>
  <c r="M92" i="27"/>
  <c r="G93" i="27"/>
  <c r="H93" i="27"/>
  <c r="I93" i="27"/>
  <c r="J93" i="27"/>
  <c r="K93" i="27"/>
  <c r="L93" i="27"/>
  <c r="M93" i="27"/>
  <c r="G94" i="27"/>
  <c r="H94" i="27"/>
  <c r="I94" i="27"/>
  <c r="J94" i="27"/>
  <c r="K94" i="27"/>
  <c r="L94" i="27"/>
  <c r="M94" i="27"/>
  <c r="G95" i="27"/>
  <c r="H95" i="27"/>
  <c r="I95" i="27"/>
  <c r="J95" i="27"/>
  <c r="K95" i="27"/>
  <c r="L95" i="27"/>
  <c r="M95" i="27"/>
  <c r="G96" i="27"/>
  <c r="H96" i="27"/>
  <c r="I96" i="27"/>
  <c r="J96" i="27"/>
  <c r="K96" i="27"/>
  <c r="L96" i="27"/>
  <c r="M96" i="27"/>
  <c r="G97" i="27"/>
  <c r="H97" i="27"/>
  <c r="I97" i="27"/>
  <c r="J97" i="27"/>
  <c r="K97" i="27"/>
  <c r="L97" i="27"/>
  <c r="M97" i="27"/>
  <c r="G98" i="27"/>
  <c r="H98" i="27"/>
  <c r="I98" i="27"/>
  <c r="J98" i="27"/>
  <c r="K98" i="27"/>
  <c r="L98" i="27"/>
  <c r="M98" i="27"/>
  <c r="G99" i="27"/>
  <c r="H99" i="27"/>
  <c r="I99" i="27"/>
  <c r="J99" i="27"/>
  <c r="K99" i="27"/>
  <c r="L99" i="27"/>
  <c r="M99" i="27"/>
  <c r="G100" i="27"/>
  <c r="H100" i="27"/>
  <c r="I100" i="27"/>
  <c r="J100" i="27"/>
  <c r="K100" i="27"/>
  <c r="L100" i="27"/>
  <c r="M100" i="27"/>
  <c r="G101" i="27"/>
  <c r="H101" i="27"/>
  <c r="I101" i="27"/>
  <c r="J101" i="27"/>
  <c r="K101" i="27"/>
  <c r="L101" i="27"/>
  <c r="M101" i="27"/>
  <c r="G102" i="27"/>
  <c r="H102" i="27"/>
  <c r="I102" i="27"/>
  <c r="J102" i="27"/>
  <c r="K102" i="27"/>
  <c r="L102" i="27"/>
  <c r="M102" i="27"/>
  <c r="G103" i="27"/>
  <c r="H103" i="27"/>
  <c r="I103" i="27"/>
  <c r="J103" i="27"/>
  <c r="K103" i="27"/>
  <c r="L103" i="27"/>
  <c r="M103" i="27"/>
  <c r="G104" i="27"/>
  <c r="H104" i="27"/>
  <c r="I104" i="27"/>
  <c r="J104" i="27"/>
  <c r="K104" i="27"/>
  <c r="L104" i="27"/>
  <c r="M104" i="27"/>
  <c r="G105" i="27"/>
  <c r="H105" i="27"/>
  <c r="I105" i="27"/>
  <c r="J105" i="27"/>
  <c r="K105" i="27"/>
  <c r="L105" i="27"/>
  <c r="M105" i="27"/>
  <c r="G106" i="27"/>
  <c r="H106" i="27"/>
  <c r="I106" i="27"/>
  <c r="J106" i="27"/>
  <c r="K106" i="27"/>
  <c r="L106" i="27"/>
  <c r="M106" i="27"/>
  <c r="G107" i="27"/>
  <c r="H107" i="27"/>
  <c r="I107" i="27"/>
  <c r="J107" i="27"/>
  <c r="K107" i="27"/>
  <c r="L107" i="27"/>
  <c r="M107" i="27"/>
  <c r="G108" i="27"/>
  <c r="H108" i="27"/>
  <c r="I108" i="27"/>
  <c r="J108" i="27"/>
  <c r="K108" i="27"/>
  <c r="L108" i="27"/>
  <c r="M108" i="27"/>
  <c r="G109" i="27"/>
  <c r="H109" i="27"/>
  <c r="I109" i="27"/>
  <c r="J109" i="27"/>
  <c r="K109" i="27"/>
  <c r="L109" i="27"/>
  <c r="M109" i="27"/>
  <c r="G110" i="27"/>
  <c r="H110" i="27"/>
  <c r="I110" i="27"/>
  <c r="J110" i="27"/>
  <c r="K110" i="27"/>
  <c r="L110" i="27"/>
  <c r="M110" i="27"/>
  <c r="G111" i="27"/>
  <c r="H111" i="27"/>
  <c r="I111" i="27"/>
  <c r="J111" i="27"/>
  <c r="K111" i="27"/>
  <c r="L111" i="27"/>
  <c r="M111" i="27"/>
  <c r="G112" i="27"/>
  <c r="H112" i="27"/>
  <c r="I112" i="27"/>
  <c r="J112" i="27"/>
  <c r="K112" i="27"/>
  <c r="L112" i="27"/>
  <c r="M112" i="27"/>
  <c r="G113" i="27"/>
  <c r="H113" i="27"/>
  <c r="I113" i="27"/>
  <c r="J113" i="27"/>
  <c r="K113" i="27"/>
  <c r="L113" i="27"/>
  <c r="M113" i="27"/>
  <c r="G114" i="27"/>
  <c r="H114" i="27"/>
  <c r="I114" i="27"/>
  <c r="J114" i="27"/>
  <c r="K114" i="27"/>
  <c r="L114" i="27"/>
  <c r="M114" i="27"/>
  <c r="G115" i="27"/>
  <c r="H115" i="27"/>
  <c r="I115" i="27"/>
  <c r="J115" i="27"/>
  <c r="K115" i="27"/>
  <c r="L115" i="27"/>
  <c r="M115" i="27"/>
  <c r="G116" i="27"/>
  <c r="H116" i="27"/>
  <c r="I116" i="27"/>
  <c r="J116" i="27"/>
  <c r="K116" i="27"/>
  <c r="L116" i="27"/>
  <c r="M116" i="27"/>
  <c r="G117" i="27"/>
  <c r="H117" i="27"/>
  <c r="I117" i="27"/>
  <c r="J117" i="27"/>
  <c r="K117" i="27"/>
  <c r="L117" i="27"/>
  <c r="M117" i="27"/>
  <c r="G118" i="27"/>
  <c r="H118" i="27"/>
  <c r="I118" i="27"/>
  <c r="J118" i="27"/>
  <c r="K118" i="27"/>
  <c r="L118" i="27"/>
  <c r="M118" i="27"/>
  <c r="G119" i="27"/>
  <c r="H119" i="27"/>
  <c r="I119" i="27"/>
  <c r="J119" i="27"/>
  <c r="K119" i="27"/>
  <c r="L119" i="27"/>
  <c r="M119" i="27"/>
  <c r="G120" i="27"/>
  <c r="H120" i="27"/>
  <c r="I120" i="27"/>
  <c r="J120" i="27"/>
  <c r="K120" i="27"/>
  <c r="L120" i="27"/>
  <c r="M120" i="27"/>
  <c r="G121" i="27"/>
  <c r="H121" i="27"/>
  <c r="I121" i="27"/>
  <c r="J121" i="27"/>
  <c r="K121" i="27"/>
  <c r="L121" i="27"/>
  <c r="M121" i="27"/>
  <c r="G122" i="27"/>
  <c r="H122" i="27"/>
  <c r="I122" i="27"/>
  <c r="J122" i="27"/>
  <c r="K122" i="27"/>
  <c r="L122" i="27"/>
  <c r="M122" i="27"/>
  <c r="G123" i="27"/>
  <c r="H123" i="27"/>
  <c r="I123" i="27"/>
  <c r="J123" i="27"/>
  <c r="K123" i="27"/>
  <c r="L123" i="27"/>
  <c r="M123" i="27"/>
  <c r="G124" i="27"/>
  <c r="H124" i="27"/>
  <c r="I124" i="27"/>
  <c r="J124" i="27"/>
  <c r="K124" i="27"/>
  <c r="L124" i="27"/>
  <c r="M124" i="27"/>
  <c r="G125" i="27"/>
  <c r="H125" i="27"/>
  <c r="I125" i="27"/>
  <c r="J125" i="27"/>
  <c r="K125" i="27"/>
  <c r="L125" i="27"/>
  <c r="M125" i="27"/>
  <c r="G126" i="27"/>
  <c r="H126" i="27"/>
  <c r="I126" i="27"/>
  <c r="J126" i="27"/>
  <c r="K126" i="27"/>
  <c r="L126" i="27"/>
  <c r="M126" i="27"/>
  <c r="G127" i="27"/>
  <c r="H127" i="27"/>
  <c r="I127" i="27"/>
  <c r="J127" i="27"/>
  <c r="K127" i="27"/>
  <c r="L127" i="27"/>
  <c r="M127" i="27"/>
  <c r="G128" i="27"/>
  <c r="H128" i="27"/>
  <c r="I128" i="27"/>
  <c r="J128" i="27"/>
  <c r="K128" i="27"/>
  <c r="L128" i="27"/>
  <c r="M128" i="27"/>
  <c r="G129" i="27"/>
  <c r="H129" i="27"/>
  <c r="I129" i="27"/>
  <c r="J129" i="27"/>
  <c r="K129" i="27"/>
  <c r="L129" i="27"/>
  <c r="M129" i="27"/>
  <c r="G130" i="27"/>
  <c r="H130" i="27"/>
  <c r="I130" i="27"/>
  <c r="J130" i="27"/>
  <c r="K130" i="27"/>
  <c r="L130" i="27"/>
  <c r="M130" i="27"/>
  <c r="G131" i="27"/>
  <c r="H131" i="27"/>
  <c r="I131" i="27"/>
  <c r="J131" i="27"/>
  <c r="K131" i="27"/>
  <c r="L131" i="27"/>
  <c r="M131" i="27"/>
  <c r="G132" i="27"/>
  <c r="H132" i="27"/>
  <c r="I132" i="27"/>
  <c r="J132" i="27"/>
  <c r="K132" i="27"/>
  <c r="L132" i="27"/>
  <c r="M132" i="27"/>
  <c r="G133" i="27"/>
  <c r="H133" i="27"/>
  <c r="I133" i="27"/>
  <c r="J133" i="27"/>
  <c r="K133" i="27"/>
  <c r="L133" i="27"/>
  <c r="M133" i="27"/>
  <c r="G134" i="27"/>
  <c r="H134" i="27"/>
  <c r="I134" i="27"/>
  <c r="J134" i="27"/>
  <c r="K134" i="27"/>
  <c r="L134" i="27"/>
  <c r="M134" i="27"/>
  <c r="G135" i="27"/>
  <c r="H135" i="27"/>
  <c r="I135" i="27"/>
  <c r="J135" i="27"/>
  <c r="K135" i="27"/>
  <c r="L135" i="27"/>
  <c r="M135" i="27"/>
  <c r="G136" i="27"/>
  <c r="H136" i="27"/>
  <c r="I136" i="27"/>
  <c r="J136" i="27"/>
  <c r="K136" i="27"/>
  <c r="L136" i="27"/>
  <c r="M136" i="27"/>
  <c r="G137" i="27"/>
  <c r="H137" i="27"/>
  <c r="I137" i="27"/>
  <c r="J137" i="27"/>
  <c r="K137" i="27"/>
  <c r="L137" i="27"/>
  <c r="M137" i="27"/>
  <c r="G138" i="27"/>
  <c r="H138" i="27"/>
  <c r="I138" i="27"/>
  <c r="J138" i="27"/>
  <c r="K138" i="27"/>
  <c r="L138" i="27"/>
  <c r="M138" i="27"/>
  <c r="G139" i="27"/>
  <c r="H139" i="27"/>
  <c r="I139" i="27"/>
  <c r="J139" i="27"/>
  <c r="K139" i="27"/>
  <c r="L139" i="27"/>
  <c r="M139" i="27"/>
  <c r="G140" i="27"/>
  <c r="H140" i="27"/>
  <c r="I140" i="27"/>
  <c r="J140" i="27"/>
  <c r="K140" i="27"/>
  <c r="L140" i="27"/>
  <c r="M140" i="27"/>
  <c r="G141" i="27"/>
  <c r="H141" i="27"/>
  <c r="I141" i="27"/>
  <c r="J141" i="27"/>
  <c r="K141" i="27"/>
  <c r="L141" i="27"/>
  <c r="M141" i="27"/>
  <c r="G142" i="27"/>
  <c r="H142" i="27"/>
  <c r="I142" i="27"/>
  <c r="J142" i="27"/>
  <c r="K142" i="27"/>
  <c r="L142" i="27"/>
  <c r="M142" i="27"/>
  <c r="G143" i="27"/>
  <c r="H143" i="27"/>
  <c r="I143" i="27"/>
  <c r="J143" i="27"/>
  <c r="K143" i="27"/>
  <c r="L143" i="27"/>
  <c r="M143" i="27"/>
  <c r="G144" i="27"/>
  <c r="H144" i="27"/>
  <c r="I144" i="27"/>
  <c r="J144" i="27"/>
  <c r="K144" i="27"/>
  <c r="L144" i="27"/>
  <c r="M144" i="27"/>
  <c r="G145" i="27"/>
  <c r="H145" i="27"/>
  <c r="I145" i="27"/>
  <c r="J145" i="27"/>
  <c r="K145" i="27"/>
  <c r="L145" i="27"/>
  <c r="M145" i="27"/>
  <c r="G146" i="27"/>
  <c r="H146" i="27"/>
  <c r="I146" i="27"/>
  <c r="J146" i="27"/>
  <c r="K146" i="27"/>
  <c r="L146" i="27"/>
  <c r="M146" i="27"/>
  <c r="G147" i="27"/>
  <c r="H147" i="27"/>
  <c r="I147" i="27"/>
  <c r="J147" i="27"/>
  <c r="K147" i="27"/>
  <c r="L147" i="27"/>
  <c r="M147" i="27"/>
  <c r="G148" i="27"/>
  <c r="H148" i="27"/>
  <c r="I148" i="27"/>
  <c r="J148" i="27"/>
  <c r="K148" i="27"/>
  <c r="L148" i="27"/>
  <c r="M148" i="27"/>
  <c r="G149" i="27"/>
  <c r="H149" i="27"/>
  <c r="I149" i="27"/>
  <c r="J149" i="27"/>
  <c r="K149" i="27"/>
  <c r="L149" i="27"/>
  <c r="M149" i="27"/>
  <c r="G150" i="27"/>
  <c r="H150" i="27"/>
  <c r="I150" i="27"/>
  <c r="J150" i="27"/>
  <c r="K150" i="27"/>
  <c r="L150" i="27"/>
  <c r="M150" i="27"/>
  <c r="G151" i="27"/>
  <c r="H151" i="27"/>
  <c r="I151" i="27"/>
  <c r="J151" i="27"/>
  <c r="K151" i="27"/>
  <c r="L151" i="27"/>
  <c r="M151" i="27"/>
  <c r="G152" i="27"/>
  <c r="H152" i="27"/>
  <c r="I152" i="27"/>
  <c r="J152" i="27"/>
  <c r="K152" i="27"/>
  <c r="L152" i="27"/>
  <c r="M152" i="27"/>
  <c r="G153" i="27"/>
  <c r="H153" i="27"/>
  <c r="I153" i="27"/>
  <c r="J153" i="27"/>
  <c r="K153" i="27"/>
  <c r="L153" i="27"/>
  <c r="M153" i="27"/>
  <c r="G154" i="27"/>
  <c r="H154" i="27"/>
  <c r="I154" i="27"/>
  <c r="J154" i="27"/>
  <c r="K154" i="27"/>
  <c r="L154" i="27"/>
  <c r="M154" i="27"/>
  <c r="G155" i="27"/>
  <c r="H155" i="27"/>
  <c r="I155" i="27"/>
  <c r="J155" i="27"/>
  <c r="K155" i="27"/>
  <c r="L155" i="27"/>
  <c r="M155" i="27"/>
  <c r="G156" i="27"/>
  <c r="H156" i="27"/>
  <c r="I156" i="27"/>
  <c r="J156" i="27"/>
  <c r="K156" i="27"/>
  <c r="L156" i="27"/>
  <c r="M156" i="27"/>
  <c r="G157" i="27"/>
  <c r="H157" i="27"/>
  <c r="I157" i="27"/>
  <c r="J157" i="27"/>
  <c r="K157" i="27"/>
  <c r="L157" i="27"/>
  <c r="M157" i="27"/>
  <c r="G158" i="27"/>
  <c r="H158" i="27"/>
  <c r="I158" i="27"/>
  <c r="J158" i="27"/>
  <c r="K158" i="27"/>
  <c r="L158" i="27"/>
  <c r="M158" i="27"/>
  <c r="G159" i="27"/>
  <c r="H159" i="27"/>
  <c r="I159" i="27"/>
  <c r="J159" i="27"/>
  <c r="K159" i="27"/>
  <c r="L159" i="27"/>
  <c r="M159" i="27"/>
  <c r="G160" i="27"/>
  <c r="H160" i="27"/>
  <c r="I160" i="27"/>
  <c r="J160" i="27"/>
  <c r="K160" i="27"/>
  <c r="L160" i="27"/>
  <c r="M160" i="27"/>
  <c r="G161" i="27"/>
  <c r="H161" i="27"/>
  <c r="I161" i="27"/>
  <c r="J161" i="27"/>
  <c r="K161" i="27"/>
  <c r="L161" i="27"/>
  <c r="M161" i="27"/>
  <c r="G162" i="27"/>
  <c r="H162" i="27"/>
  <c r="I162" i="27"/>
  <c r="J162" i="27"/>
  <c r="K162" i="27"/>
  <c r="L162" i="27"/>
  <c r="M162" i="27"/>
  <c r="G163" i="27"/>
  <c r="H163" i="27"/>
  <c r="I163" i="27"/>
  <c r="J163" i="27"/>
  <c r="K163" i="27"/>
  <c r="L163" i="27"/>
  <c r="M163" i="27"/>
  <c r="G164" i="27"/>
  <c r="H164" i="27"/>
  <c r="I164" i="27"/>
  <c r="J164" i="27"/>
  <c r="K164" i="27"/>
  <c r="L164" i="27"/>
  <c r="M164" i="27"/>
  <c r="G165" i="27"/>
  <c r="H165" i="27"/>
  <c r="I165" i="27"/>
  <c r="J165" i="27"/>
  <c r="K165" i="27"/>
  <c r="L165" i="27"/>
  <c r="M165" i="27"/>
  <c r="G166" i="27"/>
  <c r="H166" i="27"/>
  <c r="I166" i="27"/>
  <c r="J166" i="27"/>
  <c r="K166" i="27"/>
  <c r="L166" i="27"/>
  <c r="M166" i="27"/>
  <c r="G167" i="27"/>
  <c r="H167" i="27"/>
  <c r="I167" i="27"/>
  <c r="J167" i="27"/>
  <c r="K167" i="27"/>
  <c r="L167" i="27"/>
  <c r="M167" i="27"/>
  <c r="G168" i="27"/>
  <c r="H168" i="27"/>
  <c r="I168" i="27"/>
  <c r="J168" i="27"/>
  <c r="K168" i="27"/>
  <c r="L168" i="27"/>
  <c r="M168" i="27"/>
  <c r="G169" i="27"/>
  <c r="H169" i="27"/>
  <c r="I169" i="27"/>
  <c r="J169" i="27"/>
  <c r="K169" i="27"/>
  <c r="L169" i="27"/>
  <c r="M169" i="27"/>
  <c r="G170" i="27"/>
  <c r="H170" i="27"/>
  <c r="I170" i="27"/>
  <c r="J170" i="27"/>
  <c r="K170" i="27"/>
  <c r="L170" i="27"/>
  <c r="M170" i="27"/>
  <c r="G171" i="27"/>
  <c r="H171" i="27"/>
  <c r="I171" i="27"/>
  <c r="J171" i="27"/>
  <c r="K171" i="27"/>
  <c r="L171" i="27"/>
  <c r="M171" i="27"/>
  <c r="G172" i="27"/>
  <c r="H172" i="27"/>
  <c r="I172" i="27"/>
  <c r="J172" i="27"/>
  <c r="K172" i="27"/>
  <c r="L172" i="27"/>
  <c r="M172" i="27"/>
  <c r="G173" i="27"/>
  <c r="H173" i="27"/>
  <c r="I173" i="27"/>
  <c r="J173" i="27"/>
  <c r="K173" i="27"/>
  <c r="L173" i="27"/>
  <c r="M173" i="27"/>
  <c r="G174" i="27"/>
  <c r="H174" i="27"/>
  <c r="I174" i="27"/>
  <c r="J174" i="27"/>
  <c r="K174" i="27"/>
  <c r="L174" i="27"/>
  <c r="M174" i="27"/>
  <c r="G175" i="27"/>
  <c r="H175" i="27"/>
  <c r="I175" i="27"/>
  <c r="J175" i="27"/>
  <c r="K175" i="27"/>
  <c r="L175" i="27"/>
  <c r="M175" i="27"/>
  <c r="G176" i="27"/>
  <c r="H176" i="27"/>
  <c r="I176" i="27"/>
  <c r="J176" i="27"/>
  <c r="K176" i="27"/>
  <c r="L176" i="27"/>
  <c r="M176" i="27"/>
  <c r="G177" i="27"/>
  <c r="H177" i="27"/>
  <c r="I177" i="27"/>
  <c r="J177" i="27"/>
  <c r="K177" i="27"/>
  <c r="L177" i="27"/>
  <c r="M177" i="27"/>
  <c r="G178" i="27"/>
  <c r="H178" i="27"/>
  <c r="I178" i="27"/>
  <c r="J178" i="27"/>
  <c r="K178" i="27"/>
  <c r="L178" i="27"/>
  <c r="M178" i="27"/>
  <c r="G179" i="27"/>
  <c r="H179" i="27"/>
  <c r="I179" i="27"/>
  <c r="J179" i="27"/>
  <c r="K179" i="27"/>
  <c r="L179" i="27"/>
  <c r="M179" i="27"/>
  <c r="G180" i="27"/>
  <c r="H180" i="27"/>
  <c r="I180" i="27"/>
  <c r="J180" i="27"/>
  <c r="K180" i="27"/>
  <c r="L180" i="27"/>
  <c r="M180" i="27"/>
  <c r="G181" i="27"/>
  <c r="H181" i="27"/>
  <c r="I181" i="27"/>
  <c r="J181" i="27"/>
  <c r="K181" i="27"/>
  <c r="L181" i="27"/>
  <c r="M181" i="27"/>
  <c r="G182" i="27"/>
  <c r="H182" i="27"/>
  <c r="I182" i="27"/>
  <c r="J182" i="27"/>
  <c r="K182" i="27"/>
  <c r="L182" i="27"/>
  <c r="M182" i="27"/>
  <c r="G183" i="27"/>
  <c r="H183" i="27"/>
  <c r="I183" i="27"/>
  <c r="J183" i="27"/>
  <c r="K183" i="27"/>
  <c r="L183" i="27"/>
  <c r="M183" i="27"/>
  <c r="G184" i="27"/>
  <c r="H184" i="27"/>
  <c r="I184" i="27"/>
  <c r="J184" i="27"/>
  <c r="K184" i="27"/>
  <c r="L184" i="27"/>
  <c r="M184" i="27"/>
  <c r="G185" i="27"/>
  <c r="H185" i="27"/>
  <c r="I185" i="27"/>
  <c r="J185" i="27"/>
  <c r="K185" i="27"/>
  <c r="L185" i="27"/>
  <c r="M185" i="27"/>
  <c r="G186" i="27"/>
  <c r="H186" i="27"/>
  <c r="I186" i="27"/>
  <c r="J186" i="27"/>
  <c r="K186" i="27"/>
  <c r="L186" i="27"/>
  <c r="M186" i="27"/>
  <c r="G187" i="27"/>
  <c r="H187" i="27"/>
  <c r="I187" i="27"/>
  <c r="J187" i="27"/>
  <c r="K187" i="27"/>
  <c r="L187" i="27"/>
  <c r="M187" i="27"/>
  <c r="G188" i="27"/>
  <c r="H188" i="27"/>
  <c r="I188" i="27"/>
  <c r="J188" i="27"/>
  <c r="K188" i="27"/>
  <c r="L188" i="27"/>
  <c r="M188" i="27"/>
  <c r="G189" i="27"/>
  <c r="H189" i="27"/>
  <c r="I189" i="27"/>
  <c r="J189" i="27"/>
  <c r="K189" i="27"/>
  <c r="L189" i="27"/>
  <c r="M189" i="27"/>
  <c r="G190" i="27"/>
  <c r="H190" i="27"/>
  <c r="I190" i="27"/>
  <c r="J190" i="27"/>
  <c r="K190" i="27"/>
  <c r="L190" i="27"/>
  <c r="M190" i="27"/>
  <c r="G191" i="27"/>
  <c r="H191" i="27"/>
  <c r="I191" i="27"/>
  <c r="J191" i="27"/>
  <c r="K191" i="27"/>
  <c r="L191" i="27"/>
  <c r="M191" i="27"/>
  <c r="G192" i="27"/>
  <c r="H192" i="27"/>
  <c r="I192" i="27"/>
  <c r="J192" i="27"/>
  <c r="K192" i="27"/>
  <c r="L192" i="27"/>
  <c r="M192" i="27"/>
  <c r="G193" i="27"/>
  <c r="H193" i="27"/>
  <c r="I193" i="27"/>
  <c r="J193" i="27"/>
  <c r="K193" i="27"/>
  <c r="L193" i="27"/>
  <c r="M193" i="27"/>
  <c r="G194" i="27"/>
  <c r="H194" i="27"/>
  <c r="I194" i="27"/>
  <c r="J194" i="27"/>
  <c r="K194" i="27"/>
  <c r="L194" i="27"/>
  <c r="M194" i="27"/>
  <c r="G195" i="27"/>
  <c r="H195" i="27"/>
  <c r="I195" i="27"/>
  <c r="J195" i="27"/>
  <c r="K195" i="27"/>
  <c r="L195" i="27"/>
  <c r="M195" i="27"/>
  <c r="G196" i="27"/>
  <c r="H196" i="27"/>
  <c r="I196" i="27"/>
  <c r="J196" i="27"/>
  <c r="K196" i="27"/>
  <c r="L196" i="27"/>
  <c r="M196" i="27"/>
  <c r="G197" i="27"/>
  <c r="H197" i="27"/>
  <c r="I197" i="27"/>
  <c r="J197" i="27"/>
  <c r="K197" i="27"/>
  <c r="L197" i="27"/>
  <c r="M197" i="27"/>
  <c r="G198" i="27"/>
  <c r="H198" i="27"/>
  <c r="I198" i="27"/>
  <c r="J198" i="27"/>
  <c r="K198" i="27"/>
  <c r="L198" i="27"/>
  <c r="M198" i="27"/>
  <c r="G199" i="27"/>
  <c r="H199" i="27"/>
  <c r="I199" i="27"/>
  <c r="J199" i="27"/>
  <c r="K199" i="27"/>
  <c r="L199" i="27"/>
  <c r="M199" i="27"/>
  <c r="G200" i="27"/>
  <c r="H200" i="27"/>
  <c r="I200" i="27"/>
  <c r="J200" i="27"/>
  <c r="K200" i="27"/>
  <c r="L200" i="27"/>
  <c r="M200" i="27"/>
  <c r="G201" i="27"/>
  <c r="H201" i="27"/>
  <c r="I201" i="27"/>
  <c r="J201" i="27"/>
  <c r="K201" i="27"/>
  <c r="L201" i="27"/>
  <c r="M201" i="27"/>
  <c r="G202" i="27"/>
  <c r="H202" i="27"/>
  <c r="I202" i="27"/>
  <c r="J202" i="27"/>
  <c r="K202" i="27"/>
  <c r="L202" i="27"/>
  <c r="M202" i="27"/>
  <c r="G203" i="27"/>
  <c r="H203" i="27"/>
  <c r="I203" i="27"/>
  <c r="J203" i="27"/>
  <c r="K203" i="27"/>
  <c r="L203" i="27"/>
  <c r="M203" i="27"/>
  <c r="G204" i="27"/>
  <c r="H204" i="27"/>
  <c r="I204" i="27"/>
  <c r="J204" i="27"/>
  <c r="K204" i="27"/>
  <c r="L204" i="27"/>
  <c r="M204" i="27"/>
  <c r="G205" i="27"/>
  <c r="H205" i="27"/>
  <c r="I205" i="27"/>
  <c r="J205" i="27"/>
  <c r="K205" i="27"/>
  <c r="L205" i="27"/>
  <c r="M205" i="27"/>
  <c r="G206" i="27"/>
  <c r="H206" i="27"/>
  <c r="I206" i="27"/>
  <c r="J206" i="27"/>
  <c r="K206" i="27"/>
  <c r="L206" i="27"/>
  <c r="M206" i="27"/>
  <c r="G207" i="27"/>
  <c r="H207" i="27"/>
  <c r="I207" i="27"/>
  <c r="J207" i="27"/>
  <c r="K207" i="27"/>
  <c r="L207" i="27"/>
  <c r="M207" i="27"/>
  <c r="G208" i="27"/>
  <c r="H208" i="27"/>
  <c r="I208" i="27"/>
  <c r="J208" i="27"/>
  <c r="K208" i="27"/>
  <c r="L208" i="27"/>
  <c r="M208" i="27"/>
  <c r="G209" i="27"/>
  <c r="H209" i="27"/>
  <c r="I209" i="27"/>
  <c r="J209" i="27"/>
  <c r="K209" i="27"/>
  <c r="L209" i="27"/>
  <c r="M209" i="27"/>
  <c r="G210" i="27"/>
  <c r="H210" i="27"/>
  <c r="I210" i="27"/>
  <c r="J210" i="27"/>
  <c r="K210" i="27"/>
  <c r="L210" i="27"/>
  <c r="M210" i="27"/>
  <c r="G211" i="27"/>
  <c r="H211" i="27"/>
  <c r="I211" i="27"/>
  <c r="J211" i="27"/>
  <c r="K211" i="27"/>
  <c r="L211" i="27"/>
  <c r="M211" i="27"/>
  <c r="G212" i="27"/>
  <c r="H212" i="27"/>
  <c r="I212" i="27"/>
  <c r="J212" i="27"/>
  <c r="K212" i="27"/>
  <c r="L212" i="27"/>
  <c r="M212" i="27"/>
  <c r="G213" i="27"/>
  <c r="H213" i="27"/>
  <c r="I213" i="27"/>
  <c r="J213" i="27"/>
  <c r="K213" i="27"/>
  <c r="L213" i="27"/>
  <c r="M213" i="27"/>
  <c r="G214" i="27"/>
  <c r="H214" i="27"/>
  <c r="I214" i="27"/>
  <c r="J214" i="27"/>
  <c r="K214" i="27"/>
  <c r="L214" i="27"/>
  <c r="M214" i="27"/>
  <c r="G215" i="27"/>
  <c r="H215" i="27"/>
  <c r="I215" i="27"/>
  <c r="J215" i="27"/>
  <c r="K215" i="27"/>
  <c r="L215" i="27"/>
  <c r="M215" i="27"/>
  <c r="G216" i="27"/>
  <c r="H216" i="27"/>
  <c r="I216" i="27"/>
  <c r="J216" i="27"/>
  <c r="K216" i="27"/>
  <c r="L216" i="27"/>
  <c r="M216" i="27"/>
  <c r="G217" i="27"/>
  <c r="H217" i="27"/>
  <c r="I217" i="27"/>
  <c r="J217" i="27"/>
  <c r="K217" i="27"/>
  <c r="L217" i="27"/>
  <c r="M217" i="27"/>
  <c r="G218" i="27"/>
  <c r="H218" i="27"/>
  <c r="I218" i="27"/>
  <c r="J218" i="27"/>
  <c r="K218" i="27"/>
  <c r="L218" i="27"/>
  <c r="M218" i="27"/>
  <c r="G219" i="27"/>
  <c r="H219" i="27"/>
  <c r="I219" i="27"/>
  <c r="J219" i="27"/>
  <c r="K219" i="27"/>
  <c r="L219" i="27"/>
  <c r="M219" i="27"/>
  <c r="G220" i="27"/>
  <c r="H220" i="27"/>
  <c r="I220" i="27"/>
  <c r="J220" i="27"/>
  <c r="K220" i="27"/>
  <c r="L220" i="27"/>
  <c r="M220" i="27"/>
  <c r="G221" i="27"/>
  <c r="H221" i="27"/>
  <c r="I221" i="27"/>
  <c r="J221" i="27"/>
  <c r="K221" i="27"/>
  <c r="L221" i="27"/>
  <c r="M221" i="27"/>
  <c r="G222" i="27"/>
  <c r="H222" i="27"/>
  <c r="I222" i="27"/>
  <c r="J222" i="27"/>
  <c r="K222" i="27"/>
  <c r="L222" i="27"/>
  <c r="M222" i="27"/>
  <c r="G223" i="27"/>
  <c r="H223" i="27"/>
  <c r="I223" i="27"/>
  <c r="J223" i="27"/>
  <c r="K223" i="27"/>
  <c r="L223" i="27"/>
  <c r="M223" i="27"/>
  <c r="G224" i="27"/>
  <c r="H224" i="27"/>
  <c r="I224" i="27"/>
  <c r="J224" i="27"/>
  <c r="K224" i="27"/>
  <c r="L224" i="27"/>
  <c r="M224" i="27"/>
  <c r="G225" i="27"/>
  <c r="H225" i="27"/>
  <c r="I225" i="27"/>
  <c r="J225" i="27"/>
  <c r="K225" i="27"/>
  <c r="L225" i="27"/>
  <c r="M225" i="27"/>
  <c r="G226" i="27"/>
  <c r="H226" i="27"/>
  <c r="I226" i="27"/>
  <c r="J226" i="27"/>
  <c r="K226" i="27"/>
  <c r="L226" i="27"/>
  <c r="M226" i="27"/>
  <c r="G227" i="27"/>
  <c r="H227" i="27"/>
  <c r="I227" i="27"/>
  <c r="J227" i="27"/>
  <c r="K227" i="27"/>
  <c r="L227" i="27"/>
  <c r="M227" i="27"/>
  <c r="G228" i="27"/>
  <c r="H228" i="27"/>
  <c r="I228" i="27"/>
  <c r="J228" i="27"/>
  <c r="K228" i="27"/>
  <c r="L228" i="27"/>
  <c r="M228" i="27"/>
  <c r="G229" i="27"/>
  <c r="H229" i="27"/>
  <c r="I229" i="27"/>
  <c r="J229" i="27"/>
  <c r="K229" i="27"/>
  <c r="L229" i="27"/>
  <c r="M229" i="27"/>
  <c r="G230" i="27"/>
  <c r="H230" i="27"/>
  <c r="I230" i="27"/>
  <c r="J230" i="27"/>
  <c r="K230" i="27"/>
  <c r="L230" i="27"/>
  <c r="M230" i="27"/>
  <c r="G231" i="27"/>
  <c r="H231" i="27"/>
  <c r="I231" i="27"/>
  <c r="J231" i="27"/>
  <c r="K231" i="27"/>
  <c r="L231" i="27"/>
  <c r="M231" i="27"/>
  <c r="G232" i="27"/>
  <c r="H232" i="27"/>
  <c r="I232" i="27"/>
  <c r="J232" i="27"/>
  <c r="K232" i="27"/>
  <c r="L232" i="27"/>
  <c r="M232" i="27"/>
  <c r="G233" i="27"/>
  <c r="H233" i="27"/>
  <c r="I233" i="27"/>
  <c r="J233" i="27"/>
  <c r="K233" i="27"/>
  <c r="L233" i="27"/>
  <c r="M233" i="27"/>
  <c r="G234" i="27"/>
  <c r="H234" i="27"/>
  <c r="I234" i="27"/>
  <c r="J234" i="27"/>
  <c r="K234" i="27"/>
  <c r="L234" i="27"/>
  <c r="M234" i="27"/>
  <c r="G235" i="27"/>
  <c r="H235" i="27"/>
  <c r="I235" i="27"/>
  <c r="J235" i="27"/>
  <c r="K235" i="27"/>
  <c r="L235" i="27"/>
  <c r="M235" i="27"/>
  <c r="G236" i="27"/>
  <c r="H236" i="27"/>
  <c r="I236" i="27"/>
  <c r="J236" i="27"/>
  <c r="K236" i="27"/>
  <c r="L236" i="27"/>
  <c r="M236" i="27"/>
  <c r="G237" i="27"/>
  <c r="H237" i="27"/>
  <c r="I237" i="27"/>
  <c r="J237" i="27"/>
  <c r="K237" i="27"/>
  <c r="L237" i="27"/>
  <c r="M237" i="27"/>
  <c r="G238" i="27"/>
  <c r="H238" i="27"/>
  <c r="I238" i="27"/>
  <c r="J238" i="27"/>
  <c r="K238" i="27"/>
  <c r="L238" i="27"/>
  <c r="M238" i="27"/>
  <c r="G239" i="27"/>
  <c r="H239" i="27"/>
  <c r="I239" i="27"/>
  <c r="J239" i="27"/>
  <c r="K239" i="27"/>
  <c r="L239" i="27"/>
  <c r="M239" i="27"/>
  <c r="G240" i="27"/>
  <c r="H240" i="27"/>
  <c r="I240" i="27"/>
  <c r="J240" i="27"/>
  <c r="K240" i="27"/>
  <c r="L240" i="27"/>
  <c r="M240" i="27"/>
  <c r="G241" i="27"/>
  <c r="H241" i="27"/>
  <c r="I241" i="27"/>
  <c r="J241" i="27"/>
  <c r="K241" i="27"/>
  <c r="L241" i="27"/>
  <c r="M241" i="27"/>
  <c r="G242" i="27"/>
  <c r="H242" i="27"/>
  <c r="I242" i="27"/>
  <c r="J242" i="27"/>
  <c r="K242" i="27"/>
  <c r="L242" i="27"/>
  <c r="M242" i="27"/>
  <c r="G243" i="27"/>
  <c r="H243" i="27"/>
  <c r="I243" i="27"/>
  <c r="J243" i="27"/>
  <c r="K243" i="27"/>
  <c r="L243" i="27"/>
  <c r="M243" i="27"/>
  <c r="G244" i="27"/>
  <c r="H244" i="27"/>
  <c r="I244" i="27"/>
  <c r="J244" i="27"/>
  <c r="K244" i="27"/>
  <c r="L244" i="27"/>
  <c r="M244" i="27"/>
  <c r="G245" i="27"/>
  <c r="H245" i="27"/>
  <c r="I245" i="27"/>
  <c r="J245" i="27"/>
  <c r="K245" i="27"/>
  <c r="L245" i="27"/>
  <c r="M245" i="27"/>
  <c r="G246" i="27"/>
  <c r="H246" i="27"/>
  <c r="I246" i="27"/>
  <c r="J246" i="27"/>
  <c r="K246" i="27"/>
  <c r="L246" i="27"/>
  <c r="M246" i="27"/>
  <c r="G247" i="27"/>
  <c r="H247" i="27"/>
  <c r="I247" i="27"/>
  <c r="J247" i="27"/>
  <c r="K247" i="27"/>
  <c r="L247" i="27"/>
  <c r="M247" i="27"/>
  <c r="G248" i="27"/>
  <c r="H248" i="27"/>
  <c r="I248" i="27"/>
  <c r="J248" i="27"/>
  <c r="K248" i="27"/>
  <c r="L248" i="27"/>
  <c r="M248" i="27"/>
  <c r="G249" i="27"/>
  <c r="H249" i="27"/>
  <c r="I249" i="27"/>
  <c r="J249" i="27"/>
  <c r="K249" i="27"/>
  <c r="L249" i="27"/>
  <c r="M249" i="27"/>
  <c r="G250" i="27"/>
  <c r="H250" i="27"/>
  <c r="I250" i="27"/>
  <c r="J250" i="27"/>
  <c r="K250" i="27"/>
  <c r="L250" i="27"/>
  <c r="M250" i="27"/>
  <c r="G251" i="27"/>
  <c r="H251" i="27"/>
  <c r="I251" i="27"/>
  <c r="J251" i="27"/>
  <c r="K251" i="27"/>
  <c r="L251" i="27"/>
  <c r="M251" i="27"/>
  <c r="G252" i="27"/>
  <c r="H252" i="27"/>
  <c r="I252" i="27"/>
  <c r="J252" i="27"/>
  <c r="K252" i="27"/>
  <c r="L252" i="27"/>
  <c r="M252" i="27"/>
  <c r="G253" i="27"/>
  <c r="H253" i="27"/>
  <c r="I253" i="27"/>
  <c r="J253" i="27"/>
  <c r="K253" i="27"/>
  <c r="L253" i="27"/>
  <c r="M253" i="27"/>
  <c r="G254" i="27"/>
  <c r="H254" i="27"/>
  <c r="I254" i="27"/>
  <c r="J254" i="27"/>
  <c r="K254" i="27"/>
  <c r="L254" i="27"/>
  <c r="M254" i="27"/>
  <c r="G255" i="27"/>
  <c r="H255" i="27"/>
  <c r="I255" i="27"/>
  <c r="J255" i="27"/>
  <c r="K255" i="27"/>
  <c r="L255" i="27"/>
  <c r="M255" i="27"/>
  <c r="G256" i="27"/>
  <c r="H256" i="27"/>
  <c r="I256" i="27"/>
  <c r="J256" i="27"/>
  <c r="K256" i="27"/>
  <c r="L256" i="27"/>
  <c r="M256" i="27"/>
  <c r="G257" i="27"/>
  <c r="H257" i="27"/>
  <c r="I257" i="27"/>
  <c r="J257" i="27"/>
  <c r="K257" i="27"/>
  <c r="L257" i="27"/>
  <c r="M257" i="27"/>
  <c r="G258" i="27"/>
  <c r="H258" i="27"/>
  <c r="I258" i="27"/>
  <c r="J258" i="27"/>
  <c r="K258" i="27"/>
  <c r="L258" i="27"/>
  <c r="M258" i="27"/>
  <c r="G259" i="27"/>
  <c r="H259" i="27"/>
  <c r="I259" i="27"/>
  <c r="J259" i="27"/>
  <c r="K259" i="27"/>
  <c r="L259" i="27"/>
  <c r="M259" i="27"/>
  <c r="G260" i="27"/>
  <c r="H260" i="27"/>
  <c r="I260" i="27"/>
  <c r="J260" i="27"/>
  <c r="K260" i="27"/>
  <c r="L260" i="27"/>
  <c r="M260" i="27"/>
  <c r="G261" i="27"/>
  <c r="H261" i="27"/>
  <c r="I261" i="27"/>
  <c r="J261" i="27"/>
  <c r="K261" i="27"/>
  <c r="L261" i="27"/>
  <c r="M261" i="27"/>
  <c r="G262" i="27"/>
  <c r="H262" i="27"/>
  <c r="I262" i="27"/>
  <c r="J262" i="27"/>
  <c r="K262" i="27"/>
  <c r="L262" i="27"/>
  <c r="M262" i="27"/>
  <c r="G263" i="27"/>
  <c r="H263" i="27"/>
  <c r="I263" i="27"/>
  <c r="J263" i="27"/>
  <c r="K263" i="27"/>
  <c r="L263" i="27"/>
  <c r="M263" i="27"/>
  <c r="G264" i="27"/>
  <c r="H264" i="27"/>
  <c r="I264" i="27"/>
  <c r="J264" i="27"/>
  <c r="K264" i="27"/>
  <c r="L264" i="27"/>
  <c r="M264" i="27"/>
  <c r="G265" i="27"/>
  <c r="H265" i="27"/>
  <c r="I265" i="27"/>
  <c r="J265" i="27"/>
  <c r="K265" i="27"/>
  <c r="L265" i="27"/>
  <c r="M265" i="27"/>
  <c r="G266" i="27"/>
  <c r="H266" i="27"/>
  <c r="I266" i="27"/>
  <c r="J266" i="27"/>
  <c r="K266" i="27"/>
  <c r="L266" i="27"/>
  <c r="M266" i="27"/>
  <c r="G267" i="27"/>
  <c r="H267" i="27"/>
  <c r="I267" i="27"/>
  <c r="J267" i="27"/>
  <c r="K267" i="27"/>
  <c r="L267" i="27"/>
  <c r="M267" i="27"/>
  <c r="G268" i="27"/>
  <c r="H268" i="27"/>
  <c r="I268" i="27"/>
  <c r="J268" i="27"/>
  <c r="K268" i="27"/>
  <c r="L268" i="27"/>
  <c r="M268" i="27"/>
  <c r="G269" i="27"/>
  <c r="H269" i="27"/>
  <c r="I269" i="27"/>
  <c r="J269" i="27"/>
  <c r="K269" i="27"/>
  <c r="L269" i="27"/>
  <c r="M269" i="27"/>
  <c r="G270" i="27"/>
  <c r="H270" i="27"/>
  <c r="I270" i="27"/>
  <c r="J270" i="27"/>
  <c r="K270" i="27"/>
  <c r="L270" i="27"/>
  <c r="M270" i="27"/>
  <c r="G271" i="27"/>
  <c r="H271" i="27"/>
  <c r="I271" i="27"/>
  <c r="J271" i="27"/>
  <c r="K271" i="27"/>
  <c r="L271" i="27"/>
  <c r="M271" i="27"/>
  <c r="G272" i="27"/>
  <c r="H272" i="27"/>
  <c r="I272" i="27"/>
  <c r="J272" i="27"/>
  <c r="K272" i="27"/>
  <c r="L272" i="27"/>
  <c r="M272" i="27"/>
  <c r="G273" i="27"/>
  <c r="H273" i="27"/>
  <c r="I273" i="27"/>
  <c r="J273" i="27"/>
  <c r="K273" i="27"/>
  <c r="L273" i="27"/>
  <c r="M273" i="27"/>
  <c r="G274" i="27"/>
  <c r="H274" i="27"/>
  <c r="I274" i="27"/>
  <c r="J274" i="27"/>
  <c r="K274" i="27"/>
  <c r="L274" i="27"/>
  <c r="M274" i="27"/>
  <c r="G275" i="27"/>
  <c r="H275" i="27"/>
  <c r="I275" i="27"/>
  <c r="J275" i="27"/>
  <c r="K275" i="27"/>
  <c r="L275" i="27"/>
  <c r="M275" i="27"/>
  <c r="G276" i="27"/>
  <c r="H276" i="27"/>
  <c r="I276" i="27"/>
  <c r="J276" i="27"/>
  <c r="K276" i="27"/>
  <c r="L276" i="27"/>
  <c r="M276" i="27"/>
  <c r="G277" i="27"/>
  <c r="H277" i="27"/>
  <c r="I277" i="27"/>
  <c r="J277" i="27"/>
  <c r="K277" i="27"/>
  <c r="L277" i="27"/>
  <c r="M277" i="27"/>
  <c r="G278" i="27"/>
  <c r="H278" i="27"/>
  <c r="I278" i="27"/>
  <c r="J278" i="27"/>
  <c r="K278" i="27"/>
  <c r="L278" i="27"/>
  <c r="M278" i="27"/>
  <c r="G279" i="27"/>
  <c r="H279" i="27"/>
  <c r="I279" i="27"/>
  <c r="J279" i="27"/>
  <c r="K279" i="27"/>
  <c r="L279" i="27"/>
  <c r="M279" i="27"/>
  <c r="G280" i="27"/>
  <c r="H280" i="27"/>
  <c r="I280" i="27"/>
  <c r="J280" i="27"/>
  <c r="K280" i="27"/>
  <c r="L280" i="27"/>
  <c r="M280" i="27"/>
  <c r="G281" i="27"/>
  <c r="H281" i="27"/>
  <c r="I281" i="27"/>
  <c r="J281" i="27"/>
  <c r="K281" i="27"/>
  <c r="L281" i="27"/>
  <c r="M281" i="27"/>
  <c r="G282" i="27"/>
  <c r="H282" i="27"/>
  <c r="I282" i="27"/>
  <c r="J282" i="27"/>
  <c r="K282" i="27"/>
  <c r="L282" i="27"/>
  <c r="M282" i="27"/>
  <c r="G283" i="27"/>
  <c r="H283" i="27"/>
  <c r="I283" i="27"/>
  <c r="J283" i="27"/>
  <c r="K283" i="27"/>
  <c r="L283" i="27"/>
  <c r="M283" i="27"/>
  <c r="G284" i="27"/>
  <c r="H284" i="27"/>
  <c r="I284" i="27"/>
  <c r="J284" i="27"/>
  <c r="K284" i="27"/>
  <c r="L284" i="27"/>
  <c r="M284" i="27"/>
  <c r="G285" i="27"/>
  <c r="H285" i="27"/>
  <c r="I285" i="27"/>
  <c r="J285" i="27"/>
  <c r="K285" i="27"/>
  <c r="L285" i="27"/>
  <c r="M285" i="27"/>
  <c r="G286" i="27"/>
  <c r="H286" i="27"/>
  <c r="I286" i="27"/>
  <c r="J286" i="27"/>
  <c r="K286" i="27"/>
  <c r="L286" i="27"/>
  <c r="M286" i="27"/>
  <c r="G287" i="27"/>
  <c r="H287" i="27"/>
  <c r="I287" i="27"/>
  <c r="J287" i="27"/>
  <c r="K287" i="27"/>
  <c r="L287" i="27"/>
  <c r="M287" i="27"/>
  <c r="G288" i="27"/>
  <c r="H288" i="27"/>
  <c r="I288" i="27"/>
  <c r="J288" i="27"/>
  <c r="K288" i="27"/>
  <c r="L288" i="27"/>
  <c r="M288" i="27"/>
  <c r="G289" i="27"/>
  <c r="H289" i="27"/>
  <c r="I289" i="27"/>
  <c r="J289" i="27"/>
  <c r="K289" i="27"/>
  <c r="L289" i="27"/>
  <c r="M289" i="27"/>
  <c r="G290" i="27"/>
  <c r="H290" i="27"/>
  <c r="I290" i="27"/>
  <c r="J290" i="27"/>
  <c r="K290" i="27"/>
  <c r="L290" i="27"/>
  <c r="M290" i="27"/>
  <c r="G291" i="27"/>
  <c r="H291" i="27"/>
  <c r="I291" i="27"/>
  <c r="J291" i="27"/>
  <c r="K291" i="27"/>
  <c r="L291" i="27"/>
  <c r="M291" i="27"/>
  <c r="G292" i="27"/>
  <c r="H292" i="27"/>
  <c r="I292" i="27"/>
  <c r="J292" i="27"/>
  <c r="K292" i="27"/>
  <c r="L292" i="27"/>
  <c r="M292" i="27"/>
  <c r="G293" i="27"/>
  <c r="H293" i="27"/>
  <c r="I293" i="27"/>
  <c r="J293" i="27"/>
  <c r="K293" i="27"/>
  <c r="L293" i="27"/>
  <c r="M293" i="27"/>
  <c r="G294" i="27"/>
  <c r="H294" i="27"/>
  <c r="I294" i="27"/>
  <c r="J294" i="27"/>
  <c r="K294" i="27"/>
  <c r="L294" i="27"/>
  <c r="M294" i="27"/>
  <c r="G295" i="27"/>
  <c r="H295" i="27"/>
  <c r="I295" i="27"/>
  <c r="J295" i="27"/>
  <c r="K295" i="27"/>
  <c r="L295" i="27"/>
  <c r="M295" i="27"/>
  <c r="G296" i="27"/>
  <c r="H296" i="27"/>
  <c r="I296" i="27"/>
  <c r="J296" i="27"/>
  <c r="K296" i="27"/>
  <c r="L296" i="27"/>
  <c r="M296" i="27"/>
  <c r="G297" i="27"/>
  <c r="H297" i="27"/>
  <c r="I297" i="27"/>
  <c r="J297" i="27"/>
  <c r="K297" i="27"/>
  <c r="L297" i="27"/>
  <c r="M297" i="27"/>
  <c r="G298" i="27"/>
  <c r="H298" i="27"/>
  <c r="I298" i="27"/>
  <c r="J298" i="27"/>
  <c r="K298" i="27"/>
  <c r="L298" i="27"/>
  <c r="M298" i="27"/>
  <c r="G299" i="27"/>
  <c r="H299" i="27"/>
  <c r="I299" i="27"/>
  <c r="J299" i="27"/>
  <c r="K299" i="27"/>
  <c r="L299" i="27"/>
  <c r="M299" i="27"/>
  <c r="G300" i="27"/>
  <c r="H300" i="27"/>
  <c r="I300" i="27"/>
  <c r="J300" i="27"/>
  <c r="K300" i="27"/>
  <c r="L300" i="27"/>
  <c r="M300" i="27"/>
  <c r="G301" i="27"/>
  <c r="H301" i="27"/>
  <c r="I301" i="27"/>
  <c r="J301" i="27"/>
  <c r="K301" i="27"/>
  <c r="L301" i="27"/>
  <c r="M301" i="27"/>
  <c r="G302" i="27"/>
  <c r="H302" i="27"/>
  <c r="I302" i="27"/>
  <c r="J302" i="27"/>
  <c r="K302" i="27"/>
  <c r="L302" i="27"/>
  <c r="M302" i="27"/>
  <c r="G303" i="27"/>
  <c r="H303" i="27"/>
  <c r="I303" i="27"/>
  <c r="J303" i="27"/>
  <c r="K303" i="27"/>
  <c r="L303" i="27"/>
  <c r="M303" i="27"/>
  <c r="G304" i="27"/>
  <c r="H304" i="27"/>
  <c r="I304" i="27"/>
  <c r="J304" i="27"/>
  <c r="K304" i="27"/>
  <c r="L304" i="27"/>
  <c r="M304" i="27"/>
  <c r="G305" i="27"/>
  <c r="H305" i="27"/>
  <c r="I305" i="27"/>
  <c r="J305" i="27"/>
  <c r="K305" i="27"/>
  <c r="L305" i="27"/>
  <c r="M305" i="27"/>
  <c r="G306" i="27"/>
  <c r="H306" i="27"/>
  <c r="I306" i="27"/>
  <c r="J306" i="27"/>
  <c r="K306" i="27"/>
  <c r="L306" i="27"/>
  <c r="M306" i="27"/>
  <c r="G307" i="27"/>
  <c r="H307" i="27"/>
  <c r="I307" i="27"/>
  <c r="J307" i="27"/>
  <c r="K307" i="27"/>
  <c r="L307" i="27"/>
  <c r="M307" i="27"/>
  <c r="G308" i="27"/>
  <c r="H308" i="27"/>
  <c r="I308" i="27"/>
  <c r="J308" i="27"/>
  <c r="K308" i="27"/>
  <c r="L308" i="27"/>
  <c r="M308" i="27"/>
  <c r="G309" i="27"/>
  <c r="H309" i="27"/>
  <c r="I309" i="27"/>
  <c r="J309" i="27"/>
  <c r="K309" i="27"/>
  <c r="L309" i="27"/>
  <c r="M309" i="27"/>
  <c r="G310" i="27"/>
  <c r="H310" i="27"/>
  <c r="I310" i="27"/>
  <c r="J310" i="27"/>
  <c r="K310" i="27"/>
  <c r="L310" i="27"/>
  <c r="M310" i="27"/>
  <c r="G311" i="27"/>
  <c r="H311" i="27"/>
  <c r="I311" i="27"/>
  <c r="J311" i="27"/>
  <c r="K311" i="27"/>
  <c r="L311" i="27"/>
  <c r="M311" i="27"/>
  <c r="G312" i="27"/>
  <c r="H312" i="27"/>
  <c r="I312" i="27"/>
  <c r="J312" i="27"/>
  <c r="K312" i="27"/>
  <c r="L312" i="27"/>
  <c r="M312" i="27"/>
  <c r="G313" i="27"/>
  <c r="H313" i="27"/>
  <c r="I313" i="27"/>
  <c r="J313" i="27"/>
  <c r="K313" i="27"/>
  <c r="L313" i="27"/>
  <c r="M313" i="27"/>
  <c r="G314" i="27"/>
  <c r="H314" i="27"/>
  <c r="I314" i="27"/>
  <c r="J314" i="27"/>
  <c r="K314" i="27"/>
  <c r="L314" i="27"/>
  <c r="M314" i="27"/>
  <c r="G315" i="27"/>
  <c r="H315" i="27"/>
  <c r="I315" i="27"/>
  <c r="J315" i="27"/>
  <c r="K315" i="27"/>
  <c r="L315" i="27"/>
  <c r="M315" i="27"/>
  <c r="G316" i="27"/>
  <c r="H316" i="27"/>
  <c r="I316" i="27"/>
  <c r="J316" i="27"/>
  <c r="K316" i="27"/>
  <c r="L316" i="27"/>
  <c r="M316" i="27"/>
  <c r="G317" i="27"/>
  <c r="H317" i="27"/>
  <c r="I317" i="27"/>
  <c r="J317" i="27"/>
  <c r="K317" i="27"/>
  <c r="L317" i="27"/>
  <c r="M317" i="27"/>
  <c r="G318" i="27"/>
  <c r="H318" i="27"/>
  <c r="I318" i="27"/>
  <c r="J318" i="27"/>
  <c r="K318" i="27"/>
  <c r="L318" i="27"/>
  <c r="M318" i="27"/>
  <c r="G319" i="27"/>
  <c r="H319" i="27"/>
  <c r="I319" i="27"/>
  <c r="J319" i="27"/>
  <c r="K319" i="27"/>
  <c r="L319" i="27"/>
  <c r="M319" i="27"/>
  <c r="G320" i="27"/>
  <c r="H320" i="27"/>
  <c r="I320" i="27"/>
  <c r="J320" i="27"/>
  <c r="K320" i="27"/>
  <c r="L320" i="27"/>
  <c r="M320" i="27"/>
  <c r="G321" i="27"/>
  <c r="H321" i="27"/>
  <c r="I321" i="27"/>
  <c r="J321" i="27"/>
  <c r="K321" i="27"/>
  <c r="L321" i="27"/>
  <c r="M321" i="27"/>
  <c r="G322" i="27"/>
  <c r="H322" i="27"/>
  <c r="I322" i="27"/>
  <c r="J322" i="27"/>
  <c r="K322" i="27"/>
  <c r="L322" i="27"/>
  <c r="M322" i="27"/>
  <c r="G323" i="27"/>
  <c r="H323" i="27"/>
  <c r="I323" i="27"/>
  <c r="J323" i="27"/>
  <c r="K323" i="27"/>
  <c r="L323" i="27"/>
  <c r="M323" i="27"/>
  <c r="G324" i="27"/>
  <c r="H324" i="27"/>
  <c r="I324" i="27"/>
  <c r="J324" i="27"/>
  <c r="K324" i="27"/>
  <c r="L324" i="27"/>
  <c r="M324" i="27"/>
  <c r="G325" i="27"/>
  <c r="H325" i="27"/>
  <c r="I325" i="27"/>
  <c r="J325" i="27"/>
  <c r="K325" i="27"/>
  <c r="L325" i="27"/>
  <c r="M325" i="27"/>
  <c r="G326" i="27"/>
  <c r="H326" i="27"/>
  <c r="I326" i="27"/>
  <c r="J326" i="27"/>
  <c r="K326" i="27"/>
  <c r="L326" i="27"/>
  <c r="M326" i="27"/>
  <c r="G327" i="27"/>
  <c r="H327" i="27"/>
  <c r="I327" i="27"/>
  <c r="J327" i="27"/>
  <c r="K327" i="27"/>
  <c r="L327" i="27"/>
  <c r="M327" i="27"/>
  <c r="G328" i="27"/>
  <c r="H328" i="27"/>
  <c r="I328" i="27"/>
  <c r="J328" i="27"/>
  <c r="K328" i="27"/>
  <c r="L328" i="27"/>
  <c r="M328" i="27"/>
  <c r="G329" i="27"/>
  <c r="H329" i="27"/>
  <c r="I329" i="27"/>
  <c r="J329" i="27"/>
  <c r="K329" i="27"/>
  <c r="L329" i="27"/>
  <c r="M329" i="27"/>
  <c r="G330" i="27"/>
  <c r="H330" i="27"/>
  <c r="I330" i="27"/>
  <c r="J330" i="27"/>
  <c r="K330" i="27"/>
  <c r="L330" i="27"/>
  <c r="M330" i="27"/>
  <c r="G331" i="27"/>
  <c r="H331" i="27"/>
  <c r="I331" i="27"/>
  <c r="J331" i="27"/>
  <c r="K331" i="27"/>
  <c r="L331" i="27"/>
  <c r="M331" i="27"/>
  <c r="G332" i="27"/>
  <c r="H332" i="27"/>
  <c r="I332" i="27"/>
  <c r="J332" i="27"/>
  <c r="K332" i="27"/>
  <c r="L332" i="27"/>
  <c r="M332" i="27"/>
  <c r="G333" i="27"/>
  <c r="H333" i="27"/>
  <c r="I333" i="27"/>
  <c r="J333" i="27"/>
  <c r="K333" i="27"/>
  <c r="L333" i="27"/>
  <c r="M333" i="27"/>
  <c r="G334" i="27"/>
  <c r="H334" i="27"/>
  <c r="I334" i="27"/>
  <c r="J334" i="27"/>
  <c r="K334" i="27"/>
  <c r="L334" i="27"/>
  <c r="M334" i="27"/>
  <c r="G335" i="27"/>
  <c r="H335" i="27"/>
  <c r="I335" i="27"/>
  <c r="J335" i="27"/>
  <c r="K335" i="27"/>
  <c r="L335" i="27"/>
  <c r="M335" i="27"/>
  <c r="G336" i="27"/>
  <c r="H336" i="27"/>
  <c r="I336" i="27"/>
  <c r="J336" i="27"/>
  <c r="K336" i="27"/>
  <c r="L336" i="27"/>
  <c r="M336" i="27"/>
  <c r="G337" i="27"/>
  <c r="H337" i="27"/>
  <c r="I337" i="27"/>
  <c r="J337" i="27"/>
  <c r="K337" i="27"/>
  <c r="L337" i="27"/>
  <c r="M337" i="27"/>
  <c r="G338" i="27"/>
  <c r="H338" i="27"/>
  <c r="I338" i="27"/>
  <c r="J338" i="27"/>
  <c r="K338" i="27"/>
  <c r="L338" i="27"/>
  <c r="M338" i="27"/>
  <c r="G339" i="27"/>
  <c r="H339" i="27"/>
  <c r="I339" i="27"/>
  <c r="J339" i="27"/>
  <c r="K339" i="27"/>
  <c r="L339" i="27"/>
  <c r="M339" i="27"/>
  <c r="G340" i="27"/>
  <c r="H340" i="27"/>
  <c r="I340" i="27"/>
  <c r="J340" i="27"/>
  <c r="K340" i="27"/>
  <c r="L340" i="27"/>
  <c r="M340" i="27"/>
  <c r="G341" i="27"/>
  <c r="H341" i="27"/>
  <c r="I341" i="27"/>
  <c r="J341" i="27"/>
  <c r="K341" i="27"/>
  <c r="L341" i="27"/>
  <c r="M341" i="27"/>
  <c r="G342" i="27"/>
  <c r="H342" i="27"/>
  <c r="I342" i="27"/>
  <c r="J342" i="27"/>
  <c r="K342" i="27"/>
  <c r="L342" i="27"/>
  <c r="M342" i="27"/>
  <c r="G343" i="27"/>
  <c r="H343" i="27"/>
  <c r="I343" i="27"/>
  <c r="J343" i="27"/>
  <c r="K343" i="27"/>
  <c r="L343" i="27"/>
  <c r="M343" i="27"/>
  <c r="G344" i="27"/>
  <c r="H344" i="27"/>
  <c r="I344" i="27"/>
  <c r="J344" i="27"/>
  <c r="K344" i="27"/>
  <c r="L344" i="27"/>
  <c r="M344" i="27"/>
  <c r="G345" i="27"/>
  <c r="H345" i="27"/>
  <c r="I345" i="27"/>
  <c r="J345" i="27"/>
  <c r="K345" i="27"/>
  <c r="L345" i="27"/>
  <c r="M345" i="27"/>
  <c r="G346" i="27"/>
  <c r="H346" i="27"/>
  <c r="I346" i="27"/>
  <c r="J346" i="27"/>
  <c r="K346" i="27"/>
  <c r="L346" i="27"/>
  <c r="M346" i="27"/>
  <c r="G347" i="27"/>
  <c r="H347" i="27"/>
  <c r="I347" i="27"/>
  <c r="J347" i="27"/>
  <c r="K347" i="27"/>
  <c r="L347" i="27"/>
  <c r="M347" i="27"/>
  <c r="G348" i="27"/>
  <c r="H348" i="27"/>
  <c r="I348" i="27"/>
  <c r="J348" i="27"/>
  <c r="K348" i="27"/>
  <c r="L348" i="27"/>
  <c r="M348" i="27"/>
  <c r="G349" i="27"/>
  <c r="H349" i="27"/>
  <c r="I349" i="27"/>
  <c r="J349" i="27"/>
  <c r="K349" i="27"/>
  <c r="L349" i="27"/>
  <c r="M349" i="27"/>
  <c r="G350" i="27"/>
  <c r="H350" i="27"/>
  <c r="I350" i="27"/>
  <c r="J350" i="27"/>
  <c r="K350" i="27"/>
  <c r="L350" i="27"/>
  <c r="M350" i="27"/>
  <c r="G351" i="27"/>
  <c r="H351" i="27"/>
  <c r="I351" i="27"/>
  <c r="J351" i="27"/>
  <c r="K351" i="27"/>
  <c r="L351" i="27"/>
  <c r="M351" i="27"/>
  <c r="G352" i="27"/>
  <c r="H352" i="27"/>
  <c r="I352" i="27"/>
  <c r="J352" i="27"/>
  <c r="K352" i="27"/>
  <c r="L352" i="27"/>
  <c r="M352" i="27"/>
  <c r="G353" i="27"/>
  <c r="H353" i="27"/>
  <c r="I353" i="27"/>
  <c r="J353" i="27"/>
  <c r="K353" i="27"/>
  <c r="L353" i="27"/>
  <c r="M353" i="27"/>
  <c r="G354" i="27"/>
  <c r="H354" i="27"/>
  <c r="I354" i="27"/>
  <c r="J354" i="27"/>
  <c r="K354" i="27"/>
  <c r="L354" i="27"/>
  <c r="M354" i="27"/>
  <c r="G355" i="27"/>
  <c r="H355" i="27"/>
  <c r="I355" i="27"/>
  <c r="J355" i="27"/>
  <c r="K355" i="27"/>
  <c r="L355" i="27"/>
  <c r="M355" i="27"/>
  <c r="G356" i="27"/>
  <c r="H356" i="27"/>
  <c r="I356" i="27"/>
  <c r="J356" i="27"/>
  <c r="K356" i="27"/>
  <c r="L356" i="27"/>
  <c r="M356" i="27"/>
  <c r="G357" i="27"/>
  <c r="H357" i="27"/>
  <c r="I357" i="27"/>
  <c r="J357" i="27"/>
  <c r="K357" i="27"/>
  <c r="L357" i="27"/>
  <c r="M357" i="27"/>
  <c r="G358" i="27"/>
  <c r="H358" i="27"/>
  <c r="I358" i="27"/>
  <c r="J358" i="27"/>
  <c r="K358" i="27"/>
  <c r="L358" i="27"/>
  <c r="M358" i="27"/>
  <c r="G359" i="27"/>
  <c r="H359" i="27"/>
  <c r="I359" i="27"/>
  <c r="J359" i="27"/>
  <c r="K359" i="27"/>
  <c r="L359" i="27"/>
  <c r="M359" i="27"/>
  <c r="G360" i="27"/>
  <c r="H360" i="27"/>
  <c r="I360" i="27"/>
  <c r="J360" i="27"/>
  <c r="K360" i="27"/>
  <c r="L360" i="27"/>
  <c r="M360" i="27"/>
  <c r="G361" i="27"/>
  <c r="H361" i="27"/>
  <c r="I361" i="27"/>
  <c r="J361" i="27"/>
  <c r="K361" i="27"/>
  <c r="L361" i="27"/>
  <c r="M361" i="27"/>
  <c r="G362" i="27"/>
  <c r="H362" i="27"/>
  <c r="I362" i="27"/>
  <c r="J362" i="27"/>
  <c r="K362" i="27"/>
  <c r="L362" i="27"/>
  <c r="M362" i="27"/>
  <c r="G363" i="27"/>
  <c r="H363" i="27"/>
  <c r="I363" i="27"/>
  <c r="J363" i="27"/>
  <c r="K363" i="27"/>
  <c r="L363" i="27"/>
  <c r="M363" i="27"/>
  <c r="G364" i="27"/>
  <c r="H364" i="27"/>
  <c r="I364" i="27"/>
  <c r="J364" i="27"/>
  <c r="K364" i="27"/>
  <c r="L364" i="27"/>
  <c r="M364" i="27"/>
  <c r="G365" i="27"/>
  <c r="H365" i="27"/>
  <c r="I365" i="27"/>
  <c r="J365" i="27"/>
  <c r="K365" i="27"/>
  <c r="L365" i="27"/>
  <c r="M365" i="27"/>
  <c r="G366" i="27"/>
  <c r="H366" i="27"/>
  <c r="I366" i="27"/>
  <c r="J366" i="27"/>
  <c r="K366" i="27"/>
  <c r="L366" i="27"/>
  <c r="M366" i="27"/>
  <c r="G367" i="27"/>
  <c r="H367" i="27"/>
  <c r="I367" i="27"/>
  <c r="J367" i="27"/>
  <c r="K367" i="27"/>
  <c r="L367" i="27"/>
  <c r="M367" i="27"/>
  <c r="G368" i="27"/>
  <c r="H368" i="27"/>
  <c r="I368" i="27"/>
  <c r="J368" i="27"/>
  <c r="K368" i="27"/>
  <c r="L368" i="27"/>
  <c r="M368" i="27"/>
  <c r="G369" i="27"/>
  <c r="H369" i="27"/>
  <c r="I369" i="27"/>
  <c r="J369" i="27"/>
  <c r="K369" i="27"/>
  <c r="L369" i="27"/>
  <c r="M369" i="27"/>
  <c r="G370" i="27"/>
  <c r="H370" i="27"/>
  <c r="I370" i="27"/>
  <c r="J370" i="27"/>
  <c r="K370" i="27"/>
  <c r="L370" i="27"/>
  <c r="M370" i="27"/>
  <c r="G371" i="27"/>
  <c r="H371" i="27"/>
  <c r="I371" i="27"/>
  <c r="J371" i="27"/>
  <c r="K371" i="27"/>
  <c r="L371" i="27"/>
  <c r="M371" i="27"/>
  <c r="G372" i="27"/>
  <c r="H372" i="27"/>
  <c r="I372" i="27"/>
  <c r="J372" i="27"/>
  <c r="K372" i="27"/>
  <c r="L372" i="27"/>
  <c r="M372" i="27"/>
  <c r="G373" i="27"/>
  <c r="H373" i="27"/>
  <c r="I373" i="27"/>
  <c r="J373" i="27"/>
  <c r="K373" i="27"/>
  <c r="L373" i="27"/>
  <c r="M373" i="27"/>
  <c r="G374" i="27"/>
  <c r="H374" i="27"/>
  <c r="I374" i="27"/>
  <c r="J374" i="27"/>
  <c r="K374" i="27"/>
  <c r="L374" i="27"/>
  <c r="M374" i="27"/>
  <c r="G375" i="27"/>
  <c r="H375" i="27"/>
  <c r="I375" i="27"/>
  <c r="J375" i="27"/>
  <c r="K375" i="27"/>
  <c r="L375" i="27"/>
  <c r="M375" i="27"/>
  <c r="G376" i="27"/>
  <c r="H376" i="27"/>
  <c r="I376" i="27"/>
  <c r="J376" i="27"/>
  <c r="K376" i="27"/>
  <c r="L376" i="27"/>
  <c r="M376" i="27"/>
  <c r="G377" i="27"/>
  <c r="H377" i="27"/>
  <c r="I377" i="27"/>
  <c r="J377" i="27"/>
  <c r="K377" i="27"/>
  <c r="L377" i="27"/>
  <c r="M377" i="27"/>
  <c r="G378" i="27"/>
  <c r="H378" i="27"/>
  <c r="I378" i="27"/>
  <c r="J378" i="27"/>
  <c r="K378" i="27"/>
  <c r="L378" i="27"/>
  <c r="M378" i="27"/>
  <c r="G379" i="27"/>
  <c r="H379" i="27"/>
  <c r="I379" i="27"/>
  <c r="J379" i="27"/>
  <c r="K379" i="27"/>
  <c r="L379" i="27"/>
  <c r="M379" i="27"/>
  <c r="G380" i="27"/>
  <c r="H380" i="27"/>
  <c r="I380" i="27"/>
  <c r="J380" i="27"/>
  <c r="K380" i="27"/>
  <c r="L380" i="27"/>
  <c r="M380" i="27"/>
  <c r="G381" i="27"/>
  <c r="H381" i="27"/>
  <c r="I381" i="27"/>
  <c r="J381" i="27"/>
  <c r="K381" i="27"/>
  <c r="L381" i="27"/>
  <c r="M381" i="27"/>
  <c r="G382" i="27"/>
  <c r="H382" i="27"/>
  <c r="I382" i="27"/>
  <c r="J382" i="27"/>
  <c r="K382" i="27"/>
  <c r="L382" i="27"/>
  <c r="M382" i="27"/>
  <c r="G383" i="27"/>
  <c r="H383" i="27"/>
  <c r="I383" i="27"/>
  <c r="J383" i="27"/>
  <c r="K383" i="27"/>
  <c r="L383" i="27"/>
  <c r="M383" i="27"/>
  <c r="G384" i="27"/>
  <c r="H384" i="27"/>
  <c r="I384" i="27"/>
  <c r="J384" i="27"/>
  <c r="K384" i="27"/>
  <c r="L384" i="27"/>
  <c r="M384" i="27"/>
  <c r="G385" i="27"/>
  <c r="H385" i="27"/>
  <c r="I385" i="27"/>
  <c r="J385" i="27"/>
  <c r="K385" i="27"/>
  <c r="L385" i="27"/>
  <c r="M385" i="27"/>
  <c r="G386" i="27"/>
  <c r="H386" i="27"/>
  <c r="I386" i="27"/>
  <c r="J386" i="27"/>
  <c r="K386" i="27"/>
  <c r="L386" i="27"/>
  <c r="M386" i="27"/>
  <c r="G387" i="27"/>
  <c r="H387" i="27"/>
  <c r="I387" i="27"/>
  <c r="J387" i="27"/>
  <c r="K387" i="27"/>
  <c r="L387" i="27"/>
  <c r="M387" i="27"/>
  <c r="G388" i="27"/>
  <c r="H388" i="27"/>
  <c r="I388" i="27"/>
  <c r="J388" i="27"/>
  <c r="K388" i="27"/>
  <c r="L388" i="27"/>
  <c r="M388" i="27"/>
  <c r="G389" i="27"/>
  <c r="H389" i="27"/>
  <c r="I389" i="27"/>
  <c r="J389" i="27"/>
  <c r="K389" i="27"/>
  <c r="L389" i="27"/>
  <c r="M389" i="27"/>
  <c r="G390" i="27"/>
  <c r="H390" i="27"/>
  <c r="I390" i="27"/>
  <c r="J390" i="27"/>
  <c r="K390" i="27"/>
  <c r="L390" i="27"/>
  <c r="M390" i="27"/>
  <c r="G391" i="27"/>
  <c r="H391" i="27"/>
  <c r="I391" i="27"/>
  <c r="J391" i="27"/>
  <c r="K391" i="27"/>
  <c r="L391" i="27"/>
  <c r="M391" i="27"/>
  <c r="G392" i="27"/>
  <c r="H392" i="27"/>
  <c r="I392" i="27"/>
  <c r="J392" i="27"/>
  <c r="K392" i="27"/>
  <c r="L392" i="27"/>
  <c r="M392" i="27"/>
  <c r="G393" i="27"/>
  <c r="H393" i="27"/>
  <c r="I393" i="27"/>
  <c r="J393" i="27"/>
  <c r="K393" i="27"/>
  <c r="L393" i="27"/>
  <c r="M393" i="27"/>
  <c r="G394" i="27"/>
  <c r="H394" i="27"/>
  <c r="I394" i="27"/>
  <c r="J394" i="27"/>
  <c r="K394" i="27"/>
  <c r="L394" i="27"/>
  <c r="M394" i="27"/>
  <c r="G395" i="27"/>
  <c r="H395" i="27"/>
  <c r="I395" i="27"/>
  <c r="J395" i="27"/>
  <c r="K395" i="27"/>
  <c r="L395" i="27"/>
  <c r="M395" i="27"/>
  <c r="G396" i="27"/>
  <c r="H396" i="27"/>
  <c r="I396" i="27"/>
  <c r="J396" i="27"/>
  <c r="K396" i="27"/>
  <c r="L396" i="27"/>
  <c r="M396" i="27"/>
  <c r="G397" i="27"/>
  <c r="H397" i="27"/>
  <c r="I397" i="27"/>
  <c r="J397" i="27"/>
  <c r="K397" i="27"/>
  <c r="L397" i="27"/>
  <c r="M397" i="27"/>
  <c r="G398" i="27"/>
  <c r="H398" i="27"/>
  <c r="I398" i="27"/>
  <c r="J398" i="27"/>
  <c r="K398" i="27"/>
  <c r="L398" i="27"/>
  <c r="M398" i="27"/>
  <c r="G399" i="27"/>
  <c r="H399" i="27"/>
  <c r="I399" i="27"/>
  <c r="J399" i="27"/>
  <c r="K399" i="27"/>
  <c r="L399" i="27"/>
  <c r="M399" i="27"/>
  <c r="G400" i="27"/>
  <c r="H400" i="27"/>
  <c r="I400" i="27"/>
  <c r="J400" i="27"/>
  <c r="K400" i="27"/>
  <c r="L400" i="27"/>
  <c r="M400" i="27"/>
  <c r="G401" i="27"/>
  <c r="H401" i="27"/>
  <c r="I401" i="27"/>
  <c r="J401" i="27"/>
  <c r="K401" i="27"/>
  <c r="L401" i="27"/>
  <c r="M401" i="27"/>
  <c r="G402" i="27"/>
  <c r="H402" i="27"/>
  <c r="I402" i="27"/>
  <c r="J402" i="27"/>
  <c r="K402" i="27"/>
  <c r="L402" i="27"/>
  <c r="M402" i="27"/>
  <c r="G403" i="27"/>
  <c r="H403" i="27"/>
  <c r="I403" i="27"/>
  <c r="J403" i="27"/>
  <c r="K403" i="27"/>
  <c r="L403" i="27"/>
  <c r="M403" i="27"/>
  <c r="G404" i="27"/>
  <c r="H404" i="27"/>
  <c r="I404" i="27"/>
  <c r="J404" i="27"/>
  <c r="K404" i="27"/>
  <c r="L404" i="27"/>
  <c r="M404" i="27"/>
  <c r="G405" i="27"/>
  <c r="H405" i="27"/>
  <c r="I405" i="27"/>
  <c r="J405" i="27"/>
  <c r="K405" i="27"/>
  <c r="L405" i="27"/>
  <c r="M405" i="27"/>
  <c r="G406" i="27"/>
  <c r="H406" i="27"/>
  <c r="I406" i="27"/>
  <c r="J406" i="27"/>
  <c r="K406" i="27"/>
  <c r="L406" i="27"/>
  <c r="M406" i="27"/>
  <c r="G407" i="27"/>
  <c r="H407" i="27"/>
  <c r="I407" i="27"/>
  <c r="J407" i="27"/>
  <c r="K407" i="27"/>
  <c r="L407" i="27"/>
  <c r="M407" i="27"/>
  <c r="G408" i="27"/>
  <c r="H408" i="27"/>
  <c r="I408" i="27"/>
  <c r="J408" i="27"/>
  <c r="K408" i="27"/>
  <c r="L408" i="27"/>
  <c r="M408" i="27"/>
  <c r="G409" i="27"/>
  <c r="H409" i="27"/>
  <c r="I409" i="27"/>
  <c r="J409" i="27"/>
  <c r="K409" i="27"/>
  <c r="L409" i="27"/>
  <c r="M409" i="27"/>
  <c r="G410" i="27"/>
  <c r="H410" i="27"/>
  <c r="I410" i="27"/>
  <c r="J410" i="27"/>
  <c r="K410" i="27"/>
  <c r="L410" i="27"/>
  <c r="M410" i="27"/>
  <c r="G411" i="27"/>
  <c r="H411" i="27"/>
  <c r="I411" i="27"/>
  <c r="J411" i="27"/>
  <c r="K411" i="27"/>
  <c r="L411" i="27"/>
  <c r="M411" i="27"/>
  <c r="G412" i="27"/>
  <c r="H412" i="27"/>
  <c r="I412" i="27"/>
  <c r="J412" i="27"/>
  <c r="K412" i="27"/>
  <c r="L412" i="27"/>
  <c r="M412" i="27"/>
  <c r="G413" i="27"/>
  <c r="H413" i="27"/>
  <c r="I413" i="27"/>
  <c r="J413" i="27"/>
  <c r="K413" i="27"/>
  <c r="L413" i="27"/>
  <c r="M413" i="27"/>
  <c r="G414" i="27"/>
  <c r="H414" i="27"/>
  <c r="I414" i="27"/>
  <c r="J414" i="27"/>
  <c r="K414" i="27"/>
  <c r="L414" i="27"/>
  <c r="M414" i="27"/>
  <c r="G415" i="27"/>
  <c r="H415" i="27"/>
  <c r="I415" i="27"/>
  <c r="J415" i="27"/>
  <c r="K415" i="27"/>
  <c r="L415" i="27"/>
  <c r="M415" i="27"/>
  <c r="G416" i="27"/>
  <c r="H416" i="27"/>
  <c r="I416" i="27"/>
  <c r="J416" i="27"/>
  <c r="K416" i="27"/>
  <c r="L416" i="27"/>
  <c r="M416" i="27"/>
  <c r="G417" i="27"/>
  <c r="H417" i="27"/>
  <c r="I417" i="27"/>
  <c r="J417" i="27"/>
  <c r="K417" i="27"/>
  <c r="L417" i="27"/>
  <c r="M417" i="27"/>
  <c r="G418" i="27"/>
  <c r="H418" i="27"/>
  <c r="I418" i="27"/>
  <c r="J418" i="27"/>
  <c r="K418" i="27"/>
  <c r="L418" i="27"/>
  <c r="M418" i="27"/>
  <c r="G419" i="27"/>
  <c r="H419" i="27"/>
  <c r="I419" i="27"/>
  <c r="J419" i="27"/>
  <c r="K419" i="27"/>
  <c r="L419" i="27"/>
  <c r="M419" i="27"/>
  <c r="G420" i="27"/>
  <c r="H420" i="27"/>
  <c r="I420" i="27"/>
  <c r="J420" i="27"/>
  <c r="K420" i="27"/>
  <c r="L420" i="27"/>
  <c r="M420" i="27"/>
  <c r="G421" i="27"/>
  <c r="H421" i="27"/>
  <c r="I421" i="27"/>
  <c r="J421" i="27"/>
  <c r="K421" i="27"/>
  <c r="L421" i="27"/>
  <c r="M421" i="27"/>
  <c r="G422" i="27"/>
  <c r="H422" i="27"/>
  <c r="I422" i="27"/>
  <c r="J422" i="27"/>
  <c r="K422" i="27"/>
  <c r="L422" i="27"/>
  <c r="M422" i="27"/>
  <c r="G423" i="27"/>
  <c r="H423" i="27"/>
  <c r="I423" i="27"/>
  <c r="J423" i="27"/>
  <c r="K423" i="27"/>
  <c r="L423" i="27"/>
  <c r="M423" i="27"/>
  <c r="G424" i="27"/>
  <c r="H424" i="27"/>
  <c r="I424" i="27"/>
  <c r="J424" i="27"/>
  <c r="K424" i="27"/>
  <c r="L424" i="27"/>
  <c r="M424" i="27"/>
  <c r="G425" i="27"/>
  <c r="H425" i="27"/>
  <c r="I425" i="27"/>
  <c r="J425" i="27"/>
  <c r="K425" i="27"/>
  <c r="L425" i="27"/>
  <c r="M425" i="27"/>
  <c r="G426" i="27"/>
  <c r="H426" i="27"/>
  <c r="I426" i="27"/>
  <c r="J426" i="27"/>
  <c r="K426" i="27"/>
  <c r="L426" i="27"/>
  <c r="M426" i="27"/>
  <c r="G427" i="27"/>
  <c r="H427" i="27"/>
  <c r="I427" i="27"/>
  <c r="J427" i="27"/>
  <c r="K427" i="27"/>
  <c r="L427" i="27"/>
  <c r="M427" i="27"/>
  <c r="G428" i="27"/>
  <c r="H428" i="27"/>
  <c r="I428" i="27"/>
  <c r="J428" i="27"/>
  <c r="K428" i="27"/>
  <c r="L428" i="27"/>
  <c r="M428" i="27"/>
  <c r="G429" i="27"/>
  <c r="H429" i="27"/>
  <c r="I429" i="27"/>
  <c r="J429" i="27"/>
  <c r="K429" i="27"/>
  <c r="L429" i="27"/>
  <c r="M429" i="27"/>
  <c r="G430" i="27"/>
  <c r="H430" i="27"/>
  <c r="I430" i="27"/>
  <c r="J430" i="27"/>
  <c r="K430" i="27"/>
  <c r="L430" i="27"/>
  <c r="M430" i="27"/>
  <c r="G431" i="27"/>
  <c r="H431" i="27"/>
  <c r="I431" i="27"/>
  <c r="J431" i="27"/>
  <c r="K431" i="27"/>
  <c r="L431" i="27"/>
  <c r="M431" i="27"/>
  <c r="G432" i="27"/>
  <c r="H432" i="27"/>
  <c r="I432" i="27"/>
  <c r="J432" i="27"/>
  <c r="K432" i="27"/>
  <c r="L432" i="27"/>
  <c r="M432" i="27"/>
  <c r="G433" i="27"/>
  <c r="H433" i="27"/>
  <c r="I433" i="27"/>
  <c r="J433" i="27"/>
  <c r="K433" i="27"/>
  <c r="L433" i="27"/>
  <c r="M433" i="27"/>
  <c r="G434" i="27"/>
  <c r="H434" i="27"/>
  <c r="I434" i="27"/>
  <c r="J434" i="27"/>
  <c r="K434" i="27"/>
  <c r="L434" i="27"/>
  <c r="M434" i="27"/>
  <c r="G435" i="27"/>
  <c r="H435" i="27"/>
  <c r="I435" i="27"/>
  <c r="J435" i="27"/>
  <c r="K435" i="27"/>
  <c r="L435" i="27"/>
  <c r="M435" i="27"/>
  <c r="G436" i="27"/>
  <c r="H436" i="27"/>
  <c r="I436" i="27"/>
  <c r="J436" i="27"/>
  <c r="K436" i="27"/>
  <c r="L436" i="27"/>
  <c r="M436" i="27"/>
  <c r="G437" i="27"/>
  <c r="H437" i="27"/>
  <c r="I437" i="27"/>
  <c r="J437" i="27"/>
  <c r="K437" i="27"/>
  <c r="L437" i="27"/>
  <c r="M437" i="27"/>
  <c r="G438" i="27"/>
  <c r="H438" i="27"/>
  <c r="I438" i="27"/>
  <c r="J438" i="27"/>
  <c r="K438" i="27"/>
  <c r="L438" i="27"/>
  <c r="M438" i="27"/>
  <c r="G439" i="27"/>
  <c r="H439" i="27"/>
  <c r="I439" i="27"/>
  <c r="J439" i="27"/>
  <c r="K439" i="27"/>
  <c r="L439" i="27"/>
  <c r="M439" i="27"/>
  <c r="G440" i="27"/>
  <c r="H440" i="27"/>
  <c r="I440" i="27"/>
  <c r="J440" i="27"/>
  <c r="K440" i="27"/>
  <c r="L440" i="27"/>
  <c r="M440" i="27"/>
  <c r="G441" i="27"/>
  <c r="H441" i="27"/>
  <c r="I441" i="27"/>
  <c r="J441" i="27"/>
  <c r="K441" i="27"/>
  <c r="L441" i="27"/>
  <c r="M441" i="27"/>
  <c r="G442" i="27"/>
  <c r="H442" i="27"/>
  <c r="I442" i="27"/>
  <c r="J442" i="27"/>
  <c r="K442" i="27"/>
  <c r="L442" i="27"/>
  <c r="M442" i="27"/>
  <c r="G443" i="27"/>
  <c r="H443" i="27"/>
  <c r="I443" i="27"/>
  <c r="J443" i="27"/>
  <c r="K443" i="27"/>
  <c r="L443" i="27"/>
  <c r="M443" i="27"/>
  <c r="G444" i="27"/>
  <c r="H444" i="27"/>
  <c r="I444" i="27"/>
  <c r="J444" i="27"/>
  <c r="K444" i="27"/>
  <c r="L444" i="27"/>
  <c r="M444" i="27"/>
  <c r="G445" i="27"/>
  <c r="H445" i="27"/>
  <c r="I445" i="27"/>
  <c r="J445" i="27"/>
  <c r="K445" i="27"/>
  <c r="L445" i="27"/>
  <c r="M445" i="27"/>
  <c r="G446" i="27"/>
  <c r="H446" i="27"/>
  <c r="I446" i="27"/>
  <c r="J446" i="27"/>
  <c r="K446" i="27"/>
  <c r="L446" i="27"/>
  <c r="M446" i="27"/>
  <c r="G447" i="27"/>
  <c r="H447" i="27"/>
  <c r="I447" i="27"/>
  <c r="J447" i="27"/>
  <c r="K447" i="27"/>
  <c r="L447" i="27"/>
  <c r="M447" i="27"/>
  <c r="G448" i="27"/>
  <c r="H448" i="27"/>
  <c r="I448" i="27"/>
  <c r="J448" i="27"/>
  <c r="K448" i="27"/>
  <c r="L448" i="27"/>
  <c r="M448" i="27"/>
  <c r="G449" i="27"/>
  <c r="H449" i="27"/>
  <c r="I449" i="27"/>
  <c r="J449" i="27"/>
  <c r="K449" i="27"/>
  <c r="L449" i="27"/>
  <c r="M449" i="27"/>
  <c r="G450" i="27"/>
  <c r="H450" i="27"/>
  <c r="I450" i="27"/>
  <c r="J450" i="27"/>
  <c r="K450" i="27"/>
  <c r="L450" i="27"/>
  <c r="M450" i="27"/>
  <c r="G451" i="27"/>
  <c r="H451" i="27"/>
  <c r="I451" i="27"/>
  <c r="J451" i="27"/>
  <c r="K451" i="27"/>
  <c r="L451" i="27"/>
  <c r="M451" i="27"/>
  <c r="G452" i="27"/>
  <c r="H452" i="27"/>
  <c r="I452" i="27"/>
  <c r="J452" i="27"/>
  <c r="K452" i="27"/>
  <c r="L452" i="27"/>
  <c r="M452" i="27"/>
  <c r="G453" i="27"/>
  <c r="H453" i="27"/>
  <c r="I453" i="27"/>
  <c r="J453" i="27"/>
  <c r="K453" i="27"/>
  <c r="L453" i="27"/>
  <c r="M453" i="27"/>
  <c r="G454" i="27"/>
  <c r="H454" i="27"/>
  <c r="I454" i="27"/>
  <c r="J454" i="27"/>
  <c r="K454" i="27"/>
  <c r="L454" i="27"/>
  <c r="M454" i="27"/>
  <c r="G455" i="27"/>
  <c r="H455" i="27"/>
  <c r="I455" i="27"/>
  <c r="J455" i="27"/>
  <c r="K455" i="27"/>
  <c r="L455" i="27"/>
  <c r="M455" i="27"/>
  <c r="G456" i="27"/>
  <c r="H456" i="27"/>
  <c r="I456" i="27"/>
  <c r="J456" i="27"/>
  <c r="K456" i="27"/>
  <c r="L456" i="27"/>
  <c r="M456" i="27"/>
  <c r="G457" i="27"/>
  <c r="H457" i="27"/>
  <c r="I457" i="27"/>
  <c r="J457" i="27"/>
  <c r="K457" i="27"/>
  <c r="L457" i="27"/>
  <c r="M457" i="27"/>
  <c r="G458" i="27"/>
  <c r="H458" i="27"/>
  <c r="I458" i="27"/>
  <c r="J458" i="27"/>
  <c r="K458" i="27"/>
  <c r="L458" i="27"/>
  <c r="M458" i="27"/>
  <c r="G459" i="27"/>
  <c r="H459" i="27"/>
  <c r="I459" i="27"/>
  <c r="J459" i="27"/>
  <c r="K459" i="27"/>
  <c r="L459" i="27"/>
  <c r="M459" i="27"/>
  <c r="G460" i="27"/>
  <c r="H460" i="27"/>
  <c r="I460" i="27"/>
  <c r="J460" i="27"/>
  <c r="K460" i="27"/>
  <c r="L460" i="27"/>
  <c r="M460" i="27"/>
  <c r="G461" i="27"/>
  <c r="H461" i="27"/>
  <c r="I461" i="27"/>
  <c r="J461" i="27"/>
  <c r="K461" i="27"/>
  <c r="L461" i="27"/>
  <c r="M461" i="27"/>
  <c r="G462" i="27"/>
  <c r="H462" i="27"/>
  <c r="I462" i="27"/>
  <c r="J462" i="27"/>
  <c r="K462" i="27"/>
  <c r="L462" i="27"/>
  <c r="M462" i="27"/>
  <c r="G463" i="27"/>
  <c r="H463" i="27"/>
  <c r="I463" i="27"/>
  <c r="J463" i="27"/>
  <c r="K463" i="27"/>
  <c r="L463" i="27"/>
  <c r="M463" i="27"/>
  <c r="G464" i="27"/>
  <c r="H464" i="27"/>
  <c r="I464" i="27"/>
  <c r="J464" i="27"/>
  <c r="K464" i="27"/>
  <c r="L464" i="27"/>
  <c r="M464" i="27"/>
  <c r="G465" i="27"/>
  <c r="H465" i="27"/>
  <c r="I465" i="27"/>
  <c r="J465" i="27"/>
  <c r="K465" i="27"/>
  <c r="L465" i="27"/>
  <c r="M465" i="27"/>
  <c r="G466" i="27"/>
  <c r="H466" i="27"/>
  <c r="I466" i="27"/>
  <c r="J466" i="27"/>
  <c r="K466" i="27"/>
  <c r="L466" i="27"/>
  <c r="M466" i="27"/>
  <c r="G467" i="27"/>
  <c r="H467" i="27"/>
  <c r="I467" i="27"/>
  <c r="J467" i="27"/>
  <c r="K467" i="27"/>
  <c r="L467" i="27"/>
  <c r="M467" i="27"/>
  <c r="G468" i="27"/>
  <c r="H468" i="27"/>
  <c r="I468" i="27"/>
  <c r="J468" i="27"/>
  <c r="K468" i="27"/>
  <c r="L468" i="27"/>
  <c r="M468" i="27"/>
  <c r="G469" i="27"/>
  <c r="H469" i="27"/>
  <c r="I469" i="27"/>
  <c r="J469" i="27"/>
  <c r="K469" i="27"/>
  <c r="L469" i="27"/>
  <c r="M469" i="27"/>
  <c r="G470" i="27"/>
  <c r="H470" i="27"/>
  <c r="I470" i="27"/>
  <c r="J470" i="27"/>
  <c r="K470" i="27"/>
  <c r="L470" i="27"/>
  <c r="M470" i="27"/>
  <c r="G471" i="27"/>
  <c r="H471" i="27"/>
  <c r="I471" i="27"/>
  <c r="J471" i="27"/>
  <c r="K471" i="27"/>
  <c r="L471" i="27"/>
  <c r="M471" i="27"/>
  <c r="G472" i="27"/>
  <c r="H472" i="27"/>
  <c r="I472" i="27"/>
  <c r="J472" i="27"/>
  <c r="K472" i="27"/>
  <c r="L472" i="27"/>
  <c r="M472" i="27"/>
  <c r="G473" i="27"/>
  <c r="H473" i="27"/>
  <c r="I473" i="27"/>
  <c r="J473" i="27"/>
  <c r="K473" i="27"/>
  <c r="L473" i="27"/>
  <c r="M473" i="27"/>
  <c r="G474" i="27"/>
  <c r="H474" i="27"/>
  <c r="I474" i="27"/>
  <c r="J474" i="27"/>
  <c r="K474" i="27"/>
  <c r="L474" i="27"/>
  <c r="M474" i="27"/>
  <c r="G475" i="27"/>
  <c r="H475" i="27"/>
  <c r="I475" i="27"/>
  <c r="J475" i="27"/>
  <c r="K475" i="27"/>
  <c r="L475" i="27"/>
  <c r="M475" i="27"/>
  <c r="G476" i="27"/>
  <c r="H476" i="27"/>
  <c r="I476" i="27"/>
  <c r="J476" i="27"/>
  <c r="K476" i="27"/>
  <c r="L476" i="27"/>
  <c r="M476" i="27"/>
  <c r="G477" i="27"/>
  <c r="H477" i="27"/>
  <c r="I477" i="27"/>
  <c r="J477" i="27"/>
  <c r="K477" i="27"/>
  <c r="L477" i="27"/>
  <c r="M477" i="27"/>
  <c r="G478" i="27"/>
  <c r="H478" i="27"/>
  <c r="I478" i="27"/>
  <c r="J478" i="27"/>
  <c r="K478" i="27"/>
  <c r="L478" i="27"/>
  <c r="M478" i="27"/>
  <c r="G479" i="27"/>
  <c r="H479" i="27"/>
  <c r="I479" i="27"/>
  <c r="J479" i="27"/>
  <c r="K479" i="27"/>
  <c r="L479" i="27"/>
  <c r="M479" i="27"/>
  <c r="G480" i="27"/>
  <c r="H480" i="27"/>
  <c r="I480" i="27"/>
  <c r="J480" i="27"/>
  <c r="K480" i="27"/>
  <c r="L480" i="27"/>
  <c r="M480" i="27"/>
  <c r="G481" i="27"/>
  <c r="H481" i="27"/>
  <c r="I481" i="27"/>
  <c r="J481" i="27"/>
  <c r="K481" i="27"/>
  <c r="L481" i="27"/>
  <c r="M481" i="27"/>
  <c r="G482" i="27"/>
  <c r="H482" i="27"/>
  <c r="I482" i="27"/>
  <c r="J482" i="27"/>
  <c r="K482" i="27"/>
  <c r="L482" i="27"/>
  <c r="M482" i="27"/>
  <c r="G483" i="27"/>
  <c r="H483" i="27"/>
  <c r="I483" i="27"/>
  <c r="J483" i="27"/>
  <c r="K483" i="27"/>
  <c r="L483" i="27"/>
  <c r="M483" i="27"/>
  <c r="G484" i="27"/>
  <c r="H484" i="27"/>
  <c r="I484" i="27"/>
  <c r="J484" i="27"/>
  <c r="K484" i="27"/>
  <c r="L484" i="27"/>
  <c r="M484" i="27"/>
  <c r="G485" i="27"/>
  <c r="H485" i="27"/>
  <c r="I485" i="27"/>
  <c r="J485" i="27"/>
  <c r="K485" i="27"/>
  <c r="L485" i="27"/>
  <c r="M485" i="27"/>
  <c r="G486" i="27"/>
  <c r="H486" i="27"/>
  <c r="I486" i="27"/>
  <c r="J486" i="27"/>
  <c r="K486" i="27"/>
  <c r="L486" i="27"/>
  <c r="M486" i="27"/>
  <c r="G487" i="27"/>
  <c r="H487" i="27"/>
  <c r="I487" i="27"/>
  <c r="J487" i="27"/>
  <c r="K487" i="27"/>
  <c r="L487" i="27"/>
  <c r="M487" i="27"/>
  <c r="G488" i="27"/>
  <c r="H488" i="27"/>
  <c r="I488" i="27"/>
  <c r="J488" i="27"/>
  <c r="K488" i="27"/>
  <c r="L488" i="27"/>
  <c r="M488" i="27"/>
  <c r="G489" i="27"/>
  <c r="H489" i="27"/>
  <c r="I489" i="27"/>
  <c r="J489" i="27"/>
  <c r="K489" i="27"/>
  <c r="L489" i="27"/>
  <c r="M489" i="27"/>
  <c r="G490" i="27"/>
  <c r="H490" i="27"/>
  <c r="I490" i="27"/>
  <c r="J490" i="27"/>
  <c r="K490" i="27"/>
  <c r="L490" i="27"/>
  <c r="M490" i="27"/>
  <c r="G491" i="27"/>
  <c r="H491" i="27"/>
  <c r="I491" i="27"/>
  <c r="J491" i="27"/>
  <c r="K491" i="27"/>
  <c r="L491" i="27"/>
  <c r="M491" i="27"/>
  <c r="G492" i="27"/>
  <c r="H492" i="27"/>
  <c r="I492" i="27"/>
  <c r="J492" i="27"/>
  <c r="K492" i="27"/>
  <c r="L492" i="27"/>
  <c r="M492" i="27"/>
  <c r="G493" i="27"/>
  <c r="H493" i="27"/>
  <c r="I493" i="27"/>
  <c r="J493" i="27"/>
  <c r="K493" i="27"/>
  <c r="L493" i="27"/>
  <c r="M493" i="27"/>
  <c r="G494" i="27"/>
  <c r="H494" i="27"/>
  <c r="I494" i="27"/>
  <c r="J494" i="27"/>
  <c r="K494" i="27"/>
  <c r="L494" i="27"/>
  <c r="M494" i="27"/>
  <c r="G495" i="27"/>
  <c r="H495" i="27"/>
  <c r="I495" i="27"/>
  <c r="J495" i="27"/>
  <c r="K495" i="27"/>
  <c r="L495" i="27"/>
  <c r="M495" i="27"/>
  <c r="G496" i="27"/>
  <c r="H496" i="27"/>
  <c r="I496" i="27"/>
  <c r="J496" i="27"/>
  <c r="K496" i="27"/>
  <c r="L496" i="27"/>
  <c r="M496" i="27"/>
  <c r="G497" i="27"/>
  <c r="H497" i="27"/>
  <c r="I497" i="27"/>
  <c r="J497" i="27"/>
  <c r="K497" i="27"/>
  <c r="L497" i="27"/>
  <c r="M497" i="27"/>
  <c r="G498" i="27"/>
  <c r="H498" i="27"/>
  <c r="I498" i="27"/>
  <c r="J498" i="27"/>
  <c r="K498" i="27"/>
  <c r="L498" i="27"/>
  <c r="M498" i="27"/>
  <c r="G499" i="27"/>
  <c r="H499" i="27"/>
  <c r="I499" i="27"/>
  <c r="J499" i="27"/>
  <c r="K499" i="27"/>
  <c r="L499" i="27"/>
  <c r="M499" i="27"/>
  <c r="G500" i="27"/>
  <c r="H500" i="27"/>
  <c r="I500" i="27"/>
  <c r="J500" i="27"/>
  <c r="K500" i="27"/>
  <c r="L500" i="27"/>
  <c r="M500" i="27"/>
  <c r="G501" i="27"/>
  <c r="H501" i="27"/>
  <c r="I501" i="27"/>
  <c r="J501" i="27"/>
  <c r="K501" i="27"/>
  <c r="L501" i="27"/>
  <c r="M501" i="27"/>
  <c r="G502" i="27"/>
  <c r="H502" i="27"/>
  <c r="I502" i="27"/>
  <c r="J502" i="27"/>
  <c r="K502" i="27"/>
  <c r="L502" i="27"/>
  <c r="M502" i="27"/>
  <c r="G503" i="27"/>
  <c r="H503" i="27"/>
  <c r="I503" i="27"/>
  <c r="J503" i="27"/>
  <c r="K503" i="27"/>
  <c r="L503" i="27"/>
  <c r="M503" i="27"/>
  <c r="G504" i="27"/>
  <c r="H504" i="27"/>
  <c r="I504" i="27"/>
  <c r="J504" i="27"/>
  <c r="K504" i="27"/>
  <c r="L504" i="27"/>
  <c r="M504" i="27"/>
  <c r="G505" i="27"/>
  <c r="H505" i="27"/>
  <c r="I505" i="27"/>
  <c r="J505" i="27"/>
  <c r="K505" i="27"/>
  <c r="L505" i="27"/>
  <c r="M505" i="27"/>
  <c r="G506" i="27"/>
  <c r="H506" i="27"/>
  <c r="I506" i="27"/>
  <c r="J506" i="27"/>
  <c r="K506" i="27"/>
  <c r="L506" i="27"/>
  <c r="M506" i="27"/>
  <c r="G507" i="27"/>
  <c r="H507" i="27"/>
  <c r="I507" i="27"/>
  <c r="J507" i="27"/>
  <c r="K507" i="27"/>
  <c r="L507" i="27"/>
  <c r="M507" i="27"/>
  <c r="G508" i="27"/>
  <c r="H508" i="27"/>
  <c r="I508" i="27"/>
  <c r="J508" i="27"/>
  <c r="K508" i="27"/>
  <c r="L508" i="27"/>
  <c r="M508" i="27"/>
  <c r="G509" i="27"/>
  <c r="H509" i="27"/>
  <c r="I509" i="27"/>
  <c r="J509" i="27"/>
  <c r="K509" i="27"/>
  <c r="L509" i="27"/>
  <c r="M509" i="27"/>
  <c r="G510" i="27"/>
  <c r="H510" i="27"/>
  <c r="I510" i="27"/>
  <c r="J510" i="27"/>
  <c r="K510" i="27"/>
  <c r="L510" i="27"/>
  <c r="M510" i="27"/>
  <c r="G511" i="27"/>
  <c r="H511" i="27"/>
  <c r="I511" i="27"/>
  <c r="J511" i="27"/>
  <c r="K511" i="27"/>
  <c r="L511" i="27"/>
  <c r="M511" i="27"/>
  <c r="G512" i="27"/>
  <c r="H512" i="27"/>
  <c r="I512" i="27"/>
  <c r="J512" i="27"/>
  <c r="K512" i="27"/>
  <c r="L512" i="27"/>
  <c r="M512" i="27"/>
  <c r="G513" i="27"/>
  <c r="H513" i="27"/>
  <c r="I513" i="27"/>
  <c r="J513" i="27"/>
  <c r="K513" i="27"/>
  <c r="L513" i="27"/>
  <c r="M513" i="27"/>
  <c r="G514" i="27"/>
  <c r="H514" i="27"/>
  <c r="I514" i="27"/>
  <c r="J514" i="27"/>
  <c r="K514" i="27"/>
  <c r="L514" i="27"/>
  <c r="M514" i="27"/>
  <c r="G515" i="27"/>
  <c r="H515" i="27"/>
  <c r="I515" i="27"/>
  <c r="J515" i="27"/>
  <c r="K515" i="27"/>
  <c r="L515" i="27"/>
  <c r="M515" i="27"/>
  <c r="G516" i="27"/>
  <c r="H516" i="27"/>
  <c r="I516" i="27"/>
  <c r="J516" i="27"/>
  <c r="K516" i="27"/>
  <c r="L516" i="27"/>
  <c r="M516" i="27"/>
  <c r="G517" i="27"/>
  <c r="H517" i="27"/>
  <c r="I517" i="27"/>
  <c r="J517" i="27"/>
  <c r="K517" i="27"/>
  <c r="L517" i="27"/>
  <c r="M517" i="27"/>
  <c r="G518" i="27"/>
  <c r="H518" i="27"/>
  <c r="I518" i="27"/>
  <c r="J518" i="27"/>
  <c r="K518" i="27"/>
  <c r="L518" i="27"/>
  <c r="M518" i="27"/>
  <c r="G519" i="27"/>
  <c r="H519" i="27"/>
  <c r="I519" i="27"/>
  <c r="J519" i="27"/>
  <c r="K519" i="27"/>
  <c r="L519" i="27"/>
  <c r="M519" i="27"/>
  <c r="G520" i="27"/>
  <c r="H520" i="27"/>
  <c r="I520" i="27"/>
  <c r="J520" i="27"/>
  <c r="K520" i="27"/>
  <c r="L520" i="27"/>
  <c r="M520" i="27"/>
  <c r="G521" i="27"/>
  <c r="H521" i="27"/>
  <c r="I521" i="27"/>
  <c r="J521" i="27"/>
  <c r="K521" i="27"/>
  <c r="L521" i="27"/>
  <c r="M521" i="27"/>
  <c r="G522" i="27"/>
  <c r="H522" i="27"/>
  <c r="I522" i="27"/>
  <c r="J522" i="27"/>
  <c r="K522" i="27"/>
  <c r="L522" i="27"/>
  <c r="M522" i="27"/>
  <c r="G523" i="27"/>
  <c r="H523" i="27"/>
  <c r="I523" i="27"/>
  <c r="J523" i="27"/>
  <c r="K523" i="27"/>
  <c r="L523" i="27"/>
  <c r="M523" i="27"/>
  <c r="G524" i="27"/>
  <c r="H524" i="27"/>
  <c r="I524" i="27"/>
  <c r="J524" i="27"/>
  <c r="K524" i="27"/>
  <c r="L524" i="27"/>
  <c r="M524" i="27"/>
  <c r="G525" i="27"/>
  <c r="H525" i="27"/>
  <c r="I525" i="27"/>
  <c r="J525" i="27"/>
  <c r="K525" i="27"/>
  <c r="L525" i="27"/>
  <c r="M525" i="27"/>
  <c r="G526" i="27"/>
  <c r="H526" i="27"/>
  <c r="I526" i="27"/>
  <c r="J526" i="27"/>
  <c r="K526" i="27"/>
  <c r="L526" i="27"/>
  <c r="M526" i="27"/>
  <c r="G527" i="27"/>
  <c r="H527" i="27"/>
  <c r="I527" i="27"/>
  <c r="J527" i="27"/>
  <c r="K527" i="27"/>
  <c r="L527" i="27"/>
  <c r="M527" i="27"/>
  <c r="G528" i="27"/>
  <c r="H528" i="27"/>
  <c r="I528" i="27"/>
  <c r="J528" i="27"/>
  <c r="K528" i="27"/>
  <c r="L528" i="27"/>
  <c r="M528" i="27"/>
  <c r="G529" i="27"/>
  <c r="H529" i="27"/>
  <c r="I529" i="27"/>
  <c r="J529" i="27"/>
  <c r="K529" i="27"/>
  <c r="L529" i="27"/>
  <c r="M529" i="27"/>
  <c r="G530" i="27"/>
  <c r="H530" i="27"/>
  <c r="I530" i="27"/>
  <c r="J530" i="27"/>
  <c r="K530" i="27"/>
  <c r="L530" i="27"/>
  <c r="M530" i="27"/>
  <c r="G531" i="27"/>
  <c r="H531" i="27"/>
  <c r="I531" i="27"/>
  <c r="J531" i="27"/>
  <c r="K531" i="27"/>
  <c r="L531" i="27"/>
  <c r="M531" i="27"/>
  <c r="G532" i="27"/>
  <c r="H532" i="27"/>
  <c r="I532" i="27"/>
  <c r="J532" i="27"/>
  <c r="K532" i="27"/>
  <c r="L532" i="27"/>
  <c r="M532" i="27"/>
  <c r="G533" i="27"/>
  <c r="H533" i="27"/>
  <c r="I533" i="27"/>
  <c r="J533" i="27"/>
  <c r="K533" i="27"/>
  <c r="L533" i="27"/>
  <c r="M533" i="27"/>
  <c r="G534" i="27"/>
  <c r="H534" i="27"/>
  <c r="I534" i="27"/>
  <c r="J534" i="27"/>
  <c r="K534" i="27"/>
  <c r="L534" i="27"/>
  <c r="M534" i="27"/>
  <c r="G535" i="27"/>
  <c r="H535" i="27"/>
  <c r="I535" i="27"/>
  <c r="J535" i="27"/>
  <c r="K535" i="27"/>
  <c r="L535" i="27"/>
  <c r="M535" i="27"/>
  <c r="G536" i="27"/>
  <c r="H536" i="27"/>
  <c r="I536" i="27"/>
  <c r="J536" i="27"/>
  <c r="K536" i="27"/>
  <c r="L536" i="27"/>
  <c r="M536" i="27"/>
  <c r="G537" i="27"/>
  <c r="H537" i="27"/>
  <c r="I537" i="27"/>
  <c r="J537" i="27"/>
  <c r="K537" i="27"/>
  <c r="L537" i="27"/>
  <c r="M537" i="27"/>
  <c r="G538" i="27"/>
  <c r="H538" i="27"/>
  <c r="I538" i="27"/>
  <c r="J538" i="27"/>
  <c r="K538" i="27"/>
  <c r="L538" i="27"/>
  <c r="M538" i="27"/>
  <c r="G539" i="27"/>
  <c r="H539" i="27"/>
  <c r="I539" i="27"/>
  <c r="J539" i="27"/>
  <c r="K539" i="27"/>
  <c r="L539" i="27"/>
  <c r="M539" i="27"/>
  <c r="G540" i="27"/>
  <c r="H540" i="27"/>
  <c r="I540" i="27"/>
  <c r="J540" i="27"/>
  <c r="K540" i="27"/>
  <c r="L540" i="27"/>
  <c r="M540" i="27"/>
  <c r="G541" i="27"/>
  <c r="H541" i="27"/>
  <c r="I541" i="27"/>
  <c r="J541" i="27"/>
  <c r="K541" i="27"/>
  <c r="L541" i="27"/>
  <c r="M541" i="27"/>
  <c r="G542" i="27"/>
  <c r="H542" i="27"/>
  <c r="I542" i="27"/>
  <c r="J542" i="27"/>
  <c r="K542" i="27"/>
  <c r="L542" i="27"/>
  <c r="M542" i="27"/>
  <c r="G543" i="27"/>
  <c r="H543" i="27"/>
  <c r="I543" i="27"/>
  <c r="J543" i="27"/>
  <c r="K543" i="27"/>
  <c r="L543" i="27"/>
  <c r="M543" i="27"/>
  <c r="G544" i="27"/>
  <c r="H544" i="27"/>
  <c r="I544" i="27"/>
  <c r="J544" i="27"/>
  <c r="K544" i="27"/>
  <c r="L544" i="27"/>
  <c r="M544" i="27"/>
  <c r="G545" i="27"/>
  <c r="H545" i="27"/>
  <c r="I545" i="27"/>
  <c r="J545" i="27"/>
  <c r="K545" i="27"/>
  <c r="L545" i="27"/>
  <c r="M545" i="27"/>
  <c r="G546" i="27"/>
  <c r="H546" i="27"/>
  <c r="I546" i="27"/>
  <c r="J546" i="27"/>
  <c r="K546" i="27"/>
  <c r="L546" i="27"/>
  <c r="M546" i="27"/>
  <c r="G547" i="27"/>
  <c r="H547" i="27"/>
  <c r="I547" i="27"/>
  <c r="J547" i="27"/>
  <c r="K547" i="27"/>
  <c r="L547" i="27"/>
  <c r="M547" i="27"/>
  <c r="G548" i="27"/>
  <c r="H548" i="27"/>
  <c r="I548" i="27"/>
  <c r="J548" i="27"/>
  <c r="K548" i="27"/>
  <c r="L548" i="27"/>
  <c r="M548" i="27"/>
  <c r="G549" i="27"/>
  <c r="H549" i="27"/>
  <c r="I549" i="27"/>
  <c r="J549" i="27"/>
  <c r="K549" i="27"/>
  <c r="L549" i="27"/>
  <c r="M549" i="27"/>
  <c r="G550" i="27"/>
  <c r="H550" i="27"/>
  <c r="I550" i="27"/>
  <c r="J550" i="27"/>
  <c r="K550" i="27"/>
  <c r="L550" i="27"/>
  <c r="M550" i="27"/>
  <c r="G551" i="27"/>
  <c r="H551" i="27"/>
  <c r="I551" i="27"/>
  <c r="J551" i="27"/>
  <c r="K551" i="27"/>
  <c r="L551" i="27"/>
  <c r="M551" i="27"/>
  <c r="G552" i="27"/>
  <c r="H552" i="27"/>
  <c r="I552" i="27"/>
  <c r="J552" i="27"/>
  <c r="K552" i="27"/>
  <c r="L552" i="27"/>
  <c r="M552" i="27"/>
  <c r="G553" i="27"/>
  <c r="H553" i="27"/>
  <c r="I553" i="27"/>
  <c r="J553" i="27"/>
  <c r="K553" i="27"/>
  <c r="L553" i="27"/>
  <c r="M553" i="27"/>
  <c r="G554" i="27"/>
  <c r="H554" i="27"/>
  <c r="I554" i="27"/>
  <c r="J554" i="27"/>
  <c r="K554" i="27"/>
  <c r="L554" i="27"/>
  <c r="M554" i="27"/>
  <c r="G555" i="27"/>
  <c r="H555" i="27"/>
  <c r="I555" i="27"/>
  <c r="J555" i="27"/>
  <c r="K555" i="27"/>
  <c r="L555" i="27"/>
  <c r="M555" i="27"/>
  <c r="G556" i="27"/>
  <c r="H556" i="27"/>
  <c r="I556" i="27"/>
  <c r="J556" i="27"/>
  <c r="K556" i="27"/>
  <c r="L556" i="27"/>
  <c r="M556" i="27"/>
  <c r="G557" i="27"/>
  <c r="H557" i="27"/>
  <c r="I557" i="27"/>
  <c r="J557" i="27"/>
  <c r="K557" i="27"/>
  <c r="L557" i="27"/>
  <c r="M557" i="27"/>
  <c r="G558" i="27"/>
  <c r="H558" i="27"/>
  <c r="I558" i="27"/>
  <c r="J558" i="27"/>
  <c r="K558" i="27"/>
  <c r="L558" i="27"/>
  <c r="M558" i="27"/>
  <c r="G559" i="27"/>
  <c r="H559" i="27"/>
  <c r="I559" i="27"/>
  <c r="J559" i="27"/>
  <c r="K559" i="27"/>
  <c r="L559" i="27"/>
  <c r="M559" i="27"/>
  <c r="G560" i="27"/>
  <c r="H560" i="27"/>
  <c r="I560" i="27"/>
  <c r="J560" i="27"/>
  <c r="K560" i="27"/>
  <c r="L560" i="27"/>
  <c r="M560" i="27"/>
  <c r="G561" i="27"/>
  <c r="H561" i="27"/>
  <c r="I561" i="27"/>
  <c r="J561" i="27"/>
  <c r="K561" i="27"/>
  <c r="L561" i="27"/>
  <c r="M561" i="27"/>
  <c r="G562" i="27"/>
  <c r="H562" i="27"/>
  <c r="I562" i="27"/>
  <c r="J562" i="27"/>
  <c r="K562" i="27"/>
  <c r="L562" i="27"/>
  <c r="M562" i="27"/>
  <c r="G563" i="27"/>
  <c r="H563" i="27"/>
  <c r="I563" i="27"/>
  <c r="J563" i="27"/>
  <c r="K563" i="27"/>
  <c r="L563" i="27"/>
  <c r="M563" i="27"/>
  <c r="G564" i="27"/>
  <c r="H564" i="27"/>
  <c r="I564" i="27"/>
  <c r="J564" i="27"/>
  <c r="K564" i="27"/>
  <c r="L564" i="27"/>
  <c r="M564" i="27"/>
  <c r="G565" i="27"/>
  <c r="H565" i="27"/>
  <c r="I565" i="27"/>
  <c r="J565" i="27"/>
  <c r="K565" i="27"/>
  <c r="L565" i="27"/>
  <c r="M565" i="27"/>
  <c r="G566" i="27"/>
  <c r="H566" i="27"/>
  <c r="I566" i="27"/>
  <c r="J566" i="27"/>
  <c r="K566" i="27"/>
  <c r="L566" i="27"/>
  <c r="M566" i="27"/>
  <c r="G567" i="27"/>
  <c r="H567" i="27"/>
  <c r="I567" i="27"/>
  <c r="J567" i="27"/>
  <c r="K567" i="27"/>
  <c r="L567" i="27"/>
  <c r="M567" i="27"/>
  <c r="G568" i="27"/>
  <c r="H568" i="27"/>
  <c r="I568" i="27"/>
  <c r="J568" i="27"/>
  <c r="K568" i="27"/>
  <c r="L568" i="27"/>
  <c r="M568" i="27"/>
  <c r="G569" i="27"/>
  <c r="H569" i="27"/>
  <c r="I569" i="27"/>
  <c r="J569" i="27"/>
  <c r="K569" i="27"/>
  <c r="L569" i="27"/>
  <c r="M569" i="27"/>
  <c r="G570" i="27"/>
  <c r="H570" i="27"/>
  <c r="I570" i="27"/>
  <c r="J570" i="27"/>
  <c r="K570" i="27"/>
  <c r="L570" i="27"/>
  <c r="M570" i="27"/>
  <c r="G571" i="27"/>
  <c r="H571" i="27"/>
  <c r="I571" i="27"/>
  <c r="J571" i="27"/>
  <c r="K571" i="27"/>
  <c r="L571" i="27"/>
  <c r="M571" i="27"/>
  <c r="G572" i="27"/>
  <c r="H572" i="27"/>
  <c r="I572" i="27"/>
  <c r="J572" i="27"/>
  <c r="K572" i="27"/>
  <c r="L572" i="27"/>
  <c r="M572" i="27"/>
  <c r="G573" i="27"/>
  <c r="H573" i="27"/>
  <c r="I573" i="27"/>
  <c r="J573" i="27"/>
  <c r="K573" i="27"/>
  <c r="L573" i="27"/>
  <c r="M573" i="27"/>
  <c r="G574" i="27"/>
  <c r="H574" i="27"/>
  <c r="I574" i="27"/>
  <c r="J574" i="27"/>
  <c r="K574" i="27"/>
  <c r="L574" i="27"/>
  <c r="M574" i="27"/>
  <c r="G575" i="27"/>
  <c r="H575" i="27"/>
  <c r="I575" i="27"/>
  <c r="J575" i="27"/>
  <c r="K575" i="27"/>
  <c r="L575" i="27"/>
  <c r="M575" i="27"/>
  <c r="G576" i="27"/>
  <c r="H576" i="27"/>
  <c r="I576" i="27"/>
  <c r="J576" i="27"/>
  <c r="K576" i="27"/>
  <c r="L576" i="27"/>
  <c r="M576" i="27"/>
  <c r="G577" i="27"/>
  <c r="H577" i="27"/>
  <c r="I577" i="27"/>
  <c r="J577" i="27"/>
  <c r="K577" i="27"/>
  <c r="L577" i="27"/>
  <c r="M577" i="27"/>
  <c r="G578" i="27"/>
  <c r="H578" i="27"/>
  <c r="I578" i="27"/>
  <c r="J578" i="27"/>
  <c r="K578" i="27"/>
  <c r="L578" i="27"/>
  <c r="M578" i="27"/>
  <c r="G579" i="27"/>
  <c r="H579" i="27"/>
  <c r="I579" i="27"/>
  <c r="J579" i="27"/>
  <c r="K579" i="27"/>
  <c r="L579" i="27"/>
  <c r="M579" i="27"/>
  <c r="G580" i="27"/>
  <c r="H580" i="27"/>
  <c r="I580" i="27"/>
  <c r="J580" i="27"/>
  <c r="K580" i="27"/>
  <c r="L580" i="27"/>
  <c r="M580" i="27"/>
  <c r="G581" i="27"/>
  <c r="H581" i="27"/>
  <c r="I581" i="27"/>
  <c r="J581" i="27"/>
  <c r="K581" i="27"/>
  <c r="L581" i="27"/>
  <c r="M581" i="27"/>
  <c r="G582" i="27"/>
  <c r="H582" i="27"/>
  <c r="I582" i="27"/>
  <c r="J582" i="27"/>
  <c r="K582" i="27"/>
  <c r="L582" i="27"/>
  <c r="M582" i="27"/>
  <c r="G583" i="27"/>
  <c r="H583" i="27"/>
  <c r="I583" i="27"/>
  <c r="J583" i="27"/>
  <c r="K583" i="27"/>
  <c r="L583" i="27"/>
  <c r="M583" i="27"/>
  <c r="G584" i="27"/>
  <c r="H584" i="27"/>
  <c r="I584" i="27"/>
  <c r="J584" i="27"/>
  <c r="K584" i="27"/>
  <c r="L584" i="27"/>
  <c r="M584" i="27"/>
  <c r="G585" i="27"/>
  <c r="H585" i="27"/>
  <c r="I585" i="27"/>
  <c r="J585" i="27"/>
  <c r="K585" i="27"/>
  <c r="L585" i="27"/>
  <c r="M585" i="27"/>
  <c r="G586" i="27"/>
  <c r="H586" i="27"/>
  <c r="I586" i="27"/>
  <c r="J586" i="27"/>
  <c r="K586" i="27"/>
  <c r="L586" i="27"/>
  <c r="M586" i="27"/>
  <c r="G587" i="27"/>
  <c r="H587" i="27"/>
  <c r="I587" i="27"/>
  <c r="J587" i="27"/>
  <c r="K587" i="27"/>
  <c r="L587" i="27"/>
  <c r="M587" i="27"/>
  <c r="G588" i="27"/>
  <c r="H588" i="27"/>
  <c r="I588" i="27"/>
  <c r="J588" i="27"/>
  <c r="K588" i="27"/>
  <c r="L588" i="27"/>
  <c r="M588" i="27"/>
  <c r="G589" i="27"/>
  <c r="H589" i="27"/>
  <c r="I589" i="27"/>
  <c r="J589" i="27"/>
  <c r="K589" i="27"/>
  <c r="L589" i="27"/>
  <c r="M589" i="27"/>
  <c r="G590" i="27"/>
  <c r="H590" i="27"/>
  <c r="I590" i="27"/>
  <c r="J590" i="27"/>
  <c r="K590" i="27"/>
  <c r="L590" i="27"/>
  <c r="M590" i="27"/>
  <c r="G591" i="27"/>
  <c r="H591" i="27"/>
  <c r="I591" i="27"/>
  <c r="J591" i="27"/>
  <c r="K591" i="27"/>
  <c r="L591" i="27"/>
  <c r="M591" i="27"/>
  <c r="G592" i="27"/>
  <c r="H592" i="27"/>
  <c r="I592" i="27"/>
  <c r="J592" i="27"/>
  <c r="K592" i="27"/>
  <c r="L592" i="27"/>
  <c r="M592" i="27"/>
  <c r="G593" i="27"/>
  <c r="H593" i="27"/>
  <c r="I593" i="27"/>
  <c r="J593" i="27"/>
  <c r="K593" i="27"/>
  <c r="L593" i="27"/>
  <c r="M593" i="27"/>
  <c r="G594" i="27"/>
  <c r="H594" i="27"/>
  <c r="I594" i="27"/>
  <c r="J594" i="27"/>
  <c r="K594" i="27"/>
  <c r="L594" i="27"/>
  <c r="M594" i="27"/>
  <c r="G595" i="27"/>
  <c r="H595" i="27"/>
  <c r="I595" i="27"/>
  <c r="J595" i="27"/>
  <c r="K595" i="27"/>
  <c r="L595" i="27"/>
  <c r="M595" i="27"/>
  <c r="G596" i="27"/>
  <c r="H596" i="27"/>
  <c r="I596" i="27"/>
  <c r="J596" i="27"/>
  <c r="K596" i="27"/>
  <c r="L596" i="27"/>
  <c r="M596" i="27"/>
  <c r="G597" i="27"/>
  <c r="H597" i="27"/>
  <c r="I597" i="27"/>
  <c r="J597" i="27"/>
  <c r="K597" i="27"/>
  <c r="L597" i="27"/>
  <c r="M597" i="27"/>
  <c r="G598" i="27"/>
  <c r="H598" i="27"/>
  <c r="I598" i="27"/>
  <c r="J598" i="27"/>
  <c r="K598" i="27"/>
  <c r="L598" i="27"/>
  <c r="M598" i="27"/>
  <c r="G599" i="27"/>
  <c r="H599" i="27"/>
  <c r="I599" i="27"/>
  <c r="J599" i="27"/>
  <c r="K599" i="27"/>
  <c r="L599" i="27"/>
  <c r="M599" i="27"/>
  <c r="G600" i="27"/>
  <c r="H600" i="27"/>
  <c r="I600" i="27"/>
  <c r="J600" i="27"/>
  <c r="K600" i="27"/>
  <c r="L600" i="27"/>
  <c r="M600" i="27"/>
  <c r="G601" i="27"/>
  <c r="H601" i="27"/>
  <c r="I601" i="27"/>
  <c r="J601" i="27"/>
  <c r="K601" i="27"/>
  <c r="L601" i="27"/>
  <c r="M601" i="27"/>
  <c r="G602" i="27"/>
  <c r="H602" i="27"/>
  <c r="I602" i="27"/>
  <c r="J602" i="27"/>
  <c r="K602" i="27"/>
  <c r="L602" i="27"/>
  <c r="M602" i="27"/>
  <c r="G603" i="27"/>
  <c r="H603" i="27"/>
  <c r="I603" i="27"/>
  <c r="J603" i="27"/>
  <c r="K603" i="27"/>
  <c r="L603" i="27"/>
  <c r="M603" i="27"/>
  <c r="G604" i="27"/>
  <c r="H604" i="27"/>
  <c r="I604" i="27"/>
  <c r="J604" i="27"/>
  <c r="K604" i="27"/>
  <c r="L604" i="27"/>
  <c r="M604" i="27"/>
  <c r="G605" i="27"/>
  <c r="H605" i="27"/>
  <c r="I605" i="27"/>
  <c r="J605" i="27"/>
  <c r="K605" i="27"/>
  <c r="L605" i="27"/>
  <c r="M605" i="27"/>
  <c r="G606" i="27"/>
  <c r="H606" i="27"/>
  <c r="I606" i="27"/>
  <c r="J606" i="27"/>
  <c r="K606" i="27"/>
  <c r="L606" i="27"/>
  <c r="M606" i="27"/>
  <c r="G607" i="27"/>
  <c r="H607" i="27"/>
  <c r="I607" i="27"/>
  <c r="J607" i="27"/>
  <c r="K607" i="27"/>
  <c r="L607" i="27"/>
  <c r="M607" i="27"/>
  <c r="G608" i="27"/>
  <c r="H608" i="27"/>
  <c r="I608" i="27"/>
  <c r="J608" i="27"/>
  <c r="K608" i="27"/>
  <c r="L608" i="27"/>
  <c r="M608" i="27"/>
  <c r="G609" i="27"/>
  <c r="H609" i="27"/>
  <c r="I609" i="27"/>
  <c r="J609" i="27"/>
  <c r="K609" i="27"/>
  <c r="L609" i="27"/>
  <c r="M609" i="27"/>
  <c r="G610" i="27"/>
  <c r="H610" i="27"/>
  <c r="I610" i="27"/>
  <c r="J610" i="27"/>
  <c r="K610" i="27"/>
  <c r="L610" i="27"/>
  <c r="M610" i="27"/>
  <c r="G611" i="27"/>
  <c r="H611" i="27"/>
  <c r="I611" i="27"/>
  <c r="J611" i="27"/>
  <c r="K611" i="27"/>
  <c r="L611" i="27"/>
  <c r="M611" i="27"/>
  <c r="G612" i="27"/>
  <c r="H612" i="27"/>
  <c r="I612" i="27"/>
  <c r="J612" i="27"/>
  <c r="K612" i="27"/>
  <c r="L612" i="27"/>
  <c r="M612" i="27"/>
  <c r="G613" i="27"/>
  <c r="H613" i="27"/>
  <c r="I613" i="27"/>
  <c r="J613" i="27"/>
  <c r="K613" i="27"/>
  <c r="L613" i="27"/>
  <c r="M613" i="27"/>
  <c r="G614" i="27"/>
  <c r="H614" i="27"/>
  <c r="I614" i="27"/>
  <c r="J614" i="27"/>
  <c r="K614" i="27"/>
  <c r="L614" i="27"/>
  <c r="M614" i="27"/>
  <c r="G615" i="27"/>
  <c r="H615" i="27"/>
  <c r="I615" i="27"/>
  <c r="J615" i="27"/>
  <c r="K615" i="27"/>
  <c r="L615" i="27"/>
  <c r="M615" i="27"/>
  <c r="G616" i="27"/>
  <c r="H616" i="27"/>
  <c r="I616" i="27"/>
  <c r="J616" i="27"/>
  <c r="K616" i="27"/>
  <c r="L616" i="27"/>
  <c r="M616" i="27"/>
  <c r="G617" i="27"/>
  <c r="H617" i="27"/>
  <c r="I617" i="27"/>
  <c r="J617" i="27"/>
  <c r="K617" i="27"/>
  <c r="L617" i="27"/>
  <c r="M617" i="27"/>
  <c r="G618" i="27"/>
  <c r="H618" i="27"/>
  <c r="I618" i="27"/>
  <c r="J618" i="27"/>
  <c r="K618" i="27"/>
  <c r="L618" i="27"/>
  <c r="M618" i="27"/>
  <c r="G619" i="27"/>
  <c r="H619" i="27"/>
  <c r="I619" i="27"/>
  <c r="J619" i="27"/>
  <c r="K619" i="27"/>
  <c r="L619" i="27"/>
  <c r="M619" i="27"/>
  <c r="G620" i="27"/>
  <c r="H620" i="27"/>
  <c r="I620" i="27"/>
  <c r="J620" i="27"/>
  <c r="K620" i="27"/>
  <c r="L620" i="27"/>
  <c r="M620" i="27"/>
  <c r="G621" i="27"/>
  <c r="H621" i="27"/>
  <c r="I621" i="27"/>
  <c r="J621" i="27"/>
  <c r="K621" i="27"/>
  <c r="L621" i="27"/>
  <c r="M621" i="27"/>
  <c r="G622" i="27"/>
  <c r="H622" i="27"/>
  <c r="I622" i="27"/>
  <c r="J622" i="27"/>
  <c r="K622" i="27"/>
  <c r="L622" i="27"/>
  <c r="M622" i="27"/>
  <c r="G623" i="27"/>
  <c r="H623" i="27"/>
  <c r="I623" i="27"/>
  <c r="J623" i="27"/>
  <c r="K623" i="27"/>
  <c r="L623" i="27"/>
  <c r="M623" i="27"/>
  <c r="G624" i="27"/>
  <c r="H624" i="27"/>
  <c r="I624" i="27"/>
  <c r="J624" i="27"/>
  <c r="K624" i="27"/>
  <c r="L624" i="27"/>
  <c r="M624" i="27"/>
  <c r="G625" i="27"/>
  <c r="H625" i="27"/>
  <c r="I625" i="27"/>
  <c r="J625" i="27"/>
  <c r="K625" i="27"/>
  <c r="L625" i="27"/>
  <c r="M625" i="27"/>
  <c r="G626" i="27"/>
  <c r="H626" i="27"/>
  <c r="I626" i="27"/>
  <c r="J626" i="27"/>
  <c r="K626" i="27"/>
  <c r="L626" i="27"/>
  <c r="M626" i="27"/>
  <c r="G627" i="27"/>
  <c r="H627" i="27"/>
  <c r="I627" i="27"/>
  <c r="J627" i="27"/>
  <c r="K627" i="27"/>
  <c r="L627" i="27"/>
  <c r="M627" i="27"/>
  <c r="G628" i="27"/>
  <c r="H628" i="27"/>
  <c r="I628" i="27"/>
  <c r="J628" i="27"/>
  <c r="K628" i="27"/>
  <c r="L628" i="27"/>
  <c r="M628" i="27"/>
  <c r="G629" i="27"/>
  <c r="H629" i="27"/>
  <c r="I629" i="27"/>
  <c r="J629" i="27"/>
  <c r="K629" i="27"/>
  <c r="L629" i="27"/>
  <c r="M629" i="27"/>
  <c r="G630" i="27"/>
  <c r="H630" i="27"/>
  <c r="I630" i="27"/>
  <c r="J630" i="27"/>
  <c r="K630" i="27"/>
  <c r="L630" i="27"/>
  <c r="M630" i="27"/>
  <c r="G631" i="27"/>
  <c r="H631" i="27"/>
  <c r="I631" i="27"/>
  <c r="J631" i="27"/>
  <c r="K631" i="27"/>
  <c r="L631" i="27"/>
  <c r="M631" i="27"/>
  <c r="G632" i="27"/>
  <c r="H632" i="27"/>
  <c r="I632" i="27"/>
  <c r="J632" i="27"/>
  <c r="K632" i="27"/>
  <c r="L632" i="27"/>
  <c r="M632" i="27"/>
  <c r="G633" i="27"/>
  <c r="H633" i="27"/>
  <c r="I633" i="27"/>
  <c r="J633" i="27"/>
  <c r="K633" i="27"/>
  <c r="L633" i="27"/>
  <c r="M633" i="27"/>
  <c r="G634" i="27"/>
  <c r="H634" i="27"/>
  <c r="I634" i="27"/>
  <c r="J634" i="27"/>
  <c r="K634" i="27"/>
  <c r="L634" i="27"/>
  <c r="M634" i="27"/>
  <c r="G635" i="27"/>
  <c r="H635" i="27"/>
  <c r="I635" i="27"/>
  <c r="J635" i="27"/>
  <c r="K635" i="27"/>
  <c r="L635" i="27"/>
  <c r="M635" i="27"/>
  <c r="G636" i="27"/>
  <c r="H636" i="27"/>
  <c r="I636" i="27"/>
  <c r="J636" i="27"/>
  <c r="K636" i="27"/>
  <c r="L636" i="27"/>
  <c r="M636" i="27"/>
  <c r="G637" i="27"/>
  <c r="H637" i="27"/>
  <c r="I637" i="27"/>
  <c r="J637" i="27"/>
  <c r="K637" i="27"/>
  <c r="L637" i="27"/>
  <c r="M637" i="27"/>
  <c r="G638" i="27"/>
  <c r="H638" i="27"/>
  <c r="I638" i="27"/>
  <c r="J638" i="27"/>
  <c r="K638" i="27"/>
  <c r="L638" i="27"/>
  <c r="M638" i="27"/>
  <c r="G639" i="27"/>
  <c r="H639" i="27"/>
  <c r="I639" i="27"/>
  <c r="J639" i="27"/>
  <c r="K639" i="27"/>
  <c r="L639" i="27"/>
  <c r="M639" i="27"/>
  <c r="G640" i="27"/>
  <c r="H640" i="27"/>
  <c r="I640" i="27"/>
  <c r="J640" i="27"/>
  <c r="K640" i="27"/>
  <c r="L640" i="27"/>
  <c r="M640" i="27"/>
  <c r="G641" i="27"/>
  <c r="H641" i="27"/>
  <c r="I641" i="27"/>
  <c r="J641" i="27"/>
  <c r="K641" i="27"/>
  <c r="L641" i="27"/>
  <c r="M641" i="27"/>
  <c r="G642" i="27"/>
  <c r="H642" i="27"/>
  <c r="I642" i="27"/>
  <c r="J642" i="27"/>
  <c r="K642" i="27"/>
  <c r="L642" i="27"/>
  <c r="M642" i="27"/>
  <c r="G643" i="27"/>
  <c r="H643" i="27"/>
  <c r="I643" i="27"/>
  <c r="J643" i="27"/>
  <c r="K643" i="27"/>
  <c r="L643" i="27"/>
  <c r="M643" i="27"/>
  <c r="G644" i="27"/>
  <c r="H644" i="27"/>
  <c r="I644" i="27"/>
  <c r="J644" i="27"/>
  <c r="K644" i="27"/>
  <c r="L644" i="27"/>
  <c r="M644" i="27"/>
  <c r="G645" i="27"/>
  <c r="H645" i="27"/>
  <c r="I645" i="27"/>
  <c r="J645" i="27"/>
  <c r="K645" i="27"/>
  <c r="L645" i="27"/>
  <c r="M645" i="27"/>
  <c r="G646" i="27"/>
  <c r="H646" i="27"/>
  <c r="I646" i="27"/>
  <c r="J646" i="27"/>
  <c r="K646" i="27"/>
  <c r="L646" i="27"/>
  <c r="M646" i="27"/>
  <c r="G647" i="27"/>
  <c r="H647" i="27"/>
  <c r="I647" i="27"/>
  <c r="J647" i="27"/>
  <c r="K647" i="27"/>
  <c r="L647" i="27"/>
  <c r="M647" i="27"/>
  <c r="G648" i="27"/>
  <c r="H648" i="27"/>
  <c r="I648" i="27"/>
  <c r="J648" i="27"/>
  <c r="K648" i="27"/>
  <c r="L648" i="27"/>
  <c r="M648" i="27"/>
  <c r="G649" i="27"/>
  <c r="H649" i="27"/>
  <c r="I649" i="27"/>
  <c r="J649" i="27"/>
  <c r="K649" i="27"/>
  <c r="L649" i="27"/>
  <c r="M649" i="27"/>
  <c r="G650" i="27"/>
  <c r="H650" i="27"/>
  <c r="I650" i="27"/>
  <c r="J650" i="27"/>
  <c r="K650" i="27"/>
  <c r="L650" i="27"/>
  <c r="M650" i="27"/>
  <c r="G651" i="27"/>
  <c r="H651" i="27"/>
  <c r="I651" i="27"/>
  <c r="J651" i="27"/>
  <c r="K651" i="27"/>
  <c r="L651" i="27"/>
  <c r="M651" i="27"/>
  <c r="G652" i="27"/>
  <c r="H652" i="27"/>
  <c r="I652" i="27"/>
  <c r="J652" i="27"/>
  <c r="K652" i="27"/>
  <c r="L652" i="27"/>
  <c r="M652" i="27"/>
  <c r="G653" i="27"/>
  <c r="H653" i="27"/>
  <c r="I653" i="27"/>
  <c r="J653" i="27"/>
  <c r="K653" i="27"/>
  <c r="L653" i="27"/>
  <c r="M653" i="27"/>
  <c r="G654" i="27"/>
  <c r="H654" i="27"/>
  <c r="I654" i="27"/>
  <c r="J654" i="27"/>
  <c r="K654" i="27"/>
  <c r="L654" i="27"/>
  <c r="M654" i="27"/>
  <c r="G655" i="27"/>
  <c r="H655" i="27"/>
  <c r="I655" i="27"/>
  <c r="J655" i="27"/>
  <c r="K655" i="27"/>
  <c r="L655" i="27"/>
  <c r="M655" i="27"/>
  <c r="G656" i="27"/>
  <c r="H656" i="27"/>
  <c r="I656" i="27"/>
  <c r="J656" i="27"/>
  <c r="K656" i="27"/>
  <c r="L656" i="27"/>
  <c r="M656" i="27"/>
  <c r="G657" i="27"/>
  <c r="H657" i="27"/>
  <c r="I657" i="27"/>
  <c r="J657" i="27"/>
  <c r="K657" i="27"/>
  <c r="L657" i="27"/>
  <c r="M657" i="27"/>
  <c r="G658" i="27"/>
  <c r="H658" i="27"/>
  <c r="I658" i="27"/>
  <c r="J658" i="27"/>
  <c r="K658" i="27"/>
  <c r="L658" i="27"/>
  <c r="M658" i="27"/>
  <c r="G659" i="27"/>
  <c r="H659" i="27"/>
  <c r="I659" i="27"/>
  <c r="J659" i="27"/>
  <c r="K659" i="27"/>
  <c r="L659" i="27"/>
  <c r="M659" i="27"/>
  <c r="G660" i="27"/>
  <c r="H660" i="27"/>
  <c r="I660" i="27"/>
  <c r="J660" i="27"/>
  <c r="K660" i="27"/>
  <c r="L660" i="27"/>
  <c r="M660" i="27"/>
  <c r="G661" i="27"/>
  <c r="H661" i="27"/>
  <c r="I661" i="27"/>
  <c r="J661" i="27"/>
  <c r="K661" i="27"/>
  <c r="L661" i="27"/>
  <c r="M661" i="27"/>
  <c r="G662" i="27"/>
  <c r="H662" i="27"/>
  <c r="I662" i="27"/>
  <c r="J662" i="27"/>
  <c r="K662" i="27"/>
  <c r="L662" i="27"/>
  <c r="M662" i="27"/>
  <c r="G663" i="27"/>
  <c r="H663" i="27"/>
  <c r="I663" i="27"/>
  <c r="J663" i="27"/>
  <c r="K663" i="27"/>
  <c r="L663" i="27"/>
  <c r="M663" i="27"/>
  <c r="G664" i="27"/>
  <c r="H664" i="27"/>
  <c r="I664" i="27"/>
  <c r="J664" i="27"/>
  <c r="K664" i="27"/>
  <c r="L664" i="27"/>
  <c r="M664" i="27"/>
  <c r="G665" i="27"/>
  <c r="H665" i="27"/>
  <c r="I665" i="27"/>
  <c r="J665" i="27"/>
  <c r="K665" i="27"/>
  <c r="L665" i="27"/>
  <c r="M665" i="27"/>
  <c r="G666" i="27"/>
  <c r="H666" i="27"/>
  <c r="I666" i="27"/>
  <c r="J666" i="27"/>
  <c r="K666" i="27"/>
  <c r="L666" i="27"/>
  <c r="M666" i="27"/>
  <c r="G667" i="27"/>
  <c r="H667" i="27"/>
  <c r="I667" i="27"/>
  <c r="J667" i="27"/>
  <c r="K667" i="27"/>
  <c r="L667" i="27"/>
  <c r="M667" i="27"/>
  <c r="G668" i="27"/>
  <c r="H668" i="27"/>
  <c r="I668" i="27"/>
  <c r="J668" i="27"/>
  <c r="K668" i="27"/>
  <c r="L668" i="27"/>
  <c r="M668" i="27"/>
  <c r="G669" i="27"/>
  <c r="H669" i="27"/>
  <c r="I669" i="27"/>
  <c r="J669" i="27"/>
  <c r="K669" i="27"/>
  <c r="L669" i="27"/>
  <c r="M669" i="27"/>
  <c r="G670" i="27"/>
  <c r="H670" i="27"/>
  <c r="I670" i="27"/>
  <c r="J670" i="27"/>
  <c r="K670" i="27"/>
  <c r="L670" i="27"/>
  <c r="M670" i="27"/>
  <c r="G671" i="27"/>
  <c r="H671" i="27"/>
  <c r="I671" i="27"/>
  <c r="J671" i="27"/>
  <c r="K671" i="27"/>
  <c r="L671" i="27"/>
  <c r="M671" i="27"/>
  <c r="G672" i="27"/>
  <c r="H672" i="27"/>
  <c r="I672" i="27"/>
  <c r="J672" i="27"/>
  <c r="K672" i="27"/>
  <c r="L672" i="27"/>
  <c r="M672" i="27"/>
  <c r="G673" i="27"/>
  <c r="H673" i="27"/>
  <c r="I673" i="27"/>
  <c r="J673" i="27"/>
  <c r="K673" i="27"/>
  <c r="L673" i="27"/>
  <c r="M673" i="27"/>
  <c r="G674" i="27"/>
  <c r="H674" i="27"/>
  <c r="I674" i="27"/>
  <c r="J674" i="27"/>
  <c r="K674" i="27"/>
  <c r="L674" i="27"/>
  <c r="M674" i="27"/>
  <c r="G675" i="27"/>
  <c r="H675" i="27"/>
  <c r="I675" i="27"/>
  <c r="J675" i="27"/>
  <c r="K675" i="27"/>
  <c r="L675" i="27"/>
  <c r="M675" i="27"/>
  <c r="G676" i="27"/>
  <c r="H676" i="27"/>
  <c r="I676" i="27"/>
  <c r="J676" i="27"/>
  <c r="K676" i="27"/>
  <c r="L676" i="27"/>
  <c r="M676" i="27"/>
  <c r="G677" i="27"/>
  <c r="H677" i="27"/>
  <c r="I677" i="27"/>
  <c r="J677" i="27"/>
  <c r="K677" i="27"/>
  <c r="L677" i="27"/>
  <c r="M677" i="27"/>
  <c r="G678" i="27"/>
  <c r="H678" i="27"/>
  <c r="I678" i="27"/>
  <c r="J678" i="27"/>
  <c r="K678" i="27"/>
  <c r="L678" i="27"/>
  <c r="M678" i="27"/>
  <c r="G679" i="27"/>
  <c r="H679" i="27"/>
  <c r="I679" i="27"/>
  <c r="J679" i="27"/>
  <c r="K679" i="27"/>
  <c r="L679" i="27"/>
  <c r="M679" i="27"/>
  <c r="G680" i="27"/>
  <c r="H680" i="27"/>
  <c r="I680" i="27"/>
  <c r="J680" i="27"/>
  <c r="K680" i="27"/>
  <c r="L680" i="27"/>
  <c r="M680" i="27"/>
  <c r="G681" i="27"/>
  <c r="H681" i="27"/>
  <c r="I681" i="27"/>
  <c r="J681" i="27"/>
  <c r="K681" i="27"/>
  <c r="L681" i="27"/>
  <c r="M681" i="27"/>
  <c r="G682" i="27"/>
  <c r="H682" i="27"/>
  <c r="I682" i="27"/>
  <c r="J682" i="27"/>
  <c r="K682" i="27"/>
  <c r="L682" i="27"/>
  <c r="M682" i="27"/>
  <c r="G683" i="27"/>
  <c r="H683" i="27"/>
  <c r="I683" i="27"/>
  <c r="J683" i="27"/>
  <c r="K683" i="27"/>
  <c r="L683" i="27"/>
  <c r="M683" i="27"/>
  <c r="G684" i="27"/>
  <c r="H684" i="27"/>
  <c r="I684" i="27"/>
  <c r="J684" i="27"/>
  <c r="K684" i="27"/>
  <c r="L684" i="27"/>
  <c r="M684" i="27"/>
  <c r="G685" i="27"/>
  <c r="H685" i="27"/>
  <c r="I685" i="27"/>
  <c r="J685" i="27"/>
  <c r="K685" i="27"/>
  <c r="L685" i="27"/>
  <c r="M685" i="27"/>
  <c r="G686" i="27"/>
  <c r="H686" i="27"/>
  <c r="I686" i="27"/>
  <c r="J686" i="27"/>
  <c r="K686" i="27"/>
  <c r="L686" i="27"/>
  <c r="M686" i="27"/>
  <c r="G687" i="27"/>
  <c r="H687" i="27"/>
  <c r="I687" i="27"/>
  <c r="J687" i="27"/>
  <c r="K687" i="27"/>
  <c r="L687" i="27"/>
  <c r="M687" i="27"/>
  <c r="G688" i="27"/>
  <c r="H688" i="27"/>
  <c r="I688" i="27"/>
  <c r="J688" i="27"/>
  <c r="K688" i="27"/>
  <c r="L688" i="27"/>
  <c r="M688" i="27"/>
  <c r="G689" i="27"/>
  <c r="H689" i="27"/>
  <c r="I689" i="27"/>
  <c r="J689" i="27"/>
  <c r="K689" i="27"/>
  <c r="L689" i="27"/>
  <c r="M689" i="27"/>
  <c r="G690" i="27"/>
  <c r="H690" i="27"/>
  <c r="I690" i="27"/>
  <c r="J690" i="27"/>
  <c r="K690" i="27"/>
  <c r="L690" i="27"/>
  <c r="M690" i="27"/>
  <c r="G691" i="27"/>
  <c r="H691" i="27"/>
  <c r="I691" i="27"/>
  <c r="J691" i="27"/>
  <c r="K691" i="27"/>
  <c r="L691" i="27"/>
  <c r="M691" i="27"/>
  <c r="G692" i="27"/>
  <c r="H692" i="27"/>
  <c r="I692" i="27"/>
  <c r="J692" i="27"/>
  <c r="K692" i="27"/>
  <c r="L692" i="27"/>
  <c r="M692" i="27"/>
  <c r="G693" i="27"/>
  <c r="H693" i="27"/>
  <c r="I693" i="27"/>
  <c r="J693" i="27"/>
  <c r="K693" i="27"/>
  <c r="L693" i="27"/>
  <c r="M693" i="27"/>
  <c r="G694" i="27"/>
  <c r="H694" i="27"/>
  <c r="I694" i="27"/>
  <c r="J694" i="27"/>
  <c r="K694" i="27"/>
  <c r="L694" i="27"/>
  <c r="M694" i="27"/>
  <c r="G695" i="27"/>
  <c r="H695" i="27"/>
  <c r="I695" i="27"/>
  <c r="J695" i="27"/>
  <c r="K695" i="27"/>
  <c r="L695" i="27"/>
  <c r="M695" i="27"/>
  <c r="G696" i="27"/>
  <c r="H696" i="27"/>
  <c r="I696" i="27"/>
  <c r="J696" i="27"/>
  <c r="K696" i="27"/>
  <c r="L696" i="27"/>
  <c r="M696" i="27"/>
  <c r="G697" i="27"/>
  <c r="H697" i="27"/>
  <c r="I697" i="27"/>
  <c r="J697" i="27"/>
  <c r="K697" i="27"/>
  <c r="L697" i="27"/>
  <c r="M697" i="27"/>
  <c r="G698" i="27"/>
  <c r="H698" i="27"/>
  <c r="I698" i="27"/>
  <c r="J698" i="27"/>
  <c r="K698" i="27"/>
  <c r="L698" i="27"/>
  <c r="M698" i="27"/>
  <c r="G699" i="27"/>
  <c r="H699" i="27"/>
  <c r="I699" i="27"/>
  <c r="J699" i="27"/>
  <c r="K699" i="27"/>
  <c r="L699" i="27"/>
  <c r="M699" i="27"/>
  <c r="G700" i="27"/>
  <c r="H700" i="27"/>
  <c r="I700" i="27"/>
  <c r="J700" i="27"/>
  <c r="K700" i="27"/>
  <c r="L700" i="27"/>
  <c r="M700" i="27"/>
  <c r="G701" i="27"/>
  <c r="H701" i="27"/>
  <c r="I701" i="27"/>
  <c r="J701" i="27"/>
  <c r="K701" i="27"/>
  <c r="L701" i="27"/>
  <c r="M701" i="27"/>
  <c r="G702" i="27"/>
  <c r="H702" i="27"/>
  <c r="I702" i="27"/>
  <c r="J702" i="27"/>
  <c r="K702" i="27"/>
  <c r="L702" i="27"/>
  <c r="M702" i="27"/>
  <c r="G703" i="27"/>
  <c r="H703" i="27"/>
  <c r="I703" i="27"/>
  <c r="J703" i="27"/>
  <c r="K703" i="27"/>
  <c r="L703" i="27"/>
  <c r="M703" i="27"/>
  <c r="G704" i="27"/>
  <c r="H704" i="27"/>
  <c r="I704" i="27"/>
  <c r="J704" i="27"/>
  <c r="K704" i="27"/>
  <c r="L704" i="27"/>
  <c r="M704" i="27"/>
  <c r="G705" i="27"/>
  <c r="H705" i="27"/>
  <c r="I705" i="27"/>
  <c r="J705" i="27"/>
  <c r="K705" i="27"/>
  <c r="L705" i="27"/>
  <c r="M705" i="27"/>
  <c r="G706" i="27"/>
  <c r="H706" i="27"/>
  <c r="I706" i="27"/>
  <c r="J706" i="27"/>
  <c r="K706" i="27"/>
  <c r="L706" i="27"/>
  <c r="M706" i="27"/>
  <c r="G707" i="27"/>
  <c r="H707" i="27"/>
  <c r="I707" i="27"/>
  <c r="J707" i="27"/>
  <c r="K707" i="27"/>
  <c r="L707" i="27"/>
  <c r="M707" i="27"/>
  <c r="G708" i="27"/>
  <c r="H708" i="27"/>
  <c r="I708" i="27"/>
  <c r="J708" i="27"/>
  <c r="K708" i="27"/>
  <c r="L708" i="27"/>
  <c r="M708" i="27"/>
  <c r="G709" i="27"/>
  <c r="H709" i="27"/>
  <c r="I709" i="27"/>
  <c r="J709" i="27"/>
  <c r="K709" i="27"/>
  <c r="L709" i="27"/>
  <c r="M709" i="27"/>
  <c r="G710" i="27"/>
  <c r="H710" i="27"/>
  <c r="I710" i="27"/>
  <c r="J710" i="27"/>
  <c r="K710" i="27"/>
  <c r="L710" i="27"/>
  <c r="M710" i="27"/>
  <c r="G711" i="27"/>
  <c r="H711" i="27"/>
  <c r="I711" i="27"/>
  <c r="J711" i="27"/>
  <c r="K711" i="27"/>
  <c r="L711" i="27"/>
  <c r="M711" i="27"/>
  <c r="G712" i="27"/>
  <c r="H712" i="27"/>
  <c r="I712" i="27"/>
  <c r="J712" i="27"/>
  <c r="K712" i="27"/>
  <c r="L712" i="27"/>
  <c r="M712" i="27"/>
  <c r="G713" i="27"/>
  <c r="H713" i="27"/>
  <c r="I713" i="27"/>
  <c r="J713" i="27"/>
  <c r="K713" i="27"/>
  <c r="L713" i="27"/>
  <c r="M713" i="27"/>
  <c r="G714" i="27"/>
  <c r="H714" i="27"/>
  <c r="I714" i="27"/>
  <c r="J714" i="27"/>
  <c r="K714" i="27"/>
  <c r="L714" i="27"/>
  <c r="M714" i="27"/>
  <c r="G715" i="27"/>
  <c r="H715" i="27"/>
  <c r="I715" i="27"/>
  <c r="J715" i="27"/>
  <c r="K715" i="27"/>
  <c r="L715" i="27"/>
  <c r="M715" i="27"/>
  <c r="G716" i="27"/>
  <c r="H716" i="27"/>
  <c r="I716" i="27"/>
  <c r="J716" i="27"/>
  <c r="K716" i="27"/>
  <c r="L716" i="27"/>
  <c r="M716" i="27"/>
  <c r="G717" i="27"/>
  <c r="H717" i="27"/>
  <c r="I717" i="27"/>
  <c r="J717" i="27"/>
  <c r="K717" i="27"/>
  <c r="L717" i="27"/>
  <c r="M717" i="27"/>
  <c r="G718" i="27"/>
  <c r="H718" i="27"/>
  <c r="I718" i="27"/>
  <c r="J718" i="27"/>
  <c r="K718" i="27"/>
  <c r="L718" i="27"/>
  <c r="M718" i="27"/>
  <c r="G719" i="27"/>
  <c r="H719" i="27"/>
  <c r="I719" i="27"/>
  <c r="J719" i="27"/>
  <c r="K719" i="27"/>
  <c r="L719" i="27"/>
  <c r="M719" i="27"/>
  <c r="G720" i="27"/>
  <c r="H720" i="27"/>
  <c r="I720" i="27"/>
  <c r="J720" i="27"/>
  <c r="K720" i="27"/>
  <c r="L720" i="27"/>
  <c r="M720" i="27"/>
  <c r="G721" i="27"/>
  <c r="H721" i="27"/>
  <c r="I721" i="27"/>
  <c r="J721" i="27"/>
  <c r="K721" i="27"/>
  <c r="L721" i="27"/>
  <c r="M721" i="27"/>
  <c r="G722" i="27"/>
  <c r="H722" i="27"/>
  <c r="I722" i="27"/>
  <c r="J722" i="27"/>
  <c r="K722" i="27"/>
  <c r="L722" i="27"/>
  <c r="M722" i="27"/>
  <c r="G723" i="27"/>
  <c r="H723" i="27"/>
  <c r="I723" i="27"/>
  <c r="J723" i="27"/>
  <c r="K723" i="27"/>
  <c r="L723" i="27"/>
  <c r="M723" i="27"/>
  <c r="G724" i="27"/>
  <c r="H724" i="27"/>
  <c r="I724" i="27"/>
  <c r="J724" i="27"/>
  <c r="K724" i="27"/>
  <c r="L724" i="27"/>
  <c r="M724" i="27"/>
  <c r="G725" i="27"/>
  <c r="H725" i="27"/>
  <c r="I725" i="27"/>
  <c r="J725" i="27"/>
  <c r="K725" i="27"/>
  <c r="L725" i="27"/>
  <c r="M725" i="27"/>
  <c r="G726" i="27"/>
  <c r="H726" i="27"/>
  <c r="I726" i="27"/>
  <c r="J726" i="27"/>
  <c r="K726" i="27"/>
  <c r="L726" i="27"/>
  <c r="M726" i="27"/>
  <c r="G727" i="27"/>
  <c r="H727" i="27"/>
  <c r="I727" i="27"/>
  <c r="J727" i="27"/>
  <c r="K727" i="27"/>
  <c r="L727" i="27"/>
  <c r="M727" i="27"/>
  <c r="G728" i="27"/>
  <c r="H728" i="27"/>
  <c r="I728" i="27"/>
  <c r="J728" i="27"/>
  <c r="K728" i="27"/>
  <c r="L728" i="27"/>
  <c r="M728" i="27"/>
  <c r="G729" i="27"/>
  <c r="H729" i="27"/>
  <c r="I729" i="27"/>
  <c r="J729" i="27"/>
  <c r="K729" i="27"/>
  <c r="L729" i="27"/>
  <c r="M729" i="27"/>
  <c r="G730" i="27"/>
  <c r="H730" i="27"/>
  <c r="I730" i="27"/>
  <c r="J730" i="27"/>
  <c r="K730" i="27"/>
  <c r="L730" i="27"/>
  <c r="M730" i="27"/>
  <c r="G731" i="27"/>
  <c r="H731" i="27"/>
  <c r="I731" i="27"/>
  <c r="J731" i="27"/>
  <c r="K731" i="27"/>
  <c r="L731" i="27"/>
  <c r="M731" i="27"/>
  <c r="G732" i="27"/>
  <c r="H732" i="27"/>
  <c r="I732" i="27"/>
  <c r="J732" i="27"/>
  <c r="K732" i="27"/>
  <c r="L732" i="27"/>
  <c r="M732" i="27"/>
  <c r="G733" i="27"/>
  <c r="H733" i="27"/>
  <c r="I733" i="27"/>
  <c r="J733" i="27"/>
  <c r="K733" i="27"/>
  <c r="L733" i="27"/>
  <c r="M733" i="27"/>
  <c r="G734" i="27"/>
  <c r="H734" i="27"/>
  <c r="I734" i="27"/>
  <c r="J734" i="27"/>
  <c r="K734" i="27"/>
  <c r="L734" i="27"/>
  <c r="M734" i="27"/>
  <c r="G735" i="27"/>
  <c r="H735" i="27"/>
  <c r="I735" i="27"/>
  <c r="J735" i="27"/>
  <c r="K735" i="27"/>
  <c r="L735" i="27"/>
  <c r="M735" i="27"/>
  <c r="G736" i="27"/>
  <c r="H736" i="27"/>
  <c r="I736" i="27"/>
  <c r="J736" i="27"/>
  <c r="K736" i="27"/>
  <c r="L736" i="27"/>
  <c r="M736" i="27"/>
  <c r="G737" i="27"/>
  <c r="H737" i="27"/>
  <c r="I737" i="27"/>
  <c r="J737" i="27"/>
  <c r="K737" i="27"/>
  <c r="L737" i="27"/>
  <c r="M737" i="27"/>
  <c r="G738" i="27"/>
  <c r="H738" i="27"/>
  <c r="I738" i="27"/>
  <c r="J738" i="27"/>
  <c r="K738" i="27"/>
  <c r="L738" i="27"/>
  <c r="M738" i="27"/>
  <c r="G739" i="27"/>
  <c r="H739" i="27"/>
  <c r="I739" i="27"/>
  <c r="J739" i="27"/>
  <c r="K739" i="27"/>
  <c r="L739" i="27"/>
  <c r="M739" i="27"/>
  <c r="G740" i="27"/>
  <c r="H740" i="27"/>
  <c r="I740" i="27"/>
  <c r="J740" i="27"/>
  <c r="K740" i="27"/>
  <c r="L740" i="27"/>
  <c r="M740" i="27"/>
  <c r="G741" i="27"/>
  <c r="H741" i="27"/>
  <c r="I741" i="27"/>
  <c r="J741" i="27"/>
  <c r="K741" i="27"/>
  <c r="L741" i="27"/>
  <c r="M741" i="27"/>
  <c r="G742" i="27"/>
  <c r="H742" i="27"/>
  <c r="I742" i="27"/>
  <c r="J742" i="27"/>
  <c r="K742" i="27"/>
  <c r="L742" i="27"/>
  <c r="M742" i="27"/>
  <c r="G743" i="27"/>
  <c r="H743" i="27"/>
  <c r="I743" i="27"/>
  <c r="J743" i="27"/>
  <c r="K743" i="27"/>
  <c r="L743" i="27"/>
  <c r="M743" i="27"/>
  <c r="G744" i="27"/>
  <c r="H744" i="27"/>
  <c r="I744" i="27"/>
  <c r="J744" i="27"/>
  <c r="K744" i="27"/>
  <c r="L744" i="27"/>
  <c r="M744" i="27"/>
  <c r="G745" i="27"/>
  <c r="H745" i="27"/>
  <c r="I745" i="27"/>
  <c r="J745" i="27"/>
  <c r="K745" i="27"/>
  <c r="L745" i="27"/>
  <c r="M745" i="27"/>
  <c r="G746" i="27"/>
  <c r="H746" i="27"/>
  <c r="I746" i="27"/>
  <c r="J746" i="27"/>
  <c r="K746" i="27"/>
  <c r="L746" i="27"/>
  <c r="M746" i="27"/>
  <c r="G747" i="27"/>
  <c r="H747" i="27"/>
  <c r="I747" i="27"/>
  <c r="J747" i="27"/>
  <c r="K747" i="27"/>
  <c r="L747" i="27"/>
  <c r="M747" i="27"/>
  <c r="G748" i="27"/>
  <c r="H748" i="27"/>
  <c r="I748" i="27"/>
  <c r="J748" i="27"/>
  <c r="K748" i="27"/>
  <c r="L748" i="27"/>
  <c r="M748" i="27"/>
  <c r="G749" i="27"/>
  <c r="H749" i="27"/>
  <c r="I749" i="27"/>
  <c r="J749" i="27"/>
  <c r="K749" i="27"/>
  <c r="L749" i="27"/>
  <c r="M749" i="27"/>
  <c r="G750" i="27"/>
  <c r="H750" i="27"/>
  <c r="I750" i="27"/>
  <c r="J750" i="27"/>
  <c r="K750" i="27"/>
  <c r="L750" i="27"/>
  <c r="M750" i="27"/>
  <c r="G751" i="27"/>
  <c r="H751" i="27"/>
  <c r="I751" i="27"/>
  <c r="J751" i="27"/>
  <c r="K751" i="27"/>
  <c r="L751" i="27"/>
  <c r="M751" i="27"/>
  <c r="G752" i="27"/>
  <c r="H752" i="27"/>
  <c r="I752" i="27"/>
  <c r="J752" i="27"/>
  <c r="K752" i="27"/>
  <c r="L752" i="27"/>
  <c r="M752" i="27"/>
  <c r="G753" i="27"/>
  <c r="H753" i="27"/>
  <c r="I753" i="27"/>
  <c r="J753" i="27"/>
  <c r="K753" i="27"/>
  <c r="L753" i="27"/>
  <c r="M753" i="27"/>
  <c r="G754" i="27"/>
  <c r="H754" i="27"/>
  <c r="I754" i="27"/>
  <c r="J754" i="27"/>
  <c r="K754" i="27"/>
  <c r="L754" i="27"/>
  <c r="M754" i="27"/>
  <c r="G755" i="27"/>
  <c r="H755" i="27"/>
  <c r="I755" i="27"/>
  <c r="J755" i="27"/>
  <c r="K755" i="27"/>
  <c r="L755" i="27"/>
  <c r="M755" i="27"/>
  <c r="G756" i="27"/>
  <c r="H756" i="27"/>
  <c r="I756" i="27"/>
  <c r="J756" i="27"/>
  <c r="K756" i="27"/>
  <c r="L756" i="27"/>
  <c r="M756" i="27"/>
  <c r="G757" i="27"/>
  <c r="H757" i="27"/>
  <c r="I757" i="27"/>
  <c r="J757" i="27"/>
  <c r="K757" i="27"/>
  <c r="L757" i="27"/>
  <c r="M757" i="27"/>
  <c r="G758" i="27"/>
  <c r="H758" i="27"/>
  <c r="I758" i="27"/>
  <c r="J758" i="27"/>
  <c r="K758" i="27"/>
  <c r="L758" i="27"/>
  <c r="M758" i="27"/>
  <c r="G759" i="27"/>
  <c r="H759" i="27"/>
  <c r="I759" i="27"/>
  <c r="J759" i="27"/>
  <c r="K759" i="27"/>
  <c r="L759" i="27"/>
  <c r="M759" i="27"/>
  <c r="G760" i="27"/>
  <c r="H760" i="27"/>
  <c r="I760" i="27"/>
  <c r="J760" i="27"/>
  <c r="K760" i="27"/>
  <c r="L760" i="27"/>
  <c r="M760" i="27"/>
  <c r="G761" i="27"/>
  <c r="H761" i="27"/>
  <c r="I761" i="27"/>
  <c r="J761" i="27"/>
  <c r="K761" i="27"/>
  <c r="L761" i="27"/>
  <c r="M761" i="27"/>
  <c r="G762" i="27"/>
  <c r="H762" i="27"/>
  <c r="I762" i="27"/>
  <c r="J762" i="27"/>
  <c r="K762" i="27"/>
  <c r="L762" i="27"/>
  <c r="M762" i="27"/>
  <c r="G763" i="27"/>
  <c r="H763" i="27"/>
  <c r="I763" i="27"/>
  <c r="J763" i="27"/>
  <c r="K763" i="27"/>
  <c r="L763" i="27"/>
  <c r="M763" i="27"/>
  <c r="G764" i="27"/>
  <c r="H764" i="27"/>
  <c r="I764" i="27"/>
  <c r="J764" i="27"/>
  <c r="K764" i="27"/>
  <c r="L764" i="27"/>
  <c r="M764" i="27"/>
  <c r="G765" i="27"/>
  <c r="H765" i="27"/>
  <c r="I765" i="27"/>
  <c r="J765" i="27"/>
  <c r="K765" i="27"/>
  <c r="L765" i="27"/>
  <c r="M765" i="27"/>
  <c r="G766" i="27"/>
  <c r="H766" i="27"/>
  <c r="I766" i="27"/>
  <c r="J766" i="27"/>
  <c r="K766" i="27"/>
  <c r="L766" i="27"/>
  <c r="M766" i="27"/>
  <c r="G767" i="27"/>
  <c r="H767" i="27"/>
  <c r="I767" i="27"/>
  <c r="J767" i="27"/>
  <c r="K767" i="27"/>
  <c r="L767" i="27"/>
  <c r="M767" i="27"/>
  <c r="G768" i="27"/>
  <c r="H768" i="27"/>
  <c r="I768" i="27"/>
  <c r="J768" i="27"/>
  <c r="K768" i="27"/>
  <c r="L768" i="27"/>
  <c r="M768" i="27"/>
  <c r="G769" i="27"/>
  <c r="H769" i="27"/>
  <c r="I769" i="27"/>
  <c r="J769" i="27"/>
  <c r="K769" i="27"/>
  <c r="L769" i="27"/>
  <c r="M769" i="27"/>
  <c r="G770" i="27"/>
  <c r="H770" i="27"/>
  <c r="I770" i="27"/>
  <c r="J770" i="27"/>
  <c r="K770" i="27"/>
  <c r="L770" i="27"/>
  <c r="M770" i="27"/>
  <c r="G771" i="27"/>
  <c r="H771" i="27"/>
  <c r="I771" i="27"/>
  <c r="J771" i="27"/>
  <c r="K771" i="27"/>
  <c r="L771" i="27"/>
  <c r="M771" i="27"/>
  <c r="G772" i="27"/>
  <c r="H772" i="27"/>
  <c r="I772" i="27"/>
  <c r="J772" i="27"/>
  <c r="K772" i="27"/>
  <c r="L772" i="27"/>
  <c r="M772" i="27"/>
  <c r="G773" i="27"/>
  <c r="H773" i="27"/>
  <c r="I773" i="27"/>
  <c r="J773" i="27"/>
  <c r="K773" i="27"/>
  <c r="L773" i="27"/>
  <c r="M773" i="27"/>
  <c r="G774" i="27"/>
  <c r="H774" i="27"/>
  <c r="I774" i="27"/>
  <c r="J774" i="27"/>
  <c r="K774" i="27"/>
  <c r="L774" i="27"/>
  <c r="M774" i="27"/>
  <c r="G775" i="27"/>
  <c r="H775" i="27"/>
  <c r="I775" i="27"/>
  <c r="J775" i="27"/>
  <c r="K775" i="27"/>
  <c r="L775" i="27"/>
  <c r="M775" i="27"/>
  <c r="G776" i="27"/>
  <c r="H776" i="27"/>
  <c r="I776" i="27"/>
  <c r="J776" i="27"/>
  <c r="K776" i="27"/>
  <c r="L776" i="27"/>
  <c r="M776" i="27"/>
  <c r="G777" i="27"/>
  <c r="H777" i="27"/>
  <c r="I777" i="27"/>
  <c r="J777" i="27"/>
  <c r="K777" i="27"/>
  <c r="L777" i="27"/>
  <c r="M777" i="27"/>
  <c r="G778" i="27"/>
  <c r="H778" i="27"/>
  <c r="I778" i="27"/>
  <c r="J778" i="27"/>
  <c r="K778" i="27"/>
  <c r="L778" i="27"/>
  <c r="M778" i="27"/>
  <c r="G779" i="27"/>
  <c r="H779" i="27"/>
  <c r="I779" i="27"/>
  <c r="J779" i="27"/>
  <c r="K779" i="27"/>
  <c r="L779" i="27"/>
  <c r="M779" i="27"/>
  <c r="G780" i="27"/>
  <c r="H780" i="27"/>
  <c r="I780" i="27"/>
  <c r="J780" i="27"/>
  <c r="K780" i="27"/>
  <c r="L780" i="27"/>
  <c r="M780" i="27"/>
  <c r="G781" i="27"/>
  <c r="H781" i="27"/>
  <c r="I781" i="27"/>
  <c r="J781" i="27"/>
  <c r="K781" i="27"/>
  <c r="L781" i="27"/>
  <c r="M781" i="27"/>
  <c r="G782" i="27"/>
  <c r="H782" i="27"/>
  <c r="I782" i="27"/>
  <c r="J782" i="27"/>
  <c r="K782" i="27"/>
  <c r="L782" i="27"/>
  <c r="M782" i="27"/>
  <c r="G783" i="27"/>
  <c r="H783" i="27"/>
  <c r="I783" i="27"/>
  <c r="J783" i="27"/>
  <c r="K783" i="27"/>
  <c r="L783" i="27"/>
  <c r="M783" i="27"/>
  <c r="G784" i="27"/>
  <c r="H784" i="27"/>
  <c r="I784" i="27"/>
  <c r="J784" i="27"/>
  <c r="K784" i="27"/>
  <c r="L784" i="27"/>
  <c r="M784" i="27"/>
  <c r="G785" i="27"/>
  <c r="H785" i="27"/>
  <c r="I785" i="27"/>
  <c r="J785" i="27"/>
  <c r="K785" i="27"/>
  <c r="L785" i="27"/>
  <c r="M785" i="27"/>
  <c r="G786" i="27"/>
  <c r="H786" i="27"/>
  <c r="I786" i="27"/>
  <c r="J786" i="27"/>
  <c r="K786" i="27"/>
  <c r="L786" i="27"/>
  <c r="M786" i="27"/>
  <c r="G787" i="27"/>
  <c r="H787" i="27"/>
  <c r="I787" i="27"/>
  <c r="J787" i="27"/>
  <c r="K787" i="27"/>
  <c r="L787" i="27"/>
  <c r="M787" i="27"/>
  <c r="G788" i="27"/>
  <c r="H788" i="27"/>
  <c r="I788" i="27"/>
  <c r="J788" i="27"/>
  <c r="K788" i="27"/>
  <c r="L788" i="27"/>
  <c r="M788" i="27"/>
  <c r="G789" i="27"/>
  <c r="H789" i="27"/>
  <c r="I789" i="27"/>
  <c r="J789" i="27"/>
  <c r="K789" i="27"/>
  <c r="L789" i="27"/>
  <c r="M789" i="27"/>
  <c r="G790" i="27"/>
  <c r="H790" i="27"/>
  <c r="I790" i="27"/>
  <c r="J790" i="27"/>
  <c r="K790" i="27"/>
  <c r="L790" i="27"/>
  <c r="M790" i="27"/>
  <c r="G791" i="27"/>
  <c r="H791" i="27"/>
  <c r="I791" i="27"/>
  <c r="J791" i="27"/>
  <c r="K791" i="27"/>
  <c r="L791" i="27"/>
  <c r="M791" i="27"/>
  <c r="G792" i="27"/>
  <c r="H792" i="27"/>
  <c r="I792" i="27"/>
  <c r="J792" i="27"/>
  <c r="K792" i="27"/>
  <c r="L792" i="27"/>
  <c r="M792" i="27"/>
  <c r="G793" i="27"/>
  <c r="H793" i="27"/>
  <c r="I793" i="27"/>
  <c r="J793" i="27"/>
  <c r="K793" i="27"/>
  <c r="L793" i="27"/>
  <c r="M793" i="27"/>
  <c r="G794" i="27"/>
  <c r="H794" i="27"/>
  <c r="I794" i="27"/>
  <c r="J794" i="27"/>
  <c r="K794" i="27"/>
  <c r="L794" i="27"/>
  <c r="M794" i="27"/>
  <c r="G795" i="27"/>
  <c r="H795" i="27"/>
  <c r="I795" i="27"/>
  <c r="J795" i="27"/>
  <c r="K795" i="27"/>
  <c r="L795" i="27"/>
  <c r="M795" i="27"/>
  <c r="G796" i="27"/>
  <c r="H796" i="27"/>
  <c r="I796" i="27"/>
  <c r="J796" i="27"/>
  <c r="K796" i="27"/>
  <c r="L796" i="27"/>
  <c r="M796" i="27"/>
  <c r="G797" i="27"/>
  <c r="H797" i="27"/>
  <c r="I797" i="27"/>
  <c r="J797" i="27"/>
  <c r="K797" i="27"/>
  <c r="L797" i="27"/>
  <c r="M797" i="27"/>
  <c r="G798" i="27"/>
  <c r="H798" i="27"/>
  <c r="I798" i="27"/>
  <c r="J798" i="27"/>
  <c r="K798" i="27"/>
  <c r="L798" i="27"/>
  <c r="M798" i="27"/>
  <c r="G799" i="27"/>
  <c r="H799" i="27"/>
  <c r="I799" i="27"/>
  <c r="J799" i="27"/>
  <c r="K799" i="27"/>
  <c r="L799" i="27"/>
  <c r="M799" i="27"/>
  <c r="G800" i="27"/>
  <c r="H800" i="27"/>
  <c r="I800" i="27"/>
  <c r="J800" i="27"/>
  <c r="K800" i="27"/>
  <c r="L800" i="27"/>
  <c r="M800" i="27"/>
  <c r="G801" i="27"/>
  <c r="H801" i="27"/>
  <c r="I801" i="27"/>
  <c r="J801" i="27"/>
  <c r="K801" i="27"/>
  <c r="L801" i="27"/>
  <c r="M801" i="27"/>
  <c r="G802" i="27"/>
  <c r="H802" i="27"/>
  <c r="I802" i="27"/>
  <c r="J802" i="27"/>
  <c r="K802" i="27"/>
  <c r="L802" i="27"/>
  <c r="M802" i="27"/>
  <c r="G803" i="27"/>
  <c r="H803" i="27"/>
  <c r="I803" i="27"/>
  <c r="J803" i="27"/>
  <c r="K803" i="27"/>
  <c r="L803" i="27"/>
  <c r="M803" i="27"/>
  <c r="G804" i="27"/>
  <c r="H804" i="27"/>
  <c r="I804" i="27"/>
  <c r="J804" i="27"/>
  <c r="K804" i="27"/>
  <c r="L804" i="27"/>
  <c r="M804" i="27"/>
  <c r="G805" i="27"/>
  <c r="H805" i="27"/>
  <c r="I805" i="27"/>
  <c r="J805" i="27"/>
  <c r="K805" i="27"/>
  <c r="L805" i="27"/>
  <c r="M805" i="27"/>
  <c r="G806" i="27"/>
  <c r="H806" i="27"/>
  <c r="I806" i="27"/>
  <c r="J806" i="27"/>
  <c r="K806" i="27"/>
  <c r="L806" i="27"/>
  <c r="M806" i="27"/>
  <c r="G807" i="27"/>
  <c r="H807" i="27"/>
  <c r="I807" i="27"/>
  <c r="J807" i="27"/>
  <c r="K807" i="27"/>
  <c r="L807" i="27"/>
  <c r="M807" i="27"/>
  <c r="G808" i="27"/>
  <c r="H808" i="27"/>
  <c r="I808" i="27"/>
  <c r="J808" i="27"/>
  <c r="K808" i="27"/>
  <c r="L808" i="27"/>
  <c r="M808" i="27"/>
  <c r="G809" i="27"/>
  <c r="H809" i="27"/>
  <c r="I809" i="27"/>
  <c r="J809" i="27"/>
  <c r="K809" i="27"/>
  <c r="L809" i="27"/>
  <c r="M809" i="27"/>
  <c r="G810" i="27"/>
  <c r="H810" i="27"/>
  <c r="I810" i="27"/>
  <c r="J810" i="27"/>
  <c r="K810" i="27"/>
  <c r="L810" i="27"/>
  <c r="M810" i="27"/>
  <c r="G811" i="27"/>
  <c r="H811" i="27"/>
  <c r="I811" i="27"/>
  <c r="J811" i="27"/>
  <c r="K811" i="27"/>
  <c r="L811" i="27"/>
  <c r="M811" i="27"/>
  <c r="G812" i="27"/>
  <c r="H812" i="27"/>
  <c r="I812" i="27"/>
  <c r="J812" i="27"/>
  <c r="K812" i="27"/>
  <c r="L812" i="27"/>
  <c r="M812" i="27"/>
  <c r="G813" i="27"/>
  <c r="H813" i="27"/>
  <c r="I813" i="27"/>
  <c r="J813" i="27"/>
  <c r="K813" i="27"/>
  <c r="L813" i="27"/>
  <c r="M813" i="27"/>
  <c r="G814" i="27"/>
  <c r="H814" i="27"/>
  <c r="I814" i="27"/>
  <c r="J814" i="27"/>
  <c r="K814" i="27"/>
  <c r="L814" i="27"/>
  <c r="M814" i="27"/>
  <c r="G815" i="27"/>
  <c r="H815" i="27"/>
  <c r="I815" i="27"/>
  <c r="J815" i="27"/>
  <c r="K815" i="27"/>
  <c r="L815" i="27"/>
  <c r="M815" i="27"/>
  <c r="G816" i="27"/>
  <c r="H816" i="27"/>
  <c r="I816" i="27"/>
  <c r="J816" i="27"/>
  <c r="K816" i="27"/>
  <c r="L816" i="27"/>
  <c r="M816" i="27"/>
  <c r="G817" i="27"/>
  <c r="H817" i="27"/>
  <c r="I817" i="27"/>
  <c r="J817" i="27"/>
  <c r="K817" i="27"/>
  <c r="L817" i="27"/>
  <c r="M817" i="27"/>
  <c r="G818" i="27"/>
  <c r="H818" i="27"/>
  <c r="I818" i="27"/>
  <c r="J818" i="27"/>
  <c r="K818" i="27"/>
  <c r="L818" i="27"/>
  <c r="M818" i="27"/>
  <c r="G819" i="27"/>
  <c r="H819" i="27"/>
  <c r="I819" i="27"/>
  <c r="J819" i="27"/>
  <c r="K819" i="27"/>
  <c r="L819" i="27"/>
  <c r="M819" i="27"/>
  <c r="G820" i="27"/>
  <c r="H820" i="27"/>
  <c r="I820" i="27"/>
  <c r="J820" i="27"/>
  <c r="K820" i="27"/>
  <c r="L820" i="27"/>
  <c r="M820" i="27"/>
  <c r="G821" i="27"/>
  <c r="H821" i="27"/>
  <c r="I821" i="27"/>
  <c r="J821" i="27"/>
  <c r="K821" i="27"/>
  <c r="L821" i="27"/>
  <c r="M821" i="27"/>
  <c r="G822" i="27"/>
  <c r="H822" i="27"/>
  <c r="I822" i="27"/>
  <c r="J822" i="27"/>
  <c r="K822" i="27"/>
  <c r="L822" i="27"/>
  <c r="M822" i="27"/>
  <c r="G823" i="27"/>
  <c r="H823" i="27"/>
  <c r="I823" i="27"/>
  <c r="J823" i="27"/>
  <c r="K823" i="27"/>
  <c r="L823" i="27"/>
  <c r="M823" i="27"/>
  <c r="G824" i="27"/>
  <c r="H824" i="27"/>
  <c r="I824" i="27"/>
  <c r="J824" i="27"/>
  <c r="K824" i="27"/>
  <c r="L824" i="27"/>
  <c r="M824" i="27"/>
  <c r="G825" i="27"/>
  <c r="H825" i="27"/>
  <c r="I825" i="27"/>
  <c r="J825" i="27"/>
  <c r="K825" i="27"/>
  <c r="L825" i="27"/>
  <c r="M825" i="27"/>
  <c r="G826" i="27"/>
  <c r="H826" i="27"/>
  <c r="I826" i="27"/>
  <c r="J826" i="27"/>
  <c r="K826" i="27"/>
  <c r="L826" i="27"/>
  <c r="M826" i="27"/>
  <c r="G827" i="27"/>
  <c r="H827" i="27"/>
  <c r="I827" i="27"/>
  <c r="J827" i="27"/>
  <c r="K827" i="27"/>
  <c r="L827" i="27"/>
  <c r="M827" i="27"/>
  <c r="G828" i="27"/>
  <c r="H828" i="27"/>
  <c r="I828" i="27"/>
  <c r="J828" i="27"/>
  <c r="K828" i="27"/>
  <c r="L828" i="27"/>
  <c r="M828" i="27"/>
  <c r="G829" i="27"/>
  <c r="H829" i="27"/>
  <c r="I829" i="27"/>
  <c r="J829" i="27"/>
  <c r="K829" i="27"/>
  <c r="L829" i="27"/>
  <c r="M829" i="27"/>
  <c r="G830" i="27"/>
  <c r="H830" i="27"/>
  <c r="I830" i="27"/>
  <c r="J830" i="27"/>
  <c r="K830" i="27"/>
  <c r="L830" i="27"/>
  <c r="M830" i="27"/>
  <c r="G831" i="27"/>
  <c r="H831" i="27"/>
  <c r="I831" i="27"/>
  <c r="J831" i="27"/>
  <c r="K831" i="27"/>
  <c r="L831" i="27"/>
  <c r="M831" i="27"/>
  <c r="G832" i="27"/>
  <c r="H832" i="27"/>
  <c r="I832" i="27"/>
  <c r="J832" i="27"/>
  <c r="K832" i="27"/>
  <c r="L832" i="27"/>
  <c r="M832" i="27"/>
  <c r="G833" i="27"/>
  <c r="H833" i="27"/>
  <c r="I833" i="27"/>
  <c r="J833" i="27"/>
  <c r="K833" i="27"/>
  <c r="L833" i="27"/>
  <c r="M833" i="27"/>
  <c r="G834" i="27"/>
  <c r="H834" i="27"/>
  <c r="I834" i="27"/>
  <c r="J834" i="27"/>
  <c r="K834" i="27"/>
  <c r="L834" i="27"/>
  <c r="M834" i="27"/>
  <c r="G835" i="27"/>
  <c r="H835" i="27"/>
  <c r="I835" i="27"/>
  <c r="J835" i="27"/>
  <c r="K835" i="27"/>
  <c r="L835" i="27"/>
  <c r="M835" i="27"/>
  <c r="G836" i="27"/>
  <c r="H836" i="27"/>
  <c r="I836" i="27"/>
  <c r="J836" i="27"/>
  <c r="K836" i="27"/>
  <c r="L836" i="27"/>
  <c r="M836" i="27"/>
  <c r="G837" i="27"/>
  <c r="H837" i="27"/>
  <c r="I837" i="27"/>
  <c r="J837" i="27"/>
  <c r="K837" i="27"/>
  <c r="L837" i="27"/>
  <c r="M837" i="27"/>
  <c r="G838" i="27"/>
  <c r="H838" i="27"/>
  <c r="I838" i="27"/>
  <c r="J838" i="27"/>
  <c r="K838" i="27"/>
  <c r="L838" i="27"/>
  <c r="M838" i="27"/>
  <c r="G839" i="27"/>
  <c r="H839" i="27"/>
  <c r="I839" i="27"/>
  <c r="J839" i="27"/>
  <c r="K839" i="27"/>
  <c r="L839" i="27"/>
  <c r="M839" i="27"/>
  <c r="G840" i="27"/>
  <c r="H840" i="27"/>
  <c r="I840" i="27"/>
  <c r="J840" i="27"/>
  <c r="K840" i="27"/>
  <c r="L840" i="27"/>
  <c r="M840" i="27"/>
  <c r="G841" i="27"/>
  <c r="H841" i="27"/>
  <c r="I841" i="27"/>
  <c r="J841" i="27"/>
  <c r="K841" i="27"/>
  <c r="L841" i="27"/>
  <c r="M841" i="27"/>
  <c r="G842" i="27"/>
  <c r="H842" i="27"/>
  <c r="I842" i="27"/>
  <c r="J842" i="27"/>
  <c r="K842" i="27"/>
  <c r="L842" i="27"/>
  <c r="M842" i="27"/>
  <c r="G843" i="27"/>
  <c r="H843" i="27"/>
  <c r="I843" i="27"/>
  <c r="J843" i="27"/>
  <c r="K843" i="27"/>
  <c r="L843" i="27"/>
  <c r="M843" i="27"/>
  <c r="G844" i="27"/>
  <c r="H844" i="27"/>
  <c r="I844" i="27"/>
  <c r="J844" i="27"/>
  <c r="K844" i="27"/>
  <c r="L844" i="27"/>
  <c r="M844" i="27"/>
  <c r="G845" i="27"/>
  <c r="H845" i="27"/>
  <c r="I845" i="27"/>
  <c r="J845" i="27"/>
  <c r="K845" i="27"/>
  <c r="L845" i="27"/>
  <c r="M845" i="27"/>
  <c r="G846" i="27"/>
  <c r="H846" i="27"/>
  <c r="I846" i="27"/>
  <c r="J846" i="27"/>
  <c r="K846" i="27"/>
  <c r="L846" i="27"/>
  <c r="M846" i="27"/>
  <c r="G847" i="27"/>
  <c r="H847" i="27"/>
  <c r="I847" i="27"/>
  <c r="J847" i="27"/>
  <c r="K847" i="27"/>
  <c r="L847" i="27"/>
  <c r="M847" i="27"/>
  <c r="G848" i="27"/>
  <c r="H848" i="27"/>
  <c r="I848" i="27"/>
  <c r="J848" i="27"/>
  <c r="K848" i="27"/>
  <c r="L848" i="27"/>
  <c r="M848" i="27"/>
  <c r="G849" i="27"/>
  <c r="H849" i="27"/>
  <c r="I849" i="27"/>
  <c r="J849" i="27"/>
  <c r="K849" i="27"/>
  <c r="L849" i="27"/>
  <c r="M849" i="27"/>
  <c r="G850" i="27"/>
  <c r="H850" i="27"/>
  <c r="I850" i="27"/>
  <c r="J850" i="27"/>
  <c r="K850" i="27"/>
  <c r="L850" i="27"/>
  <c r="M850" i="27"/>
  <c r="G851" i="27"/>
  <c r="H851" i="27"/>
  <c r="I851" i="27"/>
  <c r="J851" i="27"/>
  <c r="K851" i="27"/>
  <c r="L851" i="27"/>
  <c r="M851" i="27"/>
  <c r="G852" i="27"/>
  <c r="H852" i="27"/>
  <c r="I852" i="27"/>
  <c r="J852" i="27"/>
  <c r="K852" i="27"/>
  <c r="L852" i="27"/>
  <c r="M852" i="27"/>
  <c r="G853" i="27"/>
  <c r="H853" i="27"/>
  <c r="I853" i="27"/>
  <c r="J853" i="27"/>
  <c r="K853" i="27"/>
  <c r="L853" i="27"/>
  <c r="M853" i="27"/>
  <c r="G854" i="27"/>
  <c r="H854" i="27"/>
  <c r="I854" i="27"/>
  <c r="J854" i="27"/>
  <c r="K854" i="27"/>
  <c r="L854" i="27"/>
  <c r="M854" i="27"/>
  <c r="G855" i="27"/>
  <c r="H855" i="27"/>
  <c r="I855" i="27"/>
  <c r="J855" i="27"/>
  <c r="K855" i="27"/>
  <c r="L855" i="27"/>
  <c r="M855" i="27"/>
  <c r="G856" i="27"/>
  <c r="H856" i="27"/>
  <c r="I856" i="27"/>
  <c r="J856" i="27"/>
  <c r="K856" i="27"/>
  <c r="L856" i="27"/>
  <c r="M856" i="27"/>
  <c r="G857" i="27"/>
  <c r="H857" i="27"/>
  <c r="I857" i="27"/>
  <c r="J857" i="27"/>
  <c r="K857" i="27"/>
  <c r="L857" i="27"/>
  <c r="M857" i="27"/>
  <c r="G858" i="27"/>
  <c r="H858" i="27"/>
  <c r="I858" i="27"/>
  <c r="J858" i="27"/>
  <c r="K858" i="27"/>
  <c r="L858" i="27"/>
  <c r="M858" i="27"/>
  <c r="G859" i="27"/>
  <c r="H859" i="27"/>
  <c r="I859" i="27"/>
  <c r="J859" i="27"/>
  <c r="K859" i="27"/>
  <c r="L859" i="27"/>
  <c r="M859" i="27"/>
  <c r="G860" i="27"/>
  <c r="H860" i="27"/>
  <c r="I860" i="27"/>
  <c r="J860" i="27"/>
  <c r="K860" i="27"/>
  <c r="L860" i="27"/>
  <c r="M860" i="27"/>
  <c r="G861" i="27"/>
  <c r="H861" i="27"/>
  <c r="I861" i="27"/>
  <c r="J861" i="27"/>
  <c r="K861" i="27"/>
  <c r="L861" i="27"/>
  <c r="M861" i="27"/>
  <c r="G862" i="27"/>
  <c r="H862" i="27"/>
  <c r="I862" i="27"/>
  <c r="J862" i="27"/>
  <c r="K862" i="27"/>
  <c r="L862" i="27"/>
  <c r="M862" i="27"/>
  <c r="G863" i="27"/>
  <c r="H863" i="27"/>
  <c r="I863" i="27"/>
  <c r="J863" i="27"/>
  <c r="K863" i="27"/>
  <c r="L863" i="27"/>
  <c r="M863" i="27"/>
  <c r="G864" i="27"/>
  <c r="H864" i="27"/>
  <c r="I864" i="27"/>
  <c r="J864" i="27"/>
  <c r="K864" i="27"/>
  <c r="L864" i="27"/>
  <c r="M864" i="27"/>
  <c r="G865" i="27"/>
  <c r="H865" i="27"/>
  <c r="I865" i="27"/>
  <c r="J865" i="27"/>
  <c r="K865" i="27"/>
  <c r="L865" i="27"/>
  <c r="M865" i="27"/>
  <c r="G866" i="27"/>
  <c r="H866" i="27"/>
  <c r="I866" i="27"/>
  <c r="J866" i="27"/>
  <c r="K866" i="27"/>
  <c r="L866" i="27"/>
  <c r="M866" i="27"/>
  <c r="G867" i="27"/>
  <c r="H867" i="27"/>
  <c r="I867" i="27"/>
  <c r="J867" i="27"/>
  <c r="K867" i="27"/>
  <c r="L867" i="27"/>
  <c r="M867" i="27"/>
  <c r="G868" i="27"/>
  <c r="H868" i="27"/>
  <c r="I868" i="27"/>
  <c r="J868" i="27"/>
  <c r="K868" i="27"/>
  <c r="L868" i="27"/>
  <c r="M868" i="27"/>
  <c r="G869" i="27"/>
  <c r="H869" i="27"/>
  <c r="I869" i="27"/>
  <c r="J869" i="27"/>
  <c r="K869" i="27"/>
  <c r="L869" i="27"/>
  <c r="M869" i="27"/>
  <c r="G870" i="27"/>
  <c r="H870" i="27"/>
  <c r="I870" i="27"/>
  <c r="J870" i="27"/>
  <c r="K870" i="27"/>
  <c r="L870" i="27"/>
  <c r="M870" i="27"/>
  <c r="G871" i="27"/>
  <c r="H871" i="27"/>
  <c r="I871" i="27"/>
  <c r="J871" i="27"/>
  <c r="K871" i="27"/>
  <c r="L871" i="27"/>
  <c r="M871" i="27"/>
  <c r="G872" i="27"/>
  <c r="H872" i="27"/>
  <c r="I872" i="27"/>
  <c r="J872" i="27"/>
  <c r="K872" i="27"/>
  <c r="L872" i="27"/>
  <c r="M872" i="27"/>
  <c r="G873" i="27"/>
  <c r="H873" i="27"/>
  <c r="I873" i="27"/>
  <c r="J873" i="27"/>
  <c r="K873" i="27"/>
  <c r="L873" i="27"/>
  <c r="M873" i="27"/>
  <c r="G874" i="27"/>
  <c r="H874" i="27"/>
  <c r="I874" i="27"/>
  <c r="J874" i="27"/>
  <c r="K874" i="27"/>
  <c r="L874" i="27"/>
  <c r="M874" i="27"/>
  <c r="G875" i="27"/>
  <c r="H875" i="27"/>
  <c r="I875" i="27"/>
  <c r="J875" i="27"/>
  <c r="K875" i="27"/>
  <c r="L875" i="27"/>
  <c r="M875" i="27"/>
  <c r="G876" i="27"/>
  <c r="H876" i="27"/>
  <c r="I876" i="27"/>
  <c r="J876" i="27"/>
  <c r="K876" i="27"/>
  <c r="L876" i="27"/>
  <c r="M876" i="27"/>
  <c r="G877" i="27"/>
  <c r="H877" i="27"/>
  <c r="I877" i="27"/>
  <c r="J877" i="27"/>
  <c r="K877" i="27"/>
  <c r="L877" i="27"/>
  <c r="M877" i="27"/>
  <c r="G878" i="27"/>
  <c r="H878" i="27"/>
  <c r="I878" i="27"/>
  <c r="J878" i="27"/>
  <c r="K878" i="27"/>
  <c r="L878" i="27"/>
  <c r="M878" i="27"/>
  <c r="G879" i="27"/>
  <c r="H879" i="27"/>
  <c r="I879" i="27"/>
  <c r="J879" i="27"/>
  <c r="K879" i="27"/>
  <c r="L879" i="27"/>
  <c r="M879" i="27"/>
  <c r="G880" i="27"/>
  <c r="H880" i="27"/>
  <c r="I880" i="27"/>
  <c r="J880" i="27"/>
  <c r="K880" i="27"/>
  <c r="L880" i="27"/>
  <c r="M880" i="27"/>
  <c r="G881" i="27"/>
  <c r="H881" i="27"/>
  <c r="I881" i="27"/>
  <c r="J881" i="27"/>
  <c r="K881" i="27"/>
  <c r="L881" i="27"/>
  <c r="M881" i="27"/>
  <c r="G882" i="27"/>
  <c r="H882" i="27"/>
  <c r="I882" i="27"/>
  <c r="J882" i="27"/>
  <c r="K882" i="27"/>
  <c r="L882" i="27"/>
  <c r="M882" i="27"/>
  <c r="G883" i="27"/>
  <c r="H883" i="27"/>
  <c r="I883" i="27"/>
  <c r="J883" i="27"/>
  <c r="K883" i="27"/>
  <c r="L883" i="27"/>
  <c r="M883" i="27"/>
  <c r="G884" i="27"/>
  <c r="H884" i="27"/>
  <c r="I884" i="27"/>
  <c r="J884" i="27"/>
  <c r="K884" i="27"/>
  <c r="L884" i="27"/>
  <c r="M884" i="27"/>
  <c r="G885" i="27"/>
  <c r="H885" i="27"/>
  <c r="I885" i="27"/>
  <c r="J885" i="27"/>
  <c r="K885" i="27"/>
  <c r="L885" i="27"/>
  <c r="M885" i="27"/>
  <c r="G886" i="27"/>
  <c r="H886" i="27"/>
  <c r="I886" i="27"/>
  <c r="J886" i="27"/>
  <c r="K886" i="27"/>
  <c r="L886" i="27"/>
  <c r="M886" i="27"/>
  <c r="G887" i="27"/>
  <c r="H887" i="27"/>
  <c r="I887" i="27"/>
  <c r="J887" i="27"/>
  <c r="K887" i="27"/>
  <c r="L887" i="27"/>
  <c r="M887" i="27"/>
  <c r="G888" i="27"/>
  <c r="H888" i="27"/>
  <c r="I888" i="27"/>
  <c r="J888" i="27"/>
  <c r="K888" i="27"/>
  <c r="L888" i="27"/>
  <c r="M888" i="27"/>
  <c r="G889" i="27"/>
  <c r="H889" i="27"/>
  <c r="I889" i="27"/>
  <c r="J889" i="27"/>
  <c r="K889" i="27"/>
  <c r="L889" i="27"/>
  <c r="M889" i="27"/>
  <c r="G890" i="27"/>
  <c r="H890" i="27"/>
  <c r="I890" i="27"/>
  <c r="J890" i="27"/>
  <c r="K890" i="27"/>
  <c r="L890" i="27"/>
  <c r="M890" i="27"/>
  <c r="G891" i="27"/>
  <c r="H891" i="27"/>
  <c r="I891" i="27"/>
  <c r="J891" i="27"/>
  <c r="K891" i="27"/>
  <c r="L891" i="27"/>
  <c r="M891" i="27"/>
  <c r="G892" i="27"/>
  <c r="H892" i="27"/>
  <c r="I892" i="27"/>
  <c r="J892" i="27"/>
  <c r="K892" i="27"/>
  <c r="L892" i="27"/>
  <c r="M892" i="27"/>
  <c r="G893" i="27"/>
  <c r="H893" i="27"/>
  <c r="I893" i="27"/>
  <c r="J893" i="27"/>
  <c r="K893" i="27"/>
  <c r="L893" i="27"/>
  <c r="M893" i="27"/>
  <c r="G894" i="27"/>
  <c r="H894" i="27"/>
  <c r="I894" i="27"/>
  <c r="J894" i="27"/>
  <c r="K894" i="27"/>
  <c r="L894" i="27"/>
  <c r="M894" i="27"/>
  <c r="G895" i="27"/>
  <c r="H895" i="27"/>
  <c r="I895" i="27"/>
  <c r="J895" i="27"/>
  <c r="K895" i="27"/>
  <c r="L895" i="27"/>
  <c r="M895" i="27"/>
  <c r="G896" i="27"/>
  <c r="H896" i="27"/>
  <c r="I896" i="27"/>
  <c r="J896" i="27"/>
  <c r="K896" i="27"/>
  <c r="L896" i="27"/>
  <c r="M896" i="27"/>
  <c r="G897" i="27"/>
  <c r="H897" i="27"/>
  <c r="I897" i="27"/>
  <c r="J897" i="27"/>
  <c r="K897" i="27"/>
  <c r="L897" i="27"/>
  <c r="M897" i="27"/>
  <c r="G898" i="27"/>
  <c r="H898" i="27"/>
  <c r="I898" i="27"/>
  <c r="J898" i="27"/>
  <c r="K898" i="27"/>
  <c r="L898" i="27"/>
  <c r="M898" i="27"/>
  <c r="G899" i="27"/>
  <c r="H899" i="27"/>
  <c r="I899" i="27"/>
  <c r="J899" i="27"/>
  <c r="K899" i="27"/>
  <c r="L899" i="27"/>
  <c r="M899" i="27"/>
  <c r="G900" i="27"/>
  <c r="H900" i="27"/>
  <c r="I900" i="27"/>
  <c r="J900" i="27"/>
  <c r="K900" i="27"/>
  <c r="L900" i="27"/>
  <c r="M900" i="27"/>
  <c r="G901" i="27"/>
  <c r="H901" i="27"/>
  <c r="I901" i="27"/>
  <c r="J901" i="27"/>
  <c r="K901" i="27"/>
  <c r="L901" i="27"/>
  <c r="M901" i="27"/>
  <c r="G902" i="27"/>
  <c r="H902" i="27"/>
  <c r="I902" i="27"/>
  <c r="J902" i="27"/>
  <c r="K902" i="27"/>
  <c r="L902" i="27"/>
  <c r="M902" i="27"/>
  <c r="G903" i="27"/>
  <c r="H903" i="27"/>
  <c r="I903" i="27"/>
  <c r="J903" i="27"/>
  <c r="K903" i="27"/>
  <c r="L903" i="27"/>
  <c r="M903" i="27"/>
  <c r="G904" i="27"/>
  <c r="H904" i="27"/>
  <c r="I904" i="27"/>
  <c r="J904" i="27"/>
  <c r="K904" i="27"/>
  <c r="L904" i="27"/>
  <c r="M904" i="27"/>
  <c r="G905" i="27"/>
  <c r="H905" i="27"/>
  <c r="I905" i="27"/>
  <c r="J905" i="27"/>
  <c r="K905" i="27"/>
  <c r="L905" i="27"/>
  <c r="M905" i="27"/>
  <c r="G906" i="27"/>
  <c r="H906" i="27"/>
  <c r="I906" i="27"/>
  <c r="J906" i="27"/>
  <c r="K906" i="27"/>
  <c r="L906" i="27"/>
  <c r="M906" i="27"/>
  <c r="G907" i="27"/>
  <c r="H907" i="27"/>
  <c r="I907" i="27"/>
  <c r="J907" i="27"/>
  <c r="K907" i="27"/>
  <c r="L907" i="27"/>
  <c r="M907" i="27"/>
  <c r="G908" i="27"/>
  <c r="H908" i="27"/>
  <c r="I908" i="27"/>
  <c r="J908" i="27"/>
  <c r="K908" i="27"/>
  <c r="L908" i="27"/>
  <c r="M908" i="27"/>
  <c r="G909" i="27"/>
  <c r="H909" i="27"/>
  <c r="I909" i="27"/>
  <c r="J909" i="27"/>
  <c r="K909" i="27"/>
  <c r="L909" i="27"/>
  <c r="M909" i="27"/>
  <c r="G910" i="27"/>
  <c r="H910" i="27"/>
  <c r="I910" i="27"/>
  <c r="J910" i="27"/>
  <c r="K910" i="27"/>
  <c r="L910" i="27"/>
  <c r="M910" i="27"/>
  <c r="G911" i="27"/>
  <c r="H911" i="27"/>
  <c r="I911" i="27"/>
  <c r="J911" i="27"/>
  <c r="K911" i="27"/>
  <c r="L911" i="27"/>
  <c r="M911" i="27"/>
  <c r="G912" i="27"/>
  <c r="H912" i="27"/>
  <c r="I912" i="27"/>
  <c r="J912" i="27"/>
  <c r="K912" i="27"/>
  <c r="L912" i="27"/>
  <c r="M912" i="27"/>
  <c r="G913" i="27"/>
  <c r="H913" i="27"/>
  <c r="I913" i="27"/>
  <c r="J913" i="27"/>
  <c r="K913" i="27"/>
  <c r="L913" i="27"/>
  <c r="M913" i="27"/>
  <c r="G914" i="27"/>
  <c r="H914" i="27"/>
  <c r="I914" i="27"/>
  <c r="J914" i="27"/>
  <c r="K914" i="27"/>
  <c r="L914" i="27"/>
  <c r="M914" i="27"/>
  <c r="G915" i="27"/>
  <c r="H915" i="27"/>
  <c r="I915" i="27"/>
  <c r="J915" i="27"/>
  <c r="K915" i="27"/>
  <c r="L915" i="27"/>
  <c r="M915" i="27"/>
  <c r="G916" i="27"/>
  <c r="H916" i="27"/>
  <c r="I916" i="27"/>
  <c r="J916" i="27"/>
  <c r="K916" i="27"/>
  <c r="L916" i="27"/>
  <c r="M916" i="27"/>
  <c r="G917" i="27"/>
  <c r="H917" i="27"/>
  <c r="I917" i="27"/>
  <c r="J917" i="27"/>
  <c r="K917" i="27"/>
  <c r="L917" i="27"/>
  <c r="M917" i="27"/>
  <c r="G918" i="27"/>
  <c r="H918" i="27"/>
  <c r="I918" i="27"/>
  <c r="J918" i="27"/>
  <c r="K918" i="27"/>
  <c r="L918" i="27"/>
  <c r="M918" i="27"/>
  <c r="G919" i="27"/>
  <c r="H919" i="27"/>
  <c r="I919" i="27"/>
  <c r="J919" i="27"/>
  <c r="K919" i="27"/>
  <c r="L919" i="27"/>
  <c r="M919" i="27"/>
  <c r="G920" i="27"/>
  <c r="H920" i="27"/>
  <c r="I920" i="27"/>
  <c r="J920" i="27"/>
  <c r="K920" i="27"/>
  <c r="L920" i="27"/>
  <c r="M920" i="27"/>
  <c r="G921" i="27"/>
  <c r="H921" i="27"/>
  <c r="I921" i="27"/>
  <c r="J921" i="27"/>
  <c r="K921" i="27"/>
  <c r="L921" i="27"/>
  <c r="M921" i="27"/>
  <c r="G922" i="27"/>
  <c r="H922" i="27"/>
  <c r="I922" i="27"/>
  <c r="J922" i="27"/>
  <c r="K922" i="27"/>
  <c r="L922" i="27"/>
  <c r="M922" i="27"/>
  <c r="G923" i="27"/>
  <c r="H923" i="27"/>
  <c r="I923" i="27"/>
  <c r="J923" i="27"/>
  <c r="K923" i="27"/>
  <c r="L923" i="27"/>
  <c r="M923" i="27"/>
  <c r="G924" i="27"/>
  <c r="H924" i="27"/>
  <c r="I924" i="27"/>
  <c r="J924" i="27"/>
  <c r="K924" i="27"/>
  <c r="L924" i="27"/>
  <c r="M924" i="27"/>
  <c r="G925" i="27"/>
  <c r="H925" i="27"/>
  <c r="I925" i="27"/>
  <c r="J925" i="27"/>
  <c r="K925" i="27"/>
  <c r="L925" i="27"/>
  <c r="M925" i="27"/>
  <c r="G926" i="27"/>
  <c r="H926" i="27"/>
  <c r="I926" i="27"/>
  <c r="J926" i="27"/>
  <c r="K926" i="27"/>
  <c r="L926" i="27"/>
  <c r="M926" i="27"/>
  <c r="G927" i="27"/>
  <c r="H927" i="27"/>
  <c r="I927" i="27"/>
  <c r="J927" i="27"/>
  <c r="K927" i="27"/>
  <c r="L927" i="27"/>
  <c r="M927" i="27"/>
  <c r="G928" i="27"/>
  <c r="H928" i="27"/>
  <c r="I928" i="27"/>
  <c r="J928" i="27"/>
  <c r="K928" i="27"/>
  <c r="L928" i="27"/>
  <c r="M928" i="27"/>
  <c r="G929" i="27"/>
  <c r="H929" i="27"/>
  <c r="I929" i="27"/>
  <c r="J929" i="27"/>
  <c r="K929" i="27"/>
  <c r="L929" i="27"/>
  <c r="M929" i="27"/>
  <c r="G930" i="27"/>
  <c r="H930" i="27"/>
  <c r="I930" i="27"/>
  <c r="J930" i="27"/>
  <c r="K930" i="27"/>
  <c r="L930" i="27"/>
  <c r="M930" i="27"/>
  <c r="G931" i="27"/>
  <c r="H931" i="27"/>
  <c r="I931" i="27"/>
  <c r="J931" i="27"/>
  <c r="K931" i="27"/>
  <c r="L931" i="27"/>
  <c r="M931" i="27"/>
  <c r="G932" i="27"/>
  <c r="H932" i="27"/>
  <c r="I932" i="27"/>
  <c r="J932" i="27"/>
  <c r="K932" i="27"/>
  <c r="L932" i="27"/>
  <c r="M932" i="27"/>
  <c r="G933" i="27"/>
  <c r="H933" i="27"/>
  <c r="I933" i="27"/>
  <c r="J933" i="27"/>
  <c r="K933" i="27"/>
  <c r="L933" i="27"/>
  <c r="M933" i="27"/>
  <c r="G934" i="27"/>
  <c r="H934" i="27"/>
  <c r="I934" i="27"/>
  <c r="J934" i="27"/>
  <c r="K934" i="27"/>
  <c r="L934" i="27"/>
  <c r="M934" i="27"/>
  <c r="G935" i="27"/>
  <c r="H935" i="27"/>
  <c r="I935" i="27"/>
  <c r="J935" i="27"/>
  <c r="K935" i="27"/>
  <c r="L935" i="27"/>
  <c r="M935" i="27"/>
  <c r="G936" i="27"/>
  <c r="H936" i="27"/>
  <c r="I936" i="27"/>
  <c r="J936" i="27"/>
  <c r="K936" i="27"/>
  <c r="L936" i="27"/>
  <c r="M936" i="27"/>
  <c r="G937" i="27"/>
  <c r="H937" i="27"/>
  <c r="I937" i="27"/>
  <c r="J937" i="27"/>
  <c r="K937" i="27"/>
  <c r="L937" i="27"/>
  <c r="M937" i="27"/>
  <c r="G938" i="27"/>
  <c r="H938" i="27"/>
  <c r="I938" i="27"/>
  <c r="J938" i="27"/>
  <c r="K938" i="27"/>
  <c r="L938" i="27"/>
  <c r="M938" i="27"/>
  <c r="G939" i="27"/>
  <c r="H939" i="27"/>
  <c r="I939" i="27"/>
  <c r="J939" i="27"/>
  <c r="K939" i="27"/>
  <c r="L939" i="27"/>
  <c r="M939" i="27"/>
  <c r="G940" i="27"/>
  <c r="H940" i="27"/>
  <c r="I940" i="27"/>
  <c r="J940" i="27"/>
  <c r="K940" i="27"/>
  <c r="L940" i="27"/>
  <c r="M940" i="27"/>
  <c r="G941" i="27"/>
  <c r="H941" i="27"/>
  <c r="I941" i="27"/>
  <c r="J941" i="27"/>
  <c r="K941" i="27"/>
  <c r="L941" i="27"/>
  <c r="M941" i="27"/>
  <c r="G942" i="27"/>
  <c r="H942" i="27"/>
  <c r="I942" i="27"/>
  <c r="J942" i="27"/>
  <c r="K942" i="27"/>
  <c r="L942" i="27"/>
  <c r="M942" i="27"/>
  <c r="G943" i="27"/>
  <c r="H943" i="27"/>
  <c r="I943" i="27"/>
  <c r="J943" i="27"/>
  <c r="K943" i="27"/>
  <c r="L943" i="27"/>
  <c r="M943" i="27"/>
  <c r="G944" i="27"/>
  <c r="H944" i="27"/>
  <c r="I944" i="27"/>
  <c r="J944" i="27"/>
  <c r="K944" i="27"/>
  <c r="L944" i="27"/>
  <c r="M944" i="27"/>
  <c r="G945" i="27"/>
  <c r="H945" i="27"/>
  <c r="I945" i="27"/>
  <c r="J945" i="27"/>
  <c r="K945" i="27"/>
  <c r="L945" i="27"/>
  <c r="M945" i="27"/>
  <c r="G946" i="27"/>
  <c r="H946" i="27"/>
  <c r="I946" i="27"/>
  <c r="J946" i="27"/>
  <c r="K946" i="27"/>
  <c r="L946" i="27"/>
  <c r="M946" i="27"/>
  <c r="G947" i="27"/>
  <c r="H947" i="27"/>
  <c r="I947" i="27"/>
  <c r="J947" i="27"/>
  <c r="K947" i="27"/>
  <c r="L947" i="27"/>
  <c r="M947" i="27"/>
  <c r="G948" i="27"/>
  <c r="H948" i="27"/>
  <c r="I948" i="27"/>
  <c r="J948" i="27"/>
  <c r="K948" i="27"/>
  <c r="L948" i="27"/>
  <c r="M948" i="27"/>
  <c r="G949" i="27"/>
  <c r="H949" i="27"/>
  <c r="I949" i="27"/>
  <c r="J949" i="27"/>
  <c r="K949" i="27"/>
  <c r="L949" i="27"/>
  <c r="M949" i="27"/>
  <c r="G950" i="27"/>
  <c r="H950" i="27"/>
  <c r="I950" i="27"/>
  <c r="J950" i="27"/>
  <c r="K950" i="27"/>
  <c r="L950" i="27"/>
  <c r="M950" i="27"/>
  <c r="G951" i="27"/>
  <c r="H951" i="27"/>
  <c r="I951" i="27"/>
  <c r="J951" i="27"/>
  <c r="K951" i="27"/>
  <c r="L951" i="27"/>
  <c r="M951" i="27"/>
  <c r="G952" i="27"/>
  <c r="H952" i="27"/>
  <c r="I952" i="27"/>
  <c r="J952" i="27"/>
  <c r="K952" i="27"/>
  <c r="L952" i="27"/>
  <c r="M952" i="27"/>
  <c r="G953" i="27"/>
  <c r="H953" i="27"/>
  <c r="I953" i="27"/>
  <c r="J953" i="27"/>
  <c r="K953" i="27"/>
  <c r="L953" i="27"/>
  <c r="M953" i="27"/>
  <c r="G954" i="27"/>
  <c r="H954" i="27"/>
  <c r="I954" i="27"/>
  <c r="J954" i="27"/>
  <c r="K954" i="27"/>
  <c r="L954" i="27"/>
  <c r="M954" i="27"/>
  <c r="G955" i="27"/>
  <c r="H955" i="27"/>
  <c r="I955" i="27"/>
  <c r="J955" i="27"/>
  <c r="K955" i="27"/>
  <c r="L955" i="27"/>
  <c r="M955" i="27"/>
  <c r="G956" i="27"/>
  <c r="H956" i="27"/>
  <c r="I956" i="27"/>
  <c r="J956" i="27"/>
  <c r="K956" i="27"/>
  <c r="L956" i="27"/>
  <c r="M956" i="27"/>
  <c r="G957" i="27"/>
  <c r="H957" i="27"/>
  <c r="I957" i="27"/>
  <c r="J957" i="27"/>
  <c r="K957" i="27"/>
  <c r="L957" i="27"/>
  <c r="M957" i="27"/>
  <c r="G958" i="27"/>
  <c r="H958" i="27"/>
  <c r="I958" i="27"/>
  <c r="J958" i="27"/>
  <c r="K958" i="27"/>
  <c r="L958" i="27"/>
  <c r="M958" i="27"/>
  <c r="G959" i="27"/>
  <c r="H959" i="27"/>
  <c r="I959" i="27"/>
  <c r="J959" i="27"/>
  <c r="K959" i="27"/>
  <c r="L959" i="27"/>
  <c r="M959" i="27"/>
  <c r="G960" i="27"/>
  <c r="H960" i="27"/>
  <c r="I960" i="27"/>
  <c r="J960" i="27"/>
  <c r="K960" i="27"/>
  <c r="L960" i="27"/>
  <c r="M960" i="27"/>
  <c r="G961" i="27"/>
  <c r="H961" i="27"/>
  <c r="I961" i="27"/>
  <c r="J961" i="27"/>
  <c r="K961" i="27"/>
  <c r="L961" i="27"/>
  <c r="M961" i="27"/>
  <c r="G962" i="27"/>
  <c r="H962" i="27"/>
  <c r="I962" i="27"/>
  <c r="J962" i="27"/>
  <c r="K962" i="27"/>
  <c r="L962" i="27"/>
  <c r="M962" i="27"/>
  <c r="G963" i="27"/>
  <c r="H963" i="27"/>
  <c r="I963" i="27"/>
  <c r="J963" i="27"/>
  <c r="K963" i="27"/>
  <c r="L963" i="27"/>
  <c r="M963" i="27"/>
  <c r="G964" i="27"/>
  <c r="H964" i="27"/>
  <c r="I964" i="27"/>
  <c r="J964" i="27"/>
  <c r="K964" i="27"/>
  <c r="L964" i="27"/>
  <c r="M964" i="27"/>
  <c r="G965" i="27"/>
  <c r="H965" i="27"/>
  <c r="I965" i="27"/>
  <c r="J965" i="27"/>
  <c r="K965" i="27"/>
  <c r="L965" i="27"/>
  <c r="M965" i="27"/>
  <c r="G966" i="27"/>
  <c r="H966" i="27"/>
  <c r="I966" i="27"/>
  <c r="J966" i="27"/>
  <c r="K966" i="27"/>
  <c r="L966" i="27"/>
  <c r="M966" i="27"/>
  <c r="G967" i="27"/>
  <c r="H967" i="27"/>
  <c r="I967" i="27"/>
  <c r="J967" i="27"/>
  <c r="K967" i="27"/>
  <c r="L967" i="27"/>
  <c r="M967" i="27"/>
  <c r="G968" i="27"/>
  <c r="H968" i="27"/>
  <c r="I968" i="27"/>
  <c r="J968" i="27"/>
  <c r="K968" i="27"/>
  <c r="L968" i="27"/>
  <c r="M968" i="27"/>
  <c r="G969" i="27"/>
  <c r="H969" i="27"/>
  <c r="I969" i="27"/>
  <c r="J969" i="27"/>
  <c r="K969" i="27"/>
  <c r="L969" i="27"/>
  <c r="M969" i="27"/>
  <c r="G970" i="27"/>
  <c r="H970" i="27"/>
  <c r="I970" i="27"/>
  <c r="J970" i="27"/>
  <c r="K970" i="27"/>
  <c r="L970" i="27"/>
  <c r="M970" i="27"/>
  <c r="G971" i="27"/>
  <c r="H971" i="27"/>
  <c r="I971" i="27"/>
  <c r="J971" i="27"/>
  <c r="K971" i="27"/>
  <c r="L971" i="27"/>
  <c r="M971" i="27"/>
  <c r="G972" i="27"/>
  <c r="H972" i="27"/>
  <c r="I972" i="27"/>
  <c r="J972" i="27"/>
  <c r="K972" i="27"/>
  <c r="L972" i="27"/>
  <c r="M972" i="27"/>
  <c r="G973" i="27"/>
  <c r="H973" i="27"/>
  <c r="I973" i="27"/>
  <c r="J973" i="27"/>
  <c r="K973" i="27"/>
  <c r="L973" i="27"/>
  <c r="M973" i="27"/>
  <c r="G974" i="27"/>
  <c r="H974" i="27"/>
  <c r="I974" i="27"/>
  <c r="J974" i="27"/>
  <c r="K974" i="27"/>
  <c r="L974" i="27"/>
  <c r="M974" i="27"/>
  <c r="G975" i="27"/>
  <c r="H975" i="27"/>
  <c r="I975" i="27"/>
  <c r="J975" i="27"/>
  <c r="K975" i="27"/>
  <c r="L975" i="27"/>
  <c r="M975" i="27"/>
  <c r="G976" i="27"/>
  <c r="H976" i="27"/>
  <c r="I976" i="27"/>
  <c r="J976" i="27"/>
  <c r="K976" i="27"/>
  <c r="L976" i="27"/>
  <c r="M976" i="27"/>
  <c r="G977" i="27"/>
  <c r="H977" i="27"/>
  <c r="I977" i="27"/>
  <c r="J977" i="27"/>
  <c r="K977" i="27"/>
  <c r="L977" i="27"/>
  <c r="M977" i="27"/>
  <c r="G978" i="27"/>
  <c r="H978" i="27"/>
  <c r="I978" i="27"/>
  <c r="J978" i="27"/>
  <c r="K978" i="27"/>
  <c r="L978" i="27"/>
  <c r="M978" i="27"/>
  <c r="G979" i="27"/>
  <c r="H979" i="27"/>
  <c r="I979" i="27"/>
  <c r="J979" i="27"/>
  <c r="K979" i="27"/>
  <c r="L979" i="27"/>
  <c r="M979" i="27"/>
  <c r="G980" i="27"/>
  <c r="H980" i="27"/>
  <c r="I980" i="27"/>
  <c r="J980" i="27"/>
  <c r="K980" i="27"/>
  <c r="L980" i="27"/>
  <c r="M980" i="27"/>
  <c r="G981" i="27"/>
  <c r="H981" i="27"/>
  <c r="I981" i="27"/>
  <c r="J981" i="27"/>
  <c r="K981" i="27"/>
  <c r="L981" i="27"/>
  <c r="M981" i="27"/>
  <c r="G982" i="27"/>
  <c r="H982" i="27"/>
  <c r="I982" i="27"/>
  <c r="J982" i="27"/>
  <c r="K982" i="27"/>
  <c r="L982" i="27"/>
  <c r="M982" i="27"/>
  <c r="G983" i="27"/>
  <c r="H983" i="27"/>
  <c r="I983" i="27"/>
  <c r="J983" i="27"/>
  <c r="K983" i="27"/>
  <c r="L983" i="27"/>
  <c r="M983" i="27"/>
  <c r="G984" i="27"/>
  <c r="H984" i="27"/>
  <c r="I984" i="27"/>
  <c r="J984" i="27"/>
  <c r="K984" i="27"/>
  <c r="L984" i="27"/>
  <c r="M984" i="27"/>
  <c r="G985" i="27"/>
  <c r="H985" i="27"/>
  <c r="I985" i="27"/>
  <c r="J985" i="27"/>
  <c r="K985" i="27"/>
  <c r="L985" i="27"/>
  <c r="M985" i="27"/>
  <c r="G986" i="27"/>
  <c r="H986" i="27"/>
  <c r="I986" i="27"/>
  <c r="J986" i="27"/>
  <c r="K986" i="27"/>
  <c r="L986" i="27"/>
  <c r="M986" i="27"/>
  <c r="G987" i="27"/>
  <c r="H987" i="27"/>
  <c r="I987" i="27"/>
  <c r="J987" i="27"/>
  <c r="K987" i="27"/>
  <c r="L987" i="27"/>
  <c r="M987" i="27"/>
  <c r="G988" i="27"/>
  <c r="H988" i="27"/>
  <c r="I988" i="27"/>
  <c r="J988" i="27"/>
  <c r="K988" i="27"/>
  <c r="L988" i="27"/>
  <c r="M988" i="27"/>
  <c r="G989" i="27"/>
  <c r="H989" i="27"/>
  <c r="I989" i="27"/>
  <c r="J989" i="27"/>
  <c r="K989" i="27"/>
  <c r="L989" i="27"/>
  <c r="M989" i="27"/>
  <c r="G990" i="27"/>
  <c r="H990" i="27"/>
  <c r="I990" i="27"/>
  <c r="J990" i="27"/>
  <c r="K990" i="27"/>
  <c r="L990" i="27"/>
  <c r="M990" i="27"/>
  <c r="G991" i="27"/>
  <c r="H991" i="27"/>
  <c r="I991" i="27"/>
  <c r="J991" i="27"/>
  <c r="K991" i="27"/>
  <c r="L991" i="27"/>
  <c r="M991" i="27"/>
  <c r="G992" i="27"/>
  <c r="H992" i="27"/>
  <c r="I992" i="27"/>
  <c r="J992" i="27"/>
  <c r="K992" i="27"/>
  <c r="L992" i="27"/>
  <c r="M992" i="27"/>
  <c r="G993" i="27"/>
  <c r="H993" i="27"/>
  <c r="I993" i="27"/>
  <c r="J993" i="27"/>
  <c r="K993" i="27"/>
  <c r="L993" i="27"/>
  <c r="M993" i="27"/>
  <c r="G994" i="27"/>
  <c r="H994" i="27"/>
  <c r="I994" i="27"/>
  <c r="J994" i="27"/>
  <c r="K994" i="27"/>
  <c r="L994" i="27"/>
  <c r="M994" i="27"/>
  <c r="G995" i="27"/>
  <c r="H995" i="27"/>
  <c r="I995" i="27"/>
  <c r="J995" i="27"/>
  <c r="K995" i="27"/>
  <c r="L995" i="27"/>
  <c r="M995" i="27"/>
  <c r="G996" i="27"/>
  <c r="H996" i="27"/>
  <c r="I996" i="27"/>
  <c r="J996" i="27"/>
  <c r="K996" i="27"/>
  <c r="L996" i="27"/>
  <c r="M996" i="27"/>
  <c r="G997" i="27"/>
  <c r="H997" i="27"/>
  <c r="I997" i="27"/>
  <c r="J997" i="27"/>
  <c r="K997" i="27"/>
  <c r="L997" i="27"/>
  <c r="M997" i="27"/>
  <c r="G998" i="27"/>
  <c r="H998" i="27"/>
  <c r="I998" i="27"/>
  <c r="J998" i="27"/>
  <c r="K998" i="27"/>
  <c r="L998" i="27"/>
  <c r="M998" i="27"/>
  <c r="G999" i="27"/>
  <c r="H999" i="27"/>
  <c r="I999" i="27"/>
  <c r="J999" i="27"/>
  <c r="K999" i="27"/>
  <c r="L999" i="27"/>
  <c r="M999" i="27"/>
  <c r="G1000" i="27"/>
  <c r="H1000" i="27"/>
  <c r="I1000" i="27"/>
  <c r="J1000" i="27"/>
  <c r="K1000" i="27"/>
  <c r="L1000" i="27"/>
  <c r="M1000" i="27"/>
  <c r="G1001" i="27"/>
  <c r="H1001" i="27"/>
  <c r="I1001" i="27"/>
  <c r="J1001" i="27"/>
  <c r="K1001" i="27"/>
  <c r="L1001" i="27"/>
  <c r="M1001" i="27"/>
  <c r="G1002" i="27"/>
  <c r="H1002" i="27"/>
  <c r="I1002" i="27"/>
  <c r="J1002" i="27"/>
  <c r="K1002" i="27"/>
  <c r="L1002" i="27"/>
  <c r="M1002" i="27"/>
  <c r="H3" i="27"/>
  <c r="I3" i="27"/>
  <c r="J3" i="27"/>
  <c r="K3" i="27"/>
  <c r="L3" i="27"/>
  <c r="M3" i="27"/>
  <c r="B4" i="27"/>
  <c r="C4" i="27"/>
  <c r="D4" i="27"/>
  <c r="E4" i="27"/>
  <c r="F4" i="27"/>
  <c r="B5" i="27"/>
  <c r="C5" i="27"/>
  <c r="D5" i="27"/>
  <c r="E5" i="27"/>
  <c r="F5" i="27"/>
  <c r="B6" i="27"/>
  <c r="C6" i="27"/>
  <c r="D6" i="27"/>
  <c r="E6" i="27"/>
  <c r="F6" i="27"/>
  <c r="B7" i="27"/>
  <c r="C7" i="27"/>
  <c r="D7" i="27"/>
  <c r="E7" i="27"/>
  <c r="F7" i="27"/>
  <c r="B8" i="27"/>
  <c r="C8" i="27"/>
  <c r="D8" i="27"/>
  <c r="E8" i="27"/>
  <c r="F8" i="27"/>
  <c r="B9" i="27"/>
  <c r="C9" i="27"/>
  <c r="D9" i="27"/>
  <c r="E9" i="27"/>
  <c r="F9" i="27"/>
  <c r="B10" i="27"/>
  <c r="C10" i="27"/>
  <c r="D10" i="27"/>
  <c r="E10" i="27"/>
  <c r="F10" i="27"/>
  <c r="B11" i="27"/>
  <c r="C11" i="27"/>
  <c r="D11" i="27"/>
  <c r="E11" i="27"/>
  <c r="F11" i="27"/>
  <c r="B12" i="27"/>
  <c r="C12" i="27"/>
  <c r="D12" i="27"/>
  <c r="E12" i="27"/>
  <c r="F12" i="27"/>
  <c r="B13" i="27"/>
  <c r="C13" i="27"/>
  <c r="D13" i="27"/>
  <c r="E13" i="27"/>
  <c r="F13" i="27"/>
  <c r="B14" i="27"/>
  <c r="C14" i="27"/>
  <c r="D14" i="27"/>
  <c r="E14" i="27"/>
  <c r="F14" i="27"/>
  <c r="B15" i="27"/>
  <c r="C15" i="27"/>
  <c r="D15" i="27"/>
  <c r="E15" i="27"/>
  <c r="F15" i="27"/>
  <c r="B16" i="27"/>
  <c r="C16" i="27"/>
  <c r="D16" i="27"/>
  <c r="E16" i="27"/>
  <c r="F16" i="27"/>
  <c r="B17" i="27"/>
  <c r="C17" i="27"/>
  <c r="D17" i="27"/>
  <c r="E17" i="27"/>
  <c r="F17" i="27"/>
  <c r="B18" i="27"/>
  <c r="C18" i="27"/>
  <c r="D18" i="27"/>
  <c r="E18" i="27"/>
  <c r="F18" i="27"/>
  <c r="B19" i="27"/>
  <c r="C19" i="27"/>
  <c r="D19" i="27"/>
  <c r="E19" i="27"/>
  <c r="F19" i="27"/>
  <c r="B20" i="27"/>
  <c r="C20" i="27"/>
  <c r="D20" i="27"/>
  <c r="E20" i="27"/>
  <c r="F20" i="27"/>
  <c r="B21" i="27"/>
  <c r="C21" i="27"/>
  <c r="D21" i="27"/>
  <c r="E21" i="27"/>
  <c r="F21" i="27"/>
  <c r="B22" i="27"/>
  <c r="C22" i="27"/>
  <c r="D22" i="27"/>
  <c r="E22" i="27"/>
  <c r="F22" i="27"/>
  <c r="B23" i="27"/>
  <c r="C23" i="27"/>
  <c r="D23" i="27"/>
  <c r="E23" i="27"/>
  <c r="F23" i="27"/>
  <c r="B24" i="27"/>
  <c r="C24" i="27"/>
  <c r="D24" i="27"/>
  <c r="E24" i="27"/>
  <c r="F24" i="27"/>
  <c r="B25" i="27"/>
  <c r="C25" i="27"/>
  <c r="D25" i="27"/>
  <c r="E25" i="27"/>
  <c r="F25" i="27"/>
  <c r="B26" i="27"/>
  <c r="C26" i="27"/>
  <c r="D26" i="27"/>
  <c r="E26" i="27"/>
  <c r="F26" i="27"/>
  <c r="B27" i="27"/>
  <c r="C27" i="27"/>
  <c r="D27" i="27"/>
  <c r="E27" i="27"/>
  <c r="F27" i="27"/>
  <c r="B28" i="27"/>
  <c r="C28" i="27"/>
  <c r="D28" i="27"/>
  <c r="E28" i="27"/>
  <c r="F28" i="27"/>
  <c r="B29" i="27"/>
  <c r="C29" i="27"/>
  <c r="D29" i="27"/>
  <c r="E29" i="27"/>
  <c r="F29" i="27"/>
  <c r="B30" i="27"/>
  <c r="C30" i="27"/>
  <c r="D30" i="27"/>
  <c r="E30" i="27"/>
  <c r="F30" i="27"/>
  <c r="B31" i="27"/>
  <c r="C31" i="27"/>
  <c r="D31" i="27"/>
  <c r="E31" i="27"/>
  <c r="F31" i="27"/>
  <c r="B32" i="27"/>
  <c r="C32" i="27"/>
  <c r="D32" i="27"/>
  <c r="E32" i="27"/>
  <c r="F32" i="27"/>
  <c r="B33" i="27"/>
  <c r="C33" i="27"/>
  <c r="D33" i="27"/>
  <c r="E33" i="27"/>
  <c r="F33" i="27"/>
  <c r="B34" i="27"/>
  <c r="C34" i="27"/>
  <c r="D34" i="27"/>
  <c r="E34" i="27"/>
  <c r="F34" i="27"/>
  <c r="B35" i="27"/>
  <c r="C35" i="27"/>
  <c r="D35" i="27"/>
  <c r="E35" i="27"/>
  <c r="F35" i="27"/>
  <c r="B36" i="27"/>
  <c r="C36" i="27"/>
  <c r="D36" i="27"/>
  <c r="E36" i="27"/>
  <c r="F36" i="27"/>
  <c r="B37" i="27"/>
  <c r="C37" i="27"/>
  <c r="D37" i="27"/>
  <c r="E37" i="27"/>
  <c r="F37" i="27"/>
  <c r="B38" i="27"/>
  <c r="C38" i="27"/>
  <c r="D38" i="27"/>
  <c r="E38" i="27"/>
  <c r="F38" i="27"/>
  <c r="B39" i="27"/>
  <c r="C39" i="27"/>
  <c r="D39" i="27"/>
  <c r="E39" i="27"/>
  <c r="F39" i="27"/>
  <c r="B40" i="27"/>
  <c r="C40" i="27"/>
  <c r="D40" i="27"/>
  <c r="E40" i="27"/>
  <c r="F40" i="27"/>
  <c r="B41" i="27"/>
  <c r="C41" i="27"/>
  <c r="D41" i="27"/>
  <c r="E41" i="27"/>
  <c r="F41" i="27"/>
  <c r="B42" i="27"/>
  <c r="C42" i="27"/>
  <c r="D42" i="27"/>
  <c r="E42" i="27"/>
  <c r="F42" i="27"/>
  <c r="B43" i="27"/>
  <c r="C43" i="27"/>
  <c r="D43" i="27"/>
  <c r="E43" i="27"/>
  <c r="F43" i="27"/>
  <c r="B44" i="27"/>
  <c r="C44" i="27"/>
  <c r="D44" i="27"/>
  <c r="E44" i="27"/>
  <c r="F44" i="27"/>
  <c r="B45" i="27"/>
  <c r="C45" i="27"/>
  <c r="D45" i="27"/>
  <c r="E45" i="27"/>
  <c r="F45" i="27"/>
  <c r="B46" i="27"/>
  <c r="C46" i="27"/>
  <c r="D46" i="27"/>
  <c r="E46" i="27"/>
  <c r="F46" i="27"/>
  <c r="B47" i="27"/>
  <c r="C47" i="27"/>
  <c r="D47" i="27"/>
  <c r="E47" i="27"/>
  <c r="F47" i="27"/>
  <c r="B48" i="27"/>
  <c r="C48" i="27"/>
  <c r="D48" i="27"/>
  <c r="E48" i="27"/>
  <c r="F48" i="27"/>
  <c r="B49" i="27"/>
  <c r="C49" i="27"/>
  <c r="D49" i="27"/>
  <c r="E49" i="27"/>
  <c r="F49" i="27"/>
  <c r="B50" i="27"/>
  <c r="C50" i="27"/>
  <c r="D50" i="27"/>
  <c r="E50" i="27"/>
  <c r="F50" i="27"/>
  <c r="B51" i="27"/>
  <c r="C51" i="27"/>
  <c r="D51" i="27"/>
  <c r="E51" i="27"/>
  <c r="F51" i="27"/>
  <c r="B52" i="27"/>
  <c r="C52" i="27"/>
  <c r="D52" i="27"/>
  <c r="E52" i="27"/>
  <c r="F52" i="27"/>
  <c r="B53" i="27"/>
  <c r="C53" i="27"/>
  <c r="D53" i="27"/>
  <c r="E53" i="27"/>
  <c r="F53" i="27"/>
  <c r="B54" i="27"/>
  <c r="C54" i="27"/>
  <c r="D54" i="27"/>
  <c r="E54" i="27"/>
  <c r="F54" i="27"/>
  <c r="B55" i="27"/>
  <c r="C55" i="27"/>
  <c r="D55" i="27"/>
  <c r="E55" i="27"/>
  <c r="F55" i="27"/>
  <c r="B56" i="27"/>
  <c r="C56" i="27"/>
  <c r="D56" i="27"/>
  <c r="E56" i="27"/>
  <c r="F56" i="27"/>
  <c r="B57" i="27"/>
  <c r="C57" i="27"/>
  <c r="D57" i="27"/>
  <c r="E57" i="27"/>
  <c r="F57" i="27"/>
  <c r="B58" i="27"/>
  <c r="C58" i="27"/>
  <c r="D58" i="27"/>
  <c r="E58" i="27"/>
  <c r="F58" i="27"/>
  <c r="B59" i="27"/>
  <c r="C59" i="27"/>
  <c r="D59" i="27"/>
  <c r="E59" i="27"/>
  <c r="F59" i="27"/>
  <c r="B60" i="27"/>
  <c r="C60" i="27"/>
  <c r="D60" i="27"/>
  <c r="E60" i="27"/>
  <c r="F60" i="27"/>
  <c r="B61" i="27"/>
  <c r="C61" i="27"/>
  <c r="D61" i="27"/>
  <c r="E61" i="27"/>
  <c r="F61" i="27"/>
  <c r="B62" i="27"/>
  <c r="C62" i="27"/>
  <c r="D62" i="27"/>
  <c r="E62" i="27"/>
  <c r="F62" i="27"/>
  <c r="B63" i="27"/>
  <c r="C63" i="27"/>
  <c r="D63" i="27"/>
  <c r="E63" i="27"/>
  <c r="F63" i="27"/>
  <c r="B64" i="27"/>
  <c r="C64" i="27"/>
  <c r="D64" i="27"/>
  <c r="E64" i="27"/>
  <c r="F64" i="27"/>
  <c r="B65" i="27"/>
  <c r="C65" i="27"/>
  <c r="D65" i="27"/>
  <c r="E65" i="27"/>
  <c r="F65" i="27"/>
  <c r="B66" i="27"/>
  <c r="C66" i="27"/>
  <c r="D66" i="27"/>
  <c r="E66" i="27"/>
  <c r="F66" i="27"/>
  <c r="B67" i="27"/>
  <c r="C67" i="27"/>
  <c r="D67" i="27"/>
  <c r="E67" i="27"/>
  <c r="F67" i="27"/>
  <c r="B68" i="27"/>
  <c r="C68" i="27"/>
  <c r="D68" i="27"/>
  <c r="E68" i="27"/>
  <c r="F68" i="27"/>
  <c r="B69" i="27"/>
  <c r="C69" i="27"/>
  <c r="D69" i="27"/>
  <c r="E69" i="27"/>
  <c r="F69" i="27"/>
  <c r="B70" i="27"/>
  <c r="C70" i="27"/>
  <c r="D70" i="27"/>
  <c r="E70" i="27"/>
  <c r="F70" i="27"/>
  <c r="B71" i="27"/>
  <c r="C71" i="27"/>
  <c r="D71" i="27"/>
  <c r="E71" i="27"/>
  <c r="F71" i="27"/>
  <c r="B72" i="27"/>
  <c r="C72" i="27"/>
  <c r="D72" i="27"/>
  <c r="E72" i="27"/>
  <c r="F72" i="27"/>
  <c r="B73" i="27"/>
  <c r="C73" i="27"/>
  <c r="D73" i="27"/>
  <c r="E73" i="27"/>
  <c r="F73" i="27"/>
  <c r="B74" i="27"/>
  <c r="C74" i="27"/>
  <c r="D74" i="27"/>
  <c r="E74" i="27"/>
  <c r="F74" i="27"/>
  <c r="B75" i="27"/>
  <c r="C75" i="27"/>
  <c r="D75" i="27"/>
  <c r="E75" i="27"/>
  <c r="F75" i="27"/>
  <c r="B76" i="27"/>
  <c r="C76" i="27"/>
  <c r="D76" i="27"/>
  <c r="E76" i="27"/>
  <c r="F76" i="27"/>
  <c r="B77" i="27"/>
  <c r="C77" i="27"/>
  <c r="D77" i="27"/>
  <c r="E77" i="27"/>
  <c r="F77" i="27"/>
  <c r="B78" i="27"/>
  <c r="C78" i="27"/>
  <c r="D78" i="27"/>
  <c r="E78" i="27"/>
  <c r="F78" i="27"/>
  <c r="B79" i="27"/>
  <c r="C79" i="27"/>
  <c r="D79" i="27"/>
  <c r="E79" i="27"/>
  <c r="F79" i="27"/>
  <c r="B80" i="27"/>
  <c r="C80" i="27"/>
  <c r="D80" i="27"/>
  <c r="E80" i="27"/>
  <c r="F80" i="27"/>
  <c r="B81" i="27"/>
  <c r="C81" i="27"/>
  <c r="D81" i="27"/>
  <c r="E81" i="27"/>
  <c r="F81" i="27"/>
  <c r="B82" i="27"/>
  <c r="C82" i="27"/>
  <c r="D82" i="27"/>
  <c r="E82" i="27"/>
  <c r="F82" i="27"/>
  <c r="B83" i="27"/>
  <c r="C83" i="27"/>
  <c r="D83" i="27"/>
  <c r="E83" i="27"/>
  <c r="F83" i="27"/>
  <c r="B84" i="27"/>
  <c r="C84" i="27"/>
  <c r="D84" i="27"/>
  <c r="E84" i="27"/>
  <c r="F84" i="27"/>
  <c r="B85" i="27"/>
  <c r="C85" i="27"/>
  <c r="D85" i="27"/>
  <c r="E85" i="27"/>
  <c r="F85" i="27"/>
  <c r="B86" i="27"/>
  <c r="C86" i="27"/>
  <c r="D86" i="27"/>
  <c r="E86" i="27"/>
  <c r="F86" i="27"/>
  <c r="B87" i="27"/>
  <c r="C87" i="27"/>
  <c r="D87" i="27"/>
  <c r="E87" i="27"/>
  <c r="F87" i="27"/>
  <c r="B88" i="27"/>
  <c r="C88" i="27"/>
  <c r="D88" i="27"/>
  <c r="E88" i="27"/>
  <c r="F88" i="27"/>
  <c r="B89" i="27"/>
  <c r="C89" i="27"/>
  <c r="D89" i="27"/>
  <c r="E89" i="27"/>
  <c r="F89" i="27"/>
  <c r="B90" i="27"/>
  <c r="C90" i="27"/>
  <c r="D90" i="27"/>
  <c r="E90" i="27"/>
  <c r="F90" i="27"/>
  <c r="B91" i="27"/>
  <c r="C91" i="27"/>
  <c r="D91" i="27"/>
  <c r="E91" i="27"/>
  <c r="F91" i="27"/>
  <c r="B92" i="27"/>
  <c r="C92" i="27"/>
  <c r="D92" i="27"/>
  <c r="E92" i="27"/>
  <c r="F92" i="27"/>
  <c r="B93" i="27"/>
  <c r="C93" i="27"/>
  <c r="D93" i="27"/>
  <c r="E93" i="27"/>
  <c r="F93" i="27"/>
  <c r="B94" i="27"/>
  <c r="C94" i="27"/>
  <c r="D94" i="27"/>
  <c r="E94" i="27"/>
  <c r="F94" i="27"/>
  <c r="B95" i="27"/>
  <c r="C95" i="27"/>
  <c r="D95" i="27"/>
  <c r="E95" i="27"/>
  <c r="F95" i="27"/>
  <c r="B96" i="27"/>
  <c r="C96" i="27"/>
  <c r="D96" i="27"/>
  <c r="E96" i="27"/>
  <c r="F96" i="27"/>
  <c r="B97" i="27"/>
  <c r="C97" i="27"/>
  <c r="D97" i="27"/>
  <c r="E97" i="27"/>
  <c r="F97" i="27"/>
  <c r="B98" i="27"/>
  <c r="C98" i="27"/>
  <c r="D98" i="27"/>
  <c r="E98" i="27"/>
  <c r="F98" i="27"/>
  <c r="B99" i="27"/>
  <c r="C99" i="27"/>
  <c r="D99" i="27"/>
  <c r="E99" i="27"/>
  <c r="F99" i="27"/>
  <c r="B100" i="27"/>
  <c r="C100" i="27"/>
  <c r="D100" i="27"/>
  <c r="E100" i="27"/>
  <c r="F100" i="27"/>
  <c r="B101" i="27"/>
  <c r="C101" i="27"/>
  <c r="D101" i="27"/>
  <c r="E101" i="27"/>
  <c r="F101" i="27"/>
  <c r="B102" i="27"/>
  <c r="C102" i="27"/>
  <c r="D102" i="27"/>
  <c r="E102" i="27"/>
  <c r="F102" i="27"/>
  <c r="B103" i="27"/>
  <c r="C103" i="27"/>
  <c r="D103" i="27"/>
  <c r="E103" i="27"/>
  <c r="F103" i="27"/>
  <c r="B104" i="27"/>
  <c r="C104" i="27"/>
  <c r="D104" i="27"/>
  <c r="E104" i="27"/>
  <c r="F104" i="27"/>
  <c r="B105" i="27"/>
  <c r="C105" i="27"/>
  <c r="D105" i="27"/>
  <c r="E105" i="27"/>
  <c r="F105" i="27"/>
  <c r="B106" i="27"/>
  <c r="C106" i="27"/>
  <c r="D106" i="27"/>
  <c r="E106" i="27"/>
  <c r="F106" i="27"/>
  <c r="B107" i="27"/>
  <c r="C107" i="27"/>
  <c r="D107" i="27"/>
  <c r="E107" i="27"/>
  <c r="F107" i="27"/>
  <c r="B108" i="27"/>
  <c r="C108" i="27"/>
  <c r="D108" i="27"/>
  <c r="E108" i="27"/>
  <c r="F108" i="27"/>
  <c r="B109" i="27"/>
  <c r="C109" i="27"/>
  <c r="D109" i="27"/>
  <c r="E109" i="27"/>
  <c r="F109" i="27"/>
  <c r="B110" i="27"/>
  <c r="C110" i="27"/>
  <c r="D110" i="27"/>
  <c r="E110" i="27"/>
  <c r="F110" i="27"/>
  <c r="B111" i="27"/>
  <c r="C111" i="27"/>
  <c r="D111" i="27"/>
  <c r="E111" i="27"/>
  <c r="F111" i="27"/>
  <c r="B112" i="27"/>
  <c r="C112" i="27"/>
  <c r="D112" i="27"/>
  <c r="E112" i="27"/>
  <c r="F112" i="27"/>
  <c r="B113" i="27"/>
  <c r="C113" i="27"/>
  <c r="D113" i="27"/>
  <c r="E113" i="27"/>
  <c r="F113" i="27"/>
  <c r="B114" i="27"/>
  <c r="C114" i="27"/>
  <c r="D114" i="27"/>
  <c r="E114" i="27"/>
  <c r="F114" i="27"/>
  <c r="B115" i="27"/>
  <c r="C115" i="27"/>
  <c r="D115" i="27"/>
  <c r="E115" i="27"/>
  <c r="F115" i="27"/>
  <c r="B116" i="27"/>
  <c r="C116" i="27"/>
  <c r="D116" i="27"/>
  <c r="E116" i="27"/>
  <c r="F116" i="27"/>
  <c r="B117" i="27"/>
  <c r="C117" i="27"/>
  <c r="D117" i="27"/>
  <c r="E117" i="27"/>
  <c r="F117" i="27"/>
  <c r="B118" i="27"/>
  <c r="C118" i="27"/>
  <c r="D118" i="27"/>
  <c r="E118" i="27"/>
  <c r="F118" i="27"/>
  <c r="B119" i="27"/>
  <c r="C119" i="27"/>
  <c r="D119" i="27"/>
  <c r="E119" i="27"/>
  <c r="F119" i="27"/>
  <c r="B120" i="27"/>
  <c r="C120" i="27"/>
  <c r="D120" i="27"/>
  <c r="E120" i="27"/>
  <c r="F120" i="27"/>
  <c r="B121" i="27"/>
  <c r="C121" i="27"/>
  <c r="D121" i="27"/>
  <c r="E121" i="27"/>
  <c r="F121" i="27"/>
  <c r="B122" i="27"/>
  <c r="C122" i="27"/>
  <c r="D122" i="27"/>
  <c r="E122" i="27"/>
  <c r="F122" i="27"/>
  <c r="B123" i="27"/>
  <c r="C123" i="27"/>
  <c r="D123" i="27"/>
  <c r="E123" i="27"/>
  <c r="F123" i="27"/>
  <c r="B124" i="27"/>
  <c r="C124" i="27"/>
  <c r="D124" i="27"/>
  <c r="E124" i="27"/>
  <c r="F124" i="27"/>
  <c r="B125" i="27"/>
  <c r="C125" i="27"/>
  <c r="D125" i="27"/>
  <c r="E125" i="27"/>
  <c r="F125" i="27"/>
  <c r="B126" i="27"/>
  <c r="C126" i="27"/>
  <c r="D126" i="27"/>
  <c r="E126" i="27"/>
  <c r="F126" i="27"/>
  <c r="B127" i="27"/>
  <c r="C127" i="27"/>
  <c r="D127" i="27"/>
  <c r="E127" i="27"/>
  <c r="F127" i="27"/>
  <c r="B128" i="27"/>
  <c r="C128" i="27"/>
  <c r="D128" i="27"/>
  <c r="E128" i="27"/>
  <c r="F128" i="27"/>
  <c r="B129" i="27"/>
  <c r="C129" i="27"/>
  <c r="D129" i="27"/>
  <c r="E129" i="27"/>
  <c r="F129" i="27"/>
  <c r="B130" i="27"/>
  <c r="C130" i="27"/>
  <c r="D130" i="27"/>
  <c r="E130" i="27"/>
  <c r="F130" i="27"/>
  <c r="B131" i="27"/>
  <c r="C131" i="27"/>
  <c r="D131" i="27"/>
  <c r="E131" i="27"/>
  <c r="F131" i="27"/>
  <c r="B132" i="27"/>
  <c r="C132" i="27"/>
  <c r="D132" i="27"/>
  <c r="E132" i="27"/>
  <c r="F132" i="27"/>
  <c r="B133" i="27"/>
  <c r="C133" i="27"/>
  <c r="D133" i="27"/>
  <c r="E133" i="27"/>
  <c r="F133" i="27"/>
  <c r="B134" i="27"/>
  <c r="C134" i="27"/>
  <c r="D134" i="27"/>
  <c r="E134" i="27"/>
  <c r="F134" i="27"/>
  <c r="B135" i="27"/>
  <c r="C135" i="27"/>
  <c r="D135" i="27"/>
  <c r="E135" i="27"/>
  <c r="F135" i="27"/>
  <c r="B136" i="27"/>
  <c r="C136" i="27"/>
  <c r="D136" i="27"/>
  <c r="E136" i="27"/>
  <c r="F136" i="27"/>
  <c r="B137" i="27"/>
  <c r="C137" i="27"/>
  <c r="D137" i="27"/>
  <c r="E137" i="27"/>
  <c r="F137" i="27"/>
  <c r="B138" i="27"/>
  <c r="C138" i="27"/>
  <c r="D138" i="27"/>
  <c r="E138" i="27"/>
  <c r="F138" i="27"/>
  <c r="B139" i="27"/>
  <c r="C139" i="27"/>
  <c r="D139" i="27"/>
  <c r="E139" i="27"/>
  <c r="F139" i="27"/>
  <c r="B140" i="27"/>
  <c r="C140" i="27"/>
  <c r="D140" i="27"/>
  <c r="E140" i="27"/>
  <c r="F140" i="27"/>
  <c r="B141" i="27"/>
  <c r="C141" i="27"/>
  <c r="D141" i="27"/>
  <c r="E141" i="27"/>
  <c r="F141" i="27"/>
  <c r="B142" i="27"/>
  <c r="C142" i="27"/>
  <c r="D142" i="27"/>
  <c r="E142" i="27"/>
  <c r="F142" i="27"/>
  <c r="B143" i="27"/>
  <c r="C143" i="27"/>
  <c r="D143" i="27"/>
  <c r="E143" i="27"/>
  <c r="F143" i="27"/>
  <c r="B144" i="27"/>
  <c r="C144" i="27"/>
  <c r="D144" i="27"/>
  <c r="E144" i="27"/>
  <c r="F144" i="27"/>
  <c r="B145" i="27"/>
  <c r="C145" i="27"/>
  <c r="D145" i="27"/>
  <c r="E145" i="27"/>
  <c r="F145" i="27"/>
  <c r="B146" i="27"/>
  <c r="C146" i="27"/>
  <c r="D146" i="27"/>
  <c r="E146" i="27"/>
  <c r="F146" i="27"/>
  <c r="B147" i="27"/>
  <c r="C147" i="27"/>
  <c r="D147" i="27"/>
  <c r="E147" i="27"/>
  <c r="F147" i="27"/>
  <c r="B148" i="27"/>
  <c r="C148" i="27"/>
  <c r="D148" i="27"/>
  <c r="E148" i="27"/>
  <c r="F148" i="27"/>
  <c r="B149" i="27"/>
  <c r="C149" i="27"/>
  <c r="D149" i="27"/>
  <c r="E149" i="27"/>
  <c r="F149" i="27"/>
  <c r="B150" i="27"/>
  <c r="C150" i="27"/>
  <c r="D150" i="27"/>
  <c r="E150" i="27"/>
  <c r="F150" i="27"/>
  <c r="B151" i="27"/>
  <c r="C151" i="27"/>
  <c r="D151" i="27"/>
  <c r="E151" i="27"/>
  <c r="F151" i="27"/>
  <c r="B152" i="27"/>
  <c r="C152" i="27"/>
  <c r="D152" i="27"/>
  <c r="E152" i="27"/>
  <c r="F152" i="27"/>
  <c r="B153" i="27"/>
  <c r="C153" i="27"/>
  <c r="D153" i="27"/>
  <c r="E153" i="27"/>
  <c r="F153" i="27"/>
  <c r="B154" i="27"/>
  <c r="C154" i="27"/>
  <c r="D154" i="27"/>
  <c r="E154" i="27"/>
  <c r="F154" i="27"/>
  <c r="B155" i="27"/>
  <c r="C155" i="27"/>
  <c r="D155" i="27"/>
  <c r="E155" i="27"/>
  <c r="F155" i="27"/>
  <c r="B156" i="27"/>
  <c r="C156" i="27"/>
  <c r="D156" i="27"/>
  <c r="E156" i="27"/>
  <c r="F156" i="27"/>
  <c r="B157" i="27"/>
  <c r="C157" i="27"/>
  <c r="D157" i="27"/>
  <c r="E157" i="27"/>
  <c r="F157" i="27"/>
  <c r="B158" i="27"/>
  <c r="C158" i="27"/>
  <c r="D158" i="27"/>
  <c r="E158" i="27"/>
  <c r="F158" i="27"/>
  <c r="B159" i="27"/>
  <c r="C159" i="27"/>
  <c r="D159" i="27"/>
  <c r="E159" i="27"/>
  <c r="F159" i="27"/>
  <c r="B160" i="27"/>
  <c r="C160" i="27"/>
  <c r="D160" i="27"/>
  <c r="E160" i="27"/>
  <c r="F160" i="27"/>
  <c r="B161" i="27"/>
  <c r="C161" i="27"/>
  <c r="D161" i="27"/>
  <c r="E161" i="27"/>
  <c r="F161" i="27"/>
  <c r="B162" i="27"/>
  <c r="C162" i="27"/>
  <c r="D162" i="27"/>
  <c r="E162" i="27"/>
  <c r="F162" i="27"/>
  <c r="B163" i="27"/>
  <c r="C163" i="27"/>
  <c r="D163" i="27"/>
  <c r="E163" i="27"/>
  <c r="F163" i="27"/>
  <c r="B164" i="27"/>
  <c r="C164" i="27"/>
  <c r="D164" i="27"/>
  <c r="E164" i="27"/>
  <c r="F164" i="27"/>
  <c r="B165" i="27"/>
  <c r="C165" i="27"/>
  <c r="D165" i="27"/>
  <c r="E165" i="27"/>
  <c r="F165" i="27"/>
  <c r="B166" i="27"/>
  <c r="C166" i="27"/>
  <c r="D166" i="27"/>
  <c r="E166" i="27"/>
  <c r="F166" i="27"/>
  <c r="B167" i="27"/>
  <c r="C167" i="27"/>
  <c r="D167" i="27"/>
  <c r="E167" i="27"/>
  <c r="F167" i="27"/>
  <c r="B168" i="27"/>
  <c r="C168" i="27"/>
  <c r="D168" i="27"/>
  <c r="E168" i="27"/>
  <c r="F168" i="27"/>
  <c r="B169" i="27"/>
  <c r="C169" i="27"/>
  <c r="D169" i="27"/>
  <c r="E169" i="27"/>
  <c r="F169" i="27"/>
  <c r="B170" i="27"/>
  <c r="C170" i="27"/>
  <c r="D170" i="27"/>
  <c r="E170" i="27"/>
  <c r="F170" i="27"/>
  <c r="B171" i="27"/>
  <c r="C171" i="27"/>
  <c r="D171" i="27"/>
  <c r="E171" i="27"/>
  <c r="F171" i="27"/>
  <c r="B172" i="27"/>
  <c r="C172" i="27"/>
  <c r="D172" i="27"/>
  <c r="E172" i="27"/>
  <c r="F172" i="27"/>
  <c r="B173" i="27"/>
  <c r="C173" i="27"/>
  <c r="D173" i="27"/>
  <c r="E173" i="27"/>
  <c r="F173" i="27"/>
  <c r="B174" i="27"/>
  <c r="C174" i="27"/>
  <c r="D174" i="27"/>
  <c r="E174" i="27"/>
  <c r="F174" i="27"/>
  <c r="B175" i="27"/>
  <c r="C175" i="27"/>
  <c r="D175" i="27"/>
  <c r="E175" i="27"/>
  <c r="F175" i="27"/>
  <c r="B176" i="27"/>
  <c r="C176" i="27"/>
  <c r="D176" i="27"/>
  <c r="E176" i="27"/>
  <c r="F176" i="27"/>
  <c r="B177" i="27"/>
  <c r="C177" i="27"/>
  <c r="D177" i="27"/>
  <c r="E177" i="27"/>
  <c r="F177" i="27"/>
  <c r="B178" i="27"/>
  <c r="C178" i="27"/>
  <c r="D178" i="27"/>
  <c r="E178" i="27"/>
  <c r="F178" i="27"/>
  <c r="B179" i="27"/>
  <c r="C179" i="27"/>
  <c r="D179" i="27"/>
  <c r="E179" i="27"/>
  <c r="F179" i="27"/>
  <c r="B180" i="27"/>
  <c r="C180" i="27"/>
  <c r="D180" i="27"/>
  <c r="E180" i="27"/>
  <c r="F180" i="27"/>
  <c r="B181" i="27"/>
  <c r="C181" i="27"/>
  <c r="D181" i="27"/>
  <c r="E181" i="27"/>
  <c r="F181" i="27"/>
  <c r="B182" i="27"/>
  <c r="C182" i="27"/>
  <c r="D182" i="27"/>
  <c r="E182" i="27"/>
  <c r="F182" i="27"/>
  <c r="B183" i="27"/>
  <c r="C183" i="27"/>
  <c r="D183" i="27"/>
  <c r="E183" i="27"/>
  <c r="F183" i="27"/>
  <c r="B184" i="27"/>
  <c r="C184" i="27"/>
  <c r="D184" i="27"/>
  <c r="E184" i="27"/>
  <c r="F184" i="27"/>
  <c r="B185" i="27"/>
  <c r="C185" i="27"/>
  <c r="D185" i="27"/>
  <c r="E185" i="27"/>
  <c r="F185" i="27"/>
  <c r="B186" i="27"/>
  <c r="C186" i="27"/>
  <c r="D186" i="27"/>
  <c r="E186" i="27"/>
  <c r="F186" i="27"/>
  <c r="B187" i="27"/>
  <c r="C187" i="27"/>
  <c r="D187" i="27"/>
  <c r="E187" i="27"/>
  <c r="F187" i="27"/>
  <c r="B188" i="27"/>
  <c r="C188" i="27"/>
  <c r="D188" i="27"/>
  <c r="E188" i="27"/>
  <c r="F188" i="27"/>
  <c r="B189" i="27"/>
  <c r="C189" i="27"/>
  <c r="D189" i="27"/>
  <c r="E189" i="27"/>
  <c r="F189" i="27"/>
  <c r="B190" i="27"/>
  <c r="C190" i="27"/>
  <c r="D190" i="27"/>
  <c r="E190" i="27"/>
  <c r="F190" i="27"/>
  <c r="B191" i="27"/>
  <c r="C191" i="27"/>
  <c r="D191" i="27"/>
  <c r="E191" i="27"/>
  <c r="F191" i="27"/>
  <c r="B192" i="27"/>
  <c r="C192" i="27"/>
  <c r="D192" i="27"/>
  <c r="E192" i="27"/>
  <c r="F192" i="27"/>
  <c r="B193" i="27"/>
  <c r="C193" i="27"/>
  <c r="D193" i="27"/>
  <c r="E193" i="27"/>
  <c r="F193" i="27"/>
  <c r="B194" i="27"/>
  <c r="C194" i="27"/>
  <c r="D194" i="27"/>
  <c r="E194" i="27"/>
  <c r="F194" i="27"/>
  <c r="B195" i="27"/>
  <c r="C195" i="27"/>
  <c r="D195" i="27"/>
  <c r="E195" i="27"/>
  <c r="F195" i="27"/>
  <c r="B196" i="27"/>
  <c r="C196" i="27"/>
  <c r="D196" i="27"/>
  <c r="E196" i="27"/>
  <c r="F196" i="27"/>
  <c r="B197" i="27"/>
  <c r="C197" i="27"/>
  <c r="D197" i="27"/>
  <c r="E197" i="27"/>
  <c r="F197" i="27"/>
  <c r="B198" i="27"/>
  <c r="C198" i="27"/>
  <c r="D198" i="27"/>
  <c r="E198" i="27"/>
  <c r="F198" i="27"/>
  <c r="B199" i="27"/>
  <c r="C199" i="27"/>
  <c r="D199" i="27"/>
  <c r="E199" i="27"/>
  <c r="F199" i="27"/>
  <c r="B200" i="27"/>
  <c r="C200" i="27"/>
  <c r="D200" i="27"/>
  <c r="E200" i="27"/>
  <c r="F200" i="27"/>
  <c r="B201" i="27"/>
  <c r="C201" i="27"/>
  <c r="D201" i="27"/>
  <c r="E201" i="27"/>
  <c r="F201" i="27"/>
  <c r="B202" i="27"/>
  <c r="C202" i="27"/>
  <c r="D202" i="27"/>
  <c r="E202" i="27"/>
  <c r="F202" i="27"/>
  <c r="B203" i="27"/>
  <c r="C203" i="27"/>
  <c r="D203" i="27"/>
  <c r="E203" i="27"/>
  <c r="F203" i="27"/>
  <c r="B204" i="27"/>
  <c r="C204" i="27"/>
  <c r="D204" i="27"/>
  <c r="E204" i="27"/>
  <c r="F204" i="27"/>
  <c r="B205" i="27"/>
  <c r="C205" i="27"/>
  <c r="D205" i="27"/>
  <c r="E205" i="27"/>
  <c r="F205" i="27"/>
  <c r="B206" i="27"/>
  <c r="C206" i="27"/>
  <c r="D206" i="27"/>
  <c r="E206" i="27"/>
  <c r="F206" i="27"/>
  <c r="B207" i="27"/>
  <c r="C207" i="27"/>
  <c r="D207" i="27"/>
  <c r="E207" i="27"/>
  <c r="F207" i="27"/>
  <c r="B208" i="27"/>
  <c r="C208" i="27"/>
  <c r="D208" i="27"/>
  <c r="E208" i="27"/>
  <c r="F208" i="27"/>
  <c r="B209" i="27"/>
  <c r="C209" i="27"/>
  <c r="D209" i="27"/>
  <c r="E209" i="27"/>
  <c r="F209" i="27"/>
  <c r="B210" i="27"/>
  <c r="C210" i="27"/>
  <c r="D210" i="27"/>
  <c r="E210" i="27"/>
  <c r="F210" i="27"/>
  <c r="B211" i="27"/>
  <c r="C211" i="27"/>
  <c r="D211" i="27"/>
  <c r="E211" i="27"/>
  <c r="F211" i="27"/>
  <c r="B212" i="27"/>
  <c r="C212" i="27"/>
  <c r="D212" i="27"/>
  <c r="E212" i="27"/>
  <c r="F212" i="27"/>
  <c r="B213" i="27"/>
  <c r="C213" i="27"/>
  <c r="D213" i="27"/>
  <c r="E213" i="27"/>
  <c r="F213" i="27"/>
  <c r="B214" i="27"/>
  <c r="C214" i="27"/>
  <c r="D214" i="27"/>
  <c r="E214" i="27"/>
  <c r="F214" i="27"/>
  <c r="B215" i="27"/>
  <c r="C215" i="27"/>
  <c r="D215" i="27"/>
  <c r="E215" i="27"/>
  <c r="F215" i="27"/>
  <c r="B216" i="27"/>
  <c r="C216" i="27"/>
  <c r="D216" i="27"/>
  <c r="E216" i="27"/>
  <c r="F216" i="27"/>
  <c r="B217" i="27"/>
  <c r="C217" i="27"/>
  <c r="D217" i="27"/>
  <c r="E217" i="27"/>
  <c r="F217" i="27"/>
  <c r="B218" i="27"/>
  <c r="C218" i="27"/>
  <c r="D218" i="27"/>
  <c r="E218" i="27"/>
  <c r="F218" i="27"/>
  <c r="B219" i="27"/>
  <c r="C219" i="27"/>
  <c r="D219" i="27"/>
  <c r="E219" i="27"/>
  <c r="F219" i="27"/>
  <c r="B220" i="27"/>
  <c r="C220" i="27"/>
  <c r="D220" i="27"/>
  <c r="E220" i="27"/>
  <c r="F220" i="27"/>
  <c r="B221" i="27"/>
  <c r="C221" i="27"/>
  <c r="D221" i="27"/>
  <c r="E221" i="27"/>
  <c r="F221" i="27"/>
  <c r="B222" i="27"/>
  <c r="C222" i="27"/>
  <c r="D222" i="27"/>
  <c r="E222" i="27"/>
  <c r="F222" i="27"/>
  <c r="B223" i="27"/>
  <c r="C223" i="27"/>
  <c r="D223" i="27"/>
  <c r="E223" i="27"/>
  <c r="F223" i="27"/>
  <c r="B224" i="27"/>
  <c r="C224" i="27"/>
  <c r="D224" i="27"/>
  <c r="E224" i="27"/>
  <c r="F224" i="27"/>
  <c r="B225" i="27"/>
  <c r="C225" i="27"/>
  <c r="D225" i="27"/>
  <c r="E225" i="27"/>
  <c r="F225" i="27"/>
  <c r="B226" i="27"/>
  <c r="C226" i="27"/>
  <c r="D226" i="27"/>
  <c r="E226" i="27"/>
  <c r="F226" i="27"/>
  <c r="B227" i="27"/>
  <c r="C227" i="27"/>
  <c r="D227" i="27"/>
  <c r="E227" i="27"/>
  <c r="F227" i="27"/>
  <c r="B228" i="27"/>
  <c r="C228" i="27"/>
  <c r="D228" i="27"/>
  <c r="E228" i="27"/>
  <c r="F228" i="27"/>
  <c r="B229" i="27"/>
  <c r="C229" i="27"/>
  <c r="D229" i="27"/>
  <c r="E229" i="27"/>
  <c r="F229" i="27"/>
  <c r="B230" i="27"/>
  <c r="C230" i="27"/>
  <c r="D230" i="27"/>
  <c r="E230" i="27"/>
  <c r="F230" i="27"/>
  <c r="B231" i="27"/>
  <c r="C231" i="27"/>
  <c r="D231" i="27"/>
  <c r="E231" i="27"/>
  <c r="F231" i="27"/>
  <c r="B232" i="27"/>
  <c r="C232" i="27"/>
  <c r="D232" i="27"/>
  <c r="E232" i="27"/>
  <c r="F232" i="27"/>
  <c r="B233" i="27"/>
  <c r="C233" i="27"/>
  <c r="D233" i="27"/>
  <c r="E233" i="27"/>
  <c r="F233" i="27"/>
  <c r="B234" i="27"/>
  <c r="C234" i="27"/>
  <c r="D234" i="27"/>
  <c r="E234" i="27"/>
  <c r="F234" i="27"/>
  <c r="B235" i="27"/>
  <c r="C235" i="27"/>
  <c r="D235" i="27"/>
  <c r="E235" i="27"/>
  <c r="F235" i="27"/>
  <c r="B236" i="27"/>
  <c r="C236" i="27"/>
  <c r="D236" i="27"/>
  <c r="E236" i="27"/>
  <c r="F236" i="27"/>
  <c r="B237" i="27"/>
  <c r="C237" i="27"/>
  <c r="D237" i="27"/>
  <c r="E237" i="27"/>
  <c r="F237" i="27"/>
  <c r="B238" i="27"/>
  <c r="C238" i="27"/>
  <c r="D238" i="27"/>
  <c r="E238" i="27"/>
  <c r="F238" i="27"/>
  <c r="B239" i="27"/>
  <c r="C239" i="27"/>
  <c r="D239" i="27"/>
  <c r="E239" i="27"/>
  <c r="F239" i="27"/>
  <c r="B240" i="27"/>
  <c r="C240" i="27"/>
  <c r="D240" i="27"/>
  <c r="E240" i="27"/>
  <c r="F240" i="27"/>
  <c r="B241" i="27"/>
  <c r="C241" i="27"/>
  <c r="D241" i="27"/>
  <c r="E241" i="27"/>
  <c r="F241" i="27"/>
  <c r="B242" i="27"/>
  <c r="C242" i="27"/>
  <c r="D242" i="27"/>
  <c r="E242" i="27"/>
  <c r="F242" i="27"/>
  <c r="B243" i="27"/>
  <c r="C243" i="27"/>
  <c r="D243" i="27"/>
  <c r="E243" i="27"/>
  <c r="F243" i="27"/>
  <c r="B244" i="27"/>
  <c r="C244" i="27"/>
  <c r="D244" i="27"/>
  <c r="E244" i="27"/>
  <c r="F244" i="27"/>
  <c r="B245" i="27"/>
  <c r="C245" i="27"/>
  <c r="D245" i="27"/>
  <c r="E245" i="27"/>
  <c r="F245" i="27"/>
  <c r="B246" i="27"/>
  <c r="C246" i="27"/>
  <c r="D246" i="27"/>
  <c r="E246" i="27"/>
  <c r="F246" i="27"/>
  <c r="B247" i="27"/>
  <c r="C247" i="27"/>
  <c r="D247" i="27"/>
  <c r="E247" i="27"/>
  <c r="F247" i="27"/>
  <c r="B248" i="27"/>
  <c r="C248" i="27"/>
  <c r="D248" i="27"/>
  <c r="E248" i="27"/>
  <c r="F248" i="27"/>
  <c r="B249" i="27"/>
  <c r="C249" i="27"/>
  <c r="D249" i="27"/>
  <c r="E249" i="27"/>
  <c r="F249" i="27"/>
  <c r="B250" i="27"/>
  <c r="C250" i="27"/>
  <c r="D250" i="27"/>
  <c r="E250" i="27"/>
  <c r="F250" i="27"/>
  <c r="B251" i="27"/>
  <c r="C251" i="27"/>
  <c r="D251" i="27"/>
  <c r="E251" i="27"/>
  <c r="F251" i="27"/>
  <c r="B252" i="27"/>
  <c r="C252" i="27"/>
  <c r="D252" i="27"/>
  <c r="E252" i="27"/>
  <c r="F252" i="27"/>
  <c r="B253" i="27"/>
  <c r="C253" i="27"/>
  <c r="D253" i="27"/>
  <c r="E253" i="27"/>
  <c r="F253" i="27"/>
  <c r="B254" i="27"/>
  <c r="C254" i="27"/>
  <c r="D254" i="27"/>
  <c r="E254" i="27"/>
  <c r="F254" i="27"/>
  <c r="B255" i="27"/>
  <c r="C255" i="27"/>
  <c r="D255" i="27"/>
  <c r="E255" i="27"/>
  <c r="F255" i="27"/>
  <c r="B256" i="27"/>
  <c r="C256" i="27"/>
  <c r="D256" i="27"/>
  <c r="E256" i="27"/>
  <c r="F256" i="27"/>
  <c r="B257" i="27"/>
  <c r="C257" i="27"/>
  <c r="D257" i="27"/>
  <c r="E257" i="27"/>
  <c r="F257" i="27"/>
  <c r="B258" i="27"/>
  <c r="C258" i="27"/>
  <c r="D258" i="27"/>
  <c r="E258" i="27"/>
  <c r="F258" i="27"/>
  <c r="B259" i="27"/>
  <c r="C259" i="27"/>
  <c r="D259" i="27"/>
  <c r="E259" i="27"/>
  <c r="F259" i="27"/>
  <c r="B260" i="27"/>
  <c r="C260" i="27"/>
  <c r="D260" i="27"/>
  <c r="E260" i="27"/>
  <c r="F260" i="27"/>
  <c r="B261" i="27"/>
  <c r="C261" i="27"/>
  <c r="D261" i="27"/>
  <c r="E261" i="27"/>
  <c r="F261" i="27"/>
  <c r="B262" i="27"/>
  <c r="C262" i="27"/>
  <c r="D262" i="27"/>
  <c r="E262" i="27"/>
  <c r="F262" i="27"/>
  <c r="B263" i="27"/>
  <c r="C263" i="27"/>
  <c r="D263" i="27"/>
  <c r="E263" i="27"/>
  <c r="F263" i="27"/>
  <c r="B264" i="27"/>
  <c r="C264" i="27"/>
  <c r="D264" i="27"/>
  <c r="E264" i="27"/>
  <c r="F264" i="27"/>
  <c r="B265" i="27"/>
  <c r="C265" i="27"/>
  <c r="D265" i="27"/>
  <c r="E265" i="27"/>
  <c r="F265" i="27"/>
  <c r="B266" i="27"/>
  <c r="C266" i="27"/>
  <c r="D266" i="27"/>
  <c r="E266" i="27"/>
  <c r="F266" i="27"/>
  <c r="B267" i="27"/>
  <c r="C267" i="27"/>
  <c r="D267" i="27"/>
  <c r="E267" i="27"/>
  <c r="F267" i="27"/>
  <c r="B268" i="27"/>
  <c r="C268" i="27"/>
  <c r="D268" i="27"/>
  <c r="E268" i="27"/>
  <c r="F268" i="27"/>
  <c r="B269" i="27"/>
  <c r="C269" i="27"/>
  <c r="D269" i="27"/>
  <c r="E269" i="27"/>
  <c r="F269" i="27"/>
  <c r="B270" i="27"/>
  <c r="C270" i="27"/>
  <c r="D270" i="27"/>
  <c r="E270" i="27"/>
  <c r="F270" i="27"/>
  <c r="B271" i="27"/>
  <c r="C271" i="27"/>
  <c r="D271" i="27"/>
  <c r="E271" i="27"/>
  <c r="F271" i="27"/>
  <c r="B272" i="27"/>
  <c r="C272" i="27"/>
  <c r="D272" i="27"/>
  <c r="E272" i="27"/>
  <c r="F272" i="27"/>
  <c r="B273" i="27"/>
  <c r="C273" i="27"/>
  <c r="D273" i="27"/>
  <c r="E273" i="27"/>
  <c r="F273" i="27"/>
  <c r="B274" i="27"/>
  <c r="C274" i="27"/>
  <c r="D274" i="27"/>
  <c r="E274" i="27"/>
  <c r="F274" i="27"/>
  <c r="B275" i="27"/>
  <c r="C275" i="27"/>
  <c r="D275" i="27"/>
  <c r="E275" i="27"/>
  <c r="F275" i="27"/>
  <c r="B276" i="27"/>
  <c r="C276" i="27"/>
  <c r="D276" i="27"/>
  <c r="E276" i="27"/>
  <c r="F276" i="27"/>
  <c r="B277" i="27"/>
  <c r="C277" i="27"/>
  <c r="D277" i="27"/>
  <c r="E277" i="27"/>
  <c r="F277" i="27"/>
  <c r="B278" i="27"/>
  <c r="C278" i="27"/>
  <c r="D278" i="27"/>
  <c r="E278" i="27"/>
  <c r="F278" i="27"/>
  <c r="B279" i="27"/>
  <c r="C279" i="27"/>
  <c r="D279" i="27"/>
  <c r="E279" i="27"/>
  <c r="F279" i="27"/>
  <c r="B280" i="27"/>
  <c r="C280" i="27"/>
  <c r="D280" i="27"/>
  <c r="E280" i="27"/>
  <c r="F280" i="27"/>
  <c r="B281" i="27"/>
  <c r="C281" i="27"/>
  <c r="D281" i="27"/>
  <c r="E281" i="27"/>
  <c r="F281" i="27"/>
  <c r="B282" i="27"/>
  <c r="C282" i="27"/>
  <c r="D282" i="27"/>
  <c r="E282" i="27"/>
  <c r="F282" i="27"/>
  <c r="B283" i="27"/>
  <c r="C283" i="27"/>
  <c r="D283" i="27"/>
  <c r="E283" i="27"/>
  <c r="F283" i="27"/>
  <c r="B284" i="27"/>
  <c r="C284" i="27"/>
  <c r="D284" i="27"/>
  <c r="E284" i="27"/>
  <c r="F284" i="27"/>
  <c r="B285" i="27"/>
  <c r="C285" i="27"/>
  <c r="D285" i="27"/>
  <c r="E285" i="27"/>
  <c r="F285" i="27"/>
  <c r="B286" i="27"/>
  <c r="C286" i="27"/>
  <c r="D286" i="27"/>
  <c r="E286" i="27"/>
  <c r="F286" i="27"/>
  <c r="B287" i="27"/>
  <c r="C287" i="27"/>
  <c r="D287" i="27"/>
  <c r="E287" i="27"/>
  <c r="F287" i="27"/>
  <c r="B288" i="27"/>
  <c r="C288" i="27"/>
  <c r="D288" i="27"/>
  <c r="E288" i="27"/>
  <c r="F288" i="27"/>
  <c r="B289" i="27"/>
  <c r="C289" i="27"/>
  <c r="D289" i="27"/>
  <c r="E289" i="27"/>
  <c r="F289" i="27"/>
  <c r="B290" i="27"/>
  <c r="C290" i="27"/>
  <c r="D290" i="27"/>
  <c r="E290" i="27"/>
  <c r="F290" i="27"/>
  <c r="B291" i="27"/>
  <c r="C291" i="27"/>
  <c r="D291" i="27"/>
  <c r="E291" i="27"/>
  <c r="F291" i="27"/>
  <c r="B292" i="27"/>
  <c r="C292" i="27"/>
  <c r="D292" i="27"/>
  <c r="E292" i="27"/>
  <c r="F292" i="27"/>
  <c r="B293" i="27"/>
  <c r="C293" i="27"/>
  <c r="D293" i="27"/>
  <c r="E293" i="27"/>
  <c r="F293" i="27"/>
  <c r="B294" i="27"/>
  <c r="C294" i="27"/>
  <c r="D294" i="27"/>
  <c r="E294" i="27"/>
  <c r="F294" i="27"/>
  <c r="B295" i="27"/>
  <c r="C295" i="27"/>
  <c r="D295" i="27"/>
  <c r="E295" i="27"/>
  <c r="F295" i="27"/>
  <c r="B296" i="27"/>
  <c r="C296" i="27"/>
  <c r="D296" i="27"/>
  <c r="E296" i="27"/>
  <c r="F296" i="27"/>
  <c r="B297" i="27"/>
  <c r="C297" i="27"/>
  <c r="D297" i="27"/>
  <c r="E297" i="27"/>
  <c r="F297" i="27"/>
  <c r="B298" i="27"/>
  <c r="C298" i="27"/>
  <c r="D298" i="27"/>
  <c r="E298" i="27"/>
  <c r="F298" i="27"/>
  <c r="B299" i="27"/>
  <c r="C299" i="27"/>
  <c r="D299" i="27"/>
  <c r="E299" i="27"/>
  <c r="F299" i="27"/>
  <c r="B300" i="27"/>
  <c r="C300" i="27"/>
  <c r="D300" i="27"/>
  <c r="E300" i="27"/>
  <c r="F300" i="27"/>
  <c r="B301" i="27"/>
  <c r="C301" i="27"/>
  <c r="D301" i="27"/>
  <c r="E301" i="27"/>
  <c r="F301" i="27"/>
  <c r="B302" i="27"/>
  <c r="C302" i="27"/>
  <c r="D302" i="27"/>
  <c r="E302" i="27"/>
  <c r="F302" i="27"/>
  <c r="B303" i="27"/>
  <c r="C303" i="27"/>
  <c r="D303" i="27"/>
  <c r="E303" i="27"/>
  <c r="F303" i="27"/>
  <c r="B304" i="27"/>
  <c r="C304" i="27"/>
  <c r="D304" i="27"/>
  <c r="E304" i="27"/>
  <c r="F304" i="27"/>
  <c r="B305" i="27"/>
  <c r="C305" i="27"/>
  <c r="D305" i="27"/>
  <c r="E305" i="27"/>
  <c r="F305" i="27"/>
  <c r="B306" i="27"/>
  <c r="C306" i="27"/>
  <c r="D306" i="27"/>
  <c r="E306" i="27"/>
  <c r="F306" i="27"/>
  <c r="B307" i="27"/>
  <c r="C307" i="27"/>
  <c r="D307" i="27"/>
  <c r="E307" i="27"/>
  <c r="F307" i="27"/>
  <c r="B308" i="27"/>
  <c r="C308" i="27"/>
  <c r="D308" i="27"/>
  <c r="E308" i="27"/>
  <c r="F308" i="27"/>
  <c r="B309" i="27"/>
  <c r="C309" i="27"/>
  <c r="D309" i="27"/>
  <c r="E309" i="27"/>
  <c r="F309" i="27"/>
  <c r="B310" i="27"/>
  <c r="C310" i="27"/>
  <c r="D310" i="27"/>
  <c r="E310" i="27"/>
  <c r="F310" i="27"/>
  <c r="B311" i="27"/>
  <c r="C311" i="27"/>
  <c r="D311" i="27"/>
  <c r="E311" i="27"/>
  <c r="F311" i="27"/>
  <c r="B312" i="27"/>
  <c r="C312" i="27"/>
  <c r="D312" i="27"/>
  <c r="E312" i="27"/>
  <c r="F312" i="27"/>
  <c r="B313" i="27"/>
  <c r="C313" i="27"/>
  <c r="D313" i="27"/>
  <c r="E313" i="27"/>
  <c r="F313" i="27"/>
  <c r="B314" i="27"/>
  <c r="C314" i="27"/>
  <c r="D314" i="27"/>
  <c r="E314" i="27"/>
  <c r="F314" i="27"/>
  <c r="B315" i="27"/>
  <c r="C315" i="27"/>
  <c r="D315" i="27"/>
  <c r="E315" i="27"/>
  <c r="F315" i="27"/>
  <c r="B316" i="27"/>
  <c r="C316" i="27"/>
  <c r="D316" i="27"/>
  <c r="E316" i="27"/>
  <c r="F316" i="27"/>
  <c r="B317" i="27"/>
  <c r="C317" i="27"/>
  <c r="D317" i="27"/>
  <c r="E317" i="27"/>
  <c r="F317" i="27"/>
  <c r="B318" i="27"/>
  <c r="C318" i="27"/>
  <c r="D318" i="27"/>
  <c r="E318" i="27"/>
  <c r="F318" i="27"/>
  <c r="B319" i="27"/>
  <c r="C319" i="27"/>
  <c r="D319" i="27"/>
  <c r="E319" i="27"/>
  <c r="F319" i="27"/>
  <c r="B320" i="27"/>
  <c r="C320" i="27"/>
  <c r="D320" i="27"/>
  <c r="E320" i="27"/>
  <c r="F320" i="27"/>
  <c r="B321" i="27"/>
  <c r="C321" i="27"/>
  <c r="D321" i="27"/>
  <c r="E321" i="27"/>
  <c r="F321" i="27"/>
  <c r="B322" i="27"/>
  <c r="C322" i="27"/>
  <c r="D322" i="27"/>
  <c r="E322" i="27"/>
  <c r="F322" i="27"/>
  <c r="B323" i="27"/>
  <c r="C323" i="27"/>
  <c r="D323" i="27"/>
  <c r="E323" i="27"/>
  <c r="F323" i="27"/>
  <c r="B324" i="27"/>
  <c r="C324" i="27"/>
  <c r="D324" i="27"/>
  <c r="E324" i="27"/>
  <c r="F324" i="27"/>
  <c r="B325" i="27"/>
  <c r="C325" i="27"/>
  <c r="D325" i="27"/>
  <c r="E325" i="27"/>
  <c r="F325" i="27"/>
  <c r="B326" i="27"/>
  <c r="C326" i="27"/>
  <c r="D326" i="27"/>
  <c r="E326" i="27"/>
  <c r="F326" i="27"/>
  <c r="B327" i="27"/>
  <c r="C327" i="27"/>
  <c r="D327" i="27"/>
  <c r="E327" i="27"/>
  <c r="F327" i="27"/>
  <c r="B328" i="27"/>
  <c r="C328" i="27"/>
  <c r="D328" i="27"/>
  <c r="E328" i="27"/>
  <c r="F328" i="27"/>
  <c r="B329" i="27"/>
  <c r="C329" i="27"/>
  <c r="D329" i="27"/>
  <c r="E329" i="27"/>
  <c r="F329" i="27"/>
  <c r="B330" i="27"/>
  <c r="C330" i="27"/>
  <c r="D330" i="27"/>
  <c r="E330" i="27"/>
  <c r="F330" i="27"/>
  <c r="B331" i="27"/>
  <c r="C331" i="27"/>
  <c r="D331" i="27"/>
  <c r="E331" i="27"/>
  <c r="F331" i="27"/>
  <c r="B332" i="27"/>
  <c r="C332" i="27"/>
  <c r="D332" i="27"/>
  <c r="E332" i="27"/>
  <c r="F332" i="27"/>
  <c r="B333" i="27"/>
  <c r="C333" i="27"/>
  <c r="D333" i="27"/>
  <c r="E333" i="27"/>
  <c r="F333" i="27"/>
  <c r="B334" i="27"/>
  <c r="C334" i="27"/>
  <c r="D334" i="27"/>
  <c r="E334" i="27"/>
  <c r="F334" i="27"/>
  <c r="B335" i="27"/>
  <c r="C335" i="27"/>
  <c r="D335" i="27"/>
  <c r="E335" i="27"/>
  <c r="F335" i="27"/>
  <c r="B336" i="27"/>
  <c r="C336" i="27"/>
  <c r="D336" i="27"/>
  <c r="E336" i="27"/>
  <c r="F336" i="27"/>
  <c r="B337" i="27"/>
  <c r="C337" i="27"/>
  <c r="D337" i="27"/>
  <c r="E337" i="27"/>
  <c r="F337" i="27"/>
  <c r="B338" i="27"/>
  <c r="C338" i="27"/>
  <c r="D338" i="27"/>
  <c r="E338" i="27"/>
  <c r="F338" i="27"/>
  <c r="B339" i="27"/>
  <c r="C339" i="27"/>
  <c r="D339" i="27"/>
  <c r="E339" i="27"/>
  <c r="F339" i="27"/>
  <c r="B340" i="27"/>
  <c r="C340" i="27"/>
  <c r="D340" i="27"/>
  <c r="E340" i="27"/>
  <c r="F340" i="27"/>
  <c r="B341" i="27"/>
  <c r="C341" i="27"/>
  <c r="D341" i="27"/>
  <c r="E341" i="27"/>
  <c r="F341" i="27"/>
  <c r="B342" i="27"/>
  <c r="C342" i="27"/>
  <c r="D342" i="27"/>
  <c r="E342" i="27"/>
  <c r="F342" i="27"/>
  <c r="B343" i="27"/>
  <c r="C343" i="27"/>
  <c r="D343" i="27"/>
  <c r="E343" i="27"/>
  <c r="F343" i="27"/>
  <c r="B344" i="27"/>
  <c r="C344" i="27"/>
  <c r="D344" i="27"/>
  <c r="E344" i="27"/>
  <c r="F344" i="27"/>
  <c r="B345" i="27"/>
  <c r="C345" i="27"/>
  <c r="D345" i="27"/>
  <c r="E345" i="27"/>
  <c r="F345" i="27"/>
  <c r="B346" i="27"/>
  <c r="C346" i="27"/>
  <c r="D346" i="27"/>
  <c r="E346" i="27"/>
  <c r="F346" i="27"/>
  <c r="B347" i="27"/>
  <c r="C347" i="27"/>
  <c r="D347" i="27"/>
  <c r="E347" i="27"/>
  <c r="F347" i="27"/>
  <c r="B348" i="27"/>
  <c r="C348" i="27"/>
  <c r="D348" i="27"/>
  <c r="E348" i="27"/>
  <c r="F348" i="27"/>
  <c r="B349" i="27"/>
  <c r="C349" i="27"/>
  <c r="D349" i="27"/>
  <c r="E349" i="27"/>
  <c r="F349" i="27"/>
  <c r="B350" i="27"/>
  <c r="C350" i="27"/>
  <c r="D350" i="27"/>
  <c r="E350" i="27"/>
  <c r="F350" i="27"/>
  <c r="B351" i="27"/>
  <c r="C351" i="27"/>
  <c r="D351" i="27"/>
  <c r="E351" i="27"/>
  <c r="F351" i="27"/>
  <c r="B352" i="27"/>
  <c r="C352" i="27"/>
  <c r="D352" i="27"/>
  <c r="E352" i="27"/>
  <c r="F352" i="27"/>
  <c r="B353" i="27"/>
  <c r="C353" i="27"/>
  <c r="D353" i="27"/>
  <c r="E353" i="27"/>
  <c r="F353" i="27"/>
  <c r="B354" i="27"/>
  <c r="C354" i="27"/>
  <c r="D354" i="27"/>
  <c r="E354" i="27"/>
  <c r="F354" i="27"/>
  <c r="B355" i="27"/>
  <c r="C355" i="27"/>
  <c r="D355" i="27"/>
  <c r="E355" i="27"/>
  <c r="F355" i="27"/>
  <c r="B356" i="27"/>
  <c r="C356" i="27"/>
  <c r="D356" i="27"/>
  <c r="E356" i="27"/>
  <c r="F356" i="27"/>
  <c r="B357" i="27"/>
  <c r="C357" i="27"/>
  <c r="D357" i="27"/>
  <c r="E357" i="27"/>
  <c r="F357" i="27"/>
  <c r="B358" i="27"/>
  <c r="C358" i="27"/>
  <c r="D358" i="27"/>
  <c r="E358" i="27"/>
  <c r="F358" i="27"/>
  <c r="B359" i="27"/>
  <c r="C359" i="27"/>
  <c r="D359" i="27"/>
  <c r="E359" i="27"/>
  <c r="F359" i="27"/>
  <c r="B360" i="27"/>
  <c r="C360" i="27"/>
  <c r="D360" i="27"/>
  <c r="E360" i="27"/>
  <c r="F360" i="27"/>
  <c r="B361" i="27"/>
  <c r="C361" i="27"/>
  <c r="D361" i="27"/>
  <c r="E361" i="27"/>
  <c r="F361" i="27"/>
  <c r="B362" i="27"/>
  <c r="C362" i="27"/>
  <c r="D362" i="27"/>
  <c r="E362" i="27"/>
  <c r="F362" i="27"/>
  <c r="B363" i="27"/>
  <c r="C363" i="27"/>
  <c r="D363" i="27"/>
  <c r="E363" i="27"/>
  <c r="F363" i="27"/>
  <c r="B364" i="27"/>
  <c r="C364" i="27"/>
  <c r="D364" i="27"/>
  <c r="E364" i="27"/>
  <c r="F364" i="27"/>
  <c r="B365" i="27"/>
  <c r="C365" i="27"/>
  <c r="D365" i="27"/>
  <c r="E365" i="27"/>
  <c r="F365" i="27"/>
  <c r="B366" i="27"/>
  <c r="C366" i="27"/>
  <c r="D366" i="27"/>
  <c r="E366" i="27"/>
  <c r="F366" i="27"/>
  <c r="B367" i="27"/>
  <c r="C367" i="27"/>
  <c r="D367" i="27"/>
  <c r="E367" i="27"/>
  <c r="F367" i="27"/>
  <c r="B368" i="27"/>
  <c r="C368" i="27"/>
  <c r="D368" i="27"/>
  <c r="E368" i="27"/>
  <c r="F368" i="27"/>
  <c r="B369" i="27"/>
  <c r="C369" i="27"/>
  <c r="D369" i="27"/>
  <c r="E369" i="27"/>
  <c r="F369" i="27"/>
  <c r="B370" i="27"/>
  <c r="C370" i="27"/>
  <c r="D370" i="27"/>
  <c r="E370" i="27"/>
  <c r="F370" i="27"/>
  <c r="B371" i="27"/>
  <c r="C371" i="27"/>
  <c r="D371" i="27"/>
  <c r="E371" i="27"/>
  <c r="F371" i="27"/>
  <c r="B372" i="27"/>
  <c r="C372" i="27"/>
  <c r="D372" i="27"/>
  <c r="E372" i="27"/>
  <c r="F372" i="27"/>
  <c r="B373" i="27"/>
  <c r="C373" i="27"/>
  <c r="D373" i="27"/>
  <c r="E373" i="27"/>
  <c r="F373" i="27"/>
  <c r="B374" i="27"/>
  <c r="C374" i="27"/>
  <c r="D374" i="27"/>
  <c r="E374" i="27"/>
  <c r="F374" i="27"/>
  <c r="B375" i="27"/>
  <c r="C375" i="27"/>
  <c r="D375" i="27"/>
  <c r="E375" i="27"/>
  <c r="F375" i="27"/>
  <c r="B376" i="27"/>
  <c r="C376" i="27"/>
  <c r="D376" i="27"/>
  <c r="E376" i="27"/>
  <c r="F376" i="27"/>
  <c r="B377" i="27"/>
  <c r="C377" i="27"/>
  <c r="D377" i="27"/>
  <c r="E377" i="27"/>
  <c r="F377" i="27"/>
  <c r="B378" i="27"/>
  <c r="C378" i="27"/>
  <c r="D378" i="27"/>
  <c r="E378" i="27"/>
  <c r="F378" i="27"/>
  <c r="B379" i="27"/>
  <c r="C379" i="27"/>
  <c r="D379" i="27"/>
  <c r="E379" i="27"/>
  <c r="F379" i="27"/>
  <c r="B380" i="27"/>
  <c r="C380" i="27"/>
  <c r="D380" i="27"/>
  <c r="E380" i="27"/>
  <c r="F380" i="27"/>
  <c r="B381" i="27"/>
  <c r="C381" i="27"/>
  <c r="D381" i="27"/>
  <c r="E381" i="27"/>
  <c r="F381" i="27"/>
  <c r="B382" i="27"/>
  <c r="C382" i="27"/>
  <c r="D382" i="27"/>
  <c r="E382" i="27"/>
  <c r="F382" i="27"/>
  <c r="B383" i="27"/>
  <c r="C383" i="27"/>
  <c r="D383" i="27"/>
  <c r="E383" i="27"/>
  <c r="F383" i="27"/>
  <c r="B384" i="27"/>
  <c r="C384" i="27"/>
  <c r="D384" i="27"/>
  <c r="E384" i="27"/>
  <c r="F384" i="27"/>
  <c r="B385" i="27"/>
  <c r="C385" i="27"/>
  <c r="D385" i="27"/>
  <c r="E385" i="27"/>
  <c r="F385" i="27"/>
  <c r="B386" i="27"/>
  <c r="C386" i="27"/>
  <c r="D386" i="27"/>
  <c r="E386" i="27"/>
  <c r="F386" i="27"/>
  <c r="B387" i="27"/>
  <c r="C387" i="27"/>
  <c r="D387" i="27"/>
  <c r="E387" i="27"/>
  <c r="F387" i="27"/>
  <c r="B388" i="27"/>
  <c r="C388" i="27"/>
  <c r="D388" i="27"/>
  <c r="E388" i="27"/>
  <c r="F388" i="27"/>
  <c r="B389" i="27"/>
  <c r="C389" i="27"/>
  <c r="D389" i="27"/>
  <c r="E389" i="27"/>
  <c r="F389" i="27"/>
  <c r="B390" i="27"/>
  <c r="C390" i="27"/>
  <c r="D390" i="27"/>
  <c r="E390" i="27"/>
  <c r="F390" i="27"/>
  <c r="B391" i="27"/>
  <c r="C391" i="27"/>
  <c r="D391" i="27"/>
  <c r="E391" i="27"/>
  <c r="F391" i="27"/>
  <c r="B392" i="27"/>
  <c r="C392" i="27"/>
  <c r="D392" i="27"/>
  <c r="E392" i="27"/>
  <c r="F392" i="27"/>
  <c r="B393" i="27"/>
  <c r="C393" i="27"/>
  <c r="D393" i="27"/>
  <c r="E393" i="27"/>
  <c r="F393" i="27"/>
  <c r="B394" i="27"/>
  <c r="C394" i="27"/>
  <c r="D394" i="27"/>
  <c r="E394" i="27"/>
  <c r="F394" i="27"/>
  <c r="B395" i="27"/>
  <c r="C395" i="27"/>
  <c r="D395" i="27"/>
  <c r="E395" i="27"/>
  <c r="F395" i="27"/>
  <c r="B396" i="27"/>
  <c r="C396" i="27"/>
  <c r="D396" i="27"/>
  <c r="E396" i="27"/>
  <c r="F396" i="27"/>
  <c r="B397" i="27"/>
  <c r="C397" i="27"/>
  <c r="D397" i="27"/>
  <c r="E397" i="27"/>
  <c r="F397" i="27"/>
  <c r="B398" i="27"/>
  <c r="C398" i="27"/>
  <c r="D398" i="27"/>
  <c r="E398" i="27"/>
  <c r="F398" i="27"/>
  <c r="B399" i="27"/>
  <c r="C399" i="27"/>
  <c r="D399" i="27"/>
  <c r="E399" i="27"/>
  <c r="F399" i="27"/>
  <c r="B400" i="27"/>
  <c r="C400" i="27"/>
  <c r="D400" i="27"/>
  <c r="E400" i="27"/>
  <c r="F400" i="27"/>
  <c r="B401" i="27"/>
  <c r="C401" i="27"/>
  <c r="D401" i="27"/>
  <c r="E401" i="27"/>
  <c r="F401" i="27"/>
  <c r="B402" i="27"/>
  <c r="C402" i="27"/>
  <c r="D402" i="27"/>
  <c r="E402" i="27"/>
  <c r="F402" i="27"/>
  <c r="B403" i="27"/>
  <c r="C403" i="27"/>
  <c r="D403" i="27"/>
  <c r="E403" i="27"/>
  <c r="F403" i="27"/>
  <c r="B404" i="27"/>
  <c r="C404" i="27"/>
  <c r="D404" i="27"/>
  <c r="E404" i="27"/>
  <c r="F404" i="27"/>
  <c r="B405" i="27"/>
  <c r="C405" i="27"/>
  <c r="D405" i="27"/>
  <c r="E405" i="27"/>
  <c r="F405" i="27"/>
  <c r="B406" i="27"/>
  <c r="C406" i="27"/>
  <c r="D406" i="27"/>
  <c r="E406" i="27"/>
  <c r="F406" i="27"/>
  <c r="B407" i="27"/>
  <c r="C407" i="27"/>
  <c r="D407" i="27"/>
  <c r="E407" i="27"/>
  <c r="F407" i="27"/>
  <c r="B408" i="27"/>
  <c r="C408" i="27"/>
  <c r="D408" i="27"/>
  <c r="E408" i="27"/>
  <c r="F408" i="27"/>
  <c r="B409" i="27"/>
  <c r="C409" i="27"/>
  <c r="D409" i="27"/>
  <c r="E409" i="27"/>
  <c r="F409" i="27"/>
  <c r="B410" i="27"/>
  <c r="C410" i="27"/>
  <c r="D410" i="27"/>
  <c r="E410" i="27"/>
  <c r="F410" i="27"/>
  <c r="B411" i="27"/>
  <c r="C411" i="27"/>
  <c r="D411" i="27"/>
  <c r="E411" i="27"/>
  <c r="F411" i="27"/>
  <c r="B412" i="27"/>
  <c r="C412" i="27"/>
  <c r="D412" i="27"/>
  <c r="E412" i="27"/>
  <c r="F412" i="27"/>
  <c r="B413" i="27"/>
  <c r="C413" i="27"/>
  <c r="D413" i="27"/>
  <c r="E413" i="27"/>
  <c r="F413" i="27"/>
  <c r="B414" i="27"/>
  <c r="C414" i="27"/>
  <c r="D414" i="27"/>
  <c r="E414" i="27"/>
  <c r="F414" i="27"/>
  <c r="B415" i="27"/>
  <c r="C415" i="27"/>
  <c r="D415" i="27"/>
  <c r="E415" i="27"/>
  <c r="F415" i="27"/>
  <c r="B416" i="27"/>
  <c r="C416" i="27"/>
  <c r="D416" i="27"/>
  <c r="E416" i="27"/>
  <c r="F416" i="27"/>
  <c r="B417" i="27"/>
  <c r="C417" i="27"/>
  <c r="D417" i="27"/>
  <c r="E417" i="27"/>
  <c r="F417" i="27"/>
  <c r="B418" i="27"/>
  <c r="C418" i="27"/>
  <c r="D418" i="27"/>
  <c r="E418" i="27"/>
  <c r="F418" i="27"/>
  <c r="B419" i="27"/>
  <c r="C419" i="27"/>
  <c r="D419" i="27"/>
  <c r="E419" i="27"/>
  <c r="F419" i="27"/>
  <c r="B420" i="27"/>
  <c r="C420" i="27"/>
  <c r="D420" i="27"/>
  <c r="E420" i="27"/>
  <c r="F420" i="27"/>
  <c r="B421" i="27"/>
  <c r="C421" i="27"/>
  <c r="D421" i="27"/>
  <c r="E421" i="27"/>
  <c r="F421" i="27"/>
  <c r="B422" i="27"/>
  <c r="C422" i="27"/>
  <c r="D422" i="27"/>
  <c r="E422" i="27"/>
  <c r="F422" i="27"/>
  <c r="B423" i="27"/>
  <c r="C423" i="27"/>
  <c r="D423" i="27"/>
  <c r="E423" i="27"/>
  <c r="F423" i="27"/>
  <c r="B424" i="27"/>
  <c r="C424" i="27"/>
  <c r="D424" i="27"/>
  <c r="E424" i="27"/>
  <c r="F424" i="27"/>
  <c r="B425" i="27"/>
  <c r="C425" i="27"/>
  <c r="D425" i="27"/>
  <c r="E425" i="27"/>
  <c r="F425" i="27"/>
  <c r="B426" i="27"/>
  <c r="C426" i="27"/>
  <c r="D426" i="27"/>
  <c r="E426" i="27"/>
  <c r="F426" i="27"/>
  <c r="B427" i="27"/>
  <c r="C427" i="27"/>
  <c r="D427" i="27"/>
  <c r="E427" i="27"/>
  <c r="F427" i="27"/>
  <c r="B428" i="27"/>
  <c r="C428" i="27"/>
  <c r="D428" i="27"/>
  <c r="E428" i="27"/>
  <c r="F428" i="27"/>
  <c r="B429" i="27"/>
  <c r="C429" i="27"/>
  <c r="D429" i="27"/>
  <c r="E429" i="27"/>
  <c r="F429" i="27"/>
  <c r="B430" i="27"/>
  <c r="C430" i="27"/>
  <c r="D430" i="27"/>
  <c r="E430" i="27"/>
  <c r="F430" i="27"/>
  <c r="B431" i="27"/>
  <c r="C431" i="27"/>
  <c r="D431" i="27"/>
  <c r="E431" i="27"/>
  <c r="F431" i="27"/>
  <c r="B432" i="27"/>
  <c r="C432" i="27"/>
  <c r="D432" i="27"/>
  <c r="E432" i="27"/>
  <c r="F432" i="27"/>
  <c r="B433" i="27"/>
  <c r="C433" i="27"/>
  <c r="D433" i="27"/>
  <c r="E433" i="27"/>
  <c r="F433" i="27"/>
  <c r="B434" i="27"/>
  <c r="C434" i="27"/>
  <c r="D434" i="27"/>
  <c r="E434" i="27"/>
  <c r="F434" i="27"/>
  <c r="B435" i="27"/>
  <c r="C435" i="27"/>
  <c r="D435" i="27"/>
  <c r="E435" i="27"/>
  <c r="F435" i="27"/>
  <c r="B436" i="27"/>
  <c r="C436" i="27"/>
  <c r="D436" i="27"/>
  <c r="E436" i="27"/>
  <c r="F436" i="27"/>
  <c r="B437" i="27"/>
  <c r="C437" i="27"/>
  <c r="D437" i="27"/>
  <c r="E437" i="27"/>
  <c r="F437" i="27"/>
  <c r="B438" i="27"/>
  <c r="C438" i="27"/>
  <c r="D438" i="27"/>
  <c r="E438" i="27"/>
  <c r="F438" i="27"/>
  <c r="B439" i="27"/>
  <c r="C439" i="27"/>
  <c r="D439" i="27"/>
  <c r="E439" i="27"/>
  <c r="F439" i="27"/>
  <c r="B440" i="27"/>
  <c r="C440" i="27"/>
  <c r="D440" i="27"/>
  <c r="E440" i="27"/>
  <c r="F440" i="27"/>
  <c r="B441" i="27"/>
  <c r="C441" i="27"/>
  <c r="D441" i="27"/>
  <c r="E441" i="27"/>
  <c r="F441" i="27"/>
  <c r="B442" i="27"/>
  <c r="C442" i="27"/>
  <c r="D442" i="27"/>
  <c r="E442" i="27"/>
  <c r="F442" i="27"/>
  <c r="B443" i="27"/>
  <c r="C443" i="27"/>
  <c r="D443" i="27"/>
  <c r="E443" i="27"/>
  <c r="F443" i="27"/>
  <c r="B444" i="27"/>
  <c r="C444" i="27"/>
  <c r="D444" i="27"/>
  <c r="E444" i="27"/>
  <c r="F444" i="27"/>
  <c r="B445" i="27"/>
  <c r="C445" i="27"/>
  <c r="D445" i="27"/>
  <c r="E445" i="27"/>
  <c r="F445" i="27"/>
  <c r="B446" i="27"/>
  <c r="C446" i="27"/>
  <c r="D446" i="27"/>
  <c r="E446" i="27"/>
  <c r="F446" i="27"/>
  <c r="B447" i="27"/>
  <c r="C447" i="27"/>
  <c r="D447" i="27"/>
  <c r="E447" i="27"/>
  <c r="F447" i="27"/>
  <c r="B448" i="27"/>
  <c r="C448" i="27"/>
  <c r="D448" i="27"/>
  <c r="E448" i="27"/>
  <c r="F448" i="27"/>
  <c r="B449" i="27"/>
  <c r="C449" i="27"/>
  <c r="D449" i="27"/>
  <c r="E449" i="27"/>
  <c r="F449" i="27"/>
  <c r="B450" i="27"/>
  <c r="C450" i="27"/>
  <c r="D450" i="27"/>
  <c r="E450" i="27"/>
  <c r="F450" i="27"/>
  <c r="B451" i="27"/>
  <c r="C451" i="27"/>
  <c r="D451" i="27"/>
  <c r="E451" i="27"/>
  <c r="F451" i="27"/>
  <c r="B452" i="27"/>
  <c r="C452" i="27"/>
  <c r="D452" i="27"/>
  <c r="E452" i="27"/>
  <c r="F452" i="27"/>
  <c r="B453" i="27"/>
  <c r="C453" i="27"/>
  <c r="D453" i="27"/>
  <c r="E453" i="27"/>
  <c r="F453" i="27"/>
  <c r="B454" i="27"/>
  <c r="C454" i="27"/>
  <c r="D454" i="27"/>
  <c r="E454" i="27"/>
  <c r="F454" i="27"/>
  <c r="B455" i="27"/>
  <c r="C455" i="27"/>
  <c r="D455" i="27"/>
  <c r="E455" i="27"/>
  <c r="F455" i="27"/>
  <c r="B456" i="27"/>
  <c r="C456" i="27"/>
  <c r="D456" i="27"/>
  <c r="E456" i="27"/>
  <c r="F456" i="27"/>
  <c r="B457" i="27"/>
  <c r="C457" i="27"/>
  <c r="D457" i="27"/>
  <c r="E457" i="27"/>
  <c r="F457" i="27"/>
  <c r="B458" i="27"/>
  <c r="C458" i="27"/>
  <c r="D458" i="27"/>
  <c r="E458" i="27"/>
  <c r="F458" i="27"/>
  <c r="B459" i="27"/>
  <c r="C459" i="27"/>
  <c r="D459" i="27"/>
  <c r="E459" i="27"/>
  <c r="F459" i="27"/>
  <c r="B460" i="27"/>
  <c r="C460" i="27"/>
  <c r="D460" i="27"/>
  <c r="E460" i="27"/>
  <c r="F460" i="27"/>
  <c r="B461" i="27"/>
  <c r="C461" i="27"/>
  <c r="D461" i="27"/>
  <c r="E461" i="27"/>
  <c r="F461" i="27"/>
  <c r="B462" i="27"/>
  <c r="C462" i="27"/>
  <c r="D462" i="27"/>
  <c r="E462" i="27"/>
  <c r="F462" i="27"/>
  <c r="B463" i="27"/>
  <c r="C463" i="27"/>
  <c r="D463" i="27"/>
  <c r="E463" i="27"/>
  <c r="F463" i="27"/>
  <c r="B464" i="27"/>
  <c r="C464" i="27"/>
  <c r="D464" i="27"/>
  <c r="E464" i="27"/>
  <c r="F464" i="27"/>
  <c r="B465" i="27"/>
  <c r="C465" i="27"/>
  <c r="D465" i="27"/>
  <c r="E465" i="27"/>
  <c r="F465" i="27"/>
  <c r="B466" i="27"/>
  <c r="C466" i="27"/>
  <c r="D466" i="27"/>
  <c r="E466" i="27"/>
  <c r="F466" i="27"/>
  <c r="B467" i="27"/>
  <c r="C467" i="27"/>
  <c r="D467" i="27"/>
  <c r="E467" i="27"/>
  <c r="F467" i="27"/>
  <c r="B468" i="27"/>
  <c r="C468" i="27"/>
  <c r="D468" i="27"/>
  <c r="E468" i="27"/>
  <c r="F468" i="27"/>
  <c r="B469" i="27"/>
  <c r="C469" i="27"/>
  <c r="D469" i="27"/>
  <c r="E469" i="27"/>
  <c r="F469" i="27"/>
  <c r="B470" i="27"/>
  <c r="C470" i="27"/>
  <c r="D470" i="27"/>
  <c r="E470" i="27"/>
  <c r="F470" i="27"/>
  <c r="B471" i="27"/>
  <c r="C471" i="27"/>
  <c r="D471" i="27"/>
  <c r="E471" i="27"/>
  <c r="F471" i="27"/>
  <c r="B472" i="27"/>
  <c r="C472" i="27"/>
  <c r="D472" i="27"/>
  <c r="E472" i="27"/>
  <c r="F472" i="27"/>
  <c r="B473" i="27"/>
  <c r="C473" i="27"/>
  <c r="D473" i="27"/>
  <c r="E473" i="27"/>
  <c r="F473" i="27"/>
  <c r="B474" i="27"/>
  <c r="C474" i="27"/>
  <c r="D474" i="27"/>
  <c r="E474" i="27"/>
  <c r="F474" i="27"/>
  <c r="B475" i="27"/>
  <c r="C475" i="27"/>
  <c r="D475" i="27"/>
  <c r="E475" i="27"/>
  <c r="F475" i="27"/>
  <c r="B476" i="27"/>
  <c r="C476" i="27"/>
  <c r="D476" i="27"/>
  <c r="E476" i="27"/>
  <c r="F476" i="27"/>
  <c r="B477" i="27"/>
  <c r="C477" i="27"/>
  <c r="D477" i="27"/>
  <c r="E477" i="27"/>
  <c r="F477" i="27"/>
  <c r="B478" i="27"/>
  <c r="C478" i="27"/>
  <c r="D478" i="27"/>
  <c r="E478" i="27"/>
  <c r="F478" i="27"/>
  <c r="B479" i="27"/>
  <c r="C479" i="27"/>
  <c r="D479" i="27"/>
  <c r="E479" i="27"/>
  <c r="F479" i="27"/>
  <c r="B480" i="27"/>
  <c r="C480" i="27"/>
  <c r="D480" i="27"/>
  <c r="E480" i="27"/>
  <c r="F480" i="27"/>
  <c r="B481" i="27"/>
  <c r="C481" i="27"/>
  <c r="D481" i="27"/>
  <c r="E481" i="27"/>
  <c r="F481" i="27"/>
  <c r="B482" i="27"/>
  <c r="C482" i="27"/>
  <c r="D482" i="27"/>
  <c r="E482" i="27"/>
  <c r="F482" i="27"/>
  <c r="B483" i="27"/>
  <c r="C483" i="27"/>
  <c r="D483" i="27"/>
  <c r="E483" i="27"/>
  <c r="F483" i="27"/>
  <c r="B484" i="27"/>
  <c r="C484" i="27"/>
  <c r="D484" i="27"/>
  <c r="E484" i="27"/>
  <c r="F484" i="27"/>
  <c r="B485" i="27"/>
  <c r="C485" i="27"/>
  <c r="D485" i="27"/>
  <c r="E485" i="27"/>
  <c r="F485" i="27"/>
  <c r="B486" i="27"/>
  <c r="C486" i="27"/>
  <c r="D486" i="27"/>
  <c r="E486" i="27"/>
  <c r="F486" i="27"/>
  <c r="B487" i="27"/>
  <c r="C487" i="27"/>
  <c r="D487" i="27"/>
  <c r="E487" i="27"/>
  <c r="F487" i="27"/>
  <c r="B488" i="27"/>
  <c r="C488" i="27"/>
  <c r="D488" i="27"/>
  <c r="E488" i="27"/>
  <c r="F488" i="27"/>
  <c r="B489" i="27"/>
  <c r="C489" i="27"/>
  <c r="D489" i="27"/>
  <c r="E489" i="27"/>
  <c r="F489" i="27"/>
  <c r="B490" i="27"/>
  <c r="C490" i="27"/>
  <c r="D490" i="27"/>
  <c r="E490" i="27"/>
  <c r="F490" i="27"/>
  <c r="B491" i="27"/>
  <c r="C491" i="27"/>
  <c r="D491" i="27"/>
  <c r="E491" i="27"/>
  <c r="F491" i="27"/>
  <c r="B492" i="27"/>
  <c r="C492" i="27"/>
  <c r="D492" i="27"/>
  <c r="E492" i="27"/>
  <c r="F492" i="27"/>
  <c r="B493" i="27"/>
  <c r="C493" i="27"/>
  <c r="D493" i="27"/>
  <c r="E493" i="27"/>
  <c r="F493" i="27"/>
  <c r="B494" i="27"/>
  <c r="C494" i="27"/>
  <c r="D494" i="27"/>
  <c r="E494" i="27"/>
  <c r="F494" i="27"/>
  <c r="B495" i="27"/>
  <c r="C495" i="27"/>
  <c r="D495" i="27"/>
  <c r="E495" i="27"/>
  <c r="F495" i="27"/>
  <c r="B496" i="27"/>
  <c r="C496" i="27"/>
  <c r="D496" i="27"/>
  <c r="E496" i="27"/>
  <c r="F496" i="27"/>
  <c r="B497" i="27"/>
  <c r="C497" i="27"/>
  <c r="D497" i="27"/>
  <c r="E497" i="27"/>
  <c r="F497" i="27"/>
  <c r="B498" i="27"/>
  <c r="C498" i="27"/>
  <c r="D498" i="27"/>
  <c r="E498" i="27"/>
  <c r="F498" i="27"/>
  <c r="B499" i="27"/>
  <c r="C499" i="27"/>
  <c r="D499" i="27"/>
  <c r="E499" i="27"/>
  <c r="F499" i="27"/>
  <c r="B500" i="27"/>
  <c r="C500" i="27"/>
  <c r="D500" i="27"/>
  <c r="E500" i="27"/>
  <c r="F500" i="27"/>
  <c r="B501" i="27"/>
  <c r="C501" i="27"/>
  <c r="D501" i="27"/>
  <c r="E501" i="27"/>
  <c r="F501" i="27"/>
  <c r="B502" i="27"/>
  <c r="C502" i="27"/>
  <c r="D502" i="27"/>
  <c r="E502" i="27"/>
  <c r="F502" i="27"/>
  <c r="B503" i="27"/>
  <c r="C503" i="27"/>
  <c r="D503" i="27"/>
  <c r="E503" i="27"/>
  <c r="F503" i="27"/>
  <c r="B504" i="27"/>
  <c r="C504" i="27"/>
  <c r="D504" i="27"/>
  <c r="E504" i="27"/>
  <c r="F504" i="27"/>
  <c r="B505" i="27"/>
  <c r="C505" i="27"/>
  <c r="D505" i="27"/>
  <c r="E505" i="27"/>
  <c r="F505" i="27"/>
  <c r="B506" i="27"/>
  <c r="C506" i="27"/>
  <c r="D506" i="27"/>
  <c r="E506" i="27"/>
  <c r="F506" i="27"/>
  <c r="B507" i="27"/>
  <c r="C507" i="27"/>
  <c r="D507" i="27"/>
  <c r="E507" i="27"/>
  <c r="F507" i="27"/>
  <c r="B508" i="27"/>
  <c r="C508" i="27"/>
  <c r="D508" i="27"/>
  <c r="E508" i="27"/>
  <c r="F508" i="27"/>
  <c r="B509" i="27"/>
  <c r="C509" i="27"/>
  <c r="D509" i="27"/>
  <c r="E509" i="27"/>
  <c r="F509" i="27"/>
  <c r="B510" i="27"/>
  <c r="C510" i="27"/>
  <c r="D510" i="27"/>
  <c r="E510" i="27"/>
  <c r="F510" i="27"/>
  <c r="B511" i="27"/>
  <c r="C511" i="27"/>
  <c r="D511" i="27"/>
  <c r="E511" i="27"/>
  <c r="F511" i="27"/>
  <c r="B512" i="27"/>
  <c r="C512" i="27"/>
  <c r="D512" i="27"/>
  <c r="E512" i="27"/>
  <c r="F512" i="27"/>
  <c r="B513" i="27"/>
  <c r="C513" i="27"/>
  <c r="D513" i="27"/>
  <c r="E513" i="27"/>
  <c r="F513" i="27"/>
  <c r="B514" i="27"/>
  <c r="C514" i="27"/>
  <c r="D514" i="27"/>
  <c r="E514" i="27"/>
  <c r="F514" i="27"/>
  <c r="B515" i="27"/>
  <c r="C515" i="27"/>
  <c r="D515" i="27"/>
  <c r="E515" i="27"/>
  <c r="F515" i="27"/>
  <c r="B516" i="27"/>
  <c r="C516" i="27"/>
  <c r="D516" i="27"/>
  <c r="E516" i="27"/>
  <c r="F516" i="27"/>
  <c r="B517" i="27"/>
  <c r="C517" i="27"/>
  <c r="D517" i="27"/>
  <c r="E517" i="27"/>
  <c r="F517" i="27"/>
  <c r="B518" i="27"/>
  <c r="C518" i="27"/>
  <c r="D518" i="27"/>
  <c r="E518" i="27"/>
  <c r="F518" i="27"/>
  <c r="B519" i="27"/>
  <c r="C519" i="27"/>
  <c r="D519" i="27"/>
  <c r="E519" i="27"/>
  <c r="F519" i="27"/>
  <c r="B520" i="27"/>
  <c r="C520" i="27"/>
  <c r="D520" i="27"/>
  <c r="E520" i="27"/>
  <c r="F520" i="27"/>
  <c r="B521" i="27"/>
  <c r="C521" i="27"/>
  <c r="D521" i="27"/>
  <c r="E521" i="27"/>
  <c r="F521" i="27"/>
  <c r="B522" i="27"/>
  <c r="C522" i="27"/>
  <c r="D522" i="27"/>
  <c r="E522" i="27"/>
  <c r="F522" i="27"/>
  <c r="B523" i="27"/>
  <c r="C523" i="27"/>
  <c r="D523" i="27"/>
  <c r="E523" i="27"/>
  <c r="F523" i="27"/>
  <c r="B524" i="27"/>
  <c r="C524" i="27"/>
  <c r="D524" i="27"/>
  <c r="E524" i="27"/>
  <c r="F524" i="27"/>
  <c r="B525" i="27"/>
  <c r="C525" i="27"/>
  <c r="D525" i="27"/>
  <c r="E525" i="27"/>
  <c r="F525" i="27"/>
  <c r="B526" i="27"/>
  <c r="C526" i="27"/>
  <c r="D526" i="27"/>
  <c r="E526" i="27"/>
  <c r="F526" i="27"/>
  <c r="B527" i="27"/>
  <c r="C527" i="27"/>
  <c r="D527" i="27"/>
  <c r="E527" i="27"/>
  <c r="F527" i="27"/>
  <c r="B528" i="27"/>
  <c r="C528" i="27"/>
  <c r="D528" i="27"/>
  <c r="E528" i="27"/>
  <c r="F528" i="27"/>
  <c r="B529" i="27"/>
  <c r="C529" i="27"/>
  <c r="D529" i="27"/>
  <c r="E529" i="27"/>
  <c r="F529" i="27"/>
  <c r="B530" i="27"/>
  <c r="C530" i="27"/>
  <c r="D530" i="27"/>
  <c r="E530" i="27"/>
  <c r="F530" i="27"/>
  <c r="B531" i="27"/>
  <c r="C531" i="27"/>
  <c r="D531" i="27"/>
  <c r="E531" i="27"/>
  <c r="F531" i="27"/>
  <c r="B532" i="27"/>
  <c r="C532" i="27"/>
  <c r="D532" i="27"/>
  <c r="E532" i="27"/>
  <c r="F532" i="27"/>
  <c r="B533" i="27"/>
  <c r="C533" i="27"/>
  <c r="D533" i="27"/>
  <c r="E533" i="27"/>
  <c r="F533" i="27"/>
  <c r="B534" i="27"/>
  <c r="C534" i="27"/>
  <c r="D534" i="27"/>
  <c r="E534" i="27"/>
  <c r="F534" i="27"/>
  <c r="B535" i="27"/>
  <c r="C535" i="27"/>
  <c r="D535" i="27"/>
  <c r="E535" i="27"/>
  <c r="F535" i="27"/>
  <c r="B536" i="27"/>
  <c r="C536" i="27"/>
  <c r="D536" i="27"/>
  <c r="E536" i="27"/>
  <c r="F536" i="27"/>
  <c r="B537" i="27"/>
  <c r="C537" i="27"/>
  <c r="D537" i="27"/>
  <c r="E537" i="27"/>
  <c r="F537" i="27"/>
  <c r="B538" i="27"/>
  <c r="C538" i="27"/>
  <c r="D538" i="27"/>
  <c r="E538" i="27"/>
  <c r="F538" i="27"/>
  <c r="B539" i="27"/>
  <c r="C539" i="27"/>
  <c r="D539" i="27"/>
  <c r="E539" i="27"/>
  <c r="F539" i="27"/>
  <c r="B540" i="27"/>
  <c r="C540" i="27"/>
  <c r="D540" i="27"/>
  <c r="E540" i="27"/>
  <c r="F540" i="27"/>
  <c r="B541" i="27"/>
  <c r="C541" i="27"/>
  <c r="D541" i="27"/>
  <c r="E541" i="27"/>
  <c r="F541" i="27"/>
  <c r="B542" i="27"/>
  <c r="C542" i="27"/>
  <c r="D542" i="27"/>
  <c r="E542" i="27"/>
  <c r="F542" i="27"/>
  <c r="B543" i="27"/>
  <c r="C543" i="27"/>
  <c r="D543" i="27"/>
  <c r="E543" i="27"/>
  <c r="F543" i="27"/>
  <c r="B544" i="27"/>
  <c r="C544" i="27"/>
  <c r="D544" i="27"/>
  <c r="E544" i="27"/>
  <c r="F544" i="27"/>
  <c r="B545" i="27"/>
  <c r="C545" i="27"/>
  <c r="D545" i="27"/>
  <c r="E545" i="27"/>
  <c r="F545" i="27"/>
  <c r="B546" i="27"/>
  <c r="C546" i="27"/>
  <c r="D546" i="27"/>
  <c r="E546" i="27"/>
  <c r="F546" i="27"/>
  <c r="B547" i="27"/>
  <c r="C547" i="27"/>
  <c r="D547" i="27"/>
  <c r="E547" i="27"/>
  <c r="F547" i="27"/>
  <c r="B548" i="27"/>
  <c r="C548" i="27"/>
  <c r="D548" i="27"/>
  <c r="E548" i="27"/>
  <c r="F548" i="27"/>
  <c r="B549" i="27"/>
  <c r="C549" i="27"/>
  <c r="D549" i="27"/>
  <c r="E549" i="27"/>
  <c r="F549" i="27"/>
  <c r="B550" i="27"/>
  <c r="C550" i="27"/>
  <c r="D550" i="27"/>
  <c r="E550" i="27"/>
  <c r="F550" i="27"/>
  <c r="B551" i="27"/>
  <c r="C551" i="27"/>
  <c r="D551" i="27"/>
  <c r="E551" i="27"/>
  <c r="F551" i="27"/>
  <c r="B552" i="27"/>
  <c r="C552" i="27"/>
  <c r="D552" i="27"/>
  <c r="E552" i="27"/>
  <c r="F552" i="27"/>
  <c r="B553" i="27"/>
  <c r="C553" i="27"/>
  <c r="D553" i="27"/>
  <c r="E553" i="27"/>
  <c r="F553" i="27"/>
  <c r="B554" i="27"/>
  <c r="C554" i="27"/>
  <c r="D554" i="27"/>
  <c r="E554" i="27"/>
  <c r="F554" i="27"/>
  <c r="B555" i="27"/>
  <c r="C555" i="27"/>
  <c r="D555" i="27"/>
  <c r="E555" i="27"/>
  <c r="F555" i="27"/>
  <c r="B556" i="27"/>
  <c r="C556" i="27"/>
  <c r="D556" i="27"/>
  <c r="E556" i="27"/>
  <c r="F556" i="27"/>
  <c r="B557" i="27"/>
  <c r="C557" i="27"/>
  <c r="D557" i="27"/>
  <c r="E557" i="27"/>
  <c r="F557" i="27"/>
  <c r="B558" i="27"/>
  <c r="C558" i="27"/>
  <c r="D558" i="27"/>
  <c r="E558" i="27"/>
  <c r="F558" i="27"/>
  <c r="B559" i="27"/>
  <c r="C559" i="27"/>
  <c r="D559" i="27"/>
  <c r="E559" i="27"/>
  <c r="F559" i="27"/>
  <c r="B560" i="27"/>
  <c r="C560" i="27"/>
  <c r="D560" i="27"/>
  <c r="E560" i="27"/>
  <c r="F560" i="27"/>
  <c r="B561" i="27"/>
  <c r="C561" i="27"/>
  <c r="D561" i="27"/>
  <c r="E561" i="27"/>
  <c r="F561" i="27"/>
  <c r="B562" i="27"/>
  <c r="C562" i="27"/>
  <c r="D562" i="27"/>
  <c r="E562" i="27"/>
  <c r="F562" i="27"/>
  <c r="B563" i="27"/>
  <c r="C563" i="27"/>
  <c r="D563" i="27"/>
  <c r="E563" i="27"/>
  <c r="F563" i="27"/>
  <c r="B564" i="27"/>
  <c r="C564" i="27"/>
  <c r="D564" i="27"/>
  <c r="E564" i="27"/>
  <c r="F564" i="27"/>
  <c r="B565" i="27"/>
  <c r="C565" i="27"/>
  <c r="D565" i="27"/>
  <c r="E565" i="27"/>
  <c r="F565" i="27"/>
  <c r="B566" i="27"/>
  <c r="C566" i="27"/>
  <c r="D566" i="27"/>
  <c r="E566" i="27"/>
  <c r="F566" i="27"/>
  <c r="B567" i="27"/>
  <c r="C567" i="27"/>
  <c r="D567" i="27"/>
  <c r="E567" i="27"/>
  <c r="F567" i="27"/>
  <c r="B568" i="27"/>
  <c r="C568" i="27"/>
  <c r="D568" i="27"/>
  <c r="E568" i="27"/>
  <c r="F568" i="27"/>
  <c r="B569" i="27"/>
  <c r="C569" i="27"/>
  <c r="D569" i="27"/>
  <c r="E569" i="27"/>
  <c r="F569" i="27"/>
  <c r="B570" i="27"/>
  <c r="C570" i="27"/>
  <c r="D570" i="27"/>
  <c r="E570" i="27"/>
  <c r="F570" i="27"/>
  <c r="B571" i="27"/>
  <c r="C571" i="27"/>
  <c r="D571" i="27"/>
  <c r="E571" i="27"/>
  <c r="F571" i="27"/>
  <c r="B572" i="27"/>
  <c r="C572" i="27"/>
  <c r="D572" i="27"/>
  <c r="E572" i="27"/>
  <c r="F572" i="27"/>
  <c r="B573" i="27"/>
  <c r="C573" i="27"/>
  <c r="D573" i="27"/>
  <c r="E573" i="27"/>
  <c r="F573" i="27"/>
  <c r="B574" i="27"/>
  <c r="C574" i="27"/>
  <c r="D574" i="27"/>
  <c r="E574" i="27"/>
  <c r="F574" i="27"/>
  <c r="B575" i="27"/>
  <c r="C575" i="27"/>
  <c r="D575" i="27"/>
  <c r="E575" i="27"/>
  <c r="F575" i="27"/>
  <c r="B576" i="27"/>
  <c r="C576" i="27"/>
  <c r="D576" i="27"/>
  <c r="E576" i="27"/>
  <c r="F576" i="27"/>
  <c r="B577" i="27"/>
  <c r="C577" i="27"/>
  <c r="D577" i="27"/>
  <c r="E577" i="27"/>
  <c r="F577" i="27"/>
  <c r="B578" i="27"/>
  <c r="C578" i="27"/>
  <c r="D578" i="27"/>
  <c r="E578" i="27"/>
  <c r="F578" i="27"/>
  <c r="B579" i="27"/>
  <c r="C579" i="27"/>
  <c r="D579" i="27"/>
  <c r="E579" i="27"/>
  <c r="F579" i="27"/>
  <c r="B580" i="27"/>
  <c r="C580" i="27"/>
  <c r="D580" i="27"/>
  <c r="E580" i="27"/>
  <c r="F580" i="27"/>
  <c r="B581" i="27"/>
  <c r="C581" i="27"/>
  <c r="D581" i="27"/>
  <c r="E581" i="27"/>
  <c r="F581" i="27"/>
  <c r="B582" i="27"/>
  <c r="C582" i="27"/>
  <c r="D582" i="27"/>
  <c r="E582" i="27"/>
  <c r="F582" i="27"/>
  <c r="B583" i="27"/>
  <c r="C583" i="27"/>
  <c r="D583" i="27"/>
  <c r="E583" i="27"/>
  <c r="F583" i="27"/>
  <c r="B584" i="27"/>
  <c r="C584" i="27"/>
  <c r="D584" i="27"/>
  <c r="E584" i="27"/>
  <c r="F584" i="27"/>
  <c r="B585" i="27"/>
  <c r="C585" i="27"/>
  <c r="D585" i="27"/>
  <c r="E585" i="27"/>
  <c r="F585" i="27"/>
  <c r="B586" i="27"/>
  <c r="C586" i="27"/>
  <c r="D586" i="27"/>
  <c r="E586" i="27"/>
  <c r="F586" i="27"/>
  <c r="B587" i="27"/>
  <c r="C587" i="27"/>
  <c r="D587" i="27"/>
  <c r="E587" i="27"/>
  <c r="F587" i="27"/>
  <c r="B588" i="27"/>
  <c r="C588" i="27"/>
  <c r="D588" i="27"/>
  <c r="E588" i="27"/>
  <c r="F588" i="27"/>
  <c r="B589" i="27"/>
  <c r="C589" i="27"/>
  <c r="D589" i="27"/>
  <c r="E589" i="27"/>
  <c r="F589" i="27"/>
  <c r="B590" i="27"/>
  <c r="C590" i="27"/>
  <c r="D590" i="27"/>
  <c r="E590" i="27"/>
  <c r="F590" i="27"/>
  <c r="B591" i="27"/>
  <c r="C591" i="27"/>
  <c r="D591" i="27"/>
  <c r="E591" i="27"/>
  <c r="F591" i="27"/>
  <c r="B592" i="27"/>
  <c r="C592" i="27"/>
  <c r="D592" i="27"/>
  <c r="E592" i="27"/>
  <c r="F592" i="27"/>
  <c r="B593" i="27"/>
  <c r="C593" i="27"/>
  <c r="D593" i="27"/>
  <c r="E593" i="27"/>
  <c r="F593" i="27"/>
  <c r="B594" i="27"/>
  <c r="C594" i="27"/>
  <c r="D594" i="27"/>
  <c r="E594" i="27"/>
  <c r="F594" i="27"/>
  <c r="B595" i="27"/>
  <c r="C595" i="27"/>
  <c r="D595" i="27"/>
  <c r="E595" i="27"/>
  <c r="F595" i="27"/>
  <c r="B596" i="27"/>
  <c r="C596" i="27"/>
  <c r="D596" i="27"/>
  <c r="E596" i="27"/>
  <c r="F596" i="27"/>
  <c r="B597" i="27"/>
  <c r="C597" i="27"/>
  <c r="D597" i="27"/>
  <c r="E597" i="27"/>
  <c r="F597" i="27"/>
  <c r="B598" i="27"/>
  <c r="C598" i="27"/>
  <c r="D598" i="27"/>
  <c r="E598" i="27"/>
  <c r="F598" i="27"/>
  <c r="B599" i="27"/>
  <c r="C599" i="27"/>
  <c r="D599" i="27"/>
  <c r="E599" i="27"/>
  <c r="F599" i="27"/>
  <c r="B600" i="27"/>
  <c r="C600" i="27"/>
  <c r="D600" i="27"/>
  <c r="E600" i="27"/>
  <c r="F600" i="27"/>
  <c r="B601" i="27"/>
  <c r="C601" i="27"/>
  <c r="D601" i="27"/>
  <c r="E601" i="27"/>
  <c r="F601" i="27"/>
  <c r="B602" i="27"/>
  <c r="C602" i="27"/>
  <c r="D602" i="27"/>
  <c r="E602" i="27"/>
  <c r="F602" i="27"/>
  <c r="B603" i="27"/>
  <c r="C603" i="27"/>
  <c r="D603" i="27"/>
  <c r="E603" i="27"/>
  <c r="F603" i="27"/>
  <c r="B604" i="27"/>
  <c r="C604" i="27"/>
  <c r="D604" i="27"/>
  <c r="E604" i="27"/>
  <c r="F604" i="27"/>
  <c r="B605" i="27"/>
  <c r="C605" i="27"/>
  <c r="D605" i="27"/>
  <c r="E605" i="27"/>
  <c r="F605" i="27"/>
  <c r="B606" i="27"/>
  <c r="C606" i="27"/>
  <c r="D606" i="27"/>
  <c r="E606" i="27"/>
  <c r="F606" i="27"/>
  <c r="B607" i="27"/>
  <c r="C607" i="27"/>
  <c r="D607" i="27"/>
  <c r="E607" i="27"/>
  <c r="F607" i="27"/>
  <c r="B608" i="27"/>
  <c r="C608" i="27"/>
  <c r="D608" i="27"/>
  <c r="E608" i="27"/>
  <c r="F608" i="27"/>
  <c r="B609" i="27"/>
  <c r="C609" i="27"/>
  <c r="D609" i="27"/>
  <c r="E609" i="27"/>
  <c r="F609" i="27"/>
  <c r="B610" i="27"/>
  <c r="C610" i="27"/>
  <c r="D610" i="27"/>
  <c r="E610" i="27"/>
  <c r="F610" i="27"/>
  <c r="B611" i="27"/>
  <c r="C611" i="27"/>
  <c r="D611" i="27"/>
  <c r="E611" i="27"/>
  <c r="F611" i="27"/>
  <c r="B612" i="27"/>
  <c r="C612" i="27"/>
  <c r="D612" i="27"/>
  <c r="E612" i="27"/>
  <c r="F612" i="27"/>
  <c r="B613" i="27"/>
  <c r="C613" i="27"/>
  <c r="D613" i="27"/>
  <c r="E613" i="27"/>
  <c r="F613" i="27"/>
  <c r="B614" i="27"/>
  <c r="C614" i="27"/>
  <c r="D614" i="27"/>
  <c r="E614" i="27"/>
  <c r="F614" i="27"/>
  <c r="B615" i="27"/>
  <c r="C615" i="27"/>
  <c r="D615" i="27"/>
  <c r="E615" i="27"/>
  <c r="F615" i="27"/>
  <c r="B616" i="27"/>
  <c r="C616" i="27"/>
  <c r="D616" i="27"/>
  <c r="E616" i="27"/>
  <c r="F616" i="27"/>
  <c r="B617" i="27"/>
  <c r="C617" i="27"/>
  <c r="D617" i="27"/>
  <c r="E617" i="27"/>
  <c r="F617" i="27"/>
  <c r="B618" i="27"/>
  <c r="C618" i="27"/>
  <c r="D618" i="27"/>
  <c r="E618" i="27"/>
  <c r="F618" i="27"/>
  <c r="B619" i="27"/>
  <c r="C619" i="27"/>
  <c r="D619" i="27"/>
  <c r="E619" i="27"/>
  <c r="F619" i="27"/>
  <c r="B620" i="27"/>
  <c r="C620" i="27"/>
  <c r="D620" i="27"/>
  <c r="E620" i="27"/>
  <c r="F620" i="27"/>
  <c r="B621" i="27"/>
  <c r="C621" i="27"/>
  <c r="D621" i="27"/>
  <c r="E621" i="27"/>
  <c r="F621" i="27"/>
  <c r="B622" i="27"/>
  <c r="C622" i="27"/>
  <c r="D622" i="27"/>
  <c r="E622" i="27"/>
  <c r="F622" i="27"/>
  <c r="B623" i="27"/>
  <c r="C623" i="27"/>
  <c r="D623" i="27"/>
  <c r="E623" i="27"/>
  <c r="F623" i="27"/>
  <c r="B624" i="27"/>
  <c r="C624" i="27"/>
  <c r="D624" i="27"/>
  <c r="E624" i="27"/>
  <c r="F624" i="27"/>
  <c r="B625" i="27"/>
  <c r="C625" i="27"/>
  <c r="D625" i="27"/>
  <c r="E625" i="27"/>
  <c r="F625" i="27"/>
  <c r="B626" i="27"/>
  <c r="C626" i="27"/>
  <c r="D626" i="27"/>
  <c r="E626" i="27"/>
  <c r="F626" i="27"/>
  <c r="B627" i="27"/>
  <c r="C627" i="27"/>
  <c r="D627" i="27"/>
  <c r="E627" i="27"/>
  <c r="F627" i="27"/>
  <c r="B628" i="27"/>
  <c r="C628" i="27"/>
  <c r="D628" i="27"/>
  <c r="E628" i="27"/>
  <c r="F628" i="27"/>
  <c r="B629" i="27"/>
  <c r="C629" i="27"/>
  <c r="D629" i="27"/>
  <c r="E629" i="27"/>
  <c r="F629" i="27"/>
  <c r="B630" i="27"/>
  <c r="C630" i="27"/>
  <c r="D630" i="27"/>
  <c r="E630" i="27"/>
  <c r="F630" i="27"/>
  <c r="B631" i="27"/>
  <c r="C631" i="27"/>
  <c r="D631" i="27"/>
  <c r="E631" i="27"/>
  <c r="F631" i="27"/>
  <c r="B632" i="27"/>
  <c r="C632" i="27"/>
  <c r="D632" i="27"/>
  <c r="E632" i="27"/>
  <c r="F632" i="27"/>
  <c r="B633" i="27"/>
  <c r="C633" i="27"/>
  <c r="D633" i="27"/>
  <c r="E633" i="27"/>
  <c r="F633" i="27"/>
  <c r="B634" i="27"/>
  <c r="C634" i="27"/>
  <c r="D634" i="27"/>
  <c r="E634" i="27"/>
  <c r="F634" i="27"/>
  <c r="B635" i="27"/>
  <c r="C635" i="27"/>
  <c r="D635" i="27"/>
  <c r="E635" i="27"/>
  <c r="F635" i="27"/>
  <c r="B636" i="27"/>
  <c r="C636" i="27"/>
  <c r="D636" i="27"/>
  <c r="E636" i="27"/>
  <c r="F636" i="27"/>
  <c r="B637" i="27"/>
  <c r="C637" i="27"/>
  <c r="D637" i="27"/>
  <c r="E637" i="27"/>
  <c r="F637" i="27"/>
  <c r="B638" i="27"/>
  <c r="C638" i="27"/>
  <c r="D638" i="27"/>
  <c r="E638" i="27"/>
  <c r="F638" i="27"/>
  <c r="B639" i="27"/>
  <c r="C639" i="27"/>
  <c r="D639" i="27"/>
  <c r="E639" i="27"/>
  <c r="F639" i="27"/>
  <c r="B640" i="27"/>
  <c r="C640" i="27"/>
  <c r="D640" i="27"/>
  <c r="E640" i="27"/>
  <c r="F640" i="27"/>
  <c r="B641" i="27"/>
  <c r="C641" i="27"/>
  <c r="D641" i="27"/>
  <c r="E641" i="27"/>
  <c r="F641" i="27"/>
  <c r="B642" i="27"/>
  <c r="C642" i="27"/>
  <c r="D642" i="27"/>
  <c r="E642" i="27"/>
  <c r="F642" i="27"/>
  <c r="B643" i="27"/>
  <c r="C643" i="27"/>
  <c r="D643" i="27"/>
  <c r="E643" i="27"/>
  <c r="F643" i="27"/>
  <c r="B644" i="27"/>
  <c r="C644" i="27"/>
  <c r="D644" i="27"/>
  <c r="E644" i="27"/>
  <c r="F644" i="27"/>
  <c r="B645" i="27"/>
  <c r="C645" i="27"/>
  <c r="D645" i="27"/>
  <c r="E645" i="27"/>
  <c r="F645" i="27"/>
  <c r="B646" i="27"/>
  <c r="C646" i="27"/>
  <c r="D646" i="27"/>
  <c r="E646" i="27"/>
  <c r="F646" i="27"/>
  <c r="B647" i="27"/>
  <c r="C647" i="27"/>
  <c r="D647" i="27"/>
  <c r="E647" i="27"/>
  <c r="F647" i="27"/>
  <c r="B648" i="27"/>
  <c r="C648" i="27"/>
  <c r="D648" i="27"/>
  <c r="E648" i="27"/>
  <c r="F648" i="27"/>
  <c r="B649" i="27"/>
  <c r="C649" i="27"/>
  <c r="D649" i="27"/>
  <c r="E649" i="27"/>
  <c r="F649" i="27"/>
  <c r="B650" i="27"/>
  <c r="C650" i="27"/>
  <c r="D650" i="27"/>
  <c r="E650" i="27"/>
  <c r="F650" i="27"/>
  <c r="B651" i="27"/>
  <c r="C651" i="27"/>
  <c r="D651" i="27"/>
  <c r="E651" i="27"/>
  <c r="F651" i="27"/>
  <c r="B652" i="27"/>
  <c r="C652" i="27"/>
  <c r="D652" i="27"/>
  <c r="E652" i="27"/>
  <c r="F652" i="27"/>
  <c r="B653" i="27"/>
  <c r="C653" i="27"/>
  <c r="D653" i="27"/>
  <c r="E653" i="27"/>
  <c r="F653" i="27"/>
  <c r="B654" i="27"/>
  <c r="C654" i="27"/>
  <c r="D654" i="27"/>
  <c r="E654" i="27"/>
  <c r="F654" i="27"/>
  <c r="B655" i="27"/>
  <c r="C655" i="27"/>
  <c r="D655" i="27"/>
  <c r="E655" i="27"/>
  <c r="F655" i="27"/>
  <c r="B656" i="27"/>
  <c r="C656" i="27"/>
  <c r="D656" i="27"/>
  <c r="E656" i="27"/>
  <c r="F656" i="27"/>
  <c r="B657" i="27"/>
  <c r="C657" i="27"/>
  <c r="D657" i="27"/>
  <c r="E657" i="27"/>
  <c r="F657" i="27"/>
  <c r="B658" i="27"/>
  <c r="C658" i="27"/>
  <c r="D658" i="27"/>
  <c r="E658" i="27"/>
  <c r="F658" i="27"/>
  <c r="B659" i="27"/>
  <c r="C659" i="27"/>
  <c r="D659" i="27"/>
  <c r="E659" i="27"/>
  <c r="F659" i="27"/>
  <c r="B660" i="27"/>
  <c r="C660" i="27"/>
  <c r="D660" i="27"/>
  <c r="E660" i="27"/>
  <c r="F660" i="27"/>
  <c r="B661" i="27"/>
  <c r="C661" i="27"/>
  <c r="D661" i="27"/>
  <c r="E661" i="27"/>
  <c r="F661" i="27"/>
  <c r="B662" i="27"/>
  <c r="C662" i="27"/>
  <c r="D662" i="27"/>
  <c r="E662" i="27"/>
  <c r="F662" i="27"/>
  <c r="B663" i="27"/>
  <c r="C663" i="27"/>
  <c r="D663" i="27"/>
  <c r="E663" i="27"/>
  <c r="F663" i="27"/>
  <c r="B664" i="27"/>
  <c r="C664" i="27"/>
  <c r="D664" i="27"/>
  <c r="E664" i="27"/>
  <c r="F664" i="27"/>
  <c r="B665" i="27"/>
  <c r="C665" i="27"/>
  <c r="D665" i="27"/>
  <c r="E665" i="27"/>
  <c r="F665" i="27"/>
  <c r="B666" i="27"/>
  <c r="C666" i="27"/>
  <c r="D666" i="27"/>
  <c r="E666" i="27"/>
  <c r="F666" i="27"/>
  <c r="B667" i="27"/>
  <c r="C667" i="27"/>
  <c r="D667" i="27"/>
  <c r="E667" i="27"/>
  <c r="F667" i="27"/>
  <c r="B668" i="27"/>
  <c r="C668" i="27"/>
  <c r="D668" i="27"/>
  <c r="E668" i="27"/>
  <c r="F668" i="27"/>
  <c r="B669" i="27"/>
  <c r="C669" i="27"/>
  <c r="D669" i="27"/>
  <c r="E669" i="27"/>
  <c r="F669" i="27"/>
  <c r="B670" i="27"/>
  <c r="C670" i="27"/>
  <c r="D670" i="27"/>
  <c r="E670" i="27"/>
  <c r="F670" i="27"/>
  <c r="B671" i="27"/>
  <c r="C671" i="27"/>
  <c r="D671" i="27"/>
  <c r="E671" i="27"/>
  <c r="F671" i="27"/>
  <c r="B672" i="27"/>
  <c r="C672" i="27"/>
  <c r="D672" i="27"/>
  <c r="E672" i="27"/>
  <c r="F672" i="27"/>
  <c r="B673" i="27"/>
  <c r="C673" i="27"/>
  <c r="D673" i="27"/>
  <c r="E673" i="27"/>
  <c r="F673" i="27"/>
  <c r="B674" i="27"/>
  <c r="C674" i="27"/>
  <c r="D674" i="27"/>
  <c r="E674" i="27"/>
  <c r="F674" i="27"/>
  <c r="B675" i="27"/>
  <c r="C675" i="27"/>
  <c r="D675" i="27"/>
  <c r="E675" i="27"/>
  <c r="F675" i="27"/>
  <c r="B676" i="27"/>
  <c r="C676" i="27"/>
  <c r="D676" i="27"/>
  <c r="E676" i="27"/>
  <c r="F676" i="27"/>
  <c r="B677" i="27"/>
  <c r="C677" i="27"/>
  <c r="D677" i="27"/>
  <c r="E677" i="27"/>
  <c r="F677" i="27"/>
  <c r="B678" i="27"/>
  <c r="C678" i="27"/>
  <c r="D678" i="27"/>
  <c r="E678" i="27"/>
  <c r="F678" i="27"/>
  <c r="B679" i="27"/>
  <c r="C679" i="27"/>
  <c r="D679" i="27"/>
  <c r="E679" i="27"/>
  <c r="F679" i="27"/>
  <c r="B680" i="27"/>
  <c r="C680" i="27"/>
  <c r="D680" i="27"/>
  <c r="E680" i="27"/>
  <c r="F680" i="27"/>
  <c r="B681" i="27"/>
  <c r="C681" i="27"/>
  <c r="D681" i="27"/>
  <c r="E681" i="27"/>
  <c r="F681" i="27"/>
  <c r="B682" i="27"/>
  <c r="C682" i="27"/>
  <c r="D682" i="27"/>
  <c r="E682" i="27"/>
  <c r="F682" i="27"/>
  <c r="B683" i="27"/>
  <c r="C683" i="27"/>
  <c r="D683" i="27"/>
  <c r="E683" i="27"/>
  <c r="F683" i="27"/>
  <c r="B684" i="27"/>
  <c r="C684" i="27"/>
  <c r="D684" i="27"/>
  <c r="E684" i="27"/>
  <c r="F684" i="27"/>
  <c r="B685" i="27"/>
  <c r="C685" i="27"/>
  <c r="D685" i="27"/>
  <c r="E685" i="27"/>
  <c r="F685" i="27"/>
  <c r="B686" i="27"/>
  <c r="C686" i="27"/>
  <c r="D686" i="27"/>
  <c r="E686" i="27"/>
  <c r="F686" i="27"/>
  <c r="B687" i="27"/>
  <c r="C687" i="27"/>
  <c r="D687" i="27"/>
  <c r="E687" i="27"/>
  <c r="F687" i="27"/>
  <c r="B688" i="27"/>
  <c r="C688" i="27"/>
  <c r="D688" i="27"/>
  <c r="E688" i="27"/>
  <c r="F688" i="27"/>
  <c r="B689" i="27"/>
  <c r="C689" i="27"/>
  <c r="D689" i="27"/>
  <c r="E689" i="27"/>
  <c r="F689" i="27"/>
  <c r="B690" i="27"/>
  <c r="C690" i="27"/>
  <c r="D690" i="27"/>
  <c r="E690" i="27"/>
  <c r="F690" i="27"/>
  <c r="B691" i="27"/>
  <c r="C691" i="27"/>
  <c r="D691" i="27"/>
  <c r="E691" i="27"/>
  <c r="F691" i="27"/>
  <c r="B692" i="27"/>
  <c r="C692" i="27"/>
  <c r="D692" i="27"/>
  <c r="E692" i="27"/>
  <c r="F692" i="27"/>
  <c r="B693" i="27"/>
  <c r="C693" i="27"/>
  <c r="D693" i="27"/>
  <c r="E693" i="27"/>
  <c r="F693" i="27"/>
  <c r="B694" i="27"/>
  <c r="C694" i="27"/>
  <c r="D694" i="27"/>
  <c r="E694" i="27"/>
  <c r="F694" i="27"/>
  <c r="B695" i="27"/>
  <c r="C695" i="27"/>
  <c r="D695" i="27"/>
  <c r="E695" i="27"/>
  <c r="F695" i="27"/>
  <c r="B696" i="27"/>
  <c r="C696" i="27"/>
  <c r="D696" i="27"/>
  <c r="E696" i="27"/>
  <c r="F696" i="27"/>
  <c r="B697" i="27"/>
  <c r="C697" i="27"/>
  <c r="D697" i="27"/>
  <c r="E697" i="27"/>
  <c r="F697" i="27"/>
  <c r="B698" i="27"/>
  <c r="C698" i="27"/>
  <c r="D698" i="27"/>
  <c r="E698" i="27"/>
  <c r="F698" i="27"/>
  <c r="B699" i="27"/>
  <c r="C699" i="27"/>
  <c r="D699" i="27"/>
  <c r="E699" i="27"/>
  <c r="F699" i="27"/>
  <c r="B700" i="27"/>
  <c r="C700" i="27"/>
  <c r="D700" i="27"/>
  <c r="E700" i="27"/>
  <c r="F700" i="27"/>
  <c r="B701" i="27"/>
  <c r="C701" i="27"/>
  <c r="D701" i="27"/>
  <c r="E701" i="27"/>
  <c r="F701" i="27"/>
  <c r="B702" i="27"/>
  <c r="C702" i="27"/>
  <c r="D702" i="27"/>
  <c r="E702" i="27"/>
  <c r="F702" i="27"/>
  <c r="B703" i="27"/>
  <c r="C703" i="27"/>
  <c r="D703" i="27"/>
  <c r="E703" i="27"/>
  <c r="F703" i="27"/>
  <c r="B704" i="27"/>
  <c r="C704" i="27"/>
  <c r="D704" i="27"/>
  <c r="E704" i="27"/>
  <c r="F704" i="27"/>
  <c r="B705" i="27"/>
  <c r="C705" i="27"/>
  <c r="D705" i="27"/>
  <c r="E705" i="27"/>
  <c r="F705" i="27"/>
  <c r="B706" i="27"/>
  <c r="C706" i="27"/>
  <c r="D706" i="27"/>
  <c r="E706" i="27"/>
  <c r="F706" i="27"/>
  <c r="B707" i="27"/>
  <c r="C707" i="27"/>
  <c r="D707" i="27"/>
  <c r="E707" i="27"/>
  <c r="F707" i="27"/>
  <c r="B708" i="27"/>
  <c r="C708" i="27"/>
  <c r="D708" i="27"/>
  <c r="E708" i="27"/>
  <c r="F708" i="27"/>
  <c r="B709" i="27"/>
  <c r="C709" i="27"/>
  <c r="D709" i="27"/>
  <c r="E709" i="27"/>
  <c r="F709" i="27"/>
  <c r="B710" i="27"/>
  <c r="C710" i="27"/>
  <c r="D710" i="27"/>
  <c r="E710" i="27"/>
  <c r="F710" i="27"/>
  <c r="B711" i="27"/>
  <c r="C711" i="27"/>
  <c r="D711" i="27"/>
  <c r="E711" i="27"/>
  <c r="F711" i="27"/>
  <c r="B712" i="27"/>
  <c r="C712" i="27"/>
  <c r="D712" i="27"/>
  <c r="E712" i="27"/>
  <c r="F712" i="27"/>
  <c r="B713" i="27"/>
  <c r="C713" i="27"/>
  <c r="D713" i="27"/>
  <c r="E713" i="27"/>
  <c r="F713" i="27"/>
  <c r="B714" i="27"/>
  <c r="C714" i="27"/>
  <c r="D714" i="27"/>
  <c r="E714" i="27"/>
  <c r="F714" i="27"/>
  <c r="B715" i="27"/>
  <c r="C715" i="27"/>
  <c r="D715" i="27"/>
  <c r="E715" i="27"/>
  <c r="F715" i="27"/>
  <c r="B716" i="27"/>
  <c r="C716" i="27"/>
  <c r="D716" i="27"/>
  <c r="E716" i="27"/>
  <c r="F716" i="27"/>
  <c r="B717" i="27"/>
  <c r="C717" i="27"/>
  <c r="D717" i="27"/>
  <c r="E717" i="27"/>
  <c r="F717" i="27"/>
  <c r="B718" i="27"/>
  <c r="C718" i="27"/>
  <c r="D718" i="27"/>
  <c r="E718" i="27"/>
  <c r="F718" i="27"/>
  <c r="B719" i="27"/>
  <c r="C719" i="27"/>
  <c r="D719" i="27"/>
  <c r="E719" i="27"/>
  <c r="F719" i="27"/>
  <c r="B720" i="27"/>
  <c r="C720" i="27"/>
  <c r="D720" i="27"/>
  <c r="E720" i="27"/>
  <c r="F720" i="27"/>
  <c r="B721" i="27"/>
  <c r="C721" i="27"/>
  <c r="D721" i="27"/>
  <c r="E721" i="27"/>
  <c r="F721" i="27"/>
  <c r="B722" i="27"/>
  <c r="C722" i="27"/>
  <c r="D722" i="27"/>
  <c r="E722" i="27"/>
  <c r="F722" i="27"/>
  <c r="B723" i="27"/>
  <c r="C723" i="27"/>
  <c r="D723" i="27"/>
  <c r="E723" i="27"/>
  <c r="F723" i="27"/>
  <c r="B724" i="27"/>
  <c r="C724" i="27"/>
  <c r="D724" i="27"/>
  <c r="E724" i="27"/>
  <c r="F724" i="27"/>
  <c r="B725" i="27"/>
  <c r="C725" i="27"/>
  <c r="D725" i="27"/>
  <c r="E725" i="27"/>
  <c r="F725" i="27"/>
  <c r="B726" i="27"/>
  <c r="C726" i="27"/>
  <c r="D726" i="27"/>
  <c r="E726" i="27"/>
  <c r="F726" i="27"/>
  <c r="B727" i="27"/>
  <c r="C727" i="27"/>
  <c r="D727" i="27"/>
  <c r="E727" i="27"/>
  <c r="F727" i="27"/>
  <c r="B728" i="27"/>
  <c r="C728" i="27"/>
  <c r="D728" i="27"/>
  <c r="E728" i="27"/>
  <c r="F728" i="27"/>
  <c r="B729" i="27"/>
  <c r="C729" i="27"/>
  <c r="D729" i="27"/>
  <c r="E729" i="27"/>
  <c r="F729" i="27"/>
  <c r="B730" i="27"/>
  <c r="C730" i="27"/>
  <c r="D730" i="27"/>
  <c r="E730" i="27"/>
  <c r="F730" i="27"/>
  <c r="B731" i="27"/>
  <c r="C731" i="27"/>
  <c r="D731" i="27"/>
  <c r="E731" i="27"/>
  <c r="F731" i="27"/>
  <c r="B732" i="27"/>
  <c r="C732" i="27"/>
  <c r="D732" i="27"/>
  <c r="E732" i="27"/>
  <c r="F732" i="27"/>
  <c r="B733" i="27"/>
  <c r="C733" i="27"/>
  <c r="D733" i="27"/>
  <c r="E733" i="27"/>
  <c r="F733" i="27"/>
  <c r="B734" i="27"/>
  <c r="C734" i="27"/>
  <c r="D734" i="27"/>
  <c r="E734" i="27"/>
  <c r="F734" i="27"/>
  <c r="B735" i="27"/>
  <c r="C735" i="27"/>
  <c r="D735" i="27"/>
  <c r="E735" i="27"/>
  <c r="F735" i="27"/>
  <c r="B736" i="27"/>
  <c r="C736" i="27"/>
  <c r="D736" i="27"/>
  <c r="E736" i="27"/>
  <c r="F736" i="27"/>
  <c r="B737" i="27"/>
  <c r="C737" i="27"/>
  <c r="D737" i="27"/>
  <c r="E737" i="27"/>
  <c r="F737" i="27"/>
  <c r="B738" i="27"/>
  <c r="C738" i="27"/>
  <c r="D738" i="27"/>
  <c r="E738" i="27"/>
  <c r="F738" i="27"/>
  <c r="B739" i="27"/>
  <c r="C739" i="27"/>
  <c r="D739" i="27"/>
  <c r="E739" i="27"/>
  <c r="F739" i="27"/>
  <c r="B740" i="27"/>
  <c r="C740" i="27"/>
  <c r="D740" i="27"/>
  <c r="E740" i="27"/>
  <c r="F740" i="27"/>
  <c r="B741" i="27"/>
  <c r="C741" i="27"/>
  <c r="D741" i="27"/>
  <c r="E741" i="27"/>
  <c r="F741" i="27"/>
  <c r="B742" i="27"/>
  <c r="C742" i="27"/>
  <c r="D742" i="27"/>
  <c r="E742" i="27"/>
  <c r="F742" i="27"/>
  <c r="B743" i="27"/>
  <c r="C743" i="27"/>
  <c r="D743" i="27"/>
  <c r="E743" i="27"/>
  <c r="F743" i="27"/>
  <c r="B744" i="27"/>
  <c r="C744" i="27"/>
  <c r="D744" i="27"/>
  <c r="E744" i="27"/>
  <c r="F744" i="27"/>
  <c r="B745" i="27"/>
  <c r="C745" i="27"/>
  <c r="D745" i="27"/>
  <c r="E745" i="27"/>
  <c r="F745" i="27"/>
  <c r="B746" i="27"/>
  <c r="C746" i="27"/>
  <c r="D746" i="27"/>
  <c r="E746" i="27"/>
  <c r="F746" i="27"/>
  <c r="B747" i="27"/>
  <c r="C747" i="27"/>
  <c r="D747" i="27"/>
  <c r="E747" i="27"/>
  <c r="F747" i="27"/>
  <c r="B748" i="27"/>
  <c r="C748" i="27"/>
  <c r="D748" i="27"/>
  <c r="E748" i="27"/>
  <c r="F748" i="27"/>
  <c r="B749" i="27"/>
  <c r="C749" i="27"/>
  <c r="D749" i="27"/>
  <c r="E749" i="27"/>
  <c r="F749" i="27"/>
  <c r="B750" i="27"/>
  <c r="C750" i="27"/>
  <c r="D750" i="27"/>
  <c r="E750" i="27"/>
  <c r="F750" i="27"/>
  <c r="B751" i="27"/>
  <c r="C751" i="27"/>
  <c r="D751" i="27"/>
  <c r="E751" i="27"/>
  <c r="F751" i="27"/>
  <c r="B752" i="27"/>
  <c r="C752" i="27"/>
  <c r="D752" i="27"/>
  <c r="E752" i="27"/>
  <c r="F752" i="27"/>
  <c r="B753" i="27"/>
  <c r="C753" i="27"/>
  <c r="D753" i="27"/>
  <c r="E753" i="27"/>
  <c r="F753" i="27"/>
  <c r="B754" i="27"/>
  <c r="C754" i="27"/>
  <c r="D754" i="27"/>
  <c r="E754" i="27"/>
  <c r="F754" i="27"/>
  <c r="B755" i="27"/>
  <c r="C755" i="27"/>
  <c r="D755" i="27"/>
  <c r="E755" i="27"/>
  <c r="F755" i="27"/>
  <c r="B756" i="27"/>
  <c r="C756" i="27"/>
  <c r="D756" i="27"/>
  <c r="E756" i="27"/>
  <c r="F756" i="27"/>
  <c r="B757" i="27"/>
  <c r="C757" i="27"/>
  <c r="D757" i="27"/>
  <c r="E757" i="27"/>
  <c r="F757" i="27"/>
  <c r="B758" i="27"/>
  <c r="C758" i="27"/>
  <c r="D758" i="27"/>
  <c r="E758" i="27"/>
  <c r="F758" i="27"/>
  <c r="B759" i="27"/>
  <c r="C759" i="27"/>
  <c r="D759" i="27"/>
  <c r="E759" i="27"/>
  <c r="F759" i="27"/>
  <c r="B760" i="27"/>
  <c r="C760" i="27"/>
  <c r="D760" i="27"/>
  <c r="E760" i="27"/>
  <c r="F760" i="27"/>
  <c r="B761" i="27"/>
  <c r="C761" i="27"/>
  <c r="D761" i="27"/>
  <c r="E761" i="27"/>
  <c r="F761" i="27"/>
  <c r="B762" i="27"/>
  <c r="C762" i="27"/>
  <c r="D762" i="27"/>
  <c r="E762" i="27"/>
  <c r="F762" i="27"/>
  <c r="B763" i="27"/>
  <c r="C763" i="27"/>
  <c r="D763" i="27"/>
  <c r="E763" i="27"/>
  <c r="F763" i="27"/>
  <c r="B764" i="27"/>
  <c r="C764" i="27"/>
  <c r="D764" i="27"/>
  <c r="E764" i="27"/>
  <c r="F764" i="27"/>
  <c r="B765" i="27"/>
  <c r="C765" i="27"/>
  <c r="D765" i="27"/>
  <c r="E765" i="27"/>
  <c r="F765" i="27"/>
  <c r="B766" i="27"/>
  <c r="C766" i="27"/>
  <c r="D766" i="27"/>
  <c r="E766" i="27"/>
  <c r="F766" i="27"/>
  <c r="B767" i="27"/>
  <c r="C767" i="27"/>
  <c r="D767" i="27"/>
  <c r="E767" i="27"/>
  <c r="F767" i="27"/>
  <c r="B768" i="27"/>
  <c r="C768" i="27"/>
  <c r="D768" i="27"/>
  <c r="E768" i="27"/>
  <c r="F768" i="27"/>
  <c r="B769" i="27"/>
  <c r="C769" i="27"/>
  <c r="D769" i="27"/>
  <c r="E769" i="27"/>
  <c r="F769" i="27"/>
  <c r="B770" i="27"/>
  <c r="C770" i="27"/>
  <c r="D770" i="27"/>
  <c r="E770" i="27"/>
  <c r="F770" i="27"/>
  <c r="B771" i="27"/>
  <c r="C771" i="27"/>
  <c r="D771" i="27"/>
  <c r="E771" i="27"/>
  <c r="F771" i="27"/>
  <c r="B772" i="27"/>
  <c r="C772" i="27"/>
  <c r="D772" i="27"/>
  <c r="E772" i="27"/>
  <c r="F772" i="27"/>
  <c r="B773" i="27"/>
  <c r="C773" i="27"/>
  <c r="D773" i="27"/>
  <c r="E773" i="27"/>
  <c r="F773" i="27"/>
  <c r="B774" i="27"/>
  <c r="C774" i="27"/>
  <c r="D774" i="27"/>
  <c r="E774" i="27"/>
  <c r="F774" i="27"/>
  <c r="B775" i="27"/>
  <c r="C775" i="27"/>
  <c r="D775" i="27"/>
  <c r="E775" i="27"/>
  <c r="F775" i="27"/>
  <c r="B776" i="27"/>
  <c r="C776" i="27"/>
  <c r="D776" i="27"/>
  <c r="E776" i="27"/>
  <c r="F776" i="27"/>
  <c r="B777" i="27"/>
  <c r="C777" i="27"/>
  <c r="D777" i="27"/>
  <c r="E777" i="27"/>
  <c r="F777" i="27"/>
  <c r="B778" i="27"/>
  <c r="C778" i="27"/>
  <c r="D778" i="27"/>
  <c r="E778" i="27"/>
  <c r="F778" i="27"/>
  <c r="B779" i="27"/>
  <c r="C779" i="27"/>
  <c r="D779" i="27"/>
  <c r="E779" i="27"/>
  <c r="F779" i="27"/>
  <c r="B780" i="27"/>
  <c r="C780" i="27"/>
  <c r="D780" i="27"/>
  <c r="E780" i="27"/>
  <c r="F780" i="27"/>
  <c r="B781" i="27"/>
  <c r="C781" i="27"/>
  <c r="D781" i="27"/>
  <c r="E781" i="27"/>
  <c r="F781" i="27"/>
  <c r="B782" i="27"/>
  <c r="C782" i="27"/>
  <c r="D782" i="27"/>
  <c r="E782" i="27"/>
  <c r="F782" i="27"/>
  <c r="B783" i="27"/>
  <c r="C783" i="27"/>
  <c r="D783" i="27"/>
  <c r="E783" i="27"/>
  <c r="F783" i="27"/>
  <c r="B784" i="27"/>
  <c r="C784" i="27"/>
  <c r="D784" i="27"/>
  <c r="E784" i="27"/>
  <c r="F784" i="27"/>
  <c r="B785" i="27"/>
  <c r="C785" i="27"/>
  <c r="D785" i="27"/>
  <c r="E785" i="27"/>
  <c r="F785" i="27"/>
  <c r="B786" i="27"/>
  <c r="C786" i="27"/>
  <c r="D786" i="27"/>
  <c r="E786" i="27"/>
  <c r="F786" i="27"/>
  <c r="B787" i="27"/>
  <c r="C787" i="27"/>
  <c r="D787" i="27"/>
  <c r="E787" i="27"/>
  <c r="F787" i="27"/>
  <c r="B788" i="27"/>
  <c r="C788" i="27"/>
  <c r="D788" i="27"/>
  <c r="E788" i="27"/>
  <c r="F788" i="27"/>
  <c r="B789" i="27"/>
  <c r="C789" i="27"/>
  <c r="D789" i="27"/>
  <c r="E789" i="27"/>
  <c r="F789" i="27"/>
  <c r="B790" i="27"/>
  <c r="C790" i="27"/>
  <c r="D790" i="27"/>
  <c r="E790" i="27"/>
  <c r="F790" i="27"/>
  <c r="B791" i="27"/>
  <c r="C791" i="27"/>
  <c r="D791" i="27"/>
  <c r="E791" i="27"/>
  <c r="F791" i="27"/>
  <c r="B792" i="27"/>
  <c r="C792" i="27"/>
  <c r="D792" i="27"/>
  <c r="E792" i="27"/>
  <c r="F792" i="27"/>
  <c r="B793" i="27"/>
  <c r="C793" i="27"/>
  <c r="D793" i="27"/>
  <c r="E793" i="27"/>
  <c r="F793" i="27"/>
  <c r="B794" i="27"/>
  <c r="C794" i="27"/>
  <c r="D794" i="27"/>
  <c r="E794" i="27"/>
  <c r="F794" i="27"/>
  <c r="B795" i="27"/>
  <c r="C795" i="27"/>
  <c r="D795" i="27"/>
  <c r="E795" i="27"/>
  <c r="F795" i="27"/>
  <c r="B796" i="27"/>
  <c r="C796" i="27"/>
  <c r="D796" i="27"/>
  <c r="E796" i="27"/>
  <c r="F796" i="27"/>
  <c r="B797" i="27"/>
  <c r="C797" i="27"/>
  <c r="D797" i="27"/>
  <c r="E797" i="27"/>
  <c r="F797" i="27"/>
  <c r="B798" i="27"/>
  <c r="C798" i="27"/>
  <c r="D798" i="27"/>
  <c r="E798" i="27"/>
  <c r="F798" i="27"/>
  <c r="B799" i="27"/>
  <c r="C799" i="27"/>
  <c r="D799" i="27"/>
  <c r="E799" i="27"/>
  <c r="F799" i="27"/>
  <c r="B800" i="27"/>
  <c r="C800" i="27"/>
  <c r="D800" i="27"/>
  <c r="E800" i="27"/>
  <c r="F800" i="27"/>
  <c r="B801" i="27"/>
  <c r="C801" i="27"/>
  <c r="D801" i="27"/>
  <c r="E801" i="27"/>
  <c r="F801" i="27"/>
  <c r="B802" i="27"/>
  <c r="C802" i="27"/>
  <c r="D802" i="27"/>
  <c r="E802" i="27"/>
  <c r="F802" i="27"/>
  <c r="B803" i="27"/>
  <c r="C803" i="27"/>
  <c r="D803" i="27"/>
  <c r="E803" i="27"/>
  <c r="F803" i="27"/>
  <c r="B804" i="27"/>
  <c r="C804" i="27"/>
  <c r="D804" i="27"/>
  <c r="E804" i="27"/>
  <c r="F804" i="27"/>
  <c r="B805" i="27"/>
  <c r="C805" i="27"/>
  <c r="D805" i="27"/>
  <c r="E805" i="27"/>
  <c r="F805" i="27"/>
  <c r="B806" i="27"/>
  <c r="C806" i="27"/>
  <c r="D806" i="27"/>
  <c r="E806" i="27"/>
  <c r="F806" i="27"/>
  <c r="B807" i="27"/>
  <c r="C807" i="27"/>
  <c r="D807" i="27"/>
  <c r="E807" i="27"/>
  <c r="F807" i="27"/>
  <c r="B808" i="27"/>
  <c r="C808" i="27"/>
  <c r="D808" i="27"/>
  <c r="E808" i="27"/>
  <c r="F808" i="27"/>
  <c r="B809" i="27"/>
  <c r="C809" i="27"/>
  <c r="D809" i="27"/>
  <c r="E809" i="27"/>
  <c r="F809" i="27"/>
  <c r="B810" i="27"/>
  <c r="C810" i="27"/>
  <c r="D810" i="27"/>
  <c r="E810" i="27"/>
  <c r="F810" i="27"/>
  <c r="B811" i="27"/>
  <c r="C811" i="27"/>
  <c r="D811" i="27"/>
  <c r="E811" i="27"/>
  <c r="F811" i="27"/>
  <c r="B812" i="27"/>
  <c r="C812" i="27"/>
  <c r="D812" i="27"/>
  <c r="E812" i="27"/>
  <c r="F812" i="27"/>
  <c r="B813" i="27"/>
  <c r="C813" i="27"/>
  <c r="D813" i="27"/>
  <c r="E813" i="27"/>
  <c r="F813" i="27"/>
  <c r="B814" i="27"/>
  <c r="C814" i="27"/>
  <c r="D814" i="27"/>
  <c r="E814" i="27"/>
  <c r="F814" i="27"/>
  <c r="B815" i="27"/>
  <c r="C815" i="27"/>
  <c r="D815" i="27"/>
  <c r="E815" i="27"/>
  <c r="F815" i="27"/>
  <c r="B816" i="27"/>
  <c r="C816" i="27"/>
  <c r="D816" i="27"/>
  <c r="E816" i="27"/>
  <c r="F816" i="27"/>
  <c r="B817" i="27"/>
  <c r="C817" i="27"/>
  <c r="D817" i="27"/>
  <c r="E817" i="27"/>
  <c r="F817" i="27"/>
  <c r="B818" i="27"/>
  <c r="C818" i="27"/>
  <c r="D818" i="27"/>
  <c r="E818" i="27"/>
  <c r="F818" i="27"/>
  <c r="B819" i="27"/>
  <c r="C819" i="27"/>
  <c r="D819" i="27"/>
  <c r="E819" i="27"/>
  <c r="F819" i="27"/>
  <c r="B820" i="27"/>
  <c r="C820" i="27"/>
  <c r="D820" i="27"/>
  <c r="E820" i="27"/>
  <c r="F820" i="27"/>
  <c r="B821" i="27"/>
  <c r="C821" i="27"/>
  <c r="D821" i="27"/>
  <c r="E821" i="27"/>
  <c r="F821" i="27"/>
  <c r="B822" i="27"/>
  <c r="C822" i="27"/>
  <c r="D822" i="27"/>
  <c r="E822" i="27"/>
  <c r="F822" i="27"/>
  <c r="B823" i="27"/>
  <c r="C823" i="27"/>
  <c r="D823" i="27"/>
  <c r="E823" i="27"/>
  <c r="F823" i="27"/>
  <c r="B824" i="27"/>
  <c r="C824" i="27"/>
  <c r="D824" i="27"/>
  <c r="E824" i="27"/>
  <c r="F824" i="27"/>
  <c r="B825" i="27"/>
  <c r="C825" i="27"/>
  <c r="D825" i="27"/>
  <c r="E825" i="27"/>
  <c r="F825" i="27"/>
  <c r="B826" i="27"/>
  <c r="C826" i="27"/>
  <c r="D826" i="27"/>
  <c r="E826" i="27"/>
  <c r="F826" i="27"/>
  <c r="B827" i="27"/>
  <c r="C827" i="27"/>
  <c r="D827" i="27"/>
  <c r="E827" i="27"/>
  <c r="F827" i="27"/>
  <c r="B828" i="27"/>
  <c r="C828" i="27"/>
  <c r="D828" i="27"/>
  <c r="E828" i="27"/>
  <c r="F828" i="27"/>
  <c r="B829" i="27"/>
  <c r="C829" i="27"/>
  <c r="D829" i="27"/>
  <c r="E829" i="27"/>
  <c r="F829" i="27"/>
  <c r="B830" i="27"/>
  <c r="C830" i="27"/>
  <c r="D830" i="27"/>
  <c r="E830" i="27"/>
  <c r="F830" i="27"/>
  <c r="B831" i="27"/>
  <c r="C831" i="27"/>
  <c r="D831" i="27"/>
  <c r="E831" i="27"/>
  <c r="F831" i="27"/>
  <c r="B832" i="27"/>
  <c r="C832" i="27"/>
  <c r="D832" i="27"/>
  <c r="E832" i="27"/>
  <c r="F832" i="27"/>
  <c r="B833" i="27"/>
  <c r="C833" i="27"/>
  <c r="D833" i="27"/>
  <c r="E833" i="27"/>
  <c r="F833" i="27"/>
  <c r="B834" i="27"/>
  <c r="C834" i="27"/>
  <c r="D834" i="27"/>
  <c r="E834" i="27"/>
  <c r="F834" i="27"/>
  <c r="B835" i="27"/>
  <c r="C835" i="27"/>
  <c r="D835" i="27"/>
  <c r="E835" i="27"/>
  <c r="F835" i="27"/>
  <c r="B836" i="27"/>
  <c r="C836" i="27"/>
  <c r="D836" i="27"/>
  <c r="E836" i="27"/>
  <c r="F836" i="27"/>
  <c r="B837" i="27"/>
  <c r="C837" i="27"/>
  <c r="D837" i="27"/>
  <c r="E837" i="27"/>
  <c r="F837" i="27"/>
  <c r="B838" i="27"/>
  <c r="C838" i="27"/>
  <c r="D838" i="27"/>
  <c r="E838" i="27"/>
  <c r="F838" i="27"/>
  <c r="B839" i="27"/>
  <c r="C839" i="27"/>
  <c r="D839" i="27"/>
  <c r="E839" i="27"/>
  <c r="F839" i="27"/>
  <c r="B840" i="27"/>
  <c r="C840" i="27"/>
  <c r="D840" i="27"/>
  <c r="E840" i="27"/>
  <c r="F840" i="27"/>
  <c r="B841" i="27"/>
  <c r="C841" i="27"/>
  <c r="D841" i="27"/>
  <c r="E841" i="27"/>
  <c r="F841" i="27"/>
  <c r="B842" i="27"/>
  <c r="C842" i="27"/>
  <c r="D842" i="27"/>
  <c r="E842" i="27"/>
  <c r="F842" i="27"/>
  <c r="B843" i="27"/>
  <c r="C843" i="27"/>
  <c r="D843" i="27"/>
  <c r="E843" i="27"/>
  <c r="F843" i="27"/>
  <c r="B844" i="27"/>
  <c r="C844" i="27"/>
  <c r="D844" i="27"/>
  <c r="E844" i="27"/>
  <c r="F844" i="27"/>
  <c r="B845" i="27"/>
  <c r="C845" i="27"/>
  <c r="D845" i="27"/>
  <c r="E845" i="27"/>
  <c r="F845" i="27"/>
  <c r="B846" i="27"/>
  <c r="C846" i="27"/>
  <c r="D846" i="27"/>
  <c r="E846" i="27"/>
  <c r="F846" i="27"/>
  <c r="B847" i="27"/>
  <c r="C847" i="27"/>
  <c r="D847" i="27"/>
  <c r="E847" i="27"/>
  <c r="F847" i="27"/>
  <c r="B848" i="27"/>
  <c r="C848" i="27"/>
  <c r="D848" i="27"/>
  <c r="E848" i="27"/>
  <c r="F848" i="27"/>
  <c r="B849" i="27"/>
  <c r="C849" i="27"/>
  <c r="D849" i="27"/>
  <c r="E849" i="27"/>
  <c r="F849" i="27"/>
  <c r="B850" i="27"/>
  <c r="C850" i="27"/>
  <c r="D850" i="27"/>
  <c r="E850" i="27"/>
  <c r="F850" i="27"/>
  <c r="B851" i="27"/>
  <c r="C851" i="27"/>
  <c r="D851" i="27"/>
  <c r="E851" i="27"/>
  <c r="F851" i="27"/>
  <c r="B852" i="27"/>
  <c r="C852" i="27"/>
  <c r="D852" i="27"/>
  <c r="E852" i="27"/>
  <c r="F852" i="27"/>
  <c r="B853" i="27"/>
  <c r="C853" i="27"/>
  <c r="D853" i="27"/>
  <c r="E853" i="27"/>
  <c r="F853" i="27"/>
  <c r="B854" i="27"/>
  <c r="C854" i="27"/>
  <c r="D854" i="27"/>
  <c r="E854" i="27"/>
  <c r="F854" i="27"/>
  <c r="B855" i="27"/>
  <c r="C855" i="27"/>
  <c r="D855" i="27"/>
  <c r="E855" i="27"/>
  <c r="F855" i="27"/>
  <c r="B856" i="27"/>
  <c r="C856" i="27"/>
  <c r="D856" i="27"/>
  <c r="E856" i="27"/>
  <c r="F856" i="27"/>
  <c r="B857" i="27"/>
  <c r="C857" i="27"/>
  <c r="D857" i="27"/>
  <c r="E857" i="27"/>
  <c r="F857" i="27"/>
  <c r="B858" i="27"/>
  <c r="C858" i="27"/>
  <c r="D858" i="27"/>
  <c r="E858" i="27"/>
  <c r="F858" i="27"/>
  <c r="B859" i="27"/>
  <c r="C859" i="27"/>
  <c r="D859" i="27"/>
  <c r="E859" i="27"/>
  <c r="F859" i="27"/>
  <c r="B860" i="27"/>
  <c r="C860" i="27"/>
  <c r="D860" i="27"/>
  <c r="E860" i="27"/>
  <c r="F860" i="27"/>
  <c r="B861" i="27"/>
  <c r="C861" i="27"/>
  <c r="D861" i="27"/>
  <c r="E861" i="27"/>
  <c r="F861" i="27"/>
  <c r="B862" i="27"/>
  <c r="C862" i="27"/>
  <c r="D862" i="27"/>
  <c r="E862" i="27"/>
  <c r="F862" i="27"/>
  <c r="B863" i="27"/>
  <c r="C863" i="27"/>
  <c r="D863" i="27"/>
  <c r="E863" i="27"/>
  <c r="F863" i="27"/>
  <c r="B864" i="27"/>
  <c r="C864" i="27"/>
  <c r="D864" i="27"/>
  <c r="E864" i="27"/>
  <c r="F864" i="27"/>
  <c r="B865" i="27"/>
  <c r="C865" i="27"/>
  <c r="D865" i="27"/>
  <c r="E865" i="27"/>
  <c r="F865" i="27"/>
  <c r="B866" i="27"/>
  <c r="C866" i="27"/>
  <c r="D866" i="27"/>
  <c r="E866" i="27"/>
  <c r="F866" i="27"/>
  <c r="B867" i="27"/>
  <c r="C867" i="27"/>
  <c r="D867" i="27"/>
  <c r="E867" i="27"/>
  <c r="F867" i="27"/>
  <c r="B868" i="27"/>
  <c r="C868" i="27"/>
  <c r="D868" i="27"/>
  <c r="E868" i="27"/>
  <c r="F868" i="27"/>
  <c r="B869" i="27"/>
  <c r="C869" i="27"/>
  <c r="D869" i="27"/>
  <c r="E869" i="27"/>
  <c r="F869" i="27"/>
  <c r="B870" i="27"/>
  <c r="C870" i="27"/>
  <c r="D870" i="27"/>
  <c r="E870" i="27"/>
  <c r="F870" i="27"/>
  <c r="B871" i="27"/>
  <c r="C871" i="27"/>
  <c r="D871" i="27"/>
  <c r="E871" i="27"/>
  <c r="F871" i="27"/>
  <c r="B872" i="27"/>
  <c r="C872" i="27"/>
  <c r="D872" i="27"/>
  <c r="E872" i="27"/>
  <c r="F872" i="27"/>
  <c r="B873" i="27"/>
  <c r="C873" i="27"/>
  <c r="D873" i="27"/>
  <c r="E873" i="27"/>
  <c r="F873" i="27"/>
  <c r="B874" i="27"/>
  <c r="C874" i="27"/>
  <c r="D874" i="27"/>
  <c r="E874" i="27"/>
  <c r="F874" i="27"/>
  <c r="B875" i="27"/>
  <c r="C875" i="27"/>
  <c r="D875" i="27"/>
  <c r="E875" i="27"/>
  <c r="F875" i="27"/>
  <c r="B876" i="27"/>
  <c r="C876" i="27"/>
  <c r="D876" i="27"/>
  <c r="E876" i="27"/>
  <c r="F876" i="27"/>
  <c r="B877" i="27"/>
  <c r="C877" i="27"/>
  <c r="D877" i="27"/>
  <c r="E877" i="27"/>
  <c r="F877" i="27"/>
  <c r="B878" i="27"/>
  <c r="C878" i="27"/>
  <c r="D878" i="27"/>
  <c r="E878" i="27"/>
  <c r="F878" i="27"/>
  <c r="B879" i="27"/>
  <c r="C879" i="27"/>
  <c r="D879" i="27"/>
  <c r="E879" i="27"/>
  <c r="F879" i="27"/>
  <c r="B880" i="27"/>
  <c r="C880" i="27"/>
  <c r="D880" i="27"/>
  <c r="E880" i="27"/>
  <c r="F880" i="27"/>
  <c r="B881" i="27"/>
  <c r="C881" i="27"/>
  <c r="D881" i="27"/>
  <c r="E881" i="27"/>
  <c r="F881" i="27"/>
  <c r="B882" i="27"/>
  <c r="C882" i="27"/>
  <c r="D882" i="27"/>
  <c r="E882" i="27"/>
  <c r="F882" i="27"/>
  <c r="B883" i="27"/>
  <c r="C883" i="27"/>
  <c r="D883" i="27"/>
  <c r="E883" i="27"/>
  <c r="F883" i="27"/>
  <c r="B884" i="27"/>
  <c r="C884" i="27"/>
  <c r="D884" i="27"/>
  <c r="E884" i="27"/>
  <c r="F884" i="27"/>
  <c r="B885" i="27"/>
  <c r="C885" i="27"/>
  <c r="D885" i="27"/>
  <c r="E885" i="27"/>
  <c r="F885" i="27"/>
  <c r="B886" i="27"/>
  <c r="C886" i="27"/>
  <c r="D886" i="27"/>
  <c r="E886" i="27"/>
  <c r="F886" i="27"/>
  <c r="B887" i="27"/>
  <c r="C887" i="27"/>
  <c r="D887" i="27"/>
  <c r="E887" i="27"/>
  <c r="F887" i="27"/>
  <c r="B888" i="27"/>
  <c r="C888" i="27"/>
  <c r="D888" i="27"/>
  <c r="E888" i="27"/>
  <c r="F888" i="27"/>
  <c r="B889" i="27"/>
  <c r="C889" i="27"/>
  <c r="D889" i="27"/>
  <c r="E889" i="27"/>
  <c r="F889" i="27"/>
  <c r="B890" i="27"/>
  <c r="C890" i="27"/>
  <c r="D890" i="27"/>
  <c r="E890" i="27"/>
  <c r="F890" i="27"/>
  <c r="B891" i="27"/>
  <c r="C891" i="27"/>
  <c r="D891" i="27"/>
  <c r="E891" i="27"/>
  <c r="F891" i="27"/>
  <c r="B892" i="27"/>
  <c r="C892" i="27"/>
  <c r="D892" i="27"/>
  <c r="E892" i="27"/>
  <c r="F892" i="27"/>
  <c r="B893" i="27"/>
  <c r="C893" i="27"/>
  <c r="D893" i="27"/>
  <c r="E893" i="27"/>
  <c r="F893" i="27"/>
  <c r="B894" i="27"/>
  <c r="C894" i="27"/>
  <c r="D894" i="27"/>
  <c r="E894" i="27"/>
  <c r="F894" i="27"/>
  <c r="B895" i="27"/>
  <c r="C895" i="27"/>
  <c r="D895" i="27"/>
  <c r="E895" i="27"/>
  <c r="F895" i="27"/>
  <c r="B896" i="27"/>
  <c r="C896" i="27"/>
  <c r="D896" i="27"/>
  <c r="E896" i="27"/>
  <c r="F896" i="27"/>
  <c r="B897" i="27"/>
  <c r="C897" i="27"/>
  <c r="D897" i="27"/>
  <c r="E897" i="27"/>
  <c r="F897" i="27"/>
  <c r="B898" i="27"/>
  <c r="C898" i="27"/>
  <c r="D898" i="27"/>
  <c r="E898" i="27"/>
  <c r="F898" i="27"/>
  <c r="B899" i="27"/>
  <c r="C899" i="27"/>
  <c r="D899" i="27"/>
  <c r="E899" i="27"/>
  <c r="F899" i="27"/>
  <c r="B900" i="27"/>
  <c r="C900" i="27"/>
  <c r="D900" i="27"/>
  <c r="E900" i="27"/>
  <c r="F900" i="27"/>
  <c r="B901" i="27"/>
  <c r="C901" i="27"/>
  <c r="D901" i="27"/>
  <c r="E901" i="27"/>
  <c r="F901" i="27"/>
  <c r="B902" i="27"/>
  <c r="C902" i="27"/>
  <c r="D902" i="27"/>
  <c r="E902" i="27"/>
  <c r="F902" i="27"/>
  <c r="B903" i="27"/>
  <c r="C903" i="27"/>
  <c r="D903" i="27"/>
  <c r="E903" i="27"/>
  <c r="F903" i="27"/>
  <c r="B904" i="27"/>
  <c r="C904" i="27"/>
  <c r="D904" i="27"/>
  <c r="E904" i="27"/>
  <c r="F904" i="27"/>
  <c r="B905" i="27"/>
  <c r="C905" i="27"/>
  <c r="D905" i="27"/>
  <c r="E905" i="27"/>
  <c r="F905" i="27"/>
  <c r="B906" i="27"/>
  <c r="C906" i="27"/>
  <c r="D906" i="27"/>
  <c r="E906" i="27"/>
  <c r="F906" i="27"/>
  <c r="B907" i="27"/>
  <c r="C907" i="27"/>
  <c r="D907" i="27"/>
  <c r="E907" i="27"/>
  <c r="F907" i="27"/>
  <c r="B908" i="27"/>
  <c r="C908" i="27"/>
  <c r="D908" i="27"/>
  <c r="E908" i="27"/>
  <c r="F908" i="27"/>
  <c r="B909" i="27"/>
  <c r="C909" i="27"/>
  <c r="D909" i="27"/>
  <c r="E909" i="27"/>
  <c r="F909" i="27"/>
  <c r="B910" i="27"/>
  <c r="C910" i="27"/>
  <c r="D910" i="27"/>
  <c r="E910" i="27"/>
  <c r="F910" i="27"/>
  <c r="B911" i="27"/>
  <c r="C911" i="27"/>
  <c r="D911" i="27"/>
  <c r="E911" i="27"/>
  <c r="F911" i="27"/>
  <c r="B912" i="27"/>
  <c r="C912" i="27"/>
  <c r="D912" i="27"/>
  <c r="E912" i="27"/>
  <c r="F912" i="27"/>
  <c r="B913" i="27"/>
  <c r="C913" i="27"/>
  <c r="D913" i="27"/>
  <c r="E913" i="27"/>
  <c r="F913" i="27"/>
  <c r="B914" i="27"/>
  <c r="C914" i="27"/>
  <c r="D914" i="27"/>
  <c r="E914" i="27"/>
  <c r="F914" i="27"/>
  <c r="B915" i="27"/>
  <c r="C915" i="27"/>
  <c r="D915" i="27"/>
  <c r="E915" i="27"/>
  <c r="F915" i="27"/>
  <c r="B916" i="27"/>
  <c r="C916" i="27"/>
  <c r="D916" i="27"/>
  <c r="E916" i="27"/>
  <c r="F916" i="27"/>
  <c r="B917" i="27"/>
  <c r="C917" i="27"/>
  <c r="D917" i="27"/>
  <c r="E917" i="27"/>
  <c r="F917" i="27"/>
  <c r="B918" i="27"/>
  <c r="C918" i="27"/>
  <c r="D918" i="27"/>
  <c r="E918" i="27"/>
  <c r="F918" i="27"/>
  <c r="B919" i="27"/>
  <c r="C919" i="27"/>
  <c r="D919" i="27"/>
  <c r="E919" i="27"/>
  <c r="F919" i="27"/>
  <c r="B920" i="27"/>
  <c r="C920" i="27"/>
  <c r="D920" i="27"/>
  <c r="E920" i="27"/>
  <c r="F920" i="27"/>
  <c r="B921" i="27"/>
  <c r="C921" i="27"/>
  <c r="D921" i="27"/>
  <c r="E921" i="27"/>
  <c r="F921" i="27"/>
  <c r="B922" i="27"/>
  <c r="C922" i="27"/>
  <c r="D922" i="27"/>
  <c r="E922" i="27"/>
  <c r="F922" i="27"/>
  <c r="B923" i="27"/>
  <c r="C923" i="27"/>
  <c r="D923" i="27"/>
  <c r="E923" i="27"/>
  <c r="F923" i="27"/>
  <c r="B924" i="27"/>
  <c r="C924" i="27"/>
  <c r="D924" i="27"/>
  <c r="E924" i="27"/>
  <c r="F924" i="27"/>
  <c r="B925" i="27"/>
  <c r="C925" i="27"/>
  <c r="D925" i="27"/>
  <c r="E925" i="27"/>
  <c r="F925" i="27"/>
  <c r="B926" i="27"/>
  <c r="C926" i="27"/>
  <c r="D926" i="27"/>
  <c r="E926" i="27"/>
  <c r="F926" i="27"/>
  <c r="B927" i="27"/>
  <c r="C927" i="27"/>
  <c r="D927" i="27"/>
  <c r="E927" i="27"/>
  <c r="F927" i="27"/>
  <c r="B928" i="27"/>
  <c r="C928" i="27"/>
  <c r="D928" i="27"/>
  <c r="E928" i="27"/>
  <c r="F928" i="27"/>
  <c r="B929" i="27"/>
  <c r="C929" i="27"/>
  <c r="D929" i="27"/>
  <c r="E929" i="27"/>
  <c r="F929" i="27"/>
  <c r="B930" i="27"/>
  <c r="C930" i="27"/>
  <c r="D930" i="27"/>
  <c r="E930" i="27"/>
  <c r="F930" i="27"/>
  <c r="B931" i="27"/>
  <c r="C931" i="27"/>
  <c r="D931" i="27"/>
  <c r="E931" i="27"/>
  <c r="F931" i="27"/>
  <c r="B932" i="27"/>
  <c r="C932" i="27"/>
  <c r="D932" i="27"/>
  <c r="E932" i="27"/>
  <c r="F932" i="27"/>
  <c r="B933" i="27"/>
  <c r="C933" i="27"/>
  <c r="D933" i="27"/>
  <c r="E933" i="27"/>
  <c r="F933" i="27"/>
  <c r="B934" i="27"/>
  <c r="C934" i="27"/>
  <c r="D934" i="27"/>
  <c r="E934" i="27"/>
  <c r="F934" i="27"/>
  <c r="B935" i="27"/>
  <c r="C935" i="27"/>
  <c r="D935" i="27"/>
  <c r="E935" i="27"/>
  <c r="F935" i="27"/>
  <c r="B936" i="27"/>
  <c r="C936" i="27"/>
  <c r="D936" i="27"/>
  <c r="E936" i="27"/>
  <c r="F936" i="27"/>
  <c r="B937" i="27"/>
  <c r="C937" i="27"/>
  <c r="D937" i="27"/>
  <c r="E937" i="27"/>
  <c r="F937" i="27"/>
  <c r="B938" i="27"/>
  <c r="C938" i="27"/>
  <c r="D938" i="27"/>
  <c r="E938" i="27"/>
  <c r="F938" i="27"/>
  <c r="B939" i="27"/>
  <c r="C939" i="27"/>
  <c r="D939" i="27"/>
  <c r="E939" i="27"/>
  <c r="F939" i="27"/>
  <c r="B940" i="27"/>
  <c r="C940" i="27"/>
  <c r="D940" i="27"/>
  <c r="E940" i="27"/>
  <c r="F940" i="27"/>
  <c r="B941" i="27"/>
  <c r="C941" i="27"/>
  <c r="D941" i="27"/>
  <c r="E941" i="27"/>
  <c r="F941" i="27"/>
  <c r="B942" i="27"/>
  <c r="C942" i="27"/>
  <c r="D942" i="27"/>
  <c r="E942" i="27"/>
  <c r="F942" i="27"/>
  <c r="B943" i="27"/>
  <c r="C943" i="27"/>
  <c r="D943" i="27"/>
  <c r="E943" i="27"/>
  <c r="F943" i="27"/>
  <c r="B944" i="27"/>
  <c r="C944" i="27"/>
  <c r="D944" i="27"/>
  <c r="E944" i="27"/>
  <c r="F944" i="27"/>
  <c r="B945" i="27"/>
  <c r="C945" i="27"/>
  <c r="D945" i="27"/>
  <c r="E945" i="27"/>
  <c r="F945" i="27"/>
  <c r="B946" i="27"/>
  <c r="C946" i="27"/>
  <c r="D946" i="27"/>
  <c r="E946" i="27"/>
  <c r="F946" i="27"/>
  <c r="B947" i="27"/>
  <c r="C947" i="27"/>
  <c r="D947" i="27"/>
  <c r="E947" i="27"/>
  <c r="F947" i="27"/>
  <c r="B948" i="27"/>
  <c r="C948" i="27"/>
  <c r="D948" i="27"/>
  <c r="E948" i="27"/>
  <c r="F948" i="27"/>
  <c r="B949" i="27"/>
  <c r="C949" i="27"/>
  <c r="D949" i="27"/>
  <c r="E949" i="27"/>
  <c r="F949" i="27"/>
  <c r="B950" i="27"/>
  <c r="C950" i="27"/>
  <c r="D950" i="27"/>
  <c r="E950" i="27"/>
  <c r="F950" i="27"/>
  <c r="B951" i="27"/>
  <c r="C951" i="27"/>
  <c r="D951" i="27"/>
  <c r="E951" i="27"/>
  <c r="F951" i="27"/>
  <c r="B952" i="27"/>
  <c r="C952" i="27"/>
  <c r="D952" i="27"/>
  <c r="E952" i="27"/>
  <c r="F952" i="27"/>
  <c r="B953" i="27"/>
  <c r="C953" i="27"/>
  <c r="D953" i="27"/>
  <c r="E953" i="27"/>
  <c r="F953" i="27"/>
  <c r="B954" i="27"/>
  <c r="C954" i="27"/>
  <c r="D954" i="27"/>
  <c r="E954" i="27"/>
  <c r="F954" i="27"/>
  <c r="B955" i="27"/>
  <c r="C955" i="27"/>
  <c r="D955" i="27"/>
  <c r="E955" i="27"/>
  <c r="F955" i="27"/>
  <c r="B956" i="27"/>
  <c r="C956" i="27"/>
  <c r="D956" i="27"/>
  <c r="E956" i="27"/>
  <c r="F956" i="27"/>
  <c r="B957" i="27"/>
  <c r="C957" i="27"/>
  <c r="D957" i="27"/>
  <c r="E957" i="27"/>
  <c r="F957" i="27"/>
  <c r="B958" i="27"/>
  <c r="C958" i="27"/>
  <c r="D958" i="27"/>
  <c r="E958" i="27"/>
  <c r="F958" i="27"/>
  <c r="B959" i="27"/>
  <c r="C959" i="27"/>
  <c r="D959" i="27"/>
  <c r="E959" i="27"/>
  <c r="F959" i="27"/>
  <c r="B960" i="27"/>
  <c r="C960" i="27"/>
  <c r="D960" i="27"/>
  <c r="E960" i="27"/>
  <c r="F960" i="27"/>
  <c r="B961" i="27"/>
  <c r="C961" i="27"/>
  <c r="D961" i="27"/>
  <c r="E961" i="27"/>
  <c r="F961" i="27"/>
  <c r="B962" i="27"/>
  <c r="C962" i="27"/>
  <c r="D962" i="27"/>
  <c r="E962" i="27"/>
  <c r="F962" i="27"/>
  <c r="B963" i="27"/>
  <c r="C963" i="27"/>
  <c r="D963" i="27"/>
  <c r="E963" i="27"/>
  <c r="F963" i="27"/>
  <c r="B964" i="27"/>
  <c r="C964" i="27"/>
  <c r="D964" i="27"/>
  <c r="E964" i="27"/>
  <c r="F964" i="27"/>
  <c r="B965" i="27"/>
  <c r="C965" i="27"/>
  <c r="D965" i="27"/>
  <c r="E965" i="27"/>
  <c r="F965" i="27"/>
  <c r="B966" i="27"/>
  <c r="C966" i="27"/>
  <c r="D966" i="27"/>
  <c r="E966" i="27"/>
  <c r="F966" i="27"/>
  <c r="B967" i="27"/>
  <c r="C967" i="27"/>
  <c r="D967" i="27"/>
  <c r="E967" i="27"/>
  <c r="F967" i="27"/>
  <c r="B968" i="27"/>
  <c r="C968" i="27"/>
  <c r="D968" i="27"/>
  <c r="E968" i="27"/>
  <c r="F968" i="27"/>
  <c r="B969" i="27"/>
  <c r="C969" i="27"/>
  <c r="D969" i="27"/>
  <c r="E969" i="27"/>
  <c r="F969" i="27"/>
  <c r="B970" i="27"/>
  <c r="C970" i="27"/>
  <c r="D970" i="27"/>
  <c r="E970" i="27"/>
  <c r="F970" i="27"/>
  <c r="B971" i="27"/>
  <c r="C971" i="27"/>
  <c r="D971" i="27"/>
  <c r="E971" i="27"/>
  <c r="F971" i="27"/>
  <c r="B972" i="27"/>
  <c r="C972" i="27"/>
  <c r="D972" i="27"/>
  <c r="E972" i="27"/>
  <c r="F972" i="27"/>
  <c r="B973" i="27"/>
  <c r="C973" i="27"/>
  <c r="D973" i="27"/>
  <c r="E973" i="27"/>
  <c r="F973" i="27"/>
  <c r="B974" i="27"/>
  <c r="C974" i="27"/>
  <c r="D974" i="27"/>
  <c r="E974" i="27"/>
  <c r="F974" i="27"/>
  <c r="B975" i="27"/>
  <c r="C975" i="27"/>
  <c r="D975" i="27"/>
  <c r="E975" i="27"/>
  <c r="F975" i="27"/>
  <c r="B976" i="27"/>
  <c r="C976" i="27"/>
  <c r="D976" i="27"/>
  <c r="E976" i="27"/>
  <c r="F976" i="27"/>
  <c r="B977" i="27"/>
  <c r="C977" i="27"/>
  <c r="D977" i="27"/>
  <c r="E977" i="27"/>
  <c r="F977" i="27"/>
  <c r="B978" i="27"/>
  <c r="C978" i="27"/>
  <c r="D978" i="27"/>
  <c r="E978" i="27"/>
  <c r="F978" i="27"/>
  <c r="B979" i="27"/>
  <c r="C979" i="27"/>
  <c r="D979" i="27"/>
  <c r="E979" i="27"/>
  <c r="F979" i="27"/>
  <c r="B980" i="27"/>
  <c r="C980" i="27"/>
  <c r="D980" i="27"/>
  <c r="E980" i="27"/>
  <c r="F980" i="27"/>
  <c r="B981" i="27"/>
  <c r="C981" i="27"/>
  <c r="D981" i="27"/>
  <c r="E981" i="27"/>
  <c r="F981" i="27"/>
  <c r="B982" i="27"/>
  <c r="C982" i="27"/>
  <c r="D982" i="27"/>
  <c r="E982" i="27"/>
  <c r="F982" i="27"/>
  <c r="B983" i="27"/>
  <c r="C983" i="27"/>
  <c r="D983" i="27"/>
  <c r="E983" i="27"/>
  <c r="F983" i="27"/>
  <c r="B984" i="27"/>
  <c r="C984" i="27"/>
  <c r="D984" i="27"/>
  <c r="E984" i="27"/>
  <c r="F984" i="27"/>
  <c r="B985" i="27"/>
  <c r="C985" i="27"/>
  <c r="D985" i="27"/>
  <c r="E985" i="27"/>
  <c r="F985" i="27"/>
  <c r="B986" i="27"/>
  <c r="C986" i="27"/>
  <c r="D986" i="27"/>
  <c r="E986" i="27"/>
  <c r="F986" i="27"/>
  <c r="B987" i="27"/>
  <c r="C987" i="27"/>
  <c r="D987" i="27"/>
  <c r="E987" i="27"/>
  <c r="F987" i="27"/>
  <c r="B988" i="27"/>
  <c r="C988" i="27"/>
  <c r="D988" i="27"/>
  <c r="E988" i="27"/>
  <c r="F988" i="27"/>
  <c r="B989" i="27"/>
  <c r="C989" i="27"/>
  <c r="D989" i="27"/>
  <c r="E989" i="27"/>
  <c r="F989" i="27"/>
  <c r="B990" i="27"/>
  <c r="C990" i="27"/>
  <c r="D990" i="27"/>
  <c r="E990" i="27"/>
  <c r="F990" i="27"/>
  <c r="B991" i="27"/>
  <c r="C991" i="27"/>
  <c r="D991" i="27"/>
  <c r="E991" i="27"/>
  <c r="F991" i="27"/>
  <c r="B992" i="27"/>
  <c r="C992" i="27"/>
  <c r="D992" i="27"/>
  <c r="E992" i="27"/>
  <c r="F992" i="27"/>
  <c r="B993" i="27"/>
  <c r="C993" i="27"/>
  <c r="D993" i="27"/>
  <c r="E993" i="27"/>
  <c r="F993" i="27"/>
  <c r="B994" i="27"/>
  <c r="C994" i="27"/>
  <c r="D994" i="27"/>
  <c r="E994" i="27"/>
  <c r="F994" i="27"/>
  <c r="B995" i="27"/>
  <c r="C995" i="27"/>
  <c r="D995" i="27"/>
  <c r="E995" i="27"/>
  <c r="F995" i="27"/>
  <c r="B996" i="27"/>
  <c r="C996" i="27"/>
  <c r="D996" i="27"/>
  <c r="E996" i="27"/>
  <c r="F996" i="27"/>
  <c r="B997" i="27"/>
  <c r="C997" i="27"/>
  <c r="D997" i="27"/>
  <c r="E997" i="27"/>
  <c r="F997" i="27"/>
  <c r="B998" i="27"/>
  <c r="C998" i="27"/>
  <c r="D998" i="27"/>
  <c r="E998" i="27"/>
  <c r="F998" i="27"/>
  <c r="B999" i="27"/>
  <c r="C999" i="27"/>
  <c r="D999" i="27"/>
  <c r="E999" i="27"/>
  <c r="F999" i="27"/>
  <c r="B1000" i="27"/>
  <c r="C1000" i="27"/>
  <c r="D1000" i="27"/>
  <c r="E1000" i="27"/>
  <c r="F1000" i="27"/>
  <c r="B1001" i="27"/>
  <c r="C1001" i="27"/>
  <c r="D1001" i="27"/>
  <c r="E1001" i="27"/>
  <c r="F1001" i="27"/>
  <c r="B1002" i="27"/>
  <c r="C1002" i="27"/>
  <c r="D1002" i="27"/>
  <c r="E1002" i="27"/>
  <c r="F1002" i="27"/>
  <c r="C3" i="27"/>
  <c r="D3" i="27"/>
  <c r="E3" i="27"/>
  <c r="F3" i="27"/>
  <c r="B4" i="26"/>
  <c r="C4" i="26"/>
  <c r="D4" i="26"/>
  <c r="B5" i="26"/>
  <c r="C5" i="26"/>
  <c r="D5" i="26"/>
  <c r="B6" i="26"/>
  <c r="C6" i="26"/>
  <c r="D6" i="26"/>
  <c r="B7" i="26"/>
  <c r="C7" i="26"/>
  <c r="D7" i="26"/>
  <c r="B8" i="26"/>
  <c r="C8" i="26"/>
  <c r="D8" i="26"/>
  <c r="B9" i="26"/>
  <c r="C9" i="26"/>
  <c r="D9" i="26"/>
  <c r="B10" i="26"/>
  <c r="C10" i="26"/>
  <c r="D10" i="26"/>
  <c r="B11" i="26"/>
  <c r="C11" i="26"/>
  <c r="D11" i="26"/>
  <c r="B12" i="26"/>
  <c r="C12" i="26"/>
  <c r="D12" i="26"/>
  <c r="B13" i="26"/>
  <c r="C13" i="26"/>
  <c r="D13" i="26"/>
  <c r="B14" i="26"/>
  <c r="C14" i="26"/>
  <c r="D14" i="26"/>
  <c r="B15" i="26"/>
  <c r="C15" i="26"/>
  <c r="D15" i="26"/>
  <c r="B16" i="26"/>
  <c r="C16" i="26"/>
  <c r="D16" i="26"/>
  <c r="B17" i="26"/>
  <c r="C17" i="26"/>
  <c r="D17" i="26"/>
  <c r="B18" i="26"/>
  <c r="C18" i="26"/>
  <c r="D18" i="26"/>
  <c r="B19" i="26"/>
  <c r="C19" i="26"/>
  <c r="D19" i="26"/>
  <c r="B20" i="26"/>
  <c r="C20" i="26"/>
  <c r="D20" i="26"/>
  <c r="B21" i="26"/>
  <c r="C21" i="26"/>
  <c r="D21" i="26"/>
  <c r="B22" i="26"/>
  <c r="C22" i="26"/>
  <c r="D22" i="26"/>
  <c r="B23" i="26"/>
  <c r="C23" i="26"/>
  <c r="D23" i="26"/>
  <c r="B24" i="26"/>
  <c r="C24" i="26"/>
  <c r="D24" i="26"/>
  <c r="B25" i="26"/>
  <c r="C25" i="26"/>
  <c r="D25" i="26"/>
  <c r="B26" i="26"/>
  <c r="C26" i="26"/>
  <c r="D26" i="26"/>
  <c r="B27" i="26"/>
  <c r="C27" i="26"/>
  <c r="D27" i="26"/>
  <c r="B28" i="26"/>
  <c r="C28" i="26"/>
  <c r="D28" i="26"/>
  <c r="B29" i="26"/>
  <c r="C29" i="26"/>
  <c r="D29" i="26"/>
  <c r="B30" i="26"/>
  <c r="C30" i="26"/>
  <c r="D30" i="26"/>
  <c r="B31" i="26"/>
  <c r="C31" i="26"/>
  <c r="D31" i="26"/>
  <c r="B32" i="26"/>
  <c r="C32" i="26"/>
  <c r="D32" i="26"/>
  <c r="B33" i="26"/>
  <c r="C33" i="26"/>
  <c r="D33" i="26"/>
  <c r="B34" i="26"/>
  <c r="C34" i="26"/>
  <c r="D34" i="26"/>
  <c r="B35" i="26"/>
  <c r="C35" i="26"/>
  <c r="D35" i="26"/>
  <c r="B36" i="26"/>
  <c r="C36" i="26"/>
  <c r="D36" i="26"/>
  <c r="B37" i="26"/>
  <c r="C37" i="26"/>
  <c r="D37" i="26"/>
  <c r="B38" i="26"/>
  <c r="C38" i="26"/>
  <c r="D38" i="26"/>
  <c r="B39" i="26"/>
  <c r="C39" i="26"/>
  <c r="D39" i="26"/>
  <c r="B40" i="26"/>
  <c r="C40" i="26"/>
  <c r="D40" i="26"/>
  <c r="B41" i="26"/>
  <c r="C41" i="26"/>
  <c r="D41" i="26"/>
  <c r="B42" i="26"/>
  <c r="C42" i="26"/>
  <c r="D42" i="26"/>
  <c r="B43" i="26"/>
  <c r="C43" i="26"/>
  <c r="D43" i="26"/>
  <c r="B44" i="26"/>
  <c r="C44" i="26"/>
  <c r="D44" i="26"/>
  <c r="B45" i="26"/>
  <c r="C45" i="26"/>
  <c r="D45" i="26"/>
  <c r="B46" i="26"/>
  <c r="C46" i="26"/>
  <c r="D46" i="26"/>
  <c r="B47" i="26"/>
  <c r="C47" i="26"/>
  <c r="D47" i="26"/>
  <c r="B48" i="26"/>
  <c r="C48" i="26"/>
  <c r="D48" i="26"/>
  <c r="B49" i="26"/>
  <c r="C49" i="26"/>
  <c r="D49" i="26"/>
  <c r="B50" i="26"/>
  <c r="C50" i="26"/>
  <c r="D50" i="26"/>
  <c r="B51" i="26"/>
  <c r="C51" i="26"/>
  <c r="D51" i="26"/>
  <c r="B52" i="26"/>
  <c r="C52" i="26"/>
  <c r="D52" i="26"/>
  <c r="B53" i="26"/>
  <c r="C53" i="26"/>
  <c r="D53" i="26"/>
  <c r="B54" i="26"/>
  <c r="C54" i="26"/>
  <c r="D54" i="26"/>
  <c r="B55" i="26"/>
  <c r="C55" i="26"/>
  <c r="D55" i="26"/>
  <c r="B56" i="26"/>
  <c r="C56" i="26"/>
  <c r="D56" i="26"/>
  <c r="B57" i="26"/>
  <c r="C57" i="26"/>
  <c r="D57" i="26"/>
  <c r="B58" i="26"/>
  <c r="C58" i="26"/>
  <c r="D58" i="26"/>
  <c r="B59" i="26"/>
  <c r="C59" i="26"/>
  <c r="D59" i="26"/>
  <c r="B60" i="26"/>
  <c r="C60" i="26"/>
  <c r="D60" i="26"/>
  <c r="B61" i="26"/>
  <c r="C61" i="26"/>
  <c r="D61" i="26"/>
  <c r="B62" i="26"/>
  <c r="C62" i="26"/>
  <c r="D62" i="26"/>
  <c r="B63" i="26"/>
  <c r="C63" i="26"/>
  <c r="D63" i="26"/>
  <c r="B64" i="26"/>
  <c r="C64" i="26"/>
  <c r="D64" i="26"/>
  <c r="B65" i="26"/>
  <c r="C65" i="26"/>
  <c r="D65" i="26"/>
  <c r="B66" i="26"/>
  <c r="C66" i="26"/>
  <c r="D66" i="26"/>
  <c r="B67" i="26"/>
  <c r="C67" i="26"/>
  <c r="D67" i="26"/>
  <c r="B68" i="26"/>
  <c r="C68" i="26"/>
  <c r="D68" i="26"/>
  <c r="B69" i="26"/>
  <c r="C69" i="26"/>
  <c r="D69" i="26"/>
  <c r="B70" i="26"/>
  <c r="C70" i="26"/>
  <c r="D70" i="26"/>
  <c r="B71" i="26"/>
  <c r="C71" i="26"/>
  <c r="D71" i="26"/>
  <c r="B72" i="26"/>
  <c r="C72" i="26"/>
  <c r="D72" i="26"/>
  <c r="B73" i="26"/>
  <c r="C73" i="26"/>
  <c r="D73" i="26"/>
  <c r="B74" i="26"/>
  <c r="C74" i="26"/>
  <c r="D74" i="26"/>
  <c r="B75" i="26"/>
  <c r="C75" i="26"/>
  <c r="D75" i="26"/>
  <c r="B76" i="26"/>
  <c r="C76" i="26"/>
  <c r="D76" i="26"/>
  <c r="B77" i="26"/>
  <c r="C77" i="26"/>
  <c r="D77" i="26"/>
  <c r="B78" i="26"/>
  <c r="C78" i="26"/>
  <c r="D78" i="26"/>
  <c r="B79" i="26"/>
  <c r="C79" i="26"/>
  <c r="D79" i="26"/>
  <c r="B80" i="26"/>
  <c r="C80" i="26"/>
  <c r="D80" i="26"/>
  <c r="B81" i="26"/>
  <c r="C81" i="26"/>
  <c r="D81" i="26"/>
  <c r="B82" i="26"/>
  <c r="C82" i="26"/>
  <c r="D82" i="26"/>
  <c r="B83" i="26"/>
  <c r="C83" i="26"/>
  <c r="D83" i="26"/>
  <c r="B84" i="26"/>
  <c r="C84" i="26"/>
  <c r="D84" i="26"/>
  <c r="B85" i="26"/>
  <c r="C85" i="26"/>
  <c r="D85" i="26"/>
  <c r="B86" i="26"/>
  <c r="C86" i="26"/>
  <c r="D86" i="26"/>
  <c r="B87" i="26"/>
  <c r="C87" i="26"/>
  <c r="D87" i="26"/>
  <c r="B88" i="26"/>
  <c r="C88" i="26"/>
  <c r="D88" i="26"/>
  <c r="B89" i="26"/>
  <c r="C89" i="26"/>
  <c r="D89" i="26"/>
  <c r="B90" i="26"/>
  <c r="C90" i="26"/>
  <c r="D90" i="26"/>
  <c r="B91" i="26"/>
  <c r="C91" i="26"/>
  <c r="D91" i="26"/>
  <c r="B92" i="26"/>
  <c r="C92" i="26"/>
  <c r="D92" i="26"/>
  <c r="B93" i="26"/>
  <c r="C93" i="26"/>
  <c r="D93" i="26"/>
  <c r="B94" i="26"/>
  <c r="C94" i="26"/>
  <c r="D94" i="26"/>
  <c r="B95" i="26"/>
  <c r="C95" i="26"/>
  <c r="D95" i="26"/>
  <c r="B96" i="26"/>
  <c r="C96" i="26"/>
  <c r="D96" i="26"/>
  <c r="B97" i="26"/>
  <c r="C97" i="26"/>
  <c r="D97" i="26"/>
  <c r="B98" i="26"/>
  <c r="C98" i="26"/>
  <c r="D98" i="26"/>
  <c r="B99" i="26"/>
  <c r="C99" i="26"/>
  <c r="D99" i="26"/>
  <c r="B100" i="26"/>
  <c r="C100" i="26"/>
  <c r="D100" i="26"/>
  <c r="B101" i="26"/>
  <c r="C101" i="26"/>
  <c r="D101" i="26"/>
  <c r="B102" i="26"/>
  <c r="C102" i="26"/>
  <c r="D102" i="26"/>
  <c r="B103" i="26"/>
  <c r="C103" i="26"/>
  <c r="D103" i="26"/>
  <c r="B104" i="26"/>
  <c r="C104" i="26"/>
  <c r="D104" i="26"/>
  <c r="B105" i="26"/>
  <c r="C105" i="26"/>
  <c r="D105" i="26"/>
  <c r="B106" i="26"/>
  <c r="C106" i="26"/>
  <c r="D106" i="26"/>
  <c r="B107" i="26"/>
  <c r="C107" i="26"/>
  <c r="D107" i="26"/>
  <c r="B108" i="26"/>
  <c r="C108" i="26"/>
  <c r="D108" i="26"/>
  <c r="B109" i="26"/>
  <c r="C109" i="26"/>
  <c r="D109" i="26"/>
  <c r="B110" i="26"/>
  <c r="C110" i="26"/>
  <c r="D110" i="26"/>
  <c r="B111" i="26"/>
  <c r="C111" i="26"/>
  <c r="D111" i="26"/>
  <c r="B112" i="26"/>
  <c r="C112" i="26"/>
  <c r="D112" i="26"/>
  <c r="B113" i="26"/>
  <c r="C113" i="26"/>
  <c r="D113" i="26"/>
  <c r="B114" i="26"/>
  <c r="C114" i="26"/>
  <c r="D114" i="26"/>
  <c r="B115" i="26"/>
  <c r="C115" i="26"/>
  <c r="D115" i="26"/>
  <c r="B116" i="26"/>
  <c r="C116" i="26"/>
  <c r="D116" i="26"/>
  <c r="B117" i="26"/>
  <c r="C117" i="26"/>
  <c r="D117" i="26"/>
  <c r="B118" i="26"/>
  <c r="C118" i="26"/>
  <c r="D118" i="26"/>
  <c r="B119" i="26"/>
  <c r="C119" i="26"/>
  <c r="D119" i="26"/>
  <c r="B120" i="26"/>
  <c r="C120" i="26"/>
  <c r="D120" i="26"/>
  <c r="B121" i="26"/>
  <c r="C121" i="26"/>
  <c r="D121" i="26"/>
  <c r="B122" i="26"/>
  <c r="C122" i="26"/>
  <c r="D122" i="26"/>
  <c r="B123" i="26"/>
  <c r="C123" i="26"/>
  <c r="D123" i="26"/>
  <c r="B124" i="26"/>
  <c r="C124" i="26"/>
  <c r="D124" i="26"/>
  <c r="B125" i="26"/>
  <c r="C125" i="26"/>
  <c r="D125" i="26"/>
  <c r="B126" i="26"/>
  <c r="C126" i="26"/>
  <c r="D126" i="26"/>
  <c r="B127" i="26"/>
  <c r="C127" i="26"/>
  <c r="D127" i="26"/>
  <c r="B128" i="26"/>
  <c r="C128" i="26"/>
  <c r="D128" i="26"/>
  <c r="B129" i="26"/>
  <c r="C129" i="26"/>
  <c r="D129" i="26"/>
  <c r="B130" i="26"/>
  <c r="C130" i="26"/>
  <c r="D130" i="26"/>
  <c r="B131" i="26"/>
  <c r="C131" i="26"/>
  <c r="D131" i="26"/>
  <c r="B132" i="26"/>
  <c r="C132" i="26"/>
  <c r="D132" i="26"/>
  <c r="B133" i="26"/>
  <c r="C133" i="26"/>
  <c r="D133" i="26"/>
  <c r="B134" i="26"/>
  <c r="C134" i="26"/>
  <c r="D134" i="26"/>
  <c r="B135" i="26"/>
  <c r="C135" i="26"/>
  <c r="D135" i="26"/>
  <c r="B136" i="26"/>
  <c r="C136" i="26"/>
  <c r="D136" i="26"/>
  <c r="B137" i="26"/>
  <c r="C137" i="26"/>
  <c r="D137" i="26"/>
  <c r="B138" i="26"/>
  <c r="C138" i="26"/>
  <c r="D138" i="26"/>
  <c r="B139" i="26"/>
  <c r="C139" i="26"/>
  <c r="D139" i="26"/>
  <c r="B140" i="26"/>
  <c r="C140" i="26"/>
  <c r="D140" i="26"/>
  <c r="B141" i="26"/>
  <c r="C141" i="26"/>
  <c r="D141" i="26"/>
  <c r="B142" i="26"/>
  <c r="C142" i="26"/>
  <c r="D142" i="26"/>
  <c r="B143" i="26"/>
  <c r="C143" i="26"/>
  <c r="D143" i="26"/>
  <c r="B144" i="26"/>
  <c r="C144" i="26"/>
  <c r="D144" i="26"/>
  <c r="B145" i="26"/>
  <c r="C145" i="26"/>
  <c r="D145" i="26"/>
  <c r="B146" i="26"/>
  <c r="C146" i="26"/>
  <c r="D146" i="26"/>
  <c r="B147" i="26"/>
  <c r="C147" i="26"/>
  <c r="D147" i="26"/>
  <c r="B148" i="26"/>
  <c r="C148" i="26"/>
  <c r="D148" i="26"/>
  <c r="B149" i="26"/>
  <c r="C149" i="26"/>
  <c r="D149" i="26"/>
  <c r="B150" i="26"/>
  <c r="C150" i="26"/>
  <c r="D150" i="26"/>
  <c r="B151" i="26"/>
  <c r="C151" i="26"/>
  <c r="D151" i="26"/>
  <c r="B152" i="26"/>
  <c r="C152" i="26"/>
  <c r="D152" i="26"/>
  <c r="B153" i="26"/>
  <c r="C153" i="26"/>
  <c r="D153" i="26"/>
  <c r="B154" i="26"/>
  <c r="C154" i="26"/>
  <c r="D154" i="26"/>
  <c r="B155" i="26"/>
  <c r="C155" i="26"/>
  <c r="D155" i="26"/>
  <c r="B156" i="26"/>
  <c r="C156" i="26"/>
  <c r="D156" i="26"/>
  <c r="B157" i="26"/>
  <c r="C157" i="26"/>
  <c r="D157" i="26"/>
  <c r="B158" i="26"/>
  <c r="C158" i="26"/>
  <c r="D158" i="26"/>
  <c r="B159" i="26"/>
  <c r="C159" i="26"/>
  <c r="D159" i="26"/>
  <c r="B160" i="26"/>
  <c r="C160" i="26"/>
  <c r="D160" i="26"/>
  <c r="B161" i="26"/>
  <c r="C161" i="26"/>
  <c r="D161" i="26"/>
  <c r="B162" i="26"/>
  <c r="C162" i="26"/>
  <c r="D162" i="26"/>
  <c r="B163" i="26"/>
  <c r="C163" i="26"/>
  <c r="D163" i="26"/>
  <c r="B164" i="26"/>
  <c r="C164" i="26"/>
  <c r="D164" i="26"/>
  <c r="B165" i="26"/>
  <c r="C165" i="26"/>
  <c r="D165" i="26"/>
  <c r="B166" i="26"/>
  <c r="C166" i="26"/>
  <c r="D166" i="26"/>
  <c r="B167" i="26"/>
  <c r="C167" i="26"/>
  <c r="D167" i="26"/>
  <c r="B168" i="26"/>
  <c r="C168" i="26"/>
  <c r="D168" i="26"/>
  <c r="B169" i="26"/>
  <c r="C169" i="26"/>
  <c r="D169" i="26"/>
  <c r="B170" i="26"/>
  <c r="C170" i="26"/>
  <c r="D170" i="26"/>
  <c r="B171" i="26"/>
  <c r="C171" i="26"/>
  <c r="D171" i="26"/>
  <c r="B172" i="26"/>
  <c r="C172" i="26"/>
  <c r="D172" i="26"/>
  <c r="B173" i="26"/>
  <c r="C173" i="26"/>
  <c r="D173" i="26"/>
  <c r="B174" i="26"/>
  <c r="C174" i="26"/>
  <c r="D174" i="26"/>
  <c r="B175" i="26"/>
  <c r="C175" i="26"/>
  <c r="D175" i="26"/>
  <c r="B176" i="26"/>
  <c r="C176" i="26"/>
  <c r="D176" i="26"/>
  <c r="B177" i="26"/>
  <c r="C177" i="26"/>
  <c r="D177" i="26"/>
  <c r="B178" i="26"/>
  <c r="C178" i="26"/>
  <c r="D178" i="26"/>
  <c r="B179" i="26"/>
  <c r="C179" i="26"/>
  <c r="D179" i="26"/>
  <c r="B180" i="26"/>
  <c r="C180" i="26"/>
  <c r="D180" i="26"/>
  <c r="B181" i="26"/>
  <c r="C181" i="26"/>
  <c r="D181" i="26"/>
  <c r="B182" i="26"/>
  <c r="C182" i="26"/>
  <c r="D182" i="26"/>
  <c r="B183" i="26"/>
  <c r="C183" i="26"/>
  <c r="D183" i="26"/>
  <c r="B184" i="26"/>
  <c r="C184" i="26"/>
  <c r="D184" i="26"/>
  <c r="B185" i="26"/>
  <c r="C185" i="26"/>
  <c r="D185" i="26"/>
  <c r="B186" i="26"/>
  <c r="C186" i="26"/>
  <c r="D186" i="26"/>
  <c r="B187" i="26"/>
  <c r="C187" i="26"/>
  <c r="D187" i="26"/>
  <c r="B188" i="26"/>
  <c r="C188" i="26"/>
  <c r="D188" i="26"/>
  <c r="B189" i="26"/>
  <c r="C189" i="26"/>
  <c r="D189" i="26"/>
  <c r="B190" i="26"/>
  <c r="C190" i="26"/>
  <c r="D190" i="26"/>
  <c r="B191" i="26"/>
  <c r="C191" i="26"/>
  <c r="D191" i="26"/>
  <c r="B192" i="26"/>
  <c r="C192" i="26"/>
  <c r="D192" i="26"/>
  <c r="B193" i="26"/>
  <c r="C193" i="26"/>
  <c r="D193" i="26"/>
  <c r="B194" i="26"/>
  <c r="C194" i="26"/>
  <c r="D194" i="26"/>
  <c r="B195" i="26"/>
  <c r="C195" i="26"/>
  <c r="D195" i="26"/>
  <c r="B196" i="26"/>
  <c r="C196" i="26"/>
  <c r="D196" i="26"/>
  <c r="B197" i="26"/>
  <c r="C197" i="26"/>
  <c r="D197" i="26"/>
  <c r="B198" i="26"/>
  <c r="C198" i="26"/>
  <c r="D198" i="26"/>
  <c r="B199" i="26"/>
  <c r="C199" i="26"/>
  <c r="D199" i="26"/>
  <c r="B200" i="26"/>
  <c r="C200" i="26"/>
  <c r="D200" i="26"/>
  <c r="B201" i="26"/>
  <c r="C201" i="26"/>
  <c r="D201" i="26"/>
  <c r="B202" i="26"/>
  <c r="C202" i="26"/>
  <c r="D202" i="26"/>
  <c r="B203" i="26"/>
  <c r="C203" i="26"/>
  <c r="D203" i="26"/>
  <c r="B204" i="26"/>
  <c r="C204" i="26"/>
  <c r="D204" i="26"/>
  <c r="B205" i="26"/>
  <c r="C205" i="26"/>
  <c r="D205" i="26"/>
  <c r="B206" i="26"/>
  <c r="C206" i="26"/>
  <c r="D206" i="26"/>
  <c r="B207" i="26"/>
  <c r="C207" i="26"/>
  <c r="D207" i="26"/>
  <c r="B208" i="26"/>
  <c r="C208" i="26"/>
  <c r="D208" i="26"/>
  <c r="B209" i="26"/>
  <c r="C209" i="26"/>
  <c r="D209" i="26"/>
  <c r="B210" i="26"/>
  <c r="C210" i="26"/>
  <c r="D210" i="26"/>
  <c r="B211" i="26"/>
  <c r="C211" i="26"/>
  <c r="D211" i="26"/>
  <c r="B212" i="26"/>
  <c r="C212" i="26"/>
  <c r="D212" i="26"/>
  <c r="B213" i="26"/>
  <c r="C213" i="26"/>
  <c r="D213" i="26"/>
  <c r="B214" i="26"/>
  <c r="C214" i="26"/>
  <c r="D214" i="26"/>
  <c r="B215" i="26"/>
  <c r="C215" i="26"/>
  <c r="D215" i="26"/>
  <c r="B216" i="26"/>
  <c r="C216" i="26"/>
  <c r="D216" i="26"/>
  <c r="B217" i="26"/>
  <c r="C217" i="26"/>
  <c r="D217" i="26"/>
  <c r="B218" i="26"/>
  <c r="C218" i="26"/>
  <c r="D218" i="26"/>
  <c r="B219" i="26"/>
  <c r="C219" i="26"/>
  <c r="D219" i="26"/>
  <c r="B220" i="26"/>
  <c r="C220" i="26"/>
  <c r="D220" i="26"/>
  <c r="B221" i="26"/>
  <c r="C221" i="26"/>
  <c r="D221" i="26"/>
  <c r="B222" i="26"/>
  <c r="C222" i="26"/>
  <c r="D222" i="26"/>
  <c r="B223" i="26"/>
  <c r="C223" i="26"/>
  <c r="D223" i="26"/>
  <c r="B224" i="26"/>
  <c r="C224" i="26"/>
  <c r="D224" i="26"/>
  <c r="B225" i="26"/>
  <c r="C225" i="26"/>
  <c r="D225" i="26"/>
  <c r="B226" i="26"/>
  <c r="C226" i="26"/>
  <c r="D226" i="26"/>
  <c r="B227" i="26"/>
  <c r="C227" i="26"/>
  <c r="D227" i="26"/>
  <c r="B228" i="26"/>
  <c r="C228" i="26"/>
  <c r="D228" i="26"/>
  <c r="B229" i="26"/>
  <c r="C229" i="26"/>
  <c r="D229" i="26"/>
  <c r="B230" i="26"/>
  <c r="C230" i="26"/>
  <c r="D230" i="26"/>
  <c r="B231" i="26"/>
  <c r="C231" i="26"/>
  <c r="D231" i="26"/>
  <c r="B232" i="26"/>
  <c r="C232" i="26"/>
  <c r="D232" i="26"/>
  <c r="B233" i="26"/>
  <c r="C233" i="26"/>
  <c r="D233" i="26"/>
  <c r="B234" i="26"/>
  <c r="C234" i="26"/>
  <c r="D234" i="26"/>
  <c r="B235" i="26"/>
  <c r="C235" i="26"/>
  <c r="D235" i="26"/>
  <c r="B236" i="26"/>
  <c r="C236" i="26"/>
  <c r="D236" i="26"/>
  <c r="B237" i="26"/>
  <c r="C237" i="26"/>
  <c r="D237" i="26"/>
  <c r="B238" i="26"/>
  <c r="C238" i="26"/>
  <c r="D238" i="26"/>
  <c r="B239" i="26"/>
  <c r="C239" i="26"/>
  <c r="D239" i="26"/>
  <c r="B240" i="26"/>
  <c r="C240" i="26"/>
  <c r="D240" i="26"/>
  <c r="B241" i="26"/>
  <c r="C241" i="26"/>
  <c r="D241" i="26"/>
  <c r="B242" i="26"/>
  <c r="C242" i="26"/>
  <c r="D242" i="26"/>
  <c r="B243" i="26"/>
  <c r="C243" i="26"/>
  <c r="D243" i="26"/>
  <c r="B244" i="26"/>
  <c r="C244" i="26"/>
  <c r="D244" i="26"/>
  <c r="B245" i="26"/>
  <c r="C245" i="26"/>
  <c r="D245" i="26"/>
  <c r="B246" i="26"/>
  <c r="C246" i="26"/>
  <c r="D246" i="26"/>
  <c r="B247" i="26"/>
  <c r="C247" i="26"/>
  <c r="D247" i="26"/>
  <c r="B248" i="26"/>
  <c r="C248" i="26"/>
  <c r="D248" i="26"/>
  <c r="B249" i="26"/>
  <c r="C249" i="26"/>
  <c r="D249" i="26"/>
  <c r="B250" i="26"/>
  <c r="C250" i="26"/>
  <c r="D250" i="26"/>
  <c r="B251" i="26"/>
  <c r="C251" i="26"/>
  <c r="D251" i="26"/>
  <c r="B252" i="26"/>
  <c r="C252" i="26"/>
  <c r="D252" i="26"/>
  <c r="B253" i="26"/>
  <c r="C253" i="26"/>
  <c r="D253" i="26"/>
  <c r="B254" i="26"/>
  <c r="C254" i="26"/>
  <c r="D254" i="26"/>
  <c r="B255" i="26"/>
  <c r="C255" i="26"/>
  <c r="D255" i="26"/>
  <c r="B256" i="26"/>
  <c r="C256" i="26"/>
  <c r="D256" i="26"/>
  <c r="B257" i="26"/>
  <c r="C257" i="26"/>
  <c r="D257" i="26"/>
  <c r="B258" i="26"/>
  <c r="C258" i="26"/>
  <c r="D258" i="26"/>
  <c r="B259" i="26"/>
  <c r="C259" i="26"/>
  <c r="D259" i="26"/>
  <c r="B260" i="26"/>
  <c r="C260" i="26"/>
  <c r="D260" i="26"/>
  <c r="B261" i="26"/>
  <c r="C261" i="26"/>
  <c r="D261" i="26"/>
  <c r="B262" i="26"/>
  <c r="C262" i="26"/>
  <c r="D262" i="26"/>
  <c r="B263" i="26"/>
  <c r="C263" i="26"/>
  <c r="D263" i="26"/>
  <c r="B264" i="26"/>
  <c r="C264" i="26"/>
  <c r="D264" i="26"/>
  <c r="B265" i="26"/>
  <c r="C265" i="26"/>
  <c r="D265" i="26"/>
  <c r="B266" i="26"/>
  <c r="C266" i="26"/>
  <c r="D266" i="26"/>
  <c r="B267" i="26"/>
  <c r="C267" i="26"/>
  <c r="D267" i="26"/>
  <c r="B268" i="26"/>
  <c r="C268" i="26"/>
  <c r="D268" i="26"/>
  <c r="B269" i="26"/>
  <c r="C269" i="26"/>
  <c r="D269" i="26"/>
  <c r="B270" i="26"/>
  <c r="C270" i="26"/>
  <c r="D270" i="26"/>
  <c r="B271" i="26"/>
  <c r="C271" i="26"/>
  <c r="D271" i="26"/>
  <c r="B272" i="26"/>
  <c r="C272" i="26"/>
  <c r="D272" i="26"/>
  <c r="B273" i="26"/>
  <c r="C273" i="26"/>
  <c r="D273" i="26"/>
  <c r="B274" i="26"/>
  <c r="C274" i="26"/>
  <c r="D274" i="26"/>
  <c r="B275" i="26"/>
  <c r="C275" i="26"/>
  <c r="D275" i="26"/>
  <c r="B276" i="26"/>
  <c r="C276" i="26"/>
  <c r="D276" i="26"/>
  <c r="B277" i="26"/>
  <c r="C277" i="26"/>
  <c r="D277" i="26"/>
  <c r="B278" i="26"/>
  <c r="C278" i="26"/>
  <c r="D278" i="26"/>
  <c r="B279" i="26"/>
  <c r="C279" i="26"/>
  <c r="D279" i="26"/>
  <c r="B280" i="26"/>
  <c r="C280" i="26"/>
  <c r="D280" i="26"/>
  <c r="B281" i="26"/>
  <c r="C281" i="26"/>
  <c r="D281" i="26"/>
  <c r="B282" i="26"/>
  <c r="C282" i="26"/>
  <c r="D282" i="26"/>
  <c r="B283" i="26"/>
  <c r="C283" i="26"/>
  <c r="D283" i="26"/>
  <c r="B284" i="26"/>
  <c r="C284" i="26"/>
  <c r="D284" i="26"/>
  <c r="B285" i="26"/>
  <c r="C285" i="26"/>
  <c r="D285" i="26"/>
  <c r="B286" i="26"/>
  <c r="C286" i="26"/>
  <c r="D286" i="26"/>
  <c r="B287" i="26"/>
  <c r="C287" i="26"/>
  <c r="D287" i="26"/>
  <c r="B288" i="26"/>
  <c r="C288" i="26"/>
  <c r="D288" i="26"/>
  <c r="B289" i="26"/>
  <c r="C289" i="26"/>
  <c r="D289" i="26"/>
  <c r="B290" i="26"/>
  <c r="C290" i="26"/>
  <c r="D290" i="26"/>
  <c r="B291" i="26"/>
  <c r="C291" i="26"/>
  <c r="D291" i="26"/>
  <c r="B292" i="26"/>
  <c r="C292" i="26"/>
  <c r="D292" i="26"/>
  <c r="B293" i="26"/>
  <c r="C293" i="26"/>
  <c r="D293" i="26"/>
  <c r="B294" i="26"/>
  <c r="C294" i="26"/>
  <c r="D294" i="26"/>
  <c r="B295" i="26"/>
  <c r="C295" i="26"/>
  <c r="D295" i="26"/>
  <c r="B296" i="26"/>
  <c r="C296" i="26"/>
  <c r="D296" i="26"/>
  <c r="B297" i="26"/>
  <c r="C297" i="26"/>
  <c r="D297" i="26"/>
  <c r="B298" i="26"/>
  <c r="C298" i="26"/>
  <c r="D298" i="26"/>
  <c r="B299" i="26"/>
  <c r="C299" i="26"/>
  <c r="D299" i="26"/>
  <c r="B300" i="26"/>
  <c r="C300" i="26"/>
  <c r="D300" i="26"/>
  <c r="B301" i="26"/>
  <c r="C301" i="26"/>
  <c r="D301" i="26"/>
  <c r="B302" i="26"/>
  <c r="C302" i="26"/>
  <c r="D302" i="26"/>
  <c r="B303" i="26"/>
  <c r="C303" i="26"/>
  <c r="D303" i="26"/>
  <c r="B304" i="26"/>
  <c r="C304" i="26"/>
  <c r="D304" i="26"/>
  <c r="B305" i="26"/>
  <c r="C305" i="26"/>
  <c r="D305" i="26"/>
  <c r="B306" i="26"/>
  <c r="C306" i="26"/>
  <c r="D306" i="26"/>
  <c r="B307" i="26"/>
  <c r="C307" i="26"/>
  <c r="D307" i="26"/>
  <c r="B308" i="26"/>
  <c r="C308" i="26"/>
  <c r="D308" i="26"/>
  <c r="B309" i="26"/>
  <c r="C309" i="26"/>
  <c r="D309" i="26"/>
  <c r="B310" i="26"/>
  <c r="C310" i="26"/>
  <c r="D310" i="26"/>
  <c r="B311" i="26"/>
  <c r="C311" i="26"/>
  <c r="D311" i="26"/>
  <c r="B312" i="26"/>
  <c r="C312" i="26"/>
  <c r="D312" i="26"/>
  <c r="B313" i="26"/>
  <c r="C313" i="26"/>
  <c r="D313" i="26"/>
  <c r="B314" i="26"/>
  <c r="C314" i="26"/>
  <c r="D314" i="26"/>
  <c r="B315" i="26"/>
  <c r="C315" i="26"/>
  <c r="D315" i="26"/>
  <c r="B316" i="26"/>
  <c r="C316" i="26"/>
  <c r="D316" i="26"/>
  <c r="B317" i="26"/>
  <c r="C317" i="26"/>
  <c r="D317" i="26"/>
  <c r="B318" i="26"/>
  <c r="C318" i="26"/>
  <c r="D318" i="26"/>
  <c r="B319" i="26"/>
  <c r="C319" i="26"/>
  <c r="D319" i="26"/>
  <c r="B320" i="26"/>
  <c r="C320" i="26"/>
  <c r="D320" i="26"/>
  <c r="B321" i="26"/>
  <c r="C321" i="26"/>
  <c r="D321" i="26"/>
  <c r="B322" i="26"/>
  <c r="C322" i="26"/>
  <c r="D322" i="26"/>
  <c r="B323" i="26"/>
  <c r="C323" i="26"/>
  <c r="D323" i="26"/>
  <c r="B324" i="26"/>
  <c r="C324" i="26"/>
  <c r="D324" i="26"/>
  <c r="B325" i="26"/>
  <c r="C325" i="26"/>
  <c r="D325" i="26"/>
  <c r="B326" i="26"/>
  <c r="C326" i="26"/>
  <c r="D326" i="26"/>
  <c r="B327" i="26"/>
  <c r="C327" i="26"/>
  <c r="D327" i="26"/>
  <c r="B328" i="26"/>
  <c r="C328" i="26"/>
  <c r="D328" i="26"/>
  <c r="B329" i="26"/>
  <c r="C329" i="26"/>
  <c r="D329" i="26"/>
  <c r="B330" i="26"/>
  <c r="C330" i="26"/>
  <c r="D330" i="26"/>
  <c r="B331" i="26"/>
  <c r="C331" i="26"/>
  <c r="D331" i="26"/>
  <c r="B332" i="26"/>
  <c r="C332" i="26"/>
  <c r="D332" i="26"/>
  <c r="B333" i="26"/>
  <c r="C333" i="26"/>
  <c r="D333" i="26"/>
  <c r="B334" i="26"/>
  <c r="C334" i="26"/>
  <c r="D334" i="26"/>
  <c r="B335" i="26"/>
  <c r="C335" i="26"/>
  <c r="D335" i="26"/>
  <c r="B336" i="26"/>
  <c r="C336" i="26"/>
  <c r="D336" i="26"/>
  <c r="B337" i="26"/>
  <c r="C337" i="26"/>
  <c r="D337" i="26"/>
  <c r="B338" i="26"/>
  <c r="C338" i="26"/>
  <c r="D338" i="26"/>
  <c r="B339" i="26"/>
  <c r="C339" i="26"/>
  <c r="D339" i="26"/>
  <c r="B340" i="26"/>
  <c r="C340" i="26"/>
  <c r="D340" i="26"/>
  <c r="B341" i="26"/>
  <c r="C341" i="26"/>
  <c r="D341" i="26"/>
  <c r="B342" i="26"/>
  <c r="C342" i="26"/>
  <c r="D342" i="26"/>
  <c r="B343" i="26"/>
  <c r="C343" i="26"/>
  <c r="D343" i="26"/>
  <c r="B344" i="26"/>
  <c r="C344" i="26"/>
  <c r="D344" i="26"/>
  <c r="B345" i="26"/>
  <c r="C345" i="26"/>
  <c r="D345" i="26"/>
  <c r="B346" i="26"/>
  <c r="C346" i="26"/>
  <c r="D346" i="26"/>
  <c r="B347" i="26"/>
  <c r="C347" i="26"/>
  <c r="D347" i="26"/>
  <c r="B348" i="26"/>
  <c r="C348" i="26"/>
  <c r="D348" i="26"/>
  <c r="B349" i="26"/>
  <c r="C349" i="26"/>
  <c r="D349" i="26"/>
  <c r="B350" i="26"/>
  <c r="C350" i="26"/>
  <c r="D350" i="26"/>
  <c r="B351" i="26"/>
  <c r="C351" i="26"/>
  <c r="D351" i="26"/>
  <c r="B352" i="26"/>
  <c r="C352" i="26"/>
  <c r="D352" i="26"/>
  <c r="B353" i="26"/>
  <c r="C353" i="26"/>
  <c r="D353" i="26"/>
  <c r="B354" i="26"/>
  <c r="C354" i="26"/>
  <c r="D354" i="26"/>
  <c r="B355" i="26"/>
  <c r="C355" i="26"/>
  <c r="D355" i="26"/>
  <c r="B356" i="26"/>
  <c r="C356" i="26"/>
  <c r="D356" i="26"/>
  <c r="B357" i="26"/>
  <c r="C357" i="26"/>
  <c r="D357" i="26"/>
  <c r="B358" i="26"/>
  <c r="C358" i="26"/>
  <c r="D358" i="26"/>
  <c r="B359" i="26"/>
  <c r="C359" i="26"/>
  <c r="D359" i="26"/>
  <c r="B360" i="26"/>
  <c r="C360" i="26"/>
  <c r="D360" i="26"/>
  <c r="B361" i="26"/>
  <c r="C361" i="26"/>
  <c r="D361" i="26"/>
  <c r="B362" i="26"/>
  <c r="C362" i="26"/>
  <c r="D362" i="26"/>
  <c r="B363" i="26"/>
  <c r="C363" i="26"/>
  <c r="D363" i="26"/>
  <c r="B364" i="26"/>
  <c r="C364" i="26"/>
  <c r="D364" i="26"/>
  <c r="B365" i="26"/>
  <c r="C365" i="26"/>
  <c r="D365" i="26"/>
  <c r="B366" i="26"/>
  <c r="C366" i="26"/>
  <c r="D366" i="26"/>
  <c r="B367" i="26"/>
  <c r="C367" i="26"/>
  <c r="D367" i="26"/>
  <c r="B368" i="26"/>
  <c r="C368" i="26"/>
  <c r="D368" i="26"/>
  <c r="B369" i="26"/>
  <c r="C369" i="26"/>
  <c r="D369" i="26"/>
  <c r="B370" i="26"/>
  <c r="C370" i="26"/>
  <c r="D370" i="26"/>
  <c r="B371" i="26"/>
  <c r="C371" i="26"/>
  <c r="D371" i="26"/>
  <c r="B372" i="26"/>
  <c r="C372" i="26"/>
  <c r="D372" i="26"/>
  <c r="B373" i="26"/>
  <c r="C373" i="26"/>
  <c r="D373" i="26"/>
  <c r="B374" i="26"/>
  <c r="C374" i="26"/>
  <c r="D374" i="26"/>
  <c r="B375" i="26"/>
  <c r="C375" i="26"/>
  <c r="D375" i="26"/>
  <c r="B376" i="26"/>
  <c r="C376" i="26"/>
  <c r="D376" i="26"/>
  <c r="B377" i="26"/>
  <c r="C377" i="26"/>
  <c r="D377" i="26"/>
  <c r="B378" i="26"/>
  <c r="C378" i="26"/>
  <c r="D378" i="26"/>
  <c r="B379" i="26"/>
  <c r="C379" i="26"/>
  <c r="D379" i="26"/>
  <c r="B380" i="26"/>
  <c r="C380" i="26"/>
  <c r="D380" i="26"/>
  <c r="B381" i="26"/>
  <c r="C381" i="26"/>
  <c r="D381" i="26"/>
  <c r="B382" i="26"/>
  <c r="C382" i="26"/>
  <c r="D382" i="26"/>
  <c r="B383" i="26"/>
  <c r="C383" i="26"/>
  <c r="D383" i="26"/>
  <c r="B384" i="26"/>
  <c r="C384" i="26"/>
  <c r="D384" i="26"/>
  <c r="B385" i="26"/>
  <c r="C385" i="26"/>
  <c r="D385" i="26"/>
  <c r="B386" i="26"/>
  <c r="C386" i="26"/>
  <c r="D386" i="26"/>
  <c r="B387" i="26"/>
  <c r="C387" i="26"/>
  <c r="D387" i="26"/>
  <c r="B388" i="26"/>
  <c r="C388" i="26"/>
  <c r="D388" i="26"/>
  <c r="B389" i="26"/>
  <c r="C389" i="26"/>
  <c r="D389" i="26"/>
  <c r="B390" i="26"/>
  <c r="C390" i="26"/>
  <c r="D390" i="26"/>
  <c r="B391" i="26"/>
  <c r="C391" i="26"/>
  <c r="D391" i="26"/>
  <c r="B392" i="26"/>
  <c r="C392" i="26"/>
  <c r="D392" i="26"/>
  <c r="B393" i="26"/>
  <c r="C393" i="26"/>
  <c r="D393" i="26"/>
  <c r="B394" i="26"/>
  <c r="C394" i="26"/>
  <c r="D394" i="26"/>
  <c r="B395" i="26"/>
  <c r="C395" i="26"/>
  <c r="D395" i="26"/>
  <c r="B396" i="26"/>
  <c r="C396" i="26"/>
  <c r="D396" i="26"/>
  <c r="B397" i="26"/>
  <c r="C397" i="26"/>
  <c r="D397" i="26"/>
  <c r="B398" i="26"/>
  <c r="C398" i="26"/>
  <c r="D398" i="26"/>
  <c r="B399" i="26"/>
  <c r="C399" i="26"/>
  <c r="D399" i="26"/>
  <c r="B400" i="26"/>
  <c r="C400" i="26"/>
  <c r="D400" i="26"/>
  <c r="B401" i="26"/>
  <c r="C401" i="26"/>
  <c r="D401" i="26"/>
  <c r="B402" i="26"/>
  <c r="C402" i="26"/>
  <c r="D402" i="26"/>
  <c r="B403" i="26"/>
  <c r="C403" i="26"/>
  <c r="D403" i="26"/>
  <c r="B404" i="26"/>
  <c r="C404" i="26"/>
  <c r="D404" i="26"/>
  <c r="B405" i="26"/>
  <c r="C405" i="26"/>
  <c r="D405" i="26"/>
  <c r="B406" i="26"/>
  <c r="C406" i="26"/>
  <c r="D406" i="26"/>
  <c r="B407" i="26"/>
  <c r="C407" i="26"/>
  <c r="D407" i="26"/>
  <c r="B408" i="26"/>
  <c r="C408" i="26"/>
  <c r="D408" i="26"/>
  <c r="B409" i="26"/>
  <c r="C409" i="26"/>
  <c r="D409" i="26"/>
  <c r="B410" i="26"/>
  <c r="C410" i="26"/>
  <c r="D410" i="26"/>
  <c r="B411" i="26"/>
  <c r="C411" i="26"/>
  <c r="D411" i="26"/>
  <c r="B412" i="26"/>
  <c r="C412" i="26"/>
  <c r="D412" i="26"/>
  <c r="B413" i="26"/>
  <c r="C413" i="26"/>
  <c r="D413" i="26"/>
  <c r="B414" i="26"/>
  <c r="C414" i="26"/>
  <c r="D414" i="26"/>
  <c r="B415" i="26"/>
  <c r="C415" i="26"/>
  <c r="D415" i="26"/>
  <c r="B416" i="26"/>
  <c r="C416" i="26"/>
  <c r="D416" i="26"/>
  <c r="B417" i="26"/>
  <c r="C417" i="26"/>
  <c r="D417" i="26"/>
  <c r="B418" i="26"/>
  <c r="C418" i="26"/>
  <c r="D418" i="26"/>
  <c r="B419" i="26"/>
  <c r="C419" i="26"/>
  <c r="D419" i="26"/>
  <c r="B420" i="26"/>
  <c r="C420" i="26"/>
  <c r="D420" i="26"/>
  <c r="B421" i="26"/>
  <c r="C421" i="26"/>
  <c r="D421" i="26"/>
  <c r="B422" i="26"/>
  <c r="C422" i="26"/>
  <c r="D422" i="26"/>
  <c r="B423" i="26"/>
  <c r="C423" i="26"/>
  <c r="D423" i="26"/>
  <c r="B424" i="26"/>
  <c r="C424" i="26"/>
  <c r="D424" i="26"/>
  <c r="B425" i="26"/>
  <c r="C425" i="26"/>
  <c r="D425" i="26"/>
  <c r="B426" i="26"/>
  <c r="C426" i="26"/>
  <c r="D426" i="26"/>
  <c r="B427" i="26"/>
  <c r="C427" i="26"/>
  <c r="D427" i="26"/>
  <c r="B428" i="26"/>
  <c r="C428" i="26"/>
  <c r="D428" i="26"/>
  <c r="B429" i="26"/>
  <c r="C429" i="26"/>
  <c r="D429" i="26"/>
  <c r="B430" i="26"/>
  <c r="C430" i="26"/>
  <c r="D430" i="26"/>
  <c r="B431" i="26"/>
  <c r="C431" i="26"/>
  <c r="D431" i="26"/>
  <c r="B432" i="26"/>
  <c r="C432" i="26"/>
  <c r="D432" i="26"/>
  <c r="B433" i="26"/>
  <c r="C433" i="26"/>
  <c r="D433" i="26"/>
  <c r="B434" i="26"/>
  <c r="C434" i="26"/>
  <c r="D434" i="26"/>
  <c r="B435" i="26"/>
  <c r="C435" i="26"/>
  <c r="D435" i="26"/>
  <c r="B436" i="26"/>
  <c r="C436" i="26"/>
  <c r="D436" i="26"/>
  <c r="B437" i="26"/>
  <c r="C437" i="26"/>
  <c r="D437" i="26"/>
  <c r="B438" i="26"/>
  <c r="C438" i="26"/>
  <c r="D438" i="26"/>
  <c r="B439" i="26"/>
  <c r="C439" i="26"/>
  <c r="D439" i="26"/>
  <c r="B440" i="26"/>
  <c r="C440" i="26"/>
  <c r="D440" i="26"/>
  <c r="B441" i="26"/>
  <c r="C441" i="26"/>
  <c r="D441" i="26"/>
  <c r="B442" i="26"/>
  <c r="C442" i="26"/>
  <c r="D442" i="26"/>
  <c r="B443" i="26"/>
  <c r="C443" i="26"/>
  <c r="D443" i="26"/>
  <c r="B444" i="26"/>
  <c r="C444" i="26"/>
  <c r="D444" i="26"/>
  <c r="B445" i="26"/>
  <c r="C445" i="26"/>
  <c r="D445" i="26"/>
  <c r="B446" i="26"/>
  <c r="C446" i="26"/>
  <c r="D446" i="26"/>
  <c r="B447" i="26"/>
  <c r="C447" i="26"/>
  <c r="D447" i="26"/>
  <c r="B448" i="26"/>
  <c r="C448" i="26"/>
  <c r="D448" i="26"/>
  <c r="B449" i="26"/>
  <c r="C449" i="26"/>
  <c r="D449" i="26"/>
  <c r="B450" i="26"/>
  <c r="C450" i="26"/>
  <c r="D450" i="26"/>
  <c r="B451" i="26"/>
  <c r="C451" i="26"/>
  <c r="D451" i="26"/>
  <c r="B452" i="26"/>
  <c r="C452" i="26"/>
  <c r="D452" i="26"/>
  <c r="B453" i="26"/>
  <c r="C453" i="26"/>
  <c r="D453" i="26"/>
  <c r="B454" i="26"/>
  <c r="C454" i="26"/>
  <c r="D454" i="26"/>
  <c r="B455" i="26"/>
  <c r="C455" i="26"/>
  <c r="D455" i="26"/>
  <c r="B456" i="26"/>
  <c r="C456" i="26"/>
  <c r="D456" i="26"/>
  <c r="B457" i="26"/>
  <c r="C457" i="26"/>
  <c r="D457" i="26"/>
  <c r="B458" i="26"/>
  <c r="C458" i="26"/>
  <c r="D458" i="26"/>
  <c r="B459" i="26"/>
  <c r="C459" i="26"/>
  <c r="D459" i="26"/>
  <c r="B460" i="26"/>
  <c r="C460" i="26"/>
  <c r="D460" i="26"/>
  <c r="B461" i="26"/>
  <c r="C461" i="26"/>
  <c r="D461" i="26"/>
  <c r="B462" i="26"/>
  <c r="C462" i="26"/>
  <c r="D462" i="26"/>
  <c r="B463" i="26"/>
  <c r="C463" i="26"/>
  <c r="D463" i="26"/>
  <c r="B464" i="26"/>
  <c r="C464" i="26"/>
  <c r="D464" i="26"/>
  <c r="B465" i="26"/>
  <c r="C465" i="26"/>
  <c r="D465" i="26"/>
  <c r="B466" i="26"/>
  <c r="C466" i="26"/>
  <c r="D466" i="26"/>
  <c r="B467" i="26"/>
  <c r="C467" i="26"/>
  <c r="D467" i="26"/>
  <c r="B468" i="26"/>
  <c r="C468" i="26"/>
  <c r="D468" i="26"/>
  <c r="B469" i="26"/>
  <c r="C469" i="26"/>
  <c r="D469" i="26"/>
  <c r="B470" i="26"/>
  <c r="C470" i="26"/>
  <c r="D470" i="26"/>
  <c r="B471" i="26"/>
  <c r="C471" i="26"/>
  <c r="D471" i="26"/>
  <c r="B472" i="26"/>
  <c r="C472" i="26"/>
  <c r="D472" i="26"/>
  <c r="B473" i="26"/>
  <c r="C473" i="26"/>
  <c r="D473" i="26"/>
  <c r="B474" i="26"/>
  <c r="C474" i="26"/>
  <c r="D474" i="26"/>
  <c r="B475" i="26"/>
  <c r="C475" i="26"/>
  <c r="D475" i="26"/>
  <c r="B476" i="26"/>
  <c r="C476" i="26"/>
  <c r="D476" i="26"/>
  <c r="B477" i="26"/>
  <c r="C477" i="26"/>
  <c r="D477" i="26"/>
  <c r="B478" i="26"/>
  <c r="C478" i="26"/>
  <c r="D478" i="26"/>
  <c r="B479" i="26"/>
  <c r="C479" i="26"/>
  <c r="D479" i="26"/>
  <c r="B480" i="26"/>
  <c r="C480" i="26"/>
  <c r="D480" i="26"/>
  <c r="B481" i="26"/>
  <c r="C481" i="26"/>
  <c r="D481" i="26"/>
  <c r="B482" i="26"/>
  <c r="C482" i="26"/>
  <c r="D482" i="26"/>
  <c r="B483" i="26"/>
  <c r="C483" i="26"/>
  <c r="D483" i="26"/>
  <c r="B484" i="26"/>
  <c r="C484" i="26"/>
  <c r="D484" i="26"/>
  <c r="B485" i="26"/>
  <c r="C485" i="26"/>
  <c r="D485" i="26"/>
  <c r="B486" i="26"/>
  <c r="C486" i="26"/>
  <c r="D486" i="26"/>
  <c r="B487" i="26"/>
  <c r="C487" i="26"/>
  <c r="D487" i="26"/>
  <c r="B488" i="26"/>
  <c r="C488" i="26"/>
  <c r="D488" i="26"/>
  <c r="B489" i="26"/>
  <c r="C489" i="26"/>
  <c r="D489" i="26"/>
  <c r="B490" i="26"/>
  <c r="C490" i="26"/>
  <c r="D490" i="26"/>
  <c r="B491" i="26"/>
  <c r="C491" i="26"/>
  <c r="D491" i="26"/>
  <c r="B492" i="26"/>
  <c r="C492" i="26"/>
  <c r="D492" i="26"/>
  <c r="B493" i="26"/>
  <c r="C493" i="26"/>
  <c r="D493" i="26"/>
  <c r="B494" i="26"/>
  <c r="C494" i="26"/>
  <c r="D494" i="26"/>
  <c r="B495" i="26"/>
  <c r="C495" i="26"/>
  <c r="D495" i="26"/>
  <c r="B496" i="26"/>
  <c r="C496" i="26"/>
  <c r="D496" i="26"/>
  <c r="B497" i="26"/>
  <c r="C497" i="26"/>
  <c r="D497" i="26"/>
  <c r="B498" i="26"/>
  <c r="C498" i="26"/>
  <c r="D498" i="26"/>
  <c r="B499" i="26"/>
  <c r="C499" i="26"/>
  <c r="D499" i="26"/>
  <c r="B500" i="26"/>
  <c r="C500" i="26"/>
  <c r="D500" i="26"/>
  <c r="B501" i="26"/>
  <c r="C501" i="26"/>
  <c r="D501" i="26"/>
  <c r="B502" i="26"/>
  <c r="C502" i="26"/>
  <c r="D502" i="26"/>
  <c r="B503" i="26"/>
  <c r="C503" i="26"/>
  <c r="D503" i="26"/>
  <c r="B504" i="26"/>
  <c r="C504" i="26"/>
  <c r="D504" i="26"/>
  <c r="B505" i="26"/>
  <c r="C505" i="26"/>
  <c r="D505" i="26"/>
  <c r="B506" i="26"/>
  <c r="C506" i="26"/>
  <c r="D506" i="26"/>
  <c r="B507" i="26"/>
  <c r="C507" i="26"/>
  <c r="D507" i="26"/>
  <c r="B508" i="26"/>
  <c r="C508" i="26"/>
  <c r="D508" i="26"/>
  <c r="B509" i="26"/>
  <c r="C509" i="26"/>
  <c r="D509" i="26"/>
  <c r="B510" i="26"/>
  <c r="C510" i="26"/>
  <c r="D510" i="26"/>
  <c r="B511" i="26"/>
  <c r="C511" i="26"/>
  <c r="D511" i="26"/>
  <c r="B512" i="26"/>
  <c r="C512" i="26"/>
  <c r="D512" i="26"/>
  <c r="B513" i="26"/>
  <c r="C513" i="26"/>
  <c r="D513" i="26"/>
  <c r="B514" i="26"/>
  <c r="C514" i="26"/>
  <c r="D514" i="26"/>
  <c r="B515" i="26"/>
  <c r="C515" i="26"/>
  <c r="D515" i="26"/>
  <c r="B516" i="26"/>
  <c r="C516" i="26"/>
  <c r="D516" i="26"/>
  <c r="B517" i="26"/>
  <c r="C517" i="26"/>
  <c r="D517" i="26"/>
  <c r="B518" i="26"/>
  <c r="C518" i="26"/>
  <c r="D518" i="26"/>
  <c r="B519" i="26"/>
  <c r="C519" i="26"/>
  <c r="D519" i="26"/>
  <c r="B520" i="26"/>
  <c r="C520" i="26"/>
  <c r="D520" i="26"/>
  <c r="B521" i="26"/>
  <c r="C521" i="26"/>
  <c r="D521" i="26"/>
  <c r="B522" i="26"/>
  <c r="C522" i="26"/>
  <c r="D522" i="26"/>
  <c r="B523" i="26"/>
  <c r="C523" i="26"/>
  <c r="D523" i="26"/>
  <c r="B524" i="26"/>
  <c r="C524" i="26"/>
  <c r="D524" i="26"/>
  <c r="B525" i="26"/>
  <c r="C525" i="26"/>
  <c r="D525" i="26"/>
  <c r="B526" i="26"/>
  <c r="C526" i="26"/>
  <c r="D526" i="26"/>
  <c r="B527" i="26"/>
  <c r="C527" i="26"/>
  <c r="D527" i="26"/>
  <c r="B528" i="26"/>
  <c r="C528" i="26"/>
  <c r="D528" i="26"/>
  <c r="B529" i="26"/>
  <c r="C529" i="26"/>
  <c r="D529" i="26"/>
  <c r="B530" i="26"/>
  <c r="C530" i="26"/>
  <c r="D530" i="26"/>
  <c r="B531" i="26"/>
  <c r="C531" i="26"/>
  <c r="D531" i="26"/>
  <c r="B532" i="26"/>
  <c r="C532" i="26"/>
  <c r="D532" i="26"/>
  <c r="B533" i="26"/>
  <c r="C533" i="26"/>
  <c r="D533" i="26"/>
  <c r="B534" i="26"/>
  <c r="C534" i="26"/>
  <c r="D534" i="26"/>
  <c r="B535" i="26"/>
  <c r="C535" i="26"/>
  <c r="D535" i="26"/>
  <c r="B536" i="26"/>
  <c r="C536" i="26"/>
  <c r="D536" i="26"/>
  <c r="B537" i="26"/>
  <c r="C537" i="26"/>
  <c r="D537" i="26"/>
  <c r="B538" i="26"/>
  <c r="C538" i="26"/>
  <c r="D538" i="26"/>
  <c r="B539" i="26"/>
  <c r="C539" i="26"/>
  <c r="D539" i="26"/>
  <c r="B540" i="26"/>
  <c r="C540" i="26"/>
  <c r="D540" i="26"/>
  <c r="B541" i="26"/>
  <c r="C541" i="26"/>
  <c r="D541" i="26"/>
  <c r="B542" i="26"/>
  <c r="C542" i="26"/>
  <c r="D542" i="26"/>
  <c r="B543" i="26"/>
  <c r="C543" i="26"/>
  <c r="D543" i="26"/>
  <c r="B544" i="26"/>
  <c r="C544" i="26"/>
  <c r="D544" i="26"/>
  <c r="B545" i="26"/>
  <c r="C545" i="26"/>
  <c r="D545" i="26"/>
  <c r="B546" i="26"/>
  <c r="C546" i="26"/>
  <c r="D546" i="26"/>
  <c r="B547" i="26"/>
  <c r="C547" i="26"/>
  <c r="D547" i="26"/>
  <c r="B548" i="26"/>
  <c r="C548" i="26"/>
  <c r="D548" i="26"/>
  <c r="B549" i="26"/>
  <c r="C549" i="26"/>
  <c r="D549" i="26"/>
  <c r="B550" i="26"/>
  <c r="C550" i="26"/>
  <c r="D550" i="26"/>
  <c r="B551" i="26"/>
  <c r="C551" i="26"/>
  <c r="D551" i="26"/>
  <c r="B552" i="26"/>
  <c r="C552" i="26"/>
  <c r="D552" i="26"/>
  <c r="B553" i="26"/>
  <c r="C553" i="26"/>
  <c r="D553" i="26"/>
  <c r="B554" i="26"/>
  <c r="C554" i="26"/>
  <c r="D554" i="26"/>
  <c r="B555" i="26"/>
  <c r="C555" i="26"/>
  <c r="D555" i="26"/>
  <c r="B556" i="26"/>
  <c r="C556" i="26"/>
  <c r="D556" i="26"/>
  <c r="B557" i="26"/>
  <c r="C557" i="26"/>
  <c r="D557" i="26"/>
  <c r="B558" i="26"/>
  <c r="C558" i="26"/>
  <c r="D558" i="26"/>
  <c r="B559" i="26"/>
  <c r="C559" i="26"/>
  <c r="D559" i="26"/>
  <c r="B560" i="26"/>
  <c r="C560" i="26"/>
  <c r="D560" i="26"/>
  <c r="B561" i="26"/>
  <c r="C561" i="26"/>
  <c r="D561" i="26"/>
  <c r="B562" i="26"/>
  <c r="C562" i="26"/>
  <c r="D562" i="26"/>
  <c r="B563" i="26"/>
  <c r="C563" i="26"/>
  <c r="D563" i="26"/>
  <c r="B564" i="26"/>
  <c r="C564" i="26"/>
  <c r="D564" i="26"/>
  <c r="B565" i="26"/>
  <c r="C565" i="26"/>
  <c r="D565" i="26"/>
  <c r="B566" i="26"/>
  <c r="C566" i="26"/>
  <c r="D566" i="26"/>
  <c r="B567" i="26"/>
  <c r="C567" i="26"/>
  <c r="D567" i="26"/>
  <c r="B568" i="26"/>
  <c r="C568" i="26"/>
  <c r="D568" i="26"/>
  <c r="B569" i="26"/>
  <c r="C569" i="26"/>
  <c r="D569" i="26"/>
  <c r="B570" i="26"/>
  <c r="C570" i="26"/>
  <c r="D570" i="26"/>
  <c r="B571" i="26"/>
  <c r="C571" i="26"/>
  <c r="D571" i="26"/>
  <c r="B572" i="26"/>
  <c r="C572" i="26"/>
  <c r="D572" i="26"/>
  <c r="B573" i="26"/>
  <c r="C573" i="26"/>
  <c r="D573" i="26"/>
  <c r="B574" i="26"/>
  <c r="C574" i="26"/>
  <c r="D574" i="26"/>
  <c r="B575" i="26"/>
  <c r="C575" i="26"/>
  <c r="D575" i="26"/>
  <c r="B576" i="26"/>
  <c r="C576" i="26"/>
  <c r="D576" i="26"/>
  <c r="B577" i="26"/>
  <c r="C577" i="26"/>
  <c r="D577" i="26"/>
  <c r="B578" i="26"/>
  <c r="C578" i="26"/>
  <c r="D578" i="26"/>
  <c r="B579" i="26"/>
  <c r="C579" i="26"/>
  <c r="D579" i="26"/>
  <c r="B580" i="26"/>
  <c r="C580" i="26"/>
  <c r="D580" i="26"/>
  <c r="B581" i="26"/>
  <c r="C581" i="26"/>
  <c r="D581" i="26"/>
  <c r="B582" i="26"/>
  <c r="C582" i="26"/>
  <c r="D582" i="26"/>
  <c r="B583" i="26"/>
  <c r="C583" i="26"/>
  <c r="D583" i="26"/>
  <c r="B584" i="26"/>
  <c r="C584" i="26"/>
  <c r="D584" i="26"/>
  <c r="B585" i="26"/>
  <c r="C585" i="26"/>
  <c r="D585" i="26"/>
  <c r="B586" i="26"/>
  <c r="C586" i="26"/>
  <c r="D586" i="26"/>
  <c r="B587" i="26"/>
  <c r="C587" i="26"/>
  <c r="D587" i="26"/>
  <c r="B588" i="26"/>
  <c r="C588" i="26"/>
  <c r="D588" i="26"/>
  <c r="B589" i="26"/>
  <c r="C589" i="26"/>
  <c r="D589" i="26"/>
  <c r="B590" i="26"/>
  <c r="C590" i="26"/>
  <c r="D590" i="26"/>
  <c r="B591" i="26"/>
  <c r="C591" i="26"/>
  <c r="D591" i="26"/>
  <c r="B592" i="26"/>
  <c r="C592" i="26"/>
  <c r="D592" i="26"/>
  <c r="B593" i="26"/>
  <c r="C593" i="26"/>
  <c r="D593" i="26"/>
  <c r="B594" i="26"/>
  <c r="C594" i="26"/>
  <c r="D594" i="26"/>
  <c r="B595" i="26"/>
  <c r="C595" i="26"/>
  <c r="D595" i="26"/>
  <c r="B596" i="26"/>
  <c r="C596" i="26"/>
  <c r="D596" i="26"/>
  <c r="B597" i="26"/>
  <c r="C597" i="26"/>
  <c r="D597" i="26"/>
  <c r="B598" i="26"/>
  <c r="C598" i="26"/>
  <c r="D598" i="26"/>
  <c r="B599" i="26"/>
  <c r="C599" i="26"/>
  <c r="D599" i="26"/>
  <c r="B600" i="26"/>
  <c r="C600" i="26"/>
  <c r="D600" i="26"/>
  <c r="B601" i="26"/>
  <c r="C601" i="26"/>
  <c r="D601" i="26"/>
  <c r="B602" i="26"/>
  <c r="C602" i="26"/>
  <c r="D602" i="26"/>
  <c r="B603" i="26"/>
  <c r="C603" i="26"/>
  <c r="D603" i="26"/>
  <c r="B604" i="26"/>
  <c r="C604" i="26"/>
  <c r="D604" i="26"/>
  <c r="B605" i="26"/>
  <c r="C605" i="26"/>
  <c r="D605" i="26"/>
  <c r="B606" i="26"/>
  <c r="C606" i="26"/>
  <c r="D606" i="26"/>
  <c r="B607" i="26"/>
  <c r="C607" i="26"/>
  <c r="D607" i="26"/>
  <c r="B608" i="26"/>
  <c r="C608" i="26"/>
  <c r="D608" i="26"/>
  <c r="B609" i="26"/>
  <c r="C609" i="26"/>
  <c r="D609" i="26"/>
  <c r="B610" i="26"/>
  <c r="C610" i="26"/>
  <c r="D610" i="26"/>
  <c r="B611" i="26"/>
  <c r="C611" i="26"/>
  <c r="D611" i="26"/>
  <c r="B612" i="26"/>
  <c r="C612" i="26"/>
  <c r="D612" i="26"/>
  <c r="B613" i="26"/>
  <c r="C613" i="26"/>
  <c r="D613" i="26"/>
  <c r="B614" i="26"/>
  <c r="C614" i="26"/>
  <c r="D614" i="26"/>
  <c r="B615" i="26"/>
  <c r="C615" i="26"/>
  <c r="D615" i="26"/>
  <c r="B616" i="26"/>
  <c r="C616" i="26"/>
  <c r="D616" i="26"/>
  <c r="B617" i="26"/>
  <c r="C617" i="26"/>
  <c r="D617" i="26"/>
  <c r="B618" i="26"/>
  <c r="C618" i="26"/>
  <c r="D618" i="26"/>
  <c r="B619" i="26"/>
  <c r="C619" i="26"/>
  <c r="D619" i="26"/>
  <c r="B620" i="26"/>
  <c r="C620" i="26"/>
  <c r="D620" i="26"/>
  <c r="B621" i="26"/>
  <c r="C621" i="26"/>
  <c r="D621" i="26"/>
  <c r="B622" i="26"/>
  <c r="C622" i="26"/>
  <c r="D622" i="26"/>
  <c r="B623" i="26"/>
  <c r="C623" i="26"/>
  <c r="D623" i="26"/>
  <c r="B624" i="26"/>
  <c r="C624" i="26"/>
  <c r="D624" i="26"/>
  <c r="B625" i="26"/>
  <c r="C625" i="26"/>
  <c r="D625" i="26"/>
  <c r="B626" i="26"/>
  <c r="C626" i="26"/>
  <c r="D626" i="26"/>
  <c r="B627" i="26"/>
  <c r="C627" i="26"/>
  <c r="D627" i="26"/>
  <c r="B628" i="26"/>
  <c r="C628" i="26"/>
  <c r="D628" i="26"/>
  <c r="B629" i="26"/>
  <c r="C629" i="26"/>
  <c r="D629" i="26"/>
  <c r="B630" i="26"/>
  <c r="C630" i="26"/>
  <c r="D630" i="26"/>
  <c r="B631" i="26"/>
  <c r="C631" i="26"/>
  <c r="D631" i="26"/>
  <c r="B632" i="26"/>
  <c r="C632" i="26"/>
  <c r="D632" i="26"/>
  <c r="B633" i="26"/>
  <c r="C633" i="26"/>
  <c r="D633" i="26"/>
  <c r="B634" i="26"/>
  <c r="C634" i="26"/>
  <c r="D634" i="26"/>
  <c r="B635" i="26"/>
  <c r="C635" i="26"/>
  <c r="D635" i="26"/>
  <c r="B636" i="26"/>
  <c r="C636" i="26"/>
  <c r="D636" i="26"/>
  <c r="B637" i="26"/>
  <c r="C637" i="26"/>
  <c r="D637" i="26"/>
  <c r="B638" i="26"/>
  <c r="C638" i="26"/>
  <c r="D638" i="26"/>
  <c r="B639" i="26"/>
  <c r="C639" i="26"/>
  <c r="D639" i="26"/>
  <c r="B640" i="26"/>
  <c r="C640" i="26"/>
  <c r="D640" i="26"/>
  <c r="B641" i="26"/>
  <c r="C641" i="26"/>
  <c r="D641" i="26"/>
  <c r="B642" i="26"/>
  <c r="C642" i="26"/>
  <c r="D642" i="26"/>
  <c r="B643" i="26"/>
  <c r="C643" i="26"/>
  <c r="D643" i="26"/>
  <c r="B644" i="26"/>
  <c r="C644" i="26"/>
  <c r="D644" i="26"/>
  <c r="B645" i="26"/>
  <c r="C645" i="26"/>
  <c r="D645" i="26"/>
  <c r="B646" i="26"/>
  <c r="C646" i="26"/>
  <c r="D646" i="26"/>
  <c r="B647" i="26"/>
  <c r="C647" i="26"/>
  <c r="D647" i="26"/>
  <c r="B648" i="26"/>
  <c r="C648" i="26"/>
  <c r="D648" i="26"/>
  <c r="B649" i="26"/>
  <c r="C649" i="26"/>
  <c r="D649" i="26"/>
  <c r="B650" i="26"/>
  <c r="C650" i="26"/>
  <c r="D650" i="26"/>
  <c r="B651" i="26"/>
  <c r="C651" i="26"/>
  <c r="D651" i="26"/>
  <c r="B652" i="26"/>
  <c r="C652" i="26"/>
  <c r="D652" i="26"/>
  <c r="B653" i="26"/>
  <c r="C653" i="26"/>
  <c r="D653" i="26"/>
  <c r="B654" i="26"/>
  <c r="C654" i="26"/>
  <c r="D654" i="26"/>
  <c r="B655" i="26"/>
  <c r="C655" i="26"/>
  <c r="D655" i="26"/>
  <c r="B656" i="26"/>
  <c r="C656" i="26"/>
  <c r="D656" i="26"/>
  <c r="B657" i="26"/>
  <c r="C657" i="26"/>
  <c r="D657" i="26"/>
  <c r="B658" i="26"/>
  <c r="C658" i="26"/>
  <c r="D658" i="26"/>
  <c r="B659" i="26"/>
  <c r="C659" i="26"/>
  <c r="D659" i="26"/>
  <c r="B660" i="26"/>
  <c r="C660" i="26"/>
  <c r="D660" i="26"/>
  <c r="B661" i="26"/>
  <c r="C661" i="26"/>
  <c r="D661" i="26"/>
  <c r="B662" i="26"/>
  <c r="C662" i="26"/>
  <c r="D662" i="26"/>
  <c r="B663" i="26"/>
  <c r="C663" i="26"/>
  <c r="D663" i="26"/>
  <c r="B664" i="26"/>
  <c r="C664" i="26"/>
  <c r="D664" i="26"/>
  <c r="B665" i="26"/>
  <c r="C665" i="26"/>
  <c r="D665" i="26"/>
  <c r="B666" i="26"/>
  <c r="C666" i="26"/>
  <c r="D666" i="26"/>
  <c r="B667" i="26"/>
  <c r="C667" i="26"/>
  <c r="D667" i="26"/>
  <c r="B668" i="26"/>
  <c r="C668" i="26"/>
  <c r="D668" i="26"/>
  <c r="B669" i="26"/>
  <c r="C669" i="26"/>
  <c r="D669" i="26"/>
  <c r="B670" i="26"/>
  <c r="C670" i="26"/>
  <c r="D670" i="26"/>
  <c r="B671" i="26"/>
  <c r="C671" i="26"/>
  <c r="D671" i="26"/>
  <c r="B672" i="26"/>
  <c r="C672" i="26"/>
  <c r="D672" i="26"/>
  <c r="B673" i="26"/>
  <c r="C673" i="26"/>
  <c r="D673" i="26"/>
  <c r="B674" i="26"/>
  <c r="C674" i="26"/>
  <c r="D674" i="26"/>
  <c r="B675" i="26"/>
  <c r="C675" i="26"/>
  <c r="D675" i="26"/>
  <c r="B676" i="26"/>
  <c r="C676" i="26"/>
  <c r="D676" i="26"/>
  <c r="B677" i="26"/>
  <c r="C677" i="26"/>
  <c r="D677" i="26"/>
  <c r="B678" i="26"/>
  <c r="C678" i="26"/>
  <c r="D678" i="26"/>
  <c r="B679" i="26"/>
  <c r="C679" i="26"/>
  <c r="D679" i="26"/>
  <c r="B680" i="26"/>
  <c r="C680" i="26"/>
  <c r="D680" i="26"/>
  <c r="B681" i="26"/>
  <c r="C681" i="26"/>
  <c r="D681" i="26"/>
  <c r="B682" i="26"/>
  <c r="C682" i="26"/>
  <c r="D682" i="26"/>
  <c r="B683" i="26"/>
  <c r="C683" i="26"/>
  <c r="D683" i="26"/>
  <c r="B684" i="26"/>
  <c r="C684" i="26"/>
  <c r="D684" i="26"/>
  <c r="B685" i="26"/>
  <c r="C685" i="26"/>
  <c r="D685" i="26"/>
  <c r="B686" i="26"/>
  <c r="C686" i="26"/>
  <c r="D686" i="26"/>
  <c r="B687" i="26"/>
  <c r="C687" i="26"/>
  <c r="D687" i="26"/>
  <c r="B688" i="26"/>
  <c r="C688" i="26"/>
  <c r="D688" i="26"/>
  <c r="B689" i="26"/>
  <c r="C689" i="26"/>
  <c r="D689" i="26"/>
  <c r="B690" i="26"/>
  <c r="C690" i="26"/>
  <c r="D690" i="26"/>
  <c r="B691" i="26"/>
  <c r="C691" i="26"/>
  <c r="D691" i="26"/>
  <c r="B692" i="26"/>
  <c r="C692" i="26"/>
  <c r="D692" i="26"/>
  <c r="B693" i="26"/>
  <c r="C693" i="26"/>
  <c r="D693" i="26"/>
  <c r="B694" i="26"/>
  <c r="C694" i="26"/>
  <c r="D694" i="26"/>
  <c r="B695" i="26"/>
  <c r="C695" i="26"/>
  <c r="D695" i="26"/>
  <c r="B696" i="26"/>
  <c r="C696" i="26"/>
  <c r="D696" i="26"/>
  <c r="B697" i="26"/>
  <c r="C697" i="26"/>
  <c r="D697" i="26"/>
  <c r="B698" i="26"/>
  <c r="C698" i="26"/>
  <c r="D698" i="26"/>
  <c r="B699" i="26"/>
  <c r="C699" i="26"/>
  <c r="D699" i="26"/>
  <c r="B700" i="26"/>
  <c r="C700" i="26"/>
  <c r="D700" i="26"/>
  <c r="B701" i="26"/>
  <c r="C701" i="26"/>
  <c r="D701" i="26"/>
  <c r="B702" i="26"/>
  <c r="C702" i="26"/>
  <c r="D702" i="26"/>
  <c r="B703" i="26"/>
  <c r="C703" i="26"/>
  <c r="D703" i="26"/>
  <c r="B704" i="26"/>
  <c r="C704" i="26"/>
  <c r="D704" i="26"/>
  <c r="B705" i="26"/>
  <c r="C705" i="26"/>
  <c r="D705" i="26"/>
  <c r="B706" i="26"/>
  <c r="C706" i="26"/>
  <c r="D706" i="26"/>
  <c r="B707" i="26"/>
  <c r="C707" i="26"/>
  <c r="D707" i="26"/>
  <c r="B708" i="26"/>
  <c r="C708" i="26"/>
  <c r="D708" i="26"/>
  <c r="B709" i="26"/>
  <c r="C709" i="26"/>
  <c r="D709" i="26"/>
  <c r="B710" i="26"/>
  <c r="C710" i="26"/>
  <c r="D710" i="26"/>
  <c r="B711" i="26"/>
  <c r="C711" i="26"/>
  <c r="D711" i="26"/>
  <c r="B712" i="26"/>
  <c r="C712" i="26"/>
  <c r="D712" i="26"/>
  <c r="B713" i="26"/>
  <c r="C713" i="26"/>
  <c r="D713" i="26"/>
  <c r="B714" i="26"/>
  <c r="C714" i="26"/>
  <c r="D714" i="26"/>
  <c r="B715" i="26"/>
  <c r="C715" i="26"/>
  <c r="D715" i="26"/>
  <c r="B716" i="26"/>
  <c r="C716" i="26"/>
  <c r="D716" i="26"/>
  <c r="B717" i="26"/>
  <c r="C717" i="26"/>
  <c r="D717" i="26"/>
  <c r="B718" i="26"/>
  <c r="C718" i="26"/>
  <c r="D718" i="26"/>
  <c r="B719" i="26"/>
  <c r="C719" i="26"/>
  <c r="D719" i="26"/>
  <c r="B720" i="26"/>
  <c r="C720" i="26"/>
  <c r="D720" i="26"/>
  <c r="B721" i="26"/>
  <c r="C721" i="26"/>
  <c r="D721" i="26"/>
  <c r="B722" i="26"/>
  <c r="C722" i="26"/>
  <c r="D722" i="26"/>
  <c r="B723" i="26"/>
  <c r="C723" i="26"/>
  <c r="D723" i="26"/>
  <c r="B724" i="26"/>
  <c r="C724" i="26"/>
  <c r="D724" i="26"/>
  <c r="B725" i="26"/>
  <c r="C725" i="26"/>
  <c r="D725" i="26"/>
  <c r="B726" i="26"/>
  <c r="C726" i="26"/>
  <c r="D726" i="26"/>
  <c r="B727" i="26"/>
  <c r="C727" i="26"/>
  <c r="D727" i="26"/>
  <c r="B728" i="26"/>
  <c r="C728" i="26"/>
  <c r="D728" i="26"/>
  <c r="B729" i="26"/>
  <c r="C729" i="26"/>
  <c r="D729" i="26"/>
  <c r="B730" i="26"/>
  <c r="C730" i="26"/>
  <c r="D730" i="26"/>
  <c r="B731" i="26"/>
  <c r="C731" i="26"/>
  <c r="D731" i="26"/>
  <c r="B732" i="26"/>
  <c r="C732" i="26"/>
  <c r="D732" i="26"/>
  <c r="B733" i="26"/>
  <c r="C733" i="26"/>
  <c r="D733" i="26"/>
  <c r="B734" i="26"/>
  <c r="C734" i="26"/>
  <c r="D734" i="26"/>
  <c r="B735" i="26"/>
  <c r="C735" i="26"/>
  <c r="D735" i="26"/>
  <c r="B736" i="26"/>
  <c r="C736" i="26"/>
  <c r="D736" i="26"/>
  <c r="B737" i="26"/>
  <c r="C737" i="26"/>
  <c r="D737" i="26"/>
  <c r="B738" i="26"/>
  <c r="C738" i="26"/>
  <c r="D738" i="26"/>
  <c r="B739" i="26"/>
  <c r="C739" i="26"/>
  <c r="D739" i="26"/>
  <c r="B740" i="26"/>
  <c r="C740" i="26"/>
  <c r="D740" i="26"/>
  <c r="B741" i="26"/>
  <c r="C741" i="26"/>
  <c r="D741" i="26"/>
  <c r="B742" i="26"/>
  <c r="C742" i="26"/>
  <c r="D742" i="26"/>
  <c r="B743" i="26"/>
  <c r="C743" i="26"/>
  <c r="D743" i="26"/>
  <c r="B744" i="26"/>
  <c r="C744" i="26"/>
  <c r="D744" i="26"/>
  <c r="B745" i="26"/>
  <c r="C745" i="26"/>
  <c r="D745" i="26"/>
  <c r="B746" i="26"/>
  <c r="C746" i="26"/>
  <c r="D746" i="26"/>
  <c r="B747" i="26"/>
  <c r="C747" i="26"/>
  <c r="D747" i="26"/>
  <c r="B748" i="26"/>
  <c r="C748" i="26"/>
  <c r="D748" i="26"/>
  <c r="B749" i="26"/>
  <c r="C749" i="26"/>
  <c r="D749" i="26"/>
  <c r="B750" i="26"/>
  <c r="C750" i="26"/>
  <c r="D750" i="26"/>
  <c r="B751" i="26"/>
  <c r="C751" i="26"/>
  <c r="D751" i="26"/>
  <c r="B752" i="26"/>
  <c r="C752" i="26"/>
  <c r="D752" i="26"/>
  <c r="B753" i="26"/>
  <c r="C753" i="26"/>
  <c r="D753" i="26"/>
  <c r="B754" i="26"/>
  <c r="C754" i="26"/>
  <c r="D754" i="26"/>
  <c r="B755" i="26"/>
  <c r="C755" i="26"/>
  <c r="D755" i="26"/>
  <c r="B756" i="26"/>
  <c r="C756" i="26"/>
  <c r="D756" i="26"/>
  <c r="B757" i="26"/>
  <c r="C757" i="26"/>
  <c r="D757" i="26"/>
  <c r="B758" i="26"/>
  <c r="C758" i="26"/>
  <c r="D758" i="26"/>
  <c r="B759" i="26"/>
  <c r="C759" i="26"/>
  <c r="D759" i="26"/>
  <c r="B760" i="26"/>
  <c r="C760" i="26"/>
  <c r="D760" i="26"/>
  <c r="B761" i="26"/>
  <c r="C761" i="26"/>
  <c r="D761" i="26"/>
  <c r="B762" i="26"/>
  <c r="C762" i="26"/>
  <c r="D762" i="26"/>
  <c r="B763" i="26"/>
  <c r="C763" i="26"/>
  <c r="D763" i="26"/>
  <c r="B764" i="26"/>
  <c r="C764" i="26"/>
  <c r="D764" i="26"/>
  <c r="B765" i="26"/>
  <c r="C765" i="26"/>
  <c r="D765" i="26"/>
  <c r="B766" i="26"/>
  <c r="C766" i="26"/>
  <c r="D766" i="26"/>
  <c r="B767" i="26"/>
  <c r="C767" i="26"/>
  <c r="D767" i="26"/>
  <c r="B768" i="26"/>
  <c r="C768" i="26"/>
  <c r="D768" i="26"/>
  <c r="B769" i="26"/>
  <c r="C769" i="26"/>
  <c r="D769" i="26"/>
  <c r="B770" i="26"/>
  <c r="C770" i="26"/>
  <c r="D770" i="26"/>
  <c r="B771" i="26"/>
  <c r="C771" i="26"/>
  <c r="D771" i="26"/>
  <c r="B772" i="26"/>
  <c r="C772" i="26"/>
  <c r="D772" i="26"/>
  <c r="B773" i="26"/>
  <c r="C773" i="26"/>
  <c r="D773" i="26"/>
  <c r="B774" i="26"/>
  <c r="C774" i="26"/>
  <c r="D774" i="26"/>
  <c r="B775" i="26"/>
  <c r="C775" i="26"/>
  <c r="D775" i="26"/>
  <c r="B776" i="26"/>
  <c r="C776" i="26"/>
  <c r="D776" i="26"/>
  <c r="B777" i="26"/>
  <c r="C777" i="26"/>
  <c r="D777" i="26"/>
  <c r="B778" i="26"/>
  <c r="C778" i="26"/>
  <c r="D778" i="26"/>
  <c r="B779" i="26"/>
  <c r="C779" i="26"/>
  <c r="D779" i="26"/>
  <c r="B780" i="26"/>
  <c r="C780" i="26"/>
  <c r="D780" i="26"/>
  <c r="B781" i="26"/>
  <c r="C781" i="26"/>
  <c r="D781" i="26"/>
  <c r="B782" i="26"/>
  <c r="C782" i="26"/>
  <c r="D782" i="26"/>
  <c r="B783" i="26"/>
  <c r="C783" i="26"/>
  <c r="D783" i="26"/>
  <c r="B784" i="26"/>
  <c r="C784" i="26"/>
  <c r="D784" i="26"/>
  <c r="B785" i="26"/>
  <c r="C785" i="26"/>
  <c r="D785" i="26"/>
  <c r="B786" i="26"/>
  <c r="C786" i="26"/>
  <c r="D786" i="26"/>
  <c r="B787" i="26"/>
  <c r="C787" i="26"/>
  <c r="D787" i="26"/>
  <c r="B788" i="26"/>
  <c r="C788" i="26"/>
  <c r="D788" i="26"/>
  <c r="B789" i="26"/>
  <c r="C789" i="26"/>
  <c r="D789" i="26"/>
  <c r="B790" i="26"/>
  <c r="C790" i="26"/>
  <c r="D790" i="26"/>
  <c r="B791" i="26"/>
  <c r="C791" i="26"/>
  <c r="D791" i="26"/>
  <c r="B792" i="26"/>
  <c r="C792" i="26"/>
  <c r="D792" i="26"/>
  <c r="B793" i="26"/>
  <c r="C793" i="26"/>
  <c r="D793" i="26"/>
  <c r="B794" i="26"/>
  <c r="C794" i="26"/>
  <c r="D794" i="26"/>
  <c r="B795" i="26"/>
  <c r="C795" i="26"/>
  <c r="D795" i="26"/>
  <c r="B796" i="26"/>
  <c r="C796" i="26"/>
  <c r="D796" i="26"/>
  <c r="B797" i="26"/>
  <c r="C797" i="26"/>
  <c r="D797" i="26"/>
  <c r="B798" i="26"/>
  <c r="C798" i="26"/>
  <c r="D798" i="26"/>
  <c r="B799" i="26"/>
  <c r="C799" i="26"/>
  <c r="D799" i="26"/>
  <c r="B800" i="26"/>
  <c r="C800" i="26"/>
  <c r="D800" i="26"/>
  <c r="B801" i="26"/>
  <c r="C801" i="26"/>
  <c r="D801" i="26"/>
  <c r="B802" i="26"/>
  <c r="C802" i="26"/>
  <c r="D802" i="26"/>
  <c r="B803" i="26"/>
  <c r="C803" i="26"/>
  <c r="D803" i="26"/>
  <c r="B804" i="26"/>
  <c r="C804" i="26"/>
  <c r="D804" i="26"/>
  <c r="B805" i="26"/>
  <c r="C805" i="26"/>
  <c r="D805" i="26"/>
  <c r="B806" i="26"/>
  <c r="C806" i="26"/>
  <c r="D806" i="26"/>
  <c r="B807" i="26"/>
  <c r="C807" i="26"/>
  <c r="D807" i="26"/>
  <c r="B808" i="26"/>
  <c r="C808" i="26"/>
  <c r="D808" i="26"/>
  <c r="B809" i="26"/>
  <c r="C809" i="26"/>
  <c r="D809" i="26"/>
  <c r="B810" i="26"/>
  <c r="C810" i="26"/>
  <c r="D810" i="26"/>
  <c r="B811" i="26"/>
  <c r="C811" i="26"/>
  <c r="D811" i="26"/>
  <c r="B812" i="26"/>
  <c r="C812" i="26"/>
  <c r="D812" i="26"/>
  <c r="B813" i="26"/>
  <c r="C813" i="26"/>
  <c r="D813" i="26"/>
  <c r="B814" i="26"/>
  <c r="C814" i="26"/>
  <c r="D814" i="26"/>
  <c r="B815" i="26"/>
  <c r="C815" i="26"/>
  <c r="D815" i="26"/>
  <c r="B816" i="26"/>
  <c r="C816" i="26"/>
  <c r="D816" i="26"/>
  <c r="B817" i="26"/>
  <c r="C817" i="26"/>
  <c r="D817" i="26"/>
  <c r="B818" i="26"/>
  <c r="C818" i="26"/>
  <c r="D818" i="26"/>
  <c r="B819" i="26"/>
  <c r="C819" i="26"/>
  <c r="D819" i="26"/>
  <c r="B820" i="26"/>
  <c r="C820" i="26"/>
  <c r="D820" i="26"/>
  <c r="B821" i="26"/>
  <c r="C821" i="26"/>
  <c r="D821" i="26"/>
  <c r="B822" i="26"/>
  <c r="C822" i="26"/>
  <c r="D822" i="26"/>
  <c r="B823" i="26"/>
  <c r="C823" i="26"/>
  <c r="D823" i="26"/>
  <c r="B824" i="26"/>
  <c r="C824" i="26"/>
  <c r="D824" i="26"/>
  <c r="B825" i="26"/>
  <c r="C825" i="26"/>
  <c r="D825" i="26"/>
  <c r="B826" i="26"/>
  <c r="C826" i="26"/>
  <c r="D826" i="26"/>
  <c r="B827" i="26"/>
  <c r="C827" i="26"/>
  <c r="D827" i="26"/>
  <c r="B828" i="26"/>
  <c r="C828" i="26"/>
  <c r="D828" i="26"/>
  <c r="B829" i="26"/>
  <c r="C829" i="26"/>
  <c r="D829" i="26"/>
  <c r="B830" i="26"/>
  <c r="C830" i="26"/>
  <c r="D830" i="26"/>
  <c r="B831" i="26"/>
  <c r="C831" i="26"/>
  <c r="D831" i="26"/>
  <c r="B832" i="26"/>
  <c r="C832" i="26"/>
  <c r="D832" i="26"/>
  <c r="B833" i="26"/>
  <c r="C833" i="26"/>
  <c r="D833" i="26"/>
  <c r="B834" i="26"/>
  <c r="C834" i="26"/>
  <c r="D834" i="26"/>
  <c r="B835" i="26"/>
  <c r="C835" i="26"/>
  <c r="D835" i="26"/>
  <c r="B836" i="26"/>
  <c r="C836" i="26"/>
  <c r="D836" i="26"/>
  <c r="B837" i="26"/>
  <c r="C837" i="26"/>
  <c r="D837" i="26"/>
  <c r="B838" i="26"/>
  <c r="C838" i="26"/>
  <c r="D838" i="26"/>
  <c r="B839" i="26"/>
  <c r="C839" i="26"/>
  <c r="D839" i="26"/>
  <c r="B840" i="26"/>
  <c r="C840" i="26"/>
  <c r="D840" i="26"/>
  <c r="B841" i="26"/>
  <c r="C841" i="26"/>
  <c r="D841" i="26"/>
  <c r="B842" i="26"/>
  <c r="C842" i="26"/>
  <c r="D842" i="26"/>
  <c r="B843" i="26"/>
  <c r="C843" i="26"/>
  <c r="D843" i="26"/>
  <c r="B844" i="26"/>
  <c r="C844" i="26"/>
  <c r="D844" i="26"/>
  <c r="B845" i="26"/>
  <c r="C845" i="26"/>
  <c r="D845" i="26"/>
  <c r="B846" i="26"/>
  <c r="C846" i="26"/>
  <c r="D846" i="26"/>
  <c r="B847" i="26"/>
  <c r="C847" i="26"/>
  <c r="D847" i="26"/>
  <c r="B848" i="26"/>
  <c r="C848" i="26"/>
  <c r="D848" i="26"/>
  <c r="B849" i="26"/>
  <c r="C849" i="26"/>
  <c r="D849" i="26"/>
  <c r="B850" i="26"/>
  <c r="C850" i="26"/>
  <c r="D850" i="26"/>
  <c r="B851" i="26"/>
  <c r="C851" i="26"/>
  <c r="D851" i="26"/>
  <c r="B852" i="26"/>
  <c r="C852" i="26"/>
  <c r="D852" i="26"/>
  <c r="B853" i="26"/>
  <c r="C853" i="26"/>
  <c r="D853" i="26"/>
  <c r="B854" i="26"/>
  <c r="C854" i="26"/>
  <c r="D854" i="26"/>
  <c r="B855" i="26"/>
  <c r="C855" i="26"/>
  <c r="D855" i="26"/>
  <c r="B856" i="26"/>
  <c r="C856" i="26"/>
  <c r="D856" i="26"/>
  <c r="B857" i="26"/>
  <c r="C857" i="26"/>
  <c r="D857" i="26"/>
  <c r="B858" i="26"/>
  <c r="C858" i="26"/>
  <c r="D858" i="26"/>
  <c r="B859" i="26"/>
  <c r="C859" i="26"/>
  <c r="D859" i="26"/>
  <c r="B860" i="26"/>
  <c r="C860" i="26"/>
  <c r="D860" i="26"/>
  <c r="B861" i="26"/>
  <c r="C861" i="26"/>
  <c r="D861" i="26"/>
  <c r="B862" i="26"/>
  <c r="C862" i="26"/>
  <c r="D862" i="26"/>
  <c r="B863" i="26"/>
  <c r="C863" i="26"/>
  <c r="D863" i="26"/>
  <c r="B864" i="26"/>
  <c r="C864" i="26"/>
  <c r="D864" i="26"/>
  <c r="B865" i="26"/>
  <c r="C865" i="26"/>
  <c r="D865" i="26"/>
  <c r="B866" i="26"/>
  <c r="C866" i="26"/>
  <c r="D866" i="26"/>
  <c r="B867" i="26"/>
  <c r="C867" i="26"/>
  <c r="D867" i="26"/>
  <c r="B868" i="26"/>
  <c r="C868" i="26"/>
  <c r="D868" i="26"/>
  <c r="B869" i="26"/>
  <c r="C869" i="26"/>
  <c r="D869" i="26"/>
  <c r="B870" i="26"/>
  <c r="C870" i="26"/>
  <c r="D870" i="26"/>
  <c r="B871" i="26"/>
  <c r="C871" i="26"/>
  <c r="D871" i="26"/>
  <c r="B872" i="26"/>
  <c r="C872" i="26"/>
  <c r="D872" i="26"/>
  <c r="B873" i="26"/>
  <c r="C873" i="26"/>
  <c r="D873" i="26"/>
  <c r="B874" i="26"/>
  <c r="C874" i="26"/>
  <c r="D874" i="26"/>
  <c r="B875" i="26"/>
  <c r="C875" i="26"/>
  <c r="D875" i="26"/>
  <c r="B876" i="26"/>
  <c r="C876" i="26"/>
  <c r="D876" i="26"/>
  <c r="B877" i="26"/>
  <c r="C877" i="26"/>
  <c r="D877" i="26"/>
  <c r="B878" i="26"/>
  <c r="C878" i="26"/>
  <c r="D878" i="26"/>
  <c r="B879" i="26"/>
  <c r="C879" i="26"/>
  <c r="D879" i="26"/>
  <c r="B880" i="26"/>
  <c r="C880" i="26"/>
  <c r="D880" i="26"/>
  <c r="B881" i="26"/>
  <c r="C881" i="26"/>
  <c r="D881" i="26"/>
  <c r="B882" i="26"/>
  <c r="C882" i="26"/>
  <c r="D882" i="26"/>
  <c r="B883" i="26"/>
  <c r="C883" i="26"/>
  <c r="D883" i="26"/>
  <c r="B884" i="26"/>
  <c r="C884" i="26"/>
  <c r="D884" i="26"/>
  <c r="B885" i="26"/>
  <c r="C885" i="26"/>
  <c r="D885" i="26"/>
  <c r="B886" i="26"/>
  <c r="C886" i="26"/>
  <c r="D886" i="26"/>
  <c r="B887" i="26"/>
  <c r="C887" i="26"/>
  <c r="D887" i="26"/>
  <c r="B888" i="26"/>
  <c r="C888" i="26"/>
  <c r="D888" i="26"/>
  <c r="B889" i="26"/>
  <c r="C889" i="26"/>
  <c r="D889" i="26"/>
  <c r="B890" i="26"/>
  <c r="C890" i="26"/>
  <c r="D890" i="26"/>
  <c r="B891" i="26"/>
  <c r="C891" i="26"/>
  <c r="D891" i="26"/>
  <c r="B892" i="26"/>
  <c r="C892" i="26"/>
  <c r="D892" i="26"/>
  <c r="B893" i="26"/>
  <c r="C893" i="26"/>
  <c r="D893" i="26"/>
  <c r="B894" i="26"/>
  <c r="C894" i="26"/>
  <c r="D894" i="26"/>
  <c r="B895" i="26"/>
  <c r="C895" i="26"/>
  <c r="D895" i="26"/>
  <c r="B896" i="26"/>
  <c r="C896" i="26"/>
  <c r="D896" i="26"/>
  <c r="B897" i="26"/>
  <c r="C897" i="26"/>
  <c r="D897" i="26"/>
  <c r="B898" i="26"/>
  <c r="C898" i="26"/>
  <c r="D898" i="26"/>
  <c r="B899" i="26"/>
  <c r="C899" i="26"/>
  <c r="D899" i="26"/>
  <c r="B900" i="26"/>
  <c r="C900" i="26"/>
  <c r="D900" i="26"/>
  <c r="B901" i="26"/>
  <c r="C901" i="26"/>
  <c r="D901" i="26"/>
  <c r="B902" i="26"/>
  <c r="C902" i="26"/>
  <c r="D902" i="26"/>
  <c r="B903" i="26"/>
  <c r="C903" i="26"/>
  <c r="D903" i="26"/>
  <c r="B904" i="26"/>
  <c r="C904" i="26"/>
  <c r="D904" i="26"/>
  <c r="B905" i="26"/>
  <c r="C905" i="26"/>
  <c r="D905" i="26"/>
  <c r="B906" i="26"/>
  <c r="C906" i="26"/>
  <c r="D906" i="26"/>
  <c r="B907" i="26"/>
  <c r="C907" i="26"/>
  <c r="D907" i="26"/>
  <c r="B908" i="26"/>
  <c r="C908" i="26"/>
  <c r="D908" i="26"/>
  <c r="B909" i="26"/>
  <c r="C909" i="26"/>
  <c r="D909" i="26"/>
  <c r="B910" i="26"/>
  <c r="C910" i="26"/>
  <c r="D910" i="26"/>
  <c r="B911" i="26"/>
  <c r="C911" i="26"/>
  <c r="D911" i="26"/>
  <c r="B912" i="26"/>
  <c r="C912" i="26"/>
  <c r="D912" i="26"/>
  <c r="B913" i="26"/>
  <c r="C913" i="26"/>
  <c r="D913" i="26"/>
  <c r="B914" i="26"/>
  <c r="C914" i="26"/>
  <c r="D914" i="26"/>
  <c r="B915" i="26"/>
  <c r="C915" i="26"/>
  <c r="D915" i="26"/>
  <c r="B916" i="26"/>
  <c r="C916" i="26"/>
  <c r="D916" i="26"/>
  <c r="B917" i="26"/>
  <c r="C917" i="26"/>
  <c r="D917" i="26"/>
  <c r="B918" i="26"/>
  <c r="C918" i="26"/>
  <c r="D918" i="26"/>
  <c r="B919" i="26"/>
  <c r="C919" i="26"/>
  <c r="D919" i="26"/>
  <c r="B920" i="26"/>
  <c r="C920" i="26"/>
  <c r="D920" i="26"/>
  <c r="B921" i="26"/>
  <c r="C921" i="26"/>
  <c r="D921" i="26"/>
  <c r="B922" i="26"/>
  <c r="C922" i="26"/>
  <c r="D922" i="26"/>
  <c r="B923" i="26"/>
  <c r="C923" i="26"/>
  <c r="D923" i="26"/>
  <c r="B924" i="26"/>
  <c r="C924" i="26"/>
  <c r="D924" i="26"/>
  <c r="B925" i="26"/>
  <c r="C925" i="26"/>
  <c r="D925" i="26"/>
  <c r="B926" i="26"/>
  <c r="C926" i="26"/>
  <c r="D926" i="26"/>
  <c r="B927" i="26"/>
  <c r="C927" i="26"/>
  <c r="D927" i="26"/>
  <c r="B928" i="26"/>
  <c r="C928" i="26"/>
  <c r="D928" i="26"/>
  <c r="B929" i="26"/>
  <c r="C929" i="26"/>
  <c r="D929" i="26"/>
  <c r="B930" i="26"/>
  <c r="C930" i="26"/>
  <c r="D930" i="26"/>
  <c r="B931" i="26"/>
  <c r="C931" i="26"/>
  <c r="D931" i="26"/>
  <c r="B932" i="26"/>
  <c r="C932" i="26"/>
  <c r="D932" i="26"/>
  <c r="B933" i="26"/>
  <c r="C933" i="26"/>
  <c r="D933" i="26"/>
  <c r="B934" i="26"/>
  <c r="C934" i="26"/>
  <c r="D934" i="26"/>
  <c r="B935" i="26"/>
  <c r="C935" i="26"/>
  <c r="D935" i="26"/>
  <c r="B936" i="26"/>
  <c r="C936" i="26"/>
  <c r="D936" i="26"/>
  <c r="B937" i="26"/>
  <c r="C937" i="26"/>
  <c r="D937" i="26"/>
  <c r="B938" i="26"/>
  <c r="C938" i="26"/>
  <c r="D938" i="26"/>
  <c r="B939" i="26"/>
  <c r="C939" i="26"/>
  <c r="D939" i="26"/>
  <c r="B940" i="26"/>
  <c r="C940" i="26"/>
  <c r="D940" i="26"/>
  <c r="B941" i="26"/>
  <c r="C941" i="26"/>
  <c r="D941" i="26"/>
  <c r="B942" i="26"/>
  <c r="C942" i="26"/>
  <c r="D942" i="26"/>
  <c r="B943" i="26"/>
  <c r="C943" i="26"/>
  <c r="D943" i="26"/>
  <c r="B944" i="26"/>
  <c r="C944" i="26"/>
  <c r="D944" i="26"/>
  <c r="B945" i="26"/>
  <c r="C945" i="26"/>
  <c r="D945" i="26"/>
  <c r="B946" i="26"/>
  <c r="C946" i="26"/>
  <c r="D946" i="26"/>
  <c r="B947" i="26"/>
  <c r="C947" i="26"/>
  <c r="D947" i="26"/>
  <c r="B948" i="26"/>
  <c r="C948" i="26"/>
  <c r="D948" i="26"/>
  <c r="B949" i="26"/>
  <c r="C949" i="26"/>
  <c r="D949" i="26"/>
  <c r="B950" i="26"/>
  <c r="C950" i="26"/>
  <c r="D950" i="26"/>
  <c r="B951" i="26"/>
  <c r="C951" i="26"/>
  <c r="D951" i="26"/>
  <c r="B952" i="26"/>
  <c r="C952" i="26"/>
  <c r="D952" i="26"/>
  <c r="B953" i="26"/>
  <c r="C953" i="26"/>
  <c r="D953" i="26"/>
  <c r="B954" i="26"/>
  <c r="C954" i="26"/>
  <c r="D954" i="26"/>
  <c r="B955" i="26"/>
  <c r="C955" i="26"/>
  <c r="D955" i="26"/>
  <c r="B956" i="26"/>
  <c r="C956" i="26"/>
  <c r="D956" i="26"/>
  <c r="B957" i="26"/>
  <c r="C957" i="26"/>
  <c r="D957" i="26"/>
  <c r="B958" i="26"/>
  <c r="C958" i="26"/>
  <c r="D958" i="26"/>
  <c r="B959" i="26"/>
  <c r="C959" i="26"/>
  <c r="D959" i="26"/>
  <c r="B960" i="26"/>
  <c r="C960" i="26"/>
  <c r="D960" i="26"/>
  <c r="B961" i="26"/>
  <c r="C961" i="26"/>
  <c r="D961" i="26"/>
  <c r="B962" i="26"/>
  <c r="C962" i="26"/>
  <c r="D962" i="26"/>
  <c r="B963" i="26"/>
  <c r="C963" i="26"/>
  <c r="D963" i="26"/>
  <c r="B964" i="26"/>
  <c r="C964" i="26"/>
  <c r="D964" i="26"/>
  <c r="B965" i="26"/>
  <c r="C965" i="26"/>
  <c r="D965" i="26"/>
  <c r="B966" i="26"/>
  <c r="C966" i="26"/>
  <c r="D966" i="26"/>
  <c r="B967" i="26"/>
  <c r="C967" i="26"/>
  <c r="D967" i="26"/>
  <c r="B968" i="26"/>
  <c r="C968" i="26"/>
  <c r="D968" i="26"/>
  <c r="B969" i="26"/>
  <c r="C969" i="26"/>
  <c r="D969" i="26"/>
  <c r="B970" i="26"/>
  <c r="C970" i="26"/>
  <c r="D970" i="26"/>
  <c r="B971" i="26"/>
  <c r="C971" i="26"/>
  <c r="D971" i="26"/>
  <c r="B972" i="26"/>
  <c r="C972" i="26"/>
  <c r="D972" i="26"/>
  <c r="B973" i="26"/>
  <c r="C973" i="26"/>
  <c r="D973" i="26"/>
  <c r="B974" i="26"/>
  <c r="C974" i="26"/>
  <c r="D974" i="26"/>
  <c r="B975" i="26"/>
  <c r="C975" i="26"/>
  <c r="D975" i="26"/>
  <c r="B976" i="26"/>
  <c r="C976" i="26"/>
  <c r="D976" i="26"/>
  <c r="B977" i="26"/>
  <c r="C977" i="26"/>
  <c r="D977" i="26"/>
  <c r="B978" i="26"/>
  <c r="C978" i="26"/>
  <c r="D978" i="26"/>
  <c r="B979" i="26"/>
  <c r="C979" i="26"/>
  <c r="D979" i="26"/>
  <c r="B980" i="26"/>
  <c r="C980" i="26"/>
  <c r="D980" i="26"/>
  <c r="B981" i="26"/>
  <c r="C981" i="26"/>
  <c r="D981" i="26"/>
  <c r="B982" i="26"/>
  <c r="C982" i="26"/>
  <c r="D982" i="26"/>
  <c r="B983" i="26"/>
  <c r="C983" i="26"/>
  <c r="D983" i="26"/>
  <c r="B984" i="26"/>
  <c r="C984" i="26"/>
  <c r="D984" i="26"/>
  <c r="B985" i="26"/>
  <c r="C985" i="26"/>
  <c r="D985" i="26"/>
  <c r="B986" i="26"/>
  <c r="C986" i="26"/>
  <c r="D986" i="26"/>
  <c r="B987" i="26"/>
  <c r="C987" i="26"/>
  <c r="D987" i="26"/>
  <c r="B988" i="26"/>
  <c r="C988" i="26"/>
  <c r="D988" i="26"/>
  <c r="B989" i="26"/>
  <c r="C989" i="26"/>
  <c r="D989" i="26"/>
  <c r="B990" i="26"/>
  <c r="C990" i="26"/>
  <c r="D990" i="26"/>
  <c r="B991" i="26"/>
  <c r="C991" i="26"/>
  <c r="D991" i="26"/>
  <c r="B992" i="26"/>
  <c r="C992" i="26"/>
  <c r="D992" i="26"/>
  <c r="B993" i="26"/>
  <c r="C993" i="26"/>
  <c r="D993" i="26"/>
  <c r="B994" i="26"/>
  <c r="C994" i="26"/>
  <c r="D994" i="26"/>
  <c r="B995" i="26"/>
  <c r="C995" i="26"/>
  <c r="D995" i="26"/>
  <c r="B996" i="26"/>
  <c r="C996" i="26"/>
  <c r="D996" i="26"/>
  <c r="B997" i="26"/>
  <c r="C997" i="26"/>
  <c r="D997" i="26"/>
  <c r="B998" i="26"/>
  <c r="C998" i="26"/>
  <c r="D998" i="26"/>
  <c r="B999" i="26"/>
  <c r="C999" i="26"/>
  <c r="D999" i="26"/>
  <c r="B1000" i="26"/>
  <c r="C1000" i="26"/>
  <c r="D1000" i="26"/>
  <c r="B1001" i="26"/>
  <c r="C1001" i="26"/>
  <c r="D1001" i="26"/>
  <c r="B1002" i="26"/>
  <c r="C1002" i="26"/>
  <c r="D1002" i="26"/>
  <c r="C3" i="26"/>
  <c r="D3" i="26"/>
  <c r="A3" i="27"/>
  <c r="B3" i="27"/>
  <c r="A4" i="27"/>
  <c r="A5" i="27"/>
  <c r="A6" i="27"/>
  <c r="A7" i="27"/>
  <c r="A8" i="27"/>
  <c r="A9" i="27"/>
  <c r="A10" i="27"/>
  <c r="A11" i="27"/>
  <c r="A12" i="27"/>
  <c r="A13" i="27"/>
  <c r="A14" i="27"/>
  <c r="A15" i="27"/>
  <c r="A16" i="27"/>
  <c r="A17" i="27"/>
  <c r="A18" i="27"/>
  <c r="A19" i="27"/>
  <c r="A20" i="27"/>
  <c r="A21" i="27"/>
  <c r="A22" i="27"/>
  <c r="A23" i="27"/>
  <c r="A24" i="27"/>
  <c r="A25" i="27"/>
  <c r="A26" i="27"/>
  <c r="A27" i="27"/>
  <c r="A28" i="27"/>
  <c r="A29" i="27"/>
  <c r="A30" i="27"/>
  <c r="A31" i="27"/>
  <c r="A32" i="27"/>
  <c r="A33" i="27"/>
  <c r="A34"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A65" i="27"/>
  <c r="A66" i="27"/>
  <c r="A67" i="27"/>
  <c r="A68" i="27"/>
  <c r="A69" i="27"/>
  <c r="A70" i="27"/>
  <c r="A71" i="27"/>
  <c r="A72" i="27"/>
  <c r="A73" i="27"/>
  <c r="A74" i="27"/>
  <c r="A75" i="27"/>
  <c r="A76" i="27"/>
  <c r="A77" i="27"/>
  <c r="A78" i="27"/>
  <c r="A79" i="27"/>
  <c r="A80" i="27"/>
  <c r="A81" i="27"/>
  <c r="A82" i="27"/>
  <c r="A83" i="27"/>
  <c r="A84" i="27"/>
  <c r="A85" i="27"/>
  <c r="A86" i="27"/>
  <c r="A87" i="27"/>
  <c r="A88" i="27"/>
  <c r="A89" i="27"/>
  <c r="A90" i="27"/>
  <c r="A91" i="27"/>
  <c r="A92" i="27"/>
  <c r="A93" i="27"/>
  <c r="A94" i="27"/>
  <c r="A95" i="27"/>
  <c r="A96" i="27"/>
  <c r="A97" i="27"/>
  <c r="A98" i="27"/>
  <c r="A99" i="27"/>
  <c r="A100" i="27"/>
  <c r="A101" i="27"/>
  <c r="A102" i="27"/>
  <c r="A103" i="27"/>
  <c r="A104" i="27"/>
  <c r="A105" i="27"/>
  <c r="A106" i="27"/>
  <c r="A107" i="27"/>
  <c r="A108" i="27"/>
  <c r="A109" i="27"/>
  <c r="A110" i="27"/>
  <c r="A111" i="27"/>
  <c r="A112" i="27"/>
  <c r="A113" i="27"/>
  <c r="A114" i="27"/>
  <c r="A115" i="27"/>
  <c r="A116" i="27"/>
  <c r="A117" i="27"/>
  <c r="A118" i="27"/>
  <c r="A119" i="27"/>
  <c r="A120" i="27"/>
  <c r="A121" i="27"/>
  <c r="A122" i="27"/>
  <c r="A123" i="27"/>
  <c r="A124" i="27"/>
  <c r="A125" i="27"/>
  <c r="A126" i="27"/>
  <c r="A127" i="27"/>
  <c r="A128" i="27"/>
  <c r="A129" i="27"/>
  <c r="A130" i="27"/>
  <c r="A131" i="27"/>
  <c r="A132" i="27"/>
  <c r="A133" i="27"/>
  <c r="A134" i="27"/>
  <c r="A135" i="27"/>
  <c r="A136" i="27"/>
  <c r="A137" i="27"/>
  <c r="A138" i="27"/>
  <c r="A139" i="27"/>
  <c r="A140" i="27"/>
  <c r="A141" i="27"/>
  <c r="A142" i="27"/>
  <c r="A143" i="27"/>
  <c r="A144" i="27"/>
  <c r="A145" i="27"/>
  <c r="A146" i="27"/>
  <c r="A147" i="27"/>
  <c r="A148" i="27"/>
  <c r="A149" i="27"/>
  <c r="A150" i="27"/>
  <c r="A151" i="27"/>
  <c r="A152" i="27"/>
  <c r="A153" i="27"/>
  <c r="A154" i="27"/>
  <c r="A155" i="27"/>
  <c r="A156" i="27"/>
  <c r="A157" i="27"/>
  <c r="A158" i="27"/>
  <c r="A159" i="27"/>
  <c r="A160" i="27"/>
  <c r="A161" i="27"/>
  <c r="A162" i="27"/>
  <c r="A163" i="27"/>
  <c r="A164" i="27"/>
  <c r="A165" i="27"/>
  <c r="A166" i="27"/>
  <c r="A167" i="27"/>
  <c r="A168" i="27"/>
  <c r="A169" i="27"/>
  <c r="A170" i="27"/>
  <c r="A171" i="27"/>
  <c r="A172" i="27"/>
  <c r="A173" i="27"/>
  <c r="A174" i="27"/>
  <c r="A175" i="27"/>
  <c r="A176" i="27"/>
  <c r="A177" i="27"/>
  <c r="A178" i="27"/>
  <c r="A179" i="27"/>
  <c r="A180" i="27"/>
  <c r="A181" i="27"/>
  <c r="A182" i="27"/>
  <c r="A183" i="27"/>
  <c r="A184" i="27"/>
  <c r="A185" i="27"/>
  <c r="A186" i="27"/>
  <c r="A187" i="27"/>
  <c r="A188" i="27"/>
  <c r="A189" i="27"/>
  <c r="A190" i="27"/>
  <c r="A191" i="27"/>
  <c r="A192" i="27"/>
  <c r="A193" i="27"/>
  <c r="A194" i="27"/>
  <c r="A195" i="27"/>
  <c r="A196" i="27"/>
  <c r="A197" i="27"/>
  <c r="A198" i="27"/>
  <c r="A199" i="27"/>
  <c r="A200" i="27"/>
  <c r="A201" i="27"/>
  <c r="A202" i="27"/>
  <c r="A203" i="27"/>
  <c r="A204" i="27"/>
  <c r="A205" i="27"/>
  <c r="A206" i="27"/>
  <c r="A207" i="27"/>
  <c r="A208" i="27"/>
  <c r="A209" i="27"/>
  <c r="A210" i="27"/>
  <c r="A211" i="27"/>
  <c r="A212" i="27"/>
  <c r="A213" i="27"/>
  <c r="A214" i="27"/>
  <c r="A215" i="27"/>
  <c r="A216" i="27"/>
  <c r="A217" i="27"/>
  <c r="A218" i="27"/>
  <c r="A219" i="27"/>
  <c r="A220" i="27"/>
  <c r="A221" i="27"/>
  <c r="A222" i="27"/>
  <c r="A223" i="27"/>
  <c r="A224" i="27"/>
  <c r="A225" i="27"/>
  <c r="A226" i="27"/>
  <c r="A227" i="27"/>
  <c r="A228" i="27"/>
  <c r="A229" i="27"/>
  <c r="A230" i="27"/>
  <c r="A231" i="27"/>
  <c r="A232" i="27"/>
  <c r="A233" i="27"/>
  <c r="A234" i="27"/>
  <c r="A235" i="27"/>
  <c r="A236" i="27"/>
  <c r="A237" i="27"/>
  <c r="A238" i="27"/>
  <c r="A239" i="27"/>
  <c r="A240" i="27"/>
  <c r="A241" i="27"/>
  <c r="A242" i="27"/>
  <c r="A243" i="27"/>
  <c r="A244" i="27"/>
  <c r="A245" i="27"/>
  <c r="A246" i="27"/>
  <c r="A247" i="27"/>
  <c r="A248" i="27"/>
  <c r="A249" i="27"/>
  <c r="A250" i="27"/>
  <c r="A251" i="27"/>
  <c r="A252" i="27"/>
  <c r="A253" i="27"/>
  <c r="A254" i="27"/>
  <c r="A255" i="27"/>
  <c r="A256" i="27"/>
  <c r="A257" i="27"/>
  <c r="A258" i="27"/>
  <c r="A259" i="27"/>
  <c r="A260" i="27"/>
  <c r="A261" i="27"/>
  <c r="A262" i="27"/>
  <c r="A263" i="27"/>
  <c r="A264" i="27"/>
  <c r="A265" i="27"/>
  <c r="A266" i="27"/>
  <c r="A267" i="27"/>
  <c r="A268" i="27"/>
  <c r="A269" i="27"/>
  <c r="A270" i="27"/>
  <c r="A271" i="27"/>
  <c r="A272" i="27"/>
  <c r="A273" i="27"/>
  <c r="A274" i="27"/>
  <c r="A275" i="27"/>
  <c r="A276" i="27"/>
  <c r="A277" i="27"/>
  <c r="A278" i="27"/>
  <c r="A279" i="27"/>
  <c r="A280" i="27"/>
  <c r="A281" i="27"/>
  <c r="A282" i="27"/>
  <c r="A283" i="27"/>
  <c r="A284" i="27"/>
  <c r="A285" i="27"/>
  <c r="A286" i="27"/>
  <c r="A287" i="27"/>
  <c r="A288" i="27"/>
  <c r="A289" i="27"/>
  <c r="A290" i="27"/>
  <c r="A291" i="27"/>
  <c r="A292" i="27"/>
  <c r="A293" i="27"/>
  <c r="A294" i="27"/>
  <c r="A295" i="27"/>
  <c r="A296" i="27"/>
  <c r="A297" i="27"/>
  <c r="A298" i="27"/>
  <c r="A299" i="27"/>
  <c r="A300" i="27"/>
  <c r="A301" i="27"/>
  <c r="A302" i="27"/>
  <c r="A303" i="27"/>
  <c r="A304" i="27"/>
  <c r="A305" i="27"/>
  <c r="A306" i="27"/>
  <c r="A307" i="27"/>
  <c r="A308" i="27"/>
  <c r="A309" i="27"/>
  <c r="A310" i="27"/>
  <c r="A311" i="27"/>
  <c r="A312" i="27"/>
  <c r="A313" i="27"/>
  <c r="A314" i="27"/>
  <c r="A315" i="27"/>
  <c r="A316" i="27"/>
  <c r="A317" i="27"/>
  <c r="A318" i="27"/>
  <c r="A319" i="27"/>
  <c r="A320" i="27"/>
  <c r="A321" i="27"/>
  <c r="A322" i="27"/>
  <c r="A323" i="27"/>
  <c r="A324" i="27"/>
  <c r="A325" i="27"/>
  <c r="A326" i="27"/>
  <c r="A327" i="27"/>
  <c r="A328" i="27"/>
  <c r="A329" i="27"/>
  <c r="A330" i="27"/>
  <c r="A331" i="27"/>
  <c r="A332" i="27"/>
  <c r="A333" i="27"/>
  <c r="A334" i="27"/>
  <c r="A335" i="27"/>
  <c r="A336" i="27"/>
  <c r="A337" i="27"/>
  <c r="A338" i="27"/>
  <c r="A339" i="27"/>
  <c r="A340" i="27"/>
  <c r="A341" i="27"/>
  <c r="A342" i="27"/>
  <c r="A343" i="27"/>
  <c r="A344" i="27"/>
  <c r="A345" i="27"/>
  <c r="A346" i="27"/>
  <c r="A347" i="27"/>
  <c r="A348" i="27"/>
  <c r="A349" i="27"/>
  <c r="A350" i="27"/>
  <c r="A351" i="27"/>
  <c r="A352" i="27"/>
  <c r="A353" i="27"/>
  <c r="A354" i="27"/>
  <c r="A355" i="27"/>
  <c r="A356" i="27"/>
  <c r="A357" i="27"/>
  <c r="A358" i="27"/>
  <c r="A359" i="27"/>
  <c r="A360" i="27"/>
  <c r="A361" i="27"/>
  <c r="A362" i="27"/>
  <c r="A363" i="27"/>
  <c r="A364" i="27"/>
  <c r="A365" i="27"/>
  <c r="A366" i="27"/>
  <c r="A367" i="27"/>
  <c r="A368" i="27"/>
  <c r="A369" i="27"/>
  <c r="A370" i="27"/>
  <c r="A371" i="27"/>
  <c r="A372" i="27"/>
  <c r="A373" i="27"/>
  <c r="A374" i="27"/>
  <c r="A375" i="27"/>
  <c r="A376" i="27"/>
  <c r="A377" i="27"/>
  <c r="A378" i="27"/>
  <c r="A379" i="27"/>
  <c r="A380" i="27"/>
  <c r="A381" i="27"/>
  <c r="A382" i="27"/>
  <c r="A383" i="27"/>
  <c r="A384" i="27"/>
  <c r="A385" i="27"/>
  <c r="A386" i="27"/>
  <c r="A387" i="27"/>
  <c r="A388" i="27"/>
  <c r="A389" i="27"/>
  <c r="A390" i="27"/>
  <c r="A391" i="27"/>
  <c r="A392" i="27"/>
  <c r="A393" i="27"/>
  <c r="A394" i="27"/>
  <c r="A395" i="27"/>
  <c r="A396" i="27"/>
  <c r="A397" i="27"/>
  <c r="A398" i="27"/>
  <c r="A399" i="27"/>
  <c r="A400" i="27"/>
  <c r="A401" i="27"/>
  <c r="A402" i="27"/>
  <c r="A403" i="27"/>
  <c r="A404" i="27"/>
  <c r="A405" i="27"/>
  <c r="A406" i="27"/>
  <c r="A407" i="27"/>
  <c r="A408" i="27"/>
  <c r="A409" i="27"/>
  <c r="A410" i="27"/>
  <c r="A411" i="27"/>
  <c r="A412" i="27"/>
  <c r="A413" i="27"/>
  <c r="A414" i="27"/>
  <c r="A415" i="27"/>
  <c r="A416" i="27"/>
  <c r="A417" i="27"/>
  <c r="A418" i="27"/>
  <c r="A419" i="27"/>
  <c r="A420" i="27"/>
  <c r="A421" i="27"/>
  <c r="A422" i="27"/>
  <c r="A423" i="27"/>
  <c r="A424" i="27"/>
  <c r="A425" i="27"/>
  <c r="A426" i="27"/>
  <c r="A427" i="27"/>
  <c r="A428" i="27"/>
  <c r="A429" i="27"/>
  <c r="A430" i="27"/>
  <c r="A431" i="27"/>
  <c r="A432" i="27"/>
  <c r="A433" i="27"/>
  <c r="A434" i="27"/>
  <c r="A435" i="27"/>
  <c r="A436" i="27"/>
  <c r="A437" i="27"/>
  <c r="A438" i="27"/>
  <c r="A439" i="27"/>
  <c r="A440" i="27"/>
  <c r="A441" i="27"/>
  <c r="A442" i="27"/>
  <c r="A443" i="27"/>
  <c r="A444" i="27"/>
  <c r="A445" i="27"/>
  <c r="A446" i="27"/>
  <c r="A447" i="27"/>
  <c r="A448" i="27"/>
  <c r="A449" i="27"/>
  <c r="A450" i="27"/>
  <c r="A451" i="27"/>
  <c r="A452" i="27"/>
  <c r="A453" i="27"/>
  <c r="A454" i="27"/>
  <c r="A455" i="27"/>
  <c r="A456" i="27"/>
  <c r="A457" i="27"/>
  <c r="A458" i="27"/>
  <c r="A459" i="27"/>
  <c r="A460" i="27"/>
  <c r="A461" i="27"/>
  <c r="A462" i="27"/>
  <c r="A463" i="27"/>
  <c r="A464" i="27"/>
  <c r="A465" i="27"/>
  <c r="A466" i="27"/>
  <c r="A467" i="27"/>
  <c r="A468" i="27"/>
  <c r="A469" i="27"/>
  <c r="A470" i="27"/>
  <c r="A471" i="27"/>
  <c r="A472" i="27"/>
  <c r="A473" i="27"/>
  <c r="A474" i="27"/>
  <c r="A475" i="27"/>
  <c r="A476" i="27"/>
  <c r="A477" i="27"/>
  <c r="A478" i="27"/>
  <c r="A479" i="27"/>
  <c r="A480" i="27"/>
  <c r="A481" i="27"/>
  <c r="A482" i="27"/>
  <c r="A483" i="27"/>
  <c r="A484" i="27"/>
  <c r="A485" i="27"/>
  <c r="A486" i="27"/>
  <c r="A487" i="27"/>
  <c r="A488" i="27"/>
  <c r="A489" i="27"/>
  <c r="A490" i="27"/>
  <c r="A491" i="27"/>
  <c r="A492" i="27"/>
  <c r="A493" i="27"/>
  <c r="A494" i="27"/>
  <c r="A495" i="27"/>
  <c r="A496" i="27"/>
  <c r="A497" i="27"/>
  <c r="A498" i="27"/>
  <c r="A499" i="27"/>
  <c r="A500" i="27"/>
  <c r="A501" i="27"/>
  <c r="A502" i="27"/>
  <c r="A503" i="27"/>
  <c r="A504" i="27"/>
  <c r="A505" i="27"/>
  <c r="A506" i="27"/>
  <c r="A507" i="27"/>
  <c r="A508" i="27"/>
  <c r="A509" i="27"/>
  <c r="A510" i="27"/>
  <c r="A511" i="27"/>
  <c r="A512" i="27"/>
  <c r="A513" i="27"/>
  <c r="A514" i="27"/>
  <c r="A515" i="27"/>
  <c r="A516" i="27"/>
  <c r="A517" i="27"/>
  <c r="A518" i="27"/>
  <c r="A519" i="27"/>
  <c r="A520" i="27"/>
  <c r="A521" i="27"/>
  <c r="A522" i="27"/>
  <c r="A523" i="27"/>
  <c r="A524" i="27"/>
  <c r="A525" i="27"/>
  <c r="A526" i="27"/>
  <c r="A527" i="27"/>
  <c r="A528" i="27"/>
  <c r="A529" i="27"/>
  <c r="A530" i="27"/>
  <c r="A531" i="27"/>
  <c r="A532" i="27"/>
  <c r="A533" i="27"/>
  <c r="A534" i="27"/>
  <c r="A535" i="27"/>
  <c r="A536" i="27"/>
  <c r="A537" i="27"/>
  <c r="A538" i="27"/>
  <c r="A539" i="27"/>
  <c r="A540" i="27"/>
  <c r="A541" i="27"/>
  <c r="A542" i="27"/>
  <c r="A543" i="27"/>
  <c r="A544" i="27"/>
  <c r="A545" i="27"/>
  <c r="A546" i="27"/>
  <c r="A547" i="27"/>
  <c r="A548" i="27"/>
  <c r="A549" i="27"/>
  <c r="A550" i="27"/>
  <c r="A551" i="27"/>
  <c r="A552" i="27"/>
  <c r="A553" i="27"/>
  <c r="A554" i="27"/>
  <c r="A555" i="27"/>
  <c r="A556" i="27"/>
  <c r="A557" i="27"/>
  <c r="A558" i="27"/>
  <c r="A559" i="27"/>
  <c r="A560" i="27"/>
  <c r="A561" i="27"/>
  <c r="A562" i="27"/>
  <c r="A563" i="27"/>
  <c r="A564" i="27"/>
  <c r="A565" i="27"/>
  <c r="A566" i="27"/>
  <c r="A567" i="27"/>
  <c r="A568" i="27"/>
  <c r="A569" i="27"/>
  <c r="A570" i="27"/>
  <c r="A571" i="27"/>
  <c r="A572" i="27"/>
  <c r="A573" i="27"/>
  <c r="A574" i="27"/>
  <c r="A575" i="27"/>
  <c r="A576" i="27"/>
  <c r="A577" i="27"/>
  <c r="A578" i="27"/>
  <c r="A579" i="27"/>
  <c r="A580" i="27"/>
  <c r="A581" i="27"/>
  <c r="A582" i="27"/>
  <c r="A583" i="27"/>
  <c r="A584" i="27"/>
  <c r="A585" i="27"/>
  <c r="A586" i="27"/>
  <c r="A587" i="27"/>
  <c r="A588" i="27"/>
  <c r="A589" i="27"/>
  <c r="A590" i="27"/>
  <c r="A591" i="27"/>
  <c r="A592" i="27"/>
  <c r="A593" i="27"/>
  <c r="A594" i="27"/>
  <c r="A595" i="27"/>
  <c r="A596" i="27"/>
  <c r="A597" i="27"/>
  <c r="A598" i="27"/>
  <c r="A599" i="27"/>
  <c r="A600" i="27"/>
  <c r="A601" i="27"/>
  <c r="A602" i="27"/>
  <c r="A603" i="27"/>
  <c r="A604" i="27"/>
  <c r="A605" i="27"/>
  <c r="A606" i="27"/>
  <c r="A607" i="27"/>
  <c r="A608" i="27"/>
  <c r="A609" i="27"/>
  <c r="A610" i="27"/>
  <c r="A611" i="27"/>
  <c r="A612" i="27"/>
  <c r="A613" i="27"/>
  <c r="A614" i="27"/>
  <c r="A615" i="27"/>
  <c r="A616" i="27"/>
  <c r="A617" i="27"/>
  <c r="A618" i="27"/>
  <c r="A619" i="27"/>
  <c r="A620" i="27"/>
  <c r="A621" i="27"/>
  <c r="A622" i="27"/>
  <c r="A623" i="27"/>
  <c r="A624" i="27"/>
  <c r="A625" i="27"/>
  <c r="A626" i="27"/>
  <c r="A627" i="27"/>
  <c r="A628" i="27"/>
  <c r="A629" i="27"/>
  <c r="A630" i="27"/>
  <c r="A631" i="27"/>
  <c r="A632" i="27"/>
  <c r="A633" i="27"/>
  <c r="A634" i="27"/>
  <c r="A635" i="27"/>
  <c r="A636" i="27"/>
  <c r="A637" i="27"/>
  <c r="A638" i="27"/>
  <c r="A639" i="27"/>
  <c r="A640" i="27"/>
  <c r="A641" i="27"/>
  <c r="A642" i="27"/>
  <c r="A643" i="27"/>
  <c r="A644" i="27"/>
  <c r="A645" i="27"/>
  <c r="A646" i="27"/>
  <c r="A647" i="27"/>
  <c r="A648" i="27"/>
  <c r="A649" i="27"/>
  <c r="A650" i="27"/>
  <c r="A651" i="27"/>
  <c r="A652" i="27"/>
  <c r="A653" i="27"/>
  <c r="A654" i="27"/>
  <c r="A655" i="27"/>
  <c r="A656" i="27"/>
  <c r="A657" i="27"/>
  <c r="A658" i="27"/>
  <c r="A659" i="27"/>
  <c r="A660" i="27"/>
  <c r="A661" i="27"/>
  <c r="A662" i="27"/>
  <c r="A663" i="27"/>
  <c r="A664" i="27"/>
  <c r="A665" i="27"/>
  <c r="A666" i="27"/>
  <c r="A667" i="27"/>
  <c r="A668" i="27"/>
  <c r="A669" i="27"/>
  <c r="A670" i="27"/>
  <c r="A671" i="27"/>
  <c r="A672" i="27"/>
  <c r="A673" i="27"/>
  <c r="A674" i="27"/>
  <c r="A675" i="27"/>
  <c r="A676" i="27"/>
  <c r="A677" i="27"/>
  <c r="A678" i="27"/>
  <c r="A679" i="27"/>
  <c r="A680" i="27"/>
  <c r="A681" i="27"/>
  <c r="A682" i="27"/>
  <c r="A683" i="27"/>
  <c r="A684" i="27"/>
  <c r="A685" i="27"/>
  <c r="A686" i="27"/>
  <c r="A687" i="27"/>
  <c r="A688" i="27"/>
  <c r="A689" i="27"/>
  <c r="A690" i="27"/>
  <c r="A691" i="27"/>
  <c r="A692" i="27"/>
  <c r="A693" i="27"/>
  <c r="A694" i="27"/>
  <c r="A695" i="27"/>
  <c r="A696" i="27"/>
  <c r="A697" i="27"/>
  <c r="A698" i="27"/>
  <c r="A699" i="27"/>
  <c r="A700" i="27"/>
  <c r="A701" i="27"/>
  <c r="A702" i="27"/>
  <c r="A703" i="27"/>
  <c r="A704" i="27"/>
  <c r="A705" i="27"/>
  <c r="A706" i="27"/>
  <c r="A707" i="27"/>
  <c r="A708" i="27"/>
  <c r="A709" i="27"/>
  <c r="A710" i="27"/>
  <c r="A711" i="27"/>
  <c r="A712" i="27"/>
  <c r="A713" i="27"/>
  <c r="A714" i="27"/>
  <c r="A715" i="27"/>
  <c r="A716" i="27"/>
  <c r="A717" i="27"/>
  <c r="A718" i="27"/>
  <c r="A719" i="27"/>
  <c r="A720" i="27"/>
  <c r="A721" i="27"/>
  <c r="A722" i="27"/>
  <c r="A723" i="27"/>
  <c r="A724" i="27"/>
  <c r="A725" i="27"/>
  <c r="A726" i="27"/>
  <c r="A727" i="27"/>
  <c r="A728" i="27"/>
  <c r="A729" i="27"/>
  <c r="A730" i="27"/>
  <c r="A731" i="27"/>
  <c r="A732" i="27"/>
  <c r="A733" i="27"/>
  <c r="A734" i="27"/>
  <c r="A735" i="27"/>
  <c r="A736" i="27"/>
  <c r="A737" i="27"/>
  <c r="A738" i="27"/>
  <c r="A739" i="27"/>
  <c r="A740" i="27"/>
  <c r="A741" i="27"/>
  <c r="A742" i="27"/>
  <c r="A743" i="27"/>
  <c r="A744" i="27"/>
  <c r="A745" i="27"/>
  <c r="A746" i="27"/>
  <c r="A747" i="27"/>
  <c r="A748" i="27"/>
  <c r="A749" i="27"/>
  <c r="A750" i="27"/>
  <c r="A751" i="27"/>
  <c r="A752" i="27"/>
  <c r="A753" i="27"/>
  <c r="A754" i="27"/>
  <c r="A755" i="27"/>
  <c r="A756" i="27"/>
  <c r="A757" i="27"/>
  <c r="A758" i="27"/>
  <c r="A759" i="27"/>
  <c r="A760" i="27"/>
  <c r="A761" i="27"/>
  <c r="A762" i="27"/>
  <c r="A763" i="27"/>
  <c r="A764" i="27"/>
  <c r="A765" i="27"/>
  <c r="A766" i="27"/>
  <c r="A767" i="27"/>
  <c r="A768" i="27"/>
  <c r="A769" i="27"/>
  <c r="A770" i="27"/>
  <c r="A771" i="27"/>
  <c r="A772" i="27"/>
  <c r="A773" i="27"/>
  <c r="A774" i="27"/>
  <c r="A775" i="27"/>
  <c r="A776" i="27"/>
  <c r="A777" i="27"/>
  <c r="A778" i="27"/>
  <c r="A779" i="27"/>
  <c r="A780" i="27"/>
  <c r="A781" i="27"/>
  <c r="A782" i="27"/>
  <c r="A783" i="27"/>
  <c r="A784" i="27"/>
  <c r="A785" i="27"/>
  <c r="A786" i="27"/>
  <c r="A787" i="27"/>
  <c r="A788" i="27"/>
  <c r="A789" i="27"/>
  <c r="A790" i="27"/>
  <c r="A791" i="27"/>
  <c r="A792" i="27"/>
  <c r="A793" i="27"/>
  <c r="A794" i="27"/>
  <c r="A795" i="27"/>
  <c r="A796" i="27"/>
  <c r="A797" i="27"/>
  <c r="A798" i="27"/>
  <c r="A799" i="27"/>
  <c r="A800" i="27"/>
  <c r="A801" i="27"/>
  <c r="A802" i="27"/>
  <c r="A803" i="27"/>
  <c r="A804" i="27"/>
  <c r="A805" i="27"/>
  <c r="A806" i="27"/>
  <c r="A807" i="27"/>
  <c r="A808" i="27"/>
  <c r="A809" i="27"/>
  <c r="A810" i="27"/>
  <c r="A811" i="27"/>
  <c r="A812" i="27"/>
  <c r="A813" i="27"/>
  <c r="A814" i="27"/>
  <c r="A815" i="27"/>
  <c r="A816" i="27"/>
  <c r="A817" i="27"/>
  <c r="A818" i="27"/>
  <c r="A819" i="27"/>
  <c r="A820" i="27"/>
  <c r="A821" i="27"/>
  <c r="A822" i="27"/>
  <c r="A823" i="27"/>
  <c r="A824" i="27"/>
  <c r="A825" i="27"/>
  <c r="A826" i="27"/>
  <c r="A827" i="27"/>
  <c r="A828" i="27"/>
  <c r="A829" i="27"/>
  <c r="A830" i="27"/>
  <c r="A831" i="27"/>
  <c r="A832" i="27"/>
  <c r="A833" i="27"/>
  <c r="A834" i="27"/>
  <c r="A835" i="27"/>
  <c r="A836" i="27"/>
  <c r="A837" i="27"/>
  <c r="A838" i="27"/>
  <c r="A839" i="27"/>
  <c r="A840" i="27"/>
  <c r="A841" i="27"/>
  <c r="A842" i="27"/>
  <c r="A843" i="27"/>
  <c r="A844" i="27"/>
  <c r="A845" i="27"/>
  <c r="A846" i="27"/>
  <c r="A847" i="27"/>
  <c r="A848" i="27"/>
  <c r="A849" i="27"/>
  <c r="A850" i="27"/>
  <c r="A851" i="27"/>
  <c r="A852" i="27"/>
  <c r="A853" i="27"/>
  <c r="A854" i="27"/>
  <c r="A855" i="27"/>
  <c r="A856" i="27"/>
  <c r="A857" i="27"/>
  <c r="A858" i="27"/>
  <c r="A859" i="27"/>
  <c r="A860" i="27"/>
  <c r="A861" i="27"/>
  <c r="A862" i="27"/>
  <c r="A863" i="27"/>
  <c r="A864" i="27"/>
  <c r="A865" i="27"/>
  <c r="A866" i="27"/>
  <c r="A867" i="27"/>
  <c r="A868" i="27"/>
  <c r="A869" i="27"/>
  <c r="A870" i="27"/>
  <c r="A871" i="27"/>
  <c r="A872" i="27"/>
  <c r="A873" i="27"/>
  <c r="A874" i="27"/>
  <c r="A875" i="27"/>
  <c r="A876" i="27"/>
  <c r="A877" i="27"/>
  <c r="A878" i="27"/>
  <c r="A879" i="27"/>
  <c r="A880" i="27"/>
  <c r="A881" i="27"/>
  <c r="A882" i="27"/>
  <c r="A883" i="27"/>
  <c r="A884" i="27"/>
  <c r="A885" i="27"/>
  <c r="A886" i="27"/>
  <c r="A887" i="27"/>
  <c r="A888" i="27"/>
  <c r="A889" i="27"/>
  <c r="A890" i="27"/>
  <c r="A891" i="27"/>
  <c r="A892" i="27"/>
  <c r="A893" i="27"/>
  <c r="A894" i="27"/>
  <c r="A895" i="27"/>
  <c r="A896" i="27"/>
  <c r="A897" i="27"/>
  <c r="A898" i="27"/>
  <c r="A899" i="27"/>
  <c r="A900" i="27"/>
  <c r="A901" i="27"/>
  <c r="A902" i="27"/>
  <c r="A903" i="27"/>
  <c r="A904" i="27"/>
  <c r="A905" i="27"/>
  <c r="A906" i="27"/>
  <c r="A907" i="27"/>
  <c r="A908" i="27"/>
  <c r="A909" i="27"/>
  <c r="A910" i="27"/>
  <c r="A911" i="27"/>
  <c r="A912" i="27"/>
  <c r="A913" i="27"/>
  <c r="A914" i="27"/>
  <c r="A915" i="27"/>
  <c r="A916" i="27"/>
  <c r="A917" i="27"/>
  <c r="A918" i="27"/>
  <c r="A919" i="27"/>
  <c r="A920" i="27"/>
  <c r="A921" i="27"/>
  <c r="A922" i="27"/>
  <c r="A923" i="27"/>
  <c r="A924" i="27"/>
  <c r="A925" i="27"/>
  <c r="A926" i="27"/>
  <c r="A927" i="27"/>
  <c r="A928" i="27"/>
  <c r="A929" i="27"/>
  <c r="A930" i="27"/>
  <c r="A931" i="27"/>
  <c r="A932" i="27"/>
  <c r="A933" i="27"/>
  <c r="A934" i="27"/>
  <c r="A935" i="27"/>
  <c r="A936" i="27"/>
  <c r="A937" i="27"/>
  <c r="A938" i="27"/>
  <c r="A939" i="27"/>
  <c r="A940" i="27"/>
  <c r="A941" i="27"/>
  <c r="A942" i="27"/>
  <c r="A943" i="27"/>
  <c r="A944" i="27"/>
  <c r="A945" i="27"/>
  <c r="A946" i="27"/>
  <c r="A947" i="27"/>
  <c r="A948" i="27"/>
  <c r="A949" i="27"/>
  <c r="A950" i="27"/>
  <c r="A951" i="27"/>
  <c r="A952" i="27"/>
  <c r="A953" i="27"/>
  <c r="A954" i="27"/>
  <c r="A955" i="27"/>
  <c r="A956" i="27"/>
  <c r="A957" i="27"/>
  <c r="A958" i="27"/>
  <c r="A959" i="27"/>
  <c r="A960" i="27"/>
  <c r="A961" i="27"/>
  <c r="A962" i="27"/>
  <c r="A963" i="27"/>
  <c r="A964" i="27"/>
  <c r="A965" i="27"/>
  <c r="A966" i="27"/>
  <c r="A967" i="27"/>
  <c r="A968" i="27"/>
  <c r="A969" i="27"/>
  <c r="A970" i="27"/>
  <c r="A971" i="27"/>
  <c r="A972" i="27"/>
  <c r="A973" i="27"/>
  <c r="A974" i="27"/>
  <c r="A975" i="27"/>
  <c r="A976" i="27"/>
  <c r="A977" i="27"/>
  <c r="A978" i="27"/>
  <c r="A979" i="27"/>
  <c r="A980" i="27"/>
  <c r="A981" i="27"/>
  <c r="A982" i="27"/>
  <c r="A983" i="27"/>
  <c r="A984" i="27"/>
  <c r="A985" i="27"/>
  <c r="A986" i="27"/>
  <c r="A987" i="27"/>
  <c r="A988" i="27"/>
  <c r="A989" i="27"/>
  <c r="A990" i="27"/>
  <c r="A991" i="27"/>
  <c r="A992" i="27"/>
  <c r="A993" i="27"/>
  <c r="A994" i="27"/>
  <c r="A995" i="27"/>
  <c r="A996" i="27"/>
  <c r="A997" i="27"/>
  <c r="A998" i="27"/>
  <c r="A999" i="27"/>
  <c r="A1000" i="27"/>
  <c r="A1001" i="27"/>
  <c r="A1002" i="27"/>
  <c r="P4" i="27" l="1"/>
  <c r="R4" i="27"/>
  <c r="P5" i="27"/>
  <c r="R5" i="27"/>
  <c r="P6" i="27"/>
  <c r="R6" i="27"/>
  <c r="P7" i="27"/>
  <c r="P8" i="27"/>
  <c r="R8" i="27"/>
  <c r="P9" i="27"/>
  <c r="P10" i="27"/>
  <c r="R10" i="27"/>
  <c r="P11" i="27"/>
  <c r="R11" i="27"/>
  <c r="P12" i="27"/>
  <c r="R12" i="27"/>
  <c r="P13" i="27"/>
  <c r="R13" i="27"/>
  <c r="P14" i="27"/>
  <c r="R14" i="27"/>
  <c r="P15" i="27"/>
  <c r="R15" i="27"/>
  <c r="P16" i="27"/>
  <c r="R16" i="27"/>
  <c r="P17" i="27"/>
  <c r="R17" i="27"/>
  <c r="P18" i="27"/>
  <c r="R18" i="27"/>
  <c r="P19" i="27"/>
  <c r="R19" i="27"/>
  <c r="P20" i="27"/>
  <c r="R20" i="27"/>
  <c r="P21" i="27"/>
  <c r="R21" i="27"/>
  <c r="P22" i="27"/>
  <c r="R22" i="27"/>
  <c r="P23" i="27"/>
  <c r="R23" i="27"/>
  <c r="P24" i="27"/>
  <c r="R24" i="27"/>
  <c r="P25" i="27"/>
  <c r="R25" i="27"/>
  <c r="P26" i="27"/>
  <c r="R26" i="27"/>
  <c r="P27" i="27"/>
  <c r="R27" i="27"/>
  <c r="P28" i="27"/>
  <c r="R28" i="27"/>
  <c r="P29" i="27"/>
  <c r="R29" i="27"/>
  <c r="P30" i="27"/>
  <c r="R30" i="27"/>
  <c r="P31" i="27"/>
  <c r="R31" i="27"/>
  <c r="P32" i="27"/>
  <c r="R32" i="27"/>
  <c r="P33" i="27"/>
  <c r="R33" i="27"/>
  <c r="P34" i="27"/>
  <c r="R34" i="27"/>
  <c r="P35" i="27"/>
  <c r="R35" i="27"/>
  <c r="P36" i="27"/>
  <c r="R36" i="27"/>
  <c r="P37" i="27"/>
  <c r="R37" i="27"/>
  <c r="P38" i="27"/>
  <c r="R38" i="27"/>
  <c r="P39" i="27"/>
  <c r="R39" i="27"/>
  <c r="P40" i="27"/>
  <c r="R40" i="27"/>
  <c r="P41" i="27"/>
  <c r="R41" i="27"/>
  <c r="P42" i="27"/>
  <c r="R42" i="27"/>
  <c r="P43" i="27"/>
  <c r="R43" i="27"/>
  <c r="P44" i="27"/>
  <c r="R44" i="27"/>
  <c r="P45" i="27"/>
  <c r="R45" i="27"/>
  <c r="P46" i="27"/>
  <c r="R46" i="27"/>
  <c r="P47" i="27"/>
  <c r="R47" i="27"/>
  <c r="P48" i="27"/>
  <c r="R48" i="27"/>
  <c r="P49" i="27"/>
  <c r="R49" i="27"/>
  <c r="P50" i="27"/>
  <c r="R50" i="27"/>
  <c r="P51" i="27"/>
  <c r="R51" i="27"/>
  <c r="P52" i="27"/>
  <c r="R52" i="27"/>
  <c r="P53" i="27"/>
  <c r="R53" i="27"/>
  <c r="P54" i="27"/>
  <c r="R54" i="27"/>
  <c r="P55" i="27"/>
  <c r="R55" i="27"/>
  <c r="P56" i="27"/>
  <c r="R56" i="27"/>
  <c r="P57" i="27"/>
  <c r="R57" i="27"/>
  <c r="P58" i="27"/>
  <c r="R58" i="27"/>
  <c r="P59" i="27"/>
  <c r="R59" i="27"/>
  <c r="P60" i="27"/>
  <c r="R60" i="27"/>
  <c r="P61" i="27"/>
  <c r="R61" i="27"/>
  <c r="P62" i="27"/>
  <c r="R62" i="27"/>
  <c r="P63" i="27"/>
  <c r="R63" i="27"/>
  <c r="P64" i="27"/>
  <c r="R64" i="27"/>
  <c r="P65" i="27"/>
  <c r="R65" i="27"/>
  <c r="P66" i="27"/>
  <c r="R66" i="27"/>
  <c r="P67" i="27"/>
  <c r="R67" i="27"/>
  <c r="P68" i="27"/>
  <c r="R68" i="27"/>
  <c r="P69" i="27"/>
  <c r="R69" i="27"/>
  <c r="P70" i="27"/>
  <c r="R70" i="27"/>
  <c r="P71" i="27"/>
  <c r="R71" i="27"/>
  <c r="P72" i="27"/>
  <c r="R72" i="27"/>
  <c r="P73" i="27"/>
  <c r="R73" i="27"/>
  <c r="P74" i="27"/>
  <c r="R74" i="27"/>
  <c r="P75" i="27"/>
  <c r="R75" i="27"/>
  <c r="P76" i="27"/>
  <c r="R76" i="27"/>
  <c r="P77" i="27"/>
  <c r="R77" i="27"/>
  <c r="P78" i="27"/>
  <c r="R78" i="27"/>
  <c r="P79" i="27"/>
  <c r="R79" i="27"/>
  <c r="P80" i="27"/>
  <c r="R80" i="27"/>
  <c r="P81" i="27"/>
  <c r="R81" i="27"/>
  <c r="P82" i="27"/>
  <c r="R82" i="27"/>
  <c r="P83" i="27"/>
  <c r="R83" i="27"/>
  <c r="P84" i="27"/>
  <c r="R84" i="27"/>
  <c r="P85" i="27"/>
  <c r="R85" i="27"/>
  <c r="P86" i="27"/>
  <c r="R86" i="27"/>
  <c r="P87" i="27"/>
  <c r="R87" i="27"/>
  <c r="P88" i="27"/>
  <c r="R88" i="27"/>
  <c r="P89" i="27"/>
  <c r="R89" i="27"/>
  <c r="P90" i="27"/>
  <c r="R90" i="27"/>
  <c r="P91" i="27"/>
  <c r="R91" i="27"/>
  <c r="P92" i="27"/>
  <c r="R92" i="27"/>
  <c r="P93" i="27"/>
  <c r="R93" i="27"/>
  <c r="P94" i="27"/>
  <c r="R94" i="27"/>
  <c r="P95" i="27"/>
  <c r="R95" i="27"/>
  <c r="P96" i="27"/>
  <c r="R96" i="27"/>
  <c r="P97" i="27"/>
  <c r="R97" i="27"/>
  <c r="P98" i="27"/>
  <c r="R98" i="27"/>
  <c r="P99" i="27"/>
  <c r="R99" i="27"/>
  <c r="P100" i="27"/>
  <c r="R100" i="27"/>
  <c r="P101" i="27"/>
  <c r="R101" i="27"/>
  <c r="P102" i="27"/>
  <c r="R102" i="27"/>
  <c r="P103" i="27"/>
  <c r="R103" i="27"/>
  <c r="P104" i="27"/>
  <c r="R104" i="27"/>
  <c r="P105" i="27"/>
  <c r="R105" i="27"/>
  <c r="P106" i="27"/>
  <c r="R106" i="27"/>
  <c r="P107" i="27"/>
  <c r="R107" i="27"/>
  <c r="P108" i="27"/>
  <c r="R108" i="27"/>
  <c r="P109" i="27"/>
  <c r="R109" i="27"/>
  <c r="P110" i="27"/>
  <c r="R110" i="27"/>
  <c r="P111" i="27"/>
  <c r="R111" i="27"/>
  <c r="P112" i="27"/>
  <c r="R112" i="27"/>
  <c r="P113" i="27"/>
  <c r="R113" i="27"/>
  <c r="P114" i="27"/>
  <c r="R114" i="27"/>
  <c r="P115" i="27"/>
  <c r="R115" i="27"/>
  <c r="P116" i="27"/>
  <c r="R116" i="27"/>
  <c r="P117" i="27"/>
  <c r="R117" i="27"/>
  <c r="P118" i="27"/>
  <c r="R118" i="27"/>
  <c r="P119" i="27"/>
  <c r="R119" i="27"/>
  <c r="P120" i="27"/>
  <c r="R120" i="27"/>
  <c r="P121" i="27"/>
  <c r="R121" i="27"/>
  <c r="P122" i="27"/>
  <c r="R122" i="27"/>
  <c r="P123" i="27"/>
  <c r="R123" i="27"/>
  <c r="P124" i="27"/>
  <c r="R124" i="27"/>
  <c r="P125" i="27"/>
  <c r="R125" i="27"/>
  <c r="P126" i="27"/>
  <c r="R126" i="27"/>
  <c r="P127" i="27"/>
  <c r="R127" i="27"/>
  <c r="P128" i="27"/>
  <c r="R128" i="27"/>
  <c r="P129" i="27"/>
  <c r="R129" i="27"/>
  <c r="P130" i="27"/>
  <c r="R130" i="27"/>
  <c r="P131" i="27"/>
  <c r="R131" i="27"/>
  <c r="P132" i="27"/>
  <c r="R132" i="27"/>
  <c r="P133" i="27"/>
  <c r="R133" i="27"/>
  <c r="P134" i="27"/>
  <c r="R134" i="27"/>
  <c r="P135" i="27"/>
  <c r="R135" i="27"/>
  <c r="P136" i="27"/>
  <c r="R136" i="27"/>
  <c r="P137" i="27"/>
  <c r="R137" i="27"/>
  <c r="P138" i="27"/>
  <c r="R138" i="27"/>
  <c r="P139" i="27"/>
  <c r="R139" i="27"/>
  <c r="P140" i="27"/>
  <c r="R140" i="27"/>
  <c r="P141" i="27"/>
  <c r="R141" i="27"/>
  <c r="P142" i="27"/>
  <c r="R142" i="27"/>
  <c r="P143" i="27"/>
  <c r="R143" i="27"/>
  <c r="P144" i="27"/>
  <c r="R144" i="27"/>
  <c r="P145" i="27"/>
  <c r="R145" i="27"/>
  <c r="P146" i="27"/>
  <c r="R146" i="27"/>
  <c r="P147" i="27"/>
  <c r="R147" i="27"/>
  <c r="P148" i="27"/>
  <c r="R148" i="27"/>
  <c r="P149" i="27"/>
  <c r="R149" i="27"/>
  <c r="P150" i="27"/>
  <c r="R150" i="27"/>
  <c r="P151" i="27"/>
  <c r="R151" i="27"/>
  <c r="P152" i="27"/>
  <c r="R152" i="27"/>
  <c r="P153" i="27"/>
  <c r="R153" i="27"/>
  <c r="P154" i="27"/>
  <c r="R154" i="27"/>
  <c r="P155" i="27"/>
  <c r="R155" i="27"/>
  <c r="P156" i="27"/>
  <c r="R156" i="27"/>
  <c r="P157" i="27"/>
  <c r="R157" i="27"/>
  <c r="P158" i="27"/>
  <c r="R158" i="27"/>
  <c r="P159" i="27"/>
  <c r="R159" i="27"/>
  <c r="P160" i="27"/>
  <c r="R160" i="27"/>
  <c r="P161" i="27"/>
  <c r="R161" i="27"/>
  <c r="P162" i="27"/>
  <c r="R162" i="27"/>
  <c r="P163" i="27"/>
  <c r="R163" i="27"/>
  <c r="P164" i="27"/>
  <c r="R164" i="27"/>
  <c r="P165" i="27"/>
  <c r="R165" i="27"/>
  <c r="P166" i="27"/>
  <c r="R166" i="27"/>
  <c r="P167" i="27"/>
  <c r="R167" i="27"/>
  <c r="P168" i="27"/>
  <c r="R168" i="27"/>
  <c r="P169" i="27"/>
  <c r="R169" i="27"/>
  <c r="P170" i="27"/>
  <c r="R170" i="27"/>
  <c r="P171" i="27"/>
  <c r="R171" i="27"/>
  <c r="P172" i="27"/>
  <c r="R172" i="27"/>
  <c r="P173" i="27"/>
  <c r="R173" i="27"/>
  <c r="P174" i="27"/>
  <c r="R174" i="27"/>
  <c r="P175" i="27"/>
  <c r="R175" i="27"/>
  <c r="P176" i="27"/>
  <c r="R176" i="27"/>
  <c r="P177" i="27"/>
  <c r="R177" i="27"/>
  <c r="P178" i="27"/>
  <c r="R178" i="27"/>
  <c r="P179" i="27"/>
  <c r="R179" i="27"/>
  <c r="P180" i="27"/>
  <c r="R180" i="27"/>
  <c r="P181" i="27"/>
  <c r="R181" i="27"/>
  <c r="P182" i="27"/>
  <c r="R182" i="27"/>
  <c r="P183" i="27"/>
  <c r="R183" i="27"/>
  <c r="P184" i="27"/>
  <c r="R184" i="27"/>
  <c r="P185" i="27"/>
  <c r="R185" i="27"/>
  <c r="P186" i="27"/>
  <c r="R186" i="27"/>
  <c r="P187" i="27"/>
  <c r="R187" i="27"/>
  <c r="P188" i="27"/>
  <c r="R188" i="27"/>
  <c r="P189" i="27"/>
  <c r="R189" i="27"/>
  <c r="P190" i="27"/>
  <c r="R190" i="27"/>
  <c r="P191" i="27"/>
  <c r="R191" i="27"/>
  <c r="P192" i="27"/>
  <c r="R192" i="27"/>
  <c r="P193" i="27"/>
  <c r="R193" i="27"/>
  <c r="P194" i="27"/>
  <c r="R194" i="27"/>
  <c r="P195" i="27"/>
  <c r="R195" i="27"/>
  <c r="P196" i="27"/>
  <c r="R196" i="27"/>
  <c r="P197" i="27"/>
  <c r="R197" i="27"/>
  <c r="P198" i="27"/>
  <c r="R198" i="27"/>
  <c r="P199" i="27"/>
  <c r="R199" i="27"/>
  <c r="P200" i="27"/>
  <c r="R200" i="27"/>
  <c r="P201" i="27"/>
  <c r="R201" i="27"/>
  <c r="P202" i="27"/>
  <c r="R202" i="27"/>
  <c r="P203" i="27"/>
  <c r="R203" i="27"/>
  <c r="P204" i="27"/>
  <c r="R204" i="27"/>
  <c r="P205" i="27"/>
  <c r="R205" i="27"/>
  <c r="P206" i="27"/>
  <c r="R206" i="27"/>
  <c r="P207" i="27"/>
  <c r="R207" i="27"/>
  <c r="P208" i="27"/>
  <c r="R208" i="27"/>
  <c r="P209" i="27"/>
  <c r="R209" i="27"/>
  <c r="P210" i="27"/>
  <c r="R210" i="27"/>
  <c r="P211" i="27"/>
  <c r="R211" i="27"/>
  <c r="P212" i="27"/>
  <c r="R212" i="27"/>
  <c r="P213" i="27"/>
  <c r="R213" i="27"/>
  <c r="P214" i="27"/>
  <c r="R214" i="27"/>
  <c r="P215" i="27"/>
  <c r="R215" i="27"/>
  <c r="P216" i="27"/>
  <c r="R216" i="27"/>
  <c r="P217" i="27"/>
  <c r="R217" i="27"/>
  <c r="P218" i="27"/>
  <c r="R218" i="27"/>
  <c r="P219" i="27"/>
  <c r="R219" i="27"/>
  <c r="P220" i="27"/>
  <c r="R220" i="27"/>
  <c r="P221" i="27"/>
  <c r="R221" i="27"/>
  <c r="P222" i="27"/>
  <c r="R222" i="27"/>
  <c r="P223" i="27"/>
  <c r="R223" i="27"/>
  <c r="P224" i="27"/>
  <c r="R224" i="27"/>
  <c r="P225" i="27"/>
  <c r="R225" i="27"/>
  <c r="P226" i="27"/>
  <c r="R226" i="27"/>
  <c r="P227" i="27"/>
  <c r="R227" i="27"/>
  <c r="P228" i="27"/>
  <c r="R228" i="27"/>
  <c r="P229" i="27"/>
  <c r="R229" i="27"/>
  <c r="P230" i="27"/>
  <c r="R230" i="27"/>
  <c r="P231" i="27"/>
  <c r="R231" i="27"/>
  <c r="P232" i="27"/>
  <c r="R232" i="27"/>
  <c r="P233" i="27"/>
  <c r="R233" i="27"/>
  <c r="P234" i="27"/>
  <c r="R234" i="27"/>
  <c r="P235" i="27"/>
  <c r="R235" i="27"/>
  <c r="P236" i="27"/>
  <c r="R236" i="27"/>
  <c r="P237" i="27"/>
  <c r="R237" i="27"/>
  <c r="P238" i="27"/>
  <c r="R238" i="27"/>
  <c r="P239" i="27"/>
  <c r="R239" i="27"/>
  <c r="P240" i="27"/>
  <c r="R240" i="27"/>
  <c r="P241" i="27"/>
  <c r="R241" i="27"/>
  <c r="P242" i="27"/>
  <c r="R242" i="27"/>
  <c r="P243" i="27"/>
  <c r="R243" i="27"/>
  <c r="P244" i="27"/>
  <c r="R244" i="27"/>
  <c r="P245" i="27"/>
  <c r="R245" i="27"/>
  <c r="P246" i="27"/>
  <c r="R246" i="27"/>
  <c r="P247" i="27"/>
  <c r="R247" i="27"/>
  <c r="P248" i="27"/>
  <c r="R248" i="27"/>
  <c r="P249" i="27"/>
  <c r="R249" i="27"/>
  <c r="P250" i="27"/>
  <c r="R250" i="27"/>
  <c r="P251" i="27"/>
  <c r="R251" i="27"/>
  <c r="P252" i="27"/>
  <c r="R252" i="27"/>
  <c r="P253" i="27"/>
  <c r="R253" i="27"/>
  <c r="P254" i="27"/>
  <c r="R254" i="27"/>
  <c r="P255" i="27"/>
  <c r="R255" i="27"/>
  <c r="P256" i="27"/>
  <c r="R256" i="27"/>
  <c r="P257" i="27"/>
  <c r="R257" i="27"/>
  <c r="P258" i="27"/>
  <c r="R258" i="27"/>
  <c r="P259" i="27"/>
  <c r="R259" i="27"/>
  <c r="P260" i="27"/>
  <c r="R260" i="27"/>
  <c r="P261" i="27"/>
  <c r="R261" i="27"/>
  <c r="P262" i="27"/>
  <c r="R262" i="27"/>
  <c r="P263" i="27"/>
  <c r="R263" i="27"/>
  <c r="P264" i="27"/>
  <c r="R264" i="27"/>
  <c r="P265" i="27"/>
  <c r="R265" i="27"/>
  <c r="P266" i="27"/>
  <c r="R266" i="27"/>
  <c r="P267" i="27"/>
  <c r="R267" i="27"/>
  <c r="P268" i="27"/>
  <c r="R268" i="27"/>
  <c r="P269" i="27"/>
  <c r="R269" i="27"/>
  <c r="P270" i="27"/>
  <c r="R270" i="27"/>
  <c r="P271" i="27"/>
  <c r="R271" i="27"/>
  <c r="P272" i="27"/>
  <c r="R272" i="27"/>
  <c r="P273" i="27"/>
  <c r="R273" i="27"/>
  <c r="P274" i="27"/>
  <c r="R274" i="27"/>
  <c r="P275" i="27"/>
  <c r="R275" i="27"/>
  <c r="P276" i="27"/>
  <c r="R276" i="27"/>
  <c r="P277" i="27"/>
  <c r="R277" i="27"/>
  <c r="P278" i="27"/>
  <c r="R278" i="27"/>
  <c r="P279" i="27"/>
  <c r="R279" i="27"/>
  <c r="P280" i="27"/>
  <c r="R280" i="27"/>
  <c r="P281" i="27"/>
  <c r="R281" i="27"/>
  <c r="P282" i="27"/>
  <c r="R282" i="27"/>
  <c r="P283" i="27"/>
  <c r="R283" i="27"/>
  <c r="P284" i="27"/>
  <c r="R284" i="27"/>
  <c r="P285" i="27"/>
  <c r="R285" i="27"/>
  <c r="P286" i="27"/>
  <c r="R286" i="27"/>
  <c r="P287" i="27"/>
  <c r="R287" i="27"/>
  <c r="P288" i="27"/>
  <c r="R288" i="27"/>
  <c r="P289" i="27"/>
  <c r="R289" i="27"/>
  <c r="P290" i="27"/>
  <c r="R290" i="27"/>
  <c r="P291" i="27"/>
  <c r="R291" i="27"/>
  <c r="P292" i="27"/>
  <c r="R292" i="27"/>
  <c r="P293" i="27"/>
  <c r="R293" i="27"/>
  <c r="P294" i="27"/>
  <c r="R294" i="27"/>
  <c r="P295" i="27"/>
  <c r="R295" i="27"/>
  <c r="P296" i="27"/>
  <c r="R296" i="27"/>
  <c r="P297" i="27"/>
  <c r="R297" i="27"/>
  <c r="P298" i="27"/>
  <c r="R298" i="27"/>
  <c r="P299" i="27"/>
  <c r="R299" i="27"/>
  <c r="P300" i="27"/>
  <c r="R300" i="27"/>
  <c r="P301" i="27"/>
  <c r="R301" i="27"/>
  <c r="P302" i="27"/>
  <c r="R302" i="27"/>
  <c r="P303" i="27"/>
  <c r="R303" i="27"/>
  <c r="P304" i="27"/>
  <c r="R304" i="27"/>
  <c r="P305" i="27"/>
  <c r="R305" i="27"/>
  <c r="P306" i="27"/>
  <c r="R306" i="27"/>
  <c r="P307" i="27"/>
  <c r="R307" i="27"/>
  <c r="P308" i="27"/>
  <c r="R308" i="27"/>
  <c r="P309" i="27"/>
  <c r="R309" i="27"/>
  <c r="P310" i="27"/>
  <c r="R310" i="27"/>
  <c r="P311" i="27"/>
  <c r="R311" i="27"/>
  <c r="P312" i="27"/>
  <c r="R312" i="27"/>
  <c r="P313" i="27"/>
  <c r="R313" i="27"/>
  <c r="P314" i="27"/>
  <c r="R314" i="27"/>
  <c r="P315" i="27"/>
  <c r="R315" i="27"/>
  <c r="P316" i="27"/>
  <c r="R316" i="27"/>
  <c r="P317" i="27"/>
  <c r="R317" i="27"/>
  <c r="P318" i="27"/>
  <c r="R318" i="27"/>
  <c r="P319" i="27"/>
  <c r="R319" i="27"/>
  <c r="P320" i="27"/>
  <c r="R320" i="27"/>
  <c r="P321" i="27"/>
  <c r="R321" i="27"/>
  <c r="P322" i="27"/>
  <c r="R322" i="27"/>
  <c r="P323" i="27"/>
  <c r="R323" i="27"/>
  <c r="P324" i="27"/>
  <c r="R324" i="27"/>
  <c r="P325" i="27"/>
  <c r="R325" i="27"/>
  <c r="P326" i="27"/>
  <c r="R326" i="27"/>
  <c r="P327" i="27"/>
  <c r="R327" i="27"/>
  <c r="P328" i="27"/>
  <c r="R328" i="27"/>
  <c r="P329" i="27"/>
  <c r="R329" i="27"/>
  <c r="P330" i="27"/>
  <c r="R330" i="27"/>
  <c r="P331" i="27"/>
  <c r="R331" i="27"/>
  <c r="P332" i="27"/>
  <c r="R332" i="27"/>
  <c r="P333" i="27"/>
  <c r="R333" i="27"/>
  <c r="P334" i="27"/>
  <c r="R334" i="27"/>
  <c r="P335" i="27"/>
  <c r="R335" i="27"/>
  <c r="P336" i="27"/>
  <c r="R336" i="27"/>
  <c r="P337" i="27"/>
  <c r="R337" i="27"/>
  <c r="P338" i="27"/>
  <c r="R338" i="27"/>
  <c r="P339" i="27"/>
  <c r="R339" i="27"/>
  <c r="P340" i="27"/>
  <c r="R340" i="27"/>
  <c r="P341" i="27"/>
  <c r="R341" i="27"/>
  <c r="P342" i="27"/>
  <c r="R342" i="27"/>
  <c r="P343" i="27"/>
  <c r="R343" i="27"/>
  <c r="P344" i="27"/>
  <c r="R344" i="27"/>
  <c r="P345" i="27"/>
  <c r="R345" i="27"/>
  <c r="P346" i="27"/>
  <c r="R346" i="27"/>
  <c r="P347" i="27"/>
  <c r="R347" i="27"/>
  <c r="P348" i="27"/>
  <c r="R348" i="27"/>
  <c r="P349" i="27"/>
  <c r="R349" i="27"/>
  <c r="P350" i="27"/>
  <c r="R350" i="27"/>
  <c r="P351" i="27"/>
  <c r="R351" i="27"/>
  <c r="P352" i="27"/>
  <c r="R352" i="27"/>
  <c r="P353" i="27"/>
  <c r="R353" i="27"/>
  <c r="P354" i="27"/>
  <c r="R354" i="27"/>
  <c r="P355" i="27"/>
  <c r="R355" i="27"/>
  <c r="P356" i="27"/>
  <c r="R356" i="27"/>
  <c r="P357" i="27"/>
  <c r="R357" i="27"/>
  <c r="P358" i="27"/>
  <c r="R358" i="27"/>
  <c r="P359" i="27"/>
  <c r="R359" i="27"/>
  <c r="P360" i="27"/>
  <c r="R360" i="27"/>
  <c r="P361" i="27"/>
  <c r="R361" i="27"/>
  <c r="P362" i="27"/>
  <c r="R362" i="27"/>
  <c r="P363" i="27"/>
  <c r="R363" i="27"/>
  <c r="P364" i="27"/>
  <c r="R364" i="27"/>
  <c r="P365" i="27"/>
  <c r="R365" i="27"/>
  <c r="P366" i="27"/>
  <c r="R366" i="27"/>
  <c r="P367" i="27"/>
  <c r="R367" i="27"/>
  <c r="P368" i="27"/>
  <c r="R368" i="27"/>
  <c r="P369" i="27"/>
  <c r="R369" i="27"/>
  <c r="P370" i="27"/>
  <c r="R370" i="27"/>
  <c r="P371" i="27"/>
  <c r="R371" i="27"/>
  <c r="P372" i="27"/>
  <c r="R372" i="27"/>
  <c r="P373" i="27"/>
  <c r="R373" i="27"/>
  <c r="P374" i="27"/>
  <c r="R374" i="27"/>
  <c r="P375" i="27"/>
  <c r="R375" i="27"/>
  <c r="P376" i="27"/>
  <c r="R376" i="27"/>
  <c r="P377" i="27"/>
  <c r="R377" i="27"/>
  <c r="P378" i="27"/>
  <c r="R378" i="27"/>
  <c r="P379" i="27"/>
  <c r="R379" i="27"/>
  <c r="P380" i="27"/>
  <c r="R380" i="27"/>
  <c r="P381" i="27"/>
  <c r="R381" i="27"/>
  <c r="P382" i="27"/>
  <c r="R382" i="27"/>
  <c r="P383" i="27"/>
  <c r="R383" i="27"/>
  <c r="P384" i="27"/>
  <c r="R384" i="27"/>
  <c r="P385" i="27"/>
  <c r="R385" i="27"/>
  <c r="P386" i="27"/>
  <c r="R386" i="27"/>
  <c r="P387" i="27"/>
  <c r="R387" i="27"/>
  <c r="P388" i="27"/>
  <c r="R388" i="27"/>
  <c r="P389" i="27"/>
  <c r="R389" i="27"/>
  <c r="P390" i="27"/>
  <c r="R390" i="27"/>
  <c r="P391" i="27"/>
  <c r="R391" i="27"/>
  <c r="P392" i="27"/>
  <c r="R392" i="27"/>
  <c r="P393" i="27"/>
  <c r="R393" i="27"/>
  <c r="P394" i="27"/>
  <c r="R394" i="27"/>
  <c r="P395" i="27"/>
  <c r="R395" i="27"/>
  <c r="P396" i="27"/>
  <c r="R396" i="27"/>
  <c r="P397" i="27"/>
  <c r="R397" i="27"/>
  <c r="P398" i="27"/>
  <c r="R398" i="27"/>
  <c r="P399" i="27"/>
  <c r="R399" i="27"/>
  <c r="P400" i="27"/>
  <c r="R400" i="27"/>
  <c r="P401" i="27"/>
  <c r="R401" i="27"/>
  <c r="P402" i="27"/>
  <c r="R402" i="27"/>
  <c r="P403" i="27"/>
  <c r="R403" i="27"/>
  <c r="P404" i="27"/>
  <c r="R404" i="27"/>
  <c r="P405" i="27"/>
  <c r="R405" i="27"/>
  <c r="P406" i="27"/>
  <c r="R406" i="27"/>
  <c r="P407" i="27"/>
  <c r="R407" i="27"/>
  <c r="P408" i="27"/>
  <c r="R408" i="27"/>
  <c r="P409" i="27"/>
  <c r="R409" i="27"/>
  <c r="P410" i="27"/>
  <c r="R410" i="27"/>
  <c r="P411" i="27"/>
  <c r="R411" i="27"/>
  <c r="P412" i="27"/>
  <c r="R412" i="27"/>
  <c r="P413" i="27"/>
  <c r="R413" i="27"/>
  <c r="P414" i="27"/>
  <c r="R414" i="27"/>
  <c r="P415" i="27"/>
  <c r="R415" i="27"/>
  <c r="P416" i="27"/>
  <c r="R416" i="27"/>
  <c r="P417" i="27"/>
  <c r="R417" i="27"/>
  <c r="P418" i="27"/>
  <c r="R418" i="27"/>
  <c r="P419" i="27"/>
  <c r="R419" i="27"/>
  <c r="P420" i="27"/>
  <c r="R420" i="27"/>
  <c r="P421" i="27"/>
  <c r="R421" i="27"/>
  <c r="P422" i="27"/>
  <c r="R422" i="27"/>
  <c r="P423" i="27"/>
  <c r="R423" i="27"/>
  <c r="P424" i="27"/>
  <c r="R424" i="27"/>
  <c r="P425" i="27"/>
  <c r="R425" i="27"/>
  <c r="P426" i="27"/>
  <c r="R426" i="27"/>
  <c r="P427" i="27"/>
  <c r="R427" i="27"/>
  <c r="P428" i="27"/>
  <c r="R428" i="27"/>
  <c r="P429" i="27"/>
  <c r="R429" i="27"/>
  <c r="P430" i="27"/>
  <c r="R430" i="27"/>
  <c r="P431" i="27"/>
  <c r="R431" i="27"/>
  <c r="P432" i="27"/>
  <c r="R432" i="27"/>
  <c r="P433" i="27"/>
  <c r="R433" i="27"/>
  <c r="P434" i="27"/>
  <c r="R434" i="27"/>
  <c r="P435" i="27"/>
  <c r="R435" i="27"/>
  <c r="P436" i="27"/>
  <c r="R436" i="27"/>
  <c r="P437" i="27"/>
  <c r="R437" i="27"/>
  <c r="P438" i="27"/>
  <c r="R438" i="27"/>
  <c r="P439" i="27"/>
  <c r="R439" i="27"/>
  <c r="P440" i="27"/>
  <c r="R440" i="27"/>
  <c r="P441" i="27"/>
  <c r="R441" i="27"/>
  <c r="P442" i="27"/>
  <c r="R442" i="27"/>
  <c r="P443" i="27"/>
  <c r="R443" i="27"/>
  <c r="P444" i="27"/>
  <c r="R444" i="27"/>
  <c r="P445" i="27"/>
  <c r="R445" i="27"/>
  <c r="P446" i="27"/>
  <c r="R446" i="27"/>
  <c r="P447" i="27"/>
  <c r="R447" i="27"/>
  <c r="P448" i="27"/>
  <c r="R448" i="27"/>
  <c r="P449" i="27"/>
  <c r="R449" i="27"/>
  <c r="P450" i="27"/>
  <c r="R450" i="27"/>
  <c r="P451" i="27"/>
  <c r="R451" i="27"/>
  <c r="P452" i="27"/>
  <c r="R452" i="27"/>
  <c r="P453" i="27"/>
  <c r="R453" i="27"/>
  <c r="P454" i="27"/>
  <c r="R454" i="27"/>
  <c r="P455" i="27"/>
  <c r="R455" i="27"/>
  <c r="P456" i="27"/>
  <c r="R456" i="27"/>
  <c r="P457" i="27"/>
  <c r="R457" i="27"/>
  <c r="P458" i="27"/>
  <c r="R458" i="27"/>
  <c r="P459" i="27"/>
  <c r="R459" i="27"/>
  <c r="P460" i="27"/>
  <c r="R460" i="27"/>
  <c r="P461" i="27"/>
  <c r="R461" i="27"/>
  <c r="P462" i="27"/>
  <c r="R462" i="27"/>
  <c r="P463" i="27"/>
  <c r="R463" i="27"/>
  <c r="P464" i="27"/>
  <c r="R464" i="27"/>
  <c r="P465" i="27"/>
  <c r="R465" i="27"/>
  <c r="P466" i="27"/>
  <c r="R466" i="27"/>
  <c r="P467" i="27"/>
  <c r="R467" i="27"/>
  <c r="P468" i="27"/>
  <c r="R468" i="27"/>
  <c r="P469" i="27"/>
  <c r="R469" i="27"/>
  <c r="P470" i="27"/>
  <c r="R470" i="27"/>
  <c r="P471" i="27"/>
  <c r="R471" i="27"/>
  <c r="P472" i="27"/>
  <c r="R472" i="27"/>
  <c r="P473" i="27"/>
  <c r="R473" i="27"/>
  <c r="P474" i="27"/>
  <c r="R474" i="27"/>
  <c r="P475" i="27"/>
  <c r="R475" i="27"/>
  <c r="P476" i="27"/>
  <c r="R476" i="27"/>
  <c r="P477" i="27"/>
  <c r="R477" i="27"/>
  <c r="P478" i="27"/>
  <c r="R478" i="27"/>
  <c r="P479" i="27"/>
  <c r="R479" i="27"/>
  <c r="P480" i="27"/>
  <c r="R480" i="27"/>
  <c r="P481" i="27"/>
  <c r="R481" i="27"/>
  <c r="P482" i="27"/>
  <c r="R482" i="27"/>
  <c r="P483" i="27"/>
  <c r="R483" i="27"/>
  <c r="P484" i="27"/>
  <c r="R484" i="27"/>
  <c r="P485" i="27"/>
  <c r="R485" i="27"/>
  <c r="P486" i="27"/>
  <c r="R486" i="27"/>
  <c r="P487" i="27"/>
  <c r="R487" i="27"/>
  <c r="P488" i="27"/>
  <c r="R488" i="27"/>
  <c r="P489" i="27"/>
  <c r="R489" i="27"/>
  <c r="P490" i="27"/>
  <c r="R490" i="27"/>
  <c r="P491" i="27"/>
  <c r="R491" i="27"/>
  <c r="P492" i="27"/>
  <c r="R492" i="27"/>
  <c r="P493" i="27"/>
  <c r="R493" i="27"/>
  <c r="P494" i="27"/>
  <c r="R494" i="27"/>
  <c r="P495" i="27"/>
  <c r="R495" i="27"/>
  <c r="P496" i="27"/>
  <c r="R496" i="27"/>
  <c r="P497" i="27"/>
  <c r="R497" i="27"/>
  <c r="P498" i="27"/>
  <c r="R498" i="27"/>
  <c r="P499" i="27"/>
  <c r="R499" i="27"/>
  <c r="P500" i="27"/>
  <c r="R500" i="27"/>
  <c r="P501" i="27"/>
  <c r="R501" i="27"/>
  <c r="P502" i="27"/>
  <c r="R502" i="27"/>
  <c r="P503" i="27"/>
  <c r="R503" i="27"/>
  <c r="P504" i="27"/>
  <c r="R504" i="27"/>
  <c r="P505" i="27"/>
  <c r="R505" i="27"/>
  <c r="P506" i="27"/>
  <c r="R506" i="27"/>
  <c r="P507" i="27"/>
  <c r="R507" i="27"/>
  <c r="P508" i="27"/>
  <c r="R508" i="27"/>
  <c r="P509" i="27"/>
  <c r="R509" i="27"/>
  <c r="P510" i="27"/>
  <c r="R510" i="27"/>
  <c r="P511" i="27"/>
  <c r="R511" i="27"/>
  <c r="P512" i="27"/>
  <c r="R512" i="27"/>
  <c r="P513" i="27"/>
  <c r="R513" i="27"/>
  <c r="P514" i="27"/>
  <c r="R514" i="27"/>
  <c r="P515" i="27"/>
  <c r="R515" i="27"/>
  <c r="P516" i="27"/>
  <c r="R516" i="27"/>
  <c r="P517" i="27"/>
  <c r="R517" i="27"/>
  <c r="P518" i="27"/>
  <c r="R518" i="27"/>
  <c r="P519" i="27"/>
  <c r="R519" i="27"/>
  <c r="P520" i="27"/>
  <c r="R520" i="27"/>
  <c r="P521" i="27"/>
  <c r="R521" i="27"/>
  <c r="P522" i="27"/>
  <c r="R522" i="27"/>
  <c r="P523" i="27"/>
  <c r="R523" i="27"/>
  <c r="P524" i="27"/>
  <c r="R524" i="27"/>
  <c r="P525" i="27"/>
  <c r="R525" i="27"/>
  <c r="P526" i="27"/>
  <c r="R526" i="27"/>
  <c r="P527" i="27"/>
  <c r="R527" i="27"/>
  <c r="P528" i="27"/>
  <c r="R528" i="27"/>
  <c r="P529" i="27"/>
  <c r="R529" i="27"/>
  <c r="P530" i="27"/>
  <c r="R530" i="27"/>
  <c r="P531" i="27"/>
  <c r="R531" i="27"/>
  <c r="P532" i="27"/>
  <c r="R532" i="27"/>
  <c r="P533" i="27"/>
  <c r="R533" i="27"/>
  <c r="P534" i="27"/>
  <c r="R534" i="27"/>
  <c r="P535" i="27"/>
  <c r="R535" i="27"/>
  <c r="P536" i="27"/>
  <c r="R536" i="27"/>
  <c r="P537" i="27"/>
  <c r="R537" i="27"/>
  <c r="P538" i="27"/>
  <c r="R538" i="27"/>
  <c r="P539" i="27"/>
  <c r="R539" i="27"/>
  <c r="P540" i="27"/>
  <c r="R540" i="27"/>
  <c r="P541" i="27"/>
  <c r="R541" i="27"/>
  <c r="P542" i="27"/>
  <c r="R542" i="27"/>
  <c r="P543" i="27"/>
  <c r="R543" i="27"/>
  <c r="P544" i="27"/>
  <c r="R544" i="27"/>
  <c r="P545" i="27"/>
  <c r="R545" i="27"/>
  <c r="P546" i="27"/>
  <c r="R546" i="27"/>
  <c r="P547" i="27"/>
  <c r="R547" i="27"/>
  <c r="P548" i="27"/>
  <c r="R548" i="27"/>
  <c r="P549" i="27"/>
  <c r="R549" i="27"/>
  <c r="P550" i="27"/>
  <c r="R550" i="27"/>
  <c r="P551" i="27"/>
  <c r="R551" i="27"/>
  <c r="P552" i="27"/>
  <c r="R552" i="27"/>
  <c r="P553" i="27"/>
  <c r="R553" i="27"/>
  <c r="P554" i="27"/>
  <c r="R554" i="27"/>
  <c r="P555" i="27"/>
  <c r="R555" i="27"/>
  <c r="P556" i="27"/>
  <c r="R556" i="27"/>
  <c r="P557" i="27"/>
  <c r="R557" i="27"/>
  <c r="P558" i="27"/>
  <c r="R558" i="27"/>
  <c r="P559" i="27"/>
  <c r="R559" i="27"/>
  <c r="P560" i="27"/>
  <c r="R560" i="27"/>
  <c r="P561" i="27"/>
  <c r="R561" i="27"/>
  <c r="P562" i="27"/>
  <c r="R562" i="27"/>
  <c r="P563" i="27"/>
  <c r="R563" i="27"/>
  <c r="P564" i="27"/>
  <c r="R564" i="27"/>
  <c r="P565" i="27"/>
  <c r="R565" i="27"/>
  <c r="P566" i="27"/>
  <c r="R566" i="27"/>
  <c r="P567" i="27"/>
  <c r="R567" i="27"/>
  <c r="P568" i="27"/>
  <c r="R568" i="27"/>
  <c r="P569" i="27"/>
  <c r="R569" i="27"/>
  <c r="P570" i="27"/>
  <c r="R570" i="27"/>
  <c r="P571" i="27"/>
  <c r="R571" i="27"/>
  <c r="P572" i="27"/>
  <c r="R572" i="27"/>
  <c r="P573" i="27"/>
  <c r="R573" i="27"/>
  <c r="P574" i="27"/>
  <c r="R574" i="27"/>
  <c r="P575" i="27"/>
  <c r="R575" i="27"/>
  <c r="P576" i="27"/>
  <c r="R576" i="27"/>
  <c r="P577" i="27"/>
  <c r="R577" i="27"/>
  <c r="P578" i="27"/>
  <c r="R578" i="27"/>
  <c r="P579" i="27"/>
  <c r="R579" i="27"/>
  <c r="P580" i="27"/>
  <c r="R580" i="27"/>
  <c r="P581" i="27"/>
  <c r="R581" i="27"/>
  <c r="P582" i="27"/>
  <c r="R582" i="27"/>
  <c r="P583" i="27"/>
  <c r="R583" i="27"/>
  <c r="P584" i="27"/>
  <c r="R584" i="27"/>
  <c r="P585" i="27"/>
  <c r="R585" i="27"/>
  <c r="P586" i="27"/>
  <c r="R586" i="27"/>
  <c r="P587" i="27"/>
  <c r="R587" i="27"/>
  <c r="P588" i="27"/>
  <c r="R588" i="27"/>
  <c r="P589" i="27"/>
  <c r="R589" i="27"/>
  <c r="P590" i="27"/>
  <c r="R590" i="27"/>
  <c r="P591" i="27"/>
  <c r="R591" i="27"/>
  <c r="P592" i="27"/>
  <c r="R592" i="27"/>
  <c r="P593" i="27"/>
  <c r="R593" i="27"/>
  <c r="P594" i="27"/>
  <c r="R594" i="27"/>
  <c r="P595" i="27"/>
  <c r="R595" i="27"/>
  <c r="P596" i="27"/>
  <c r="R596" i="27"/>
  <c r="P597" i="27"/>
  <c r="R597" i="27"/>
  <c r="P598" i="27"/>
  <c r="R598" i="27"/>
  <c r="P599" i="27"/>
  <c r="R599" i="27"/>
  <c r="P600" i="27"/>
  <c r="R600" i="27"/>
  <c r="P601" i="27"/>
  <c r="R601" i="27"/>
  <c r="P602" i="27"/>
  <c r="R602" i="27"/>
  <c r="P603" i="27"/>
  <c r="R603" i="27"/>
  <c r="P604" i="27"/>
  <c r="R604" i="27"/>
  <c r="P605" i="27"/>
  <c r="R605" i="27"/>
  <c r="P606" i="27"/>
  <c r="R606" i="27"/>
  <c r="P607" i="27"/>
  <c r="R607" i="27"/>
  <c r="P608" i="27"/>
  <c r="R608" i="27"/>
  <c r="P609" i="27"/>
  <c r="R609" i="27"/>
  <c r="P610" i="27"/>
  <c r="R610" i="27"/>
  <c r="P611" i="27"/>
  <c r="R611" i="27"/>
  <c r="P612" i="27"/>
  <c r="R612" i="27"/>
  <c r="P613" i="27"/>
  <c r="R613" i="27"/>
  <c r="P614" i="27"/>
  <c r="R614" i="27"/>
  <c r="P615" i="27"/>
  <c r="R615" i="27"/>
  <c r="P616" i="27"/>
  <c r="R616" i="27"/>
  <c r="P617" i="27"/>
  <c r="R617" i="27"/>
  <c r="P618" i="27"/>
  <c r="R618" i="27"/>
  <c r="P619" i="27"/>
  <c r="R619" i="27"/>
  <c r="P620" i="27"/>
  <c r="R620" i="27"/>
  <c r="P621" i="27"/>
  <c r="R621" i="27"/>
  <c r="P622" i="27"/>
  <c r="R622" i="27"/>
  <c r="P623" i="27"/>
  <c r="R623" i="27"/>
  <c r="P624" i="27"/>
  <c r="R624" i="27"/>
  <c r="P625" i="27"/>
  <c r="R625" i="27"/>
  <c r="P626" i="27"/>
  <c r="R626" i="27"/>
  <c r="P627" i="27"/>
  <c r="R627" i="27"/>
  <c r="P628" i="27"/>
  <c r="R628" i="27"/>
  <c r="P629" i="27"/>
  <c r="R629" i="27"/>
  <c r="P630" i="27"/>
  <c r="R630" i="27"/>
  <c r="P631" i="27"/>
  <c r="R631" i="27"/>
  <c r="P632" i="27"/>
  <c r="R632" i="27"/>
  <c r="P633" i="27"/>
  <c r="R633" i="27"/>
  <c r="P634" i="27"/>
  <c r="R634" i="27"/>
  <c r="P635" i="27"/>
  <c r="R635" i="27"/>
  <c r="P636" i="27"/>
  <c r="R636" i="27"/>
  <c r="P637" i="27"/>
  <c r="R637" i="27"/>
  <c r="P638" i="27"/>
  <c r="R638" i="27"/>
  <c r="P639" i="27"/>
  <c r="R639" i="27"/>
  <c r="P640" i="27"/>
  <c r="R640" i="27"/>
  <c r="P641" i="27"/>
  <c r="R641" i="27"/>
  <c r="P642" i="27"/>
  <c r="R642" i="27"/>
  <c r="P643" i="27"/>
  <c r="R643" i="27"/>
  <c r="P644" i="27"/>
  <c r="R644" i="27"/>
  <c r="P645" i="27"/>
  <c r="R645" i="27"/>
  <c r="P646" i="27"/>
  <c r="R646" i="27"/>
  <c r="P647" i="27"/>
  <c r="R647" i="27"/>
  <c r="P648" i="27"/>
  <c r="R648" i="27"/>
  <c r="P649" i="27"/>
  <c r="R649" i="27"/>
  <c r="P650" i="27"/>
  <c r="R650" i="27"/>
  <c r="P651" i="27"/>
  <c r="R651" i="27"/>
  <c r="P652" i="27"/>
  <c r="R652" i="27"/>
  <c r="P653" i="27"/>
  <c r="R653" i="27"/>
  <c r="P654" i="27"/>
  <c r="R654" i="27"/>
  <c r="P655" i="27"/>
  <c r="R655" i="27"/>
  <c r="P656" i="27"/>
  <c r="R656" i="27"/>
  <c r="P657" i="27"/>
  <c r="R657" i="27"/>
  <c r="P658" i="27"/>
  <c r="R658" i="27"/>
  <c r="P659" i="27"/>
  <c r="R659" i="27"/>
  <c r="P660" i="27"/>
  <c r="R660" i="27"/>
  <c r="P661" i="27"/>
  <c r="R661" i="27"/>
  <c r="P662" i="27"/>
  <c r="R662" i="27"/>
  <c r="P663" i="27"/>
  <c r="R663" i="27"/>
  <c r="P664" i="27"/>
  <c r="R664" i="27"/>
  <c r="P665" i="27"/>
  <c r="R665" i="27"/>
  <c r="P666" i="27"/>
  <c r="R666" i="27"/>
  <c r="P667" i="27"/>
  <c r="R667" i="27"/>
  <c r="P668" i="27"/>
  <c r="R668" i="27"/>
  <c r="P669" i="27"/>
  <c r="R669" i="27"/>
  <c r="P670" i="27"/>
  <c r="R670" i="27"/>
  <c r="P671" i="27"/>
  <c r="R671" i="27"/>
  <c r="P672" i="27"/>
  <c r="R672" i="27"/>
  <c r="P673" i="27"/>
  <c r="R673" i="27"/>
  <c r="P674" i="27"/>
  <c r="R674" i="27"/>
  <c r="P675" i="27"/>
  <c r="R675" i="27"/>
  <c r="P676" i="27"/>
  <c r="R676" i="27"/>
  <c r="P677" i="27"/>
  <c r="R677" i="27"/>
  <c r="P678" i="27"/>
  <c r="R678" i="27"/>
  <c r="P679" i="27"/>
  <c r="R679" i="27"/>
  <c r="P680" i="27"/>
  <c r="R680" i="27"/>
  <c r="P681" i="27"/>
  <c r="R681" i="27"/>
  <c r="P682" i="27"/>
  <c r="R682" i="27"/>
  <c r="P683" i="27"/>
  <c r="R683" i="27"/>
  <c r="P684" i="27"/>
  <c r="R684" i="27"/>
  <c r="P685" i="27"/>
  <c r="R685" i="27"/>
  <c r="P686" i="27"/>
  <c r="R686" i="27"/>
  <c r="P687" i="27"/>
  <c r="R687" i="27"/>
  <c r="P688" i="27"/>
  <c r="R688" i="27"/>
  <c r="P689" i="27"/>
  <c r="R689" i="27"/>
  <c r="P690" i="27"/>
  <c r="R690" i="27"/>
  <c r="P691" i="27"/>
  <c r="R691" i="27"/>
  <c r="P692" i="27"/>
  <c r="R692" i="27"/>
  <c r="P693" i="27"/>
  <c r="R693" i="27"/>
  <c r="P694" i="27"/>
  <c r="R694" i="27"/>
  <c r="P695" i="27"/>
  <c r="R695" i="27"/>
  <c r="P696" i="27"/>
  <c r="R696" i="27"/>
  <c r="P697" i="27"/>
  <c r="R697" i="27"/>
  <c r="P698" i="27"/>
  <c r="R698" i="27"/>
  <c r="P699" i="27"/>
  <c r="R699" i="27"/>
  <c r="P700" i="27"/>
  <c r="R700" i="27"/>
  <c r="P701" i="27"/>
  <c r="R701" i="27"/>
  <c r="P702" i="27"/>
  <c r="R702" i="27"/>
  <c r="P703" i="27"/>
  <c r="R703" i="27"/>
  <c r="P704" i="27"/>
  <c r="R704" i="27"/>
  <c r="P705" i="27"/>
  <c r="R705" i="27"/>
  <c r="P706" i="27"/>
  <c r="R706" i="27"/>
  <c r="P707" i="27"/>
  <c r="R707" i="27"/>
  <c r="P708" i="27"/>
  <c r="R708" i="27"/>
  <c r="P709" i="27"/>
  <c r="R709" i="27"/>
  <c r="P710" i="27"/>
  <c r="R710" i="27"/>
  <c r="P711" i="27"/>
  <c r="R711" i="27"/>
  <c r="P712" i="27"/>
  <c r="R712" i="27"/>
  <c r="P713" i="27"/>
  <c r="R713" i="27"/>
  <c r="P714" i="27"/>
  <c r="R714" i="27"/>
  <c r="P715" i="27"/>
  <c r="R715" i="27"/>
  <c r="P716" i="27"/>
  <c r="R716" i="27"/>
  <c r="P717" i="27"/>
  <c r="R717" i="27"/>
  <c r="P718" i="27"/>
  <c r="R718" i="27"/>
  <c r="P719" i="27"/>
  <c r="R719" i="27"/>
  <c r="P720" i="27"/>
  <c r="R720" i="27"/>
  <c r="P721" i="27"/>
  <c r="R721" i="27"/>
  <c r="P722" i="27"/>
  <c r="R722" i="27"/>
  <c r="P723" i="27"/>
  <c r="R723" i="27"/>
  <c r="P724" i="27"/>
  <c r="R724" i="27"/>
  <c r="P725" i="27"/>
  <c r="R725" i="27"/>
  <c r="P726" i="27"/>
  <c r="R726" i="27"/>
  <c r="P727" i="27"/>
  <c r="R727" i="27"/>
  <c r="P728" i="27"/>
  <c r="R728" i="27"/>
  <c r="P729" i="27"/>
  <c r="R729" i="27"/>
  <c r="P730" i="27"/>
  <c r="R730" i="27"/>
  <c r="P731" i="27"/>
  <c r="R731" i="27"/>
  <c r="P732" i="27"/>
  <c r="R732" i="27"/>
  <c r="P733" i="27"/>
  <c r="R733" i="27"/>
  <c r="P734" i="27"/>
  <c r="R734" i="27"/>
  <c r="P735" i="27"/>
  <c r="R735" i="27"/>
  <c r="P736" i="27"/>
  <c r="R736" i="27"/>
  <c r="P737" i="27"/>
  <c r="R737" i="27"/>
  <c r="P738" i="27"/>
  <c r="R738" i="27"/>
  <c r="P739" i="27"/>
  <c r="R739" i="27"/>
  <c r="P740" i="27"/>
  <c r="R740" i="27"/>
  <c r="P741" i="27"/>
  <c r="R741" i="27"/>
  <c r="P742" i="27"/>
  <c r="R742" i="27"/>
  <c r="P743" i="27"/>
  <c r="R743" i="27"/>
  <c r="P744" i="27"/>
  <c r="R744" i="27"/>
  <c r="P745" i="27"/>
  <c r="R745" i="27"/>
  <c r="P746" i="27"/>
  <c r="R746" i="27"/>
  <c r="P747" i="27"/>
  <c r="R747" i="27"/>
  <c r="P748" i="27"/>
  <c r="R748" i="27"/>
  <c r="P749" i="27"/>
  <c r="R749" i="27"/>
  <c r="P750" i="27"/>
  <c r="R750" i="27"/>
  <c r="P751" i="27"/>
  <c r="R751" i="27"/>
  <c r="P752" i="27"/>
  <c r="R752" i="27"/>
  <c r="P753" i="27"/>
  <c r="R753" i="27"/>
  <c r="P754" i="27"/>
  <c r="R754" i="27"/>
  <c r="P755" i="27"/>
  <c r="R755" i="27"/>
  <c r="P756" i="27"/>
  <c r="R756" i="27"/>
  <c r="P757" i="27"/>
  <c r="R757" i="27"/>
  <c r="P758" i="27"/>
  <c r="R758" i="27"/>
  <c r="P759" i="27"/>
  <c r="R759" i="27"/>
  <c r="P760" i="27"/>
  <c r="R760" i="27"/>
  <c r="P761" i="27"/>
  <c r="R761" i="27"/>
  <c r="P762" i="27"/>
  <c r="R762" i="27"/>
  <c r="P763" i="27"/>
  <c r="R763" i="27"/>
  <c r="P764" i="27"/>
  <c r="R764" i="27"/>
  <c r="P765" i="27"/>
  <c r="R765" i="27"/>
  <c r="P766" i="27"/>
  <c r="R766" i="27"/>
  <c r="P767" i="27"/>
  <c r="R767" i="27"/>
  <c r="P768" i="27"/>
  <c r="R768" i="27"/>
  <c r="P769" i="27"/>
  <c r="R769" i="27"/>
  <c r="P770" i="27"/>
  <c r="R770" i="27"/>
  <c r="P771" i="27"/>
  <c r="R771" i="27"/>
  <c r="P772" i="27"/>
  <c r="R772" i="27"/>
  <c r="P773" i="27"/>
  <c r="R773" i="27"/>
  <c r="P774" i="27"/>
  <c r="R774" i="27"/>
  <c r="P775" i="27"/>
  <c r="R775" i="27"/>
  <c r="P776" i="27"/>
  <c r="R776" i="27"/>
  <c r="P777" i="27"/>
  <c r="R777" i="27"/>
  <c r="P778" i="27"/>
  <c r="R778" i="27"/>
  <c r="P779" i="27"/>
  <c r="R779" i="27"/>
  <c r="P780" i="27"/>
  <c r="R780" i="27"/>
  <c r="P781" i="27"/>
  <c r="R781" i="27"/>
  <c r="P782" i="27"/>
  <c r="R782" i="27"/>
  <c r="P783" i="27"/>
  <c r="R783" i="27"/>
  <c r="P784" i="27"/>
  <c r="R784" i="27"/>
  <c r="P785" i="27"/>
  <c r="R785" i="27"/>
  <c r="P786" i="27"/>
  <c r="R786" i="27"/>
  <c r="P787" i="27"/>
  <c r="R787" i="27"/>
  <c r="P788" i="27"/>
  <c r="R788" i="27"/>
  <c r="P789" i="27"/>
  <c r="R789" i="27"/>
  <c r="P790" i="27"/>
  <c r="R790" i="27"/>
  <c r="P791" i="27"/>
  <c r="R791" i="27"/>
  <c r="P792" i="27"/>
  <c r="R792" i="27"/>
  <c r="P793" i="27"/>
  <c r="R793" i="27"/>
  <c r="P794" i="27"/>
  <c r="R794" i="27"/>
  <c r="P795" i="27"/>
  <c r="R795" i="27"/>
  <c r="P796" i="27"/>
  <c r="R796" i="27"/>
  <c r="P797" i="27"/>
  <c r="R797" i="27"/>
  <c r="P798" i="27"/>
  <c r="R798" i="27"/>
  <c r="P799" i="27"/>
  <c r="R799" i="27"/>
  <c r="P800" i="27"/>
  <c r="R800" i="27"/>
  <c r="P801" i="27"/>
  <c r="R801" i="27"/>
  <c r="P802" i="27"/>
  <c r="R802" i="27"/>
  <c r="P803" i="27"/>
  <c r="R803" i="27"/>
  <c r="P804" i="27"/>
  <c r="R804" i="27"/>
  <c r="P805" i="27"/>
  <c r="R805" i="27"/>
  <c r="P806" i="27"/>
  <c r="R806" i="27"/>
  <c r="P807" i="27"/>
  <c r="R807" i="27"/>
  <c r="P808" i="27"/>
  <c r="R808" i="27"/>
  <c r="P809" i="27"/>
  <c r="R809" i="27"/>
  <c r="P810" i="27"/>
  <c r="R810" i="27"/>
  <c r="P811" i="27"/>
  <c r="R811" i="27"/>
  <c r="P812" i="27"/>
  <c r="R812" i="27"/>
  <c r="P813" i="27"/>
  <c r="R813" i="27"/>
  <c r="P814" i="27"/>
  <c r="R814" i="27"/>
  <c r="P815" i="27"/>
  <c r="R815" i="27"/>
  <c r="P816" i="27"/>
  <c r="R816" i="27"/>
  <c r="P817" i="27"/>
  <c r="R817" i="27"/>
  <c r="P818" i="27"/>
  <c r="R818" i="27"/>
  <c r="P819" i="27"/>
  <c r="R819" i="27"/>
  <c r="P820" i="27"/>
  <c r="R820" i="27"/>
  <c r="P821" i="27"/>
  <c r="R821" i="27"/>
  <c r="P822" i="27"/>
  <c r="R822" i="27"/>
  <c r="P823" i="27"/>
  <c r="R823" i="27"/>
  <c r="P824" i="27"/>
  <c r="R824" i="27"/>
  <c r="P825" i="27"/>
  <c r="R825" i="27"/>
  <c r="P826" i="27"/>
  <c r="R826" i="27"/>
  <c r="P827" i="27"/>
  <c r="R827" i="27"/>
  <c r="P828" i="27"/>
  <c r="R828" i="27"/>
  <c r="P829" i="27"/>
  <c r="R829" i="27"/>
  <c r="P830" i="27"/>
  <c r="R830" i="27"/>
  <c r="P831" i="27"/>
  <c r="R831" i="27"/>
  <c r="P832" i="27"/>
  <c r="R832" i="27"/>
  <c r="P833" i="27"/>
  <c r="R833" i="27"/>
  <c r="P834" i="27"/>
  <c r="R834" i="27"/>
  <c r="P835" i="27"/>
  <c r="R835" i="27"/>
  <c r="P836" i="27"/>
  <c r="R836" i="27"/>
  <c r="P837" i="27"/>
  <c r="R837" i="27"/>
  <c r="P838" i="27"/>
  <c r="R838" i="27"/>
  <c r="P839" i="27"/>
  <c r="R839" i="27"/>
  <c r="P840" i="27"/>
  <c r="R840" i="27"/>
  <c r="P841" i="27"/>
  <c r="R841" i="27"/>
  <c r="P842" i="27"/>
  <c r="R842" i="27"/>
  <c r="P843" i="27"/>
  <c r="R843" i="27"/>
  <c r="P844" i="27"/>
  <c r="R844" i="27"/>
  <c r="P845" i="27"/>
  <c r="R845" i="27"/>
  <c r="P846" i="27"/>
  <c r="R846" i="27"/>
  <c r="P847" i="27"/>
  <c r="R847" i="27"/>
  <c r="P848" i="27"/>
  <c r="R848" i="27"/>
  <c r="P849" i="27"/>
  <c r="R849" i="27"/>
  <c r="P850" i="27"/>
  <c r="R850" i="27"/>
  <c r="P851" i="27"/>
  <c r="R851" i="27"/>
  <c r="P852" i="27"/>
  <c r="R852" i="27"/>
  <c r="P853" i="27"/>
  <c r="R853" i="27"/>
  <c r="P854" i="27"/>
  <c r="R854" i="27"/>
  <c r="P855" i="27"/>
  <c r="R855" i="27"/>
  <c r="P856" i="27"/>
  <c r="R856" i="27"/>
  <c r="P857" i="27"/>
  <c r="R857" i="27"/>
  <c r="P858" i="27"/>
  <c r="R858" i="27"/>
  <c r="P859" i="27"/>
  <c r="R859" i="27"/>
  <c r="P860" i="27"/>
  <c r="R860" i="27"/>
  <c r="P861" i="27"/>
  <c r="R861" i="27"/>
  <c r="P862" i="27"/>
  <c r="R862" i="27"/>
  <c r="P863" i="27"/>
  <c r="R863" i="27"/>
  <c r="P864" i="27"/>
  <c r="R864" i="27"/>
  <c r="P865" i="27"/>
  <c r="R865" i="27"/>
  <c r="P866" i="27"/>
  <c r="R866" i="27"/>
  <c r="P867" i="27"/>
  <c r="R867" i="27"/>
  <c r="P868" i="27"/>
  <c r="R868" i="27"/>
  <c r="P869" i="27"/>
  <c r="R869" i="27"/>
  <c r="P870" i="27"/>
  <c r="R870" i="27"/>
  <c r="P871" i="27"/>
  <c r="R871" i="27"/>
  <c r="P872" i="27"/>
  <c r="R872" i="27"/>
  <c r="P873" i="27"/>
  <c r="R873" i="27"/>
  <c r="P874" i="27"/>
  <c r="R874" i="27"/>
  <c r="P875" i="27"/>
  <c r="R875" i="27"/>
  <c r="P876" i="27"/>
  <c r="R876" i="27"/>
  <c r="P877" i="27"/>
  <c r="R877" i="27"/>
  <c r="P878" i="27"/>
  <c r="R878" i="27"/>
  <c r="P879" i="27"/>
  <c r="R879" i="27"/>
  <c r="P880" i="27"/>
  <c r="R880" i="27"/>
  <c r="P881" i="27"/>
  <c r="R881" i="27"/>
  <c r="P882" i="27"/>
  <c r="R882" i="27"/>
  <c r="P883" i="27"/>
  <c r="R883" i="27"/>
  <c r="P884" i="27"/>
  <c r="R884" i="27"/>
  <c r="P885" i="27"/>
  <c r="R885" i="27"/>
  <c r="P886" i="27"/>
  <c r="R886" i="27"/>
  <c r="P887" i="27"/>
  <c r="R887" i="27"/>
  <c r="P888" i="27"/>
  <c r="R888" i="27"/>
  <c r="P889" i="27"/>
  <c r="R889" i="27"/>
  <c r="P890" i="27"/>
  <c r="R890" i="27"/>
  <c r="P891" i="27"/>
  <c r="R891" i="27"/>
  <c r="P892" i="27"/>
  <c r="R892" i="27"/>
  <c r="P893" i="27"/>
  <c r="R893" i="27"/>
  <c r="P894" i="27"/>
  <c r="R894" i="27"/>
  <c r="P895" i="27"/>
  <c r="R895" i="27"/>
  <c r="P896" i="27"/>
  <c r="R896" i="27"/>
  <c r="P897" i="27"/>
  <c r="R897" i="27"/>
  <c r="P898" i="27"/>
  <c r="R898" i="27"/>
  <c r="P899" i="27"/>
  <c r="R899" i="27"/>
  <c r="P900" i="27"/>
  <c r="R900" i="27"/>
  <c r="P901" i="27"/>
  <c r="R901" i="27"/>
  <c r="P902" i="27"/>
  <c r="R902" i="27"/>
  <c r="P903" i="27"/>
  <c r="R903" i="27"/>
  <c r="P904" i="27"/>
  <c r="R904" i="27"/>
  <c r="P905" i="27"/>
  <c r="R905" i="27"/>
  <c r="P906" i="27"/>
  <c r="R906" i="27"/>
  <c r="P907" i="27"/>
  <c r="R907" i="27"/>
  <c r="P908" i="27"/>
  <c r="R908" i="27"/>
  <c r="P909" i="27"/>
  <c r="R909" i="27"/>
  <c r="P910" i="27"/>
  <c r="R910" i="27"/>
  <c r="P911" i="27"/>
  <c r="R911" i="27"/>
  <c r="P912" i="27"/>
  <c r="R912" i="27"/>
  <c r="P913" i="27"/>
  <c r="R913" i="27"/>
  <c r="P914" i="27"/>
  <c r="R914" i="27"/>
  <c r="P915" i="27"/>
  <c r="R915" i="27"/>
  <c r="P916" i="27"/>
  <c r="R916" i="27"/>
  <c r="P917" i="27"/>
  <c r="R917" i="27"/>
  <c r="P918" i="27"/>
  <c r="R918" i="27"/>
  <c r="P919" i="27"/>
  <c r="R919" i="27"/>
  <c r="P920" i="27"/>
  <c r="R920" i="27"/>
  <c r="P921" i="27"/>
  <c r="R921" i="27"/>
  <c r="P922" i="27"/>
  <c r="R922" i="27"/>
  <c r="P923" i="27"/>
  <c r="R923" i="27"/>
  <c r="P924" i="27"/>
  <c r="R924" i="27"/>
  <c r="P925" i="27"/>
  <c r="R925" i="27"/>
  <c r="P926" i="27"/>
  <c r="R926" i="27"/>
  <c r="P927" i="27"/>
  <c r="R927" i="27"/>
  <c r="P928" i="27"/>
  <c r="R928" i="27"/>
  <c r="P929" i="27"/>
  <c r="R929" i="27"/>
  <c r="P930" i="27"/>
  <c r="R930" i="27"/>
  <c r="P931" i="27"/>
  <c r="R931" i="27"/>
  <c r="P932" i="27"/>
  <c r="R932" i="27"/>
  <c r="P933" i="27"/>
  <c r="R933" i="27"/>
  <c r="P934" i="27"/>
  <c r="R934" i="27"/>
  <c r="P935" i="27"/>
  <c r="R935" i="27"/>
  <c r="P936" i="27"/>
  <c r="R936" i="27"/>
  <c r="P937" i="27"/>
  <c r="R937" i="27"/>
  <c r="P938" i="27"/>
  <c r="R938" i="27"/>
  <c r="P939" i="27"/>
  <c r="R939" i="27"/>
  <c r="P940" i="27"/>
  <c r="R940" i="27"/>
  <c r="P941" i="27"/>
  <c r="R941" i="27"/>
  <c r="P942" i="27"/>
  <c r="R942" i="27"/>
  <c r="P943" i="27"/>
  <c r="R943" i="27"/>
  <c r="P944" i="27"/>
  <c r="R944" i="27"/>
  <c r="P945" i="27"/>
  <c r="R945" i="27"/>
  <c r="P946" i="27"/>
  <c r="R946" i="27"/>
  <c r="P947" i="27"/>
  <c r="R947" i="27"/>
  <c r="P948" i="27"/>
  <c r="R948" i="27"/>
  <c r="P949" i="27"/>
  <c r="R949" i="27"/>
  <c r="P950" i="27"/>
  <c r="R950" i="27"/>
  <c r="P951" i="27"/>
  <c r="R951" i="27"/>
  <c r="P952" i="27"/>
  <c r="R952" i="27"/>
  <c r="P953" i="27"/>
  <c r="R953" i="27"/>
  <c r="P954" i="27"/>
  <c r="R954" i="27"/>
  <c r="P955" i="27"/>
  <c r="R955" i="27"/>
  <c r="P956" i="27"/>
  <c r="R956" i="27"/>
  <c r="P957" i="27"/>
  <c r="R957" i="27"/>
  <c r="P958" i="27"/>
  <c r="R958" i="27"/>
  <c r="P959" i="27"/>
  <c r="R959" i="27"/>
  <c r="P960" i="27"/>
  <c r="R960" i="27"/>
  <c r="P961" i="27"/>
  <c r="R961" i="27"/>
  <c r="P962" i="27"/>
  <c r="R962" i="27"/>
  <c r="P963" i="27"/>
  <c r="R963" i="27"/>
  <c r="P964" i="27"/>
  <c r="R964" i="27"/>
  <c r="P965" i="27"/>
  <c r="R965" i="27"/>
  <c r="P966" i="27"/>
  <c r="R966" i="27"/>
  <c r="P967" i="27"/>
  <c r="R967" i="27"/>
  <c r="P968" i="27"/>
  <c r="R968" i="27"/>
  <c r="P969" i="27"/>
  <c r="R969" i="27"/>
  <c r="P970" i="27"/>
  <c r="R970" i="27"/>
  <c r="P971" i="27"/>
  <c r="R971" i="27"/>
  <c r="P972" i="27"/>
  <c r="R972" i="27"/>
  <c r="P973" i="27"/>
  <c r="R973" i="27"/>
  <c r="P974" i="27"/>
  <c r="R974" i="27"/>
  <c r="P975" i="27"/>
  <c r="R975" i="27"/>
  <c r="P976" i="27"/>
  <c r="R976" i="27"/>
  <c r="P977" i="27"/>
  <c r="R977" i="27"/>
  <c r="P978" i="27"/>
  <c r="R978" i="27"/>
  <c r="P979" i="27"/>
  <c r="R979" i="27"/>
  <c r="P980" i="27"/>
  <c r="R980" i="27"/>
  <c r="P981" i="27"/>
  <c r="R981" i="27"/>
  <c r="P982" i="27"/>
  <c r="R982" i="27"/>
  <c r="P983" i="27"/>
  <c r="R983" i="27"/>
  <c r="P984" i="27"/>
  <c r="R984" i="27"/>
  <c r="P985" i="27"/>
  <c r="R985" i="27"/>
  <c r="P986" i="27"/>
  <c r="R986" i="27"/>
  <c r="P987" i="27"/>
  <c r="R987" i="27"/>
  <c r="P988" i="27"/>
  <c r="R988" i="27"/>
  <c r="P989" i="27"/>
  <c r="R989" i="27"/>
  <c r="P990" i="27"/>
  <c r="R990" i="27"/>
  <c r="P991" i="27"/>
  <c r="R991" i="27"/>
  <c r="P992" i="27"/>
  <c r="R992" i="27"/>
  <c r="P993" i="27"/>
  <c r="R993" i="27"/>
  <c r="P994" i="27"/>
  <c r="R994" i="27"/>
  <c r="P995" i="27"/>
  <c r="R995" i="27"/>
  <c r="P996" i="27"/>
  <c r="R996" i="27"/>
  <c r="P997" i="27"/>
  <c r="R997" i="27"/>
  <c r="P998" i="27"/>
  <c r="R998" i="27"/>
  <c r="P999" i="27"/>
  <c r="R999" i="27"/>
  <c r="P1000" i="27"/>
  <c r="R1000" i="27"/>
  <c r="P1001" i="27"/>
  <c r="R1001" i="27"/>
  <c r="P1002" i="27"/>
  <c r="P3" i="27" l="1"/>
  <c r="G3" i="27" l="1"/>
  <c r="A3" i="26"/>
  <c r="B3" i="26"/>
  <c r="E3" i="26"/>
  <c r="F3" i="26"/>
  <c r="I3" i="26"/>
  <c r="K3" i="26"/>
  <c r="A4" i="26"/>
  <c r="E4" i="26"/>
  <c r="F4" i="26"/>
  <c r="I4" i="26"/>
  <c r="K4" i="26"/>
  <c r="A5" i="26"/>
  <c r="E5" i="26"/>
  <c r="F5" i="26"/>
  <c r="I5" i="26"/>
  <c r="K5" i="26"/>
  <c r="A6" i="26"/>
  <c r="E6" i="26"/>
  <c r="F6" i="26"/>
  <c r="I6" i="26"/>
  <c r="K6" i="26"/>
  <c r="A7" i="26"/>
  <c r="E7" i="26"/>
  <c r="F7" i="26"/>
  <c r="I7" i="26"/>
  <c r="K7" i="26"/>
  <c r="N7" i="26" s="1"/>
  <c r="O7" i="27" s="1"/>
  <c r="A8" i="26"/>
  <c r="E8" i="26"/>
  <c r="F8" i="26"/>
  <c r="I8" i="26"/>
  <c r="K8" i="26"/>
  <c r="A9" i="26"/>
  <c r="E9" i="26"/>
  <c r="F9" i="26"/>
  <c r="I9" i="26"/>
  <c r="K9" i="26"/>
  <c r="A10" i="26"/>
  <c r="E10" i="26"/>
  <c r="F10" i="26"/>
  <c r="I10" i="26"/>
  <c r="K10" i="26"/>
  <c r="A11" i="26"/>
  <c r="E11" i="26"/>
  <c r="F11" i="26"/>
  <c r="I11" i="26"/>
  <c r="K11" i="26"/>
  <c r="A12" i="26"/>
  <c r="E12" i="26"/>
  <c r="F12" i="26"/>
  <c r="I12" i="26"/>
  <c r="K12" i="26"/>
  <c r="A13" i="26"/>
  <c r="E13" i="26"/>
  <c r="F13" i="26"/>
  <c r="I13" i="26"/>
  <c r="K13" i="26"/>
  <c r="A14" i="26"/>
  <c r="E14" i="26"/>
  <c r="F14" i="26"/>
  <c r="I14" i="26"/>
  <c r="K14" i="26"/>
  <c r="A15" i="26"/>
  <c r="E15" i="26"/>
  <c r="F15" i="26"/>
  <c r="I15" i="26"/>
  <c r="K15" i="26"/>
  <c r="A16" i="26"/>
  <c r="E16" i="26"/>
  <c r="F16" i="26"/>
  <c r="I16" i="26"/>
  <c r="K16" i="26"/>
  <c r="A17" i="26"/>
  <c r="E17" i="26"/>
  <c r="F17" i="26"/>
  <c r="I17" i="26"/>
  <c r="K17" i="26"/>
  <c r="A18" i="26"/>
  <c r="E18" i="26"/>
  <c r="F18" i="26"/>
  <c r="I18" i="26"/>
  <c r="K18" i="26"/>
  <c r="A19" i="26"/>
  <c r="E19" i="26"/>
  <c r="F19" i="26"/>
  <c r="I19" i="26"/>
  <c r="K19" i="26"/>
  <c r="A20" i="26"/>
  <c r="E20" i="26"/>
  <c r="F20" i="26"/>
  <c r="I20" i="26"/>
  <c r="K20" i="26"/>
  <c r="A21" i="26"/>
  <c r="E21" i="26"/>
  <c r="F21" i="26"/>
  <c r="I21" i="26"/>
  <c r="K21" i="26"/>
  <c r="A22" i="26"/>
  <c r="E22" i="26"/>
  <c r="F22" i="26"/>
  <c r="I22" i="26"/>
  <c r="K22" i="26"/>
  <c r="A23" i="26"/>
  <c r="E23" i="26"/>
  <c r="F23" i="26"/>
  <c r="I23" i="26"/>
  <c r="K23" i="26"/>
  <c r="A24" i="26"/>
  <c r="E24" i="26"/>
  <c r="F24" i="26"/>
  <c r="I24" i="26"/>
  <c r="K24" i="26"/>
  <c r="A25" i="26"/>
  <c r="E25" i="26"/>
  <c r="F25" i="26"/>
  <c r="I25" i="26"/>
  <c r="K25" i="26"/>
  <c r="A26" i="26"/>
  <c r="E26" i="26"/>
  <c r="F26" i="26"/>
  <c r="I26" i="26"/>
  <c r="K26" i="26"/>
  <c r="A27" i="26"/>
  <c r="E27" i="26"/>
  <c r="F27" i="26"/>
  <c r="I27" i="26"/>
  <c r="K27" i="26"/>
  <c r="A28" i="26"/>
  <c r="E28" i="26"/>
  <c r="F28" i="26"/>
  <c r="I28" i="26"/>
  <c r="K28" i="26"/>
  <c r="A29" i="26"/>
  <c r="E29" i="26"/>
  <c r="F29" i="26"/>
  <c r="I29" i="26"/>
  <c r="K29" i="26"/>
  <c r="A30" i="26"/>
  <c r="E30" i="26"/>
  <c r="F30" i="26"/>
  <c r="I30" i="26"/>
  <c r="K30" i="26"/>
  <c r="A31" i="26"/>
  <c r="E31" i="26"/>
  <c r="F31" i="26"/>
  <c r="I31" i="26"/>
  <c r="K31" i="26"/>
  <c r="A32" i="26"/>
  <c r="E32" i="26"/>
  <c r="F32" i="26"/>
  <c r="I32" i="26"/>
  <c r="K32" i="26"/>
  <c r="A33" i="26"/>
  <c r="E33" i="26"/>
  <c r="F33" i="26"/>
  <c r="I33" i="26"/>
  <c r="K33" i="26"/>
  <c r="A34" i="26"/>
  <c r="E34" i="26"/>
  <c r="F34" i="26"/>
  <c r="I34" i="26"/>
  <c r="K34" i="26"/>
  <c r="A35" i="26"/>
  <c r="E35" i="26"/>
  <c r="F35" i="26"/>
  <c r="I35" i="26"/>
  <c r="K35" i="26"/>
  <c r="A36" i="26"/>
  <c r="E36" i="26"/>
  <c r="F36" i="26"/>
  <c r="I36" i="26"/>
  <c r="K36" i="26"/>
  <c r="A37" i="26"/>
  <c r="E37" i="26"/>
  <c r="F37" i="26"/>
  <c r="I37" i="26"/>
  <c r="K37" i="26"/>
  <c r="A38" i="26"/>
  <c r="E38" i="26"/>
  <c r="F38" i="26"/>
  <c r="I38" i="26"/>
  <c r="K38" i="26"/>
  <c r="A39" i="26"/>
  <c r="E39" i="26"/>
  <c r="F39" i="26"/>
  <c r="I39" i="26"/>
  <c r="K39" i="26"/>
  <c r="A40" i="26"/>
  <c r="E40" i="26"/>
  <c r="F40" i="26"/>
  <c r="I40" i="26"/>
  <c r="K40" i="26"/>
  <c r="A41" i="26"/>
  <c r="E41" i="26"/>
  <c r="F41" i="26"/>
  <c r="I41" i="26"/>
  <c r="K41" i="26"/>
  <c r="A42" i="26"/>
  <c r="E42" i="26"/>
  <c r="F42" i="26"/>
  <c r="I42" i="26"/>
  <c r="K42" i="26"/>
  <c r="A43" i="26"/>
  <c r="E43" i="26"/>
  <c r="F43" i="26"/>
  <c r="I43" i="26"/>
  <c r="K43" i="26"/>
  <c r="A44" i="26"/>
  <c r="E44" i="26"/>
  <c r="F44" i="26"/>
  <c r="I44" i="26"/>
  <c r="K44" i="26"/>
  <c r="A45" i="26"/>
  <c r="E45" i="26"/>
  <c r="F45" i="26"/>
  <c r="I45" i="26"/>
  <c r="K45" i="26"/>
  <c r="A46" i="26"/>
  <c r="E46" i="26"/>
  <c r="F46" i="26"/>
  <c r="I46" i="26"/>
  <c r="K46" i="26"/>
  <c r="A47" i="26"/>
  <c r="E47" i="26"/>
  <c r="F47" i="26"/>
  <c r="I47" i="26"/>
  <c r="K47" i="26"/>
  <c r="A48" i="26"/>
  <c r="E48" i="26"/>
  <c r="F48" i="26"/>
  <c r="I48" i="26"/>
  <c r="K48" i="26"/>
  <c r="N48" i="26" s="1"/>
  <c r="O48" i="27" s="1"/>
  <c r="A49" i="26"/>
  <c r="E49" i="26"/>
  <c r="F49" i="26"/>
  <c r="I49" i="26"/>
  <c r="K49" i="26"/>
  <c r="A50" i="26"/>
  <c r="E50" i="26"/>
  <c r="F50" i="26"/>
  <c r="I50" i="26"/>
  <c r="K50" i="26"/>
  <c r="A51" i="26"/>
  <c r="E51" i="26"/>
  <c r="F51" i="26"/>
  <c r="I51" i="26"/>
  <c r="K51" i="26"/>
  <c r="A52" i="26"/>
  <c r="E52" i="26"/>
  <c r="F52" i="26"/>
  <c r="I52" i="26"/>
  <c r="K52" i="26"/>
  <c r="A53" i="26"/>
  <c r="E53" i="26"/>
  <c r="F53" i="26"/>
  <c r="I53" i="26"/>
  <c r="K53" i="26"/>
  <c r="A54" i="26"/>
  <c r="E54" i="26"/>
  <c r="F54" i="26"/>
  <c r="I54" i="26"/>
  <c r="K54" i="26"/>
  <c r="A55" i="26"/>
  <c r="E55" i="26"/>
  <c r="F55" i="26"/>
  <c r="I55" i="26"/>
  <c r="K55" i="26"/>
  <c r="A56" i="26"/>
  <c r="E56" i="26"/>
  <c r="F56" i="26"/>
  <c r="I56" i="26"/>
  <c r="K56" i="26"/>
  <c r="A57" i="26"/>
  <c r="E57" i="26"/>
  <c r="F57" i="26"/>
  <c r="I57" i="26"/>
  <c r="K57" i="26"/>
  <c r="A58" i="26"/>
  <c r="E58" i="26"/>
  <c r="F58" i="26"/>
  <c r="I58" i="26"/>
  <c r="K58" i="26"/>
  <c r="A59" i="26"/>
  <c r="E59" i="26"/>
  <c r="F59" i="26"/>
  <c r="I59" i="26"/>
  <c r="K59" i="26"/>
  <c r="A60" i="26"/>
  <c r="E60" i="26"/>
  <c r="F60" i="26"/>
  <c r="I60" i="26"/>
  <c r="K60" i="26"/>
  <c r="A61" i="26"/>
  <c r="E61" i="26"/>
  <c r="F61" i="26"/>
  <c r="I61" i="26"/>
  <c r="K61" i="26"/>
  <c r="A62" i="26"/>
  <c r="E62" i="26"/>
  <c r="F62" i="26"/>
  <c r="I62" i="26"/>
  <c r="K62" i="26"/>
  <c r="A63" i="26"/>
  <c r="E63" i="26"/>
  <c r="F63" i="26"/>
  <c r="I63" i="26"/>
  <c r="K63" i="26"/>
  <c r="A64" i="26"/>
  <c r="E64" i="26"/>
  <c r="F64" i="26"/>
  <c r="I64" i="26"/>
  <c r="K64" i="26"/>
  <c r="A65" i="26"/>
  <c r="E65" i="26"/>
  <c r="F65" i="26"/>
  <c r="I65" i="26"/>
  <c r="K65" i="26"/>
  <c r="A66" i="26"/>
  <c r="E66" i="26"/>
  <c r="F66" i="26"/>
  <c r="I66" i="26"/>
  <c r="K66" i="26"/>
  <c r="A67" i="26"/>
  <c r="E67" i="26"/>
  <c r="F67" i="26"/>
  <c r="I67" i="26"/>
  <c r="K67" i="26"/>
  <c r="A68" i="26"/>
  <c r="E68" i="26"/>
  <c r="F68" i="26"/>
  <c r="I68" i="26"/>
  <c r="K68" i="26"/>
  <c r="A69" i="26"/>
  <c r="E69" i="26"/>
  <c r="F69" i="26"/>
  <c r="I69" i="26"/>
  <c r="K69" i="26"/>
  <c r="A70" i="26"/>
  <c r="E70" i="26"/>
  <c r="F70" i="26"/>
  <c r="I70" i="26"/>
  <c r="K70" i="26"/>
  <c r="A71" i="26"/>
  <c r="E71" i="26"/>
  <c r="F71" i="26"/>
  <c r="I71" i="26"/>
  <c r="K71" i="26"/>
  <c r="A72" i="26"/>
  <c r="E72" i="26"/>
  <c r="F72" i="26"/>
  <c r="I72" i="26"/>
  <c r="K72" i="26"/>
  <c r="A73" i="26"/>
  <c r="E73" i="26"/>
  <c r="F73" i="26"/>
  <c r="I73" i="26"/>
  <c r="K73" i="26"/>
  <c r="A74" i="26"/>
  <c r="E74" i="26"/>
  <c r="F74" i="26"/>
  <c r="I74" i="26"/>
  <c r="K74" i="26"/>
  <c r="A75" i="26"/>
  <c r="E75" i="26"/>
  <c r="F75" i="26"/>
  <c r="I75" i="26"/>
  <c r="K75" i="26"/>
  <c r="A76" i="26"/>
  <c r="E76" i="26"/>
  <c r="F76" i="26"/>
  <c r="I76" i="26"/>
  <c r="K76" i="26"/>
  <c r="A77" i="26"/>
  <c r="E77" i="26"/>
  <c r="F77" i="26"/>
  <c r="I77" i="26"/>
  <c r="K77" i="26"/>
  <c r="A78" i="26"/>
  <c r="E78" i="26"/>
  <c r="F78" i="26"/>
  <c r="I78" i="26"/>
  <c r="K78" i="26"/>
  <c r="A79" i="26"/>
  <c r="E79" i="26"/>
  <c r="F79" i="26"/>
  <c r="I79" i="26"/>
  <c r="K79" i="26"/>
  <c r="A80" i="26"/>
  <c r="E80" i="26"/>
  <c r="F80" i="26"/>
  <c r="I80" i="26"/>
  <c r="K80" i="26"/>
  <c r="A81" i="26"/>
  <c r="E81" i="26"/>
  <c r="F81" i="26"/>
  <c r="I81" i="26"/>
  <c r="K81" i="26"/>
  <c r="A82" i="26"/>
  <c r="E82" i="26"/>
  <c r="F82" i="26"/>
  <c r="I82" i="26"/>
  <c r="K82" i="26"/>
  <c r="A83" i="26"/>
  <c r="E83" i="26"/>
  <c r="F83" i="26"/>
  <c r="I83" i="26"/>
  <c r="K83" i="26"/>
  <c r="A84" i="26"/>
  <c r="E84" i="26"/>
  <c r="F84" i="26"/>
  <c r="I84" i="26"/>
  <c r="K84" i="26"/>
  <c r="A85" i="26"/>
  <c r="E85" i="26"/>
  <c r="F85" i="26"/>
  <c r="I85" i="26"/>
  <c r="K85" i="26"/>
  <c r="A86" i="26"/>
  <c r="E86" i="26"/>
  <c r="F86" i="26"/>
  <c r="I86" i="26"/>
  <c r="K86" i="26"/>
  <c r="A87" i="26"/>
  <c r="E87" i="26"/>
  <c r="F87" i="26"/>
  <c r="I87" i="26"/>
  <c r="K87" i="26"/>
  <c r="A88" i="26"/>
  <c r="E88" i="26"/>
  <c r="F88" i="26"/>
  <c r="I88" i="26"/>
  <c r="K88" i="26"/>
  <c r="A89" i="26"/>
  <c r="E89" i="26"/>
  <c r="F89" i="26"/>
  <c r="I89" i="26"/>
  <c r="K89" i="26"/>
  <c r="A90" i="26"/>
  <c r="E90" i="26"/>
  <c r="F90" i="26"/>
  <c r="I90" i="26"/>
  <c r="K90" i="26"/>
  <c r="A91" i="26"/>
  <c r="E91" i="26"/>
  <c r="F91" i="26"/>
  <c r="I91" i="26"/>
  <c r="K91" i="26"/>
  <c r="A92" i="26"/>
  <c r="E92" i="26"/>
  <c r="F92" i="26"/>
  <c r="I92" i="26"/>
  <c r="K92" i="26"/>
  <c r="A93" i="26"/>
  <c r="E93" i="26"/>
  <c r="F93" i="26"/>
  <c r="I93" i="26"/>
  <c r="K93" i="26"/>
  <c r="A94" i="26"/>
  <c r="E94" i="26"/>
  <c r="F94" i="26"/>
  <c r="I94" i="26"/>
  <c r="K94" i="26"/>
  <c r="A95" i="26"/>
  <c r="E95" i="26"/>
  <c r="F95" i="26"/>
  <c r="I95" i="26"/>
  <c r="K95" i="26"/>
  <c r="A96" i="26"/>
  <c r="E96" i="26"/>
  <c r="F96" i="26"/>
  <c r="I96" i="26"/>
  <c r="K96" i="26"/>
  <c r="A97" i="26"/>
  <c r="E97" i="26"/>
  <c r="F97" i="26"/>
  <c r="I97" i="26"/>
  <c r="K97" i="26"/>
  <c r="A98" i="26"/>
  <c r="E98" i="26"/>
  <c r="F98" i="26"/>
  <c r="I98" i="26"/>
  <c r="K98" i="26"/>
  <c r="A99" i="26"/>
  <c r="E99" i="26"/>
  <c r="F99" i="26"/>
  <c r="I99" i="26"/>
  <c r="K99" i="26"/>
  <c r="A100" i="26"/>
  <c r="E100" i="26"/>
  <c r="F100" i="26"/>
  <c r="I100" i="26"/>
  <c r="K100" i="26"/>
  <c r="A101" i="26"/>
  <c r="E101" i="26"/>
  <c r="F101" i="26"/>
  <c r="I101" i="26"/>
  <c r="K101" i="26"/>
  <c r="A102" i="26"/>
  <c r="E102" i="26"/>
  <c r="F102" i="26"/>
  <c r="I102" i="26"/>
  <c r="K102" i="26"/>
  <c r="A103" i="26"/>
  <c r="E103" i="26"/>
  <c r="F103" i="26"/>
  <c r="I103" i="26"/>
  <c r="K103" i="26"/>
  <c r="A104" i="26"/>
  <c r="E104" i="26"/>
  <c r="F104" i="26"/>
  <c r="I104" i="26"/>
  <c r="K104" i="26"/>
  <c r="A105" i="26"/>
  <c r="E105" i="26"/>
  <c r="F105" i="26"/>
  <c r="I105" i="26"/>
  <c r="K105" i="26"/>
  <c r="A106" i="26"/>
  <c r="E106" i="26"/>
  <c r="F106" i="26"/>
  <c r="I106" i="26"/>
  <c r="K106" i="26"/>
  <c r="A107" i="26"/>
  <c r="E107" i="26"/>
  <c r="F107" i="26"/>
  <c r="I107" i="26"/>
  <c r="K107" i="26"/>
  <c r="A108" i="26"/>
  <c r="E108" i="26"/>
  <c r="F108" i="26"/>
  <c r="I108" i="26"/>
  <c r="K108" i="26"/>
  <c r="A109" i="26"/>
  <c r="E109" i="26"/>
  <c r="F109" i="26"/>
  <c r="I109" i="26"/>
  <c r="K109" i="26"/>
  <c r="A110" i="26"/>
  <c r="E110" i="26"/>
  <c r="F110" i="26"/>
  <c r="I110" i="26"/>
  <c r="K110" i="26"/>
  <c r="A111" i="26"/>
  <c r="E111" i="26"/>
  <c r="F111" i="26"/>
  <c r="I111" i="26"/>
  <c r="K111" i="26"/>
  <c r="A112" i="26"/>
  <c r="E112" i="26"/>
  <c r="F112" i="26"/>
  <c r="I112" i="26"/>
  <c r="K112" i="26"/>
  <c r="A113" i="26"/>
  <c r="E113" i="26"/>
  <c r="F113" i="26"/>
  <c r="I113" i="26"/>
  <c r="K113" i="26"/>
  <c r="A114" i="26"/>
  <c r="E114" i="26"/>
  <c r="F114" i="26"/>
  <c r="I114" i="26"/>
  <c r="K114" i="26"/>
  <c r="A115" i="26"/>
  <c r="E115" i="26"/>
  <c r="F115" i="26"/>
  <c r="I115" i="26"/>
  <c r="K115" i="26"/>
  <c r="A116" i="26"/>
  <c r="E116" i="26"/>
  <c r="F116" i="26"/>
  <c r="I116" i="26"/>
  <c r="K116" i="26"/>
  <c r="A117" i="26"/>
  <c r="E117" i="26"/>
  <c r="F117" i="26"/>
  <c r="I117" i="26"/>
  <c r="K117" i="26"/>
  <c r="A118" i="26"/>
  <c r="E118" i="26"/>
  <c r="F118" i="26"/>
  <c r="I118" i="26"/>
  <c r="K118" i="26"/>
  <c r="A119" i="26"/>
  <c r="E119" i="26"/>
  <c r="F119" i="26"/>
  <c r="I119" i="26"/>
  <c r="K119" i="26"/>
  <c r="A120" i="26"/>
  <c r="E120" i="26"/>
  <c r="F120" i="26"/>
  <c r="I120" i="26"/>
  <c r="K120" i="26"/>
  <c r="A121" i="26"/>
  <c r="E121" i="26"/>
  <c r="F121" i="26"/>
  <c r="I121" i="26"/>
  <c r="K121" i="26"/>
  <c r="A122" i="26"/>
  <c r="E122" i="26"/>
  <c r="F122" i="26"/>
  <c r="I122" i="26"/>
  <c r="K122" i="26"/>
  <c r="A123" i="26"/>
  <c r="E123" i="26"/>
  <c r="F123" i="26"/>
  <c r="I123" i="26"/>
  <c r="K123" i="26"/>
  <c r="A124" i="26"/>
  <c r="E124" i="26"/>
  <c r="F124" i="26"/>
  <c r="I124" i="26"/>
  <c r="K124" i="26"/>
  <c r="A125" i="26"/>
  <c r="E125" i="26"/>
  <c r="F125" i="26"/>
  <c r="I125" i="26"/>
  <c r="K125" i="26"/>
  <c r="A126" i="26"/>
  <c r="E126" i="26"/>
  <c r="F126" i="26"/>
  <c r="I126" i="26"/>
  <c r="K126" i="26"/>
  <c r="A127" i="26"/>
  <c r="E127" i="26"/>
  <c r="F127" i="26"/>
  <c r="I127" i="26"/>
  <c r="K127" i="26"/>
  <c r="A128" i="26"/>
  <c r="E128" i="26"/>
  <c r="F128" i="26"/>
  <c r="I128" i="26"/>
  <c r="K128" i="26"/>
  <c r="A129" i="26"/>
  <c r="E129" i="26"/>
  <c r="F129" i="26"/>
  <c r="I129" i="26"/>
  <c r="K129" i="26"/>
  <c r="A130" i="26"/>
  <c r="E130" i="26"/>
  <c r="F130" i="26"/>
  <c r="I130" i="26"/>
  <c r="K130" i="26"/>
  <c r="A131" i="26"/>
  <c r="E131" i="26"/>
  <c r="F131" i="26"/>
  <c r="I131" i="26"/>
  <c r="K131" i="26"/>
  <c r="A132" i="26"/>
  <c r="E132" i="26"/>
  <c r="F132" i="26"/>
  <c r="I132" i="26"/>
  <c r="K132" i="26"/>
  <c r="A133" i="26"/>
  <c r="E133" i="26"/>
  <c r="F133" i="26"/>
  <c r="I133" i="26"/>
  <c r="K133" i="26"/>
  <c r="A134" i="26"/>
  <c r="E134" i="26"/>
  <c r="F134" i="26"/>
  <c r="I134" i="26"/>
  <c r="K134" i="26"/>
  <c r="A135" i="26"/>
  <c r="E135" i="26"/>
  <c r="F135" i="26"/>
  <c r="I135" i="26"/>
  <c r="K135" i="26"/>
  <c r="A136" i="26"/>
  <c r="E136" i="26"/>
  <c r="F136" i="26"/>
  <c r="I136" i="26"/>
  <c r="K136" i="26"/>
  <c r="A137" i="26"/>
  <c r="E137" i="26"/>
  <c r="F137" i="26"/>
  <c r="I137" i="26"/>
  <c r="K137" i="26"/>
  <c r="A138" i="26"/>
  <c r="E138" i="26"/>
  <c r="F138" i="26"/>
  <c r="I138" i="26"/>
  <c r="K138" i="26"/>
  <c r="A139" i="26"/>
  <c r="E139" i="26"/>
  <c r="F139" i="26"/>
  <c r="I139" i="26"/>
  <c r="K139" i="26"/>
  <c r="A140" i="26"/>
  <c r="E140" i="26"/>
  <c r="F140" i="26"/>
  <c r="I140" i="26"/>
  <c r="K140" i="26"/>
  <c r="A141" i="26"/>
  <c r="E141" i="26"/>
  <c r="F141" i="26"/>
  <c r="I141" i="26"/>
  <c r="K141" i="26"/>
  <c r="A142" i="26"/>
  <c r="E142" i="26"/>
  <c r="F142" i="26"/>
  <c r="I142" i="26"/>
  <c r="K142" i="26"/>
  <c r="A143" i="26"/>
  <c r="E143" i="26"/>
  <c r="F143" i="26"/>
  <c r="I143" i="26"/>
  <c r="K143" i="26"/>
  <c r="A144" i="26"/>
  <c r="E144" i="26"/>
  <c r="F144" i="26"/>
  <c r="I144" i="26"/>
  <c r="K144" i="26"/>
  <c r="A145" i="26"/>
  <c r="E145" i="26"/>
  <c r="F145" i="26"/>
  <c r="I145" i="26"/>
  <c r="K145" i="26"/>
  <c r="A146" i="26"/>
  <c r="E146" i="26"/>
  <c r="F146" i="26"/>
  <c r="I146" i="26"/>
  <c r="K146" i="26"/>
  <c r="A147" i="26"/>
  <c r="E147" i="26"/>
  <c r="F147" i="26"/>
  <c r="I147" i="26"/>
  <c r="K147" i="26"/>
  <c r="A148" i="26"/>
  <c r="E148" i="26"/>
  <c r="F148" i="26"/>
  <c r="I148" i="26"/>
  <c r="K148" i="26"/>
  <c r="A149" i="26"/>
  <c r="E149" i="26"/>
  <c r="F149" i="26"/>
  <c r="I149" i="26"/>
  <c r="K149" i="26"/>
  <c r="A150" i="26"/>
  <c r="E150" i="26"/>
  <c r="F150" i="26"/>
  <c r="I150" i="26"/>
  <c r="K150" i="26"/>
  <c r="A151" i="26"/>
  <c r="E151" i="26"/>
  <c r="F151" i="26"/>
  <c r="I151" i="26"/>
  <c r="K151" i="26"/>
  <c r="A152" i="26"/>
  <c r="E152" i="26"/>
  <c r="F152" i="26"/>
  <c r="I152" i="26"/>
  <c r="K152" i="26"/>
  <c r="A153" i="26"/>
  <c r="E153" i="26"/>
  <c r="F153" i="26"/>
  <c r="I153" i="26"/>
  <c r="K153" i="26"/>
  <c r="A154" i="26"/>
  <c r="E154" i="26"/>
  <c r="F154" i="26"/>
  <c r="I154" i="26"/>
  <c r="K154" i="26"/>
  <c r="A155" i="26"/>
  <c r="E155" i="26"/>
  <c r="F155" i="26"/>
  <c r="I155" i="26"/>
  <c r="K155" i="26"/>
  <c r="A156" i="26"/>
  <c r="E156" i="26"/>
  <c r="F156" i="26"/>
  <c r="I156" i="26"/>
  <c r="K156" i="26"/>
  <c r="A157" i="26"/>
  <c r="E157" i="26"/>
  <c r="F157" i="26"/>
  <c r="I157" i="26"/>
  <c r="K157" i="26"/>
  <c r="A158" i="26"/>
  <c r="E158" i="26"/>
  <c r="F158" i="26"/>
  <c r="I158" i="26"/>
  <c r="K158" i="26"/>
  <c r="A159" i="26"/>
  <c r="E159" i="26"/>
  <c r="F159" i="26"/>
  <c r="I159" i="26"/>
  <c r="K159" i="26"/>
  <c r="A160" i="26"/>
  <c r="E160" i="26"/>
  <c r="F160" i="26"/>
  <c r="I160" i="26"/>
  <c r="K160" i="26"/>
  <c r="A161" i="26"/>
  <c r="E161" i="26"/>
  <c r="F161" i="26"/>
  <c r="I161" i="26"/>
  <c r="K161" i="26"/>
  <c r="A162" i="26"/>
  <c r="E162" i="26"/>
  <c r="F162" i="26"/>
  <c r="I162" i="26"/>
  <c r="K162" i="26"/>
  <c r="A163" i="26"/>
  <c r="E163" i="26"/>
  <c r="F163" i="26"/>
  <c r="I163" i="26"/>
  <c r="K163" i="26"/>
  <c r="A164" i="26"/>
  <c r="E164" i="26"/>
  <c r="F164" i="26"/>
  <c r="I164" i="26"/>
  <c r="K164" i="26"/>
  <c r="A165" i="26"/>
  <c r="E165" i="26"/>
  <c r="F165" i="26"/>
  <c r="I165" i="26"/>
  <c r="K165" i="26"/>
  <c r="A166" i="26"/>
  <c r="E166" i="26"/>
  <c r="F166" i="26"/>
  <c r="I166" i="26"/>
  <c r="K166" i="26"/>
  <c r="A167" i="26"/>
  <c r="E167" i="26"/>
  <c r="F167" i="26"/>
  <c r="I167" i="26"/>
  <c r="K167" i="26"/>
  <c r="A168" i="26"/>
  <c r="E168" i="26"/>
  <c r="F168" i="26"/>
  <c r="I168" i="26"/>
  <c r="K168" i="26"/>
  <c r="A169" i="26"/>
  <c r="E169" i="26"/>
  <c r="F169" i="26"/>
  <c r="I169" i="26"/>
  <c r="K169" i="26"/>
  <c r="A170" i="26"/>
  <c r="E170" i="26"/>
  <c r="F170" i="26"/>
  <c r="I170" i="26"/>
  <c r="K170" i="26"/>
  <c r="A171" i="26"/>
  <c r="E171" i="26"/>
  <c r="F171" i="26"/>
  <c r="I171" i="26"/>
  <c r="K171" i="26"/>
  <c r="A172" i="26"/>
  <c r="E172" i="26"/>
  <c r="F172" i="26"/>
  <c r="I172" i="26"/>
  <c r="K172" i="26"/>
  <c r="A173" i="26"/>
  <c r="E173" i="26"/>
  <c r="F173" i="26"/>
  <c r="I173" i="26"/>
  <c r="K173" i="26"/>
  <c r="A174" i="26"/>
  <c r="E174" i="26"/>
  <c r="F174" i="26"/>
  <c r="I174" i="26"/>
  <c r="K174" i="26"/>
  <c r="A175" i="26"/>
  <c r="E175" i="26"/>
  <c r="F175" i="26"/>
  <c r="I175" i="26"/>
  <c r="K175" i="26"/>
  <c r="A176" i="26"/>
  <c r="E176" i="26"/>
  <c r="F176" i="26"/>
  <c r="I176" i="26"/>
  <c r="K176" i="26"/>
  <c r="A177" i="26"/>
  <c r="E177" i="26"/>
  <c r="F177" i="26"/>
  <c r="I177" i="26"/>
  <c r="K177" i="26"/>
  <c r="A178" i="26"/>
  <c r="E178" i="26"/>
  <c r="F178" i="26"/>
  <c r="I178" i="26"/>
  <c r="K178" i="26"/>
  <c r="A179" i="26"/>
  <c r="E179" i="26"/>
  <c r="F179" i="26"/>
  <c r="I179" i="26"/>
  <c r="K179" i="26"/>
  <c r="A180" i="26"/>
  <c r="E180" i="26"/>
  <c r="F180" i="26"/>
  <c r="I180" i="26"/>
  <c r="K180" i="26"/>
  <c r="A181" i="26"/>
  <c r="E181" i="26"/>
  <c r="F181" i="26"/>
  <c r="I181" i="26"/>
  <c r="K181" i="26"/>
  <c r="A182" i="26"/>
  <c r="E182" i="26"/>
  <c r="F182" i="26"/>
  <c r="I182" i="26"/>
  <c r="K182" i="26"/>
  <c r="A183" i="26"/>
  <c r="E183" i="26"/>
  <c r="F183" i="26"/>
  <c r="I183" i="26"/>
  <c r="K183" i="26"/>
  <c r="A184" i="26"/>
  <c r="E184" i="26"/>
  <c r="F184" i="26"/>
  <c r="I184" i="26"/>
  <c r="K184" i="26"/>
  <c r="A185" i="26"/>
  <c r="E185" i="26"/>
  <c r="F185" i="26"/>
  <c r="I185" i="26"/>
  <c r="K185" i="26"/>
  <c r="A186" i="26"/>
  <c r="E186" i="26"/>
  <c r="F186" i="26"/>
  <c r="I186" i="26"/>
  <c r="K186" i="26"/>
  <c r="A187" i="26"/>
  <c r="E187" i="26"/>
  <c r="F187" i="26"/>
  <c r="I187" i="26"/>
  <c r="K187" i="26"/>
  <c r="A188" i="26"/>
  <c r="E188" i="26"/>
  <c r="F188" i="26"/>
  <c r="I188" i="26"/>
  <c r="K188" i="26"/>
  <c r="A189" i="26"/>
  <c r="E189" i="26"/>
  <c r="F189" i="26"/>
  <c r="I189" i="26"/>
  <c r="K189" i="26"/>
  <c r="A190" i="26"/>
  <c r="E190" i="26"/>
  <c r="F190" i="26"/>
  <c r="I190" i="26"/>
  <c r="K190" i="26"/>
  <c r="A191" i="26"/>
  <c r="E191" i="26"/>
  <c r="F191" i="26"/>
  <c r="I191" i="26"/>
  <c r="K191" i="26"/>
  <c r="A192" i="26"/>
  <c r="E192" i="26"/>
  <c r="F192" i="26"/>
  <c r="I192" i="26"/>
  <c r="K192" i="26"/>
  <c r="A193" i="26"/>
  <c r="E193" i="26"/>
  <c r="F193" i="26"/>
  <c r="I193" i="26"/>
  <c r="K193" i="26"/>
  <c r="A194" i="26"/>
  <c r="E194" i="26"/>
  <c r="F194" i="26"/>
  <c r="I194" i="26"/>
  <c r="K194" i="26"/>
  <c r="A195" i="26"/>
  <c r="E195" i="26"/>
  <c r="F195" i="26"/>
  <c r="I195" i="26"/>
  <c r="K195" i="26"/>
  <c r="A196" i="26"/>
  <c r="E196" i="26"/>
  <c r="F196" i="26"/>
  <c r="I196" i="26"/>
  <c r="K196" i="26"/>
  <c r="A197" i="26"/>
  <c r="E197" i="26"/>
  <c r="F197" i="26"/>
  <c r="I197" i="26"/>
  <c r="K197" i="26"/>
  <c r="A198" i="26"/>
  <c r="E198" i="26"/>
  <c r="F198" i="26"/>
  <c r="I198" i="26"/>
  <c r="K198" i="26"/>
  <c r="A199" i="26"/>
  <c r="E199" i="26"/>
  <c r="F199" i="26"/>
  <c r="I199" i="26"/>
  <c r="K199" i="26"/>
  <c r="A200" i="26"/>
  <c r="E200" i="26"/>
  <c r="F200" i="26"/>
  <c r="I200" i="26"/>
  <c r="K200" i="26"/>
  <c r="A201" i="26"/>
  <c r="E201" i="26"/>
  <c r="F201" i="26"/>
  <c r="I201" i="26"/>
  <c r="K201" i="26"/>
  <c r="A202" i="26"/>
  <c r="E202" i="26"/>
  <c r="F202" i="26"/>
  <c r="I202" i="26"/>
  <c r="K202" i="26"/>
  <c r="A203" i="26"/>
  <c r="E203" i="26"/>
  <c r="F203" i="26"/>
  <c r="I203" i="26"/>
  <c r="K203" i="26"/>
  <c r="A204" i="26"/>
  <c r="E204" i="26"/>
  <c r="F204" i="26"/>
  <c r="I204" i="26"/>
  <c r="K204" i="26"/>
  <c r="A205" i="26"/>
  <c r="E205" i="26"/>
  <c r="F205" i="26"/>
  <c r="I205" i="26"/>
  <c r="K205" i="26"/>
  <c r="A206" i="26"/>
  <c r="E206" i="26"/>
  <c r="F206" i="26"/>
  <c r="I206" i="26"/>
  <c r="K206" i="26"/>
  <c r="A207" i="26"/>
  <c r="E207" i="26"/>
  <c r="F207" i="26"/>
  <c r="I207" i="26"/>
  <c r="K207" i="26"/>
  <c r="A208" i="26"/>
  <c r="E208" i="26"/>
  <c r="F208" i="26"/>
  <c r="I208" i="26"/>
  <c r="K208" i="26"/>
  <c r="A209" i="26"/>
  <c r="E209" i="26"/>
  <c r="F209" i="26"/>
  <c r="I209" i="26"/>
  <c r="K209" i="26"/>
  <c r="A210" i="26"/>
  <c r="E210" i="26"/>
  <c r="F210" i="26"/>
  <c r="I210" i="26"/>
  <c r="K210" i="26"/>
  <c r="A211" i="26"/>
  <c r="E211" i="26"/>
  <c r="F211" i="26"/>
  <c r="I211" i="26"/>
  <c r="K211" i="26"/>
  <c r="A212" i="26"/>
  <c r="E212" i="26"/>
  <c r="F212" i="26"/>
  <c r="I212" i="26"/>
  <c r="K212" i="26"/>
  <c r="A213" i="26"/>
  <c r="E213" i="26"/>
  <c r="F213" i="26"/>
  <c r="I213" i="26"/>
  <c r="K213" i="26"/>
  <c r="A214" i="26"/>
  <c r="E214" i="26"/>
  <c r="F214" i="26"/>
  <c r="I214" i="26"/>
  <c r="K214" i="26"/>
  <c r="A215" i="26"/>
  <c r="E215" i="26"/>
  <c r="F215" i="26"/>
  <c r="I215" i="26"/>
  <c r="K215" i="26"/>
  <c r="A216" i="26"/>
  <c r="E216" i="26"/>
  <c r="F216" i="26"/>
  <c r="I216" i="26"/>
  <c r="K216" i="26"/>
  <c r="A217" i="26"/>
  <c r="E217" i="26"/>
  <c r="F217" i="26"/>
  <c r="I217" i="26"/>
  <c r="K217" i="26"/>
  <c r="A218" i="26"/>
  <c r="E218" i="26"/>
  <c r="F218" i="26"/>
  <c r="I218" i="26"/>
  <c r="K218" i="26"/>
  <c r="A219" i="26"/>
  <c r="E219" i="26"/>
  <c r="F219" i="26"/>
  <c r="I219" i="26"/>
  <c r="K219" i="26"/>
  <c r="A220" i="26"/>
  <c r="E220" i="26"/>
  <c r="F220" i="26"/>
  <c r="I220" i="26"/>
  <c r="K220" i="26"/>
  <c r="A221" i="26"/>
  <c r="E221" i="26"/>
  <c r="F221" i="26"/>
  <c r="I221" i="26"/>
  <c r="K221" i="26"/>
  <c r="A222" i="26"/>
  <c r="E222" i="26"/>
  <c r="F222" i="26"/>
  <c r="I222" i="26"/>
  <c r="K222" i="26"/>
  <c r="A223" i="26"/>
  <c r="E223" i="26"/>
  <c r="F223" i="26"/>
  <c r="I223" i="26"/>
  <c r="K223" i="26"/>
  <c r="A224" i="26"/>
  <c r="E224" i="26"/>
  <c r="F224" i="26"/>
  <c r="I224" i="26"/>
  <c r="K224" i="26"/>
  <c r="A225" i="26"/>
  <c r="E225" i="26"/>
  <c r="F225" i="26"/>
  <c r="I225" i="26"/>
  <c r="K225" i="26"/>
  <c r="A226" i="26"/>
  <c r="E226" i="26"/>
  <c r="F226" i="26"/>
  <c r="I226" i="26"/>
  <c r="K226" i="26"/>
  <c r="A227" i="26"/>
  <c r="E227" i="26"/>
  <c r="F227" i="26"/>
  <c r="I227" i="26"/>
  <c r="K227" i="26"/>
  <c r="A228" i="26"/>
  <c r="E228" i="26"/>
  <c r="F228" i="26"/>
  <c r="I228" i="26"/>
  <c r="K228" i="26"/>
  <c r="A229" i="26"/>
  <c r="E229" i="26"/>
  <c r="F229" i="26"/>
  <c r="I229" i="26"/>
  <c r="K229" i="26"/>
  <c r="A230" i="26"/>
  <c r="E230" i="26"/>
  <c r="F230" i="26"/>
  <c r="I230" i="26"/>
  <c r="K230" i="26"/>
  <c r="A231" i="26"/>
  <c r="E231" i="26"/>
  <c r="F231" i="26"/>
  <c r="I231" i="26"/>
  <c r="K231" i="26"/>
  <c r="A232" i="26"/>
  <c r="E232" i="26"/>
  <c r="F232" i="26"/>
  <c r="I232" i="26"/>
  <c r="K232" i="26"/>
  <c r="A233" i="26"/>
  <c r="E233" i="26"/>
  <c r="F233" i="26"/>
  <c r="I233" i="26"/>
  <c r="K233" i="26"/>
  <c r="A234" i="26"/>
  <c r="E234" i="26"/>
  <c r="F234" i="26"/>
  <c r="I234" i="26"/>
  <c r="K234" i="26"/>
  <c r="A235" i="26"/>
  <c r="E235" i="26"/>
  <c r="F235" i="26"/>
  <c r="I235" i="26"/>
  <c r="K235" i="26"/>
  <c r="A236" i="26"/>
  <c r="E236" i="26"/>
  <c r="F236" i="26"/>
  <c r="I236" i="26"/>
  <c r="K236" i="26"/>
  <c r="A237" i="26"/>
  <c r="E237" i="26"/>
  <c r="F237" i="26"/>
  <c r="I237" i="26"/>
  <c r="K237" i="26"/>
  <c r="A238" i="26"/>
  <c r="E238" i="26"/>
  <c r="F238" i="26"/>
  <c r="I238" i="26"/>
  <c r="K238" i="26"/>
  <c r="A239" i="26"/>
  <c r="E239" i="26"/>
  <c r="F239" i="26"/>
  <c r="I239" i="26"/>
  <c r="K239" i="26"/>
  <c r="A240" i="26"/>
  <c r="E240" i="26"/>
  <c r="F240" i="26"/>
  <c r="I240" i="26"/>
  <c r="K240" i="26"/>
  <c r="A241" i="26"/>
  <c r="E241" i="26"/>
  <c r="F241" i="26"/>
  <c r="I241" i="26"/>
  <c r="K241" i="26"/>
  <c r="A242" i="26"/>
  <c r="E242" i="26"/>
  <c r="F242" i="26"/>
  <c r="I242" i="26"/>
  <c r="K242" i="26"/>
  <c r="A243" i="26"/>
  <c r="E243" i="26"/>
  <c r="F243" i="26"/>
  <c r="I243" i="26"/>
  <c r="K243" i="26"/>
  <c r="A244" i="26"/>
  <c r="E244" i="26"/>
  <c r="F244" i="26"/>
  <c r="I244" i="26"/>
  <c r="K244" i="26"/>
  <c r="A245" i="26"/>
  <c r="E245" i="26"/>
  <c r="F245" i="26"/>
  <c r="I245" i="26"/>
  <c r="K245" i="26"/>
  <c r="A246" i="26"/>
  <c r="E246" i="26"/>
  <c r="F246" i="26"/>
  <c r="I246" i="26"/>
  <c r="K246" i="26"/>
  <c r="A247" i="26"/>
  <c r="E247" i="26"/>
  <c r="F247" i="26"/>
  <c r="I247" i="26"/>
  <c r="K247" i="26"/>
  <c r="A248" i="26"/>
  <c r="E248" i="26"/>
  <c r="F248" i="26"/>
  <c r="I248" i="26"/>
  <c r="K248" i="26"/>
  <c r="A249" i="26"/>
  <c r="E249" i="26"/>
  <c r="F249" i="26"/>
  <c r="I249" i="26"/>
  <c r="K249" i="26"/>
  <c r="A250" i="26"/>
  <c r="E250" i="26"/>
  <c r="F250" i="26"/>
  <c r="I250" i="26"/>
  <c r="K250" i="26"/>
  <c r="A251" i="26"/>
  <c r="E251" i="26"/>
  <c r="F251" i="26"/>
  <c r="I251" i="26"/>
  <c r="K251" i="26"/>
  <c r="A252" i="26"/>
  <c r="E252" i="26"/>
  <c r="F252" i="26"/>
  <c r="I252" i="26"/>
  <c r="K252" i="26"/>
  <c r="A253" i="26"/>
  <c r="E253" i="26"/>
  <c r="F253" i="26"/>
  <c r="I253" i="26"/>
  <c r="K253" i="26"/>
  <c r="A254" i="26"/>
  <c r="E254" i="26"/>
  <c r="F254" i="26"/>
  <c r="I254" i="26"/>
  <c r="K254" i="26"/>
  <c r="A255" i="26"/>
  <c r="E255" i="26"/>
  <c r="F255" i="26"/>
  <c r="I255" i="26"/>
  <c r="K255" i="26"/>
  <c r="A256" i="26"/>
  <c r="E256" i="26"/>
  <c r="F256" i="26"/>
  <c r="I256" i="26"/>
  <c r="K256" i="26"/>
  <c r="A257" i="26"/>
  <c r="E257" i="26"/>
  <c r="F257" i="26"/>
  <c r="I257" i="26"/>
  <c r="K257" i="26"/>
  <c r="A258" i="26"/>
  <c r="E258" i="26"/>
  <c r="F258" i="26"/>
  <c r="I258" i="26"/>
  <c r="K258" i="26"/>
  <c r="A259" i="26"/>
  <c r="E259" i="26"/>
  <c r="F259" i="26"/>
  <c r="I259" i="26"/>
  <c r="K259" i="26"/>
  <c r="A260" i="26"/>
  <c r="E260" i="26"/>
  <c r="F260" i="26"/>
  <c r="I260" i="26"/>
  <c r="K260" i="26"/>
  <c r="A261" i="26"/>
  <c r="E261" i="26"/>
  <c r="F261" i="26"/>
  <c r="I261" i="26"/>
  <c r="K261" i="26"/>
  <c r="A262" i="26"/>
  <c r="E262" i="26"/>
  <c r="F262" i="26"/>
  <c r="I262" i="26"/>
  <c r="K262" i="26"/>
  <c r="A263" i="26"/>
  <c r="E263" i="26"/>
  <c r="F263" i="26"/>
  <c r="I263" i="26"/>
  <c r="K263" i="26"/>
  <c r="A264" i="26"/>
  <c r="E264" i="26"/>
  <c r="F264" i="26"/>
  <c r="I264" i="26"/>
  <c r="K264" i="26"/>
  <c r="A265" i="26"/>
  <c r="E265" i="26"/>
  <c r="F265" i="26"/>
  <c r="I265" i="26"/>
  <c r="K265" i="26"/>
  <c r="A266" i="26"/>
  <c r="E266" i="26"/>
  <c r="F266" i="26"/>
  <c r="I266" i="26"/>
  <c r="K266" i="26"/>
  <c r="A267" i="26"/>
  <c r="E267" i="26"/>
  <c r="F267" i="26"/>
  <c r="I267" i="26"/>
  <c r="K267" i="26"/>
  <c r="A268" i="26"/>
  <c r="E268" i="26"/>
  <c r="F268" i="26"/>
  <c r="I268" i="26"/>
  <c r="K268" i="26"/>
  <c r="A269" i="26"/>
  <c r="E269" i="26"/>
  <c r="F269" i="26"/>
  <c r="I269" i="26"/>
  <c r="K269" i="26"/>
  <c r="A270" i="26"/>
  <c r="E270" i="26"/>
  <c r="F270" i="26"/>
  <c r="I270" i="26"/>
  <c r="K270" i="26"/>
  <c r="A271" i="26"/>
  <c r="E271" i="26"/>
  <c r="F271" i="26"/>
  <c r="I271" i="26"/>
  <c r="K271" i="26"/>
  <c r="A272" i="26"/>
  <c r="E272" i="26"/>
  <c r="F272" i="26"/>
  <c r="I272" i="26"/>
  <c r="K272" i="26"/>
  <c r="A273" i="26"/>
  <c r="E273" i="26"/>
  <c r="F273" i="26"/>
  <c r="I273" i="26"/>
  <c r="K273" i="26"/>
  <c r="A274" i="26"/>
  <c r="E274" i="26"/>
  <c r="F274" i="26"/>
  <c r="I274" i="26"/>
  <c r="K274" i="26"/>
  <c r="A275" i="26"/>
  <c r="E275" i="26"/>
  <c r="F275" i="26"/>
  <c r="I275" i="26"/>
  <c r="K275" i="26"/>
  <c r="A276" i="26"/>
  <c r="E276" i="26"/>
  <c r="F276" i="26"/>
  <c r="I276" i="26"/>
  <c r="K276" i="26"/>
  <c r="A277" i="26"/>
  <c r="E277" i="26"/>
  <c r="F277" i="26"/>
  <c r="I277" i="26"/>
  <c r="K277" i="26"/>
  <c r="A278" i="26"/>
  <c r="E278" i="26"/>
  <c r="F278" i="26"/>
  <c r="I278" i="26"/>
  <c r="K278" i="26"/>
  <c r="A279" i="26"/>
  <c r="E279" i="26"/>
  <c r="F279" i="26"/>
  <c r="I279" i="26"/>
  <c r="K279" i="26"/>
  <c r="A280" i="26"/>
  <c r="E280" i="26"/>
  <c r="F280" i="26"/>
  <c r="I280" i="26"/>
  <c r="K280" i="26"/>
  <c r="A281" i="26"/>
  <c r="E281" i="26"/>
  <c r="F281" i="26"/>
  <c r="I281" i="26"/>
  <c r="K281" i="26"/>
  <c r="A282" i="26"/>
  <c r="E282" i="26"/>
  <c r="F282" i="26"/>
  <c r="I282" i="26"/>
  <c r="K282" i="26"/>
  <c r="A283" i="26"/>
  <c r="E283" i="26"/>
  <c r="F283" i="26"/>
  <c r="I283" i="26"/>
  <c r="K283" i="26"/>
  <c r="A284" i="26"/>
  <c r="E284" i="26"/>
  <c r="F284" i="26"/>
  <c r="I284" i="26"/>
  <c r="K284" i="26"/>
  <c r="A285" i="26"/>
  <c r="E285" i="26"/>
  <c r="F285" i="26"/>
  <c r="I285" i="26"/>
  <c r="K285" i="26"/>
  <c r="A286" i="26"/>
  <c r="E286" i="26"/>
  <c r="F286" i="26"/>
  <c r="I286" i="26"/>
  <c r="K286" i="26"/>
  <c r="A287" i="26"/>
  <c r="E287" i="26"/>
  <c r="F287" i="26"/>
  <c r="I287" i="26"/>
  <c r="K287" i="26"/>
  <c r="A288" i="26"/>
  <c r="E288" i="26"/>
  <c r="F288" i="26"/>
  <c r="I288" i="26"/>
  <c r="K288" i="26"/>
  <c r="A289" i="26"/>
  <c r="E289" i="26"/>
  <c r="F289" i="26"/>
  <c r="I289" i="26"/>
  <c r="K289" i="26"/>
  <c r="A290" i="26"/>
  <c r="E290" i="26"/>
  <c r="F290" i="26"/>
  <c r="I290" i="26"/>
  <c r="K290" i="26"/>
  <c r="A291" i="26"/>
  <c r="E291" i="26"/>
  <c r="F291" i="26"/>
  <c r="I291" i="26"/>
  <c r="K291" i="26"/>
  <c r="A292" i="26"/>
  <c r="E292" i="26"/>
  <c r="F292" i="26"/>
  <c r="I292" i="26"/>
  <c r="K292" i="26"/>
  <c r="A293" i="26"/>
  <c r="E293" i="26"/>
  <c r="F293" i="26"/>
  <c r="I293" i="26"/>
  <c r="K293" i="26"/>
  <c r="A294" i="26"/>
  <c r="E294" i="26"/>
  <c r="F294" i="26"/>
  <c r="I294" i="26"/>
  <c r="K294" i="26"/>
  <c r="A295" i="26"/>
  <c r="E295" i="26"/>
  <c r="F295" i="26"/>
  <c r="I295" i="26"/>
  <c r="K295" i="26"/>
  <c r="A296" i="26"/>
  <c r="E296" i="26"/>
  <c r="F296" i="26"/>
  <c r="I296" i="26"/>
  <c r="K296" i="26"/>
  <c r="A297" i="26"/>
  <c r="E297" i="26"/>
  <c r="F297" i="26"/>
  <c r="I297" i="26"/>
  <c r="K297" i="26"/>
  <c r="A298" i="26"/>
  <c r="E298" i="26"/>
  <c r="F298" i="26"/>
  <c r="I298" i="26"/>
  <c r="K298" i="26"/>
  <c r="A299" i="26"/>
  <c r="E299" i="26"/>
  <c r="F299" i="26"/>
  <c r="I299" i="26"/>
  <c r="K299" i="26"/>
  <c r="A300" i="26"/>
  <c r="E300" i="26"/>
  <c r="F300" i="26"/>
  <c r="I300" i="26"/>
  <c r="K300" i="26"/>
  <c r="A301" i="26"/>
  <c r="E301" i="26"/>
  <c r="F301" i="26"/>
  <c r="I301" i="26"/>
  <c r="K301" i="26"/>
  <c r="A302" i="26"/>
  <c r="E302" i="26"/>
  <c r="F302" i="26"/>
  <c r="I302" i="26"/>
  <c r="K302" i="26"/>
  <c r="A303" i="26"/>
  <c r="E303" i="26"/>
  <c r="F303" i="26"/>
  <c r="I303" i="26"/>
  <c r="K303" i="26"/>
  <c r="A304" i="26"/>
  <c r="E304" i="26"/>
  <c r="F304" i="26"/>
  <c r="I304" i="26"/>
  <c r="K304" i="26"/>
  <c r="A305" i="26"/>
  <c r="E305" i="26"/>
  <c r="F305" i="26"/>
  <c r="I305" i="26"/>
  <c r="K305" i="26"/>
  <c r="A306" i="26"/>
  <c r="E306" i="26"/>
  <c r="F306" i="26"/>
  <c r="I306" i="26"/>
  <c r="K306" i="26"/>
  <c r="A307" i="26"/>
  <c r="E307" i="26"/>
  <c r="F307" i="26"/>
  <c r="I307" i="26"/>
  <c r="K307" i="26"/>
  <c r="A308" i="26"/>
  <c r="E308" i="26"/>
  <c r="F308" i="26"/>
  <c r="I308" i="26"/>
  <c r="K308" i="26"/>
  <c r="A309" i="26"/>
  <c r="E309" i="26"/>
  <c r="F309" i="26"/>
  <c r="I309" i="26"/>
  <c r="K309" i="26"/>
  <c r="A310" i="26"/>
  <c r="E310" i="26"/>
  <c r="F310" i="26"/>
  <c r="I310" i="26"/>
  <c r="K310" i="26"/>
  <c r="A311" i="26"/>
  <c r="E311" i="26"/>
  <c r="F311" i="26"/>
  <c r="I311" i="26"/>
  <c r="K311" i="26"/>
  <c r="A312" i="26"/>
  <c r="E312" i="26"/>
  <c r="F312" i="26"/>
  <c r="I312" i="26"/>
  <c r="K312" i="26"/>
  <c r="A313" i="26"/>
  <c r="E313" i="26"/>
  <c r="F313" i="26"/>
  <c r="I313" i="26"/>
  <c r="K313" i="26"/>
  <c r="A314" i="26"/>
  <c r="E314" i="26"/>
  <c r="F314" i="26"/>
  <c r="I314" i="26"/>
  <c r="K314" i="26"/>
  <c r="A315" i="26"/>
  <c r="E315" i="26"/>
  <c r="F315" i="26"/>
  <c r="I315" i="26"/>
  <c r="K315" i="26"/>
  <c r="A316" i="26"/>
  <c r="E316" i="26"/>
  <c r="F316" i="26"/>
  <c r="I316" i="26"/>
  <c r="K316" i="26"/>
  <c r="A317" i="26"/>
  <c r="E317" i="26"/>
  <c r="F317" i="26"/>
  <c r="I317" i="26"/>
  <c r="K317" i="26"/>
  <c r="A318" i="26"/>
  <c r="E318" i="26"/>
  <c r="F318" i="26"/>
  <c r="I318" i="26"/>
  <c r="K318" i="26"/>
  <c r="A319" i="26"/>
  <c r="E319" i="26"/>
  <c r="F319" i="26"/>
  <c r="I319" i="26"/>
  <c r="K319" i="26"/>
  <c r="A320" i="26"/>
  <c r="E320" i="26"/>
  <c r="F320" i="26"/>
  <c r="I320" i="26"/>
  <c r="K320" i="26"/>
  <c r="A321" i="26"/>
  <c r="E321" i="26"/>
  <c r="F321" i="26"/>
  <c r="I321" i="26"/>
  <c r="K321" i="26"/>
  <c r="A322" i="26"/>
  <c r="E322" i="26"/>
  <c r="F322" i="26"/>
  <c r="I322" i="26"/>
  <c r="K322" i="26"/>
  <c r="A323" i="26"/>
  <c r="E323" i="26"/>
  <c r="F323" i="26"/>
  <c r="I323" i="26"/>
  <c r="K323" i="26"/>
  <c r="A324" i="26"/>
  <c r="E324" i="26"/>
  <c r="F324" i="26"/>
  <c r="I324" i="26"/>
  <c r="K324" i="26"/>
  <c r="A325" i="26"/>
  <c r="E325" i="26"/>
  <c r="F325" i="26"/>
  <c r="I325" i="26"/>
  <c r="K325" i="26"/>
  <c r="A326" i="26"/>
  <c r="E326" i="26"/>
  <c r="F326" i="26"/>
  <c r="I326" i="26"/>
  <c r="K326" i="26"/>
  <c r="A327" i="26"/>
  <c r="E327" i="26"/>
  <c r="F327" i="26"/>
  <c r="I327" i="26"/>
  <c r="K327" i="26"/>
  <c r="A328" i="26"/>
  <c r="E328" i="26"/>
  <c r="F328" i="26"/>
  <c r="I328" i="26"/>
  <c r="K328" i="26"/>
  <c r="A329" i="26"/>
  <c r="E329" i="26"/>
  <c r="F329" i="26"/>
  <c r="I329" i="26"/>
  <c r="K329" i="26"/>
  <c r="A330" i="26"/>
  <c r="E330" i="26"/>
  <c r="F330" i="26"/>
  <c r="I330" i="26"/>
  <c r="K330" i="26"/>
  <c r="A331" i="26"/>
  <c r="E331" i="26"/>
  <c r="F331" i="26"/>
  <c r="I331" i="26"/>
  <c r="K331" i="26"/>
  <c r="A332" i="26"/>
  <c r="E332" i="26"/>
  <c r="F332" i="26"/>
  <c r="I332" i="26"/>
  <c r="K332" i="26"/>
  <c r="A333" i="26"/>
  <c r="E333" i="26"/>
  <c r="F333" i="26"/>
  <c r="I333" i="26"/>
  <c r="K333" i="26"/>
  <c r="A334" i="26"/>
  <c r="E334" i="26"/>
  <c r="F334" i="26"/>
  <c r="I334" i="26"/>
  <c r="K334" i="26"/>
  <c r="A335" i="26"/>
  <c r="E335" i="26"/>
  <c r="F335" i="26"/>
  <c r="I335" i="26"/>
  <c r="K335" i="26"/>
  <c r="A336" i="26"/>
  <c r="E336" i="26"/>
  <c r="F336" i="26"/>
  <c r="I336" i="26"/>
  <c r="K336" i="26"/>
  <c r="A337" i="26"/>
  <c r="E337" i="26"/>
  <c r="F337" i="26"/>
  <c r="I337" i="26"/>
  <c r="K337" i="26"/>
  <c r="A338" i="26"/>
  <c r="E338" i="26"/>
  <c r="F338" i="26"/>
  <c r="I338" i="26"/>
  <c r="K338" i="26"/>
  <c r="A339" i="26"/>
  <c r="E339" i="26"/>
  <c r="F339" i="26"/>
  <c r="I339" i="26"/>
  <c r="K339" i="26"/>
  <c r="A340" i="26"/>
  <c r="E340" i="26"/>
  <c r="F340" i="26"/>
  <c r="I340" i="26"/>
  <c r="K340" i="26"/>
  <c r="A341" i="26"/>
  <c r="E341" i="26"/>
  <c r="F341" i="26"/>
  <c r="I341" i="26"/>
  <c r="K341" i="26"/>
  <c r="A342" i="26"/>
  <c r="E342" i="26"/>
  <c r="F342" i="26"/>
  <c r="I342" i="26"/>
  <c r="K342" i="26"/>
  <c r="A343" i="26"/>
  <c r="E343" i="26"/>
  <c r="F343" i="26"/>
  <c r="I343" i="26"/>
  <c r="K343" i="26"/>
  <c r="A344" i="26"/>
  <c r="E344" i="26"/>
  <c r="F344" i="26"/>
  <c r="I344" i="26"/>
  <c r="K344" i="26"/>
  <c r="A345" i="26"/>
  <c r="E345" i="26"/>
  <c r="F345" i="26"/>
  <c r="I345" i="26"/>
  <c r="K345" i="26"/>
  <c r="A346" i="26"/>
  <c r="E346" i="26"/>
  <c r="F346" i="26"/>
  <c r="I346" i="26"/>
  <c r="K346" i="26"/>
  <c r="A347" i="26"/>
  <c r="E347" i="26"/>
  <c r="F347" i="26"/>
  <c r="I347" i="26"/>
  <c r="K347" i="26"/>
  <c r="A348" i="26"/>
  <c r="E348" i="26"/>
  <c r="F348" i="26"/>
  <c r="I348" i="26"/>
  <c r="K348" i="26"/>
  <c r="A349" i="26"/>
  <c r="E349" i="26"/>
  <c r="F349" i="26"/>
  <c r="I349" i="26"/>
  <c r="K349" i="26"/>
  <c r="A350" i="26"/>
  <c r="E350" i="26"/>
  <c r="F350" i="26"/>
  <c r="I350" i="26"/>
  <c r="K350" i="26"/>
  <c r="A351" i="26"/>
  <c r="E351" i="26"/>
  <c r="F351" i="26"/>
  <c r="I351" i="26"/>
  <c r="K351" i="26"/>
  <c r="A352" i="26"/>
  <c r="E352" i="26"/>
  <c r="F352" i="26"/>
  <c r="I352" i="26"/>
  <c r="K352" i="26"/>
  <c r="A353" i="26"/>
  <c r="E353" i="26"/>
  <c r="F353" i="26"/>
  <c r="I353" i="26"/>
  <c r="K353" i="26"/>
  <c r="A354" i="26"/>
  <c r="E354" i="26"/>
  <c r="F354" i="26"/>
  <c r="I354" i="26"/>
  <c r="K354" i="26"/>
  <c r="A355" i="26"/>
  <c r="E355" i="26"/>
  <c r="F355" i="26"/>
  <c r="I355" i="26"/>
  <c r="K355" i="26"/>
  <c r="A356" i="26"/>
  <c r="E356" i="26"/>
  <c r="F356" i="26"/>
  <c r="I356" i="26"/>
  <c r="K356" i="26"/>
  <c r="A357" i="26"/>
  <c r="E357" i="26"/>
  <c r="F357" i="26"/>
  <c r="I357" i="26"/>
  <c r="K357" i="26"/>
  <c r="A358" i="26"/>
  <c r="E358" i="26"/>
  <c r="F358" i="26"/>
  <c r="I358" i="26"/>
  <c r="K358" i="26"/>
  <c r="A359" i="26"/>
  <c r="E359" i="26"/>
  <c r="F359" i="26"/>
  <c r="I359" i="26"/>
  <c r="K359" i="26"/>
  <c r="A360" i="26"/>
  <c r="E360" i="26"/>
  <c r="F360" i="26"/>
  <c r="I360" i="26"/>
  <c r="K360" i="26"/>
  <c r="A361" i="26"/>
  <c r="E361" i="26"/>
  <c r="F361" i="26"/>
  <c r="I361" i="26"/>
  <c r="K361" i="26"/>
  <c r="A362" i="26"/>
  <c r="E362" i="26"/>
  <c r="F362" i="26"/>
  <c r="I362" i="26"/>
  <c r="K362" i="26"/>
  <c r="A363" i="26"/>
  <c r="E363" i="26"/>
  <c r="F363" i="26"/>
  <c r="I363" i="26"/>
  <c r="K363" i="26"/>
  <c r="A364" i="26"/>
  <c r="E364" i="26"/>
  <c r="F364" i="26"/>
  <c r="I364" i="26"/>
  <c r="K364" i="26"/>
  <c r="A365" i="26"/>
  <c r="E365" i="26"/>
  <c r="F365" i="26"/>
  <c r="I365" i="26"/>
  <c r="K365" i="26"/>
  <c r="A366" i="26"/>
  <c r="E366" i="26"/>
  <c r="F366" i="26"/>
  <c r="I366" i="26"/>
  <c r="K366" i="26"/>
  <c r="A367" i="26"/>
  <c r="E367" i="26"/>
  <c r="F367" i="26"/>
  <c r="I367" i="26"/>
  <c r="K367" i="26"/>
  <c r="A368" i="26"/>
  <c r="E368" i="26"/>
  <c r="F368" i="26"/>
  <c r="I368" i="26"/>
  <c r="K368" i="26"/>
  <c r="A369" i="26"/>
  <c r="E369" i="26"/>
  <c r="F369" i="26"/>
  <c r="I369" i="26"/>
  <c r="K369" i="26"/>
  <c r="A370" i="26"/>
  <c r="E370" i="26"/>
  <c r="F370" i="26"/>
  <c r="I370" i="26"/>
  <c r="K370" i="26"/>
  <c r="A371" i="26"/>
  <c r="E371" i="26"/>
  <c r="F371" i="26"/>
  <c r="I371" i="26"/>
  <c r="K371" i="26"/>
  <c r="A372" i="26"/>
  <c r="E372" i="26"/>
  <c r="F372" i="26"/>
  <c r="I372" i="26"/>
  <c r="K372" i="26"/>
  <c r="A373" i="26"/>
  <c r="E373" i="26"/>
  <c r="F373" i="26"/>
  <c r="I373" i="26"/>
  <c r="K373" i="26"/>
  <c r="A374" i="26"/>
  <c r="E374" i="26"/>
  <c r="F374" i="26"/>
  <c r="I374" i="26"/>
  <c r="K374" i="26"/>
  <c r="A375" i="26"/>
  <c r="E375" i="26"/>
  <c r="F375" i="26"/>
  <c r="I375" i="26"/>
  <c r="K375" i="26"/>
  <c r="A376" i="26"/>
  <c r="E376" i="26"/>
  <c r="F376" i="26"/>
  <c r="I376" i="26"/>
  <c r="K376" i="26"/>
  <c r="A377" i="26"/>
  <c r="E377" i="26"/>
  <c r="F377" i="26"/>
  <c r="I377" i="26"/>
  <c r="K377" i="26"/>
  <c r="A378" i="26"/>
  <c r="E378" i="26"/>
  <c r="F378" i="26"/>
  <c r="I378" i="26"/>
  <c r="K378" i="26"/>
  <c r="A379" i="26"/>
  <c r="E379" i="26"/>
  <c r="F379" i="26"/>
  <c r="I379" i="26"/>
  <c r="K379" i="26"/>
  <c r="A380" i="26"/>
  <c r="E380" i="26"/>
  <c r="F380" i="26"/>
  <c r="I380" i="26"/>
  <c r="K380" i="26"/>
  <c r="A381" i="26"/>
  <c r="E381" i="26"/>
  <c r="F381" i="26"/>
  <c r="I381" i="26"/>
  <c r="K381" i="26"/>
  <c r="A382" i="26"/>
  <c r="E382" i="26"/>
  <c r="F382" i="26"/>
  <c r="I382" i="26"/>
  <c r="K382" i="26"/>
  <c r="A383" i="26"/>
  <c r="E383" i="26"/>
  <c r="F383" i="26"/>
  <c r="I383" i="26"/>
  <c r="K383" i="26"/>
  <c r="A384" i="26"/>
  <c r="E384" i="26"/>
  <c r="F384" i="26"/>
  <c r="I384" i="26"/>
  <c r="K384" i="26"/>
  <c r="A385" i="26"/>
  <c r="E385" i="26"/>
  <c r="F385" i="26"/>
  <c r="I385" i="26"/>
  <c r="K385" i="26"/>
  <c r="A386" i="26"/>
  <c r="E386" i="26"/>
  <c r="F386" i="26"/>
  <c r="I386" i="26"/>
  <c r="K386" i="26"/>
  <c r="A387" i="26"/>
  <c r="E387" i="26"/>
  <c r="F387" i="26"/>
  <c r="I387" i="26"/>
  <c r="K387" i="26"/>
  <c r="A388" i="26"/>
  <c r="E388" i="26"/>
  <c r="F388" i="26"/>
  <c r="I388" i="26"/>
  <c r="K388" i="26"/>
  <c r="A389" i="26"/>
  <c r="E389" i="26"/>
  <c r="F389" i="26"/>
  <c r="I389" i="26"/>
  <c r="K389" i="26"/>
  <c r="A390" i="26"/>
  <c r="E390" i="26"/>
  <c r="F390" i="26"/>
  <c r="I390" i="26"/>
  <c r="K390" i="26"/>
  <c r="A391" i="26"/>
  <c r="E391" i="26"/>
  <c r="F391" i="26"/>
  <c r="I391" i="26"/>
  <c r="K391" i="26"/>
  <c r="A392" i="26"/>
  <c r="E392" i="26"/>
  <c r="F392" i="26"/>
  <c r="I392" i="26"/>
  <c r="K392" i="26"/>
  <c r="A393" i="26"/>
  <c r="E393" i="26"/>
  <c r="F393" i="26"/>
  <c r="I393" i="26"/>
  <c r="K393" i="26"/>
  <c r="A394" i="26"/>
  <c r="E394" i="26"/>
  <c r="F394" i="26"/>
  <c r="I394" i="26"/>
  <c r="K394" i="26"/>
  <c r="A395" i="26"/>
  <c r="E395" i="26"/>
  <c r="F395" i="26"/>
  <c r="I395" i="26"/>
  <c r="K395" i="26"/>
  <c r="A396" i="26"/>
  <c r="E396" i="26"/>
  <c r="F396" i="26"/>
  <c r="I396" i="26"/>
  <c r="K396" i="26"/>
  <c r="A397" i="26"/>
  <c r="E397" i="26"/>
  <c r="F397" i="26"/>
  <c r="I397" i="26"/>
  <c r="K397" i="26"/>
  <c r="A398" i="26"/>
  <c r="E398" i="26"/>
  <c r="F398" i="26"/>
  <c r="I398" i="26"/>
  <c r="K398" i="26"/>
  <c r="A399" i="26"/>
  <c r="E399" i="26"/>
  <c r="F399" i="26"/>
  <c r="I399" i="26"/>
  <c r="K399" i="26"/>
  <c r="A400" i="26"/>
  <c r="E400" i="26"/>
  <c r="F400" i="26"/>
  <c r="I400" i="26"/>
  <c r="K400" i="26"/>
  <c r="A401" i="26"/>
  <c r="E401" i="26"/>
  <c r="F401" i="26"/>
  <c r="I401" i="26"/>
  <c r="K401" i="26"/>
  <c r="A402" i="26"/>
  <c r="E402" i="26"/>
  <c r="F402" i="26"/>
  <c r="I402" i="26"/>
  <c r="K402" i="26"/>
  <c r="A403" i="26"/>
  <c r="E403" i="26"/>
  <c r="F403" i="26"/>
  <c r="I403" i="26"/>
  <c r="K403" i="26"/>
  <c r="A404" i="26"/>
  <c r="E404" i="26"/>
  <c r="F404" i="26"/>
  <c r="I404" i="26"/>
  <c r="K404" i="26"/>
  <c r="A405" i="26"/>
  <c r="E405" i="26"/>
  <c r="F405" i="26"/>
  <c r="I405" i="26"/>
  <c r="K405" i="26"/>
  <c r="A406" i="26"/>
  <c r="E406" i="26"/>
  <c r="F406" i="26"/>
  <c r="I406" i="26"/>
  <c r="K406" i="26"/>
  <c r="A407" i="26"/>
  <c r="E407" i="26"/>
  <c r="F407" i="26"/>
  <c r="I407" i="26"/>
  <c r="K407" i="26"/>
  <c r="A408" i="26"/>
  <c r="E408" i="26"/>
  <c r="F408" i="26"/>
  <c r="I408" i="26"/>
  <c r="K408" i="26"/>
  <c r="A409" i="26"/>
  <c r="E409" i="26"/>
  <c r="F409" i="26"/>
  <c r="I409" i="26"/>
  <c r="K409" i="26"/>
  <c r="A410" i="26"/>
  <c r="E410" i="26"/>
  <c r="F410" i="26"/>
  <c r="I410" i="26"/>
  <c r="K410" i="26"/>
  <c r="A411" i="26"/>
  <c r="E411" i="26"/>
  <c r="F411" i="26"/>
  <c r="I411" i="26"/>
  <c r="K411" i="26"/>
  <c r="A412" i="26"/>
  <c r="E412" i="26"/>
  <c r="F412" i="26"/>
  <c r="I412" i="26"/>
  <c r="K412" i="26"/>
  <c r="A413" i="26"/>
  <c r="E413" i="26"/>
  <c r="F413" i="26"/>
  <c r="I413" i="26"/>
  <c r="K413" i="26"/>
  <c r="A414" i="26"/>
  <c r="E414" i="26"/>
  <c r="F414" i="26"/>
  <c r="I414" i="26"/>
  <c r="K414" i="26"/>
  <c r="A415" i="26"/>
  <c r="E415" i="26"/>
  <c r="F415" i="26"/>
  <c r="I415" i="26"/>
  <c r="K415" i="26"/>
  <c r="A416" i="26"/>
  <c r="E416" i="26"/>
  <c r="F416" i="26"/>
  <c r="I416" i="26"/>
  <c r="K416" i="26"/>
  <c r="A417" i="26"/>
  <c r="E417" i="26"/>
  <c r="F417" i="26"/>
  <c r="I417" i="26"/>
  <c r="K417" i="26"/>
  <c r="A418" i="26"/>
  <c r="E418" i="26"/>
  <c r="F418" i="26"/>
  <c r="I418" i="26"/>
  <c r="K418" i="26"/>
  <c r="A419" i="26"/>
  <c r="E419" i="26"/>
  <c r="F419" i="26"/>
  <c r="I419" i="26"/>
  <c r="K419" i="26"/>
  <c r="A420" i="26"/>
  <c r="E420" i="26"/>
  <c r="F420" i="26"/>
  <c r="I420" i="26"/>
  <c r="K420" i="26"/>
  <c r="A421" i="26"/>
  <c r="E421" i="26"/>
  <c r="F421" i="26"/>
  <c r="I421" i="26"/>
  <c r="K421" i="26"/>
  <c r="A422" i="26"/>
  <c r="E422" i="26"/>
  <c r="F422" i="26"/>
  <c r="I422" i="26"/>
  <c r="K422" i="26"/>
  <c r="A423" i="26"/>
  <c r="E423" i="26"/>
  <c r="F423" i="26"/>
  <c r="I423" i="26"/>
  <c r="K423" i="26"/>
  <c r="A424" i="26"/>
  <c r="E424" i="26"/>
  <c r="F424" i="26"/>
  <c r="I424" i="26"/>
  <c r="K424" i="26"/>
  <c r="A425" i="26"/>
  <c r="E425" i="26"/>
  <c r="F425" i="26"/>
  <c r="I425" i="26"/>
  <c r="K425" i="26"/>
  <c r="A426" i="26"/>
  <c r="E426" i="26"/>
  <c r="F426" i="26"/>
  <c r="I426" i="26"/>
  <c r="K426" i="26"/>
  <c r="A427" i="26"/>
  <c r="E427" i="26"/>
  <c r="F427" i="26"/>
  <c r="I427" i="26"/>
  <c r="K427" i="26"/>
  <c r="A428" i="26"/>
  <c r="E428" i="26"/>
  <c r="F428" i="26"/>
  <c r="I428" i="26"/>
  <c r="K428" i="26"/>
  <c r="A429" i="26"/>
  <c r="E429" i="26"/>
  <c r="F429" i="26"/>
  <c r="I429" i="26"/>
  <c r="K429" i="26"/>
  <c r="A430" i="26"/>
  <c r="E430" i="26"/>
  <c r="F430" i="26"/>
  <c r="I430" i="26"/>
  <c r="K430" i="26"/>
  <c r="A431" i="26"/>
  <c r="E431" i="26"/>
  <c r="F431" i="26"/>
  <c r="I431" i="26"/>
  <c r="K431" i="26"/>
  <c r="A432" i="26"/>
  <c r="E432" i="26"/>
  <c r="F432" i="26"/>
  <c r="I432" i="26"/>
  <c r="K432" i="26"/>
  <c r="A433" i="26"/>
  <c r="E433" i="26"/>
  <c r="F433" i="26"/>
  <c r="I433" i="26"/>
  <c r="K433" i="26"/>
  <c r="A434" i="26"/>
  <c r="E434" i="26"/>
  <c r="F434" i="26"/>
  <c r="I434" i="26"/>
  <c r="K434" i="26"/>
  <c r="A435" i="26"/>
  <c r="E435" i="26"/>
  <c r="F435" i="26"/>
  <c r="I435" i="26"/>
  <c r="K435" i="26"/>
  <c r="A436" i="26"/>
  <c r="E436" i="26"/>
  <c r="F436" i="26"/>
  <c r="I436" i="26"/>
  <c r="K436" i="26"/>
  <c r="A437" i="26"/>
  <c r="E437" i="26"/>
  <c r="F437" i="26"/>
  <c r="I437" i="26"/>
  <c r="K437" i="26"/>
  <c r="A438" i="26"/>
  <c r="E438" i="26"/>
  <c r="F438" i="26"/>
  <c r="I438" i="26"/>
  <c r="K438" i="26"/>
  <c r="A439" i="26"/>
  <c r="E439" i="26"/>
  <c r="F439" i="26"/>
  <c r="I439" i="26"/>
  <c r="K439" i="26"/>
  <c r="A440" i="26"/>
  <c r="E440" i="26"/>
  <c r="F440" i="26"/>
  <c r="I440" i="26"/>
  <c r="K440" i="26"/>
  <c r="A441" i="26"/>
  <c r="E441" i="26"/>
  <c r="F441" i="26"/>
  <c r="I441" i="26"/>
  <c r="K441" i="26"/>
  <c r="A442" i="26"/>
  <c r="E442" i="26"/>
  <c r="F442" i="26"/>
  <c r="I442" i="26"/>
  <c r="K442" i="26"/>
  <c r="A443" i="26"/>
  <c r="E443" i="26"/>
  <c r="F443" i="26"/>
  <c r="I443" i="26"/>
  <c r="K443" i="26"/>
  <c r="A444" i="26"/>
  <c r="E444" i="26"/>
  <c r="F444" i="26"/>
  <c r="I444" i="26"/>
  <c r="K444" i="26"/>
  <c r="A445" i="26"/>
  <c r="E445" i="26"/>
  <c r="F445" i="26"/>
  <c r="I445" i="26"/>
  <c r="K445" i="26"/>
  <c r="A446" i="26"/>
  <c r="E446" i="26"/>
  <c r="F446" i="26"/>
  <c r="I446" i="26"/>
  <c r="K446" i="26"/>
  <c r="A447" i="26"/>
  <c r="E447" i="26"/>
  <c r="F447" i="26"/>
  <c r="I447" i="26"/>
  <c r="K447" i="26"/>
  <c r="A448" i="26"/>
  <c r="E448" i="26"/>
  <c r="F448" i="26"/>
  <c r="I448" i="26"/>
  <c r="K448" i="26"/>
  <c r="A449" i="26"/>
  <c r="E449" i="26"/>
  <c r="F449" i="26"/>
  <c r="I449" i="26"/>
  <c r="K449" i="26"/>
  <c r="A450" i="26"/>
  <c r="E450" i="26"/>
  <c r="F450" i="26"/>
  <c r="I450" i="26"/>
  <c r="K450" i="26"/>
  <c r="A451" i="26"/>
  <c r="E451" i="26"/>
  <c r="F451" i="26"/>
  <c r="I451" i="26"/>
  <c r="K451" i="26"/>
  <c r="A452" i="26"/>
  <c r="E452" i="26"/>
  <c r="F452" i="26"/>
  <c r="I452" i="26"/>
  <c r="K452" i="26"/>
  <c r="A453" i="26"/>
  <c r="E453" i="26"/>
  <c r="F453" i="26"/>
  <c r="I453" i="26"/>
  <c r="K453" i="26"/>
  <c r="A454" i="26"/>
  <c r="E454" i="26"/>
  <c r="F454" i="26"/>
  <c r="I454" i="26"/>
  <c r="K454" i="26"/>
  <c r="A455" i="26"/>
  <c r="E455" i="26"/>
  <c r="F455" i="26"/>
  <c r="I455" i="26"/>
  <c r="K455" i="26"/>
  <c r="A456" i="26"/>
  <c r="E456" i="26"/>
  <c r="F456" i="26"/>
  <c r="I456" i="26"/>
  <c r="K456" i="26"/>
  <c r="A457" i="26"/>
  <c r="E457" i="26"/>
  <c r="F457" i="26"/>
  <c r="I457" i="26"/>
  <c r="K457" i="26"/>
  <c r="A458" i="26"/>
  <c r="E458" i="26"/>
  <c r="F458" i="26"/>
  <c r="I458" i="26"/>
  <c r="K458" i="26"/>
  <c r="A459" i="26"/>
  <c r="E459" i="26"/>
  <c r="F459" i="26"/>
  <c r="I459" i="26"/>
  <c r="K459" i="26"/>
  <c r="A460" i="26"/>
  <c r="E460" i="26"/>
  <c r="F460" i="26"/>
  <c r="I460" i="26"/>
  <c r="K460" i="26"/>
  <c r="A461" i="26"/>
  <c r="E461" i="26"/>
  <c r="F461" i="26"/>
  <c r="I461" i="26"/>
  <c r="K461" i="26"/>
  <c r="A462" i="26"/>
  <c r="E462" i="26"/>
  <c r="F462" i="26"/>
  <c r="I462" i="26"/>
  <c r="K462" i="26"/>
  <c r="A463" i="26"/>
  <c r="E463" i="26"/>
  <c r="F463" i="26"/>
  <c r="I463" i="26"/>
  <c r="K463" i="26"/>
  <c r="A464" i="26"/>
  <c r="E464" i="26"/>
  <c r="F464" i="26"/>
  <c r="I464" i="26"/>
  <c r="K464" i="26"/>
  <c r="A465" i="26"/>
  <c r="E465" i="26"/>
  <c r="F465" i="26"/>
  <c r="I465" i="26"/>
  <c r="K465" i="26"/>
  <c r="A466" i="26"/>
  <c r="E466" i="26"/>
  <c r="F466" i="26"/>
  <c r="I466" i="26"/>
  <c r="K466" i="26"/>
  <c r="A467" i="26"/>
  <c r="E467" i="26"/>
  <c r="F467" i="26"/>
  <c r="I467" i="26"/>
  <c r="K467" i="26"/>
  <c r="A468" i="26"/>
  <c r="E468" i="26"/>
  <c r="F468" i="26"/>
  <c r="I468" i="26"/>
  <c r="K468" i="26"/>
  <c r="A469" i="26"/>
  <c r="E469" i="26"/>
  <c r="F469" i="26"/>
  <c r="I469" i="26"/>
  <c r="K469" i="26"/>
  <c r="A470" i="26"/>
  <c r="E470" i="26"/>
  <c r="F470" i="26"/>
  <c r="I470" i="26"/>
  <c r="K470" i="26"/>
  <c r="A471" i="26"/>
  <c r="E471" i="26"/>
  <c r="F471" i="26"/>
  <c r="I471" i="26"/>
  <c r="K471" i="26"/>
  <c r="A472" i="26"/>
  <c r="E472" i="26"/>
  <c r="F472" i="26"/>
  <c r="I472" i="26"/>
  <c r="K472" i="26"/>
  <c r="A473" i="26"/>
  <c r="E473" i="26"/>
  <c r="F473" i="26"/>
  <c r="I473" i="26"/>
  <c r="K473" i="26"/>
  <c r="A474" i="26"/>
  <c r="E474" i="26"/>
  <c r="F474" i="26"/>
  <c r="I474" i="26"/>
  <c r="K474" i="26"/>
  <c r="A475" i="26"/>
  <c r="E475" i="26"/>
  <c r="F475" i="26"/>
  <c r="I475" i="26"/>
  <c r="K475" i="26"/>
  <c r="A476" i="26"/>
  <c r="E476" i="26"/>
  <c r="F476" i="26"/>
  <c r="I476" i="26"/>
  <c r="K476" i="26"/>
  <c r="A477" i="26"/>
  <c r="E477" i="26"/>
  <c r="F477" i="26"/>
  <c r="I477" i="26"/>
  <c r="K477" i="26"/>
  <c r="A478" i="26"/>
  <c r="E478" i="26"/>
  <c r="F478" i="26"/>
  <c r="I478" i="26"/>
  <c r="K478" i="26"/>
  <c r="A479" i="26"/>
  <c r="E479" i="26"/>
  <c r="F479" i="26"/>
  <c r="I479" i="26"/>
  <c r="K479" i="26"/>
  <c r="A480" i="26"/>
  <c r="E480" i="26"/>
  <c r="F480" i="26"/>
  <c r="I480" i="26"/>
  <c r="K480" i="26"/>
  <c r="A481" i="26"/>
  <c r="E481" i="26"/>
  <c r="F481" i="26"/>
  <c r="I481" i="26"/>
  <c r="K481" i="26"/>
  <c r="A482" i="26"/>
  <c r="E482" i="26"/>
  <c r="F482" i="26"/>
  <c r="I482" i="26"/>
  <c r="K482" i="26"/>
  <c r="A483" i="26"/>
  <c r="E483" i="26"/>
  <c r="F483" i="26"/>
  <c r="I483" i="26"/>
  <c r="K483" i="26"/>
  <c r="A484" i="26"/>
  <c r="E484" i="26"/>
  <c r="F484" i="26"/>
  <c r="I484" i="26"/>
  <c r="K484" i="26"/>
  <c r="A485" i="26"/>
  <c r="E485" i="26"/>
  <c r="F485" i="26"/>
  <c r="I485" i="26"/>
  <c r="K485" i="26"/>
  <c r="A486" i="26"/>
  <c r="E486" i="26"/>
  <c r="F486" i="26"/>
  <c r="I486" i="26"/>
  <c r="K486" i="26"/>
  <c r="A487" i="26"/>
  <c r="E487" i="26"/>
  <c r="F487" i="26"/>
  <c r="I487" i="26"/>
  <c r="K487" i="26"/>
  <c r="A488" i="26"/>
  <c r="E488" i="26"/>
  <c r="F488" i="26"/>
  <c r="I488" i="26"/>
  <c r="K488" i="26"/>
  <c r="A489" i="26"/>
  <c r="E489" i="26"/>
  <c r="F489" i="26"/>
  <c r="I489" i="26"/>
  <c r="K489" i="26"/>
  <c r="A490" i="26"/>
  <c r="E490" i="26"/>
  <c r="F490" i="26"/>
  <c r="I490" i="26"/>
  <c r="K490" i="26"/>
  <c r="A491" i="26"/>
  <c r="E491" i="26"/>
  <c r="F491" i="26"/>
  <c r="I491" i="26"/>
  <c r="K491" i="26"/>
  <c r="A492" i="26"/>
  <c r="E492" i="26"/>
  <c r="F492" i="26"/>
  <c r="I492" i="26"/>
  <c r="K492" i="26"/>
  <c r="A493" i="26"/>
  <c r="E493" i="26"/>
  <c r="F493" i="26"/>
  <c r="I493" i="26"/>
  <c r="K493" i="26"/>
  <c r="A494" i="26"/>
  <c r="E494" i="26"/>
  <c r="F494" i="26"/>
  <c r="I494" i="26"/>
  <c r="K494" i="26"/>
  <c r="A495" i="26"/>
  <c r="E495" i="26"/>
  <c r="F495" i="26"/>
  <c r="I495" i="26"/>
  <c r="K495" i="26"/>
  <c r="A496" i="26"/>
  <c r="E496" i="26"/>
  <c r="F496" i="26"/>
  <c r="I496" i="26"/>
  <c r="K496" i="26"/>
  <c r="A497" i="26"/>
  <c r="E497" i="26"/>
  <c r="F497" i="26"/>
  <c r="I497" i="26"/>
  <c r="K497" i="26"/>
  <c r="A498" i="26"/>
  <c r="E498" i="26"/>
  <c r="F498" i="26"/>
  <c r="I498" i="26"/>
  <c r="K498" i="26"/>
  <c r="A499" i="26"/>
  <c r="E499" i="26"/>
  <c r="F499" i="26"/>
  <c r="I499" i="26"/>
  <c r="K499" i="26"/>
  <c r="A500" i="26"/>
  <c r="E500" i="26"/>
  <c r="F500" i="26"/>
  <c r="I500" i="26"/>
  <c r="K500" i="26"/>
  <c r="A501" i="26"/>
  <c r="E501" i="26"/>
  <c r="F501" i="26"/>
  <c r="I501" i="26"/>
  <c r="K501" i="26"/>
  <c r="A502" i="26"/>
  <c r="E502" i="26"/>
  <c r="F502" i="26"/>
  <c r="I502" i="26"/>
  <c r="K502" i="26"/>
  <c r="A503" i="26"/>
  <c r="E503" i="26"/>
  <c r="F503" i="26"/>
  <c r="I503" i="26"/>
  <c r="K503" i="26"/>
  <c r="A504" i="26"/>
  <c r="E504" i="26"/>
  <c r="F504" i="26"/>
  <c r="I504" i="26"/>
  <c r="K504" i="26"/>
  <c r="A505" i="26"/>
  <c r="E505" i="26"/>
  <c r="F505" i="26"/>
  <c r="I505" i="26"/>
  <c r="K505" i="26"/>
  <c r="A506" i="26"/>
  <c r="E506" i="26"/>
  <c r="F506" i="26"/>
  <c r="I506" i="26"/>
  <c r="K506" i="26"/>
  <c r="A507" i="26"/>
  <c r="E507" i="26"/>
  <c r="F507" i="26"/>
  <c r="I507" i="26"/>
  <c r="K507" i="26"/>
  <c r="A508" i="26"/>
  <c r="E508" i="26"/>
  <c r="F508" i="26"/>
  <c r="I508" i="26"/>
  <c r="K508" i="26"/>
  <c r="A509" i="26"/>
  <c r="E509" i="26"/>
  <c r="F509" i="26"/>
  <c r="I509" i="26"/>
  <c r="K509" i="26"/>
  <c r="A510" i="26"/>
  <c r="E510" i="26"/>
  <c r="F510" i="26"/>
  <c r="I510" i="26"/>
  <c r="K510" i="26"/>
  <c r="A511" i="26"/>
  <c r="E511" i="26"/>
  <c r="F511" i="26"/>
  <c r="I511" i="26"/>
  <c r="K511" i="26"/>
  <c r="A512" i="26"/>
  <c r="E512" i="26"/>
  <c r="F512" i="26"/>
  <c r="I512" i="26"/>
  <c r="K512" i="26"/>
  <c r="A513" i="26"/>
  <c r="E513" i="26"/>
  <c r="F513" i="26"/>
  <c r="I513" i="26"/>
  <c r="K513" i="26"/>
  <c r="A514" i="26"/>
  <c r="E514" i="26"/>
  <c r="F514" i="26"/>
  <c r="I514" i="26"/>
  <c r="K514" i="26"/>
  <c r="A515" i="26"/>
  <c r="E515" i="26"/>
  <c r="F515" i="26"/>
  <c r="I515" i="26"/>
  <c r="K515" i="26"/>
  <c r="A516" i="26"/>
  <c r="E516" i="26"/>
  <c r="F516" i="26"/>
  <c r="I516" i="26"/>
  <c r="K516" i="26"/>
  <c r="A517" i="26"/>
  <c r="E517" i="26"/>
  <c r="F517" i="26"/>
  <c r="I517" i="26"/>
  <c r="K517" i="26"/>
  <c r="A518" i="26"/>
  <c r="E518" i="26"/>
  <c r="F518" i="26"/>
  <c r="I518" i="26"/>
  <c r="K518" i="26"/>
  <c r="A519" i="26"/>
  <c r="E519" i="26"/>
  <c r="F519" i="26"/>
  <c r="I519" i="26"/>
  <c r="K519" i="26"/>
  <c r="A520" i="26"/>
  <c r="E520" i="26"/>
  <c r="F520" i="26"/>
  <c r="I520" i="26"/>
  <c r="K520" i="26"/>
  <c r="A521" i="26"/>
  <c r="E521" i="26"/>
  <c r="F521" i="26"/>
  <c r="I521" i="26"/>
  <c r="K521" i="26"/>
  <c r="A522" i="26"/>
  <c r="E522" i="26"/>
  <c r="F522" i="26"/>
  <c r="I522" i="26"/>
  <c r="K522" i="26"/>
  <c r="A523" i="26"/>
  <c r="E523" i="26"/>
  <c r="F523" i="26"/>
  <c r="I523" i="26"/>
  <c r="K523" i="26"/>
  <c r="A524" i="26"/>
  <c r="E524" i="26"/>
  <c r="F524" i="26"/>
  <c r="I524" i="26"/>
  <c r="K524" i="26"/>
  <c r="A525" i="26"/>
  <c r="E525" i="26"/>
  <c r="F525" i="26"/>
  <c r="I525" i="26"/>
  <c r="K525" i="26"/>
  <c r="A526" i="26"/>
  <c r="E526" i="26"/>
  <c r="F526" i="26"/>
  <c r="I526" i="26"/>
  <c r="K526" i="26"/>
  <c r="A527" i="26"/>
  <c r="E527" i="26"/>
  <c r="F527" i="26"/>
  <c r="I527" i="26"/>
  <c r="K527" i="26"/>
  <c r="A528" i="26"/>
  <c r="E528" i="26"/>
  <c r="F528" i="26"/>
  <c r="I528" i="26"/>
  <c r="K528" i="26"/>
  <c r="A529" i="26"/>
  <c r="E529" i="26"/>
  <c r="F529" i="26"/>
  <c r="I529" i="26"/>
  <c r="K529" i="26"/>
  <c r="A530" i="26"/>
  <c r="E530" i="26"/>
  <c r="F530" i="26"/>
  <c r="I530" i="26"/>
  <c r="K530" i="26"/>
  <c r="A531" i="26"/>
  <c r="E531" i="26"/>
  <c r="F531" i="26"/>
  <c r="I531" i="26"/>
  <c r="K531" i="26"/>
  <c r="A532" i="26"/>
  <c r="E532" i="26"/>
  <c r="F532" i="26"/>
  <c r="I532" i="26"/>
  <c r="K532" i="26"/>
  <c r="A533" i="26"/>
  <c r="E533" i="26"/>
  <c r="F533" i="26"/>
  <c r="I533" i="26"/>
  <c r="K533" i="26"/>
  <c r="A534" i="26"/>
  <c r="E534" i="26"/>
  <c r="F534" i="26"/>
  <c r="I534" i="26"/>
  <c r="K534" i="26"/>
  <c r="A535" i="26"/>
  <c r="E535" i="26"/>
  <c r="F535" i="26"/>
  <c r="I535" i="26"/>
  <c r="K535" i="26"/>
  <c r="A536" i="26"/>
  <c r="E536" i="26"/>
  <c r="F536" i="26"/>
  <c r="I536" i="26"/>
  <c r="K536" i="26"/>
  <c r="A537" i="26"/>
  <c r="E537" i="26"/>
  <c r="F537" i="26"/>
  <c r="I537" i="26"/>
  <c r="K537" i="26"/>
  <c r="A538" i="26"/>
  <c r="E538" i="26"/>
  <c r="F538" i="26"/>
  <c r="I538" i="26"/>
  <c r="K538" i="26"/>
  <c r="A539" i="26"/>
  <c r="E539" i="26"/>
  <c r="F539" i="26"/>
  <c r="I539" i="26"/>
  <c r="K539" i="26"/>
  <c r="A540" i="26"/>
  <c r="E540" i="26"/>
  <c r="F540" i="26"/>
  <c r="I540" i="26"/>
  <c r="K540" i="26"/>
  <c r="A541" i="26"/>
  <c r="E541" i="26"/>
  <c r="F541" i="26"/>
  <c r="I541" i="26"/>
  <c r="K541" i="26"/>
  <c r="A542" i="26"/>
  <c r="E542" i="26"/>
  <c r="F542" i="26"/>
  <c r="I542" i="26"/>
  <c r="K542" i="26"/>
  <c r="A543" i="26"/>
  <c r="E543" i="26"/>
  <c r="F543" i="26"/>
  <c r="I543" i="26"/>
  <c r="K543" i="26"/>
  <c r="A544" i="26"/>
  <c r="E544" i="26"/>
  <c r="F544" i="26"/>
  <c r="I544" i="26"/>
  <c r="K544" i="26"/>
  <c r="A545" i="26"/>
  <c r="E545" i="26"/>
  <c r="F545" i="26"/>
  <c r="I545" i="26"/>
  <c r="K545" i="26"/>
  <c r="A546" i="26"/>
  <c r="E546" i="26"/>
  <c r="F546" i="26"/>
  <c r="I546" i="26"/>
  <c r="K546" i="26"/>
  <c r="A547" i="26"/>
  <c r="E547" i="26"/>
  <c r="F547" i="26"/>
  <c r="I547" i="26"/>
  <c r="K547" i="26"/>
  <c r="A548" i="26"/>
  <c r="E548" i="26"/>
  <c r="F548" i="26"/>
  <c r="I548" i="26"/>
  <c r="K548" i="26"/>
  <c r="A549" i="26"/>
  <c r="E549" i="26"/>
  <c r="F549" i="26"/>
  <c r="I549" i="26"/>
  <c r="K549" i="26"/>
  <c r="A550" i="26"/>
  <c r="E550" i="26"/>
  <c r="F550" i="26"/>
  <c r="I550" i="26"/>
  <c r="K550" i="26"/>
  <c r="A551" i="26"/>
  <c r="E551" i="26"/>
  <c r="F551" i="26"/>
  <c r="I551" i="26"/>
  <c r="K551" i="26"/>
  <c r="A552" i="26"/>
  <c r="E552" i="26"/>
  <c r="F552" i="26"/>
  <c r="I552" i="26"/>
  <c r="K552" i="26"/>
  <c r="A553" i="26"/>
  <c r="E553" i="26"/>
  <c r="F553" i="26"/>
  <c r="I553" i="26"/>
  <c r="K553" i="26"/>
  <c r="A554" i="26"/>
  <c r="E554" i="26"/>
  <c r="F554" i="26"/>
  <c r="I554" i="26"/>
  <c r="K554" i="26"/>
  <c r="A555" i="26"/>
  <c r="E555" i="26"/>
  <c r="F555" i="26"/>
  <c r="I555" i="26"/>
  <c r="K555" i="26"/>
  <c r="A556" i="26"/>
  <c r="E556" i="26"/>
  <c r="F556" i="26"/>
  <c r="I556" i="26"/>
  <c r="K556" i="26"/>
  <c r="A557" i="26"/>
  <c r="E557" i="26"/>
  <c r="F557" i="26"/>
  <c r="I557" i="26"/>
  <c r="K557" i="26"/>
  <c r="A558" i="26"/>
  <c r="E558" i="26"/>
  <c r="F558" i="26"/>
  <c r="I558" i="26"/>
  <c r="K558" i="26"/>
  <c r="A559" i="26"/>
  <c r="E559" i="26"/>
  <c r="F559" i="26"/>
  <c r="I559" i="26"/>
  <c r="K559" i="26"/>
  <c r="A560" i="26"/>
  <c r="E560" i="26"/>
  <c r="F560" i="26"/>
  <c r="I560" i="26"/>
  <c r="K560" i="26"/>
  <c r="A561" i="26"/>
  <c r="E561" i="26"/>
  <c r="F561" i="26"/>
  <c r="I561" i="26"/>
  <c r="K561" i="26"/>
  <c r="A562" i="26"/>
  <c r="E562" i="26"/>
  <c r="F562" i="26"/>
  <c r="I562" i="26"/>
  <c r="K562" i="26"/>
  <c r="A563" i="26"/>
  <c r="E563" i="26"/>
  <c r="F563" i="26"/>
  <c r="I563" i="26"/>
  <c r="K563" i="26"/>
  <c r="A564" i="26"/>
  <c r="E564" i="26"/>
  <c r="F564" i="26"/>
  <c r="I564" i="26"/>
  <c r="K564" i="26"/>
  <c r="A565" i="26"/>
  <c r="E565" i="26"/>
  <c r="F565" i="26"/>
  <c r="I565" i="26"/>
  <c r="K565" i="26"/>
  <c r="A566" i="26"/>
  <c r="E566" i="26"/>
  <c r="F566" i="26"/>
  <c r="I566" i="26"/>
  <c r="K566" i="26"/>
  <c r="A567" i="26"/>
  <c r="E567" i="26"/>
  <c r="F567" i="26"/>
  <c r="I567" i="26"/>
  <c r="K567" i="26"/>
  <c r="A568" i="26"/>
  <c r="E568" i="26"/>
  <c r="F568" i="26"/>
  <c r="I568" i="26"/>
  <c r="K568" i="26"/>
  <c r="A569" i="26"/>
  <c r="E569" i="26"/>
  <c r="F569" i="26"/>
  <c r="I569" i="26"/>
  <c r="K569" i="26"/>
  <c r="A570" i="26"/>
  <c r="E570" i="26"/>
  <c r="F570" i="26"/>
  <c r="I570" i="26"/>
  <c r="K570" i="26"/>
  <c r="A571" i="26"/>
  <c r="E571" i="26"/>
  <c r="F571" i="26"/>
  <c r="I571" i="26"/>
  <c r="K571" i="26"/>
  <c r="A572" i="26"/>
  <c r="E572" i="26"/>
  <c r="F572" i="26"/>
  <c r="I572" i="26"/>
  <c r="K572" i="26"/>
  <c r="A573" i="26"/>
  <c r="E573" i="26"/>
  <c r="F573" i="26"/>
  <c r="I573" i="26"/>
  <c r="K573" i="26"/>
  <c r="A574" i="26"/>
  <c r="E574" i="26"/>
  <c r="F574" i="26"/>
  <c r="I574" i="26"/>
  <c r="K574" i="26"/>
  <c r="A575" i="26"/>
  <c r="E575" i="26"/>
  <c r="F575" i="26"/>
  <c r="I575" i="26"/>
  <c r="K575" i="26"/>
  <c r="A576" i="26"/>
  <c r="E576" i="26"/>
  <c r="F576" i="26"/>
  <c r="I576" i="26"/>
  <c r="K576" i="26"/>
  <c r="A577" i="26"/>
  <c r="E577" i="26"/>
  <c r="F577" i="26"/>
  <c r="I577" i="26"/>
  <c r="K577" i="26"/>
  <c r="A578" i="26"/>
  <c r="E578" i="26"/>
  <c r="F578" i="26"/>
  <c r="I578" i="26"/>
  <c r="K578" i="26"/>
  <c r="A579" i="26"/>
  <c r="E579" i="26"/>
  <c r="F579" i="26"/>
  <c r="I579" i="26"/>
  <c r="K579" i="26"/>
  <c r="A580" i="26"/>
  <c r="E580" i="26"/>
  <c r="F580" i="26"/>
  <c r="I580" i="26"/>
  <c r="K580" i="26"/>
  <c r="A581" i="26"/>
  <c r="E581" i="26"/>
  <c r="F581" i="26"/>
  <c r="I581" i="26"/>
  <c r="K581" i="26"/>
  <c r="A582" i="26"/>
  <c r="E582" i="26"/>
  <c r="F582" i="26"/>
  <c r="I582" i="26"/>
  <c r="K582" i="26"/>
  <c r="A583" i="26"/>
  <c r="E583" i="26"/>
  <c r="F583" i="26"/>
  <c r="I583" i="26"/>
  <c r="K583" i="26"/>
  <c r="A584" i="26"/>
  <c r="E584" i="26"/>
  <c r="F584" i="26"/>
  <c r="I584" i="26"/>
  <c r="K584" i="26"/>
  <c r="A585" i="26"/>
  <c r="E585" i="26"/>
  <c r="F585" i="26"/>
  <c r="I585" i="26"/>
  <c r="K585" i="26"/>
  <c r="A586" i="26"/>
  <c r="E586" i="26"/>
  <c r="F586" i="26"/>
  <c r="I586" i="26"/>
  <c r="K586" i="26"/>
  <c r="A587" i="26"/>
  <c r="E587" i="26"/>
  <c r="F587" i="26"/>
  <c r="I587" i="26"/>
  <c r="K587" i="26"/>
  <c r="A588" i="26"/>
  <c r="E588" i="26"/>
  <c r="F588" i="26"/>
  <c r="I588" i="26"/>
  <c r="K588" i="26"/>
  <c r="A589" i="26"/>
  <c r="E589" i="26"/>
  <c r="F589" i="26"/>
  <c r="I589" i="26"/>
  <c r="K589" i="26"/>
  <c r="A590" i="26"/>
  <c r="E590" i="26"/>
  <c r="F590" i="26"/>
  <c r="I590" i="26"/>
  <c r="K590" i="26"/>
  <c r="A591" i="26"/>
  <c r="E591" i="26"/>
  <c r="F591" i="26"/>
  <c r="I591" i="26"/>
  <c r="K591" i="26"/>
  <c r="A592" i="26"/>
  <c r="E592" i="26"/>
  <c r="F592" i="26"/>
  <c r="I592" i="26"/>
  <c r="K592" i="26"/>
  <c r="A593" i="26"/>
  <c r="E593" i="26"/>
  <c r="F593" i="26"/>
  <c r="I593" i="26"/>
  <c r="K593" i="26"/>
  <c r="A594" i="26"/>
  <c r="E594" i="26"/>
  <c r="F594" i="26"/>
  <c r="I594" i="26"/>
  <c r="K594" i="26"/>
  <c r="A595" i="26"/>
  <c r="E595" i="26"/>
  <c r="F595" i="26"/>
  <c r="I595" i="26"/>
  <c r="K595" i="26"/>
  <c r="A596" i="26"/>
  <c r="E596" i="26"/>
  <c r="F596" i="26"/>
  <c r="I596" i="26"/>
  <c r="K596" i="26"/>
  <c r="A597" i="26"/>
  <c r="E597" i="26"/>
  <c r="F597" i="26"/>
  <c r="I597" i="26"/>
  <c r="K597" i="26"/>
  <c r="A598" i="26"/>
  <c r="E598" i="26"/>
  <c r="F598" i="26"/>
  <c r="I598" i="26"/>
  <c r="K598" i="26"/>
  <c r="A599" i="26"/>
  <c r="E599" i="26"/>
  <c r="F599" i="26"/>
  <c r="I599" i="26"/>
  <c r="K599" i="26"/>
  <c r="A600" i="26"/>
  <c r="E600" i="26"/>
  <c r="F600" i="26"/>
  <c r="I600" i="26"/>
  <c r="K600" i="26"/>
  <c r="A601" i="26"/>
  <c r="E601" i="26"/>
  <c r="F601" i="26"/>
  <c r="I601" i="26"/>
  <c r="K601" i="26"/>
  <c r="A602" i="26"/>
  <c r="E602" i="26"/>
  <c r="F602" i="26"/>
  <c r="I602" i="26"/>
  <c r="K602" i="26"/>
  <c r="A603" i="26"/>
  <c r="E603" i="26"/>
  <c r="F603" i="26"/>
  <c r="I603" i="26"/>
  <c r="K603" i="26"/>
  <c r="A604" i="26"/>
  <c r="E604" i="26"/>
  <c r="F604" i="26"/>
  <c r="I604" i="26"/>
  <c r="K604" i="26"/>
  <c r="A605" i="26"/>
  <c r="E605" i="26"/>
  <c r="F605" i="26"/>
  <c r="I605" i="26"/>
  <c r="K605" i="26"/>
  <c r="A606" i="26"/>
  <c r="E606" i="26"/>
  <c r="F606" i="26"/>
  <c r="I606" i="26"/>
  <c r="K606" i="26"/>
  <c r="A607" i="26"/>
  <c r="E607" i="26"/>
  <c r="F607" i="26"/>
  <c r="I607" i="26"/>
  <c r="K607" i="26"/>
  <c r="A608" i="26"/>
  <c r="E608" i="26"/>
  <c r="F608" i="26"/>
  <c r="I608" i="26"/>
  <c r="K608" i="26"/>
  <c r="A609" i="26"/>
  <c r="E609" i="26"/>
  <c r="F609" i="26"/>
  <c r="I609" i="26"/>
  <c r="K609" i="26"/>
  <c r="A610" i="26"/>
  <c r="E610" i="26"/>
  <c r="F610" i="26"/>
  <c r="I610" i="26"/>
  <c r="K610" i="26"/>
  <c r="A611" i="26"/>
  <c r="E611" i="26"/>
  <c r="F611" i="26"/>
  <c r="I611" i="26"/>
  <c r="K611" i="26"/>
  <c r="A612" i="26"/>
  <c r="E612" i="26"/>
  <c r="F612" i="26"/>
  <c r="I612" i="26"/>
  <c r="K612" i="26"/>
  <c r="A613" i="26"/>
  <c r="E613" i="26"/>
  <c r="F613" i="26"/>
  <c r="I613" i="26"/>
  <c r="K613" i="26"/>
  <c r="A614" i="26"/>
  <c r="E614" i="26"/>
  <c r="F614" i="26"/>
  <c r="I614" i="26"/>
  <c r="K614" i="26"/>
  <c r="A615" i="26"/>
  <c r="E615" i="26"/>
  <c r="F615" i="26"/>
  <c r="I615" i="26"/>
  <c r="K615" i="26"/>
  <c r="A616" i="26"/>
  <c r="E616" i="26"/>
  <c r="F616" i="26"/>
  <c r="I616" i="26"/>
  <c r="K616" i="26"/>
  <c r="A617" i="26"/>
  <c r="E617" i="26"/>
  <c r="F617" i="26"/>
  <c r="I617" i="26"/>
  <c r="K617" i="26"/>
  <c r="A618" i="26"/>
  <c r="E618" i="26"/>
  <c r="F618" i="26"/>
  <c r="I618" i="26"/>
  <c r="K618" i="26"/>
  <c r="A619" i="26"/>
  <c r="E619" i="26"/>
  <c r="F619" i="26"/>
  <c r="I619" i="26"/>
  <c r="K619" i="26"/>
  <c r="A620" i="26"/>
  <c r="E620" i="26"/>
  <c r="F620" i="26"/>
  <c r="I620" i="26"/>
  <c r="K620" i="26"/>
  <c r="A621" i="26"/>
  <c r="E621" i="26"/>
  <c r="F621" i="26"/>
  <c r="I621" i="26"/>
  <c r="K621" i="26"/>
  <c r="A622" i="26"/>
  <c r="E622" i="26"/>
  <c r="F622" i="26"/>
  <c r="I622" i="26"/>
  <c r="K622" i="26"/>
  <c r="A623" i="26"/>
  <c r="E623" i="26"/>
  <c r="F623" i="26"/>
  <c r="I623" i="26"/>
  <c r="K623" i="26"/>
  <c r="A624" i="26"/>
  <c r="E624" i="26"/>
  <c r="F624" i="26"/>
  <c r="I624" i="26"/>
  <c r="K624" i="26"/>
  <c r="A625" i="26"/>
  <c r="E625" i="26"/>
  <c r="F625" i="26"/>
  <c r="I625" i="26"/>
  <c r="K625" i="26"/>
  <c r="A626" i="26"/>
  <c r="E626" i="26"/>
  <c r="F626" i="26"/>
  <c r="I626" i="26"/>
  <c r="K626" i="26"/>
  <c r="A627" i="26"/>
  <c r="E627" i="26"/>
  <c r="F627" i="26"/>
  <c r="I627" i="26"/>
  <c r="K627" i="26"/>
  <c r="A628" i="26"/>
  <c r="E628" i="26"/>
  <c r="F628" i="26"/>
  <c r="I628" i="26"/>
  <c r="K628" i="26"/>
  <c r="A629" i="26"/>
  <c r="E629" i="26"/>
  <c r="F629" i="26"/>
  <c r="I629" i="26"/>
  <c r="K629" i="26"/>
  <c r="A630" i="26"/>
  <c r="E630" i="26"/>
  <c r="F630" i="26"/>
  <c r="I630" i="26"/>
  <c r="K630" i="26"/>
  <c r="A631" i="26"/>
  <c r="E631" i="26"/>
  <c r="F631" i="26"/>
  <c r="I631" i="26"/>
  <c r="K631" i="26"/>
  <c r="A632" i="26"/>
  <c r="E632" i="26"/>
  <c r="F632" i="26"/>
  <c r="I632" i="26"/>
  <c r="K632" i="26"/>
  <c r="A633" i="26"/>
  <c r="E633" i="26"/>
  <c r="F633" i="26"/>
  <c r="I633" i="26"/>
  <c r="K633" i="26"/>
  <c r="A634" i="26"/>
  <c r="E634" i="26"/>
  <c r="F634" i="26"/>
  <c r="I634" i="26"/>
  <c r="K634" i="26"/>
  <c r="A635" i="26"/>
  <c r="E635" i="26"/>
  <c r="F635" i="26"/>
  <c r="I635" i="26"/>
  <c r="K635" i="26"/>
  <c r="A636" i="26"/>
  <c r="E636" i="26"/>
  <c r="F636" i="26"/>
  <c r="I636" i="26"/>
  <c r="K636" i="26"/>
  <c r="A637" i="26"/>
  <c r="E637" i="26"/>
  <c r="F637" i="26"/>
  <c r="I637" i="26"/>
  <c r="K637" i="26"/>
  <c r="A638" i="26"/>
  <c r="E638" i="26"/>
  <c r="F638" i="26"/>
  <c r="I638" i="26"/>
  <c r="K638" i="26"/>
  <c r="A639" i="26"/>
  <c r="E639" i="26"/>
  <c r="F639" i="26"/>
  <c r="I639" i="26"/>
  <c r="K639" i="26"/>
  <c r="A640" i="26"/>
  <c r="E640" i="26"/>
  <c r="F640" i="26"/>
  <c r="I640" i="26"/>
  <c r="K640" i="26"/>
  <c r="A641" i="26"/>
  <c r="E641" i="26"/>
  <c r="F641" i="26"/>
  <c r="I641" i="26"/>
  <c r="K641" i="26"/>
  <c r="A642" i="26"/>
  <c r="E642" i="26"/>
  <c r="F642" i="26"/>
  <c r="I642" i="26"/>
  <c r="K642" i="26"/>
  <c r="A643" i="26"/>
  <c r="E643" i="26"/>
  <c r="F643" i="26"/>
  <c r="I643" i="26"/>
  <c r="K643" i="26"/>
  <c r="A644" i="26"/>
  <c r="E644" i="26"/>
  <c r="F644" i="26"/>
  <c r="I644" i="26"/>
  <c r="K644" i="26"/>
  <c r="A645" i="26"/>
  <c r="E645" i="26"/>
  <c r="F645" i="26"/>
  <c r="I645" i="26"/>
  <c r="K645" i="26"/>
  <c r="A646" i="26"/>
  <c r="E646" i="26"/>
  <c r="F646" i="26"/>
  <c r="I646" i="26"/>
  <c r="K646" i="26"/>
  <c r="A647" i="26"/>
  <c r="E647" i="26"/>
  <c r="F647" i="26"/>
  <c r="I647" i="26"/>
  <c r="K647" i="26"/>
  <c r="A648" i="26"/>
  <c r="E648" i="26"/>
  <c r="F648" i="26"/>
  <c r="I648" i="26"/>
  <c r="K648" i="26"/>
  <c r="A649" i="26"/>
  <c r="E649" i="26"/>
  <c r="F649" i="26"/>
  <c r="I649" i="26"/>
  <c r="K649" i="26"/>
  <c r="A650" i="26"/>
  <c r="E650" i="26"/>
  <c r="F650" i="26"/>
  <c r="I650" i="26"/>
  <c r="K650" i="26"/>
  <c r="A651" i="26"/>
  <c r="E651" i="26"/>
  <c r="F651" i="26"/>
  <c r="I651" i="26"/>
  <c r="K651" i="26"/>
  <c r="A652" i="26"/>
  <c r="E652" i="26"/>
  <c r="F652" i="26"/>
  <c r="I652" i="26"/>
  <c r="K652" i="26"/>
  <c r="A653" i="26"/>
  <c r="E653" i="26"/>
  <c r="F653" i="26"/>
  <c r="I653" i="26"/>
  <c r="K653" i="26"/>
  <c r="A654" i="26"/>
  <c r="E654" i="26"/>
  <c r="F654" i="26"/>
  <c r="I654" i="26"/>
  <c r="K654" i="26"/>
  <c r="A655" i="26"/>
  <c r="E655" i="26"/>
  <c r="F655" i="26"/>
  <c r="I655" i="26"/>
  <c r="K655" i="26"/>
  <c r="A656" i="26"/>
  <c r="E656" i="26"/>
  <c r="F656" i="26"/>
  <c r="I656" i="26"/>
  <c r="K656" i="26"/>
  <c r="A657" i="26"/>
  <c r="E657" i="26"/>
  <c r="F657" i="26"/>
  <c r="I657" i="26"/>
  <c r="K657" i="26"/>
  <c r="A658" i="26"/>
  <c r="E658" i="26"/>
  <c r="F658" i="26"/>
  <c r="I658" i="26"/>
  <c r="K658" i="26"/>
  <c r="A659" i="26"/>
  <c r="E659" i="26"/>
  <c r="F659" i="26"/>
  <c r="I659" i="26"/>
  <c r="K659" i="26"/>
  <c r="A660" i="26"/>
  <c r="E660" i="26"/>
  <c r="F660" i="26"/>
  <c r="I660" i="26"/>
  <c r="K660" i="26"/>
  <c r="A661" i="26"/>
  <c r="E661" i="26"/>
  <c r="F661" i="26"/>
  <c r="I661" i="26"/>
  <c r="K661" i="26"/>
  <c r="A662" i="26"/>
  <c r="E662" i="26"/>
  <c r="F662" i="26"/>
  <c r="I662" i="26"/>
  <c r="K662" i="26"/>
  <c r="A663" i="26"/>
  <c r="E663" i="26"/>
  <c r="F663" i="26"/>
  <c r="I663" i="26"/>
  <c r="K663" i="26"/>
  <c r="A664" i="26"/>
  <c r="E664" i="26"/>
  <c r="F664" i="26"/>
  <c r="I664" i="26"/>
  <c r="K664" i="26"/>
  <c r="A665" i="26"/>
  <c r="E665" i="26"/>
  <c r="F665" i="26"/>
  <c r="I665" i="26"/>
  <c r="K665" i="26"/>
  <c r="A666" i="26"/>
  <c r="E666" i="26"/>
  <c r="F666" i="26"/>
  <c r="I666" i="26"/>
  <c r="K666" i="26"/>
  <c r="A667" i="26"/>
  <c r="E667" i="26"/>
  <c r="F667" i="26"/>
  <c r="I667" i="26"/>
  <c r="K667" i="26"/>
  <c r="A668" i="26"/>
  <c r="E668" i="26"/>
  <c r="F668" i="26"/>
  <c r="I668" i="26"/>
  <c r="K668" i="26"/>
  <c r="A669" i="26"/>
  <c r="E669" i="26"/>
  <c r="F669" i="26"/>
  <c r="I669" i="26"/>
  <c r="K669" i="26"/>
  <c r="A670" i="26"/>
  <c r="E670" i="26"/>
  <c r="F670" i="26"/>
  <c r="I670" i="26"/>
  <c r="K670" i="26"/>
  <c r="A671" i="26"/>
  <c r="E671" i="26"/>
  <c r="F671" i="26"/>
  <c r="I671" i="26"/>
  <c r="K671" i="26"/>
  <c r="A672" i="26"/>
  <c r="E672" i="26"/>
  <c r="F672" i="26"/>
  <c r="I672" i="26"/>
  <c r="K672" i="26"/>
  <c r="A673" i="26"/>
  <c r="E673" i="26"/>
  <c r="F673" i="26"/>
  <c r="I673" i="26"/>
  <c r="K673" i="26"/>
  <c r="A674" i="26"/>
  <c r="E674" i="26"/>
  <c r="F674" i="26"/>
  <c r="I674" i="26"/>
  <c r="K674" i="26"/>
  <c r="A675" i="26"/>
  <c r="E675" i="26"/>
  <c r="F675" i="26"/>
  <c r="I675" i="26"/>
  <c r="K675" i="26"/>
  <c r="A676" i="26"/>
  <c r="E676" i="26"/>
  <c r="F676" i="26"/>
  <c r="I676" i="26"/>
  <c r="K676" i="26"/>
  <c r="A677" i="26"/>
  <c r="E677" i="26"/>
  <c r="F677" i="26"/>
  <c r="I677" i="26"/>
  <c r="K677" i="26"/>
  <c r="A678" i="26"/>
  <c r="E678" i="26"/>
  <c r="F678" i="26"/>
  <c r="I678" i="26"/>
  <c r="K678" i="26"/>
  <c r="A679" i="26"/>
  <c r="E679" i="26"/>
  <c r="F679" i="26"/>
  <c r="I679" i="26"/>
  <c r="K679" i="26"/>
  <c r="A680" i="26"/>
  <c r="E680" i="26"/>
  <c r="F680" i="26"/>
  <c r="I680" i="26"/>
  <c r="K680" i="26"/>
  <c r="A681" i="26"/>
  <c r="E681" i="26"/>
  <c r="F681" i="26"/>
  <c r="I681" i="26"/>
  <c r="K681" i="26"/>
  <c r="A682" i="26"/>
  <c r="E682" i="26"/>
  <c r="F682" i="26"/>
  <c r="I682" i="26"/>
  <c r="K682" i="26"/>
  <c r="A683" i="26"/>
  <c r="E683" i="26"/>
  <c r="F683" i="26"/>
  <c r="I683" i="26"/>
  <c r="K683" i="26"/>
  <c r="A684" i="26"/>
  <c r="E684" i="26"/>
  <c r="F684" i="26"/>
  <c r="I684" i="26"/>
  <c r="K684" i="26"/>
  <c r="A685" i="26"/>
  <c r="E685" i="26"/>
  <c r="F685" i="26"/>
  <c r="I685" i="26"/>
  <c r="K685" i="26"/>
  <c r="A686" i="26"/>
  <c r="E686" i="26"/>
  <c r="F686" i="26"/>
  <c r="I686" i="26"/>
  <c r="K686" i="26"/>
  <c r="A687" i="26"/>
  <c r="E687" i="26"/>
  <c r="F687" i="26"/>
  <c r="I687" i="26"/>
  <c r="K687" i="26"/>
  <c r="A688" i="26"/>
  <c r="E688" i="26"/>
  <c r="F688" i="26"/>
  <c r="I688" i="26"/>
  <c r="K688" i="26"/>
  <c r="A689" i="26"/>
  <c r="E689" i="26"/>
  <c r="F689" i="26"/>
  <c r="I689" i="26"/>
  <c r="K689" i="26"/>
  <c r="A690" i="26"/>
  <c r="E690" i="26"/>
  <c r="F690" i="26"/>
  <c r="I690" i="26"/>
  <c r="K690" i="26"/>
  <c r="A691" i="26"/>
  <c r="E691" i="26"/>
  <c r="F691" i="26"/>
  <c r="I691" i="26"/>
  <c r="K691" i="26"/>
  <c r="A692" i="26"/>
  <c r="E692" i="26"/>
  <c r="F692" i="26"/>
  <c r="I692" i="26"/>
  <c r="K692" i="26"/>
  <c r="A693" i="26"/>
  <c r="E693" i="26"/>
  <c r="F693" i="26"/>
  <c r="I693" i="26"/>
  <c r="K693" i="26"/>
  <c r="A694" i="26"/>
  <c r="E694" i="26"/>
  <c r="F694" i="26"/>
  <c r="I694" i="26"/>
  <c r="K694" i="26"/>
  <c r="A695" i="26"/>
  <c r="E695" i="26"/>
  <c r="F695" i="26"/>
  <c r="I695" i="26"/>
  <c r="K695" i="26"/>
  <c r="A696" i="26"/>
  <c r="E696" i="26"/>
  <c r="F696" i="26"/>
  <c r="I696" i="26"/>
  <c r="K696" i="26"/>
  <c r="A697" i="26"/>
  <c r="E697" i="26"/>
  <c r="F697" i="26"/>
  <c r="I697" i="26"/>
  <c r="K697" i="26"/>
  <c r="A698" i="26"/>
  <c r="E698" i="26"/>
  <c r="F698" i="26"/>
  <c r="I698" i="26"/>
  <c r="K698" i="26"/>
  <c r="A699" i="26"/>
  <c r="E699" i="26"/>
  <c r="F699" i="26"/>
  <c r="I699" i="26"/>
  <c r="K699" i="26"/>
  <c r="A700" i="26"/>
  <c r="E700" i="26"/>
  <c r="F700" i="26"/>
  <c r="I700" i="26"/>
  <c r="K700" i="26"/>
  <c r="A701" i="26"/>
  <c r="E701" i="26"/>
  <c r="F701" i="26"/>
  <c r="I701" i="26"/>
  <c r="K701" i="26"/>
  <c r="A702" i="26"/>
  <c r="E702" i="26"/>
  <c r="F702" i="26"/>
  <c r="I702" i="26"/>
  <c r="K702" i="26"/>
  <c r="A703" i="26"/>
  <c r="E703" i="26"/>
  <c r="F703" i="26"/>
  <c r="I703" i="26"/>
  <c r="K703" i="26"/>
  <c r="A704" i="26"/>
  <c r="E704" i="26"/>
  <c r="F704" i="26"/>
  <c r="I704" i="26"/>
  <c r="K704" i="26"/>
  <c r="A705" i="26"/>
  <c r="E705" i="26"/>
  <c r="F705" i="26"/>
  <c r="I705" i="26"/>
  <c r="K705" i="26"/>
  <c r="A706" i="26"/>
  <c r="E706" i="26"/>
  <c r="F706" i="26"/>
  <c r="I706" i="26"/>
  <c r="K706" i="26"/>
  <c r="A707" i="26"/>
  <c r="E707" i="26"/>
  <c r="F707" i="26"/>
  <c r="I707" i="26"/>
  <c r="K707" i="26"/>
  <c r="A708" i="26"/>
  <c r="E708" i="26"/>
  <c r="F708" i="26"/>
  <c r="I708" i="26"/>
  <c r="K708" i="26"/>
  <c r="A709" i="26"/>
  <c r="E709" i="26"/>
  <c r="F709" i="26"/>
  <c r="I709" i="26"/>
  <c r="K709" i="26"/>
  <c r="A710" i="26"/>
  <c r="E710" i="26"/>
  <c r="F710" i="26"/>
  <c r="I710" i="26"/>
  <c r="K710" i="26"/>
  <c r="A711" i="26"/>
  <c r="E711" i="26"/>
  <c r="F711" i="26"/>
  <c r="I711" i="26"/>
  <c r="K711" i="26"/>
  <c r="A712" i="26"/>
  <c r="E712" i="26"/>
  <c r="F712" i="26"/>
  <c r="I712" i="26"/>
  <c r="K712" i="26"/>
  <c r="A713" i="26"/>
  <c r="E713" i="26"/>
  <c r="F713" i="26"/>
  <c r="I713" i="26"/>
  <c r="K713" i="26"/>
  <c r="A714" i="26"/>
  <c r="E714" i="26"/>
  <c r="F714" i="26"/>
  <c r="I714" i="26"/>
  <c r="K714" i="26"/>
  <c r="A715" i="26"/>
  <c r="E715" i="26"/>
  <c r="F715" i="26"/>
  <c r="I715" i="26"/>
  <c r="K715" i="26"/>
  <c r="A716" i="26"/>
  <c r="E716" i="26"/>
  <c r="F716" i="26"/>
  <c r="I716" i="26"/>
  <c r="K716" i="26"/>
  <c r="A717" i="26"/>
  <c r="E717" i="26"/>
  <c r="F717" i="26"/>
  <c r="I717" i="26"/>
  <c r="K717" i="26"/>
  <c r="A718" i="26"/>
  <c r="E718" i="26"/>
  <c r="F718" i="26"/>
  <c r="I718" i="26"/>
  <c r="K718" i="26"/>
  <c r="A719" i="26"/>
  <c r="E719" i="26"/>
  <c r="F719" i="26"/>
  <c r="I719" i="26"/>
  <c r="K719" i="26"/>
  <c r="A720" i="26"/>
  <c r="E720" i="26"/>
  <c r="F720" i="26"/>
  <c r="I720" i="26"/>
  <c r="K720" i="26"/>
  <c r="A721" i="26"/>
  <c r="E721" i="26"/>
  <c r="F721" i="26"/>
  <c r="I721" i="26"/>
  <c r="K721" i="26"/>
  <c r="A722" i="26"/>
  <c r="E722" i="26"/>
  <c r="F722" i="26"/>
  <c r="I722" i="26"/>
  <c r="K722" i="26"/>
  <c r="A723" i="26"/>
  <c r="E723" i="26"/>
  <c r="F723" i="26"/>
  <c r="I723" i="26"/>
  <c r="K723" i="26"/>
  <c r="A724" i="26"/>
  <c r="E724" i="26"/>
  <c r="F724" i="26"/>
  <c r="I724" i="26"/>
  <c r="K724" i="26"/>
  <c r="A725" i="26"/>
  <c r="E725" i="26"/>
  <c r="F725" i="26"/>
  <c r="I725" i="26"/>
  <c r="K725" i="26"/>
  <c r="A726" i="26"/>
  <c r="E726" i="26"/>
  <c r="F726" i="26"/>
  <c r="I726" i="26"/>
  <c r="K726" i="26"/>
  <c r="A727" i="26"/>
  <c r="E727" i="26"/>
  <c r="F727" i="26"/>
  <c r="I727" i="26"/>
  <c r="K727" i="26"/>
  <c r="A728" i="26"/>
  <c r="E728" i="26"/>
  <c r="F728" i="26"/>
  <c r="I728" i="26"/>
  <c r="K728" i="26"/>
  <c r="A729" i="26"/>
  <c r="E729" i="26"/>
  <c r="F729" i="26"/>
  <c r="I729" i="26"/>
  <c r="K729" i="26"/>
  <c r="A730" i="26"/>
  <c r="E730" i="26"/>
  <c r="F730" i="26"/>
  <c r="I730" i="26"/>
  <c r="K730" i="26"/>
  <c r="A731" i="26"/>
  <c r="E731" i="26"/>
  <c r="F731" i="26"/>
  <c r="I731" i="26"/>
  <c r="K731" i="26"/>
  <c r="A732" i="26"/>
  <c r="E732" i="26"/>
  <c r="F732" i="26"/>
  <c r="I732" i="26"/>
  <c r="K732" i="26"/>
  <c r="A733" i="26"/>
  <c r="E733" i="26"/>
  <c r="F733" i="26"/>
  <c r="I733" i="26"/>
  <c r="K733" i="26"/>
  <c r="A734" i="26"/>
  <c r="E734" i="26"/>
  <c r="F734" i="26"/>
  <c r="I734" i="26"/>
  <c r="K734" i="26"/>
  <c r="A735" i="26"/>
  <c r="E735" i="26"/>
  <c r="F735" i="26"/>
  <c r="I735" i="26"/>
  <c r="K735" i="26"/>
  <c r="A736" i="26"/>
  <c r="E736" i="26"/>
  <c r="F736" i="26"/>
  <c r="I736" i="26"/>
  <c r="K736" i="26"/>
  <c r="A737" i="26"/>
  <c r="E737" i="26"/>
  <c r="F737" i="26"/>
  <c r="I737" i="26"/>
  <c r="K737" i="26"/>
  <c r="A738" i="26"/>
  <c r="E738" i="26"/>
  <c r="F738" i="26"/>
  <c r="I738" i="26"/>
  <c r="K738" i="26"/>
  <c r="A739" i="26"/>
  <c r="E739" i="26"/>
  <c r="F739" i="26"/>
  <c r="I739" i="26"/>
  <c r="K739" i="26"/>
  <c r="A740" i="26"/>
  <c r="E740" i="26"/>
  <c r="F740" i="26"/>
  <c r="I740" i="26"/>
  <c r="K740" i="26"/>
  <c r="A741" i="26"/>
  <c r="E741" i="26"/>
  <c r="F741" i="26"/>
  <c r="I741" i="26"/>
  <c r="K741" i="26"/>
  <c r="A742" i="26"/>
  <c r="E742" i="26"/>
  <c r="F742" i="26"/>
  <c r="I742" i="26"/>
  <c r="K742" i="26"/>
  <c r="A743" i="26"/>
  <c r="E743" i="26"/>
  <c r="F743" i="26"/>
  <c r="I743" i="26"/>
  <c r="K743" i="26"/>
  <c r="A744" i="26"/>
  <c r="E744" i="26"/>
  <c r="F744" i="26"/>
  <c r="I744" i="26"/>
  <c r="K744" i="26"/>
  <c r="A745" i="26"/>
  <c r="E745" i="26"/>
  <c r="F745" i="26"/>
  <c r="I745" i="26"/>
  <c r="K745" i="26"/>
  <c r="A746" i="26"/>
  <c r="E746" i="26"/>
  <c r="F746" i="26"/>
  <c r="I746" i="26"/>
  <c r="K746" i="26"/>
  <c r="A747" i="26"/>
  <c r="E747" i="26"/>
  <c r="F747" i="26"/>
  <c r="I747" i="26"/>
  <c r="K747" i="26"/>
  <c r="A748" i="26"/>
  <c r="E748" i="26"/>
  <c r="F748" i="26"/>
  <c r="I748" i="26"/>
  <c r="K748" i="26"/>
  <c r="A749" i="26"/>
  <c r="E749" i="26"/>
  <c r="F749" i="26"/>
  <c r="I749" i="26"/>
  <c r="K749" i="26"/>
  <c r="A750" i="26"/>
  <c r="E750" i="26"/>
  <c r="F750" i="26"/>
  <c r="I750" i="26"/>
  <c r="K750" i="26"/>
  <c r="A751" i="26"/>
  <c r="E751" i="26"/>
  <c r="F751" i="26"/>
  <c r="I751" i="26"/>
  <c r="K751" i="26"/>
  <c r="A752" i="26"/>
  <c r="E752" i="26"/>
  <c r="F752" i="26"/>
  <c r="I752" i="26"/>
  <c r="K752" i="26"/>
  <c r="A753" i="26"/>
  <c r="E753" i="26"/>
  <c r="F753" i="26"/>
  <c r="I753" i="26"/>
  <c r="K753" i="26"/>
  <c r="A754" i="26"/>
  <c r="E754" i="26"/>
  <c r="F754" i="26"/>
  <c r="I754" i="26"/>
  <c r="K754" i="26"/>
  <c r="A755" i="26"/>
  <c r="E755" i="26"/>
  <c r="F755" i="26"/>
  <c r="I755" i="26"/>
  <c r="K755" i="26"/>
  <c r="A756" i="26"/>
  <c r="E756" i="26"/>
  <c r="F756" i="26"/>
  <c r="I756" i="26"/>
  <c r="K756" i="26"/>
  <c r="A757" i="26"/>
  <c r="E757" i="26"/>
  <c r="F757" i="26"/>
  <c r="I757" i="26"/>
  <c r="K757" i="26"/>
  <c r="A758" i="26"/>
  <c r="E758" i="26"/>
  <c r="F758" i="26"/>
  <c r="I758" i="26"/>
  <c r="K758" i="26"/>
  <c r="A759" i="26"/>
  <c r="E759" i="26"/>
  <c r="F759" i="26"/>
  <c r="I759" i="26"/>
  <c r="K759" i="26"/>
  <c r="A760" i="26"/>
  <c r="E760" i="26"/>
  <c r="F760" i="26"/>
  <c r="I760" i="26"/>
  <c r="K760" i="26"/>
  <c r="A761" i="26"/>
  <c r="E761" i="26"/>
  <c r="F761" i="26"/>
  <c r="I761" i="26"/>
  <c r="K761" i="26"/>
  <c r="A762" i="26"/>
  <c r="E762" i="26"/>
  <c r="F762" i="26"/>
  <c r="I762" i="26"/>
  <c r="K762" i="26"/>
  <c r="A763" i="26"/>
  <c r="E763" i="26"/>
  <c r="F763" i="26"/>
  <c r="I763" i="26"/>
  <c r="K763" i="26"/>
  <c r="A764" i="26"/>
  <c r="E764" i="26"/>
  <c r="F764" i="26"/>
  <c r="I764" i="26"/>
  <c r="K764" i="26"/>
  <c r="A765" i="26"/>
  <c r="E765" i="26"/>
  <c r="F765" i="26"/>
  <c r="I765" i="26"/>
  <c r="K765" i="26"/>
  <c r="A766" i="26"/>
  <c r="E766" i="26"/>
  <c r="F766" i="26"/>
  <c r="I766" i="26"/>
  <c r="K766" i="26"/>
  <c r="A767" i="26"/>
  <c r="E767" i="26"/>
  <c r="F767" i="26"/>
  <c r="I767" i="26"/>
  <c r="K767" i="26"/>
  <c r="A768" i="26"/>
  <c r="E768" i="26"/>
  <c r="F768" i="26"/>
  <c r="I768" i="26"/>
  <c r="K768" i="26"/>
  <c r="A769" i="26"/>
  <c r="E769" i="26"/>
  <c r="F769" i="26"/>
  <c r="I769" i="26"/>
  <c r="K769" i="26"/>
  <c r="A770" i="26"/>
  <c r="E770" i="26"/>
  <c r="F770" i="26"/>
  <c r="I770" i="26"/>
  <c r="K770" i="26"/>
  <c r="A771" i="26"/>
  <c r="E771" i="26"/>
  <c r="F771" i="26"/>
  <c r="I771" i="26"/>
  <c r="K771" i="26"/>
  <c r="A772" i="26"/>
  <c r="E772" i="26"/>
  <c r="F772" i="26"/>
  <c r="I772" i="26"/>
  <c r="K772" i="26"/>
  <c r="A773" i="26"/>
  <c r="E773" i="26"/>
  <c r="F773" i="26"/>
  <c r="I773" i="26"/>
  <c r="K773" i="26"/>
  <c r="A774" i="26"/>
  <c r="E774" i="26"/>
  <c r="F774" i="26"/>
  <c r="I774" i="26"/>
  <c r="K774" i="26"/>
  <c r="A775" i="26"/>
  <c r="E775" i="26"/>
  <c r="F775" i="26"/>
  <c r="I775" i="26"/>
  <c r="K775" i="26"/>
  <c r="A776" i="26"/>
  <c r="E776" i="26"/>
  <c r="F776" i="26"/>
  <c r="I776" i="26"/>
  <c r="K776" i="26"/>
  <c r="A777" i="26"/>
  <c r="E777" i="26"/>
  <c r="F777" i="26"/>
  <c r="I777" i="26"/>
  <c r="K777" i="26"/>
  <c r="A778" i="26"/>
  <c r="E778" i="26"/>
  <c r="F778" i="26"/>
  <c r="I778" i="26"/>
  <c r="K778" i="26"/>
  <c r="A779" i="26"/>
  <c r="E779" i="26"/>
  <c r="F779" i="26"/>
  <c r="I779" i="26"/>
  <c r="K779" i="26"/>
  <c r="A780" i="26"/>
  <c r="E780" i="26"/>
  <c r="F780" i="26"/>
  <c r="I780" i="26"/>
  <c r="K780" i="26"/>
  <c r="A781" i="26"/>
  <c r="E781" i="26"/>
  <c r="F781" i="26"/>
  <c r="I781" i="26"/>
  <c r="K781" i="26"/>
  <c r="A782" i="26"/>
  <c r="E782" i="26"/>
  <c r="F782" i="26"/>
  <c r="I782" i="26"/>
  <c r="K782" i="26"/>
  <c r="A783" i="26"/>
  <c r="E783" i="26"/>
  <c r="F783" i="26"/>
  <c r="I783" i="26"/>
  <c r="K783" i="26"/>
  <c r="A784" i="26"/>
  <c r="E784" i="26"/>
  <c r="F784" i="26"/>
  <c r="I784" i="26"/>
  <c r="K784" i="26"/>
  <c r="A785" i="26"/>
  <c r="E785" i="26"/>
  <c r="F785" i="26"/>
  <c r="I785" i="26"/>
  <c r="K785" i="26"/>
  <c r="A786" i="26"/>
  <c r="E786" i="26"/>
  <c r="F786" i="26"/>
  <c r="I786" i="26"/>
  <c r="K786" i="26"/>
  <c r="A787" i="26"/>
  <c r="E787" i="26"/>
  <c r="F787" i="26"/>
  <c r="I787" i="26"/>
  <c r="K787" i="26"/>
  <c r="A788" i="26"/>
  <c r="E788" i="26"/>
  <c r="F788" i="26"/>
  <c r="I788" i="26"/>
  <c r="K788" i="26"/>
  <c r="A789" i="26"/>
  <c r="E789" i="26"/>
  <c r="F789" i="26"/>
  <c r="I789" i="26"/>
  <c r="K789" i="26"/>
  <c r="A790" i="26"/>
  <c r="E790" i="26"/>
  <c r="F790" i="26"/>
  <c r="I790" i="26"/>
  <c r="K790" i="26"/>
  <c r="A791" i="26"/>
  <c r="E791" i="26"/>
  <c r="F791" i="26"/>
  <c r="I791" i="26"/>
  <c r="K791" i="26"/>
  <c r="A792" i="26"/>
  <c r="E792" i="26"/>
  <c r="F792" i="26"/>
  <c r="I792" i="26"/>
  <c r="K792" i="26"/>
  <c r="A793" i="26"/>
  <c r="E793" i="26"/>
  <c r="F793" i="26"/>
  <c r="I793" i="26"/>
  <c r="K793" i="26"/>
  <c r="A794" i="26"/>
  <c r="E794" i="26"/>
  <c r="F794" i="26"/>
  <c r="I794" i="26"/>
  <c r="K794" i="26"/>
  <c r="A795" i="26"/>
  <c r="E795" i="26"/>
  <c r="F795" i="26"/>
  <c r="I795" i="26"/>
  <c r="K795" i="26"/>
  <c r="A796" i="26"/>
  <c r="E796" i="26"/>
  <c r="F796" i="26"/>
  <c r="I796" i="26"/>
  <c r="K796" i="26"/>
  <c r="A797" i="26"/>
  <c r="E797" i="26"/>
  <c r="F797" i="26"/>
  <c r="I797" i="26"/>
  <c r="K797" i="26"/>
  <c r="A798" i="26"/>
  <c r="E798" i="26"/>
  <c r="F798" i="26"/>
  <c r="I798" i="26"/>
  <c r="K798" i="26"/>
  <c r="A799" i="26"/>
  <c r="E799" i="26"/>
  <c r="F799" i="26"/>
  <c r="I799" i="26"/>
  <c r="K799" i="26"/>
  <c r="A800" i="26"/>
  <c r="E800" i="26"/>
  <c r="F800" i="26"/>
  <c r="I800" i="26"/>
  <c r="K800" i="26"/>
  <c r="A801" i="26"/>
  <c r="E801" i="26"/>
  <c r="F801" i="26"/>
  <c r="I801" i="26"/>
  <c r="K801" i="26"/>
  <c r="A802" i="26"/>
  <c r="E802" i="26"/>
  <c r="F802" i="26"/>
  <c r="I802" i="26"/>
  <c r="K802" i="26"/>
  <c r="A803" i="26"/>
  <c r="E803" i="26"/>
  <c r="F803" i="26"/>
  <c r="I803" i="26"/>
  <c r="K803" i="26"/>
  <c r="A804" i="26"/>
  <c r="E804" i="26"/>
  <c r="F804" i="26"/>
  <c r="I804" i="26"/>
  <c r="K804" i="26"/>
  <c r="A805" i="26"/>
  <c r="E805" i="26"/>
  <c r="F805" i="26"/>
  <c r="I805" i="26"/>
  <c r="K805" i="26"/>
  <c r="A806" i="26"/>
  <c r="E806" i="26"/>
  <c r="F806" i="26"/>
  <c r="I806" i="26"/>
  <c r="K806" i="26"/>
  <c r="A807" i="26"/>
  <c r="E807" i="26"/>
  <c r="F807" i="26"/>
  <c r="I807" i="26"/>
  <c r="K807" i="26"/>
  <c r="A808" i="26"/>
  <c r="E808" i="26"/>
  <c r="F808" i="26"/>
  <c r="I808" i="26"/>
  <c r="K808" i="26"/>
  <c r="A809" i="26"/>
  <c r="E809" i="26"/>
  <c r="F809" i="26"/>
  <c r="I809" i="26"/>
  <c r="K809" i="26"/>
  <c r="A810" i="26"/>
  <c r="E810" i="26"/>
  <c r="F810" i="26"/>
  <c r="I810" i="26"/>
  <c r="K810" i="26"/>
  <c r="A811" i="26"/>
  <c r="E811" i="26"/>
  <c r="F811" i="26"/>
  <c r="I811" i="26"/>
  <c r="K811" i="26"/>
  <c r="A812" i="26"/>
  <c r="E812" i="26"/>
  <c r="F812" i="26"/>
  <c r="I812" i="26"/>
  <c r="K812" i="26"/>
  <c r="A813" i="26"/>
  <c r="E813" i="26"/>
  <c r="F813" i="26"/>
  <c r="I813" i="26"/>
  <c r="K813" i="26"/>
  <c r="A814" i="26"/>
  <c r="E814" i="26"/>
  <c r="F814" i="26"/>
  <c r="I814" i="26"/>
  <c r="K814" i="26"/>
  <c r="A815" i="26"/>
  <c r="E815" i="26"/>
  <c r="F815" i="26"/>
  <c r="I815" i="26"/>
  <c r="K815" i="26"/>
  <c r="A816" i="26"/>
  <c r="E816" i="26"/>
  <c r="F816" i="26"/>
  <c r="I816" i="26"/>
  <c r="K816" i="26"/>
  <c r="A817" i="26"/>
  <c r="E817" i="26"/>
  <c r="F817" i="26"/>
  <c r="I817" i="26"/>
  <c r="K817" i="26"/>
  <c r="A818" i="26"/>
  <c r="E818" i="26"/>
  <c r="F818" i="26"/>
  <c r="I818" i="26"/>
  <c r="K818" i="26"/>
  <c r="A819" i="26"/>
  <c r="E819" i="26"/>
  <c r="F819" i="26"/>
  <c r="I819" i="26"/>
  <c r="K819" i="26"/>
  <c r="A820" i="26"/>
  <c r="E820" i="26"/>
  <c r="F820" i="26"/>
  <c r="I820" i="26"/>
  <c r="K820" i="26"/>
  <c r="A821" i="26"/>
  <c r="E821" i="26"/>
  <c r="F821" i="26"/>
  <c r="I821" i="26"/>
  <c r="K821" i="26"/>
  <c r="A822" i="26"/>
  <c r="E822" i="26"/>
  <c r="F822" i="26"/>
  <c r="I822" i="26"/>
  <c r="K822" i="26"/>
  <c r="A823" i="26"/>
  <c r="E823" i="26"/>
  <c r="F823" i="26"/>
  <c r="I823" i="26"/>
  <c r="K823" i="26"/>
  <c r="A824" i="26"/>
  <c r="E824" i="26"/>
  <c r="F824" i="26"/>
  <c r="I824" i="26"/>
  <c r="K824" i="26"/>
  <c r="A825" i="26"/>
  <c r="E825" i="26"/>
  <c r="F825" i="26"/>
  <c r="I825" i="26"/>
  <c r="K825" i="26"/>
  <c r="A826" i="26"/>
  <c r="E826" i="26"/>
  <c r="F826" i="26"/>
  <c r="I826" i="26"/>
  <c r="K826" i="26"/>
  <c r="A827" i="26"/>
  <c r="E827" i="26"/>
  <c r="F827" i="26"/>
  <c r="I827" i="26"/>
  <c r="K827" i="26"/>
  <c r="A828" i="26"/>
  <c r="E828" i="26"/>
  <c r="F828" i="26"/>
  <c r="I828" i="26"/>
  <c r="K828" i="26"/>
  <c r="A829" i="26"/>
  <c r="E829" i="26"/>
  <c r="F829" i="26"/>
  <c r="I829" i="26"/>
  <c r="K829" i="26"/>
  <c r="A830" i="26"/>
  <c r="E830" i="26"/>
  <c r="F830" i="26"/>
  <c r="I830" i="26"/>
  <c r="K830" i="26"/>
  <c r="A831" i="26"/>
  <c r="E831" i="26"/>
  <c r="F831" i="26"/>
  <c r="I831" i="26"/>
  <c r="K831" i="26"/>
  <c r="A832" i="26"/>
  <c r="E832" i="26"/>
  <c r="F832" i="26"/>
  <c r="I832" i="26"/>
  <c r="K832" i="26"/>
  <c r="A833" i="26"/>
  <c r="E833" i="26"/>
  <c r="F833" i="26"/>
  <c r="I833" i="26"/>
  <c r="K833" i="26"/>
  <c r="A834" i="26"/>
  <c r="E834" i="26"/>
  <c r="F834" i="26"/>
  <c r="I834" i="26"/>
  <c r="K834" i="26"/>
  <c r="A835" i="26"/>
  <c r="E835" i="26"/>
  <c r="F835" i="26"/>
  <c r="I835" i="26"/>
  <c r="K835" i="26"/>
  <c r="A836" i="26"/>
  <c r="E836" i="26"/>
  <c r="F836" i="26"/>
  <c r="I836" i="26"/>
  <c r="K836" i="26"/>
  <c r="A837" i="26"/>
  <c r="E837" i="26"/>
  <c r="F837" i="26"/>
  <c r="I837" i="26"/>
  <c r="K837" i="26"/>
  <c r="A838" i="26"/>
  <c r="E838" i="26"/>
  <c r="F838" i="26"/>
  <c r="I838" i="26"/>
  <c r="K838" i="26"/>
  <c r="A839" i="26"/>
  <c r="E839" i="26"/>
  <c r="F839" i="26"/>
  <c r="I839" i="26"/>
  <c r="K839" i="26"/>
  <c r="A840" i="26"/>
  <c r="E840" i="26"/>
  <c r="F840" i="26"/>
  <c r="I840" i="26"/>
  <c r="K840" i="26"/>
  <c r="A841" i="26"/>
  <c r="E841" i="26"/>
  <c r="F841" i="26"/>
  <c r="I841" i="26"/>
  <c r="K841" i="26"/>
  <c r="A842" i="26"/>
  <c r="E842" i="26"/>
  <c r="F842" i="26"/>
  <c r="I842" i="26"/>
  <c r="K842" i="26"/>
  <c r="A843" i="26"/>
  <c r="E843" i="26"/>
  <c r="F843" i="26"/>
  <c r="I843" i="26"/>
  <c r="K843" i="26"/>
  <c r="A844" i="26"/>
  <c r="E844" i="26"/>
  <c r="F844" i="26"/>
  <c r="I844" i="26"/>
  <c r="K844" i="26"/>
  <c r="A845" i="26"/>
  <c r="E845" i="26"/>
  <c r="F845" i="26"/>
  <c r="I845" i="26"/>
  <c r="K845" i="26"/>
  <c r="A846" i="26"/>
  <c r="E846" i="26"/>
  <c r="F846" i="26"/>
  <c r="I846" i="26"/>
  <c r="K846" i="26"/>
  <c r="A847" i="26"/>
  <c r="E847" i="26"/>
  <c r="F847" i="26"/>
  <c r="I847" i="26"/>
  <c r="K847" i="26"/>
  <c r="A848" i="26"/>
  <c r="E848" i="26"/>
  <c r="F848" i="26"/>
  <c r="I848" i="26"/>
  <c r="K848" i="26"/>
  <c r="A849" i="26"/>
  <c r="E849" i="26"/>
  <c r="F849" i="26"/>
  <c r="I849" i="26"/>
  <c r="K849" i="26"/>
  <c r="A850" i="26"/>
  <c r="E850" i="26"/>
  <c r="F850" i="26"/>
  <c r="I850" i="26"/>
  <c r="K850" i="26"/>
  <c r="A851" i="26"/>
  <c r="E851" i="26"/>
  <c r="F851" i="26"/>
  <c r="I851" i="26"/>
  <c r="K851" i="26"/>
  <c r="A852" i="26"/>
  <c r="E852" i="26"/>
  <c r="F852" i="26"/>
  <c r="I852" i="26"/>
  <c r="K852" i="26"/>
  <c r="A853" i="26"/>
  <c r="E853" i="26"/>
  <c r="F853" i="26"/>
  <c r="I853" i="26"/>
  <c r="K853" i="26"/>
  <c r="A854" i="26"/>
  <c r="E854" i="26"/>
  <c r="F854" i="26"/>
  <c r="I854" i="26"/>
  <c r="K854" i="26"/>
  <c r="A855" i="26"/>
  <c r="E855" i="26"/>
  <c r="F855" i="26"/>
  <c r="I855" i="26"/>
  <c r="K855" i="26"/>
  <c r="A856" i="26"/>
  <c r="E856" i="26"/>
  <c r="F856" i="26"/>
  <c r="I856" i="26"/>
  <c r="K856" i="26"/>
  <c r="A857" i="26"/>
  <c r="E857" i="26"/>
  <c r="F857" i="26"/>
  <c r="I857" i="26"/>
  <c r="K857" i="26"/>
  <c r="A858" i="26"/>
  <c r="E858" i="26"/>
  <c r="F858" i="26"/>
  <c r="I858" i="26"/>
  <c r="K858" i="26"/>
  <c r="A859" i="26"/>
  <c r="E859" i="26"/>
  <c r="F859" i="26"/>
  <c r="I859" i="26"/>
  <c r="K859" i="26"/>
  <c r="A860" i="26"/>
  <c r="E860" i="26"/>
  <c r="F860" i="26"/>
  <c r="I860" i="26"/>
  <c r="K860" i="26"/>
  <c r="A861" i="26"/>
  <c r="E861" i="26"/>
  <c r="F861" i="26"/>
  <c r="I861" i="26"/>
  <c r="K861" i="26"/>
  <c r="A862" i="26"/>
  <c r="E862" i="26"/>
  <c r="F862" i="26"/>
  <c r="I862" i="26"/>
  <c r="K862" i="26"/>
  <c r="A863" i="26"/>
  <c r="E863" i="26"/>
  <c r="F863" i="26"/>
  <c r="I863" i="26"/>
  <c r="K863" i="26"/>
  <c r="A864" i="26"/>
  <c r="E864" i="26"/>
  <c r="F864" i="26"/>
  <c r="I864" i="26"/>
  <c r="K864" i="26"/>
  <c r="A865" i="26"/>
  <c r="E865" i="26"/>
  <c r="F865" i="26"/>
  <c r="I865" i="26"/>
  <c r="K865" i="26"/>
  <c r="A866" i="26"/>
  <c r="E866" i="26"/>
  <c r="F866" i="26"/>
  <c r="I866" i="26"/>
  <c r="K866" i="26"/>
  <c r="A867" i="26"/>
  <c r="E867" i="26"/>
  <c r="F867" i="26"/>
  <c r="I867" i="26"/>
  <c r="K867" i="26"/>
  <c r="A868" i="26"/>
  <c r="E868" i="26"/>
  <c r="F868" i="26"/>
  <c r="I868" i="26"/>
  <c r="K868" i="26"/>
  <c r="A869" i="26"/>
  <c r="E869" i="26"/>
  <c r="F869" i="26"/>
  <c r="I869" i="26"/>
  <c r="K869" i="26"/>
  <c r="A870" i="26"/>
  <c r="E870" i="26"/>
  <c r="F870" i="26"/>
  <c r="I870" i="26"/>
  <c r="K870" i="26"/>
  <c r="A871" i="26"/>
  <c r="E871" i="26"/>
  <c r="F871" i="26"/>
  <c r="I871" i="26"/>
  <c r="K871" i="26"/>
  <c r="A872" i="26"/>
  <c r="E872" i="26"/>
  <c r="F872" i="26"/>
  <c r="I872" i="26"/>
  <c r="K872" i="26"/>
  <c r="A873" i="26"/>
  <c r="E873" i="26"/>
  <c r="F873" i="26"/>
  <c r="I873" i="26"/>
  <c r="K873" i="26"/>
  <c r="A874" i="26"/>
  <c r="E874" i="26"/>
  <c r="F874" i="26"/>
  <c r="I874" i="26"/>
  <c r="K874" i="26"/>
  <c r="A875" i="26"/>
  <c r="E875" i="26"/>
  <c r="F875" i="26"/>
  <c r="I875" i="26"/>
  <c r="K875" i="26"/>
  <c r="A876" i="26"/>
  <c r="E876" i="26"/>
  <c r="F876" i="26"/>
  <c r="I876" i="26"/>
  <c r="K876" i="26"/>
  <c r="A877" i="26"/>
  <c r="E877" i="26"/>
  <c r="F877" i="26"/>
  <c r="I877" i="26"/>
  <c r="K877" i="26"/>
  <c r="A878" i="26"/>
  <c r="E878" i="26"/>
  <c r="F878" i="26"/>
  <c r="I878" i="26"/>
  <c r="K878" i="26"/>
  <c r="A879" i="26"/>
  <c r="E879" i="26"/>
  <c r="F879" i="26"/>
  <c r="I879" i="26"/>
  <c r="K879" i="26"/>
  <c r="A880" i="26"/>
  <c r="E880" i="26"/>
  <c r="F880" i="26"/>
  <c r="I880" i="26"/>
  <c r="K880" i="26"/>
  <c r="A881" i="26"/>
  <c r="E881" i="26"/>
  <c r="F881" i="26"/>
  <c r="I881" i="26"/>
  <c r="K881" i="26"/>
  <c r="A882" i="26"/>
  <c r="E882" i="26"/>
  <c r="F882" i="26"/>
  <c r="I882" i="26"/>
  <c r="K882" i="26"/>
  <c r="A883" i="26"/>
  <c r="E883" i="26"/>
  <c r="F883" i="26"/>
  <c r="I883" i="26"/>
  <c r="K883" i="26"/>
  <c r="A884" i="26"/>
  <c r="E884" i="26"/>
  <c r="F884" i="26"/>
  <c r="I884" i="26"/>
  <c r="K884" i="26"/>
  <c r="A885" i="26"/>
  <c r="E885" i="26"/>
  <c r="F885" i="26"/>
  <c r="I885" i="26"/>
  <c r="K885" i="26"/>
  <c r="A886" i="26"/>
  <c r="E886" i="26"/>
  <c r="F886" i="26"/>
  <c r="I886" i="26"/>
  <c r="K886" i="26"/>
  <c r="A887" i="26"/>
  <c r="E887" i="26"/>
  <c r="F887" i="26"/>
  <c r="I887" i="26"/>
  <c r="K887" i="26"/>
  <c r="A888" i="26"/>
  <c r="E888" i="26"/>
  <c r="F888" i="26"/>
  <c r="I888" i="26"/>
  <c r="K888" i="26"/>
  <c r="A889" i="26"/>
  <c r="E889" i="26"/>
  <c r="F889" i="26"/>
  <c r="I889" i="26"/>
  <c r="K889" i="26"/>
  <c r="A890" i="26"/>
  <c r="E890" i="26"/>
  <c r="F890" i="26"/>
  <c r="M890" i="26" s="1"/>
  <c r="I890" i="26"/>
  <c r="K890" i="26"/>
  <c r="A891" i="26"/>
  <c r="E891" i="26"/>
  <c r="F891" i="26"/>
  <c r="I891" i="26"/>
  <c r="K891" i="26"/>
  <c r="A892" i="26"/>
  <c r="E892" i="26"/>
  <c r="F892" i="26"/>
  <c r="I892" i="26"/>
  <c r="K892" i="26"/>
  <c r="A893" i="26"/>
  <c r="E893" i="26"/>
  <c r="F893" i="26"/>
  <c r="I893" i="26"/>
  <c r="K893" i="26"/>
  <c r="A894" i="26"/>
  <c r="E894" i="26"/>
  <c r="F894" i="26"/>
  <c r="I894" i="26"/>
  <c r="K894" i="26"/>
  <c r="A895" i="26"/>
  <c r="E895" i="26"/>
  <c r="F895" i="26"/>
  <c r="I895" i="26"/>
  <c r="K895" i="26"/>
  <c r="A896" i="26"/>
  <c r="E896" i="26"/>
  <c r="F896" i="26"/>
  <c r="I896" i="26"/>
  <c r="K896" i="26"/>
  <c r="A897" i="26"/>
  <c r="E897" i="26"/>
  <c r="F897" i="26"/>
  <c r="I897" i="26"/>
  <c r="K897" i="26"/>
  <c r="A898" i="26"/>
  <c r="E898" i="26"/>
  <c r="F898" i="26"/>
  <c r="I898" i="26"/>
  <c r="K898" i="26"/>
  <c r="A899" i="26"/>
  <c r="E899" i="26"/>
  <c r="F899" i="26"/>
  <c r="I899" i="26"/>
  <c r="K899" i="26"/>
  <c r="A900" i="26"/>
  <c r="E900" i="26"/>
  <c r="F900" i="26"/>
  <c r="I900" i="26"/>
  <c r="K900" i="26"/>
  <c r="A901" i="26"/>
  <c r="E901" i="26"/>
  <c r="F901" i="26"/>
  <c r="I901" i="26"/>
  <c r="K901" i="26"/>
  <c r="A902" i="26"/>
  <c r="E902" i="26"/>
  <c r="F902" i="26"/>
  <c r="I902" i="26"/>
  <c r="K902" i="26"/>
  <c r="A903" i="26"/>
  <c r="E903" i="26"/>
  <c r="F903" i="26"/>
  <c r="I903" i="26"/>
  <c r="K903" i="26"/>
  <c r="A904" i="26"/>
  <c r="E904" i="26"/>
  <c r="F904" i="26"/>
  <c r="I904" i="26"/>
  <c r="K904" i="26"/>
  <c r="A905" i="26"/>
  <c r="E905" i="26"/>
  <c r="F905" i="26"/>
  <c r="I905" i="26"/>
  <c r="K905" i="26"/>
  <c r="A906" i="26"/>
  <c r="E906" i="26"/>
  <c r="F906" i="26"/>
  <c r="I906" i="26"/>
  <c r="K906" i="26"/>
  <c r="A907" i="26"/>
  <c r="E907" i="26"/>
  <c r="F907" i="26"/>
  <c r="I907" i="26"/>
  <c r="K907" i="26"/>
  <c r="A908" i="26"/>
  <c r="E908" i="26"/>
  <c r="F908" i="26"/>
  <c r="I908" i="26"/>
  <c r="K908" i="26"/>
  <c r="A909" i="26"/>
  <c r="E909" i="26"/>
  <c r="F909" i="26"/>
  <c r="I909" i="26"/>
  <c r="K909" i="26"/>
  <c r="A910" i="26"/>
  <c r="E910" i="26"/>
  <c r="F910" i="26"/>
  <c r="I910" i="26"/>
  <c r="K910" i="26"/>
  <c r="A911" i="26"/>
  <c r="E911" i="26"/>
  <c r="F911" i="26"/>
  <c r="I911" i="26"/>
  <c r="K911" i="26"/>
  <c r="A912" i="26"/>
  <c r="E912" i="26"/>
  <c r="F912" i="26"/>
  <c r="I912" i="26"/>
  <c r="K912" i="26"/>
  <c r="A913" i="26"/>
  <c r="E913" i="26"/>
  <c r="F913" i="26"/>
  <c r="I913" i="26"/>
  <c r="K913" i="26"/>
  <c r="A914" i="26"/>
  <c r="E914" i="26"/>
  <c r="F914" i="26"/>
  <c r="I914" i="26"/>
  <c r="K914" i="26"/>
  <c r="A915" i="26"/>
  <c r="E915" i="26"/>
  <c r="F915" i="26"/>
  <c r="I915" i="26"/>
  <c r="K915" i="26"/>
  <c r="A916" i="26"/>
  <c r="E916" i="26"/>
  <c r="F916" i="26"/>
  <c r="I916" i="26"/>
  <c r="K916" i="26"/>
  <c r="A917" i="26"/>
  <c r="E917" i="26"/>
  <c r="F917" i="26"/>
  <c r="I917" i="26"/>
  <c r="K917" i="26"/>
  <c r="A918" i="26"/>
  <c r="E918" i="26"/>
  <c r="F918" i="26"/>
  <c r="I918" i="26"/>
  <c r="K918" i="26"/>
  <c r="A919" i="26"/>
  <c r="E919" i="26"/>
  <c r="F919" i="26"/>
  <c r="I919" i="26"/>
  <c r="K919" i="26"/>
  <c r="A920" i="26"/>
  <c r="E920" i="26"/>
  <c r="F920" i="26"/>
  <c r="I920" i="26"/>
  <c r="K920" i="26"/>
  <c r="A921" i="26"/>
  <c r="E921" i="26"/>
  <c r="F921" i="26"/>
  <c r="I921" i="26"/>
  <c r="K921" i="26"/>
  <c r="A922" i="26"/>
  <c r="E922" i="26"/>
  <c r="F922" i="26"/>
  <c r="I922" i="26"/>
  <c r="K922" i="26"/>
  <c r="A923" i="26"/>
  <c r="E923" i="26"/>
  <c r="F923" i="26"/>
  <c r="I923" i="26"/>
  <c r="K923" i="26"/>
  <c r="A924" i="26"/>
  <c r="E924" i="26"/>
  <c r="F924" i="26"/>
  <c r="I924" i="26"/>
  <c r="K924" i="26"/>
  <c r="A925" i="26"/>
  <c r="E925" i="26"/>
  <c r="F925" i="26"/>
  <c r="I925" i="26"/>
  <c r="K925" i="26"/>
  <c r="A926" i="26"/>
  <c r="E926" i="26"/>
  <c r="F926" i="26"/>
  <c r="I926" i="26"/>
  <c r="K926" i="26"/>
  <c r="A927" i="26"/>
  <c r="E927" i="26"/>
  <c r="F927" i="26"/>
  <c r="I927" i="26"/>
  <c r="K927" i="26"/>
  <c r="A928" i="26"/>
  <c r="E928" i="26"/>
  <c r="F928" i="26"/>
  <c r="I928" i="26"/>
  <c r="K928" i="26"/>
  <c r="A929" i="26"/>
  <c r="E929" i="26"/>
  <c r="F929" i="26"/>
  <c r="I929" i="26"/>
  <c r="K929" i="26"/>
  <c r="A930" i="26"/>
  <c r="E930" i="26"/>
  <c r="F930" i="26"/>
  <c r="I930" i="26"/>
  <c r="K930" i="26"/>
  <c r="A931" i="26"/>
  <c r="E931" i="26"/>
  <c r="F931" i="26"/>
  <c r="I931" i="26"/>
  <c r="K931" i="26"/>
  <c r="A932" i="26"/>
  <c r="E932" i="26"/>
  <c r="F932" i="26"/>
  <c r="I932" i="26"/>
  <c r="K932" i="26"/>
  <c r="A933" i="26"/>
  <c r="E933" i="26"/>
  <c r="F933" i="26"/>
  <c r="I933" i="26"/>
  <c r="K933" i="26"/>
  <c r="A934" i="26"/>
  <c r="E934" i="26"/>
  <c r="F934" i="26"/>
  <c r="I934" i="26"/>
  <c r="K934" i="26"/>
  <c r="A935" i="26"/>
  <c r="E935" i="26"/>
  <c r="F935" i="26"/>
  <c r="I935" i="26"/>
  <c r="K935" i="26"/>
  <c r="A936" i="26"/>
  <c r="E936" i="26"/>
  <c r="F936" i="26"/>
  <c r="I936" i="26"/>
  <c r="K936" i="26"/>
  <c r="A937" i="26"/>
  <c r="E937" i="26"/>
  <c r="F937" i="26"/>
  <c r="I937" i="26"/>
  <c r="K937" i="26"/>
  <c r="A938" i="26"/>
  <c r="E938" i="26"/>
  <c r="F938" i="26"/>
  <c r="I938" i="26"/>
  <c r="K938" i="26"/>
  <c r="A939" i="26"/>
  <c r="E939" i="26"/>
  <c r="F939" i="26"/>
  <c r="I939" i="26"/>
  <c r="K939" i="26"/>
  <c r="A940" i="26"/>
  <c r="E940" i="26"/>
  <c r="F940" i="26"/>
  <c r="I940" i="26"/>
  <c r="K940" i="26"/>
  <c r="A941" i="26"/>
  <c r="E941" i="26"/>
  <c r="F941" i="26"/>
  <c r="I941" i="26"/>
  <c r="K941" i="26"/>
  <c r="A942" i="26"/>
  <c r="E942" i="26"/>
  <c r="F942" i="26"/>
  <c r="I942" i="26"/>
  <c r="K942" i="26"/>
  <c r="A943" i="26"/>
  <c r="E943" i="26"/>
  <c r="F943" i="26"/>
  <c r="I943" i="26"/>
  <c r="K943" i="26"/>
  <c r="A944" i="26"/>
  <c r="E944" i="26"/>
  <c r="F944" i="26"/>
  <c r="I944" i="26"/>
  <c r="K944" i="26"/>
  <c r="A945" i="26"/>
  <c r="E945" i="26"/>
  <c r="F945" i="26"/>
  <c r="I945" i="26"/>
  <c r="K945" i="26"/>
  <c r="A946" i="26"/>
  <c r="E946" i="26"/>
  <c r="F946" i="26"/>
  <c r="I946" i="26"/>
  <c r="K946" i="26"/>
  <c r="A947" i="26"/>
  <c r="E947" i="26"/>
  <c r="F947" i="26"/>
  <c r="I947" i="26"/>
  <c r="K947" i="26"/>
  <c r="A948" i="26"/>
  <c r="E948" i="26"/>
  <c r="F948" i="26"/>
  <c r="I948" i="26"/>
  <c r="K948" i="26"/>
  <c r="A949" i="26"/>
  <c r="E949" i="26"/>
  <c r="F949" i="26"/>
  <c r="I949" i="26"/>
  <c r="K949" i="26"/>
  <c r="A950" i="26"/>
  <c r="E950" i="26"/>
  <c r="F950" i="26"/>
  <c r="I950" i="26"/>
  <c r="K950" i="26"/>
  <c r="A951" i="26"/>
  <c r="E951" i="26"/>
  <c r="F951" i="26"/>
  <c r="I951" i="26"/>
  <c r="K951" i="26"/>
  <c r="A952" i="26"/>
  <c r="E952" i="26"/>
  <c r="F952" i="26"/>
  <c r="I952" i="26"/>
  <c r="K952" i="26"/>
  <c r="A953" i="26"/>
  <c r="E953" i="26"/>
  <c r="F953" i="26"/>
  <c r="I953" i="26"/>
  <c r="K953" i="26"/>
  <c r="A954" i="26"/>
  <c r="E954" i="26"/>
  <c r="F954" i="26"/>
  <c r="I954" i="26"/>
  <c r="K954" i="26"/>
  <c r="A955" i="26"/>
  <c r="E955" i="26"/>
  <c r="F955" i="26"/>
  <c r="I955" i="26"/>
  <c r="K955" i="26"/>
  <c r="A956" i="26"/>
  <c r="E956" i="26"/>
  <c r="F956" i="26"/>
  <c r="I956" i="26"/>
  <c r="K956" i="26"/>
  <c r="A957" i="26"/>
  <c r="E957" i="26"/>
  <c r="F957" i="26"/>
  <c r="I957" i="26"/>
  <c r="K957" i="26"/>
  <c r="A958" i="26"/>
  <c r="E958" i="26"/>
  <c r="F958" i="26"/>
  <c r="I958" i="26"/>
  <c r="K958" i="26"/>
  <c r="A959" i="26"/>
  <c r="E959" i="26"/>
  <c r="F959" i="26"/>
  <c r="I959" i="26"/>
  <c r="K959" i="26"/>
  <c r="A960" i="26"/>
  <c r="E960" i="26"/>
  <c r="F960" i="26"/>
  <c r="I960" i="26"/>
  <c r="K960" i="26"/>
  <c r="A961" i="26"/>
  <c r="E961" i="26"/>
  <c r="F961" i="26"/>
  <c r="I961" i="26"/>
  <c r="K961" i="26"/>
  <c r="A962" i="26"/>
  <c r="E962" i="26"/>
  <c r="F962" i="26"/>
  <c r="I962" i="26"/>
  <c r="K962" i="26"/>
  <c r="A963" i="26"/>
  <c r="E963" i="26"/>
  <c r="F963" i="26"/>
  <c r="I963" i="26"/>
  <c r="K963" i="26"/>
  <c r="A964" i="26"/>
  <c r="E964" i="26"/>
  <c r="F964" i="26"/>
  <c r="I964" i="26"/>
  <c r="K964" i="26"/>
  <c r="A965" i="26"/>
  <c r="E965" i="26"/>
  <c r="F965" i="26"/>
  <c r="I965" i="26"/>
  <c r="K965" i="26"/>
  <c r="A966" i="26"/>
  <c r="E966" i="26"/>
  <c r="F966" i="26"/>
  <c r="I966" i="26"/>
  <c r="K966" i="26"/>
  <c r="A967" i="26"/>
  <c r="E967" i="26"/>
  <c r="F967" i="26"/>
  <c r="I967" i="26"/>
  <c r="K967" i="26"/>
  <c r="A968" i="26"/>
  <c r="E968" i="26"/>
  <c r="F968" i="26"/>
  <c r="I968" i="26"/>
  <c r="K968" i="26"/>
  <c r="A969" i="26"/>
  <c r="E969" i="26"/>
  <c r="F969" i="26"/>
  <c r="I969" i="26"/>
  <c r="K969" i="26"/>
  <c r="A970" i="26"/>
  <c r="E970" i="26"/>
  <c r="F970" i="26"/>
  <c r="I970" i="26"/>
  <c r="K970" i="26"/>
  <c r="A971" i="26"/>
  <c r="E971" i="26"/>
  <c r="F971" i="26"/>
  <c r="I971" i="26"/>
  <c r="K971" i="26"/>
  <c r="A972" i="26"/>
  <c r="E972" i="26"/>
  <c r="F972" i="26"/>
  <c r="I972" i="26"/>
  <c r="K972" i="26"/>
  <c r="A973" i="26"/>
  <c r="E973" i="26"/>
  <c r="F973" i="26"/>
  <c r="I973" i="26"/>
  <c r="K973" i="26"/>
  <c r="A974" i="26"/>
  <c r="E974" i="26"/>
  <c r="F974" i="26"/>
  <c r="I974" i="26"/>
  <c r="K974" i="26"/>
  <c r="A975" i="26"/>
  <c r="E975" i="26"/>
  <c r="F975" i="26"/>
  <c r="I975" i="26"/>
  <c r="K975" i="26"/>
  <c r="A976" i="26"/>
  <c r="E976" i="26"/>
  <c r="F976" i="26"/>
  <c r="I976" i="26"/>
  <c r="K976" i="26"/>
  <c r="A977" i="26"/>
  <c r="E977" i="26"/>
  <c r="F977" i="26"/>
  <c r="I977" i="26"/>
  <c r="K977" i="26"/>
  <c r="A978" i="26"/>
  <c r="E978" i="26"/>
  <c r="F978" i="26"/>
  <c r="I978" i="26"/>
  <c r="K978" i="26"/>
  <c r="A979" i="26"/>
  <c r="E979" i="26"/>
  <c r="F979" i="26"/>
  <c r="I979" i="26"/>
  <c r="K979" i="26"/>
  <c r="A980" i="26"/>
  <c r="E980" i="26"/>
  <c r="F980" i="26"/>
  <c r="I980" i="26"/>
  <c r="K980" i="26"/>
  <c r="A981" i="26"/>
  <c r="E981" i="26"/>
  <c r="F981" i="26"/>
  <c r="I981" i="26"/>
  <c r="K981" i="26"/>
  <c r="A982" i="26"/>
  <c r="E982" i="26"/>
  <c r="F982" i="26"/>
  <c r="I982" i="26"/>
  <c r="K982" i="26"/>
  <c r="A983" i="26"/>
  <c r="E983" i="26"/>
  <c r="F983" i="26"/>
  <c r="I983" i="26"/>
  <c r="K983" i="26"/>
  <c r="A984" i="26"/>
  <c r="E984" i="26"/>
  <c r="F984" i="26"/>
  <c r="I984" i="26"/>
  <c r="K984" i="26"/>
  <c r="A985" i="26"/>
  <c r="E985" i="26"/>
  <c r="F985" i="26"/>
  <c r="I985" i="26"/>
  <c r="K985" i="26"/>
  <c r="A986" i="26"/>
  <c r="E986" i="26"/>
  <c r="F986" i="26"/>
  <c r="I986" i="26"/>
  <c r="K986" i="26"/>
  <c r="A987" i="26"/>
  <c r="E987" i="26"/>
  <c r="F987" i="26"/>
  <c r="I987" i="26"/>
  <c r="K987" i="26"/>
  <c r="A988" i="26"/>
  <c r="E988" i="26"/>
  <c r="F988" i="26"/>
  <c r="I988" i="26"/>
  <c r="K988" i="26"/>
  <c r="A989" i="26"/>
  <c r="E989" i="26"/>
  <c r="F989" i="26"/>
  <c r="I989" i="26"/>
  <c r="K989" i="26"/>
  <c r="A990" i="26"/>
  <c r="E990" i="26"/>
  <c r="F990" i="26"/>
  <c r="I990" i="26"/>
  <c r="K990" i="26"/>
  <c r="A991" i="26"/>
  <c r="E991" i="26"/>
  <c r="F991" i="26"/>
  <c r="I991" i="26"/>
  <c r="K991" i="26"/>
  <c r="A992" i="26"/>
  <c r="E992" i="26"/>
  <c r="F992" i="26"/>
  <c r="I992" i="26"/>
  <c r="K992" i="26"/>
  <c r="A993" i="26"/>
  <c r="E993" i="26"/>
  <c r="F993" i="26"/>
  <c r="I993" i="26"/>
  <c r="K993" i="26"/>
  <c r="A994" i="26"/>
  <c r="E994" i="26"/>
  <c r="F994" i="26"/>
  <c r="I994" i="26"/>
  <c r="K994" i="26"/>
  <c r="A995" i="26"/>
  <c r="E995" i="26"/>
  <c r="F995" i="26"/>
  <c r="I995" i="26"/>
  <c r="K995" i="26"/>
  <c r="A996" i="26"/>
  <c r="E996" i="26"/>
  <c r="F996" i="26"/>
  <c r="I996" i="26"/>
  <c r="K996" i="26"/>
  <c r="A997" i="26"/>
  <c r="E997" i="26"/>
  <c r="F997" i="26"/>
  <c r="I997" i="26"/>
  <c r="K997" i="26"/>
  <c r="A998" i="26"/>
  <c r="E998" i="26"/>
  <c r="F998" i="26"/>
  <c r="I998" i="26"/>
  <c r="K998" i="26"/>
  <c r="A999" i="26"/>
  <c r="E999" i="26"/>
  <c r="F999" i="26"/>
  <c r="I999" i="26"/>
  <c r="K999" i="26"/>
  <c r="A1000" i="26"/>
  <c r="E1000" i="26"/>
  <c r="F1000" i="26"/>
  <c r="I1000" i="26"/>
  <c r="K1000" i="26"/>
  <c r="A1001" i="26"/>
  <c r="E1001" i="26"/>
  <c r="F1001" i="26"/>
  <c r="I1001" i="26"/>
  <c r="K1001" i="26"/>
  <c r="A1002" i="26"/>
  <c r="E1002" i="26"/>
  <c r="F1002" i="26"/>
  <c r="I1002" i="26"/>
  <c r="K1002" i="26"/>
  <c r="T3" i="8"/>
  <c r="G3" i="26" s="1"/>
  <c r="X3" i="8"/>
  <c r="J3" i="26" s="1"/>
  <c r="AB3" i="8"/>
  <c r="L3" i="26" s="1"/>
  <c r="AC3" i="8"/>
  <c r="Q3" i="27" s="1"/>
  <c r="R3" i="27" s="1"/>
  <c r="AI3" i="8"/>
  <c r="AJ3" i="8"/>
  <c r="T4" i="8"/>
  <c r="G4" i="26" s="1"/>
  <c r="X4" i="8"/>
  <c r="J4" i="26" s="1"/>
  <c r="AB4" i="8"/>
  <c r="L4" i="26" s="1"/>
  <c r="AC4" i="8"/>
  <c r="Q4" i="27" s="1"/>
  <c r="AI4" i="8"/>
  <c r="AJ4" i="8"/>
  <c r="T5" i="8"/>
  <c r="G5" i="26" s="1"/>
  <c r="X5" i="8"/>
  <c r="J5" i="26" s="1"/>
  <c r="AB5" i="8"/>
  <c r="L5" i="26" s="1"/>
  <c r="AC5" i="8"/>
  <c r="Q5" i="27" s="1"/>
  <c r="AI5" i="8"/>
  <c r="AJ5" i="8"/>
  <c r="T6" i="8"/>
  <c r="G6" i="26" s="1"/>
  <c r="X6" i="8"/>
  <c r="J6" i="26" s="1"/>
  <c r="AB6" i="8"/>
  <c r="L6" i="26" s="1"/>
  <c r="AC6" i="8"/>
  <c r="Q6" i="27" s="1"/>
  <c r="AI6" i="8"/>
  <c r="AJ6" i="8"/>
  <c r="T7" i="8"/>
  <c r="G7" i="26" s="1"/>
  <c r="X7" i="8"/>
  <c r="J7" i="26" s="1"/>
  <c r="AB7" i="8"/>
  <c r="L7" i="26" s="1"/>
  <c r="AC7" i="8"/>
  <c r="Q7" i="27" s="1"/>
  <c r="R7" i="27" s="1"/>
  <c r="AI7" i="8"/>
  <c r="AJ7" i="8"/>
  <c r="T8" i="8"/>
  <c r="G8" i="26" s="1"/>
  <c r="X8" i="8"/>
  <c r="J8" i="26" s="1"/>
  <c r="AB8" i="8"/>
  <c r="L8" i="26" s="1"/>
  <c r="AC8" i="8"/>
  <c r="Q8" i="27" s="1"/>
  <c r="AI8" i="8"/>
  <c r="AJ8" i="8"/>
  <c r="T9" i="8"/>
  <c r="G9" i="26" s="1"/>
  <c r="X9" i="8"/>
  <c r="J9" i="26" s="1"/>
  <c r="AB9" i="8"/>
  <c r="L9" i="26" s="1"/>
  <c r="AC9" i="8"/>
  <c r="Q9" i="27" s="1"/>
  <c r="R9" i="27" s="1"/>
  <c r="AI9" i="8"/>
  <c r="AJ9" i="8"/>
  <c r="T10" i="8"/>
  <c r="G10" i="26" s="1"/>
  <c r="X10" i="8"/>
  <c r="J10" i="26" s="1"/>
  <c r="AB10" i="8"/>
  <c r="L10" i="26" s="1"/>
  <c r="AC10" i="8"/>
  <c r="Q10" i="27" s="1"/>
  <c r="AI10" i="8"/>
  <c r="AJ10" i="8"/>
  <c r="T11" i="8"/>
  <c r="G11" i="26" s="1"/>
  <c r="X11" i="8"/>
  <c r="J11" i="26" s="1"/>
  <c r="AB11" i="8"/>
  <c r="L11" i="26" s="1"/>
  <c r="AC11" i="8"/>
  <c r="Q11" i="27" s="1"/>
  <c r="AI11" i="8"/>
  <c r="AJ11" i="8"/>
  <c r="T12" i="8"/>
  <c r="G12" i="26" s="1"/>
  <c r="X12" i="8"/>
  <c r="J12" i="26" s="1"/>
  <c r="AB12" i="8"/>
  <c r="L12" i="26" s="1"/>
  <c r="AC12" i="8"/>
  <c r="Q12" i="27" s="1"/>
  <c r="AI12" i="8"/>
  <c r="AJ12" i="8"/>
  <c r="T13" i="8"/>
  <c r="G13" i="26" s="1"/>
  <c r="X13" i="8"/>
  <c r="J13" i="26" s="1"/>
  <c r="AB13" i="8"/>
  <c r="L13" i="26" s="1"/>
  <c r="AC13" i="8"/>
  <c r="Q13" i="27" s="1"/>
  <c r="AI13" i="8"/>
  <c r="AJ13" i="8"/>
  <c r="T14" i="8"/>
  <c r="G14" i="26" s="1"/>
  <c r="X14" i="8"/>
  <c r="J14" i="26" s="1"/>
  <c r="AB14" i="8"/>
  <c r="L14" i="26" s="1"/>
  <c r="AC14" i="8"/>
  <c r="Q14" i="27" s="1"/>
  <c r="AI14" i="8"/>
  <c r="AJ14" i="8"/>
  <c r="T15" i="8"/>
  <c r="G15" i="26" s="1"/>
  <c r="X15" i="8"/>
  <c r="J15" i="26" s="1"/>
  <c r="AB15" i="8"/>
  <c r="L15" i="26" s="1"/>
  <c r="AC15" i="8"/>
  <c r="Q15" i="27" s="1"/>
  <c r="AI15" i="8"/>
  <c r="AJ15" i="8"/>
  <c r="T16" i="8"/>
  <c r="G16" i="26" s="1"/>
  <c r="X16" i="8"/>
  <c r="J16" i="26" s="1"/>
  <c r="AB16" i="8"/>
  <c r="L16" i="26" s="1"/>
  <c r="AC16" i="8"/>
  <c r="Q16" i="27" s="1"/>
  <c r="AI16" i="8"/>
  <c r="AJ16" i="8"/>
  <c r="T17" i="8"/>
  <c r="G17" i="26" s="1"/>
  <c r="X17" i="8"/>
  <c r="J17" i="26" s="1"/>
  <c r="AB17" i="8"/>
  <c r="L17" i="26" s="1"/>
  <c r="AC17" i="8"/>
  <c r="Q17" i="27" s="1"/>
  <c r="AI17" i="8"/>
  <c r="AJ17" i="8"/>
  <c r="T18" i="8"/>
  <c r="G18" i="26" s="1"/>
  <c r="X18" i="8"/>
  <c r="J18" i="26" s="1"/>
  <c r="AB18" i="8"/>
  <c r="L18" i="26" s="1"/>
  <c r="AC18" i="8"/>
  <c r="Q18" i="27" s="1"/>
  <c r="AI18" i="8"/>
  <c r="AJ18" i="8"/>
  <c r="T19" i="8"/>
  <c r="G19" i="26" s="1"/>
  <c r="X19" i="8"/>
  <c r="J19" i="26" s="1"/>
  <c r="AB19" i="8"/>
  <c r="L19" i="26" s="1"/>
  <c r="AC19" i="8"/>
  <c r="Q19" i="27" s="1"/>
  <c r="AI19" i="8"/>
  <c r="AJ19" i="8"/>
  <c r="T20" i="8"/>
  <c r="G20" i="26" s="1"/>
  <c r="X20" i="8"/>
  <c r="J20" i="26" s="1"/>
  <c r="AB20" i="8"/>
  <c r="L20" i="26" s="1"/>
  <c r="AC20" i="8"/>
  <c r="Q20" i="27" s="1"/>
  <c r="AI20" i="8"/>
  <c r="AJ20" i="8"/>
  <c r="T21" i="8"/>
  <c r="G21" i="26" s="1"/>
  <c r="X21" i="8"/>
  <c r="J21" i="26" s="1"/>
  <c r="AB21" i="8"/>
  <c r="L21" i="26" s="1"/>
  <c r="AC21" i="8"/>
  <c r="Q21" i="27" s="1"/>
  <c r="AI21" i="8"/>
  <c r="AJ21" i="8"/>
  <c r="T22" i="8"/>
  <c r="G22" i="26" s="1"/>
  <c r="X22" i="8"/>
  <c r="J22" i="26" s="1"/>
  <c r="AB22" i="8"/>
  <c r="L22" i="26" s="1"/>
  <c r="AC22" i="8"/>
  <c r="Q22" i="27" s="1"/>
  <c r="AI22" i="8"/>
  <c r="AJ22" i="8"/>
  <c r="T23" i="8"/>
  <c r="G23" i="26" s="1"/>
  <c r="X23" i="8"/>
  <c r="J23" i="26" s="1"/>
  <c r="AB23" i="8"/>
  <c r="L23" i="26" s="1"/>
  <c r="AC23" i="8"/>
  <c r="Q23" i="27" s="1"/>
  <c r="AI23" i="8"/>
  <c r="AJ23" i="8"/>
  <c r="T24" i="8"/>
  <c r="G24" i="26" s="1"/>
  <c r="X24" i="8"/>
  <c r="J24" i="26" s="1"/>
  <c r="AB24" i="8"/>
  <c r="L24" i="26" s="1"/>
  <c r="AC24" i="8"/>
  <c r="Q24" i="27" s="1"/>
  <c r="AI24" i="8"/>
  <c r="AJ24" i="8"/>
  <c r="T25" i="8"/>
  <c r="G25" i="26" s="1"/>
  <c r="X25" i="8"/>
  <c r="J25" i="26" s="1"/>
  <c r="AB25" i="8"/>
  <c r="L25" i="26" s="1"/>
  <c r="AC25" i="8"/>
  <c r="Q25" i="27" s="1"/>
  <c r="AI25" i="8"/>
  <c r="AJ25" i="8"/>
  <c r="T26" i="8"/>
  <c r="G26" i="26" s="1"/>
  <c r="X26" i="8"/>
  <c r="J26" i="26" s="1"/>
  <c r="AB26" i="8"/>
  <c r="L26" i="26" s="1"/>
  <c r="AC26" i="8"/>
  <c r="Q26" i="27" s="1"/>
  <c r="AI26" i="8"/>
  <c r="AJ26" i="8"/>
  <c r="T27" i="8"/>
  <c r="G27" i="26" s="1"/>
  <c r="X27" i="8"/>
  <c r="J27" i="26" s="1"/>
  <c r="AB27" i="8"/>
  <c r="L27" i="26" s="1"/>
  <c r="AC27" i="8"/>
  <c r="Q27" i="27" s="1"/>
  <c r="AI27" i="8"/>
  <c r="AJ27" i="8"/>
  <c r="T28" i="8"/>
  <c r="G28" i="26" s="1"/>
  <c r="X28" i="8"/>
  <c r="J28" i="26" s="1"/>
  <c r="AB28" i="8"/>
  <c r="L28" i="26" s="1"/>
  <c r="AC28" i="8"/>
  <c r="Q28" i="27" s="1"/>
  <c r="AI28" i="8"/>
  <c r="AJ28" i="8"/>
  <c r="T29" i="8"/>
  <c r="G29" i="26" s="1"/>
  <c r="X29" i="8"/>
  <c r="J29" i="26" s="1"/>
  <c r="AB29" i="8"/>
  <c r="L29" i="26" s="1"/>
  <c r="AC29" i="8"/>
  <c r="Q29" i="27" s="1"/>
  <c r="AI29" i="8"/>
  <c r="AJ29" i="8"/>
  <c r="T30" i="8"/>
  <c r="G30" i="26" s="1"/>
  <c r="X30" i="8"/>
  <c r="J30" i="26" s="1"/>
  <c r="AB30" i="8"/>
  <c r="L30" i="26" s="1"/>
  <c r="AC30" i="8"/>
  <c r="Q30" i="27" s="1"/>
  <c r="AI30" i="8"/>
  <c r="AJ30" i="8"/>
  <c r="T31" i="8"/>
  <c r="G31" i="26" s="1"/>
  <c r="X31" i="8"/>
  <c r="J31" i="26" s="1"/>
  <c r="AB31" i="8"/>
  <c r="L31" i="26" s="1"/>
  <c r="AC31" i="8"/>
  <c r="Q31" i="27" s="1"/>
  <c r="AI31" i="8"/>
  <c r="AJ31" i="8"/>
  <c r="T32" i="8"/>
  <c r="G32" i="26" s="1"/>
  <c r="X32" i="8"/>
  <c r="J32" i="26" s="1"/>
  <c r="AB32" i="8"/>
  <c r="L32" i="26" s="1"/>
  <c r="AC32" i="8"/>
  <c r="Q32" i="27" s="1"/>
  <c r="AI32" i="8"/>
  <c r="AJ32" i="8"/>
  <c r="T33" i="8"/>
  <c r="G33" i="26" s="1"/>
  <c r="X33" i="8"/>
  <c r="J33" i="26" s="1"/>
  <c r="AB33" i="8"/>
  <c r="L33" i="26" s="1"/>
  <c r="AC33" i="8"/>
  <c r="Q33" i="27" s="1"/>
  <c r="AI33" i="8"/>
  <c r="AJ33" i="8"/>
  <c r="T34" i="8"/>
  <c r="G34" i="26" s="1"/>
  <c r="X34" i="8"/>
  <c r="J34" i="26" s="1"/>
  <c r="AB34" i="8"/>
  <c r="L34" i="26" s="1"/>
  <c r="AC34" i="8"/>
  <c r="Q34" i="27" s="1"/>
  <c r="AI34" i="8"/>
  <c r="AJ34" i="8"/>
  <c r="T35" i="8"/>
  <c r="G35" i="26" s="1"/>
  <c r="X35" i="8"/>
  <c r="J35" i="26" s="1"/>
  <c r="AB35" i="8"/>
  <c r="L35" i="26" s="1"/>
  <c r="AC35" i="8"/>
  <c r="Q35" i="27" s="1"/>
  <c r="AI35" i="8"/>
  <c r="AJ35" i="8"/>
  <c r="T36" i="8"/>
  <c r="G36" i="26" s="1"/>
  <c r="X36" i="8"/>
  <c r="J36" i="26" s="1"/>
  <c r="AB36" i="8"/>
  <c r="L36" i="26" s="1"/>
  <c r="AC36" i="8"/>
  <c r="Q36" i="27" s="1"/>
  <c r="AI36" i="8"/>
  <c r="AJ36" i="8"/>
  <c r="T37" i="8"/>
  <c r="G37" i="26" s="1"/>
  <c r="X37" i="8"/>
  <c r="J37" i="26" s="1"/>
  <c r="AB37" i="8"/>
  <c r="L37" i="26" s="1"/>
  <c r="AC37" i="8"/>
  <c r="Q37" i="27" s="1"/>
  <c r="AI37" i="8"/>
  <c r="AJ37" i="8"/>
  <c r="T38" i="8"/>
  <c r="G38" i="26" s="1"/>
  <c r="X38" i="8"/>
  <c r="J38" i="26" s="1"/>
  <c r="AB38" i="8"/>
  <c r="L38" i="26" s="1"/>
  <c r="AC38" i="8"/>
  <c r="Q38" i="27" s="1"/>
  <c r="AI38" i="8"/>
  <c r="AJ38" i="8"/>
  <c r="T39" i="8"/>
  <c r="G39" i="26" s="1"/>
  <c r="X39" i="8"/>
  <c r="J39" i="26" s="1"/>
  <c r="AB39" i="8"/>
  <c r="L39" i="26" s="1"/>
  <c r="AC39" i="8"/>
  <c r="Q39" i="27" s="1"/>
  <c r="AI39" i="8"/>
  <c r="AJ39" i="8"/>
  <c r="T40" i="8"/>
  <c r="G40" i="26" s="1"/>
  <c r="X40" i="8"/>
  <c r="J40" i="26" s="1"/>
  <c r="AB40" i="8"/>
  <c r="L40" i="26" s="1"/>
  <c r="AC40" i="8"/>
  <c r="Q40" i="27" s="1"/>
  <c r="AI40" i="8"/>
  <c r="AJ40" i="8"/>
  <c r="T41" i="8"/>
  <c r="G41" i="26" s="1"/>
  <c r="X41" i="8"/>
  <c r="J41" i="26" s="1"/>
  <c r="AB41" i="8"/>
  <c r="L41" i="26" s="1"/>
  <c r="AC41" i="8"/>
  <c r="Q41" i="27" s="1"/>
  <c r="AI41" i="8"/>
  <c r="AJ41" i="8"/>
  <c r="T42" i="8"/>
  <c r="G42" i="26" s="1"/>
  <c r="X42" i="8"/>
  <c r="J42" i="26" s="1"/>
  <c r="AB42" i="8"/>
  <c r="L42" i="26" s="1"/>
  <c r="AC42" i="8"/>
  <c r="Q42" i="27" s="1"/>
  <c r="AI42" i="8"/>
  <c r="AJ42" i="8"/>
  <c r="T43" i="8"/>
  <c r="G43" i="26" s="1"/>
  <c r="X43" i="8"/>
  <c r="J43" i="26" s="1"/>
  <c r="AB43" i="8"/>
  <c r="L43" i="26" s="1"/>
  <c r="AC43" i="8"/>
  <c r="Q43" i="27" s="1"/>
  <c r="AI43" i="8"/>
  <c r="AJ43" i="8"/>
  <c r="T44" i="8"/>
  <c r="G44" i="26" s="1"/>
  <c r="X44" i="8"/>
  <c r="J44" i="26" s="1"/>
  <c r="AB44" i="8"/>
  <c r="L44" i="26" s="1"/>
  <c r="AC44" i="8"/>
  <c r="Q44" i="27" s="1"/>
  <c r="AI44" i="8"/>
  <c r="AJ44" i="8"/>
  <c r="T45" i="8"/>
  <c r="G45" i="26" s="1"/>
  <c r="X45" i="8"/>
  <c r="J45" i="26" s="1"/>
  <c r="AB45" i="8"/>
  <c r="L45" i="26" s="1"/>
  <c r="AC45" i="8"/>
  <c r="Q45" i="27" s="1"/>
  <c r="AI45" i="8"/>
  <c r="AJ45" i="8"/>
  <c r="T46" i="8"/>
  <c r="G46" i="26" s="1"/>
  <c r="X46" i="8"/>
  <c r="J46" i="26" s="1"/>
  <c r="AB46" i="8"/>
  <c r="L46" i="26" s="1"/>
  <c r="AC46" i="8"/>
  <c r="Q46" i="27" s="1"/>
  <c r="AI46" i="8"/>
  <c r="AJ46" i="8"/>
  <c r="T47" i="8"/>
  <c r="G47" i="26" s="1"/>
  <c r="X47" i="8"/>
  <c r="J47" i="26" s="1"/>
  <c r="AB47" i="8"/>
  <c r="L47" i="26" s="1"/>
  <c r="AC47" i="8"/>
  <c r="Q47" i="27" s="1"/>
  <c r="AI47" i="8"/>
  <c r="AJ47" i="8"/>
  <c r="T48" i="8"/>
  <c r="G48" i="26" s="1"/>
  <c r="X48" i="8"/>
  <c r="J48" i="26" s="1"/>
  <c r="AB48" i="8"/>
  <c r="L48" i="26" s="1"/>
  <c r="AC48" i="8"/>
  <c r="Q48" i="27" s="1"/>
  <c r="AI48" i="8"/>
  <c r="AJ48" i="8"/>
  <c r="T49" i="8"/>
  <c r="G49" i="26" s="1"/>
  <c r="X49" i="8"/>
  <c r="J49" i="26" s="1"/>
  <c r="AB49" i="8"/>
  <c r="L49" i="26" s="1"/>
  <c r="AC49" i="8"/>
  <c r="Q49" i="27" s="1"/>
  <c r="AI49" i="8"/>
  <c r="AJ49" i="8"/>
  <c r="T50" i="8"/>
  <c r="G50" i="26" s="1"/>
  <c r="X50" i="8"/>
  <c r="J50" i="26" s="1"/>
  <c r="AB50" i="8"/>
  <c r="L50" i="26" s="1"/>
  <c r="AC50" i="8"/>
  <c r="Q50" i="27" s="1"/>
  <c r="AI50" i="8"/>
  <c r="AJ50" i="8"/>
  <c r="T51" i="8"/>
  <c r="G51" i="26" s="1"/>
  <c r="X51" i="8"/>
  <c r="J51" i="26" s="1"/>
  <c r="AB51" i="8"/>
  <c r="L51" i="26" s="1"/>
  <c r="AC51" i="8"/>
  <c r="Q51" i="27" s="1"/>
  <c r="AI51" i="8"/>
  <c r="AJ51" i="8"/>
  <c r="T52" i="8"/>
  <c r="G52" i="26" s="1"/>
  <c r="X52" i="8"/>
  <c r="J52" i="26" s="1"/>
  <c r="AB52" i="8"/>
  <c r="L52" i="26" s="1"/>
  <c r="AC52" i="8"/>
  <c r="Q52" i="27" s="1"/>
  <c r="AI52" i="8"/>
  <c r="AJ52" i="8"/>
  <c r="T53" i="8"/>
  <c r="G53" i="26" s="1"/>
  <c r="X53" i="8"/>
  <c r="J53" i="26" s="1"/>
  <c r="AB53" i="8"/>
  <c r="L53" i="26" s="1"/>
  <c r="AC53" i="8"/>
  <c r="Q53" i="27" s="1"/>
  <c r="AI53" i="8"/>
  <c r="AJ53" i="8"/>
  <c r="T54" i="8"/>
  <c r="G54" i="26" s="1"/>
  <c r="X54" i="8"/>
  <c r="J54" i="26" s="1"/>
  <c r="AB54" i="8"/>
  <c r="L54" i="26" s="1"/>
  <c r="AC54" i="8"/>
  <c r="Q54" i="27" s="1"/>
  <c r="AI54" i="8"/>
  <c r="AJ54" i="8"/>
  <c r="T55" i="8"/>
  <c r="G55" i="26" s="1"/>
  <c r="X55" i="8"/>
  <c r="J55" i="26" s="1"/>
  <c r="AB55" i="8"/>
  <c r="L55" i="26" s="1"/>
  <c r="AC55" i="8"/>
  <c r="Q55" i="27" s="1"/>
  <c r="AI55" i="8"/>
  <c r="AJ55" i="8"/>
  <c r="T56" i="8"/>
  <c r="G56" i="26" s="1"/>
  <c r="X56" i="8"/>
  <c r="J56" i="26" s="1"/>
  <c r="AB56" i="8"/>
  <c r="L56" i="26" s="1"/>
  <c r="AC56" i="8"/>
  <c r="Q56" i="27" s="1"/>
  <c r="AI56" i="8"/>
  <c r="AJ56" i="8"/>
  <c r="T57" i="8"/>
  <c r="G57" i="26" s="1"/>
  <c r="X57" i="8"/>
  <c r="J57" i="26" s="1"/>
  <c r="AB57" i="8"/>
  <c r="L57" i="26" s="1"/>
  <c r="AC57" i="8"/>
  <c r="Q57" i="27" s="1"/>
  <c r="AI57" i="8"/>
  <c r="AJ57" i="8"/>
  <c r="T58" i="8"/>
  <c r="G58" i="26" s="1"/>
  <c r="X58" i="8"/>
  <c r="J58" i="26" s="1"/>
  <c r="AB58" i="8"/>
  <c r="L58" i="26" s="1"/>
  <c r="AC58" i="8"/>
  <c r="Q58" i="27" s="1"/>
  <c r="AI58" i="8"/>
  <c r="AJ58" i="8"/>
  <c r="T59" i="8"/>
  <c r="G59" i="26" s="1"/>
  <c r="X59" i="8"/>
  <c r="J59" i="26" s="1"/>
  <c r="AB59" i="8"/>
  <c r="L59" i="26" s="1"/>
  <c r="AC59" i="8"/>
  <c r="Q59" i="27" s="1"/>
  <c r="AI59" i="8"/>
  <c r="AJ59" i="8"/>
  <c r="T60" i="8"/>
  <c r="G60" i="26" s="1"/>
  <c r="X60" i="8"/>
  <c r="J60" i="26" s="1"/>
  <c r="AB60" i="8"/>
  <c r="L60" i="26" s="1"/>
  <c r="AC60" i="8"/>
  <c r="Q60" i="27" s="1"/>
  <c r="AI60" i="8"/>
  <c r="AJ60" i="8"/>
  <c r="T61" i="8"/>
  <c r="G61" i="26" s="1"/>
  <c r="X61" i="8"/>
  <c r="J61" i="26" s="1"/>
  <c r="AB61" i="8"/>
  <c r="L61" i="26" s="1"/>
  <c r="AC61" i="8"/>
  <c r="Q61" i="27" s="1"/>
  <c r="AI61" i="8"/>
  <c r="AJ61" i="8"/>
  <c r="T62" i="8"/>
  <c r="G62" i="26" s="1"/>
  <c r="X62" i="8"/>
  <c r="J62" i="26" s="1"/>
  <c r="AB62" i="8"/>
  <c r="L62" i="26" s="1"/>
  <c r="AC62" i="8"/>
  <c r="Q62" i="27" s="1"/>
  <c r="AI62" i="8"/>
  <c r="AJ62" i="8"/>
  <c r="T63" i="8"/>
  <c r="G63" i="26" s="1"/>
  <c r="X63" i="8"/>
  <c r="J63" i="26" s="1"/>
  <c r="AB63" i="8"/>
  <c r="L63" i="26" s="1"/>
  <c r="AC63" i="8"/>
  <c r="Q63" i="27" s="1"/>
  <c r="AI63" i="8"/>
  <c r="AJ63" i="8"/>
  <c r="T64" i="8"/>
  <c r="G64" i="26" s="1"/>
  <c r="X64" i="8"/>
  <c r="J64" i="26" s="1"/>
  <c r="AB64" i="8"/>
  <c r="L64" i="26" s="1"/>
  <c r="AC64" i="8"/>
  <c r="Q64" i="27" s="1"/>
  <c r="AI64" i="8"/>
  <c r="AJ64" i="8"/>
  <c r="T65" i="8"/>
  <c r="G65" i="26" s="1"/>
  <c r="X65" i="8"/>
  <c r="J65" i="26" s="1"/>
  <c r="AB65" i="8"/>
  <c r="L65" i="26" s="1"/>
  <c r="AC65" i="8"/>
  <c r="Q65" i="27" s="1"/>
  <c r="AI65" i="8"/>
  <c r="AJ65" i="8"/>
  <c r="T66" i="8"/>
  <c r="G66" i="26" s="1"/>
  <c r="X66" i="8"/>
  <c r="J66" i="26" s="1"/>
  <c r="AB66" i="8"/>
  <c r="L66" i="26" s="1"/>
  <c r="AC66" i="8"/>
  <c r="Q66" i="27" s="1"/>
  <c r="AI66" i="8"/>
  <c r="AJ66" i="8"/>
  <c r="T67" i="8"/>
  <c r="G67" i="26" s="1"/>
  <c r="X67" i="8"/>
  <c r="J67" i="26" s="1"/>
  <c r="AB67" i="8"/>
  <c r="L67" i="26" s="1"/>
  <c r="AC67" i="8"/>
  <c r="Q67" i="27" s="1"/>
  <c r="AI67" i="8"/>
  <c r="AJ67" i="8"/>
  <c r="T68" i="8"/>
  <c r="G68" i="26" s="1"/>
  <c r="X68" i="8"/>
  <c r="J68" i="26" s="1"/>
  <c r="AB68" i="8"/>
  <c r="L68" i="26" s="1"/>
  <c r="AC68" i="8"/>
  <c r="Q68" i="27" s="1"/>
  <c r="AI68" i="8"/>
  <c r="AJ68" i="8"/>
  <c r="T69" i="8"/>
  <c r="G69" i="26" s="1"/>
  <c r="X69" i="8"/>
  <c r="J69" i="26" s="1"/>
  <c r="AB69" i="8"/>
  <c r="L69" i="26" s="1"/>
  <c r="AC69" i="8"/>
  <c r="Q69" i="27" s="1"/>
  <c r="AI69" i="8"/>
  <c r="AJ69" i="8"/>
  <c r="T70" i="8"/>
  <c r="G70" i="26" s="1"/>
  <c r="X70" i="8"/>
  <c r="J70" i="26" s="1"/>
  <c r="AB70" i="8"/>
  <c r="L70" i="26" s="1"/>
  <c r="AC70" i="8"/>
  <c r="Q70" i="27" s="1"/>
  <c r="AI70" i="8"/>
  <c r="AJ70" i="8"/>
  <c r="T71" i="8"/>
  <c r="G71" i="26" s="1"/>
  <c r="X71" i="8"/>
  <c r="J71" i="26" s="1"/>
  <c r="AB71" i="8"/>
  <c r="L71" i="26" s="1"/>
  <c r="AC71" i="8"/>
  <c r="Q71" i="27" s="1"/>
  <c r="AI71" i="8"/>
  <c r="AJ71" i="8"/>
  <c r="T72" i="8"/>
  <c r="G72" i="26" s="1"/>
  <c r="X72" i="8"/>
  <c r="J72" i="26" s="1"/>
  <c r="AB72" i="8"/>
  <c r="L72" i="26"/>
  <c r="AC72" i="8"/>
  <c r="Q72" i="27" s="1"/>
  <c r="AI72" i="8"/>
  <c r="AJ72" i="8"/>
  <c r="T73" i="8"/>
  <c r="G73" i="26" s="1"/>
  <c r="X73" i="8"/>
  <c r="J73" i="26" s="1"/>
  <c r="AB73" i="8"/>
  <c r="L73" i="26" s="1"/>
  <c r="AC73" i="8"/>
  <c r="Q73" i="27" s="1"/>
  <c r="AI73" i="8"/>
  <c r="AJ73" i="8"/>
  <c r="T74" i="8"/>
  <c r="G74" i="26" s="1"/>
  <c r="X74" i="8"/>
  <c r="J74" i="26" s="1"/>
  <c r="AB74" i="8"/>
  <c r="L74" i="26" s="1"/>
  <c r="AC74" i="8"/>
  <c r="Q74" i="27" s="1"/>
  <c r="AI74" i="8"/>
  <c r="AJ74" i="8"/>
  <c r="T75" i="8"/>
  <c r="G75" i="26" s="1"/>
  <c r="X75" i="8"/>
  <c r="J75" i="26" s="1"/>
  <c r="AB75" i="8"/>
  <c r="L75" i="26" s="1"/>
  <c r="AC75" i="8"/>
  <c r="Q75" i="27" s="1"/>
  <c r="AI75" i="8"/>
  <c r="AJ75" i="8"/>
  <c r="T76" i="8"/>
  <c r="G76" i="26" s="1"/>
  <c r="X76" i="8"/>
  <c r="J76" i="26" s="1"/>
  <c r="AB76" i="8"/>
  <c r="L76" i="26" s="1"/>
  <c r="AC76" i="8"/>
  <c r="Q76" i="27" s="1"/>
  <c r="AI76" i="8"/>
  <c r="AJ76" i="8"/>
  <c r="T77" i="8"/>
  <c r="G77" i="26" s="1"/>
  <c r="X77" i="8"/>
  <c r="J77" i="26" s="1"/>
  <c r="AB77" i="8"/>
  <c r="L77" i="26" s="1"/>
  <c r="AC77" i="8"/>
  <c r="Q77" i="27" s="1"/>
  <c r="AI77" i="8"/>
  <c r="AJ77" i="8"/>
  <c r="T78" i="8"/>
  <c r="G78" i="26" s="1"/>
  <c r="X78" i="8"/>
  <c r="J78" i="26" s="1"/>
  <c r="AB78" i="8"/>
  <c r="L78" i="26" s="1"/>
  <c r="AC78" i="8"/>
  <c r="Q78" i="27" s="1"/>
  <c r="AI78" i="8"/>
  <c r="AJ78" i="8"/>
  <c r="T79" i="8"/>
  <c r="G79" i="26" s="1"/>
  <c r="X79" i="8"/>
  <c r="J79" i="26" s="1"/>
  <c r="AB79" i="8"/>
  <c r="L79" i="26" s="1"/>
  <c r="AC79" i="8"/>
  <c r="Q79" i="27" s="1"/>
  <c r="AI79" i="8"/>
  <c r="AJ79" i="8"/>
  <c r="T80" i="8"/>
  <c r="G80" i="26" s="1"/>
  <c r="X80" i="8"/>
  <c r="J80" i="26" s="1"/>
  <c r="AB80" i="8"/>
  <c r="L80" i="26" s="1"/>
  <c r="AC80" i="8"/>
  <c r="Q80" i="27" s="1"/>
  <c r="AI80" i="8"/>
  <c r="AJ80" i="8"/>
  <c r="T81" i="8"/>
  <c r="G81" i="26" s="1"/>
  <c r="X81" i="8"/>
  <c r="J81" i="26" s="1"/>
  <c r="AB81" i="8"/>
  <c r="L81" i="26" s="1"/>
  <c r="AC81" i="8"/>
  <c r="Q81" i="27" s="1"/>
  <c r="AI81" i="8"/>
  <c r="AJ81" i="8"/>
  <c r="T82" i="8"/>
  <c r="G82" i="26" s="1"/>
  <c r="X82" i="8"/>
  <c r="J82" i="26" s="1"/>
  <c r="AB82" i="8"/>
  <c r="L82" i="26" s="1"/>
  <c r="AC82" i="8"/>
  <c r="Q82" i="27" s="1"/>
  <c r="AI82" i="8"/>
  <c r="AJ82" i="8"/>
  <c r="T83" i="8"/>
  <c r="G83" i="26" s="1"/>
  <c r="X83" i="8"/>
  <c r="J83" i="26" s="1"/>
  <c r="AB83" i="8"/>
  <c r="L83" i="26" s="1"/>
  <c r="AC83" i="8"/>
  <c r="Q83" i="27" s="1"/>
  <c r="AI83" i="8"/>
  <c r="AJ83" i="8"/>
  <c r="T84" i="8"/>
  <c r="G84" i="26" s="1"/>
  <c r="X84" i="8"/>
  <c r="J84" i="26" s="1"/>
  <c r="AB84" i="8"/>
  <c r="L84" i="26" s="1"/>
  <c r="AC84" i="8"/>
  <c r="Q84" i="27" s="1"/>
  <c r="AI84" i="8"/>
  <c r="AJ84" i="8"/>
  <c r="T85" i="8"/>
  <c r="G85" i="26" s="1"/>
  <c r="X85" i="8"/>
  <c r="J85" i="26" s="1"/>
  <c r="AB85" i="8"/>
  <c r="L85" i="26" s="1"/>
  <c r="AC85" i="8"/>
  <c r="Q85" i="27" s="1"/>
  <c r="AI85" i="8"/>
  <c r="AJ85" i="8"/>
  <c r="T86" i="8"/>
  <c r="G86" i="26" s="1"/>
  <c r="X86" i="8"/>
  <c r="J86" i="26" s="1"/>
  <c r="AB86" i="8"/>
  <c r="L86" i="26" s="1"/>
  <c r="AC86" i="8"/>
  <c r="Q86" i="27" s="1"/>
  <c r="AI86" i="8"/>
  <c r="AJ86" i="8"/>
  <c r="T87" i="8"/>
  <c r="G87" i="26" s="1"/>
  <c r="X87" i="8"/>
  <c r="J87" i="26" s="1"/>
  <c r="AB87" i="8"/>
  <c r="L87" i="26" s="1"/>
  <c r="AC87" i="8"/>
  <c r="Q87" i="27" s="1"/>
  <c r="AI87" i="8"/>
  <c r="AJ87" i="8"/>
  <c r="T88" i="8"/>
  <c r="G88" i="26" s="1"/>
  <c r="X88" i="8"/>
  <c r="J88" i="26" s="1"/>
  <c r="AB88" i="8"/>
  <c r="L88" i="26" s="1"/>
  <c r="AC88" i="8"/>
  <c r="Q88" i="27" s="1"/>
  <c r="AI88" i="8"/>
  <c r="AJ88" i="8"/>
  <c r="T89" i="8"/>
  <c r="G89" i="26" s="1"/>
  <c r="X89" i="8"/>
  <c r="J89" i="26" s="1"/>
  <c r="AB89" i="8"/>
  <c r="L89" i="26" s="1"/>
  <c r="AC89" i="8"/>
  <c r="Q89" i="27" s="1"/>
  <c r="AI89" i="8"/>
  <c r="AJ89" i="8"/>
  <c r="T90" i="8"/>
  <c r="G90" i="26" s="1"/>
  <c r="X90" i="8"/>
  <c r="J90" i="26" s="1"/>
  <c r="AB90" i="8"/>
  <c r="L90" i="26" s="1"/>
  <c r="AC90" i="8"/>
  <c r="Q90" i="27" s="1"/>
  <c r="AI90" i="8"/>
  <c r="AJ90" i="8"/>
  <c r="T91" i="8"/>
  <c r="G91" i="26" s="1"/>
  <c r="X91" i="8"/>
  <c r="J91" i="26" s="1"/>
  <c r="AB91" i="8"/>
  <c r="L91" i="26" s="1"/>
  <c r="AC91" i="8"/>
  <c r="Q91" i="27" s="1"/>
  <c r="AI91" i="8"/>
  <c r="AJ91" i="8"/>
  <c r="T92" i="8"/>
  <c r="G92" i="26" s="1"/>
  <c r="X92" i="8"/>
  <c r="J92" i="26" s="1"/>
  <c r="AB92" i="8"/>
  <c r="L92" i="26" s="1"/>
  <c r="AC92" i="8"/>
  <c r="Q92" i="27" s="1"/>
  <c r="AI92" i="8"/>
  <c r="AJ92" i="8"/>
  <c r="T93" i="8"/>
  <c r="G93" i="26" s="1"/>
  <c r="X93" i="8"/>
  <c r="J93" i="26" s="1"/>
  <c r="AB93" i="8"/>
  <c r="L93" i="26" s="1"/>
  <c r="AC93" i="8"/>
  <c r="Q93" i="27" s="1"/>
  <c r="AI93" i="8"/>
  <c r="AJ93" i="8"/>
  <c r="T94" i="8"/>
  <c r="G94" i="26" s="1"/>
  <c r="X94" i="8"/>
  <c r="J94" i="26" s="1"/>
  <c r="AB94" i="8"/>
  <c r="L94" i="26" s="1"/>
  <c r="AC94" i="8"/>
  <c r="Q94" i="27" s="1"/>
  <c r="AI94" i="8"/>
  <c r="AJ94" i="8"/>
  <c r="T95" i="8"/>
  <c r="G95" i="26" s="1"/>
  <c r="X95" i="8"/>
  <c r="J95" i="26" s="1"/>
  <c r="AB95" i="8"/>
  <c r="L95" i="26" s="1"/>
  <c r="AC95" i="8"/>
  <c r="Q95" i="27" s="1"/>
  <c r="AI95" i="8"/>
  <c r="AJ95" i="8"/>
  <c r="T96" i="8"/>
  <c r="G96" i="26" s="1"/>
  <c r="X96" i="8"/>
  <c r="J96" i="26" s="1"/>
  <c r="AB96" i="8"/>
  <c r="L96" i="26" s="1"/>
  <c r="AC96" i="8"/>
  <c r="Q96" i="27" s="1"/>
  <c r="AI96" i="8"/>
  <c r="AJ96" i="8"/>
  <c r="T97" i="8"/>
  <c r="G97" i="26" s="1"/>
  <c r="X97" i="8"/>
  <c r="J97" i="26" s="1"/>
  <c r="AB97" i="8"/>
  <c r="L97" i="26" s="1"/>
  <c r="AC97" i="8"/>
  <c r="Q97" i="27" s="1"/>
  <c r="AI97" i="8"/>
  <c r="AJ97" i="8"/>
  <c r="T98" i="8"/>
  <c r="G98" i="26" s="1"/>
  <c r="X98" i="8"/>
  <c r="J98" i="26" s="1"/>
  <c r="AB98" i="8"/>
  <c r="L98" i="26" s="1"/>
  <c r="AC98" i="8"/>
  <c r="Q98" i="27" s="1"/>
  <c r="AI98" i="8"/>
  <c r="AJ98" i="8"/>
  <c r="T99" i="8"/>
  <c r="G99" i="26" s="1"/>
  <c r="X99" i="8"/>
  <c r="J99" i="26" s="1"/>
  <c r="AB99" i="8"/>
  <c r="L99" i="26" s="1"/>
  <c r="AC99" i="8"/>
  <c r="Q99" i="27" s="1"/>
  <c r="AI99" i="8"/>
  <c r="AJ99" i="8"/>
  <c r="T100" i="8"/>
  <c r="G100" i="26" s="1"/>
  <c r="X100" i="8"/>
  <c r="J100" i="26" s="1"/>
  <c r="AB100" i="8"/>
  <c r="L100" i="26" s="1"/>
  <c r="AC100" i="8"/>
  <c r="Q100" i="27" s="1"/>
  <c r="AI100" i="8"/>
  <c r="AJ100" i="8"/>
  <c r="T101" i="8"/>
  <c r="G101" i="26" s="1"/>
  <c r="X101" i="8"/>
  <c r="J101" i="26" s="1"/>
  <c r="AB101" i="8"/>
  <c r="L101" i="26" s="1"/>
  <c r="AC101" i="8"/>
  <c r="Q101" i="27" s="1"/>
  <c r="AI101" i="8"/>
  <c r="AJ101" i="8"/>
  <c r="T102" i="8"/>
  <c r="G102" i="26" s="1"/>
  <c r="X102" i="8"/>
  <c r="J102" i="26" s="1"/>
  <c r="AB102" i="8"/>
  <c r="L102" i="26" s="1"/>
  <c r="AC102" i="8"/>
  <c r="Q102" i="27" s="1"/>
  <c r="AI102" i="8"/>
  <c r="AJ102" i="8"/>
  <c r="T103" i="8"/>
  <c r="G103" i="26"/>
  <c r="X103" i="8"/>
  <c r="J103" i="26" s="1"/>
  <c r="AB103" i="8"/>
  <c r="L103" i="26" s="1"/>
  <c r="AC103" i="8"/>
  <c r="Q103" i="27" s="1"/>
  <c r="AI103" i="8"/>
  <c r="AJ103" i="8"/>
  <c r="T104" i="8"/>
  <c r="G104" i="26" s="1"/>
  <c r="X104" i="8"/>
  <c r="J104" i="26"/>
  <c r="AB104" i="8"/>
  <c r="L104" i="26" s="1"/>
  <c r="AC104" i="8"/>
  <c r="Q104" i="27" s="1"/>
  <c r="AI104" i="8"/>
  <c r="AJ104" i="8"/>
  <c r="T105" i="8"/>
  <c r="G105" i="26" s="1"/>
  <c r="X105" i="8"/>
  <c r="J105" i="26" s="1"/>
  <c r="AB105" i="8"/>
  <c r="L105" i="26" s="1"/>
  <c r="AC105" i="8"/>
  <c r="Q105" i="27" s="1"/>
  <c r="AI105" i="8"/>
  <c r="AJ105" i="8"/>
  <c r="T106" i="8"/>
  <c r="G106" i="26" s="1"/>
  <c r="X106" i="8"/>
  <c r="J106" i="26" s="1"/>
  <c r="AB106" i="8"/>
  <c r="L106" i="26" s="1"/>
  <c r="AC106" i="8"/>
  <c r="Q106" i="27" s="1"/>
  <c r="AI106" i="8"/>
  <c r="AJ106" i="8"/>
  <c r="T107" i="8"/>
  <c r="G107" i="26" s="1"/>
  <c r="X107" i="8"/>
  <c r="J107" i="26" s="1"/>
  <c r="AB107" i="8"/>
  <c r="L107" i="26" s="1"/>
  <c r="AC107" i="8"/>
  <c r="Q107" i="27" s="1"/>
  <c r="AI107" i="8"/>
  <c r="AJ107" i="8"/>
  <c r="T108" i="8"/>
  <c r="G108" i="26" s="1"/>
  <c r="X108" i="8"/>
  <c r="J108" i="26" s="1"/>
  <c r="AB108" i="8"/>
  <c r="L108" i="26" s="1"/>
  <c r="AC108" i="8"/>
  <c r="Q108" i="27" s="1"/>
  <c r="AI108" i="8"/>
  <c r="AJ108" i="8"/>
  <c r="T109" i="8"/>
  <c r="G109" i="26" s="1"/>
  <c r="X109" i="8"/>
  <c r="J109" i="26" s="1"/>
  <c r="AB109" i="8"/>
  <c r="L109" i="26"/>
  <c r="AC109" i="8"/>
  <c r="Q109" i="27" s="1"/>
  <c r="AI109" i="8"/>
  <c r="AJ109" i="8"/>
  <c r="T110" i="8"/>
  <c r="G110" i="26" s="1"/>
  <c r="X110" i="8"/>
  <c r="J110" i="26" s="1"/>
  <c r="AB110" i="8"/>
  <c r="L110" i="26" s="1"/>
  <c r="AC110" i="8"/>
  <c r="Q110" i="27" s="1"/>
  <c r="AI110" i="8"/>
  <c r="AJ110" i="8"/>
  <c r="T111" i="8"/>
  <c r="G111" i="26" s="1"/>
  <c r="X111" i="8"/>
  <c r="J111" i="26" s="1"/>
  <c r="AB111" i="8"/>
  <c r="L111" i="26" s="1"/>
  <c r="AC111" i="8"/>
  <c r="Q111" i="27" s="1"/>
  <c r="AI111" i="8"/>
  <c r="AJ111" i="8"/>
  <c r="T112" i="8"/>
  <c r="G112" i="26" s="1"/>
  <c r="X112" i="8"/>
  <c r="J112" i="26" s="1"/>
  <c r="AB112" i="8"/>
  <c r="L112" i="26" s="1"/>
  <c r="AC112" i="8"/>
  <c r="Q112" i="27" s="1"/>
  <c r="AI112" i="8"/>
  <c r="AJ112" i="8"/>
  <c r="T113" i="8"/>
  <c r="G113" i="26" s="1"/>
  <c r="X113" i="8"/>
  <c r="J113" i="26" s="1"/>
  <c r="AB113" i="8"/>
  <c r="L113" i="26" s="1"/>
  <c r="AC113" i="8"/>
  <c r="Q113" i="27" s="1"/>
  <c r="AI113" i="8"/>
  <c r="AJ113" i="8"/>
  <c r="T114" i="8"/>
  <c r="G114" i="26" s="1"/>
  <c r="X114" i="8"/>
  <c r="J114" i="26" s="1"/>
  <c r="AB114" i="8"/>
  <c r="L114" i="26" s="1"/>
  <c r="AC114" i="8"/>
  <c r="Q114" i="27" s="1"/>
  <c r="AI114" i="8"/>
  <c r="AJ114" i="8"/>
  <c r="T115" i="8"/>
  <c r="G115" i="26" s="1"/>
  <c r="X115" i="8"/>
  <c r="J115" i="26" s="1"/>
  <c r="AB115" i="8"/>
  <c r="L115" i="26" s="1"/>
  <c r="AC115" i="8"/>
  <c r="Q115" i="27" s="1"/>
  <c r="AI115" i="8"/>
  <c r="AJ115" i="8"/>
  <c r="T116" i="8"/>
  <c r="G116" i="26" s="1"/>
  <c r="X116" i="8"/>
  <c r="J116" i="26" s="1"/>
  <c r="AB116" i="8"/>
  <c r="L116" i="26" s="1"/>
  <c r="AC116" i="8"/>
  <c r="Q116" i="27" s="1"/>
  <c r="AI116" i="8"/>
  <c r="AJ116" i="8"/>
  <c r="T117" i="8"/>
  <c r="G117" i="26" s="1"/>
  <c r="X117" i="8"/>
  <c r="J117" i="26" s="1"/>
  <c r="AB117" i="8"/>
  <c r="L117" i="26" s="1"/>
  <c r="AC117" i="8"/>
  <c r="Q117" i="27" s="1"/>
  <c r="AI117" i="8"/>
  <c r="AJ117" i="8"/>
  <c r="T118" i="8"/>
  <c r="G118" i="26" s="1"/>
  <c r="X118" i="8"/>
  <c r="J118" i="26" s="1"/>
  <c r="AB118" i="8"/>
  <c r="L118" i="26" s="1"/>
  <c r="AC118" i="8"/>
  <c r="Q118" i="27" s="1"/>
  <c r="AI118" i="8"/>
  <c r="AJ118" i="8"/>
  <c r="T119" i="8"/>
  <c r="G119" i="26" s="1"/>
  <c r="X119" i="8"/>
  <c r="J119" i="26" s="1"/>
  <c r="AB119" i="8"/>
  <c r="L119" i="26" s="1"/>
  <c r="AC119" i="8"/>
  <c r="Q119" i="27" s="1"/>
  <c r="AI119" i="8"/>
  <c r="AJ119" i="8"/>
  <c r="T120" i="8"/>
  <c r="G120" i="26" s="1"/>
  <c r="X120" i="8"/>
  <c r="J120" i="26" s="1"/>
  <c r="AB120" i="8"/>
  <c r="L120" i="26" s="1"/>
  <c r="AC120" i="8"/>
  <c r="Q120" i="27" s="1"/>
  <c r="AI120" i="8"/>
  <c r="AJ120" i="8"/>
  <c r="T121" i="8"/>
  <c r="G121" i="26" s="1"/>
  <c r="X121" i="8"/>
  <c r="J121" i="26" s="1"/>
  <c r="AB121" i="8"/>
  <c r="L121" i="26" s="1"/>
  <c r="AC121" i="8"/>
  <c r="Q121" i="27" s="1"/>
  <c r="AI121" i="8"/>
  <c r="AJ121" i="8"/>
  <c r="T122" i="8"/>
  <c r="G122" i="26" s="1"/>
  <c r="X122" i="8"/>
  <c r="J122" i="26" s="1"/>
  <c r="AB122" i="8"/>
  <c r="L122" i="26" s="1"/>
  <c r="AC122" i="8"/>
  <c r="Q122" i="27" s="1"/>
  <c r="AI122" i="8"/>
  <c r="AJ122" i="8"/>
  <c r="T123" i="8"/>
  <c r="G123" i="26" s="1"/>
  <c r="X123" i="8"/>
  <c r="J123" i="26" s="1"/>
  <c r="AB123" i="8"/>
  <c r="L123" i="26" s="1"/>
  <c r="AC123" i="8"/>
  <c r="Q123" i="27" s="1"/>
  <c r="AI123" i="8"/>
  <c r="AJ123" i="8"/>
  <c r="T124" i="8"/>
  <c r="G124" i="26" s="1"/>
  <c r="X124" i="8"/>
  <c r="J124" i="26" s="1"/>
  <c r="AB124" i="8"/>
  <c r="L124" i="26" s="1"/>
  <c r="AC124" i="8"/>
  <c r="Q124" i="27" s="1"/>
  <c r="AI124" i="8"/>
  <c r="AJ124" i="8"/>
  <c r="T125" i="8"/>
  <c r="G125" i="26" s="1"/>
  <c r="X125" i="8"/>
  <c r="J125" i="26" s="1"/>
  <c r="AB125" i="8"/>
  <c r="L125" i="26" s="1"/>
  <c r="AC125" i="8"/>
  <c r="Q125" i="27" s="1"/>
  <c r="AI125" i="8"/>
  <c r="AJ125" i="8"/>
  <c r="T126" i="8"/>
  <c r="G126" i="26" s="1"/>
  <c r="X126" i="8"/>
  <c r="J126" i="26" s="1"/>
  <c r="AB126" i="8"/>
  <c r="L126" i="26" s="1"/>
  <c r="AC126" i="8"/>
  <c r="Q126" i="27" s="1"/>
  <c r="AI126" i="8"/>
  <c r="AJ126" i="8"/>
  <c r="T127" i="8"/>
  <c r="G127" i="26" s="1"/>
  <c r="X127" i="8"/>
  <c r="J127" i="26" s="1"/>
  <c r="AB127" i="8"/>
  <c r="L127" i="26" s="1"/>
  <c r="AC127" i="8"/>
  <c r="Q127" i="27" s="1"/>
  <c r="AI127" i="8"/>
  <c r="AJ127" i="8"/>
  <c r="T128" i="8"/>
  <c r="G128" i="26" s="1"/>
  <c r="X128" i="8"/>
  <c r="J128" i="26" s="1"/>
  <c r="AB128" i="8"/>
  <c r="L128" i="26" s="1"/>
  <c r="AC128" i="8"/>
  <c r="Q128" i="27" s="1"/>
  <c r="AI128" i="8"/>
  <c r="AJ128" i="8"/>
  <c r="T129" i="8"/>
  <c r="G129" i="26" s="1"/>
  <c r="X129" i="8"/>
  <c r="J129" i="26" s="1"/>
  <c r="AB129" i="8"/>
  <c r="L129" i="26" s="1"/>
  <c r="AC129" i="8"/>
  <c r="Q129" i="27" s="1"/>
  <c r="AI129" i="8"/>
  <c r="AJ129" i="8"/>
  <c r="T130" i="8"/>
  <c r="G130" i="26" s="1"/>
  <c r="X130" i="8"/>
  <c r="J130" i="26" s="1"/>
  <c r="AB130" i="8"/>
  <c r="L130" i="26" s="1"/>
  <c r="AC130" i="8"/>
  <c r="Q130" i="27" s="1"/>
  <c r="AI130" i="8"/>
  <c r="AJ130" i="8"/>
  <c r="T131" i="8"/>
  <c r="G131" i="26" s="1"/>
  <c r="X131" i="8"/>
  <c r="J131" i="26" s="1"/>
  <c r="AB131" i="8"/>
  <c r="L131" i="26" s="1"/>
  <c r="AC131" i="8"/>
  <c r="Q131" i="27" s="1"/>
  <c r="AI131" i="8"/>
  <c r="AJ131" i="8"/>
  <c r="T132" i="8"/>
  <c r="G132" i="26" s="1"/>
  <c r="X132" i="8"/>
  <c r="J132" i="26" s="1"/>
  <c r="AB132" i="8"/>
  <c r="L132" i="26"/>
  <c r="AC132" i="8"/>
  <c r="Q132" i="27" s="1"/>
  <c r="AI132" i="8"/>
  <c r="AJ132" i="8"/>
  <c r="T133" i="8"/>
  <c r="G133" i="26" s="1"/>
  <c r="X133" i="8"/>
  <c r="J133" i="26" s="1"/>
  <c r="AB133" i="8"/>
  <c r="L133" i="26" s="1"/>
  <c r="AC133" i="8"/>
  <c r="Q133" i="27" s="1"/>
  <c r="AI133" i="8"/>
  <c r="AJ133" i="8"/>
  <c r="T134" i="8"/>
  <c r="G134" i="26" s="1"/>
  <c r="X134" i="8"/>
  <c r="J134" i="26" s="1"/>
  <c r="AB134" i="8"/>
  <c r="L134" i="26" s="1"/>
  <c r="AC134" i="8"/>
  <c r="Q134" i="27" s="1"/>
  <c r="AI134" i="8"/>
  <c r="AJ134" i="8"/>
  <c r="T135" i="8"/>
  <c r="G135" i="26" s="1"/>
  <c r="X135" i="8"/>
  <c r="J135" i="26" s="1"/>
  <c r="AB135" i="8"/>
  <c r="L135" i="26" s="1"/>
  <c r="AC135" i="8"/>
  <c r="Q135" i="27" s="1"/>
  <c r="AI135" i="8"/>
  <c r="AJ135" i="8"/>
  <c r="T136" i="8"/>
  <c r="G136" i="26" s="1"/>
  <c r="X136" i="8"/>
  <c r="J136" i="26" s="1"/>
  <c r="AB136" i="8"/>
  <c r="L136" i="26" s="1"/>
  <c r="AC136" i="8"/>
  <c r="Q136" i="27" s="1"/>
  <c r="AI136" i="8"/>
  <c r="AJ136" i="8"/>
  <c r="T137" i="8"/>
  <c r="G137" i="26" s="1"/>
  <c r="X137" i="8"/>
  <c r="J137" i="26" s="1"/>
  <c r="AB137" i="8"/>
  <c r="L137" i="26" s="1"/>
  <c r="AC137" i="8"/>
  <c r="Q137" i="27" s="1"/>
  <c r="AI137" i="8"/>
  <c r="AJ137" i="8"/>
  <c r="T138" i="8"/>
  <c r="G138" i="26" s="1"/>
  <c r="X138" i="8"/>
  <c r="J138" i="26" s="1"/>
  <c r="AB138" i="8"/>
  <c r="L138" i="26" s="1"/>
  <c r="AC138" i="8"/>
  <c r="Q138" i="27" s="1"/>
  <c r="AI138" i="8"/>
  <c r="AJ138" i="8"/>
  <c r="T139" i="8"/>
  <c r="G139" i="26" s="1"/>
  <c r="X139" i="8"/>
  <c r="J139" i="26" s="1"/>
  <c r="AB139" i="8"/>
  <c r="L139" i="26" s="1"/>
  <c r="AC139" i="8"/>
  <c r="Q139" i="27" s="1"/>
  <c r="AI139" i="8"/>
  <c r="AJ139" i="8"/>
  <c r="T140" i="8"/>
  <c r="G140" i="26" s="1"/>
  <c r="X140" i="8"/>
  <c r="J140" i="26" s="1"/>
  <c r="AB140" i="8"/>
  <c r="L140" i="26" s="1"/>
  <c r="AC140" i="8"/>
  <c r="Q140" i="27" s="1"/>
  <c r="AI140" i="8"/>
  <c r="AJ140" i="8"/>
  <c r="T141" i="8"/>
  <c r="G141" i="26" s="1"/>
  <c r="X141" i="8"/>
  <c r="J141" i="26" s="1"/>
  <c r="AB141" i="8"/>
  <c r="L141" i="26" s="1"/>
  <c r="AC141" i="8"/>
  <c r="Q141" i="27" s="1"/>
  <c r="AI141" i="8"/>
  <c r="AJ141" i="8"/>
  <c r="T142" i="8"/>
  <c r="G142" i="26" s="1"/>
  <c r="X142" i="8"/>
  <c r="J142" i="26" s="1"/>
  <c r="AB142" i="8"/>
  <c r="L142" i="26" s="1"/>
  <c r="AC142" i="8"/>
  <c r="Q142" i="27" s="1"/>
  <c r="AI142" i="8"/>
  <c r="AJ142" i="8"/>
  <c r="T143" i="8"/>
  <c r="G143" i="26" s="1"/>
  <c r="X143" i="8"/>
  <c r="J143" i="26" s="1"/>
  <c r="AB143" i="8"/>
  <c r="L143" i="26" s="1"/>
  <c r="AC143" i="8"/>
  <c r="Q143" i="27" s="1"/>
  <c r="AI143" i="8"/>
  <c r="AJ143" i="8"/>
  <c r="T144" i="8"/>
  <c r="G144" i="26" s="1"/>
  <c r="X144" i="8"/>
  <c r="J144" i="26" s="1"/>
  <c r="AB144" i="8"/>
  <c r="L144" i="26" s="1"/>
  <c r="AC144" i="8"/>
  <c r="Q144" i="27" s="1"/>
  <c r="AI144" i="8"/>
  <c r="AJ144" i="8"/>
  <c r="T145" i="8"/>
  <c r="G145" i="26" s="1"/>
  <c r="X145" i="8"/>
  <c r="J145" i="26" s="1"/>
  <c r="AB145" i="8"/>
  <c r="L145" i="26" s="1"/>
  <c r="AC145" i="8"/>
  <c r="Q145" i="27" s="1"/>
  <c r="AI145" i="8"/>
  <c r="AJ145" i="8"/>
  <c r="T146" i="8"/>
  <c r="G146" i="26" s="1"/>
  <c r="X146" i="8"/>
  <c r="J146" i="26" s="1"/>
  <c r="AB146" i="8"/>
  <c r="L146" i="26" s="1"/>
  <c r="AC146" i="8"/>
  <c r="Q146" i="27" s="1"/>
  <c r="AI146" i="8"/>
  <c r="AJ146" i="8"/>
  <c r="T147" i="8"/>
  <c r="G147" i="26" s="1"/>
  <c r="X147" i="8"/>
  <c r="J147" i="26" s="1"/>
  <c r="AB147" i="8"/>
  <c r="L147" i="26" s="1"/>
  <c r="AC147" i="8"/>
  <c r="Q147" i="27" s="1"/>
  <c r="AI147" i="8"/>
  <c r="AJ147" i="8"/>
  <c r="T148" i="8"/>
  <c r="G148" i="26" s="1"/>
  <c r="X148" i="8"/>
  <c r="J148" i="26" s="1"/>
  <c r="AB148" i="8"/>
  <c r="L148" i="26" s="1"/>
  <c r="AC148" i="8"/>
  <c r="Q148" i="27" s="1"/>
  <c r="AI148" i="8"/>
  <c r="AJ148" i="8"/>
  <c r="T149" i="8"/>
  <c r="G149" i="26" s="1"/>
  <c r="X149" i="8"/>
  <c r="J149" i="26" s="1"/>
  <c r="AB149" i="8"/>
  <c r="L149" i="26" s="1"/>
  <c r="AC149" i="8"/>
  <c r="Q149" i="27" s="1"/>
  <c r="AI149" i="8"/>
  <c r="AJ149" i="8"/>
  <c r="T150" i="8"/>
  <c r="G150" i="26" s="1"/>
  <c r="X150" i="8"/>
  <c r="J150" i="26" s="1"/>
  <c r="AB150" i="8"/>
  <c r="L150" i="26" s="1"/>
  <c r="AC150" i="8"/>
  <c r="Q150" i="27" s="1"/>
  <c r="AI150" i="8"/>
  <c r="AJ150" i="8"/>
  <c r="T151" i="8"/>
  <c r="G151" i="26"/>
  <c r="X151" i="8"/>
  <c r="J151" i="26" s="1"/>
  <c r="AB151" i="8"/>
  <c r="L151" i="26" s="1"/>
  <c r="AC151" i="8"/>
  <c r="Q151" i="27" s="1"/>
  <c r="AI151" i="8"/>
  <c r="AJ151" i="8"/>
  <c r="T152" i="8"/>
  <c r="G152" i="26" s="1"/>
  <c r="X152" i="8"/>
  <c r="J152" i="26" s="1"/>
  <c r="AB152" i="8"/>
  <c r="L152" i="26" s="1"/>
  <c r="AC152" i="8"/>
  <c r="Q152" i="27" s="1"/>
  <c r="AI152" i="8"/>
  <c r="AJ152" i="8"/>
  <c r="T153" i="8"/>
  <c r="G153" i="26" s="1"/>
  <c r="X153" i="8"/>
  <c r="J153" i="26" s="1"/>
  <c r="AB153" i="8"/>
  <c r="L153" i="26" s="1"/>
  <c r="AC153" i="8"/>
  <c r="Q153" i="27" s="1"/>
  <c r="AI153" i="8"/>
  <c r="AJ153" i="8"/>
  <c r="T154" i="8"/>
  <c r="G154" i="26" s="1"/>
  <c r="X154" i="8"/>
  <c r="J154" i="26" s="1"/>
  <c r="AB154" i="8"/>
  <c r="L154" i="26" s="1"/>
  <c r="AC154" i="8"/>
  <c r="Q154" i="27" s="1"/>
  <c r="AI154" i="8"/>
  <c r="AJ154" i="8"/>
  <c r="T155" i="8"/>
  <c r="G155" i="26" s="1"/>
  <c r="X155" i="8"/>
  <c r="J155" i="26" s="1"/>
  <c r="AB155" i="8"/>
  <c r="L155" i="26" s="1"/>
  <c r="AC155" i="8"/>
  <c r="Q155" i="27" s="1"/>
  <c r="AI155" i="8"/>
  <c r="AJ155" i="8"/>
  <c r="T156" i="8"/>
  <c r="G156" i="26" s="1"/>
  <c r="X156" i="8"/>
  <c r="J156" i="26" s="1"/>
  <c r="AB156" i="8"/>
  <c r="L156" i="26" s="1"/>
  <c r="AC156" i="8"/>
  <c r="Q156" i="27" s="1"/>
  <c r="AI156" i="8"/>
  <c r="AJ156" i="8"/>
  <c r="T157" i="8"/>
  <c r="G157" i="26" s="1"/>
  <c r="X157" i="8"/>
  <c r="J157" i="26" s="1"/>
  <c r="AB157" i="8"/>
  <c r="L157" i="26" s="1"/>
  <c r="AC157" i="8"/>
  <c r="Q157" i="27" s="1"/>
  <c r="AI157" i="8"/>
  <c r="AJ157" i="8"/>
  <c r="T158" i="8"/>
  <c r="G158" i="26" s="1"/>
  <c r="X158" i="8"/>
  <c r="J158" i="26" s="1"/>
  <c r="AB158" i="8"/>
  <c r="L158" i="26" s="1"/>
  <c r="AC158" i="8"/>
  <c r="Q158" i="27" s="1"/>
  <c r="AI158" i="8"/>
  <c r="AJ158" i="8"/>
  <c r="T159" i="8"/>
  <c r="G159" i="26" s="1"/>
  <c r="X159" i="8"/>
  <c r="J159" i="26" s="1"/>
  <c r="AB159" i="8"/>
  <c r="L159" i="26" s="1"/>
  <c r="AC159" i="8"/>
  <c r="Q159" i="27" s="1"/>
  <c r="AI159" i="8"/>
  <c r="AJ159" i="8"/>
  <c r="T160" i="8"/>
  <c r="G160" i="26" s="1"/>
  <c r="X160" i="8"/>
  <c r="J160" i="26" s="1"/>
  <c r="AB160" i="8"/>
  <c r="L160" i="26" s="1"/>
  <c r="AC160" i="8"/>
  <c r="Q160" i="27" s="1"/>
  <c r="AI160" i="8"/>
  <c r="AJ160" i="8"/>
  <c r="T161" i="8"/>
  <c r="G161" i="26" s="1"/>
  <c r="X161" i="8"/>
  <c r="J161" i="26" s="1"/>
  <c r="AB161" i="8"/>
  <c r="L161" i="26" s="1"/>
  <c r="AC161" i="8"/>
  <c r="Q161" i="27" s="1"/>
  <c r="AI161" i="8"/>
  <c r="AJ161" i="8"/>
  <c r="T162" i="8"/>
  <c r="G162" i="26" s="1"/>
  <c r="X162" i="8"/>
  <c r="J162" i="26" s="1"/>
  <c r="AB162" i="8"/>
  <c r="L162" i="26" s="1"/>
  <c r="AC162" i="8"/>
  <c r="Q162" i="27" s="1"/>
  <c r="AI162" i="8"/>
  <c r="AJ162" i="8"/>
  <c r="T163" i="8"/>
  <c r="G163" i="26" s="1"/>
  <c r="X163" i="8"/>
  <c r="J163" i="26" s="1"/>
  <c r="AB163" i="8"/>
  <c r="L163" i="26" s="1"/>
  <c r="AC163" i="8"/>
  <c r="Q163" i="27" s="1"/>
  <c r="AI163" i="8"/>
  <c r="AJ163" i="8"/>
  <c r="T164" i="8"/>
  <c r="G164" i="26" s="1"/>
  <c r="X164" i="8"/>
  <c r="J164" i="26" s="1"/>
  <c r="AB164" i="8"/>
  <c r="L164" i="26" s="1"/>
  <c r="AC164" i="8"/>
  <c r="Q164" i="27" s="1"/>
  <c r="AI164" i="8"/>
  <c r="AJ164" i="8"/>
  <c r="T165" i="8"/>
  <c r="G165" i="26" s="1"/>
  <c r="X165" i="8"/>
  <c r="J165" i="26" s="1"/>
  <c r="AB165" i="8"/>
  <c r="L165" i="26" s="1"/>
  <c r="AC165" i="8"/>
  <c r="Q165" i="27" s="1"/>
  <c r="AI165" i="8"/>
  <c r="AJ165" i="8"/>
  <c r="T166" i="8"/>
  <c r="G166" i="26" s="1"/>
  <c r="X166" i="8"/>
  <c r="J166" i="26" s="1"/>
  <c r="AB166" i="8"/>
  <c r="L166" i="26" s="1"/>
  <c r="AC166" i="8"/>
  <c r="Q166" i="27" s="1"/>
  <c r="AI166" i="8"/>
  <c r="AJ166" i="8"/>
  <c r="T167" i="8"/>
  <c r="G167" i="26" s="1"/>
  <c r="X167" i="8"/>
  <c r="J167" i="26" s="1"/>
  <c r="AB167" i="8"/>
  <c r="L167" i="26" s="1"/>
  <c r="AC167" i="8"/>
  <c r="Q167" i="27" s="1"/>
  <c r="AI167" i="8"/>
  <c r="AJ167" i="8"/>
  <c r="T168" i="8"/>
  <c r="G168" i="26" s="1"/>
  <c r="X168" i="8"/>
  <c r="J168" i="26" s="1"/>
  <c r="AB168" i="8"/>
  <c r="L168" i="26" s="1"/>
  <c r="AC168" i="8"/>
  <c r="Q168" i="27" s="1"/>
  <c r="AI168" i="8"/>
  <c r="AJ168" i="8"/>
  <c r="T169" i="8"/>
  <c r="G169" i="26" s="1"/>
  <c r="X169" i="8"/>
  <c r="J169" i="26" s="1"/>
  <c r="AB169" i="8"/>
  <c r="L169" i="26" s="1"/>
  <c r="AC169" i="8"/>
  <c r="Q169" i="27" s="1"/>
  <c r="AI169" i="8"/>
  <c r="AJ169" i="8"/>
  <c r="T170" i="8"/>
  <c r="G170" i="26" s="1"/>
  <c r="X170" i="8"/>
  <c r="J170" i="26" s="1"/>
  <c r="AB170" i="8"/>
  <c r="L170" i="26" s="1"/>
  <c r="AC170" i="8"/>
  <c r="Q170" i="27" s="1"/>
  <c r="AI170" i="8"/>
  <c r="AJ170" i="8"/>
  <c r="T171" i="8"/>
  <c r="G171" i="26" s="1"/>
  <c r="X171" i="8"/>
  <c r="J171" i="26" s="1"/>
  <c r="AB171" i="8"/>
  <c r="L171" i="26" s="1"/>
  <c r="AC171" i="8"/>
  <c r="Q171" i="27" s="1"/>
  <c r="AI171" i="8"/>
  <c r="AJ171" i="8"/>
  <c r="T172" i="8"/>
  <c r="G172" i="26" s="1"/>
  <c r="X172" i="8"/>
  <c r="J172" i="26" s="1"/>
  <c r="AB172" i="8"/>
  <c r="L172" i="26" s="1"/>
  <c r="AC172" i="8"/>
  <c r="Q172" i="27" s="1"/>
  <c r="AI172" i="8"/>
  <c r="AJ172" i="8"/>
  <c r="T173" i="8"/>
  <c r="G173" i="26" s="1"/>
  <c r="X173" i="8"/>
  <c r="J173" i="26" s="1"/>
  <c r="AB173" i="8"/>
  <c r="L173" i="26" s="1"/>
  <c r="AC173" i="8"/>
  <c r="Q173" i="27" s="1"/>
  <c r="AI173" i="8"/>
  <c r="AJ173" i="8"/>
  <c r="T174" i="8"/>
  <c r="G174" i="26" s="1"/>
  <c r="X174" i="8"/>
  <c r="J174" i="26" s="1"/>
  <c r="AB174" i="8"/>
  <c r="L174" i="26" s="1"/>
  <c r="AC174" i="8"/>
  <c r="Q174" i="27" s="1"/>
  <c r="AI174" i="8"/>
  <c r="AJ174" i="8"/>
  <c r="T175" i="8"/>
  <c r="G175" i="26" s="1"/>
  <c r="X175" i="8"/>
  <c r="J175" i="26" s="1"/>
  <c r="AB175" i="8"/>
  <c r="L175" i="26" s="1"/>
  <c r="AC175" i="8"/>
  <c r="Q175" i="27" s="1"/>
  <c r="AI175" i="8"/>
  <c r="AJ175" i="8"/>
  <c r="T176" i="8"/>
  <c r="G176" i="26" s="1"/>
  <c r="X176" i="8"/>
  <c r="J176" i="26" s="1"/>
  <c r="AB176" i="8"/>
  <c r="L176" i="26" s="1"/>
  <c r="AC176" i="8"/>
  <c r="Q176" i="27" s="1"/>
  <c r="AI176" i="8"/>
  <c r="AJ176" i="8"/>
  <c r="T177" i="8"/>
  <c r="G177" i="26" s="1"/>
  <c r="X177" i="8"/>
  <c r="J177" i="26" s="1"/>
  <c r="AB177" i="8"/>
  <c r="L177" i="26" s="1"/>
  <c r="AC177" i="8"/>
  <c r="Q177" i="27" s="1"/>
  <c r="AI177" i="8"/>
  <c r="AJ177" i="8"/>
  <c r="T178" i="8"/>
  <c r="G178" i="26" s="1"/>
  <c r="X178" i="8"/>
  <c r="J178" i="26" s="1"/>
  <c r="AB178" i="8"/>
  <c r="L178" i="26" s="1"/>
  <c r="AC178" i="8"/>
  <c r="Q178" i="27" s="1"/>
  <c r="AI178" i="8"/>
  <c r="AJ178" i="8"/>
  <c r="T179" i="8"/>
  <c r="G179" i="26" s="1"/>
  <c r="X179" i="8"/>
  <c r="J179" i="26" s="1"/>
  <c r="AB179" i="8"/>
  <c r="L179" i="26" s="1"/>
  <c r="AC179" i="8"/>
  <c r="Q179" i="27" s="1"/>
  <c r="AI179" i="8"/>
  <c r="AJ179" i="8"/>
  <c r="T180" i="8"/>
  <c r="G180" i="26" s="1"/>
  <c r="X180" i="8"/>
  <c r="J180" i="26" s="1"/>
  <c r="AB180" i="8"/>
  <c r="L180" i="26" s="1"/>
  <c r="AC180" i="8"/>
  <c r="Q180" i="27" s="1"/>
  <c r="AI180" i="8"/>
  <c r="AJ180" i="8"/>
  <c r="T181" i="8"/>
  <c r="G181" i="26" s="1"/>
  <c r="X181" i="8"/>
  <c r="J181" i="26" s="1"/>
  <c r="AB181" i="8"/>
  <c r="L181" i="26" s="1"/>
  <c r="AC181" i="8"/>
  <c r="Q181" i="27" s="1"/>
  <c r="AI181" i="8"/>
  <c r="AJ181" i="8"/>
  <c r="T182" i="8"/>
  <c r="G182" i="26" s="1"/>
  <c r="X182" i="8"/>
  <c r="J182" i="26" s="1"/>
  <c r="AB182" i="8"/>
  <c r="L182" i="26" s="1"/>
  <c r="AC182" i="8"/>
  <c r="Q182" i="27" s="1"/>
  <c r="AI182" i="8"/>
  <c r="AJ182" i="8"/>
  <c r="T183" i="8"/>
  <c r="G183" i="26" s="1"/>
  <c r="X183" i="8"/>
  <c r="J183" i="26" s="1"/>
  <c r="AB183" i="8"/>
  <c r="L183" i="26" s="1"/>
  <c r="AC183" i="8"/>
  <c r="Q183" i="27" s="1"/>
  <c r="AI183" i="8"/>
  <c r="AJ183" i="8"/>
  <c r="T184" i="8"/>
  <c r="G184" i="26" s="1"/>
  <c r="X184" i="8"/>
  <c r="J184" i="26" s="1"/>
  <c r="AB184" i="8"/>
  <c r="L184" i="26" s="1"/>
  <c r="AC184" i="8"/>
  <c r="Q184" i="27" s="1"/>
  <c r="AI184" i="8"/>
  <c r="AJ184" i="8"/>
  <c r="T185" i="8"/>
  <c r="G185" i="26" s="1"/>
  <c r="X185" i="8"/>
  <c r="J185" i="26" s="1"/>
  <c r="AB185" i="8"/>
  <c r="L185" i="26" s="1"/>
  <c r="AC185" i="8"/>
  <c r="Q185" i="27" s="1"/>
  <c r="AI185" i="8"/>
  <c r="AJ185" i="8"/>
  <c r="T186" i="8"/>
  <c r="G186" i="26" s="1"/>
  <c r="X186" i="8"/>
  <c r="J186" i="26" s="1"/>
  <c r="AB186" i="8"/>
  <c r="L186" i="26" s="1"/>
  <c r="AC186" i="8"/>
  <c r="Q186" i="27" s="1"/>
  <c r="AI186" i="8"/>
  <c r="AJ186" i="8"/>
  <c r="T187" i="8"/>
  <c r="G187" i="26" s="1"/>
  <c r="X187" i="8"/>
  <c r="J187" i="26" s="1"/>
  <c r="AB187" i="8"/>
  <c r="L187" i="26" s="1"/>
  <c r="AC187" i="8"/>
  <c r="Q187" i="27" s="1"/>
  <c r="AI187" i="8"/>
  <c r="AJ187" i="8"/>
  <c r="T188" i="8"/>
  <c r="G188" i="26" s="1"/>
  <c r="X188" i="8"/>
  <c r="J188" i="26" s="1"/>
  <c r="AB188" i="8"/>
  <c r="L188" i="26" s="1"/>
  <c r="AC188" i="8"/>
  <c r="Q188" i="27" s="1"/>
  <c r="AI188" i="8"/>
  <c r="AJ188" i="8"/>
  <c r="T189" i="8"/>
  <c r="G189" i="26" s="1"/>
  <c r="X189" i="8"/>
  <c r="J189" i="26" s="1"/>
  <c r="AB189" i="8"/>
  <c r="L189" i="26" s="1"/>
  <c r="AC189" i="8"/>
  <c r="Q189" i="27" s="1"/>
  <c r="AI189" i="8"/>
  <c r="AJ189" i="8"/>
  <c r="T190" i="8"/>
  <c r="G190" i="26" s="1"/>
  <c r="X190" i="8"/>
  <c r="J190" i="26" s="1"/>
  <c r="AB190" i="8"/>
  <c r="L190" i="26" s="1"/>
  <c r="AC190" i="8"/>
  <c r="Q190" i="27" s="1"/>
  <c r="AI190" i="8"/>
  <c r="AJ190" i="8"/>
  <c r="T191" i="8"/>
  <c r="G191" i="26" s="1"/>
  <c r="X191" i="8"/>
  <c r="J191" i="26" s="1"/>
  <c r="AB191" i="8"/>
  <c r="L191" i="26" s="1"/>
  <c r="AC191" i="8"/>
  <c r="Q191" i="27" s="1"/>
  <c r="AI191" i="8"/>
  <c r="AJ191" i="8"/>
  <c r="T192" i="8"/>
  <c r="G192" i="26" s="1"/>
  <c r="X192" i="8"/>
  <c r="J192" i="26" s="1"/>
  <c r="AB192" i="8"/>
  <c r="L192" i="26" s="1"/>
  <c r="AC192" i="8"/>
  <c r="Q192" i="27" s="1"/>
  <c r="AI192" i="8"/>
  <c r="AJ192" i="8"/>
  <c r="T193" i="8"/>
  <c r="G193" i="26" s="1"/>
  <c r="X193" i="8"/>
  <c r="J193" i="26" s="1"/>
  <c r="AB193" i="8"/>
  <c r="L193" i="26" s="1"/>
  <c r="AC193" i="8"/>
  <c r="Q193" i="27" s="1"/>
  <c r="AI193" i="8"/>
  <c r="AJ193" i="8"/>
  <c r="T194" i="8"/>
  <c r="G194" i="26"/>
  <c r="X194" i="8"/>
  <c r="J194" i="26" s="1"/>
  <c r="AB194" i="8"/>
  <c r="L194" i="26" s="1"/>
  <c r="AC194" i="8"/>
  <c r="Q194" i="27" s="1"/>
  <c r="AI194" i="8"/>
  <c r="AJ194" i="8"/>
  <c r="T195" i="8"/>
  <c r="G195" i="26" s="1"/>
  <c r="X195" i="8"/>
  <c r="J195" i="26" s="1"/>
  <c r="AB195" i="8"/>
  <c r="L195" i="26" s="1"/>
  <c r="AC195" i="8"/>
  <c r="Q195" i="27" s="1"/>
  <c r="AI195" i="8"/>
  <c r="AJ195" i="8"/>
  <c r="T196" i="8"/>
  <c r="G196" i="26" s="1"/>
  <c r="X196" i="8"/>
  <c r="J196" i="26" s="1"/>
  <c r="AB196" i="8"/>
  <c r="L196" i="26" s="1"/>
  <c r="AC196" i="8"/>
  <c r="Q196" i="27" s="1"/>
  <c r="AI196" i="8"/>
  <c r="AJ196" i="8"/>
  <c r="T197" i="8"/>
  <c r="G197" i="26" s="1"/>
  <c r="X197" i="8"/>
  <c r="J197" i="26" s="1"/>
  <c r="AB197" i="8"/>
  <c r="L197" i="26" s="1"/>
  <c r="AC197" i="8"/>
  <c r="Q197" i="27" s="1"/>
  <c r="AI197" i="8"/>
  <c r="AJ197" i="8"/>
  <c r="T198" i="8"/>
  <c r="G198" i="26" s="1"/>
  <c r="X198" i="8"/>
  <c r="J198" i="26" s="1"/>
  <c r="AB198" i="8"/>
  <c r="L198" i="26" s="1"/>
  <c r="AC198" i="8"/>
  <c r="Q198" i="27" s="1"/>
  <c r="AI198" i="8"/>
  <c r="AJ198" i="8"/>
  <c r="T199" i="8"/>
  <c r="G199" i="26" s="1"/>
  <c r="X199" i="8"/>
  <c r="J199" i="26" s="1"/>
  <c r="AB199" i="8"/>
  <c r="L199" i="26" s="1"/>
  <c r="AC199" i="8"/>
  <c r="Q199" i="27" s="1"/>
  <c r="AI199" i="8"/>
  <c r="AJ199" i="8"/>
  <c r="T200" i="8"/>
  <c r="G200" i="26" s="1"/>
  <c r="X200" i="8"/>
  <c r="J200" i="26" s="1"/>
  <c r="AB200" i="8"/>
  <c r="L200" i="26" s="1"/>
  <c r="AC200" i="8"/>
  <c r="Q200" i="27" s="1"/>
  <c r="AI200" i="8"/>
  <c r="AJ200" i="8"/>
  <c r="T201" i="8"/>
  <c r="G201" i="26" s="1"/>
  <c r="X201" i="8"/>
  <c r="J201" i="26" s="1"/>
  <c r="AB201" i="8"/>
  <c r="L201" i="26" s="1"/>
  <c r="AC201" i="8"/>
  <c r="Q201" i="27" s="1"/>
  <c r="AI201" i="8"/>
  <c r="AJ201" i="8"/>
  <c r="T202" i="8"/>
  <c r="G202" i="26" s="1"/>
  <c r="X202" i="8"/>
  <c r="J202" i="26" s="1"/>
  <c r="AB202" i="8"/>
  <c r="L202" i="26" s="1"/>
  <c r="AC202" i="8"/>
  <c r="Q202" i="27" s="1"/>
  <c r="AI202" i="8"/>
  <c r="AJ202" i="8"/>
  <c r="T203" i="8"/>
  <c r="G203" i="26" s="1"/>
  <c r="X203" i="8"/>
  <c r="J203" i="26" s="1"/>
  <c r="AB203" i="8"/>
  <c r="L203" i="26" s="1"/>
  <c r="AC203" i="8"/>
  <c r="Q203" i="27" s="1"/>
  <c r="AI203" i="8"/>
  <c r="AJ203" i="8"/>
  <c r="T204" i="8"/>
  <c r="G204" i="26" s="1"/>
  <c r="X204" i="8"/>
  <c r="J204" i="26" s="1"/>
  <c r="AB204" i="8"/>
  <c r="L204" i="26" s="1"/>
  <c r="AC204" i="8"/>
  <c r="Q204" i="27" s="1"/>
  <c r="AI204" i="8"/>
  <c r="AJ204" i="8"/>
  <c r="T205" i="8"/>
  <c r="G205" i="26" s="1"/>
  <c r="X205" i="8"/>
  <c r="J205" i="26" s="1"/>
  <c r="AB205" i="8"/>
  <c r="L205" i="26" s="1"/>
  <c r="AC205" i="8"/>
  <c r="Q205" i="27" s="1"/>
  <c r="AI205" i="8"/>
  <c r="AJ205" i="8"/>
  <c r="T206" i="8"/>
  <c r="G206" i="26" s="1"/>
  <c r="X206" i="8"/>
  <c r="J206" i="26" s="1"/>
  <c r="AB206" i="8"/>
  <c r="L206" i="26" s="1"/>
  <c r="AC206" i="8"/>
  <c r="Q206" i="27" s="1"/>
  <c r="AI206" i="8"/>
  <c r="AJ206" i="8"/>
  <c r="T207" i="8"/>
  <c r="G207" i="26" s="1"/>
  <c r="X207" i="8"/>
  <c r="J207" i="26" s="1"/>
  <c r="AB207" i="8"/>
  <c r="L207" i="26" s="1"/>
  <c r="AC207" i="8"/>
  <c r="Q207" i="27" s="1"/>
  <c r="AI207" i="8"/>
  <c r="AJ207" i="8"/>
  <c r="T208" i="8"/>
  <c r="G208" i="26" s="1"/>
  <c r="X208" i="8"/>
  <c r="J208" i="26" s="1"/>
  <c r="AB208" i="8"/>
  <c r="L208" i="26" s="1"/>
  <c r="AC208" i="8"/>
  <c r="Q208" i="27" s="1"/>
  <c r="AI208" i="8"/>
  <c r="AJ208" i="8"/>
  <c r="T209" i="8"/>
  <c r="G209" i="26" s="1"/>
  <c r="X209" i="8"/>
  <c r="J209" i="26" s="1"/>
  <c r="AB209" i="8"/>
  <c r="L209" i="26" s="1"/>
  <c r="AC209" i="8"/>
  <c r="Q209" i="27" s="1"/>
  <c r="AI209" i="8"/>
  <c r="AJ209" i="8"/>
  <c r="T210" i="8"/>
  <c r="G210" i="26" s="1"/>
  <c r="X210" i="8"/>
  <c r="J210" i="26" s="1"/>
  <c r="AB210" i="8"/>
  <c r="L210" i="26" s="1"/>
  <c r="AC210" i="8"/>
  <c r="Q210" i="27" s="1"/>
  <c r="AI210" i="8"/>
  <c r="AJ210" i="8"/>
  <c r="T211" i="8"/>
  <c r="G211" i="26" s="1"/>
  <c r="X211" i="8"/>
  <c r="J211" i="26" s="1"/>
  <c r="AB211" i="8"/>
  <c r="L211" i="26" s="1"/>
  <c r="AC211" i="8"/>
  <c r="Q211" i="27" s="1"/>
  <c r="AI211" i="8"/>
  <c r="AJ211" i="8"/>
  <c r="T212" i="8"/>
  <c r="G212" i="26" s="1"/>
  <c r="X212" i="8"/>
  <c r="J212" i="26" s="1"/>
  <c r="AB212" i="8"/>
  <c r="L212" i="26" s="1"/>
  <c r="AC212" i="8"/>
  <c r="Q212" i="27" s="1"/>
  <c r="AI212" i="8"/>
  <c r="AJ212" i="8"/>
  <c r="T213" i="8"/>
  <c r="G213" i="26" s="1"/>
  <c r="X213" i="8"/>
  <c r="J213" i="26" s="1"/>
  <c r="AB213" i="8"/>
  <c r="L213" i="26"/>
  <c r="AC213" i="8"/>
  <c r="Q213" i="27" s="1"/>
  <c r="AI213" i="8"/>
  <c r="AJ213" i="8"/>
  <c r="T214" i="8"/>
  <c r="G214" i="26" s="1"/>
  <c r="X214" i="8"/>
  <c r="J214" i="26" s="1"/>
  <c r="AB214" i="8"/>
  <c r="L214" i="26" s="1"/>
  <c r="AC214" i="8"/>
  <c r="Q214" i="27" s="1"/>
  <c r="AI214" i="8"/>
  <c r="AJ214" i="8"/>
  <c r="T215" i="8"/>
  <c r="G215" i="26" s="1"/>
  <c r="X215" i="8"/>
  <c r="J215" i="26" s="1"/>
  <c r="AB215" i="8"/>
  <c r="L215" i="26" s="1"/>
  <c r="AC215" i="8"/>
  <c r="Q215" i="27" s="1"/>
  <c r="AI215" i="8"/>
  <c r="AJ215" i="8"/>
  <c r="T216" i="8"/>
  <c r="G216" i="26" s="1"/>
  <c r="X216" i="8"/>
  <c r="J216" i="26" s="1"/>
  <c r="AB216" i="8"/>
  <c r="L216" i="26" s="1"/>
  <c r="AC216" i="8"/>
  <c r="Q216" i="27" s="1"/>
  <c r="AI216" i="8"/>
  <c r="AJ216" i="8"/>
  <c r="T217" i="8"/>
  <c r="G217" i="26" s="1"/>
  <c r="X217" i="8"/>
  <c r="J217" i="26" s="1"/>
  <c r="AB217" i="8"/>
  <c r="L217" i="26" s="1"/>
  <c r="AC217" i="8"/>
  <c r="Q217" i="27" s="1"/>
  <c r="AI217" i="8"/>
  <c r="AJ217" i="8"/>
  <c r="T218" i="8"/>
  <c r="G218" i="26" s="1"/>
  <c r="X218" i="8"/>
  <c r="J218" i="26" s="1"/>
  <c r="AB218" i="8"/>
  <c r="L218" i="26" s="1"/>
  <c r="AC218" i="8"/>
  <c r="Q218" i="27" s="1"/>
  <c r="AI218" i="8"/>
  <c r="AJ218" i="8"/>
  <c r="T219" i="8"/>
  <c r="G219" i="26" s="1"/>
  <c r="X219" i="8"/>
  <c r="J219" i="26" s="1"/>
  <c r="AB219" i="8"/>
  <c r="L219" i="26" s="1"/>
  <c r="AC219" i="8"/>
  <c r="Q219" i="27" s="1"/>
  <c r="AI219" i="8"/>
  <c r="AJ219" i="8"/>
  <c r="T220" i="8"/>
  <c r="G220" i="26" s="1"/>
  <c r="X220" i="8"/>
  <c r="J220" i="26" s="1"/>
  <c r="AB220" i="8"/>
  <c r="L220" i="26" s="1"/>
  <c r="AC220" i="8"/>
  <c r="Q220" i="27" s="1"/>
  <c r="AI220" i="8"/>
  <c r="AJ220" i="8"/>
  <c r="T221" i="8"/>
  <c r="G221" i="26" s="1"/>
  <c r="X221" i="8"/>
  <c r="J221" i="26" s="1"/>
  <c r="AB221" i="8"/>
  <c r="L221" i="26" s="1"/>
  <c r="AC221" i="8"/>
  <c r="Q221" i="27" s="1"/>
  <c r="AI221" i="8"/>
  <c r="AJ221" i="8"/>
  <c r="T222" i="8"/>
  <c r="G222" i="26" s="1"/>
  <c r="X222" i="8"/>
  <c r="J222" i="26" s="1"/>
  <c r="AB222" i="8"/>
  <c r="L222" i="26" s="1"/>
  <c r="AC222" i="8"/>
  <c r="Q222" i="27" s="1"/>
  <c r="AI222" i="8"/>
  <c r="AJ222" i="8"/>
  <c r="T223" i="8"/>
  <c r="G223" i="26" s="1"/>
  <c r="X223" i="8"/>
  <c r="J223" i="26" s="1"/>
  <c r="AB223" i="8"/>
  <c r="L223" i="26" s="1"/>
  <c r="AC223" i="8"/>
  <c r="Q223" i="27" s="1"/>
  <c r="AI223" i="8"/>
  <c r="AJ223" i="8"/>
  <c r="T224" i="8"/>
  <c r="G224" i="26" s="1"/>
  <c r="X224" i="8"/>
  <c r="J224" i="26" s="1"/>
  <c r="AB224" i="8"/>
  <c r="L224" i="26" s="1"/>
  <c r="AC224" i="8"/>
  <c r="Q224" i="27" s="1"/>
  <c r="AI224" i="8"/>
  <c r="AJ224" i="8"/>
  <c r="T225" i="8"/>
  <c r="G225" i="26" s="1"/>
  <c r="X225" i="8"/>
  <c r="J225" i="26" s="1"/>
  <c r="AB225" i="8"/>
  <c r="L225" i="26" s="1"/>
  <c r="AC225" i="8"/>
  <c r="Q225" i="27" s="1"/>
  <c r="AI225" i="8"/>
  <c r="AJ225" i="8"/>
  <c r="T226" i="8"/>
  <c r="G226" i="26" s="1"/>
  <c r="X226" i="8"/>
  <c r="J226" i="26" s="1"/>
  <c r="AB226" i="8"/>
  <c r="L226" i="26" s="1"/>
  <c r="AC226" i="8"/>
  <c r="Q226" i="27" s="1"/>
  <c r="AI226" i="8"/>
  <c r="AJ226" i="8"/>
  <c r="T227" i="8"/>
  <c r="G227" i="26" s="1"/>
  <c r="X227" i="8"/>
  <c r="J227" i="26" s="1"/>
  <c r="AB227" i="8"/>
  <c r="L227" i="26" s="1"/>
  <c r="AC227" i="8"/>
  <c r="Q227" i="27" s="1"/>
  <c r="AI227" i="8"/>
  <c r="AJ227" i="8"/>
  <c r="T228" i="8"/>
  <c r="G228" i="26" s="1"/>
  <c r="X228" i="8"/>
  <c r="J228" i="26" s="1"/>
  <c r="AB228" i="8"/>
  <c r="L228" i="26" s="1"/>
  <c r="AC228" i="8"/>
  <c r="Q228" i="27" s="1"/>
  <c r="AI228" i="8"/>
  <c r="AJ228" i="8"/>
  <c r="T229" i="8"/>
  <c r="G229" i="26" s="1"/>
  <c r="X229" i="8"/>
  <c r="J229" i="26" s="1"/>
  <c r="AB229" i="8"/>
  <c r="L229" i="26" s="1"/>
  <c r="AC229" i="8"/>
  <c r="Q229" i="27" s="1"/>
  <c r="AI229" i="8"/>
  <c r="AJ229" i="8"/>
  <c r="T230" i="8"/>
  <c r="G230" i="26" s="1"/>
  <c r="X230" i="8"/>
  <c r="J230" i="26" s="1"/>
  <c r="AB230" i="8"/>
  <c r="L230" i="26" s="1"/>
  <c r="AC230" i="8"/>
  <c r="Q230" i="27" s="1"/>
  <c r="AI230" i="8"/>
  <c r="AJ230" i="8"/>
  <c r="T231" i="8"/>
  <c r="G231" i="26" s="1"/>
  <c r="X231" i="8"/>
  <c r="J231" i="26" s="1"/>
  <c r="AB231" i="8"/>
  <c r="L231" i="26" s="1"/>
  <c r="AC231" i="8"/>
  <c r="Q231" i="27" s="1"/>
  <c r="AI231" i="8"/>
  <c r="AJ231" i="8"/>
  <c r="T232" i="8"/>
  <c r="G232" i="26" s="1"/>
  <c r="X232" i="8"/>
  <c r="J232" i="26" s="1"/>
  <c r="AB232" i="8"/>
  <c r="L232" i="26" s="1"/>
  <c r="AC232" i="8"/>
  <c r="Q232" i="27" s="1"/>
  <c r="AI232" i="8"/>
  <c r="AJ232" i="8"/>
  <c r="T233" i="8"/>
  <c r="G233" i="26" s="1"/>
  <c r="X233" i="8"/>
  <c r="J233" i="26" s="1"/>
  <c r="AB233" i="8"/>
  <c r="L233" i="26" s="1"/>
  <c r="AC233" i="8"/>
  <c r="Q233" i="27" s="1"/>
  <c r="AI233" i="8"/>
  <c r="AJ233" i="8"/>
  <c r="T234" i="8"/>
  <c r="G234" i="26" s="1"/>
  <c r="X234" i="8"/>
  <c r="J234" i="26" s="1"/>
  <c r="AB234" i="8"/>
  <c r="L234" i="26" s="1"/>
  <c r="AC234" i="8"/>
  <c r="Q234" i="27" s="1"/>
  <c r="AI234" i="8"/>
  <c r="AJ234" i="8"/>
  <c r="T235" i="8"/>
  <c r="G235" i="26" s="1"/>
  <c r="X235" i="8"/>
  <c r="J235" i="26" s="1"/>
  <c r="AB235" i="8"/>
  <c r="L235" i="26" s="1"/>
  <c r="AC235" i="8"/>
  <c r="Q235" i="27" s="1"/>
  <c r="AI235" i="8"/>
  <c r="AJ235" i="8"/>
  <c r="T236" i="8"/>
  <c r="G236" i="26" s="1"/>
  <c r="X236" i="8"/>
  <c r="J236" i="26" s="1"/>
  <c r="AB236" i="8"/>
  <c r="L236" i="26" s="1"/>
  <c r="AC236" i="8"/>
  <c r="Q236" i="27" s="1"/>
  <c r="AI236" i="8"/>
  <c r="AJ236" i="8"/>
  <c r="T237" i="8"/>
  <c r="G237" i="26" s="1"/>
  <c r="X237" i="8"/>
  <c r="J237" i="26" s="1"/>
  <c r="AB237" i="8"/>
  <c r="L237" i="26" s="1"/>
  <c r="AC237" i="8"/>
  <c r="Q237" i="27" s="1"/>
  <c r="AI237" i="8"/>
  <c r="AJ237" i="8"/>
  <c r="T238" i="8"/>
  <c r="G238" i="26" s="1"/>
  <c r="X238" i="8"/>
  <c r="J238" i="26" s="1"/>
  <c r="AB238" i="8"/>
  <c r="L238" i="26" s="1"/>
  <c r="AC238" i="8"/>
  <c r="Q238" i="27" s="1"/>
  <c r="AI238" i="8"/>
  <c r="AJ238" i="8"/>
  <c r="T239" i="8"/>
  <c r="G239" i="26" s="1"/>
  <c r="X239" i="8"/>
  <c r="J239" i="26" s="1"/>
  <c r="AB239" i="8"/>
  <c r="L239" i="26" s="1"/>
  <c r="AC239" i="8"/>
  <c r="Q239" i="27" s="1"/>
  <c r="AI239" i="8"/>
  <c r="AJ239" i="8"/>
  <c r="T240" i="8"/>
  <c r="G240" i="26" s="1"/>
  <c r="X240" i="8"/>
  <c r="J240" i="26" s="1"/>
  <c r="AB240" i="8"/>
  <c r="L240" i="26" s="1"/>
  <c r="AC240" i="8"/>
  <c r="Q240" i="27" s="1"/>
  <c r="AI240" i="8"/>
  <c r="AJ240" i="8"/>
  <c r="T241" i="8"/>
  <c r="G241" i="26" s="1"/>
  <c r="X241" i="8"/>
  <c r="J241" i="26" s="1"/>
  <c r="AB241" i="8"/>
  <c r="L241" i="26" s="1"/>
  <c r="AC241" i="8"/>
  <c r="Q241" i="27" s="1"/>
  <c r="AI241" i="8"/>
  <c r="AJ241" i="8"/>
  <c r="T242" i="8"/>
  <c r="G242" i="26" s="1"/>
  <c r="X242" i="8"/>
  <c r="J242" i="26" s="1"/>
  <c r="AB242" i="8"/>
  <c r="L242" i="26" s="1"/>
  <c r="AC242" i="8"/>
  <c r="Q242" i="27" s="1"/>
  <c r="AI242" i="8"/>
  <c r="AJ242" i="8"/>
  <c r="T243" i="8"/>
  <c r="G243" i="26" s="1"/>
  <c r="X243" i="8"/>
  <c r="J243" i="26" s="1"/>
  <c r="AB243" i="8"/>
  <c r="L243" i="26" s="1"/>
  <c r="AC243" i="8"/>
  <c r="Q243" i="27" s="1"/>
  <c r="AI243" i="8"/>
  <c r="AJ243" i="8"/>
  <c r="T244" i="8"/>
  <c r="G244" i="26" s="1"/>
  <c r="X244" i="8"/>
  <c r="J244" i="26" s="1"/>
  <c r="AB244" i="8"/>
  <c r="L244" i="26" s="1"/>
  <c r="AC244" i="8"/>
  <c r="Q244" i="27" s="1"/>
  <c r="AI244" i="8"/>
  <c r="AJ244" i="8"/>
  <c r="T245" i="8"/>
  <c r="G245" i="26" s="1"/>
  <c r="X245" i="8"/>
  <c r="J245" i="26" s="1"/>
  <c r="AB245" i="8"/>
  <c r="L245" i="26" s="1"/>
  <c r="AC245" i="8"/>
  <c r="Q245" i="27" s="1"/>
  <c r="AI245" i="8"/>
  <c r="AJ245" i="8"/>
  <c r="T246" i="8"/>
  <c r="G246" i="26" s="1"/>
  <c r="X246" i="8"/>
  <c r="J246" i="26" s="1"/>
  <c r="AB246" i="8"/>
  <c r="L246" i="26" s="1"/>
  <c r="AC246" i="8"/>
  <c r="Q246" i="27" s="1"/>
  <c r="AI246" i="8"/>
  <c r="AJ246" i="8"/>
  <c r="T247" i="8"/>
  <c r="G247" i="26" s="1"/>
  <c r="X247" i="8"/>
  <c r="J247" i="26" s="1"/>
  <c r="AB247" i="8"/>
  <c r="L247" i="26" s="1"/>
  <c r="AC247" i="8"/>
  <c r="Q247" i="27" s="1"/>
  <c r="AI247" i="8"/>
  <c r="AJ247" i="8"/>
  <c r="T248" i="8"/>
  <c r="G248" i="26" s="1"/>
  <c r="X248" i="8"/>
  <c r="J248" i="26" s="1"/>
  <c r="AB248" i="8"/>
  <c r="L248" i="26" s="1"/>
  <c r="AC248" i="8"/>
  <c r="Q248" i="27" s="1"/>
  <c r="AI248" i="8"/>
  <c r="AJ248" i="8"/>
  <c r="T249" i="8"/>
  <c r="G249" i="26" s="1"/>
  <c r="X249" i="8"/>
  <c r="J249" i="26" s="1"/>
  <c r="AB249" i="8"/>
  <c r="L249" i="26" s="1"/>
  <c r="AC249" i="8"/>
  <c r="Q249" i="27" s="1"/>
  <c r="AI249" i="8"/>
  <c r="AJ249" i="8"/>
  <c r="T250" i="8"/>
  <c r="G250" i="26" s="1"/>
  <c r="X250" i="8"/>
  <c r="J250" i="26" s="1"/>
  <c r="AB250" i="8"/>
  <c r="L250" i="26" s="1"/>
  <c r="AC250" i="8"/>
  <c r="Q250" i="27" s="1"/>
  <c r="AI250" i="8"/>
  <c r="AJ250" i="8"/>
  <c r="T251" i="8"/>
  <c r="G251" i="26" s="1"/>
  <c r="X251" i="8"/>
  <c r="J251" i="26" s="1"/>
  <c r="AB251" i="8"/>
  <c r="L251" i="26" s="1"/>
  <c r="AC251" i="8"/>
  <c r="Q251" i="27" s="1"/>
  <c r="AI251" i="8"/>
  <c r="AJ251" i="8"/>
  <c r="T252" i="8"/>
  <c r="G252" i="26" s="1"/>
  <c r="X252" i="8"/>
  <c r="J252" i="26" s="1"/>
  <c r="AB252" i="8"/>
  <c r="L252" i="26" s="1"/>
  <c r="AC252" i="8"/>
  <c r="Q252" i="27" s="1"/>
  <c r="AI252" i="8"/>
  <c r="AJ252" i="8"/>
  <c r="T253" i="8"/>
  <c r="G253" i="26" s="1"/>
  <c r="X253" i="8"/>
  <c r="J253" i="26" s="1"/>
  <c r="AB253" i="8"/>
  <c r="L253" i="26" s="1"/>
  <c r="AC253" i="8"/>
  <c r="Q253" i="27" s="1"/>
  <c r="AI253" i="8"/>
  <c r="AJ253" i="8"/>
  <c r="T254" i="8"/>
  <c r="G254" i="26" s="1"/>
  <c r="X254" i="8"/>
  <c r="J254" i="26" s="1"/>
  <c r="AB254" i="8"/>
  <c r="L254" i="26" s="1"/>
  <c r="AC254" i="8"/>
  <c r="Q254" i="27" s="1"/>
  <c r="AI254" i="8"/>
  <c r="AJ254" i="8"/>
  <c r="T255" i="8"/>
  <c r="G255" i="26" s="1"/>
  <c r="X255" i="8"/>
  <c r="J255" i="26" s="1"/>
  <c r="AB255" i="8"/>
  <c r="L255" i="26" s="1"/>
  <c r="AC255" i="8"/>
  <c r="Q255" i="27" s="1"/>
  <c r="AI255" i="8"/>
  <c r="AJ255" i="8"/>
  <c r="T256" i="8"/>
  <c r="G256" i="26" s="1"/>
  <c r="X256" i="8"/>
  <c r="J256" i="26" s="1"/>
  <c r="AB256" i="8"/>
  <c r="L256" i="26" s="1"/>
  <c r="AC256" i="8"/>
  <c r="Q256" i="27" s="1"/>
  <c r="AI256" i="8"/>
  <c r="AJ256" i="8"/>
  <c r="T257" i="8"/>
  <c r="G257" i="26" s="1"/>
  <c r="X257" i="8"/>
  <c r="J257" i="26" s="1"/>
  <c r="AB257" i="8"/>
  <c r="L257" i="26" s="1"/>
  <c r="AC257" i="8"/>
  <c r="Q257" i="27" s="1"/>
  <c r="AI257" i="8"/>
  <c r="AJ257" i="8"/>
  <c r="T258" i="8"/>
  <c r="G258" i="26" s="1"/>
  <c r="X258" i="8"/>
  <c r="J258" i="26" s="1"/>
  <c r="AB258" i="8"/>
  <c r="L258" i="26" s="1"/>
  <c r="AC258" i="8"/>
  <c r="Q258" i="27" s="1"/>
  <c r="AI258" i="8"/>
  <c r="AJ258" i="8"/>
  <c r="T259" i="8"/>
  <c r="G259" i="26" s="1"/>
  <c r="X259" i="8"/>
  <c r="J259" i="26" s="1"/>
  <c r="AB259" i="8"/>
  <c r="L259" i="26" s="1"/>
  <c r="AC259" i="8"/>
  <c r="Q259" i="27" s="1"/>
  <c r="AI259" i="8"/>
  <c r="AJ259" i="8"/>
  <c r="T260" i="8"/>
  <c r="G260" i="26" s="1"/>
  <c r="X260" i="8"/>
  <c r="J260" i="26" s="1"/>
  <c r="AB260" i="8"/>
  <c r="L260" i="26" s="1"/>
  <c r="AC260" i="8"/>
  <c r="Q260" i="27" s="1"/>
  <c r="AI260" i="8"/>
  <c r="AJ260" i="8"/>
  <c r="T261" i="8"/>
  <c r="G261" i="26" s="1"/>
  <c r="X261" i="8"/>
  <c r="J261" i="26" s="1"/>
  <c r="AB261" i="8"/>
  <c r="L261" i="26" s="1"/>
  <c r="AC261" i="8"/>
  <c r="Q261" i="27" s="1"/>
  <c r="AI261" i="8"/>
  <c r="AJ261" i="8"/>
  <c r="T262" i="8"/>
  <c r="G262" i="26" s="1"/>
  <c r="X262" i="8"/>
  <c r="J262" i="26" s="1"/>
  <c r="AB262" i="8"/>
  <c r="L262" i="26" s="1"/>
  <c r="AC262" i="8"/>
  <c r="Q262" i="27" s="1"/>
  <c r="AI262" i="8"/>
  <c r="AJ262" i="8"/>
  <c r="T263" i="8"/>
  <c r="G263" i="26" s="1"/>
  <c r="X263" i="8"/>
  <c r="J263" i="26" s="1"/>
  <c r="AB263" i="8"/>
  <c r="L263" i="26" s="1"/>
  <c r="AC263" i="8"/>
  <c r="Q263" i="27" s="1"/>
  <c r="AI263" i="8"/>
  <c r="AJ263" i="8"/>
  <c r="T264" i="8"/>
  <c r="G264" i="26" s="1"/>
  <c r="X264" i="8"/>
  <c r="J264" i="26" s="1"/>
  <c r="AB264" i="8"/>
  <c r="L264" i="26" s="1"/>
  <c r="AC264" i="8"/>
  <c r="Q264" i="27" s="1"/>
  <c r="AI264" i="8"/>
  <c r="AJ264" i="8"/>
  <c r="T265" i="8"/>
  <c r="G265" i="26" s="1"/>
  <c r="X265" i="8"/>
  <c r="J265" i="26" s="1"/>
  <c r="AB265" i="8"/>
  <c r="L265" i="26" s="1"/>
  <c r="AC265" i="8"/>
  <c r="Q265" i="27" s="1"/>
  <c r="AI265" i="8"/>
  <c r="AJ265" i="8"/>
  <c r="T266" i="8"/>
  <c r="G266" i="26" s="1"/>
  <c r="X266" i="8"/>
  <c r="J266" i="26" s="1"/>
  <c r="AB266" i="8"/>
  <c r="L266" i="26" s="1"/>
  <c r="AC266" i="8"/>
  <c r="Q266" i="27" s="1"/>
  <c r="AI266" i="8"/>
  <c r="AJ266" i="8"/>
  <c r="T267" i="8"/>
  <c r="G267" i="26" s="1"/>
  <c r="X267" i="8"/>
  <c r="J267" i="26" s="1"/>
  <c r="AB267" i="8"/>
  <c r="L267" i="26" s="1"/>
  <c r="AC267" i="8"/>
  <c r="Q267" i="27" s="1"/>
  <c r="AI267" i="8"/>
  <c r="AJ267" i="8"/>
  <c r="T268" i="8"/>
  <c r="G268" i="26" s="1"/>
  <c r="X268" i="8"/>
  <c r="J268" i="26" s="1"/>
  <c r="AB268" i="8"/>
  <c r="L268" i="26" s="1"/>
  <c r="AC268" i="8"/>
  <c r="Q268" i="27" s="1"/>
  <c r="AI268" i="8"/>
  <c r="AJ268" i="8"/>
  <c r="T269" i="8"/>
  <c r="G269" i="26" s="1"/>
  <c r="X269" i="8"/>
  <c r="J269" i="26" s="1"/>
  <c r="AB269" i="8"/>
  <c r="L269" i="26" s="1"/>
  <c r="AC269" i="8"/>
  <c r="Q269" i="27" s="1"/>
  <c r="AI269" i="8"/>
  <c r="AJ269" i="8"/>
  <c r="T270" i="8"/>
  <c r="G270" i="26" s="1"/>
  <c r="X270" i="8"/>
  <c r="J270" i="26" s="1"/>
  <c r="AB270" i="8"/>
  <c r="L270" i="26" s="1"/>
  <c r="AC270" i="8"/>
  <c r="Q270" i="27" s="1"/>
  <c r="AI270" i="8"/>
  <c r="AJ270" i="8"/>
  <c r="T271" i="8"/>
  <c r="G271" i="26" s="1"/>
  <c r="X271" i="8"/>
  <c r="J271" i="26" s="1"/>
  <c r="AB271" i="8"/>
  <c r="L271" i="26" s="1"/>
  <c r="AC271" i="8"/>
  <c r="Q271" i="27" s="1"/>
  <c r="AI271" i="8"/>
  <c r="AJ271" i="8"/>
  <c r="T272" i="8"/>
  <c r="G272" i="26" s="1"/>
  <c r="X272" i="8"/>
  <c r="J272" i="26" s="1"/>
  <c r="AB272" i="8"/>
  <c r="L272" i="26" s="1"/>
  <c r="AC272" i="8"/>
  <c r="Q272" i="27" s="1"/>
  <c r="AI272" i="8"/>
  <c r="AJ272" i="8"/>
  <c r="T273" i="8"/>
  <c r="G273" i="26" s="1"/>
  <c r="X273" i="8"/>
  <c r="J273" i="26" s="1"/>
  <c r="AB273" i="8"/>
  <c r="L273" i="26" s="1"/>
  <c r="AC273" i="8"/>
  <c r="Q273" i="27" s="1"/>
  <c r="AI273" i="8"/>
  <c r="AJ273" i="8"/>
  <c r="T274" i="8"/>
  <c r="G274" i="26" s="1"/>
  <c r="X274" i="8"/>
  <c r="J274" i="26" s="1"/>
  <c r="AB274" i="8"/>
  <c r="L274" i="26" s="1"/>
  <c r="AC274" i="8"/>
  <c r="Q274" i="27" s="1"/>
  <c r="AI274" i="8"/>
  <c r="AJ274" i="8"/>
  <c r="T275" i="8"/>
  <c r="G275" i="26" s="1"/>
  <c r="X275" i="8"/>
  <c r="J275" i="26" s="1"/>
  <c r="AB275" i="8"/>
  <c r="L275" i="26" s="1"/>
  <c r="AC275" i="8"/>
  <c r="Q275" i="27" s="1"/>
  <c r="AI275" i="8"/>
  <c r="AJ275" i="8"/>
  <c r="T276" i="8"/>
  <c r="G276" i="26" s="1"/>
  <c r="X276" i="8"/>
  <c r="J276" i="26" s="1"/>
  <c r="AB276" i="8"/>
  <c r="L276" i="26" s="1"/>
  <c r="AC276" i="8"/>
  <c r="Q276" i="27" s="1"/>
  <c r="AI276" i="8"/>
  <c r="AJ276" i="8"/>
  <c r="T277" i="8"/>
  <c r="G277" i="26" s="1"/>
  <c r="X277" i="8"/>
  <c r="J277" i="26" s="1"/>
  <c r="AB277" i="8"/>
  <c r="L277" i="26" s="1"/>
  <c r="AC277" i="8"/>
  <c r="Q277" i="27" s="1"/>
  <c r="AI277" i="8"/>
  <c r="AJ277" i="8"/>
  <c r="T278" i="8"/>
  <c r="G278" i="26" s="1"/>
  <c r="X278" i="8"/>
  <c r="J278" i="26" s="1"/>
  <c r="AB278" i="8"/>
  <c r="L278" i="26" s="1"/>
  <c r="AC278" i="8"/>
  <c r="Q278" i="27" s="1"/>
  <c r="AI278" i="8"/>
  <c r="AJ278" i="8"/>
  <c r="T279" i="8"/>
  <c r="G279" i="26" s="1"/>
  <c r="X279" i="8"/>
  <c r="J279" i="26" s="1"/>
  <c r="AB279" i="8"/>
  <c r="L279" i="26" s="1"/>
  <c r="AC279" i="8"/>
  <c r="Q279" i="27" s="1"/>
  <c r="AI279" i="8"/>
  <c r="AJ279" i="8"/>
  <c r="T280" i="8"/>
  <c r="G280" i="26" s="1"/>
  <c r="X280" i="8"/>
  <c r="J280" i="26" s="1"/>
  <c r="AB280" i="8"/>
  <c r="L280" i="26" s="1"/>
  <c r="AC280" i="8"/>
  <c r="Q280" i="27" s="1"/>
  <c r="AI280" i="8"/>
  <c r="AJ280" i="8"/>
  <c r="T281" i="8"/>
  <c r="G281" i="26" s="1"/>
  <c r="X281" i="8"/>
  <c r="J281" i="26" s="1"/>
  <c r="AB281" i="8"/>
  <c r="L281" i="26" s="1"/>
  <c r="AC281" i="8"/>
  <c r="Q281" i="27" s="1"/>
  <c r="AI281" i="8"/>
  <c r="AJ281" i="8"/>
  <c r="T282" i="8"/>
  <c r="G282" i="26" s="1"/>
  <c r="X282" i="8"/>
  <c r="J282" i="26" s="1"/>
  <c r="AB282" i="8"/>
  <c r="L282" i="26" s="1"/>
  <c r="AC282" i="8"/>
  <c r="Q282" i="27" s="1"/>
  <c r="AI282" i="8"/>
  <c r="AJ282" i="8"/>
  <c r="T283" i="8"/>
  <c r="G283" i="26" s="1"/>
  <c r="X283" i="8"/>
  <c r="J283" i="26" s="1"/>
  <c r="AB283" i="8"/>
  <c r="L283" i="26" s="1"/>
  <c r="AC283" i="8"/>
  <c r="Q283" i="27" s="1"/>
  <c r="AI283" i="8"/>
  <c r="AJ283" i="8"/>
  <c r="T284" i="8"/>
  <c r="G284" i="26" s="1"/>
  <c r="X284" i="8"/>
  <c r="J284" i="26" s="1"/>
  <c r="AB284" i="8"/>
  <c r="L284" i="26" s="1"/>
  <c r="AC284" i="8"/>
  <c r="Q284" i="27" s="1"/>
  <c r="AI284" i="8"/>
  <c r="AJ284" i="8"/>
  <c r="T285" i="8"/>
  <c r="G285" i="26" s="1"/>
  <c r="X285" i="8"/>
  <c r="J285" i="26" s="1"/>
  <c r="AB285" i="8"/>
  <c r="L285" i="26" s="1"/>
  <c r="AC285" i="8"/>
  <c r="Q285" i="27" s="1"/>
  <c r="AI285" i="8"/>
  <c r="AJ285" i="8"/>
  <c r="T286" i="8"/>
  <c r="G286" i="26" s="1"/>
  <c r="X286" i="8"/>
  <c r="J286" i="26"/>
  <c r="AB286" i="8"/>
  <c r="L286" i="26" s="1"/>
  <c r="AC286" i="8"/>
  <c r="Q286" i="27" s="1"/>
  <c r="AI286" i="8"/>
  <c r="AJ286" i="8"/>
  <c r="T287" i="8"/>
  <c r="G287" i="26" s="1"/>
  <c r="X287" i="8"/>
  <c r="J287" i="26" s="1"/>
  <c r="AB287" i="8"/>
  <c r="L287" i="26" s="1"/>
  <c r="AC287" i="8"/>
  <c r="Q287" i="27" s="1"/>
  <c r="AI287" i="8"/>
  <c r="AJ287" i="8"/>
  <c r="T288" i="8"/>
  <c r="G288" i="26" s="1"/>
  <c r="X288" i="8"/>
  <c r="J288" i="26" s="1"/>
  <c r="AB288" i="8"/>
  <c r="L288" i="26" s="1"/>
  <c r="AC288" i="8"/>
  <c r="Q288" i="27" s="1"/>
  <c r="AI288" i="8"/>
  <c r="AJ288" i="8"/>
  <c r="T289" i="8"/>
  <c r="G289" i="26" s="1"/>
  <c r="X289" i="8"/>
  <c r="J289" i="26" s="1"/>
  <c r="AB289" i="8"/>
  <c r="L289" i="26" s="1"/>
  <c r="AC289" i="8"/>
  <c r="Q289" i="27" s="1"/>
  <c r="AI289" i="8"/>
  <c r="AJ289" i="8"/>
  <c r="T290" i="8"/>
  <c r="G290" i="26" s="1"/>
  <c r="X290" i="8"/>
  <c r="J290" i="26" s="1"/>
  <c r="AB290" i="8"/>
  <c r="L290" i="26" s="1"/>
  <c r="AC290" i="8"/>
  <c r="Q290" i="27" s="1"/>
  <c r="AI290" i="8"/>
  <c r="AJ290" i="8"/>
  <c r="T291" i="8"/>
  <c r="G291" i="26" s="1"/>
  <c r="X291" i="8"/>
  <c r="J291" i="26" s="1"/>
  <c r="AB291" i="8"/>
  <c r="L291" i="26" s="1"/>
  <c r="AC291" i="8"/>
  <c r="Q291" i="27" s="1"/>
  <c r="AI291" i="8"/>
  <c r="AJ291" i="8"/>
  <c r="T292" i="8"/>
  <c r="G292" i="26" s="1"/>
  <c r="X292" i="8"/>
  <c r="J292" i="26" s="1"/>
  <c r="AB292" i="8"/>
  <c r="L292" i="26" s="1"/>
  <c r="AC292" i="8"/>
  <c r="Q292" i="27" s="1"/>
  <c r="AI292" i="8"/>
  <c r="AJ292" i="8"/>
  <c r="T293" i="8"/>
  <c r="G293" i="26" s="1"/>
  <c r="X293" i="8"/>
  <c r="J293" i="26" s="1"/>
  <c r="AB293" i="8"/>
  <c r="L293" i="26" s="1"/>
  <c r="AC293" i="8"/>
  <c r="Q293" i="27" s="1"/>
  <c r="AI293" i="8"/>
  <c r="AJ293" i="8"/>
  <c r="T294" i="8"/>
  <c r="G294" i="26" s="1"/>
  <c r="X294" i="8"/>
  <c r="J294" i="26" s="1"/>
  <c r="AB294" i="8"/>
  <c r="L294" i="26" s="1"/>
  <c r="AC294" i="8"/>
  <c r="Q294" i="27" s="1"/>
  <c r="AI294" i="8"/>
  <c r="AJ294" i="8"/>
  <c r="T295" i="8"/>
  <c r="G295" i="26" s="1"/>
  <c r="X295" i="8"/>
  <c r="J295" i="26" s="1"/>
  <c r="AB295" i="8"/>
  <c r="L295" i="26" s="1"/>
  <c r="AC295" i="8"/>
  <c r="Q295" i="27" s="1"/>
  <c r="AI295" i="8"/>
  <c r="AJ295" i="8"/>
  <c r="T296" i="8"/>
  <c r="G296" i="26" s="1"/>
  <c r="X296" i="8"/>
  <c r="J296" i="26" s="1"/>
  <c r="AB296" i="8"/>
  <c r="L296" i="26" s="1"/>
  <c r="AC296" i="8"/>
  <c r="Q296" i="27" s="1"/>
  <c r="AI296" i="8"/>
  <c r="AJ296" i="8"/>
  <c r="T297" i="8"/>
  <c r="G297" i="26" s="1"/>
  <c r="X297" i="8"/>
  <c r="J297" i="26" s="1"/>
  <c r="AB297" i="8"/>
  <c r="L297" i="26" s="1"/>
  <c r="AC297" i="8"/>
  <c r="Q297" i="27" s="1"/>
  <c r="AI297" i="8"/>
  <c r="AJ297" i="8"/>
  <c r="T298" i="8"/>
  <c r="G298" i="26" s="1"/>
  <c r="X298" i="8"/>
  <c r="J298" i="26" s="1"/>
  <c r="AB298" i="8"/>
  <c r="L298" i="26" s="1"/>
  <c r="AC298" i="8"/>
  <c r="Q298" i="27" s="1"/>
  <c r="AI298" i="8"/>
  <c r="AJ298" i="8"/>
  <c r="T299" i="8"/>
  <c r="G299" i="26" s="1"/>
  <c r="X299" i="8"/>
  <c r="J299" i="26" s="1"/>
  <c r="AB299" i="8"/>
  <c r="L299" i="26" s="1"/>
  <c r="AC299" i="8"/>
  <c r="Q299" i="27" s="1"/>
  <c r="AI299" i="8"/>
  <c r="AJ299" i="8"/>
  <c r="T300" i="8"/>
  <c r="G300" i="26" s="1"/>
  <c r="X300" i="8"/>
  <c r="J300" i="26" s="1"/>
  <c r="AB300" i="8"/>
  <c r="L300" i="26" s="1"/>
  <c r="AC300" i="8"/>
  <c r="Q300" i="27" s="1"/>
  <c r="AI300" i="8"/>
  <c r="AJ300" i="8"/>
  <c r="T301" i="8"/>
  <c r="G301" i="26" s="1"/>
  <c r="X301" i="8"/>
  <c r="J301" i="26" s="1"/>
  <c r="AB301" i="8"/>
  <c r="L301" i="26" s="1"/>
  <c r="AC301" i="8"/>
  <c r="Q301" i="27" s="1"/>
  <c r="T302" i="8"/>
  <c r="G302" i="26" s="1"/>
  <c r="X302" i="8"/>
  <c r="J302" i="26" s="1"/>
  <c r="AB302" i="8"/>
  <c r="L302" i="26" s="1"/>
  <c r="AC302" i="8"/>
  <c r="Q302" i="27" s="1"/>
  <c r="T303" i="8"/>
  <c r="G303" i="26" s="1"/>
  <c r="X303" i="8"/>
  <c r="J303" i="26" s="1"/>
  <c r="AB303" i="8"/>
  <c r="L303" i="26" s="1"/>
  <c r="AC303" i="8"/>
  <c r="Q303" i="27" s="1"/>
  <c r="T304" i="8"/>
  <c r="G304" i="26" s="1"/>
  <c r="X304" i="8"/>
  <c r="J304" i="26" s="1"/>
  <c r="AB304" i="8"/>
  <c r="L304" i="26" s="1"/>
  <c r="AC304" i="8"/>
  <c r="Q304" i="27" s="1"/>
  <c r="T305" i="8"/>
  <c r="G305" i="26" s="1"/>
  <c r="X305" i="8"/>
  <c r="J305" i="26" s="1"/>
  <c r="AB305" i="8"/>
  <c r="L305" i="26" s="1"/>
  <c r="AC305" i="8"/>
  <c r="Q305" i="27" s="1"/>
  <c r="T306" i="8"/>
  <c r="G306" i="26" s="1"/>
  <c r="X306" i="8"/>
  <c r="J306" i="26" s="1"/>
  <c r="AB306" i="8"/>
  <c r="L306" i="26" s="1"/>
  <c r="AC306" i="8"/>
  <c r="Q306" i="27" s="1"/>
  <c r="T307" i="8"/>
  <c r="G307" i="26" s="1"/>
  <c r="X307" i="8"/>
  <c r="J307" i="26" s="1"/>
  <c r="AB307" i="8"/>
  <c r="L307" i="26" s="1"/>
  <c r="AC307" i="8"/>
  <c r="Q307" i="27" s="1"/>
  <c r="T308" i="8"/>
  <c r="G308" i="26" s="1"/>
  <c r="X308" i="8"/>
  <c r="J308" i="26" s="1"/>
  <c r="AB308" i="8"/>
  <c r="L308" i="26" s="1"/>
  <c r="AC308" i="8"/>
  <c r="Q308" i="27" s="1"/>
  <c r="T309" i="8"/>
  <c r="G309" i="26" s="1"/>
  <c r="X309" i="8"/>
  <c r="J309" i="26" s="1"/>
  <c r="AB309" i="8"/>
  <c r="L309" i="26" s="1"/>
  <c r="AC309" i="8"/>
  <c r="Q309" i="27" s="1"/>
  <c r="T310" i="8"/>
  <c r="G310" i="26" s="1"/>
  <c r="X310" i="8"/>
  <c r="J310" i="26" s="1"/>
  <c r="AB310" i="8"/>
  <c r="L310" i="26" s="1"/>
  <c r="AC310" i="8"/>
  <c r="Q310" i="27" s="1"/>
  <c r="T311" i="8"/>
  <c r="G311" i="26" s="1"/>
  <c r="X311" i="8"/>
  <c r="J311" i="26" s="1"/>
  <c r="AB311" i="8"/>
  <c r="L311" i="26" s="1"/>
  <c r="AC311" i="8"/>
  <c r="Q311" i="27" s="1"/>
  <c r="T312" i="8"/>
  <c r="G312" i="26" s="1"/>
  <c r="X312" i="8"/>
  <c r="J312" i="26" s="1"/>
  <c r="AB312" i="8"/>
  <c r="L312" i="26" s="1"/>
  <c r="AC312" i="8"/>
  <c r="Q312" i="27" s="1"/>
  <c r="T313" i="8"/>
  <c r="G313" i="26" s="1"/>
  <c r="X313" i="8"/>
  <c r="J313" i="26" s="1"/>
  <c r="AB313" i="8"/>
  <c r="L313" i="26" s="1"/>
  <c r="AC313" i="8"/>
  <c r="Q313" i="27" s="1"/>
  <c r="T314" i="8"/>
  <c r="G314" i="26" s="1"/>
  <c r="X314" i="8"/>
  <c r="J314" i="26" s="1"/>
  <c r="AB314" i="8"/>
  <c r="L314" i="26" s="1"/>
  <c r="AC314" i="8"/>
  <c r="Q314" i="27" s="1"/>
  <c r="T315" i="8"/>
  <c r="G315" i="26" s="1"/>
  <c r="X315" i="8"/>
  <c r="J315" i="26" s="1"/>
  <c r="AB315" i="8"/>
  <c r="L315" i="26" s="1"/>
  <c r="AC315" i="8"/>
  <c r="Q315" i="27" s="1"/>
  <c r="T316" i="8"/>
  <c r="G316" i="26" s="1"/>
  <c r="X316" i="8"/>
  <c r="J316" i="26" s="1"/>
  <c r="AB316" i="8"/>
  <c r="L316" i="26" s="1"/>
  <c r="AC316" i="8"/>
  <c r="Q316" i="27" s="1"/>
  <c r="T317" i="8"/>
  <c r="G317" i="26" s="1"/>
  <c r="X317" i="8"/>
  <c r="J317" i="26" s="1"/>
  <c r="AB317" i="8"/>
  <c r="L317" i="26" s="1"/>
  <c r="AC317" i="8"/>
  <c r="Q317" i="27" s="1"/>
  <c r="T318" i="8"/>
  <c r="G318" i="26" s="1"/>
  <c r="X318" i="8"/>
  <c r="J318" i="26" s="1"/>
  <c r="AB318" i="8"/>
  <c r="L318" i="26" s="1"/>
  <c r="AC318" i="8"/>
  <c r="Q318" i="27" s="1"/>
  <c r="T319" i="8"/>
  <c r="G319" i="26" s="1"/>
  <c r="X319" i="8"/>
  <c r="J319" i="26" s="1"/>
  <c r="AB319" i="8"/>
  <c r="L319" i="26" s="1"/>
  <c r="AC319" i="8"/>
  <c r="Q319" i="27" s="1"/>
  <c r="T320" i="8"/>
  <c r="G320" i="26" s="1"/>
  <c r="X320" i="8"/>
  <c r="J320" i="26" s="1"/>
  <c r="AB320" i="8"/>
  <c r="L320" i="26" s="1"/>
  <c r="AC320" i="8"/>
  <c r="Q320" i="27" s="1"/>
  <c r="T321" i="8"/>
  <c r="G321" i="26" s="1"/>
  <c r="X321" i="8"/>
  <c r="J321" i="26" s="1"/>
  <c r="AB321" i="8"/>
  <c r="L321" i="26" s="1"/>
  <c r="AC321" i="8"/>
  <c r="Q321" i="27" s="1"/>
  <c r="T322" i="8"/>
  <c r="G322" i="26" s="1"/>
  <c r="X322" i="8"/>
  <c r="J322" i="26" s="1"/>
  <c r="AB322" i="8"/>
  <c r="L322" i="26" s="1"/>
  <c r="AC322" i="8"/>
  <c r="Q322" i="27" s="1"/>
  <c r="T323" i="8"/>
  <c r="G323" i="26" s="1"/>
  <c r="X323" i="8"/>
  <c r="J323" i="26" s="1"/>
  <c r="AB323" i="8"/>
  <c r="L323" i="26" s="1"/>
  <c r="AC323" i="8"/>
  <c r="Q323" i="27" s="1"/>
  <c r="T324" i="8"/>
  <c r="G324" i="26" s="1"/>
  <c r="X324" i="8"/>
  <c r="J324" i="26" s="1"/>
  <c r="AB324" i="8"/>
  <c r="L324" i="26" s="1"/>
  <c r="AC324" i="8"/>
  <c r="Q324" i="27" s="1"/>
  <c r="T325" i="8"/>
  <c r="G325" i="26" s="1"/>
  <c r="X325" i="8"/>
  <c r="J325" i="26" s="1"/>
  <c r="AB325" i="8"/>
  <c r="L325" i="26" s="1"/>
  <c r="AC325" i="8"/>
  <c r="Q325" i="27" s="1"/>
  <c r="T326" i="8"/>
  <c r="G326" i="26" s="1"/>
  <c r="X326" i="8"/>
  <c r="J326" i="26" s="1"/>
  <c r="AB326" i="8"/>
  <c r="L326" i="26" s="1"/>
  <c r="AC326" i="8"/>
  <c r="Q326" i="27" s="1"/>
  <c r="T327" i="8"/>
  <c r="G327" i="26" s="1"/>
  <c r="X327" i="8"/>
  <c r="J327" i="26" s="1"/>
  <c r="AB327" i="8"/>
  <c r="L327" i="26" s="1"/>
  <c r="AC327" i="8"/>
  <c r="Q327" i="27" s="1"/>
  <c r="T328" i="8"/>
  <c r="G328" i="26" s="1"/>
  <c r="X328" i="8"/>
  <c r="J328" i="26" s="1"/>
  <c r="AB328" i="8"/>
  <c r="L328" i="26" s="1"/>
  <c r="AC328" i="8"/>
  <c r="Q328" i="27" s="1"/>
  <c r="T329" i="8"/>
  <c r="G329" i="26" s="1"/>
  <c r="X329" i="8"/>
  <c r="J329" i="26" s="1"/>
  <c r="AB329" i="8"/>
  <c r="L329" i="26" s="1"/>
  <c r="AC329" i="8"/>
  <c r="Q329" i="27" s="1"/>
  <c r="T330" i="8"/>
  <c r="G330" i="26" s="1"/>
  <c r="X330" i="8"/>
  <c r="J330" i="26" s="1"/>
  <c r="AB330" i="8"/>
  <c r="L330" i="26" s="1"/>
  <c r="AC330" i="8"/>
  <c r="Q330" i="27" s="1"/>
  <c r="T331" i="8"/>
  <c r="G331" i="26" s="1"/>
  <c r="X331" i="8"/>
  <c r="J331" i="26" s="1"/>
  <c r="AB331" i="8"/>
  <c r="L331" i="26" s="1"/>
  <c r="AC331" i="8"/>
  <c r="Q331" i="27" s="1"/>
  <c r="T332" i="8"/>
  <c r="G332" i="26" s="1"/>
  <c r="X332" i="8"/>
  <c r="J332" i="26" s="1"/>
  <c r="AB332" i="8"/>
  <c r="L332" i="26" s="1"/>
  <c r="AC332" i="8"/>
  <c r="Q332" i="27" s="1"/>
  <c r="T333" i="8"/>
  <c r="G333" i="26" s="1"/>
  <c r="X333" i="8"/>
  <c r="J333" i="26" s="1"/>
  <c r="AB333" i="8"/>
  <c r="L333" i="26" s="1"/>
  <c r="AC333" i="8"/>
  <c r="Q333" i="27" s="1"/>
  <c r="T334" i="8"/>
  <c r="G334" i="26" s="1"/>
  <c r="X334" i="8"/>
  <c r="J334" i="26" s="1"/>
  <c r="AB334" i="8"/>
  <c r="L334" i="26" s="1"/>
  <c r="AC334" i="8"/>
  <c r="Q334" i="27" s="1"/>
  <c r="T335" i="8"/>
  <c r="G335" i="26" s="1"/>
  <c r="X335" i="8"/>
  <c r="J335" i="26" s="1"/>
  <c r="AB335" i="8"/>
  <c r="L335" i="26" s="1"/>
  <c r="AC335" i="8"/>
  <c r="Q335" i="27" s="1"/>
  <c r="T336" i="8"/>
  <c r="G336" i="26" s="1"/>
  <c r="X336" i="8"/>
  <c r="J336" i="26" s="1"/>
  <c r="AB336" i="8"/>
  <c r="L336" i="26" s="1"/>
  <c r="AC336" i="8"/>
  <c r="Q336" i="27" s="1"/>
  <c r="T337" i="8"/>
  <c r="G337" i="26" s="1"/>
  <c r="X337" i="8"/>
  <c r="J337" i="26" s="1"/>
  <c r="AB337" i="8"/>
  <c r="L337" i="26" s="1"/>
  <c r="AC337" i="8"/>
  <c r="Q337" i="27" s="1"/>
  <c r="T338" i="8"/>
  <c r="G338" i="26" s="1"/>
  <c r="X338" i="8"/>
  <c r="J338" i="26" s="1"/>
  <c r="AB338" i="8"/>
  <c r="L338" i="26" s="1"/>
  <c r="AC338" i="8"/>
  <c r="Q338" i="27" s="1"/>
  <c r="T339" i="8"/>
  <c r="G339" i="26" s="1"/>
  <c r="X339" i="8"/>
  <c r="J339" i="26" s="1"/>
  <c r="AB339" i="8"/>
  <c r="L339" i="26" s="1"/>
  <c r="AC339" i="8"/>
  <c r="Q339" i="27" s="1"/>
  <c r="T340" i="8"/>
  <c r="G340" i="26" s="1"/>
  <c r="X340" i="8"/>
  <c r="J340" i="26" s="1"/>
  <c r="AB340" i="8"/>
  <c r="L340" i="26" s="1"/>
  <c r="AC340" i="8"/>
  <c r="Q340" i="27" s="1"/>
  <c r="T341" i="8"/>
  <c r="G341" i="26" s="1"/>
  <c r="X341" i="8"/>
  <c r="J341" i="26" s="1"/>
  <c r="AB341" i="8"/>
  <c r="L341" i="26" s="1"/>
  <c r="AC341" i="8"/>
  <c r="Q341" i="27" s="1"/>
  <c r="T342" i="8"/>
  <c r="G342" i="26" s="1"/>
  <c r="X342" i="8"/>
  <c r="J342" i="26" s="1"/>
  <c r="AB342" i="8"/>
  <c r="L342" i="26" s="1"/>
  <c r="AC342" i="8"/>
  <c r="Q342" i="27" s="1"/>
  <c r="T343" i="8"/>
  <c r="G343" i="26" s="1"/>
  <c r="X343" i="8"/>
  <c r="J343" i="26" s="1"/>
  <c r="AB343" i="8"/>
  <c r="L343" i="26" s="1"/>
  <c r="AC343" i="8"/>
  <c r="Q343" i="27" s="1"/>
  <c r="T344" i="8"/>
  <c r="G344" i="26"/>
  <c r="X344" i="8"/>
  <c r="J344" i="26" s="1"/>
  <c r="AB344" i="8"/>
  <c r="L344" i="26" s="1"/>
  <c r="AC344" i="8"/>
  <c r="Q344" i="27" s="1"/>
  <c r="T345" i="8"/>
  <c r="G345" i="26" s="1"/>
  <c r="X345" i="8"/>
  <c r="J345" i="26" s="1"/>
  <c r="AB345" i="8"/>
  <c r="L345" i="26" s="1"/>
  <c r="AC345" i="8"/>
  <c r="Q345" i="27" s="1"/>
  <c r="T346" i="8"/>
  <c r="G346" i="26" s="1"/>
  <c r="X346" i="8"/>
  <c r="J346" i="26" s="1"/>
  <c r="AB346" i="8"/>
  <c r="L346" i="26" s="1"/>
  <c r="AC346" i="8"/>
  <c r="Q346" i="27" s="1"/>
  <c r="T347" i="8"/>
  <c r="G347" i="26" s="1"/>
  <c r="X347" i="8"/>
  <c r="J347" i="26" s="1"/>
  <c r="AB347" i="8"/>
  <c r="L347" i="26" s="1"/>
  <c r="AC347" i="8"/>
  <c r="Q347" i="27" s="1"/>
  <c r="T348" i="8"/>
  <c r="G348" i="26" s="1"/>
  <c r="X348" i="8"/>
  <c r="J348" i="26" s="1"/>
  <c r="AB348" i="8"/>
  <c r="L348" i="26" s="1"/>
  <c r="AC348" i="8"/>
  <c r="Q348" i="27" s="1"/>
  <c r="T349" i="8"/>
  <c r="G349" i="26" s="1"/>
  <c r="X349" i="8"/>
  <c r="J349" i="26" s="1"/>
  <c r="AB349" i="8"/>
  <c r="L349" i="26" s="1"/>
  <c r="AC349" i="8"/>
  <c r="Q349" i="27" s="1"/>
  <c r="T350" i="8"/>
  <c r="G350" i="26" s="1"/>
  <c r="X350" i="8"/>
  <c r="J350" i="26" s="1"/>
  <c r="AB350" i="8"/>
  <c r="L350" i="26" s="1"/>
  <c r="AC350" i="8"/>
  <c r="Q350" i="27" s="1"/>
  <c r="T351" i="8"/>
  <c r="G351" i="26" s="1"/>
  <c r="X351" i="8"/>
  <c r="J351" i="26" s="1"/>
  <c r="AB351" i="8"/>
  <c r="L351" i="26" s="1"/>
  <c r="AC351" i="8"/>
  <c r="Q351" i="27" s="1"/>
  <c r="T352" i="8"/>
  <c r="G352" i="26" s="1"/>
  <c r="X352" i="8"/>
  <c r="J352" i="26" s="1"/>
  <c r="AB352" i="8"/>
  <c r="L352" i="26" s="1"/>
  <c r="AC352" i="8"/>
  <c r="Q352" i="27" s="1"/>
  <c r="T353" i="8"/>
  <c r="G353" i="26" s="1"/>
  <c r="X353" i="8"/>
  <c r="J353" i="26" s="1"/>
  <c r="AB353" i="8"/>
  <c r="L353" i="26" s="1"/>
  <c r="AC353" i="8"/>
  <c r="Q353" i="27" s="1"/>
  <c r="T354" i="8"/>
  <c r="G354" i="26" s="1"/>
  <c r="X354" i="8"/>
  <c r="J354" i="26" s="1"/>
  <c r="AB354" i="8"/>
  <c r="L354" i="26" s="1"/>
  <c r="AC354" i="8"/>
  <c r="Q354" i="27" s="1"/>
  <c r="T355" i="8"/>
  <c r="G355" i="26" s="1"/>
  <c r="X355" i="8"/>
  <c r="J355" i="26" s="1"/>
  <c r="AB355" i="8"/>
  <c r="L355" i="26" s="1"/>
  <c r="AC355" i="8"/>
  <c r="Q355" i="27" s="1"/>
  <c r="T356" i="8"/>
  <c r="G356" i="26" s="1"/>
  <c r="X356" i="8"/>
  <c r="J356" i="26" s="1"/>
  <c r="AB356" i="8"/>
  <c r="L356" i="26" s="1"/>
  <c r="AC356" i="8"/>
  <c r="Q356" i="27" s="1"/>
  <c r="T357" i="8"/>
  <c r="G357" i="26" s="1"/>
  <c r="X357" i="8"/>
  <c r="J357" i="26" s="1"/>
  <c r="AB357" i="8"/>
  <c r="L357" i="26" s="1"/>
  <c r="AC357" i="8"/>
  <c r="Q357" i="27" s="1"/>
  <c r="T358" i="8"/>
  <c r="G358" i="26" s="1"/>
  <c r="X358" i="8"/>
  <c r="J358" i="26" s="1"/>
  <c r="AB358" i="8"/>
  <c r="L358" i="26" s="1"/>
  <c r="AC358" i="8"/>
  <c r="Q358" i="27" s="1"/>
  <c r="T359" i="8"/>
  <c r="G359" i="26" s="1"/>
  <c r="X359" i="8"/>
  <c r="J359" i="26" s="1"/>
  <c r="AB359" i="8"/>
  <c r="L359" i="26" s="1"/>
  <c r="AC359" i="8"/>
  <c r="Q359" i="27" s="1"/>
  <c r="T360" i="8"/>
  <c r="G360" i="26" s="1"/>
  <c r="X360" i="8"/>
  <c r="J360" i="26" s="1"/>
  <c r="AB360" i="8"/>
  <c r="L360" i="26" s="1"/>
  <c r="AC360" i="8"/>
  <c r="Q360" i="27" s="1"/>
  <c r="T361" i="8"/>
  <c r="G361" i="26" s="1"/>
  <c r="X361" i="8"/>
  <c r="J361" i="26" s="1"/>
  <c r="AB361" i="8"/>
  <c r="L361" i="26" s="1"/>
  <c r="AC361" i="8"/>
  <c r="Q361" i="27" s="1"/>
  <c r="T362" i="8"/>
  <c r="G362" i="26" s="1"/>
  <c r="X362" i="8"/>
  <c r="J362" i="26" s="1"/>
  <c r="AB362" i="8"/>
  <c r="L362" i="26" s="1"/>
  <c r="AC362" i="8"/>
  <c r="Q362" i="27" s="1"/>
  <c r="T363" i="8"/>
  <c r="G363" i="26" s="1"/>
  <c r="X363" i="8"/>
  <c r="J363" i="26" s="1"/>
  <c r="AB363" i="8"/>
  <c r="L363" i="26" s="1"/>
  <c r="AC363" i="8"/>
  <c r="Q363" i="27" s="1"/>
  <c r="T364" i="8"/>
  <c r="G364" i="26" s="1"/>
  <c r="X364" i="8"/>
  <c r="J364" i="26" s="1"/>
  <c r="AB364" i="8"/>
  <c r="L364" i="26" s="1"/>
  <c r="AC364" i="8"/>
  <c r="Q364" i="27" s="1"/>
  <c r="T365" i="8"/>
  <c r="G365" i="26" s="1"/>
  <c r="X365" i="8"/>
  <c r="J365" i="26" s="1"/>
  <c r="AB365" i="8"/>
  <c r="L365" i="26" s="1"/>
  <c r="AC365" i="8"/>
  <c r="Q365" i="27" s="1"/>
  <c r="T366" i="8"/>
  <c r="G366" i="26" s="1"/>
  <c r="X366" i="8"/>
  <c r="J366" i="26" s="1"/>
  <c r="AB366" i="8"/>
  <c r="L366" i="26" s="1"/>
  <c r="AC366" i="8"/>
  <c r="Q366" i="27" s="1"/>
  <c r="T367" i="8"/>
  <c r="G367" i="26" s="1"/>
  <c r="X367" i="8"/>
  <c r="J367" i="26" s="1"/>
  <c r="AB367" i="8"/>
  <c r="L367" i="26" s="1"/>
  <c r="AC367" i="8"/>
  <c r="Q367" i="27" s="1"/>
  <c r="T368" i="8"/>
  <c r="G368" i="26" s="1"/>
  <c r="X368" i="8"/>
  <c r="J368" i="26" s="1"/>
  <c r="AB368" i="8"/>
  <c r="L368" i="26" s="1"/>
  <c r="AC368" i="8"/>
  <c r="Q368" i="27" s="1"/>
  <c r="T369" i="8"/>
  <c r="G369" i="26" s="1"/>
  <c r="X369" i="8"/>
  <c r="J369" i="26" s="1"/>
  <c r="AB369" i="8"/>
  <c r="L369" i="26" s="1"/>
  <c r="AC369" i="8"/>
  <c r="Q369" i="27" s="1"/>
  <c r="T370" i="8"/>
  <c r="G370" i="26" s="1"/>
  <c r="X370" i="8"/>
  <c r="J370" i="26" s="1"/>
  <c r="AB370" i="8"/>
  <c r="L370" i="26"/>
  <c r="AC370" i="8"/>
  <c r="Q370" i="27" s="1"/>
  <c r="T371" i="8"/>
  <c r="G371" i="26" s="1"/>
  <c r="X371" i="8"/>
  <c r="J371" i="26" s="1"/>
  <c r="AB371" i="8"/>
  <c r="L371" i="26" s="1"/>
  <c r="AC371" i="8"/>
  <c r="Q371" i="27" s="1"/>
  <c r="T372" i="8"/>
  <c r="G372" i="26" s="1"/>
  <c r="X372" i="8"/>
  <c r="J372" i="26" s="1"/>
  <c r="AB372" i="8"/>
  <c r="L372" i="26" s="1"/>
  <c r="AC372" i="8"/>
  <c r="Q372" i="27" s="1"/>
  <c r="T373" i="8"/>
  <c r="G373" i="26" s="1"/>
  <c r="X373" i="8"/>
  <c r="J373" i="26" s="1"/>
  <c r="AB373" i="8"/>
  <c r="L373" i="26" s="1"/>
  <c r="AC373" i="8"/>
  <c r="Q373" i="27" s="1"/>
  <c r="T374" i="8"/>
  <c r="G374" i="26" s="1"/>
  <c r="X374" i="8"/>
  <c r="J374" i="26" s="1"/>
  <c r="AB374" i="8"/>
  <c r="L374" i="26" s="1"/>
  <c r="AC374" i="8"/>
  <c r="Q374" i="27" s="1"/>
  <c r="T375" i="8"/>
  <c r="G375" i="26" s="1"/>
  <c r="X375" i="8"/>
  <c r="J375" i="26" s="1"/>
  <c r="AB375" i="8"/>
  <c r="L375" i="26" s="1"/>
  <c r="AC375" i="8"/>
  <c r="Q375" i="27" s="1"/>
  <c r="T376" i="8"/>
  <c r="G376" i="26" s="1"/>
  <c r="X376" i="8"/>
  <c r="J376" i="26" s="1"/>
  <c r="AB376" i="8"/>
  <c r="L376" i="26" s="1"/>
  <c r="AC376" i="8"/>
  <c r="Q376" i="27" s="1"/>
  <c r="T377" i="8"/>
  <c r="G377" i="26" s="1"/>
  <c r="X377" i="8"/>
  <c r="J377" i="26" s="1"/>
  <c r="AB377" i="8"/>
  <c r="L377" i="26" s="1"/>
  <c r="AC377" i="8"/>
  <c r="Q377" i="27" s="1"/>
  <c r="T378" i="8"/>
  <c r="G378" i="26" s="1"/>
  <c r="X378" i="8"/>
  <c r="J378" i="26" s="1"/>
  <c r="AB378" i="8"/>
  <c r="L378" i="26" s="1"/>
  <c r="AC378" i="8"/>
  <c r="Q378" i="27" s="1"/>
  <c r="T379" i="8"/>
  <c r="G379" i="26" s="1"/>
  <c r="X379" i="8"/>
  <c r="J379" i="26" s="1"/>
  <c r="AB379" i="8"/>
  <c r="L379" i="26" s="1"/>
  <c r="AC379" i="8"/>
  <c r="Q379" i="27" s="1"/>
  <c r="T380" i="8"/>
  <c r="G380" i="26" s="1"/>
  <c r="X380" i="8"/>
  <c r="J380" i="26" s="1"/>
  <c r="AB380" i="8"/>
  <c r="L380" i="26" s="1"/>
  <c r="AC380" i="8"/>
  <c r="Q380" i="27" s="1"/>
  <c r="T381" i="8"/>
  <c r="G381" i="26" s="1"/>
  <c r="X381" i="8"/>
  <c r="J381" i="26" s="1"/>
  <c r="AB381" i="8"/>
  <c r="L381" i="26" s="1"/>
  <c r="AC381" i="8"/>
  <c r="Q381" i="27" s="1"/>
  <c r="T382" i="8"/>
  <c r="G382" i="26" s="1"/>
  <c r="X382" i="8"/>
  <c r="J382" i="26" s="1"/>
  <c r="AB382" i="8"/>
  <c r="L382" i="26" s="1"/>
  <c r="AC382" i="8"/>
  <c r="Q382" i="27" s="1"/>
  <c r="T383" i="8"/>
  <c r="G383" i="26" s="1"/>
  <c r="X383" i="8"/>
  <c r="J383" i="26" s="1"/>
  <c r="AB383" i="8"/>
  <c r="L383" i="26" s="1"/>
  <c r="AC383" i="8"/>
  <c r="Q383" i="27" s="1"/>
  <c r="T384" i="8"/>
  <c r="G384" i="26" s="1"/>
  <c r="X384" i="8"/>
  <c r="J384" i="26" s="1"/>
  <c r="AB384" i="8"/>
  <c r="L384" i="26" s="1"/>
  <c r="AC384" i="8"/>
  <c r="Q384" i="27" s="1"/>
  <c r="T385" i="8"/>
  <c r="G385" i="26" s="1"/>
  <c r="X385" i="8"/>
  <c r="J385" i="26" s="1"/>
  <c r="AB385" i="8"/>
  <c r="L385" i="26" s="1"/>
  <c r="AC385" i="8"/>
  <c r="Q385" i="27" s="1"/>
  <c r="T386" i="8"/>
  <c r="G386" i="26" s="1"/>
  <c r="X386" i="8"/>
  <c r="J386" i="26" s="1"/>
  <c r="AB386" i="8"/>
  <c r="L386" i="26" s="1"/>
  <c r="AC386" i="8"/>
  <c r="Q386" i="27" s="1"/>
  <c r="T387" i="8"/>
  <c r="G387" i="26" s="1"/>
  <c r="X387" i="8"/>
  <c r="J387" i="26" s="1"/>
  <c r="AB387" i="8"/>
  <c r="L387" i="26" s="1"/>
  <c r="AC387" i="8"/>
  <c r="Q387" i="27" s="1"/>
  <c r="T388" i="8"/>
  <c r="G388" i="26" s="1"/>
  <c r="X388" i="8"/>
  <c r="J388" i="26" s="1"/>
  <c r="AB388" i="8"/>
  <c r="L388" i="26" s="1"/>
  <c r="AC388" i="8"/>
  <c r="Q388" i="27" s="1"/>
  <c r="T389" i="8"/>
  <c r="G389" i="26" s="1"/>
  <c r="X389" i="8"/>
  <c r="J389" i="26" s="1"/>
  <c r="AB389" i="8"/>
  <c r="L389" i="26" s="1"/>
  <c r="AC389" i="8"/>
  <c r="Q389" i="27" s="1"/>
  <c r="T390" i="8"/>
  <c r="G390" i="26" s="1"/>
  <c r="X390" i="8"/>
  <c r="J390" i="26" s="1"/>
  <c r="AB390" i="8"/>
  <c r="L390" i="26" s="1"/>
  <c r="AC390" i="8"/>
  <c r="Q390" i="27" s="1"/>
  <c r="T391" i="8"/>
  <c r="G391" i="26" s="1"/>
  <c r="X391" i="8"/>
  <c r="J391" i="26" s="1"/>
  <c r="AB391" i="8"/>
  <c r="L391" i="26" s="1"/>
  <c r="AC391" i="8"/>
  <c r="Q391" i="27" s="1"/>
  <c r="T392" i="8"/>
  <c r="G392" i="26" s="1"/>
  <c r="X392" i="8"/>
  <c r="J392" i="26" s="1"/>
  <c r="AB392" i="8"/>
  <c r="L392" i="26" s="1"/>
  <c r="AC392" i="8"/>
  <c r="Q392" i="27" s="1"/>
  <c r="T393" i="8"/>
  <c r="G393" i="26" s="1"/>
  <c r="X393" i="8"/>
  <c r="J393" i="26" s="1"/>
  <c r="AB393" i="8"/>
  <c r="L393" i="26" s="1"/>
  <c r="AC393" i="8"/>
  <c r="Q393" i="27" s="1"/>
  <c r="T394" i="8"/>
  <c r="G394" i="26" s="1"/>
  <c r="X394" i="8"/>
  <c r="J394" i="26" s="1"/>
  <c r="AB394" i="8"/>
  <c r="L394" i="26"/>
  <c r="AC394" i="8"/>
  <c r="Q394" i="27" s="1"/>
  <c r="T395" i="8"/>
  <c r="G395" i="26" s="1"/>
  <c r="X395" i="8"/>
  <c r="J395" i="26" s="1"/>
  <c r="AB395" i="8"/>
  <c r="L395" i="26" s="1"/>
  <c r="AC395" i="8"/>
  <c r="Q395" i="27" s="1"/>
  <c r="T396" i="8"/>
  <c r="G396" i="26" s="1"/>
  <c r="X396" i="8"/>
  <c r="J396" i="26" s="1"/>
  <c r="AB396" i="8"/>
  <c r="L396" i="26" s="1"/>
  <c r="AC396" i="8"/>
  <c r="Q396" i="27" s="1"/>
  <c r="T397" i="8"/>
  <c r="G397" i="26" s="1"/>
  <c r="X397" i="8"/>
  <c r="J397" i="26" s="1"/>
  <c r="AB397" i="8"/>
  <c r="L397" i="26" s="1"/>
  <c r="AC397" i="8"/>
  <c r="Q397" i="27" s="1"/>
  <c r="T398" i="8"/>
  <c r="G398" i="26" s="1"/>
  <c r="X398" i="8"/>
  <c r="J398" i="26" s="1"/>
  <c r="AB398" i="8"/>
  <c r="L398" i="26" s="1"/>
  <c r="AC398" i="8"/>
  <c r="Q398" i="27" s="1"/>
  <c r="T399" i="8"/>
  <c r="G399" i="26" s="1"/>
  <c r="X399" i="8"/>
  <c r="J399" i="26" s="1"/>
  <c r="AB399" i="8"/>
  <c r="L399" i="26" s="1"/>
  <c r="AC399" i="8"/>
  <c r="Q399" i="27" s="1"/>
  <c r="T400" i="8"/>
  <c r="G400" i="26" s="1"/>
  <c r="X400" i="8"/>
  <c r="J400" i="26" s="1"/>
  <c r="AB400" i="8"/>
  <c r="L400" i="26" s="1"/>
  <c r="AC400" i="8"/>
  <c r="Q400" i="27" s="1"/>
  <c r="T401" i="8"/>
  <c r="G401" i="26" s="1"/>
  <c r="X401" i="8"/>
  <c r="J401" i="26" s="1"/>
  <c r="AB401" i="8"/>
  <c r="L401" i="26" s="1"/>
  <c r="AC401" i="8"/>
  <c r="Q401" i="27" s="1"/>
  <c r="T402" i="8"/>
  <c r="G402" i="26" s="1"/>
  <c r="X402" i="8"/>
  <c r="J402" i="26" s="1"/>
  <c r="AB402" i="8"/>
  <c r="L402" i="26" s="1"/>
  <c r="AC402" i="8"/>
  <c r="Q402" i="27" s="1"/>
  <c r="T403" i="8"/>
  <c r="G403" i="26" s="1"/>
  <c r="X403" i="8"/>
  <c r="J403" i="26" s="1"/>
  <c r="AB403" i="8"/>
  <c r="L403" i="26" s="1"/>
  <c r="AC403" i="8"/>
  <c r="Q403" i="27" s="1"/>
  <c r="T404" i="8"/>
  <c r="G404" i="26" s="1"/>
  <c r="X404" i="8"/>
  <c r="J404" i="26" s="1"/>
  <c r="AB404" i="8"/>
  <c r="L404" i="26" s="1"/>
  <c r="AC404" i="8"/>
  <c r="Q404" i="27" s="1"/>
  <c r="T405" i="8"/>
  <c r="G405" i="26" s="1"/>
  <c r="X405" i="8"/>
  <c r="J405" i="26" s="1"/>
  <c r="AB405" i="8"/>
  <c r="L405" i="26" s="1"/>
  <c r="AC405" i="8"/>
  <c r="Q405" i="27" s="1"/>
  <c r="T406" i="8"/>
  <c r="G406" i="26" s="1"/>
  <c r="X406" i="8"/>
  <c r="J406" i="26" s="1"/>
  <c r="AB406" i="8"/>
  <c r="L406" i="26" s="1"/>
  <c r="AC406" i="8"/>
  <c r="Q406" i="27" s="1"/>
  <c r="T407" i="8"/>
  <c r="G407" i="26" s="1"/>
  <c r="X407" i="8"/>
  <c r="J407" i="26" s="1"/>
  <c r="AB407" i="8"/>
  <c r="L407" i="26" s="1"/>
  <c r="AC407" i="8"/>
  <c r="Q407" i="27" s="1"/>
  <c r="T408" i="8"/>
  <c r="G408" i="26" s="1"/>
  <c r="X408" i="8"/>
  <c r="J408" i="26" s="1"/>
  <c r="AB408" i="8"/>
  <c r="L408" i="26" s="1"/>
  <c r="AC408" i="8"/>
  <c r="Q408" i="27" s="1"/>
  <c r="T409" i="8"/>
  <c r="G409" i="26" s="1"/>
  <c r="X409" i="8"/>
  <c r="J409" i="26" s="1"/>
  <c r="AB409" i="8"/>
  <c r="L409" i="26" s="1"/>
  <c r="AC409" i="8"/>
  <c r="Q409" i="27" s="1"/>
  <c r="T410" i="8"/>
  <c r="G410" i="26" s="1"/>
  <c r="X410" i="8"/>
  <c r="J410" i="26" s="1"/>
  <c r="AB410" i="8"/>
  <c r="L410" i="26" s="1"/>
  <c r="AC410" i="8"/>
  <c r="Q410" i="27" s="1"/>
  <c r="T411" i="8"/>
  <c r="G411" i="26" s="1"/>
  <c r="X411" i="8"/>
  <c r="J411" i="26" s="1"/>
  <c r="AB411" i="8"/>
  <c r="L411" i="26" s="1"/>
  <c r="AC411" i="8"/>
  <c r="Q411" i="27" s="1"/>
  <c r="T412" i="8"/>
  <c r="G412" i="26" s="1"/>
  <c r="X412" i="8"/>
  <c r="J412" i="26" s="1"/>
  <c r="AB412" i="8"/>
  <c r="L412" i="26" s="1"/>
  <c r="AC412" i="8"/>
  <c r="Q412" i="27" s="1"/>
  <c r="T413" i="8"/>
  <c r="G413" i="26" s="1"/>
  <c r="X413" i="8"/>
  <c r="J413" i="26" s="1"/>
  <c r="AB413" i="8"/>
  <c r="L413" i="26" s="1"/>
  <c r="AC413" i="8"/>
  <c r="Q413" i="27" s="1"/>
  <c r="T414" i="8"/>
  <c r="G414" i="26" s="1"/>
  <c r="X414" i="8"/>
  <c r="J414" i="26" s="1"/>
  <c r="AB414" i="8"/>
  <c r="L414" i="26" s="1"/>
  <c r="AC414" i="8"/>
  <c r="Q414" i="27" s="1"/>
  <c r="T415" i="8"/>
  <c r="G415" i="26" s="1"/>
  <c r="X415" i="8"/>
  <c r="J415" i="26" s="1"/>
  <c r="AB415" i="8"/>
  <c r="L415" i="26" s="1"/>
  <c r="AC415" i="8"/>
  <c r="Q415" i="27" s="1"/>
  <c r="T416" i="8"/>
  <c r="G416" i="26" s="1"/>
  <c r="X416" i="8"/>
  <c r="J416" i="26" s="1"/>
  <c r="AB416" i="8"/>
  <c r="L416" i="26" s="1"/>
  <c r="AC416" i="8"/>
  <c r="Q416" i="27" s="1"/>
  <c r="T417" i="8"/>
  <c r="G417" i="26" s="1"/>
  <c r="X417" i="8"/>
  <c r="J417" i="26" s="1"/>
  <c r="AB417" i="8"/>
  <c r="L417" i="26" s="1"/>
  <c r="AC417" i="8"/>
  <c r="Q417" i="27" s="1"/>
  <c r="T418" i="8"/>
  <c r="G418" i="26" s="1"/>
  <c r="X418" i="8"/>
  <c r="J418" i="26" s="1"/>
  <c r="AB418" i="8"/>
  <c r="L418" i="26" s="1"/>
  <c r="AC418" i="8"/>
  <c r="Q418" i="27" s="1"/>
  <c r="T419" i="8"/>
  <c r="G419" i="26" s="1"/>
  <c r="X419" i="8"/>
  <c r="J419" i="26" s="1"/>
  <c r="AB419" i="8"/>
  <c r="L419" i="26" s="1"/>
  <c r="AC419" i="8"/>
  <c r="Q419" i="27" s="1"/>
  <c r="T420" i="8"/>
  <c r="G420" i="26" s="1"/>
  <c r="X420" i="8"/>
  <c r="J420" i="26" s="1"/>
  <c r="AB420" i="8"/>
  <c r="L420" i="26" s="1"/>
  <c r="AC420" i="8"/>
  <c r="Q420" i="27" s="1"/>
  <c r="T421" i="8"/>
  <c r="G421" i="26" s="1"/>
  <c r="X421" i="8"/>
  <c r="J421" i="26" s="1"/>
  <c r="AB421" i="8"/>
  <c r="L421" i="26" s="1"/>
  <c r="AC421" i="8"/>
  <c r="Q421" i="27" s="1"/>
  <c r="T422" i="8"/>
  <c r="G422" i="26" s="1"/>
  <c r="X422" i="8"/>
  <c r="J422" i="26" s="1"/>
  <c r="AB422" i="8"/>
  <c r="L422" i="26" s="1"/>
  <c r="AC422" i="8"/>
  <c r="Q422" i="27" s="1"/>
  <c r="T423" i="8"/>
  <c r="G423" i="26" s="1"/>
  <c r="X423" i="8"/>
  <c r="J423" i="26" s="1"/>
  <c r="AB423" i="8"/>
  <c r="L423" i="26" s="1"/>
  <c r="AC423" i="8"/>
  <c r="Q423" i="27" s="1"/>
  <c r="T424" i="8"/>
  <c r="G424" i="26" s="1"/>
  <c r="X424" i="8"/>
  <c r="J424" i="26" s="1"/>
  <c r="AB424" i="8"/>
  <c r="L424" i="26" s="1"/>
  <c r="AC424" i="8"/>
  <c r="Q424" i="27" s="1"/>
  <c r="T425" i="8"/>
  <c r="G425" i="26" s="1"/>
  <c r="X425" i="8"/>
  <c r="J425" i="26" s="1"/>
  <c r="AB425" i="8"/>
  <c r="L425" i="26" s="1"/>
  <c r="AC425" i="8"/>
  <c r="Q425" i="27" s="1"/>
  <c r="T426" i="8"/>
  <c r="G426" i="26" s="1"/>
  <c r="X426" i="8"/>
  <c r="J426" i="26" s="1"/>
  <c r="AB426" i="8"/>
  <c r="L426" i="26" s="1"/>
  <c r="AC426" i="8"/>
  <c r="Q426" i="27" s="1"/>
  <c r="T427" i="8"/>
  <c r="G427" i="26" s="1"/>
  <c r="X427" i="8"/>
  <c r="J427" i="26" s="1"/>
  <c r="AB427" i="8"/>
  <c r="L427" i="26" s="1"/>
  <c r="AC427" i="8"/>
  <c r="Q427" i="27" s="1"/>
  <c r="T428" i="8"/>
  <c r="G428" i="26" s="1"/>
  <c r="X428" i="8"/>
  <c r="J428" i="26" s="1"/>
  <c r="AB428" i="8"/>
  <c r="L428" i="26" s="1"/>
  <c r="AC428" i="8"/>
  <c r="Q428" i="27" s="1"/>
  <c r="T429" i="8"/>
  <c r="G429" i="26" s="1"/>
  <c r="X429" i="8"/>
  <c r="J429" i="26" s="1"/>
  <c r="AB429" i="8"/>
  <c r="L429" i="26"/>
  <c r="AC429" i="8"/>
  <c r="Q429" i="27" s="1"/>
  <c r="T430" i="8"/>
  <c r="G430" i="26" s="1"/>
  <c r="X430" i="8"/>
  <c r="J430" i="26" s="1"/>
  <c r="AB430" i="8"/>
  <c r="L430" i="26" s="1"/>
  <c r="AC430" i="8"/>
  <c r="Q430" i="27" s="1"/>
  <c r="T431" i="8"/>
  <c r="G431" i="26" s="1"/>
  <c r="X431" i="8"/>
  <c r="J431" i="26" s="1"/>
  <c r="AB431" i="8"/>
  <c r="L431" i="26" s="1"/>
  <c r="AC431" i="8"/>
  <c r="Q431" i="27" s="1"/>
  <c r="T432" i="8"/>
  <c r="G432" i="26" s="1"/>
  <c r="X432" i="8"/>
  <c r="J432" i="26"/>
  <c r="AB432" i="8"/>
  <c r="L432" i="26" s="1"/>
  <c r="AC432" i="8"/>
  <c r="Q432" i="27" s="1"/>
  <c r="T433" i="8"/>
  <c r="G433" i="26" s="1"/>
  <c r="X433" i="8"/>
  <c r="J433" i="26" s="1"/>
  <c r="AB433" i="8"/>
  <c r="L433" i="26" s="1"/>
  <c r="AC433" i="8"/>
  <c r="Q433" i="27" s="1"/>
  <c r="T434" i="8"/>
  <c r="G434" i="26" s="1"/>
  <c r="X434" i="8"/>
  <c r="J434" i="26" s="1"/>
  <c r="AB434" i="8"/>
  <c r="L434" i="26" s="1"/>
  <c r="AC434" i="8"/>
  <c r="Q434" i="27" s="1"/>
  <c r="T435" i="8"/>
  <c r="G435" i="26" s="1"/>
  <c r="X435" i="8"/>
  <c r="J435" i="26" s="1"/>
  <c r="AB435" i="8"/>
  <c r="L435" i="26" s="1"/>
  <c r="AC435" i="8"/>
  <c r="Q435" i="27" s="1"/>
  <c r="T436" i="8"/>
  <c r="G436" i="26" s="1"/>
  <c r="X436" i="8"/>
  <c r="J436" i="26" s="1"/>
  <c r="AB436" i="8"/>
  <c r="L436" i="26" s="1"/>
  <c r="AC436" i="8"/>
  <c r="Q436" i="27" s="1"/>
  <c r="T437" i="8"/>
  <c r="G437" i="26" s="1"/>
  <c r="X437" i="8"/>
  <c r="J437" i="26" s="1"/>
  <c r="AB437" i="8"/>
  <c r="L437" i="26" s="1"/>
  <c r="AC437" i="8"/>
  <c r="Q437" i="27" s="1"/>
  <c r="T438" i="8"/>
  <c r="G438" i="26" s="1"/>
  <c r="X438" i="8"/>
  <c r="J438" i="26" s="1"/>
  <c r="AB438" i="8"/>
  <c r="L438" i="26" s="1"/>
  <c r="AC438" i="8"/>
  <c r="Q438" i="27" s="1"/>
  <c r="T439" i="8"/>
  <c r="G439" i="26" s="1"/>
  <c r="X439" i="8"/>
  <c r="J439" i="26" s="1"/>
  <c r="AB439" i="8"/>
  <c r="L439" i="26" s="1"/>
  <c r="AC439" i="8"/>
  <c r="Q439" i="27" s="1"/>
  <c r="T440" i="8"/>
  <c r="G440" i="26" s="1"/>
  <c r="X440" i="8"/>
  <c r="J440" i="26" s="1"/>
  <c r="AB440" i="8"/>
  <c r="L440" i="26" s="1"/>
  <c r="AC440" i="8"/>
  <c r="Q440" i="27" s="1"/>
  <c r="T441" i="8"/>
  <c r="G441" i="26" s="1"/>
  <c r="X441" i="8"/>
  <c r="J441" i="26" s="1"/>
  <c r="AB441" i="8"/>
  <c r="L441" i="26" s="1"/>
  <c r="AC441" i="8"/>
  <c r="Q441" i="27" s="1"/>
  <c r="T442" i="8"/>
  <c r="G442" i="26" s="1"/>
  <c r="X442" i="8"/>
  <c r="J442" i="26" s="1"/>
  <c r="AB442" i="8"/>
  <c r="L442" i="26" s="1"/>
  <c r="AC442" i="8"/>
  <c r="Q442" i="27" s="1"/>
  <c r="T443" i="8"/>
  <c r="G443" i="26" s="1"/>
  <c r="X443" i="8"/>
  <c r="J443" i="26" s="1"/>
  <c r="AB443" i="8"/>
  <c r="L443" i="26" s="1"/>
  <c r="AC443" i="8"/>
  <c r="Q443" i="27" s="1"/>
  <c r="T444" i="8"/>
  <c r="G444" i="26" s="1"/>
  <c r="X444" i="8"/>
  <c r="J444" i="26" s="1"/>
  <c r="AB444" i="8"/>
  <c r="L444" i="26" s="1"/>
  <c r="AC444" i="8"/>
  <c r="Q444" i="27" s="1"/>
  <c r="T445" i="8"/>
  <c r="G445" i="26" s="1"/>
  <c r="X445" i="8"/>
  <c r="J445" i="26" s="1"/>
  <c r="AB445" i="8"/>
  <c r="L445" i="26" s="1"/>
  <c r="AC445" i="8"/>
  <c r="Q445" i="27" s="1"/>
  <c r="T446" i="8"/>
  <c r="G446" i="26" s="1"/>
  <c r="X446" i="8"/>
  <c r="J446" i="26" s="1"/>
  <c r="AB446" i="8"/>
  <c r="L446" i="26" s="1"/>
  <c r="AC446" i="8"/>
  <c r="Q446" i="27" s="1"/>
  <c r="T447" i="8"/>
  <c r="G447" i="26" s="1"/>
  <c r="X447" i="8"/>
  <c r="J447" i="26" s="1"/>
  <c r="AB447" i="8"/>
  <c r="L447" i="26" s="1"/>
  <c r="AC447" i="8"/>
  <c r="Q447" i="27" s="1"/>
  <c r="T448" i="8"/>
  <c r="G448" i="26" s="1"/>
  <c r="X448" i="8"/>
  <c r="J448" i="26" s="1"/>
  <c r="AB448" i="8"/>
  <c r="L448" i="26" s="1"/>
  <c r="AC448" i="8"/>
  <c r="Q448" i="27" s="1"/>
  <c r="T449" i="8"/>
  <c r="G449" i="26" s="1"/>
  <c r="X449" i="8"/>
  <c r="J449" i="26" s="1"/>
  <c r="AB449" i="8"/>
  <c r="L449" i="26" s="1"/>
  <c r="AC449" i="8"/>
  <c r="Q449" i="27" s="1"/>
  <c r="T450" i="8"/>
  <c r="G450" i="26" s="1"/>
  <c r="X450" i="8"/>
  <c r="J450" i="26"/>
  <c r="AB450" i="8"/>
  <c r="L450" i="26" s="1"/>
  <c r="AC450" i="8"/>
  <c r="Q450" i="27" s="1"/>
  <c r="T451" i="8"/>
  <c r="G451" i="26" s="1"/>
  <c r="X451" i="8"/>
  <c r="J451" i="26" s="1"/>
  <c r="AB451" i="8"/>
  <c r="L451" i="26" s="1"/>
  <c r="AC451" i="8"/>
  <c r="Q451" i="27" s="1"/>
  <c r="T452" i="8"/>
  <c r="G452" i="26" s="1"/>
  <c r="X452" i="8"/>
  <c r="J452" i="26" s="1"/>
  <c r="AB452" i="8"/>
  <c r="L452" i="26" s="1"/>
  <c r="AC452" i="8"/>
  <c r="Q452" i="27" s="1"/>
  <c r="T453" i="8"/>
  <c r="G453" i="26" s="1"/>
  <c r="X453" i="8"/>
  <c r="J453" i="26" s="1"/>
  <c r="AB453" i="8"/>
  <c r="L453" i="26" s="1"/>
  <c r="AC453" i="8"/>
  <c r="Q453" i="27" s="1"/>
  <c r="T454" i="8"/>
  <c r="G454" i="26" s="1"/>
  <c r="X454" i="8"/>
  <c r="J454" i="26" s="1"/>
  <c r="AB454" i="8"/>
  <c r="L454" i="26" s="1"/>
  <c r="AC454" i="8"/>
  <c r="Q454" i="27" s="1"/>
  <c r="T455" i="8"/>
  <c r="G455" i="26" s="1"/>
  <c r="X455" i="8"/>
  <c r="J455" i="26" s="1"/>
  <c r="AB455" i="8"/>
  <c r="L455" i="26" s="1"/>
  <c r="AC455" i="8"/>
  <c r="Q455" i="27" s="1"/>
  <c r="T456" i="8"/>
  <c r="G456" i="26" s="1"/>
  <c r="X456" i="8"/>
  <c r="J456" i="26" s="1"/>
  <c r="AB456" i="8"/>
  <c r="L456" i="26" s="1"/>
  <c r="AC456" i="8"/>
  <c r="Q456" i="27" s="1"/>
  <c r="T457" i="8"/>
  <c r="G457" i="26" s="1"/>
  <c r="X457" i="8"/>
  <c r="J457" i="26" s="1"/>
  <c r="AB457" i="8"/>
  <c r="L457" i="26" s="1"/>
  <c r="AC457" i="8"/>
  <c r="Q457" i="27" s="1"/>
  <c r="T458" i="8"/>
  <c r="G458" i="26" s="1"/>
  <c r="X458" i="8"/>
  <c r="J458" i="26" s="1"/>
  <c r="AB458" i="8"/>
  <c r="L458" i="26" s="1"/>
  <c r="AC458" i="8"/>
  <c r="Q458" i="27" s="1"/>
  <c r="T459" i="8"/>
  <c r="G459" i="26" s="1"/>
  <c r="X459" i="8"/>
  <c r="J459" i="26" s="1"/>
  <c r="AB459" i="8"/>
  <c r="L459" i="26" s="1"/>
  <c r="AC459" i="8"/>
  <c r="Q459" i="27" s="1"/>
  <c r="T460" i="8"/>
  <c r="G460" i="26" s="1"/>
  <c r="X460" i="8"/>
  <c r="J460" i="26" s="1"/>
  <c r="AB460" i="8"/>
  <c r="L460" i="26" s="1"/>
  <c r="AC460" i="8"/>
  <c r="Q460" i="27" s="1"/>
  <c r="T461" i="8"/>
  <c r="G461" i="26" s="1"/>
  <c r="X461" i="8"/>
  <c r="J461" i="26" s="1"/>
  <c r="AB461" i="8"/>
  <c r="L461" i="26" s="1"/>
  <c r="AC461" i="8"/>
  <c r="Q461" i="27" s="1"/>
  <c r="T462" i="8"/>
  <c r="G462" i="26" s="1"/>
  <c r="X462" i="8"/>
  <c r="J462" i="26" s="1"/>
  <c r="AB462" i="8"/>
  <c r="L462" i="26" s="1"/>
  <c r="AC462" i="8"/>
  <c r="Q462" i="27" s="1"/>
  <c r="T463" i="8"/>
  <c r="G463" i="26" s="1"/>
  <c r="X463" i="8"/>
  <c r="J463" i="26" s="1"/>
  <c r="AB463" i="8"/>
  <c r="L463" i="26"/>
  <c r="AC463" i="8"/>
  <c r="Q463" i="27" s="1"/>
  <c r="T464" i="8"/>
  <c r="G464" i="26" s="1"/>
  <c r="X464" i="8"/>
  <c r="J464" i="26" s="1"/>
  <c r="AB464" i="8"/>
  <c r="L464" i="26" s="1"/>
  <c r="AC464" i="8"/>
  <c r="Q464" i="27" s="1"/>
  <c r="T465" i="8"/>
  <c r="G465" i="26" s="1"/>
  <c r="X465" i="8"/>
  <c r="J465" i="26" s="1"/>
  <c r="AB465" i="8"/>
  <c r="L465" i="26" s="1"/>
  <c r="AC465" i="8"/>
  <c r="Q465" i="27" s="1"/>
  <c r="T466" i="8"/>
  <c r="G466" i="26" s="1"/>
  <c r="X466" i="8"/>
  <c r="J466" i="26" s="1"/>
  <c r="AB466" i="8"/>
  <c r="L466" i="26" s="1"/>
  <c r="AC466" i="8"/>
  <c r="Q466" i="27" s="1"/>
  <c r="T467" i="8"/>
  <c r="G467" i="26" s="1"/>
  <c r="X467" i="8"/>
  <c r="J467" i="26"/>
  <c r="AB467" i="8"/>
  <c r="L467" i="26" s="1"/>
  <c r="AC467" i="8"/>
  <c r="Q467" i="27" s="1"/>
  <c r="T468" i="8"/>
  <c r="G468" i="26" s="1"/>
  <c r="X468" i="8"/>
  <c r="J468" i="26" s="1"/>
  <c r="AB468" i="8"/>
  <c r="L468" i="26" s="1"/>
  <c r="AC468" i="8"/>
  <c r="Q468" i="27" s="1"/>
  <c r="T469" i="8"/>
  <c r="G469" i="26" s="1"/>
  <c r="X469" i="8"/>
  <c r="J469" i="26" s="1"/>
  <c r="AB469" i="8"/>
  <c r="L469" i="26" s="1"/>
  <c r="AC469" i="8"/>
  <c r="Q469" i="27" s="1"/>
  <c r="T470" i="8"/>
  <c r="G470" i="26"/>
  <c r="X470" i="8"/>
  <c r="J470" i="26" s="1"/>
  <c r="AB470" i="8"/>
  <c r="L470" i="26" s="1"/>
  <c r="AC470" i="8"/>
  <c r="Q470" i="27" s="1"/>
  <c r="T471" i="8"/>
  <c r="G471" i="26" s="1"/>
  <c r="X471" i="8"/>
  <c r="J471" i="26" s="1"/>
  <c r="AB471" i="8"/>
  <c r="L471" i="26" s="1"/>
  <c r="AC471" i="8"/>
  <c r="Q471" i="27" s="1"/>
  <c r="T472" i="8"/>
  <c r="G472" i="26" s="1"/>
  <c r="X472" i="8"/>
  <c r="J472" i="26" s="1"/>
  <c r="AB472" i="8"/>
  <c r="L472" i="26" s="1"/>
  <c r="AC472" i="8"/>
  <c r="Q472" i="27" s="1"/>
  <c r="T473" i="8"/>
  <c r="G473" i="26" s="1"/>
  <c r="X473" i="8"/>
  <c r="J473" i="26" s="1"/>
  <c r="AB473" i="8"/>
  <c r="L473" i="26" s="1"/>
  <c r="AC473" i="8"/>
  <c r="Q473" i="27" s="1"/>
  <c r="T474" i="8"/>
  <c r="G474" i="26" s="1"/>
  <c r="X474" i="8"/>
  <c r="J474" i="26" s="1"/>
  <c r="AB474" i="8"/>
  <c r="L474" i="26" s="1"/>
  <c r="AC474" i="8"/>
  <c r="Q474" i="27" s="1"/>
  <c r="T475" i="8"/>
  <c r="G475" i="26" s="1"/>
  <c r="X475" i="8"/>
  <c r="J475" i="26" s="1"/>
  <c r="AB475" i="8"/>
  <c r="L475" i="26" s="1"/>
  <c r="AC475" i="8"/>
  <c r="Q475" i="27" s="1"/>
  <c r="T476" i="8"/>
  <c r="G476" i="26" s="1"/>
  <c r="X476" i="8"/>
  <c r="J476" i="26" s="1"/>
  <c r="AB476" i="8"/>
  <c r="L476" i="26" s="1"/>
  <c r="AC476" i="8"/>
  <c r="Q476" i="27" s="1"/>
  <c r="T477" i="8"/>
  <c r="G477" i="26" s="1"/>
  <c r="X477" i="8"/>
  <c r="J477" i="26" s="1"/>
  <c r="AB477" i="8"/>
  <c r="L477" i="26" s="1"/>
  <c r="AC477" i="8"/>
  <c r="Q477" i="27" s="1"/>
  <c r="T478" i="8"/>
  <c r="G478" i="26" s="1"/>
  <c r="X478" i="8"/>
  <c r="J478" i="26" s="1"/>
  <c r="AB478" i="8"/>
  <c r="L478" i="26" s="1"/>
  <c r="AC478" i="8"/>
  <c r="Q478" i="27" s="1"/>
  <c r="T479" i="8"/>
  <c r="G479" i="26" s="1"/>
  <c r="X479" i="8"/>
  <c r="J479" i="26" s="1"/>
  <c r="AB479" i="8"/>
  <c r="L479" i="26" s="1"/>
  <c r="AC479" i="8"/>
  <c r="Q479" i="27" s="1"/>
  <c r="T480" i="8"/>
  <c r="G480" i="26" s="1"/>
  <c r="X480" i="8"/>
  <c r="J480" i="26" s="1"/>
  <c r="AB480" i="8"/>
  <c r="L480" i="26" s="1"/>
  <c r="AC480" i="8"/>
  <c r="Q480" i="27" s="1"/>
  <c r="T481" i="8"/>
  <c r="G481" i="26" s="1"/>
  <c r="X481" i="8"/>
  <c r="J481" i="26" s="1"/>
  <c r="AB481" i="8"/>
  <c r="L481" i="26" s="1"/>
  <c r="AC481" i="8"/>
  <c r="Q481" i="27" s="1"/>
  <c r="T482" i="8"/>
  <c r="G482" i="26" s="1"/>
  <c r="X482" i="8"/>
  <c r="J482" i="26" s="1"/>
  <c r="AB482" i="8"/>
  <c r="L482" i="26" s="1"/>
  <c r="AC482" i="8"/>
  <c r="Q482" i="27" s="1"/>
  <c r="T483" i="8"/>
  <c r="G483" i="26" s="1"/>
  <c r="X483" i="8"/>
  <c r="J483" i="26" s="1"/>
  <c r="AB483" i="8"/>
  <c r="L483" i="26" s="1"/>
  <c r="AC483" i="8"/>
  <c r="Q483" i="27" s="1"/>
  <c r="T484" i="8"/>
  <c r="G484" i="26" s="1"/>
  <c r="X484" i="8"/>
  <c r="J484" i="26" s="1"/>
  <c r="AB484" i="8"/>
  <c r="L484" i="26"/>
  <c r="AC484" i="8"/>
  <c r="Q484" i="27" s="1"/>
  <c r="T485" i="8"/>
  <c r="G485" i="26" s="1"/>
  <c r="X485" i="8"/>
  <c r="J485" i="26"/>
  <c r="AB485" i="8"/>
  <c r="L485" i="26" s="1"/>
  <c r="AC485" i="8"/>
  <c r="Q485" i="27" s="1"/>
  <c r="T486" i="8"/>
  <c r="G486" i="26" s="1"/>
  <c r="X486" i="8"/>
  <c r="J486" i="26" s="1"/>
  <c r="AB486" i="8"/>
  <c r="L486" i="26" s="1"/>
  <c r="AC486" i="8"/>
  <c r="Q486" i="27" s="1"/>
  <c r="T487" i="8"/>
  <c r="G487" i="26" s="1"/>
  <c r="X487" i="8"/>
  <c r="J487" i="26" s="1"/>
  <c r="AB487" i="8"/>
  <c r="L487" i="26" s="1"/>
  <c r="AC487" i="8"/>
  <c r="Q487" i="27" s="1"/>
  <c r="T488" i="8"/>
  <c r="G488" i="26" s="1"/>
  <c r="X488" i="8"/>
  <c r="J488" i="26" s="1"/>
  <c r="AB488" i="8"/>
  <c r="L488" i="26" s="1"/>
  <c r="AC488" i="8"/>
  <c r="Q488" i="27" s="1"/>
  <c r="T489" i="8"/>
  <c r="G489" i="26" s="1"/>
  <c r="X489" i="8"/>
  <c r="J489" i="26" s="1"/>
  <c r="AB489" i="8"/>
  <c r="L489" i="26" s="1"/>
  <c r="AC489" i="8"/>
  <c r="Q489" i="27" s="1"/>
  <c r="T490" i="8"/>
  <c r="G490" i="26" s="1"/>
  <c r="X490" i="8"/>
  <c r="J490" i="26" s="1"/>
  <c r="AB490" i="8"/>
  <c r="L490" i="26" s="1"/>
  <c r="AC490" i="8"/>
  <c r="Q490" i="27" s="1"/>
  <c r="T491" i="8"/>
  <c r="G491" i="26" s="1"/>
  <c r="X491" i="8"/>
  <c r="J491" i="26" s="1"/>
  <c r="AB491" i="8"/>
  <c r="L491" i="26" s="1"/>
  <c r="AC491" i="8"/>
  <c r="Q491" i="27" s="1"/>
  <c r="T492" i="8"/>
  <c r="G492" i="26" s="1"/>
  <c r="X492" i="8"/>
  <c r="J492" i="26" s="1"/>
  <c r="AB492" i="8"/>
  <c r="L492" i="26" s="1"/>
  <c r="AC492" i="8"/>
  <c r="Q492" i="27" s="1"/>
  <c r="T493" i="8"/>
  <c r="G493" i="26" s="1"/>
  <c r="X493" i="8"/>
  <c r="J493" i="26" s="1"/>
  <c r="AB493" i="8"/>
  <c r="L493" i="26" s="1"/>
  <c r="AC493" i="8"/>
  <c r="Q493" i="27" s="1"/>
  <c r="T494" i="8"/>
  <c r="G494" i="26" s="1"/>
  <c r="X494" i="8"/>
  <c r="J494" i="26" s="1"/>
  <c r="AB494" i="8"/>
  <c r="L494" i="26" s="1"/>
  <c r="AC494" i="8"/>
  <c r="Q494" i="27" s="1"/>
  <c r="T495" i="8"/>
  <c r="G495" i="26" s="1"/>
  <c r="X495" i="8"/>
  <c r="J495" i="26" s="1"/>
  <c r="AB495" i="8"/>
  <c r="L495" i="26" s="1"/>
  <c r="AC495" i="8"/>
  <c r="Q495" i="27" s="1"/>
  <c r="T496" i="8"/>
  <c r="G496" i="26" s="1"/>
  <c r="X496" i="8"/>
  <c r="J496" i="26" s="1"/>
  <c r="AB496" i="8"/>
  <c r="L496" i="26" s="1"/>
  <c r="AC496" i="8"/>
  <c r="Q496" i="27" s="1"/>
  <c r="T497" i="8"/>
  <c r="G497" i="26" s="1"/>
  <c r="X497" i="8"/>
  <c r="J497" i="26" s="1"/>
  <c r="AB497" i="8"/>
  <c r="L497" i="26" s="1"/>
  <c r="AC497" i="8"/>
  <c r="Q497" i="27" s="1"/>
  <c r="T498" i="8"/>
  <c r="G498" i="26" s="1"/>
  <c r="X498" i="8"/>
  <c r="J498" i="26" s="1"/>
  <c r="AB498" i="8"/>
  <c r="L498" i="26" s="1"/>
  <c r="AC498" i="8"/>
  <c r="Q498" i="27" s="1"/>
  <c r="T499" i="8"/>
  <c r="G499" i="26" s="1"/>
  <c r="X499" i="8"/>
  <c r="J499" i="26" s="1"/>
  <c r="AB499" i="8"/>
  <c r="L499" i="26" s="1"/>
  <c r="AC499" i="8"/>
  <c r="Q499" i="27" s="1"/>
  <c r="T500" i="8"/>
  <c r="G500" i="26" s="1"/>
  <c r="X500" i="8"/>
  <c r="J500" i="26" s="1"/>
  <c r="AB500" i="8"/>
  <c r="L500" i="26" s="1"/>
  <c r="AC500" i="8"/>
  <c r="Q500" i="27" s="1"/>
  <c r="T501" i="8"/>
  <c r="G501" i="26" s="1"/>
  <c r="X501" i="8"/>
  <c r="J501" i="26" s="1"/>
  <c r="AB501" i="8"/>
  <c r="L501" i="26" s="1"/>
  <c r="AC501" i="8"/>
  <c r="Q501" i="27" s="1"/>
  <c r="T502" i="8"/>
  <c r="G502" i="26" s="1"/>
  <c r="X502" i="8"/>
  <c r="J502" i="26" s="1"/>
  <c r="AB502" i="8"/>
  <c r="L502" i="26" s="1"/>
  <c r="AC502" i="8"/>
  <c r="Q502" i="27" s="1"/>
  <c r="T503" i="8"/>
  <c r="G503" i="26" s="1"/>
  <c r="X503" i="8"/>
  <c r="J503" i="26" s="1"/>
  <c r="AB503" i="8"/>
  <c r="L503" i="26" s="1"/>
  <c r="AC503" i="8"/>
  <c r="Q503" i="27" s="1"/>
  <c r="T504" i="8"/>
  <c r="G504" i="26" s="1"/>
  <c r="X504" i="8"/>
  <c r="J504" i="26" s="1"/>
  <c r="AB504" i="8"/>
  <c r="L504" i="26" s="1"/>
  <c r="AC504" i="8"/>
  <c r="Q504" i="27" s="1"/>
  <c r="T505" i="8"/>
  <c r="G505" i="26" s="1"/>
  <c r="X505" i="8"/>
  <c r="J505" i="26" s="1"/>
  <c r="AB505" i="8"/>
  <c r="L505" i="26" s="1"/>
  <c r="AC505" i="8"/>
  <c r="Q505" i="27" s="1"/>
  <c r="T506" i="8"/>
  <c r="G506" i="26" s="1"/>
  <c r="X506" i="8"/>
  <c r="J506" i="26" s="1"/>
  <c r="AB506" i="8"/>
  <c r="L506" i="26" s="1"/>
  <c r="AC506" i="8"/>
  <c r="Q506" i="27" s="1"/>
  <c r="T507" i="8"/>
  <c r="G507" i="26" s="1"/>
  <c r="X507" i="8"/>
  <c r="J507" i="26" s="1"/>
  <c r="AB507" i="8"/>
  <c r="L507" i="26" s="1"/>
  <c r="AC507" i="8"/>
  <c r="Q507" i="27" s="1"/>
  <c r="T508" i="8"/>
  <c r="G508" i="26" s="1"/>
  <c r="X508" i="8"/>
  <c r="J508" i="26" s="1"/>
  <c r="AB508" i="8"/>
  <c r="L508" i="26" s="1"/>
  <c r="AC508" i="8"/>
  <c r="Q508" i="27" s="1"/>
  <c r="T509" i="8"/>
  <c r="G509" i="26" s="1"/>
  <c r="X509" i="8"/>
  <c r="J509" i="26" s="1"/>
  <c r="AB509" i="8"/>
  <c r="L509" i="26" s="1"/>
  <c r="AC509" i="8"/>
  <c r="Q509" i="27" s="1"/>
  <c r="T510" i="8"/>
  <c r="G510" i="26" s="1"/>
  <c r="X510" i="8"/>
  <c r="J510" i="26" s="1"/>
  <c r="AB510" i="8"/>
  <c r="L510" i="26" s="1"/>
  <c r="AC510" i="8"/>
  <c r="Q510" i="27" s="1"/>
  <c r="T511" i="8"/>
  <c r="G511" i="26" s="1"/>
  <c r="X511" i="8"/>
  <c r="J511" i="26" s="1"/>
  <c r="AB511" i="8"/>
  <c r="L511" i="26" s="1"/>
  <c r="AC511" i="8"/>
  <c r="Q511" i="27" s="1"/>
  <c r="T512" i="8"/>
  <c r="G512" i="26" s="1"/>
  <c r="X512" i="8"/>
  <c r="J512" i="26" s="1"/>
  <c r="AB512" i="8"/>
  <c r="L512" i="26" s="1"/>
  <c r="AC512" i="8"/>
  <c r="Q512" i="27" s="1"/>
  <c r="T513" i="8"/>
  <c r="G513" i="26" s="1"/>
  <c r="X513" i="8"/>
  <c r="J513" i="26" s="1"/>
  <c r="AB513" i="8"/>
  <c r="L513" i="26" s="1"/>
  <c r="AC513" i="8"/>
  <c r="Q513" i="27" s="1"/>
  <c r="T514" i="8"/>
  <c r="G514" i="26" s="1"/>
  <c r="X514" i="8"/>
  <c r="J514" i="26" s="1"/>
  <c r="AB514" i="8"/>
  <c r="L514" i="26" s="1"/>
  <c r="AC514" i="8"/>
  <c r="Q514" i="27" s="1"/>
  <c r="T515" i="8"/>
  <c r="G515" i="26" s="1"/>
  <c r="X515" i="8"/>
  <c r="J515" i="26" s="1"/>
  <c r="AB515" i="8"/>
  <c r="L515" i="26" s="1"/>
  <c r="AC515" i="8"/>
  <c r="Q515" i="27" s="1"/>
  <c r="T516" i="8"/>
  <c r="G516" i="26" s="1"/>
  <c r="X516" i="8"/>
  <c r="J516" i="26" s="1"/>
  <c r="AB516" i="8"/>
  <c r="L516" i="26" s="1"/>
  <c r="AC516" i="8"/>
  <c r="Q516" i="27" s="1"/>
  <c r="T517" i="8"/>
  <c r="G517" i="26" s="1"/>
  <c r="X517" i="8"/>
  <c r="J517" i="26" s="1"/>
  <c r="AB517" i="8"/>
  <c r="L517" i="26" s="1"/>
  <c r="AC517" i="8"/>
  <c r="Q517" i="27" s="1"/>
  <c r="T518" i="8"/>
  <c r="G518" i="26" s="1"/>
  <c r="X518" i="8"/>
  <c r="J518" i="26" s="1"/>
  <c r="AB518" i="8"/>
  <c r="L518" i="26" s="1"/>
  <c r="AC518" i="8"/>
  <c r="Q518" i="27" s="1"/>
  <c r="T519" i="8"/>
  <c r="G519" i="26" s="1"/>
  <c r="X519" i="8"/>
  <c r="J519" i="26" s="1"/>
  <c r="AB519" i="8"/>
  <c r="L519" i="26"/>
  <c r="AC519" i="8"/>
  <c r="Q519" i="27" s="1"/>
  <c r="T520" i="8"/>
  <c r="G520" i="26" s="1"/>
  <c r="X520" i="8"/>
  <c r="J520" i="26" s="1"/>
  <c r="AB520" i="8"/>
  <c r="L520" i="26" s="1"/>
  <c r="AC520" i="8"/>
  <c r="Q520" i="27" s="1"/>
  <c r="T521" i="8"/>
  <c r="G521" i="26" s="1"/>
  <c r="X521" i="8"/>
  <c r="J521" i="26" s="1"/>
  <c r="AB521" i="8"/>
  <c r="L521" i="26" s="1"/>
  <c r="AC521" i="8"/>
  <c r="Q521" i="27" s="1"/>
  <c r="T522" i="8"/>
  <c r="G522" i="26" s="1"/>
  <c r="X522" i="8"/>
  <c r="J522" i="26" s="1"/>
  <c r="AB522" i="8"/>
  <c r="L522" i="26" s="1"/>
  <c r="AC522" i="8"/>
  <c r="Q522" i="27" s="1"/>
  <c r="T523" i="8"/>
  <c r="G523" i="26" s="1"/>
  <c r="X523" i="8"/>
  <c r="J523" i="26" s="1"/>
  <c r="AB523" i="8"/>
  <c r="L523" i="26" s="1"/>
  <c r="AC523" i="8"/>
  <c r="Q523" i="27" s="1"/>
  <c r="T524" i="8"/>
  <c r="G524" i="26" s="1"/>
  <c r="X524" i="8"/>
  <c r="J524" i="26" s="1"/>
  <c r="AB524" i="8"/>
  <c r="L524" i="26" s="1"/>
  <c r="AC524" i="8"/>
  <c r="Q524" i="27" s="1"/>
  <c r="T525" i="8"/>
  <c r="G525" i="26" s="1"/>
  <c r="X525" i="8"/>
  <c r="J525" i="26" s="1"/>
  <c r="AB525" i="8"/>
  <c r="L525" i="26" s="1"/>
  <c r="AC525" i="8"/>
  <c r="Q525" i="27" s="1"/>
  <c r="T526" i="8"/>
  <c r="G526" i="26" s="1"/>
  <c r="X526" i="8"/>
  <c r="J526" i="26" s="1"/>
  <c r="AB526" i="8"/>
  <c r="L526" i="26" s="1"/>
  <c r="AC526" i="8"/>
  <c r="Q526" i="27" s="1"/>
  <c r="T527" i="8"/>
  <c r="G527" i="26" s="1"/>
  <c r="X527" i="8"/>
  <c r="J527" i="26" s="1"/>
  <c r="AB527" i="8"/>
  <c r="L527" i="26" s="1"/>
  <c r="AC527" i="8"/>
  <c r="Q527" i="27" s="1"/>
  <c r="T528" i="8"/>
  <c r="G528" i="26" s="1"/>
  <c r="X528" i="8"/>
  <c r="J528" i="26" s="1"/>
  <c r="AB528" i="8"/>
  <c r="L528" i="26" s="1"/>
  <c r="AC528" i="8"/>
  <c r="Q528" i="27" s="1"/>
  <c r="T529" i="8"/>
  <c r="G529" i="26" s="1"/>
  <c r="X529" i="8"/>
  <c r="J529" i="26" s="1"/>
  <c r="AB529" i="8"/>
  <c r="L529" i="26"/>
  <c r="AC529" i="8"/>
  <c r="Q529" i="27" s="1"/>
  <c r="T530" i="8"/>
  <c r="G530" i="26" s="1"/>
  <c r="X530" i="8"/>
  <c r="J530" i="26" s="1"/>
  <c r="AB530" i="8"/>
  <c r="L530" i="26" s="1"/>
  <c r="AC530" i="8"/>
  <c r="Q530" i="27" s="1"/>
  <c r="T531" i="8"/>
  <c r="G531" i="26" s="1"/>
  <c r="X531" i="8"/>
  <c r="J531" i="26" s="1"/>
  <c r="AB531" i="8"/>
  <c r="L531" i="26" s="1"/>
  <c r="AC531" i="8"/>
  <c r="Q531" i="27" s="1"/>
  <c r="T532" i="8"/>
  <c r="G532" i="26" s="1"/>
  <c r="X532" i="8"/>
  <c r="J532" i="26" s="1"/>
  <c r="AB532" i="8"/>
  <c r="L532" i="26" s="1"/>
  <c r="AC532" i="8"/>
  <c r="Q532" i="27" s="1"/>
  <c r="T533" i="8"/>
  <c r="G533" i="26" s="1"/>
  <c r="X533" i="8"/>
  <c r="J533" i="26" s="1"/>
  <c r="AB533" i="8"/>
  <c r="L533" i="26" s="1"/>
  <c r="AC533" i="8"/>
  <c r="Q533" i="27" s="1"/>
  <c r="T534" i="8"/>
  <c r="G534" i="26"/>
  <c r="X534" i="8"/>
  <c r="J534" i="26" s="1"/>
  <c r="AB534" i="8"/>
  <c r="L534" i="26" s="1"/>
  <c r="AC534" i="8"/>
  <c r="Q534" i="27" s="1"/>
  <c r="T535" i="8"/>
  <c r="G535" i="26" s="1"/>
  <c r="X535" i="8"/>
  <c r="J535" i="26" s="1"/>
  <c r="AB535" i="8"/>
  <c r="L535" i="26" s="1"/>
  <c r="AC535" i="8"/>
  <c r="Q535" i="27" s="1"/>
  <c r="T536" i="8"/>
  <c r="G536" i="26" s="1"/>
  <c r="X536" i="8"/>
  <c r="J536" i="26" s="1"/>
  <c r="AB536" i="8"/>
  <c r="L536" i="26" s="1"/>
  <c r="AC536" i="8"/>
  <c r="Q536" i="27" s="1"/>
  <c r="T537" i="8"/>
  <c r="G537" i="26" s="1"/>
  <c r="X537" i="8"/>
  <c r="J537" i="26" s="1"/>
  <c r="AB537" i="8"/>
  <c r="L537" i="26" s="1"/>
  <c r="AC537" i="8"/>
  <c r="Q537" i="27" s="1"/>
  <c r="T538" i="8"/>
  <c r="G538" i="26" s="1"/>
  <c r="X538" i="8"/>
  <c r="J538" i="26" s="1"/>
  <c r="AB538" i="8"/>
  <c r="L538" i="26" s="1"/>
  <c r="AC538" i="8"/>
  <c r="Q538" i="27" s="1"/>
  <c r="T539" i="8"/>
  <c r="G539" i="26" s="1"/>
  <c r="X539" i="8"/>
  <c r="J539" i="26" s="1"/>
  <c r="AB539" i="8"/>
  <c r="L539" i="26" s="1"/>
  <c r="AC539" i="8"/>
  <c r="Q539" i="27" s="1"/>
  <c r="T540" i="8"/>
  <c r="G540" i="26" s="1"/>
  <c r="X540" i="8"/>
  <c r="J540" i="26" s="1"/>
  <c r="AB540" i="8"/>
  <c r="L540" i="26" s="1"/>
  <c r="AC540" i="8"/>
  <c r="Q540" i="27" s="1"/>
  <c r="T541" i="8"/>
  <c r="G541" i="26" s="1"/>
  <c r="X541" i="8"/>
  <c r="J541" i="26" s="1"/>
  <c r="AB541" i="8"/>
  <c r="L541" i="26" s="1"/>
  <c r="AC541" i="8"/>
  <c r="Q541" i="27" s="1"/>
  <c r="T542" i="8"/>
  <c r="G542" i="26" s="1"/>
  <c r="X542" i="8"/>
  <c r="J542" i="26" s="1"/>
  <c r="AB542" i="8"/>
  <c r="L542" i="26" s="1"/>
  <c r="AC542" i="8"/>
  <c r="Q542" i="27" s="1"/>
  <c r="T543" i="8"/>
  <c r="G543" i="26" s="1"/>
  <c r="X543" i="8"/>
  <c r="J543" i="26" s="1"/>
  <c r="AB543" i="8"/>
  <c r="L543" i="26" s="1"/>
  <c r="AC543" i="8"/>
  <c r="Q543" i="27" s="1"/>
  <c r="T544" i="8"/>
  <c r="G544" i="26" s="1"/>
  <c r="X544" i="8"/>
  <c r="J544" i="26" s="1"/>
  <c r="AB544" i="8"/>
  <c r="L544" i="26" s="1"/>
  <c r="AC544" i="8"/>
  <c r="Q544" i="27" s="1"/>
  <c r="T545" i="8"/>
  <c r="G545" i="26" s="1"/>
  <c r="X545" i="8"/>
  <c r="J545" i="26" s="1"/>
  <c r="AB545" i="8"/>
  <c r="L545" i="26" s="1"/>
  <c r="AC545" i="8"/>
  <c r="Q545" i="27" s="1"/>
  <c r="T546" i="8"/>
  <c r="G546" i="26" s="1"/>
  <c r="X546" i="8"/>
  <c r="J546" i="26" s="1"/>
  <c r="AB546" i="8"/>
  <c r="L546" i="26" s="1"/>
  <c r="AC546" i="8"/>
  <c r="Q546" i="27" s="1"/>
  <c r="T547" i="8"/>
  <c r="G547" i="26" s="1"/>
  <c r="X547" i="8"/>
  <c r="J547" i="26" s="1"/>
  <c r="AB547" i="8"/>
  <c r="L547" i="26" s="1"/>
  <c r="AC547" i="8"/>
  <c r="Q547" i="27" s="1"/>
  <c r="T548" i="8"/>
  <c r="G548" i="26" s="1"/>
  <c r="X548" i="8"/>
  <c r="J548" i="26" s="1"/>
  <c r="AB548" i="8"/>
  <c r="L548" i="26" s="1"/>
  <c r="AC548" i="8"/>
  <c r="Q548" i="27" s="1"/>
  <c r="T549" i="8"/>
  <c r="G549" i="26" s="1"/>
  <c r="X549" i="8"/>
  <c r="J549" i="26" s="1"/>
  <c r="AB549" i="8"/>
  <c r="L549" i="26" s="1"/>
  <c r="AC549" i="8"/>
  <c r="Q549" i="27" s="1"/>
  <c r="T550" i="8"/>
  <c r="G550" i="26" s="1"/>
  <c r="X550" i="8"/>
  <c r="J550" i="26" s="1"/>
  <c r="AB550" i="8"/>
  <c r="L550" i="26" s="1"/>
  <c r="AC550" i="8"/>
  <c r="Q550" i="27" s="1"/>
  <c r="T551" i="8"/>
  <c r="G551" i="26" s="1"/>
  <c r="X551" i="8"/>
  <c r="J551" i="26" s="1"/>
  <c r="AB551" i="8"/>
  <c r="L551" i="26" s="1"/>
  <c r="AC551" i="8"/>
  <c r="Q551" i="27" s="1"/>
  <c r="T552" i="8"/>
  <c r="G552" i="26" s="1"/>
  <c r="X552" i="8"/>
  <c r="J552" i="26" s="1"/>
  <c r="AB552" i="8"/>
  <c r="L552" i="26" s="1"/>
  <c r="AC552" i="8"/>
  <c r="Q552" i="27" s="1"/>
  <c r="T553" i="8"/>
  <c r="G553" i="26" s="1"/>
  <c r="X553" i="8"/>
  <c r="J553" i="26" s="1"/>
  <c r="AB553" i="8"/>
  <c r="L553" i="26" s="1"/>
  <c r="AC553" i="8"/>
  <c r="Q553" i="27" s="1"/>
  <c r="T554" i="8"/>
  <c r="G554" i="26" s="1"/>
  <c r="X554" i="8"/>
  <c r="J554" i="26" s="1"/>
  <c r="AB554" i="8"/>
  <c r="L554" i="26" s="1"/>
  <c r="AC554" i="8"/>
  <c r="Q554" i="27" s="1"/>
  <c r="T555" i="8"/>
  <c r="G555" i="26" s="1"/>
  <c r="X555" i="8"/>
  <c r="J555" i="26" s="1"/>
  <c r="AB555" i="8"/>
  <c r="L555" i="26" s="1"/>
  <c r="AC555" i="8"/>
  <c r="Q555" i="27" s="1"/>
  <c r="T556" i="8"/>
  <c r="G556" i="26" s="1"/>
  <c r="X556" i="8"/>
  <c r="J556" i="26" s="1"/>
  <c r="AB556" i="8"/>
  <c r="L556" i="26" s="1"/>
  <c r="AC556" i="8"/>
  <c r="Q556" i="27" s="1"/>
  <c r="T557" i="8"/>
  <c r="G557" i="26" s="1"/>
  <c r="X557" i="8"/>
  <c r="J557" i="26" s="1"/>
  <c r="AB557" i="8"/>
  <c r="L557" i="26" s="1"/>
  <c r="AC557" i="8"/>
  <c r="Q557" i="27" s="1"/>
  <c r="T558" i="8"/>
  <c r="G558" i="26" s="1"/>
  <c r="X558" i="8"/>
  <c r="J558" i="26" s="1"/>
  <c r="AB558" i="8"/>
  <c r="L558" i="26" s="1"/>
  <c r="AC558" i="8"/>
  <c r="Q558" i="27" s="1"/>
  <c r="T559" i="8"/>
  <c r="G559" i="26" s="1"/>
  <c r="X559" i="8"/>
  <c r="J559" i="26" s="1"/>
  <c r="AB559" i="8"/>
  <c r="L559" i="26" s="1"/>
  <c r="AC559" i="8"/>
  <c r="Q559" i="27" s="1"/>
  <c r="T560" i="8"/>
  <c r="G560" i="26" s="1"/>
  <c r="X560" i="8"/>
  <c r="J560" i="26" s="1"/>
  <c r="AB560" i="8"/>
  <c r="L560" i="26" s="1"/>
  <c r="AC560" i="8"/>
  <c r="Q560" i="27" s="1"/>
  <c r="T561" i="8"/>
  <c r="G561" i="26" s="1"/>
  <c r="X561" i="8"/>
  <c r="J561" i="26" s="1"/>
  <c r="AB561" i="8"/>
  <c r="L561" i="26" s="1"/>
  <c r="AC561" i="8"/>
  <c r="Q561" i="27" s="1"/>
  <c r="T562" i="8"/>
  <c r="G562" i="26" s="1"/>
  <c r="X562" i="8"/>
  <c r="J562" i="26" s="1"/>
  <c r="AB562" i="8"/>
  <c r="L562" i="26" s="1"/>
  <c r="AC562" i="8"/>
  <c r="Q562" i="27" s="1"/>
  <c r="T563" i="8"/>
  <c r="G563" i="26" s="1"/>
  <c r="X563" i="8"/>
  <c r="J563" i="26" s="1"/>
  <c r="AB563" i="8"/>
  <c r="L563" i="26" s="1"/>
  <c r="AC563" i="8"/>
  <c r="Q563" i="27" s="1"/>
  <c r="T564" i="8"/>
  <c r="G564" i="26" s="1"/>
  <c r="X564" i="8"/>
  <c r="J564" i="26" s="1"/>
  <c r="AB564" i="8"/>
  <c r="L564" i="26" s="1"/>
  <c r="AC564" i="8"/>
  <c r="Q564" i="27" s="1"/>
  <c r="T565" i="8"/>
  <c r="G565" i="26" s="1"/>
  <c r="X565" i="8"/>
  <c r="J565" i="26" s="1"/>
  <c r="AB565" i="8"/>
  <c r="L565" i="26" s="1"/>
  <c r="AC565" i="8"/>
  <c r="Q565" i="27" s="1"/>
  <c r="T566" i="8"/>
  <c r="G566" i="26" s="1"/>
  <c r="X566" i="8"/>
  <c r="J566" i="26" s="1"/>
  <c r="AB566" i="8"/>
  <c r="L566" i="26" s="1"/>
  <c r="AC566" i="8"/>
  <c r="Q566" i="27" s="1"/>
  <c r="T567" i="8"/>
  <c r="G567" i="26" s="1"/>
  <c r="X567" i="8"/>
  <c r="J567" i="26" s="1"/>
  <c r="AB567" i="8"/>
  <c r="L567" i="26" s="1"/>
  <c r="AC567" i="8"/>
  <c r="Q567" i="27" s="1"/>
  <c r="T568" i="8"/>
  <c r="G568" i="26" s="1"/>
  <c r="X568" i="8"/>
  <c r="J568" i="26" s="1"/>
  <c r="AB568" i="8"/>
  <c r="L568" i="26" s="1"/>
  <c r="AC568" i="8"/>
  <c r="Q568" i="27" s="1"/>
  <c r="T569" i="8"/>
  <c r="G569" i="26" s="1"/>
  <c r="X569" i="8"/>
  <c r="J569" i="26" s="1"/>
  <c r="AB569" i="8"/>
  <c r="L569" i="26" s="1"/>
  <c r="AC569" i="8"/>
  <c r="Q569" i="27" s="1"/>
  <c r="T570" i="8"/>
  <c r="G570" i="26" s="1"/>
  <c r="X570" i="8"/>
  <c r="J570" i="26" s="1"/>
  <c r="AB570" i="8"/>
  <c r="L570" i="26" s="1"/>
  <c r="AC570" i="8"/>
  <c r="Q570" i="27" s="1"/>
  <c r="T571" i="8"/>
  <c r="G571" i="26" s="1"/>
  <c r="X571" i="8"/>
  <c r="J571" i="26" s="1"/>
  <c r="AB571" i="8"/>
  <c r="L571" i="26" s="1"/>
  <c r="AC571" i="8"/>
  <c r="Q571" i="27" s="1"/>
  <c r="T572" i="8"/>
  <c r="G572" i="26" s="1"/>
  <c r="X572" i="8"/>
  <c r="J572" i="26" s="1"/>
  <c r="AB572" i="8"/>
  <c r="L572" i="26" s="1"/>
  <c r="AC572" i="8"/>
  <c r="Q572" i="27" s="1"/>
  <c r="T573" i="8"/>
  <c r="G573" i="26" s="1"/>
  <c r="X573" i="8"/>
  <c r="J573" i="26" s="1"/>
  <c r="AB573" i="8"/>
  <c r="L573" i="26" s="1"/>
  <c r="AC573" i="8"/>
  <c r="Q573" i="27" s="1"/>
  <c r="T574" i="8"/>
  <c r="G574" i="26" s="1"/>
  <c r="X574" i="8"/>
  <c r="J574" i="26" s="1"/>
  <c r="AB574" i="8"/>
  <c r="L574" i="26" s="1"/>
  <c r="AC574" i="8"/>
  <c r="Q574" i="27" s="1"/>
  <c r="T575" i="8"/>
  <c r="G575" i="26" s="1"/>
  <c r="X575" i="8"/>
  <c r="J575" i="26" s="1"/>
  <c r="AB575" i="8"/>
  <c r="L575" i="26" s="1"/>
  <c r="AC575" i="8"/>
  <c r="Q575" i="27" s="1"/>
  <c r="T576" i="8"/>
  <c r="G576" i="26" s="1"/>
  <c r="X576" i="8"/>
  <c r="J576" i="26" s="1"/>
  <c r="AB576" i="8"/>
  <c r="L576" i="26" s="1"/>
  <c r="AC576" i="8"/>
  <c r="Q576" i="27" s="1"/>
  <c r="T577" i="8"/>
  <c r="G577" i="26" s="1"/>
  <c r="X577" i="8"/>
  <c r="J577" i="26" s="1"/>
  <c r="AB577" i="8"/>
  <c r="L577" i="26"/>
  <c r="AC577" i="8"/>
  <c r="Q577" i="27" s="1"/>
  <c r="T578" i="8"/>
  <c r="G578" i="26" s="1"/>
  <c r="X578" i="8"/>
  <c r="J578" i="26"/>
  <c r="AB578" i="8"/>
  <c r="L578" i="26" s="1"/>
  <c r="AC578" i="8"/>
  <c r="Q578" i="27" s="1"/>
  <c r="T579" i="8"/>
  <c r="G579" i="26" s="1"/>
  <c r="X579" i="8"/>
  <c r="J579" i="26" s="1"/>
  <c r="AB579" i="8"/>
  <c r="L579" i="26" s="1"/>
  <c r="AC579" i="8"/>
  <c r="Q579" i="27" s="1"/>
  <c r="T580" i="8"/>
  <c r="G580" i="26" s="1"/>
  <c r="X580" i="8"/>
  <c r="J580" i="26" s="1"/>
  <c r="AB580" i="8"/>
  <c r="L580" i="26" s="1"/>
  <c r="AC580" i="8"/>
  <c r="Q580" i="27" s="1"/>
  <c r="T581" i="8"/>
  <c r="G581" i="26" s="1"/>
  <c r="X581" i="8"/>
  <c r="J581" i="26" s="1"/>
  <c r="AB581" i="8"/>
  <c r="L581" i="26" s="1"/>
  <c r="AC581" i="8"/>
  <c r="Q581" i="27" s="1"/>
  <c r="T582" i="8"/>
  <c r="G582" i="26" s="1"/>
  <c r="X582" i="8"/>
  <c r="J582" i="26" s="1"/>
  <c r="AB582" i="8"/>
  <c r="L582" i="26" s="1"/>
  <c r="AC582" i="8"/>
  <c r="Q582" i="27" s="1"/>
  <c r="T583" i="8"/>
  <c r="G583" i="26" s="1"/>
  <c r="X583" i="8"/>
  <c r="J583" i="26" s="1"/>
  <c r="AB583" i="8"/>
  <c r="L583" i="26" s="1"/>
  <c r="AC583" i="8"/>
  <c r="Q583" i="27" s="1"/>
  <c r="T584" i="8"/>
  <c r="G584" i="26" s="1"/>
  <c r="X584" i="8"/>
  <c r="J584" i="26" s="1"/>
  <c r="AB584" i="8"/>
  <c r="L584" i="26" s="1"/>
  <c r="AC584" i="8"/>
  <c r="Q584" i="27" s="1"/>
  <c r="T585" i="8"/>
  <c r="G585" i="26" s="1"/>
  <c r="X585" i="8"/>
  <c r="J585" i="26" s="1"/>
  <c r="AB585" i="8"/>
  <c r="L585" i="26" s="1"/>
  <c r="AC585" i="8"/>
  <c r="Q585" i="27" s="1"/>
  <c r="T586" i="8"/>
  <c r="G586" i="26" s="1"/>
  <c r="X586" i="8"/>
  <c r="J586" i="26" s="1"/>
  <c r="AB586" i="8"/>
  <c r="L586" i="26" s="1"/>
  <c r="AC586" i="8"/>
  <c r="Q586" i="27" s="1"/>
  <c r="T587" i="8"/>
  <c r="G587" i="26" s="1"/>
  <c r="X587" i="8"/>
  <c r="J587" i="26" s="1"/>
  <c r="AB587" i="8"/>
  <c r="L587" i="26" s="1"/>
  <c r="AC587" i="8"/>
  <c r="Q587" i="27" s="1"/>
  <c r="T588" i="8"/>
  <c r="G588" i="26" s="1"/>
  <c r="X588" i="8"/>
  <c r="J588" i="26" s="1"/>
  <c r="AB588" i="8"/>
  <c r="L588" i="26" s="1"/>
  <c r="AC588" i="8"/>
  <c r="Q588" i="27" s="1"/>
  <c r="T589" i="8"/>
  <c r="G589" i="26" s="1"/>
  <c r="X589" i="8"/>
  <c r="J589" i="26" s="1"/>
  <c r="AB589" i="8"/>
  <c r="L589" i="26" s="1"/>
  <c r="AC589" i="8"/>
  <c r="Q589" i="27" s="1"/>
  <c r="T590" i="8"/>
  <c r="G590" i="26" s="1"/>
  <c r="X590" i="8"/>
  <c r="J590" i="26" s="1"/>
  <c r="AB590" i="8"/>
  <c r="L590" i="26" s="1"/>
  <c r="AC590" i="8"/>
  <c r="Q590" i="27" s="1"/>
  <c r="T591" i="8"/>
  <c r="G591" i="26" s="1"/>
  <c r="X591" i="8"/>
  <c r="J591" i="26" s="1"/>
  <c r="AB591" i="8"/>
  <c r="L591" i="26" s="1"/>
  <c r="AC591" i="8"/>
  <c r="Q591" i="27" s="1"/>
  <c r="T592" i="8"/>
  <c r="G592" i="26" s="1"/>
  <c r="X592" i="8"/>
  <c r="J592" i="26" s="1"/>
  <c r="AB592" i="8"/>
  <c r="L592" i="26" s="1"/>
  <c r="AC592" i="8"/>
  <c r="Q592" i="27" s="1"/>
  <c r="T593" i="8"/>
  <c r="G593" i="26" s="1"/>
  <c r="X593" i="8"/>
  <c r="J593" i="26" s="1"/>
  <c r="AB593" i="8"/>
  <c r="L593" i="26" s="1"/>
  <c r="AC593" i="8"/>
  <c r="Q593" i="27" s="1"/>
  <c r="T594" i="8"/>
  <c r="G594" i="26" s="1"/>
  <c r="X594" i="8"/>
  <c r="J594" i="26" s="1"/>
  <c r="AB594" i="8"/>
  <c r="L594" i="26" s="1"/>
  <c r="AC594" i="8"/>
  <c r="Q594" i="27" s="1"/>
  <c r="T595" i="8"/>
  <c r="G595" i="26" s="1"/>
  <c r="X595" i="8"/>
  <c r="J595" i="26" s="1"/>
  <c r="AB595" i="8"/>
  <c r="L595" i="26" s="1"/>
  <c r="AC595" i="8"/>
  <c r="Q595" i="27" s="1"/>
  <c r="T596" i="8"/>
  <c r="G596" i="26" s="1"/>
  <c r="X596" i="8"/>
  <c r="J596" i="26" s="1"/>
  <c r="AB596" i="8"/>
  <c r="L596" i="26" s="1"/>
  <c r="AC596" i="8"/>
  <c r="Q596" i="27" s="1"/>
  <c r="T597" i="8"/>
  <c r="G597" i="26" s="1"/>
  <c r="X597" i="8"/>
  <c r="J597" i="26" s="1"/>
  <c r="AB597" i="8"/>
  <c r="L597" i="26" s="1"/>
  <c r="AC597" i="8"/>
  <c r="Q597" i="27" s="1"/>
  <c r="T598" i="8"/>
  <c r="G598" i="26" s="1"/>
  <c r="X598" i="8"/>
  <c r="J598" i="26" s="1"/>
  <c r="AB598" i="8"/>
  <c r="L598" i="26" s="1"/>
  <c r="AC598" i="8"/>
  <c r="Q598" i="27" s="1"/>
  <c r="T599" i="8"/>
  <c r="G599" i="26" s="1"/>
  <c r="X599" i="8"/>
  <c r="J599" i="26" s="1"/>
  <c r="AB599" i="8"/>
  <c r="L599" i="26" s="1"/>
  <c r="AC599" i="8"/>
  <c r="Q599" i="27" s="1"/>
  <c r="T600" i="8"/>
  <c r="G600" i="26" s="1"/>
  <c r="X600" i="8"/>
  <c r="J600" i="26" s="1"/>
  <c r="AB600" i="8"/>
  <c r="L600" i="26" s="1"/>
  <c r="AC600" i="8"/>
  <c r="Q600" i="27" s="1"/>
  <c r="T601" i="8"/>
  <c r="G601" i="26" s="1"/>
  <c r="X601" i="8"/>
  <c r="J601" i="26" s="1"/>
  <c r="AB601" i="8"/>
  <c r="L601" i="26" s="1"/>
  <c r="AC601" i="8"/>
  <c r="Q601" i="27" s="1"/>
  <c r="T602" i="8"/>
  <c r="G602" i="26" s="1"/>
  <c r="X602" i="8"/>
  <c r="J602" i="26"/>
  <c r="AB602" i="8"/>
  <c r="L602" i="26" s="1"/>
  <c r="AC602" i="8"/>
  <c r="Q602" i="27" s="1"/>
  <c r="T603" i="8"/>
  <c r="G603" i="26" s="1"/>
  <c r="X603" i="8"/>
  <c r="J603" i="26" s="1"/>
  <c r="AB603" i="8"/>
  <c r="L603" i="26" s="1"/>
  <c r="AC603" i="8"/>
  <c r="Q603" i="27" s="1"/>
  <c r="T604" i="8"/>
  <c r="G604" i="26" s="1"/>
  <c r="X604" i="8"/>
  <c r="J604" i="26" s="1"/>
  <c r="AB604" i="8"/>
  <c r="L604" i="26" s="1"/>
  <c r="AC604" i="8"/>
  <c r="Q604" i="27" s="1"/>
  <c r="T605" i="8"/>
  <c r="G605" i="26" s="1"/>
  <c r="X605" i="8"/>
  <c r="J605" i="26" s="1"/>
  <c r="AB605" i="8"/>
  <c r="L605" i="26" s="1"/>
  <c r="AC605" i="8"/>
  <c r="Q605" i="27" s="1"/>
  <c r="T606" i="8"/>
  <c r="G606" i="26" s="1"/>
  <c r="X606" i="8"/>
  <c r="J606" i="26" s="1"/>
  <c r="AB606" i="8"/>
  <c r="L606" i="26" s="1"/>
  <c r="AC606" i="8"/>
  <c r="Q606" i="27" s="1"/>
  <c r="T607" i="8"/>
  <c r="G607" i="26" s="1"/>
  <c r="X607" i="8"/>
  <c r="J607" i="26" s="1"/>
  <c r="AB607" i="8"/>
  <c r="L607" i="26" s="1"/>
  <c r="AC607" i="8"/>
  <c r="Q607" i="27" s="1"/>
  <c r="T608" i="8"/>
  <c r="G608" i="26" s="1"/>
  <c r="X608" i="8"/>
  <c r="J608" i="26" s="1"/>
  <c r="AB608" i="8"/>
  <c r="L608" i="26" s="1"/>
  <c r="AC608" i="8"/>
  <c r="Q608" i="27" s="1"/>
  <c r="T609" i="8"/>
  <c r="G609" i="26" s="1"/>
  <c r="X609" i="8"/>
  <c r="J609" i="26" s="1"/>
  <c r="AB609" i="8"/>
  <c r="L609" i="26" s="1"/>
  <c r="AC609" i="8"/>
  <c r="Q609" i="27" s="1"/>
  <c r="T610" i="8"/>
  <c r="G610" i="26" s="1"/>
  <c r="X610" i="8"/>
  <c r="J610" i="26" s="1"/>
  <c r="AB610" i="8"/>
  <c r="L610" i="26" s="1"/>
  <c r="AC610" i="8"/>
  <c r="Q610" i="27" s="1"/>
  <c r="T611" i="8"/>
  <c r="G611" i="26" s="1"/>
  <c r="X611" i="8"/>
  <c r="J611" i="26" s="1"/>
  <c r="AB611" i="8"/>
  <c r="L611" i="26" s="1"/>
  <c r="AC611" i="8"/>
  <c r="Q611" i="27" s="1"/>
  <c r="T612" i="8"/>
  <c r="G612" i="26" s="1"/>
  <c r="X612" i="8"/>
  <c r="J612" i="26" s="1"/>
  <c r="AB612" i="8"/>
  <c r="L612" i="26" s="1"/>
  <c r="AC612" i="8"/>
  <c r="Q612" i="27" s="1"/>
  <c r="T613" i="8"/>
  <c r="G613" i="26" s="1"/>
  <c r="X613" i="8"/>
  <c r="J613" i="26" s="1"/>
  <c r="AB613" i="8"/>
  <c r="L613" i="26" s="1"/>
  <c r="AC613" i="8"/>
  <c r="Q613" i="27" s="1"/>
  <c r="T614" i="8"/>
  <c r="G614" i="26" s="1"/>
  <c r="X614" i="8"/>
  <c r="J614" i="26" s="1"/>
  <c r="AB614" i="8"/>
  <c r="L614" i="26" s="1"/>
  <c r="AC614" i="8"/>
  <c r="Q614" i="27" s="1"/>
  <c r="T615" i="8"/>
  <c r="G615" i="26" s="1"/>
  <c r="X615" i="8"/>
  <c r="J615" i="26" s="1"/>
  <c r="AB615" i="8"/>
  <c r="L615" i="26"/>
  <c r="AC615" i="8"/>
  <c r="Q615" i="27" s="1"/>
  <c r="T616" i="8"/>
  <c r="G616" i="26" s="1"/>
  <c r="X616" i="8"/>
  <c r="J616" i="26" s="1"/>
  <c r="AB616" i="8"/>
  <c r="L616" i="26" s="1"/>
  <c r="AC616" i="8"/>
  <c r="Q616" i="27" s="1"/>
  <c r="T617" i="8"/>
  <c r="G617" i="26" s="1"/>
  <c r="X617" i="8"/>
  <c r="J617" i="26" s="1"/>
  <c r="AB617" i="8"/>
  <c r="L617" i="26" s="1"/>
  <c r="AC617" i="8"/>
  <c r="Q617" i="27" s="1"/>
  <c r="T618" i="8"/>
  <c r="G618" i="26" s="1"/>
  <c r="X618" i="8"/>
  <c r="J618" i="26" s="1"/>
  <c r="AB618" i="8"/>
  <c r="L618" i="26" s="1"/>
  <c r="AC618" i="8"/>
  <c r="Q618" i="27" s="1"/>
  <c r="T619" i="8"/>
  <c r="G619" i="26" s="1"/>
  <c r="X619" i="8"/>
  <c r="J619" i="26"/>
  <c r="AB619" i="8"/>
  <c r="L619" i="26" s="1"/>
  <c r="AC619" i="8"/>
  <c r="Q619" i="27" s="1"/>
  <c r="T620" i="8"/>
  <c r="G620" i="26" s="1"/>
  <c r="X620" i="8"/>
  <c r="J620" i="26" s="1"/>
  <c r="AB620" i="8"/>
  <c r="L620" i="26" s="1"/>
  <c r="AC620" i="8"/>
  <c r="Q620" i="27" s="1"/>
  <c r="T621" i="8"/>
  <c r="G621" i="26" s="1"/>
  <c r="X621" i="8"/>
  <c r="J621" i="26" s="1"/>
  <c r="AB621" i="8"/>
  <c r="L621" i="26" s="1"/>
  <c r="AC621" i="8"/>
  <c r="Q621" i="27" s="1"/>
  <c r="T622" i="8"/>
  <c r="G622" i="26" s="1"/>
  <c r="X622" i="8"/>
  <c r="J622" i="26" s="1"/>
  <c r="AB622" i="8"/>
  <c r="L622" i="26" s="1"/>
  <c r="AC622" i="8"/>
  <c r="Q622" i="27" s="1"/>
  <c r="T623" i="8"/>
  <c r="G623" i="26" s="1"/>
  <c r="X623" i="8"/>
  <c r="J623" i="26" s="1"/>
  <c r="AB623" i="8"/>
  <c r="L623" i="26" s="1"/>
  <c r="AC623" i="8"/>
  <c r="Q623" i="27" s="1"/>
  <c r="T624" i="8"/>
  <c r="G624" i="26" s="1"/>
  <c r="X624" i="8"/>
  <c r="J624" i="26" s="1"/>
  <c r="AB624" i="8"/>
  <c r="L624" i="26" s="1"/>
  <c r="AC624" i="8"/>
  <c r="Q624" i="27" s="1"/>
  <c r="T625" i="8"/>
  <c r="G625" i="26" s="1"/>
  <c r="X625" i="8"/>
  <c r="J625" i="26" s="1"/>
  <c r="AB625" i="8"/>
  <c r="L625" i="26"/>
  <c r="AC625" i="8"/>
  <c r="Q625" i="27" s="1"/>
  <c r="T626" i="8"/>
  <c r="G626" i="26" s="1"/>
  <c r="X626" i="8"/>
  <c r="J626" i="26"/>
  <c r="AB626" i="8"/>
  <c r="L626" i="26" s="1"/>
  <c r="AC626" i="8"/>
  <c r="Q626" i="27" s="1"/>
  <c r="T627" i="8"/>
  <c r="G627" i="26" s="1"/>
  <c r="X627" i="8"/>
  <c r="J627" i="26" s="1"/>
  <c r="AB627" i="8"/>
  <c r="L627" i="26" s="1"/>
  <c r="AC627" i="8"/>
  <c r="Q627" i="27" s="1"/>
  <c r="T628" i="8"/>
  <c r="G628" i="26" s="1"/>
  <c r="X628" i="8"/>
  <c r="J628" i="26" s="1"/>
  <c r="AB628" i="8"/>
  <c r="L628" i="26" s="1"/>
  <c r="AC628" i="8"/>
  <c r="Q628" i="27" s="1"/>
  <c r="T629" i="8"/>
  <c r="G629" i="26" s="1"/>
  <c r="X629" i="8"/>
  <c r="J629" i="26" s="1"/>
  <c r="AB629" i="8"/>
  <c r="L629" i="26" s="1"/>
  <c r="AC629" i="8"/>
  <c r="Q629" i="27" s="1"/>
  <c r="T630" i="8"/>
  <c r="G630" i="26" s="1"/>
  <c r="X630" i="8"/>
  <c r="J630" i="26" s="1"/>
  <c r="AB630" i="8"/>
  <c r="L630" i="26" s="1"/>
  <c r="AC630" i="8"/>
  <c r="Q630" i="27" s="1"/>
  <c r="T631" i="8"/>
  <c r="G631" i="26" s="1"/>
  <c r="X631" i="8"/>
  <c r="J631" i="26" s="1"/>
  <c r="AB631" i="8"/>
  <c r="L631" i="26" s="1"/>
  <c r="AC631" i="8"/>
  <c r="Q631" i="27" s="1"/>
  <c r="T632" i="8"/>
  <c r="G632" i="26" s="1"/>
  <c r="X632" i="8"/>
  <c r="J632" i="26" s="1"/>
  <c r="AB632" i="8"/>
  <c r="L632" i="26" s="1"/>
  <c r="AC632" i="8"/>
  <c r="Q632" i="27" s="1"/>
  <c r="T633" i="8"/>
  <c r="G633" i="26" s="1"/>
  <c r="X633" i="8"/>
  <c r="J633" i="26" s="1"/>
  <c r="AB633" i="8"/>
  <c r="L633" i="26" s="1"/>
  <c r="AC633" i="8"/>
  <c r="Q633" i="27" s="1"/>
  <c r="T634" i="8"/>
  <c r="G634" i="26" s="1"/>
  <c r="X634" i="8"/>
  <c r="J634" i="26" s="1"/>
  <c r="AB634" i="8"/>
  <c r="L634" i="26" s="1"/>
  <c r="AC634" i="8"/>
  <c r="Q634" i="27" s="1"/>
  <c r="T635" i="8"/>
  <c r="G635" i="26" s="1"/>
  <c r="X635" i="8"/>
  <c r="J635" i="26" s="1"/>
  <c r="AB635" i="8"/>
  <c r="L635" i="26" s="1"/>
  <c r="AC635" i="8"/>
  <c r="Q635" i="27" s="1"/>
  <c r="T636" i="8"/>
  <c r="G636" i="26" s="1"/>
  <c r="X636" i="8"/>
  <c r="J636" i="26" s="1"/>
  <c r="AB636" i="8"/>
  <c r="L636" i="26" s="1"/>
  <c r="AC636" i="8"/>
  <c r="Q636" i="27" s="1"/>
  <c r="T637" i="8"/>
  <c r="G637" i="26" s="1"/>
  <c r="X637" i="8"/>
  <c r="J637" i="26" s="1"/>
  <c r="AB637" i="8"/>
  <c r="L637" i="26" s="1"/>
  <c r="AC637" i="8"/>
  <c r="Q637" i="27" s="1"/>
  <c r="T638" i="8"/>
  <c r="G638" i="26" s="1"/>
  <c r="X638" i="8"/>
  <c r="J638" i="26" s="1"/>
  <c r="AB638" i="8"/>
  <c r="L638" i="26" s="1"/>
  <c r="AC638" i="8"/>
  <c r="Q638" i="27" s="1"/>
  <c r="T639" i="8"/>
  <c r="G639" i="26" s="1"/>
  <c r="X639" i="8"/>
  <c r="J639" i="26" s="1"/>
  <c r="AB639" i="8"/>
  <c r="L639" i="26" s="1"/>
  <c r="AC639" i="8"/>
  <c r="Q639" i="27" s="1"/>
  <c r="T640" i="8"/>
  <c r="G640" i="26" s="1"/>
  <c r="X640" i="8"/>
  <c r="J640" i="26" s="1"/>
  <c r="AB640" i="8"/>
  <c r="L640" i="26" s="1"/>
  <c r="AC640" i="8"/>
  <c r="Q640" i="27" s="1"/>
  <c r="T641" i="8"/>
  <c r="G641" i="26" s="1"/>
  <c r="X641" i="8"/>
  <c r="J641" i="26" s="1"/>
  <c r="AB641" i="8"/>
  <c r="L641" i="26" s="1"/>
  <c r="AC641" i="8"/>
  <c r="Q641" i="27" s="1"/>
  <c r="T642" i="8"/>
  <c r="G642" i="26" s="1"/>
  <c r="X642" i="8"/>
  <c r="J642" i="26" s="1"/>
  <c r="AB642" i="8"/>
  <c r="L642" i="26" s="1"/>
  <c r="AC642" i="8"/>
  <c r="Q642" i="27" s="1"/>
  <c r="T643" i="8"/>
  <c r="G643" i="26" s="1"/>
  <c r="X643" i="8"/>
  <c r="J643" i="26" s="1"/>
  <c r="AB643" i="8"/>
  <c r="L643" i="26" s="1"/>
  <c r="AC643" i="8"/>
  <c r="Q643" i="27" s="1"/>
  <c r="T644" i="8"/>
  <c r="G644" i="26" s="1"/>
  <c r="X644" i="8"/>
  <c r="J644" i="26" s="1"/>
  <c r="AB644" i="8"/>
  <c r="L644" i="26" s="1"/>
  <c r="AC644" i="8"/>
  <c r="Q644" i="27" s="1"/>
  <c r="T645" i="8"/>
  <c r="G645" i="26" s="1"/>
  <c r="X645" i="8"/>
  <c r="J645" i="26" s="1"/>
  <c r="AB645" i="8"/>
  <c r="L645" i="26" s="1"/>
  <c r="AC645" i="8"/>
  <c r="Q645" i="27" s="1"/>
  <c r="T646" i="8"/>
  <c r="G646" i="26" s="1"/>
  <c r="X646" i="8"/>
  <c r="J646" i="26" s="1"/>
  <c r="AB646" i="8"/>
  <c r="L646" i="26" s="1"/>
  <c r="AC646" i="8"/>
  <c r="Q646" i="27" s="1"/>
  <c r="T647" i="8"/>
  <c r="G647" i="26" s="1"/>
  <c r="X647" i="8"/>
  <c r="J647" i="26" s="1"/>
  <c r="AB647" i="8"/>
  <c r="L647" i="26" s="1"/>
  <c r="AC647" i="8"/>
  <c r="Q647" i="27" s="1"/>
  <c r="T648" i="8"/>
  <c r="G648" i="26" s="1"/>
  <c r="X648" i="8"/>
  <c r="J648" i="26" s="1"/>
  <c r="AB648" i="8"/>
  <c r="L648" i="26" s="1"/>
  <c r="AC648" i="8"/>
  <c r="Q648" i="27" s="1"/>
  <c r="T649" i="8"/>
  <c r="G649" i="26" s="1"/>
  <c r="X649" i="8"/>
  <c r="J649" i="26" s="1"/>
  <c r="AB649" i="8"/>
  <c r="L649" i="26" s="1"/>
  <c r="AC649" i="8"/>
  <c r="Q649" i="27" s="1"/>
  <c r="T650" i="8"/>
  <c r="G650" i="26" s="1"/>
  <c r="X650" i="8"/>
  <c r="J650" i="26" s="1"/>
  <c r="AB650" i="8"/>
  <c r="L650" i="26" s="1"/>
  <c r="AC650" i="8"/>
  <c r="Q650" i="27" s="1"/>
  <c r="T651" i="8"/>
  <c r="G651" i="26" s="1"/>
  <c r="X651" i="8"/>
  <c r="J651" i="26"/>
  <c r="AB651" i="8"/>
  <c r="L651" i="26" s="1"/>
  <c r="AC651" i="8"/>
  <c r="Q651" i="27" s="1"/>
  <c r="T652" i="8"/>
  <c r="G652" i="26" s="1"/>
  <c r="X652" i="8"/>
  <c r="J652" i="26"/>
  <c r="AB652" i="8"/>
  <c r="L652" i="26" s="1"/>
  <c r="AC652" i="8"/>
  <c r="Q652" i="27" s="1"/>
  <c r="T653" i="8"/>
  <c r="G653" i="26" s="1"/>
  <c r="X653" i="8"/>
  <c r="J653" i="26" s="1"/>
  <c r="AB653" i="8"/>
  <c r="L653" i="26" s="1"/>
  <c r="AC653" i="8"/>
  <c r="Q653" i="27" s="1"/>
  <c r="T654" i="8"/>
  <c r="G654" i="26" s="1"/>
  <c r="X654" i="8"/>
  <c r="J654" i="26" s="1"/>
  <c r="AB654" i="8"/>
  <c r="L654" i="26" s="1"/>
  <c r="AC654" i="8"/>
  <c r="Q654" i="27" s="1"/>
  <c r="T655" i="8"/>
  <c r="G655" i="26" s="1"/>
  <c r="X655" i="8"/>
  <c r="J655" i="26" s="1"/>
  <c r="AB655" i="8"/>
  <c r="L655" i="26" s="1"/>
  <c r="AC655" i="8"/>
  <c r="Q655" i="27" s="1"/>
  <c r="T656" i="8"/>
  <c r="G656" i="26" s="1"/>
  <c r="X656" i="8"/>
  <c r="J656" i="26" s="1"/>
  <c r="AB656" i="8"/>
  <c r="L656" i="26" s="1"/>
  <c r="AC656" i="8"/>
  <c r="Q656" i="27" s="1"/>
  <c r="T657" i="8"/>
  <c r="G657" i="26" s="1"/>
  <c r="X657" i="8"/>
  <c r="J657" i="26" s="1"/>
  <c r="AB657" i="8"/>
  <c r="L657" i="26" s="1"/>
  <c r="AC657" i="8"/>
  <c r="Q657" i="27" s="1"/>
  <c r="T658" i="8"/>
  <c r="G658" i="26" s="1"/>
  <c r="X658" i="8"/>
  <c r="J658" i="26" s="1"/>
  <c r="AB658" i="8"/>
  <c r="L658" i="26" s="1"/>
  <c r="AC658" i="8"/>
  <c r="Q658" i="27" s="1"/>
  <c r="T659" i="8"/>
  <c r="G659" i="26" s="1"/>
  <c r="X659" i="8"/>
  <c r="J659" i="26" s="1"/>
  <c r="AB659" i="8"/>
  <c r="L659" i="26" s="1"/>
  <c r="AC659" i="8"/>
  <c r="Q659" i="27" s="1"/>
  <c r="T660" i="8"/>
  <c r="G660" i="26" s="1"/>
  <c r="X660" i="8"/>
  <c r="J660" i="26" s="1"/>
  <c r="AB660" i="8"/>
  <c r="L660" i="26" s="1"/>
  <c r="AC660" i="8"/>
  <c r="Q660" i="27" s="1"/>
  <c r="T661" i="8"/>
  <c r="G661" i="26" s="1"/>
  <c r="X661" i="8"/>
  <c r="J661" i="26" s="1"/>
  <c r="AB661" i="8"/>
  <c r="L661" i="26" s="1"/>
  <c r="AC661" i="8"/>
  <c r="Q661" i="27" s="1"/>
  <c r="T662" i="8"/>
  <c r="G662" i="26" s="1"/>
  <c r="X662" i="8"/>
  <c r="J662" i="26" s="1"/>
  <c r="AB662" i="8"/>
  <c r="L662" i="26" s="1"/>
  <c r="AC662" i="8"/>
  <c r="Q662" i="27" s="1"/>
  <c r="T663" i="8"/>
  <c r="G663" i="26" s="1"/>
  <c r="X663" i="8"/>
  <c r="J663" i="26" s="1"/>
  <c r="AB663" i="8"/>
  <c r="L663" i="26" s="1"/>
  <c r="AC663" i="8"/>
  <c r="Q663" i="27" s="1"/>
  <c r="T664" i="8"/>
  <c r="G664" i="26" s="1"/>
  <c r="X664" i="8"/>
  <c r="J664" i="26" s="1"/>
  <c r="AB664" i="8"/>
  <c r="L664" i="26" s="1"/>
  <c r="AC664" i="8"/>
  <c r="Q664" i="27" s="1"/>
  <c r="T665" i="8"/>
  <c r="G665" i="26" s="1"/>
  <c r="X665" i="8"/>
  <c r="J665" i="26" s="1"/>
  <c r="AB665" i="8"/>
  <c r="L665" i="26" s="1"/>
  <c r="AC665" i="8"/>
  <c r="Q665" i="27" s="1"/>
  <c r="T666" i="8"/>
  <c r="G666" i="26" s="1"/>
  <c r="X666" i="8"/>
  <c r="J666" i="26" s="1"/>
  <c r="AB666" i="8"/>
  <c r="L666" i="26" s="1"/>
  <c r="AC666" i="8"/>
  <c r="Q666" i="27" s="1"/>
  <c r="T667" i="8"/>
  <c r="G667" i="26" s="1"/>
  <c r="X667" i="8"/>
  <c r="J667" i="26" s="1"/>
  <c r="AB667" i="8"/>
  <c r="L667" i="26" s="1"/>
  <c r="AC667" i="8"/>
  <c r="Q667" i="27" s="1"/>
  <c r="T668" i="8"/>
  <c r="G668" i="26" s="1"/>
  <c r="X668" i="8"/>
  <c r="J668" i="26" s="1"/>
  <c r="AB668" i="8"/>
  <c r="L668" i="26" s="1"/>
  <c r="AC668" i="8"/>
  <c r="Q668" i="27" s="1"/>
  <c r="T669" i="8"/>
  <c r="G669" i="26" s="1"/>
  <c r="X669" i="8"/>
  <c r="J669" i="26" s="1"/>
  <c r="AB669" i="8"/>
  <c r="L669" i="26" s="1"/>
  <c r="AC669" i="8"/>
  <c r="Q669" i="27" s="1"/>
  <c r="T670" i="8"/>
  <c r="G670" i="26" s="1"/>
  <c r="X670" i="8"/>
  <c r="J670" i="26" s="1"/>
  <c r="AB670" i="8"/>
  <c r="L670" i="26" s="1"/>
  <c r="AC670" i="8"/>
  <c r="Q670" i="27" s="1"/>
  <c r="T671" i="8"/>
  <c r="G671" i="26" s="1"/>
  <c r="X671" i="8"/>
  <c r="J671" i="26" s="1"/>
  <c r="AB671" i="8"/>
  <c r="L671" i="26" s="1"/>
  <c r="AC671" i="8"/>
  <c r="Q671" i="27" s="1"/>
  <c r="T672" i="8"/>
  <c r="G672" i="26" s="1"/>
  <c r="X672" i="8"/>
  <c r="J672" i="26" s="1"/>
  <c r="AB672" i="8"/>
  <c r="L672" i="26" s="1"/>
  <c r="AC672" i="8"/>
  <c r="Q672" i="27" s="1"/>
  <c r="T673" i="8"/>
  <c r="G673" i="26" s="1"/>
  <c r="X673" i="8"/>
  <c r="J673" i="26" s="1"/>
  <c r="AB673" i="8"/>
  <c r="L673" i="26" s="1"/>
  <c r="AC673" i="8"/>
  <c r="Q673" i="27" s="1"/>
  <c r="T674" i="8"/>
  <c r="G674" i="26" s="1"/>
  <c r="X674" i="8"/>
  <c r="J674" i="26" s="1"/>
  <c r="AB674" i="8"/>
  <c r="L674" i="26" s="1"/>
  <c r="AC674" i="8"/>
  <c r="Q674" i="27" s="1"/>
  <c r="T675" i="8"/>
  <c r="G675" i="26" s="1"/>
  <c r="X675" i="8"/>
  <c r="J675" i="26" s="1"/>
  <c r="AB675" i="8"/>
  <c r="L675" i="26" s="1"/>
  <c r="AC675" i="8"/>
  <c r="Q675" i="27" s="1"/>
  <c r="T676" i="8"/>
  <c r="G676" i="26" s="1"/>
  <c r="X676" i="8"/>
  <c r="J676" i="26" s="1"/>
  <c r="AB676" i="8"/>
  <c r="L676" i="26" s="1"/>
  <c r="AC676" i="8"/>
  <c r="Q676" i="27" s="1"/>
  <c r="T677" i="8"/>
  <c r="G677" i="26" s="1"/>
  <c r="X677" i="8"/>
  <c r="J677" i="26" s="1"/>
  <c r="AB677" i="8"/>
  <c r="L677" i="26" s="1"/>
  <c r="AC677" i="8"/>
  <c r="Q677" i="27" s="1"/>
  <c r="T678" i="8"/>
  <c r="G678" i="26" s="1"/>
  <c r="X678" i="8"/>
  <c r="J678" i="26" s="1"/>
  <c r="AB678" i="8"/>
  <c r="L678" i="26" s="1"/>
  <c r="AC678" i="8"/>
  <c r="Q678" i="27" s="1"/>
  <c r="T679" i="8"/>
  <c r="G679" i="26" s="1"/>
  <c r="X679" i="8"/>
  <c r="J679" i="26" s="1"/>
  <c r="AB679" i="8"/>
  <c r="L679" i="26" s="1"/>
  <c r="AC679" i="8"/>
  <c r="Q679" i="27" s="1"/>
  <c r="T680" i="8"/>
  <c r="G680" i="26" s="1"/>
  <c r="X680" i="8"/>
  <c r="J680" i="26" s="1"/>
  <c r="AB680" i="8"/>
  <c r="L680" i="26" s="1"/>
  <c r="AC680" i="8"/>
  <c r="Q680" i="27" s="1"/>
  <c r="T681" i="8"/>
  <c r="G681" i="26" s="1"/>
  <c r="X681" i="8"/>
  <c r="J681" i="26" s="1"/>
  <c r="AB681" i="8"/>
  <c r="L681" i="26" s="1"/>
  <c r="AC681" i="8"/>
  <c r="Q681" i="27" s="1"/>
  <c r="T682" i="8"/>
  <c r="G682" i="26" s="1"/>
  <c r="X682" i="8"/>
  <c r="J682" i="26" s="1"/>
  <c r="AB682" i="8"/>
  <c r="L682" i="26" s="1"/>
  <c r="AC682" i="8"/>
  <c r="Q682" i="27" s="1"/>
  <c r="T683" i="8"/>
  <c r="G683" i="26" s="1"/>
  <c r="X683" i="8"/>
  <c r="J683" i="26" s="1"/>
  <c r="AB683" i="8"/>
  <c r="L683" i="26" s="1"/>
  <c r="AC683" i="8"/>
  <c r="Q683" i="27" s="1"/>
  <c r="T684" i="8"/>
  <c r="G684" i="26" s="1"/>
  <c r="X684" i="8"/>
  <c r="J684" i="26" s="1"/>
  <c r="AB684" i="8"/>
  <c r="L684" i="26" s="1"/>
  <c r="AC684" i="8"/>
  <c r="Q684" i="27" s="1"/>
  <c r="T685" i="8"/>
  <c r="G685" i="26" s="1"/>
  <c r="X685" i="8"/>
  <c r="J685" i="26" s="1"/>
  <c r="AB685" i="8"/>
  <c r="L685" i="26" s="1"/>
  <c r="AC685" i="8"/>
  <c r="Q685" i="27" s="1"/>
  <c r="T686" i="8"/>
  <c r="G686" i="26" s="1"/>
  <c r="X686" i="8"/>
  <c r="J686" i="26" s="1"/>
  <c r="AB686" i="8"/>
  <c r="L686" i="26" s="1"/>
  <c r="AC686" i="8"/>
  <c r="Q686" i="27" s="1"/>
  <c r="T687" i="8"/>
  <c r="G687" i="26"/>
  <c r="X687" i="8"/>
  <c r="J687" i="26" s="1"/>
  <c r="AB687" i="8"/>
  <c r="L687" i="26" s="1"/>
  <c r="AC687" i="8"/>
  <c r="Q687" i="27" s="1"/>
  <c r="T688" i="8"/>
  <c r="G688" i="26" s="1"/>
  <c r="X688" i="8"/>
  <c r="J688" i="26" s="1"/>
  <c r="AB688" i="8"/>
  <c r="L688" i="26" s="1"/>
  <c r="AC688" i="8"/>
  <c r="Q688" i="27" s="1"/>
  <c r="T689" i="8"/>
  <c r="G689" i="26" s="1"/>
  <c r="X689" i="8"/>
  <c r="J689" i="26" s="1"/>
  <c r="AB689" i="8"/>
  <c r="L689" i="26" s="1"/>
  <c r="AC689" i="8"/>
  <c r="Q689" i="27" s="1"/>
  <c r="T690" i="8"/>
  <c r="G690" i="26" s="1"/>
  <c r="X690" i="8"/>
  <c r="J690" i="26" s="1"/>
  <c r="AB690" i="8"/>
  <c r="L690" i="26" s="1"/>
  <c r="AC690" i="8"/>
  <c r="Q690" i="27" s="1"/>
  <c r="T691" i="8"/>
  <c r="G691" i="26"/>
  <c r="X691" i="8"/>
  <c r="J691" i="26" s="1"/>
  <c r="AB691" i="8"/>
  <c r="L691" i="26" s="1"/>
  <c r="AC691" i="8"/>
  <c r="Q691" i="27" s="1"/>
  <c r="T692" i="8"/>
  <c r="G692" i="26" s="1"/>
  <c r="X692" i="8"/>
  <c r="J692" i="26" s="1"/>
  <c r="AB692" i="8"/>
  <c r="L692" i="26" s="1"/>
  <c r="AC692" i="8"/>
  <c r="Q692" i="27" s="1"/>
  <c r="T693" i="8"/>
  <c r="G693" i="26" s="1"/>
  <c r="X693" i="8"/>
  <c r="J693" i="26" s="1"/>
  <c r="AB693" i="8"/>
  <c r="L693" i="26" s="1"/>
  <c r="AC693" i="8"/>
  <c r="Q693" i="27" s="1"/>
  <c r="T694" i="8"/>
  <c r="G694" i="26" s="1"/>
  <c r="X694" i="8"/>
  <c r="J694" i="26" s="1"/>
  <c r="AB694" i="8"/>
  <c r="L694" i="26" s="1"/>
  <c r="AC694" i="8"/>
  <c r="Q694" i="27" s="1"/>
  <c r="T695" i="8"/>
  <c r="G695" i="26" s="1"/>
  <c r="X695" i="8"/>
  <c r="J695" i="26" s="1"/>
  <c r="AB695" i="8"/>
  <c r="L695" i="26" s="1"/>
  <c r="AC695" i="8"/>
  <c r="Q695" i="27" s="1"/>
  <c r="T696" i="8"/>
  <c r="G696" i="26" s="1"/>
  <c r="X696" i="8"/>
  <c r="J696" i="26" s="1"/>
  <c r="AB696" i="8"/>
  <c r="L696" i="26" s="1"/>
  <c r="AC696" i="8"/>
  <c r="Q696" i="27" s="1"/>
  <c r="T697" i="8"/>
  <c r="G697" i="26" s="1"/>
  <c r="X697" i="8"/>
  <c r="J697" i="26" s="1"/>
  <c r="AB697" i="8"/>
  <c r="L697" i="26"/>
  <c r="AC697" i="8"/>
  <c r="Q697" i="27" s="1"/>
  <c r="T698" i="8"/>
  <c r="G698" i="26" s="1"/>
  <c r="X698" i="8"/>
  <c r="J698" i="26" s="1"/>
  <c r="AB698" i="8"/>
  <c r="L698" i="26" s="1"/>
  <c r="AC698" i="8"/>
  <c r="Q698" i="27" s="1"/>
  <c r="T699" i="8"/>
  <c r="G699" i="26" s="1"/>
  <c r="X699" i="8"/>
  <c r="J699" i="26" s="1"/>
  <c r="AB699" i="8"/>
  <c r="L699" i="26" s="1"/>
  <c r="AC699" i="8"/>
  <c r="Q699" i="27" s="1"/>
  <c r="T700" i="8"/>
  <c r="G700" i="26" s="1"/>
  <c r="X700" i="8"/>
  <c r="J700" i="26" s="1"/>
  <c r="AB700" i="8"/>
  <c r="L700" i="26" s="1"/>
  <c r="AC700" i="8"/>
  <c r="Q700" i="27" s="1"/>
  <c r="T701" i="8"/>
  <c r="G701" i="26" s="1"/>
  <c r="X701" i="8"/>
  <c r="J701" i="26" s="1"/>
  <c r="AB701" i="8"/>
  <c r="L701" i="26" s="1"/>
  <c r="AC701" i="8"/>
  <c r="Q701" i="27" s="1"/>
  <c r="T702" i="8"/>
  <c r="G702" i="26" s="1"/>
  <c r="X702" i="8"/>
  <c r="J702" i="26" s="1"/>
  <c r="AB702" i="8"/>
  <c r="L702" i="26" s="1"/>
  <c r="AC702" i="8"/>
  <c r="Q702" i="27" s="1"/>
  <c r="T703" i="8"/>
  <c r="G703" i="26" s="1"/>
  <c r="X703" i="8"/>
  <c r="J703" i="26" s="1"/>
  <c r="AB703" i="8"/>
  <c r="L703" i="26" s="1"/>
  <c r="AC703" i="8"/>
  <c r="Q703" i="27" s="1"/>
  <c r="T704" i="8"/>
  <c r="G704" i="26"/>
  <c r="X704" i="8"/>
  <c r="J704" i="26" s="1"/>
  <c r="AB704" i="8"/>
  <c r="L704" i="26" s="1"/>
  <c r="AC704" i="8"/>
  <c r="Q704" i="27" s="1"/>
  <c r="T705" i="8"/>
  <c r="G705" i="26" s="1"/>
  <c r="X705" i="8"/>
  <c r="J705" i="26" s="1"/>
  <c r="AB705" i="8"/>
  <c r="L705" i="26" s="1"/>
  <c r="AC705" i="8"/>
  <c r="Q705" i="27" s="1"/>
  <c r="T706" i="8"/>
  <c r="G706" i="26" s="1"/>
  <c r="X706" i="8"/>
  <c r="J706" i="26" s="1"/>
  <c r="AB706" i="8"/>
  <c r="L706" i="26" s="1"/>
  <c r="AC706" i="8"/>
  <c r="Q706" i="27" s="1"/>
  <c r="T707" i="8"/>
  <c r="G707" i="26" s="1"/>
  <c r="X707" i="8"/>
  <c r="J707" i="26" s="1"/>
  <c r="AB707" i="8"/>
  <c r="L707" i="26" s="1"/>
  <c r="AC707" i="8"/>
  <c r="Q707" i="27" s="1"/>
  <c r="T708" i="8"/>
  <c r="G708" i="26" s="1"/>
  <c r="X708" i="8"/>
  <c r="J708" i="26" s="1"/>
  <c r="AB708" i="8"/>
  <c r="L708" i="26" s="1"/>
  <c r="AC708" i="8"/>
  <c r="Q708" i="27" s="1"/>
  <c r="T709" i="8"/>
  <c r="G709" i="26" s="1"/>
  <c r="X709" i="8"/>
  <c r="J709" i="26" s="1"/>
  <c r="AB709" i="8"/>
  <c r="L709" i="26" s="1"/>
  <c r="AC709" i="8"/>
  <c r="Q709" i="27" s="1"/>
  <c r="T710" i="8"/>
  <c r="G710" i="26" s="1"/>
  <c r="X710" i="8"/>
  <c r="J710" i="26" s="1"/>
  <c r="AB710" i="8"/>
  <c r="L710" i="26" s="1"/>
  <c r="AC710" i="8"/>
  <c r="Q710" i="27" s="1"/>
  <c r="T711" i="8"/>
  <c r="G711" i="26" s="1"/>
  <c r="X711" i="8"/>
  <c r="J711" i="26" s="1"/>
  <c r="AB711" i="8"/>
  <c r="L711" i="26" s="1"/>
  <c r="AC711" i="8"/>
  <c r="Q711" i="27" s="1"/>
  <c r="T712" i="8"/>
  <c r="G712" i="26" s="1"/>
  <c r="X712" i="8"/>
  <c r="J712" i="26" s="1"/>
  <c r="AB712" i="8"/>
  <c r="L712" i="26" s="1"/>
  <c r="AC712" i="8"/>
  <c r="Q712" i="27" s="1"/>
  <c r="T713" i="8"/>
  <c r="G713" i="26" s="1"/>
  <c r="X713" i="8"/>
  <c r="J713" i="26" s="1"/>
  <c r="AB713" i="8"/>
  <c r="L713" i="26" s="1"/>
  <c r="AC713" i="8"/>
  <c r="Q713" i="27" s="1"/>
  <c r="T714" i="8"/>
  <c r="G714" i="26" s="1"/>
  <c r="X714" i="8"/>
  <c r="J714" i="26" s="1"/>
  <c r="AB714" i="8"/>
  <c r="L714" i="26" s="1"/>
  <c r="AC714" i="8"/>
  <c r="Q714" i="27" s="1"/>
  <c r="T715" i="8"/>
  <c r="G715" i="26"/>
  <c r="X715" i="8"/>
  <c r="J715" i="26" s="1"/>
  <c r="AB715" i="8"/>
  <c r="L715" i="26" s="1"/>
  <c r="AC715" i="8"/>
  <c r="Q715" i="27" s="1"/>
  <c r="T716" i="8"/>
  <c r="G716" i="26" s="1"/>
  <c r="X716" i="8"/>
  <c r="J716" i="26" s="1"/>
  <c r="AB716" i="8"/>
  <c r="L716" i="26" s="1"/>
  <c r="AC716" i="8"/>
  <c r="Q716" i="27" s="1"/>
  <c r="T717" i="8"/>
  <c r="G717" i="26" s="1"/>
  <c r="X717" i="8"/>
  <c r="J717" i="26" s="1"/>
  <c r="AB717" i="8"/>
  <c r="L717" i="26" s="1"/>
  <c r="AC717" i="8"/>
  <c r="Q717" i="27" s="1"/>
  <c r="T718" i="8"/>
  <c r="G718" i="26" s="1"/>
  <c r="X718" i="8"/>
  <c r="J718" i="26" s="1"/>
  <c r="AB718" i="8"/>
  <c r="L718" i="26" s="1"/>
  <c r="AC718" i="8"/>
  <c r="Q718" i="27" s="1"/>
  <c r="T719" i="8"/>
  <c r="G719" i="26" s="1"/>
  <c r="X719" i="8"/>
  <c r="J719" i="26" s="1"/>
  <c r="AB719" i="8"/>
  <c r="L719" i="26" s="1"/>
  <c r="AC719" i="8"/>
  <c r="Q719" i="27" s="1"/>
  <c r="T720" i="8"/>
  <c r="G720" i="26" s="1"/>
  <c r="X720" i="8"/>
  <c r="J720" i="26" s="1"/>
  <c r="AB720" i="8"/>
  <c r="L720" i="26" s="1"/>
  <c r="AC720" i="8"/>
  <c r="Q720" i="27" s="1"/>
  <c r="T721" i="8"/>
  <c r="G721" i="26" s="1"/>
  <c r="X721" i="8"/>
  <c r="J721" i="26" s="1"/>
  <c r="AB721" i="8"/>
  <c r="L721" i="26" s="1"/>
  <c r="AC721" i="8"/>
  <c r="Q721" i="27" s="1"/>
  <c r="T722" i="8"/>
  <c r="G722" i="26" s="1"/>
  <c r="X722" i="8"/>
  <c r="J722" i="26" s="1"/>
  <c r="AB722" i="8"/>
  <c r="L722" i="26"/>
  <c r="AC722" i="8"/>
  <c r="Q722" i="27" s="1"/>
  <c r="T723" i="8"/>
  <c r="G723" i="26" s="1"/>
  <c r="X723" i="8"/>
  <c r="J723" i="26" s="1"/>
  <c r="AB723" i="8"/>
  <c r="L723" i="26" s="1"/>
  <c r="AC723" i="8"/>
  <c r="Q723" i="27" s="1"/>
  <c r="T724" i="8"/>
  <c r="G724" i="26" s="1"/>
  <c r="X724" i="8"/>
  <c r="J724" i="26" s="1"/>
  <c r="AB724" i="8"/>
  <c r="L724" i="26" s="1"/>
  <c r="AC724" i="8"/>
  <c r="Q724" i="27" s="1"/>
  <c r="T725" i="8"/>
  <c r="G725" i="26" s="1"/>
  <c r="X725" i="8"/>
  <c r="J725" i="26" s="1"/>
  <c r="AB725" i="8"/>
  <c r="L725" i="26" s="1"/>
  <c r="AC725" i="8"/>
  <c r="Q725" i="27" s="1"/>
  <c r="T726" i="8"/>
  <c r="G726" i="26" s="1"/>
  <c r="X726" i="8"/>
  <c r="J726" i="26" s="1"/>
  <c r="AB726" i="8"/>
  <c r="L726" i="26" s="1"/>
  <c r="AC726" i="8"/>
  <c r="Q726" i="27" s="1"/>
  <c r="T727" i="8"/>
  <c r="G727" i="26" s="1"/>
  <c r="X727" i="8"/>
  <c r="J727" i="26" s="1"/>
  <c r="AB727" i="8"/>
  <c r="L727" i="26" s="1"/>
  <c r="AC727" i="8"/>
  <c r="Q727" i="27" s="1"/>
  <c r="T728" i="8"/>
  <c r="G728" i="26" s="1"/>
  <c r="X728" i="8"/>
  <c r="J728" i="26" s="1"/>
  <c r="AB728" i="8"/>
  <c r="L728" i="26" s="1"/>
  <c r="AC728" i="8"/>
  <c r="Q728" i="27" s="1"/>
  <c r="T729" i="8"/>
  <c r="G729" i="26" s="1"/>
  <c r="X729" i="8"/>
  <c r="J729" i="26" s="1"/>
  <c r="AB729" i="8"/>
  <c r="L729" i="26" s="1"/>
  <c r="AC729" i="8"/>
  <c r="Q729" i="27" s="1"/>
  <c r="T730" i="8"/>
  <c r="G730" i="26" s="1"/>
  <c r="X730" i="8"/>
  <c r="J730" i="26" s="1"/>
  <c r="AB730" i="8"/>
  <c r="L730" i="26" s="1"/>
  <c r="AC730" i="8"/>
  <c r="Q730" i="27" s="1"/>
  <c r="T731" i="8"/>
  <c r="G731" i="26" s="1"/>
  <c r="X731" i="8"/>
  <c r="J731" i="26" s="1"/>
  <c r="AB731" i="8"/>
  <c r="L731" i="26" s="1"/>
  <c r="AC731" i="8"/>
  <c r="Q731" i="27" s="1"/>
  <c r="T732" i="8"/>
  <c r="G732" i="26" s="1"/>
  <c r="X732" i="8"/>
  <c r="J732" i="26" s="1"/>
  <c r="AB732" i="8"/>
  <c r="L732" i="26" s="1"/>
  <c r="AC732" i="8"/>
  <c r="Q732" i="27" s="1"/>
  <c r="T733" i="8"/>
  <c r="G733" i="26" s="1"/>
  <c r="X733" i="8"/>
  <c r="J733" i="26" s="1"/>
  <c r="AB733" i="8"/>
  <c r="L733" i="26" s="1"/>
  <c r="AC733" i="8"/>
  <c r="Q733" i="27" s="1"/>
  <c r="T734" i="8"/>
  <c r="G734" i="26" s="1"/>
  <c r="X734" i="8"/>
  <c r="J734" i="26" s="1"/>
  <c r="AB734" i="8"/>
  <c r="L734" i="26" s="1"/>
  <c r="AC734" i="8"/>
  <c r="Q734" i="27" s="1"/>
  <c r="T735" i="8"/>
  <c r="G735" i="26" s="1"/>
  <c r="X735" i="8"/>
  <c r="J735" i="26" s="1"/>
  <c r="AB735" i="8"/>
  <c r="L735" i="26" s="1"/>
  <c r="AC735" i="8"/>
  <c r="Q735" i="27" s="1"/>
  <c r="T736" i="8"/>
  <c r="G736" i="26" s="1"/>
  <c r="X736" i="8"/>
  <c r="J736" i="26" s="1"/>
  <c r="AB736" i="8"/>
  <c r="L736" i="26" s="1"/>
  <c r="AC736" i="8"/>
  <c r="Q736" i="27" s="1"/>
  <c r="T737" i="8"/>
  <c r="G737" i="26" s="1"/>
  <c r="X737" i="8"/>
  <c r="J737" i="26" s="1"/>
  <c r="AB737" i="8"/>
  <c r="L737" i="26" s="1"/>
  <c r="AC737" i="8"/>
  <c r="Q737" i="27" s="1"/>
  <c r="T738" i="8"/>
  <c r="G738" i="26" s="1"/>
  <c r="X738" i="8"/>
  <c r="J738" i="26" s="1"/>
  <c r="AB738" i="8"/>
  <c r="L738" i="26" s="1"/>
  <c r="AC738" i="8"/>
  <c r="Q738" i="27" s="1"/>
  <c r="T739" i="8"/>
  <c r="G739" i="26" s="1"/>
  <c r="X739" i="8"/>
  <c r="J739" i="26" s="1"/>
  <c r="AB739" i="8"/>
  <c r="L739" i="26" s="1"/>
  <c r="AC739" i="8"/>
  <c r="Q739" i="27" s="1"/>
  <c r="T740" i="8"/>
  <c r="G740" i="26" s="1"/>
  <c r="X740" i="8"/>
  <c r="J740" i="26" s="1"/>
  <c r="AB740" i="8"/>
  <c r="L740" i="26" s="1"/>
  <c r="AC740" i="8"/>
  <c r="Q740" i="27" s="1"/>
  <c r="T741" i="8"/>
  <c r="G741" i="26" s="1"/>
  <c r="X741" i="8"/>
  <c r="J741" i="26" s="1"/>
  <c r="AB741" i="8"/>
  <c r="L741" i="26" s="1"/>
  <c r="AC741" i="8"/>
  <c r="Q741" i="27" s="1"/>
  <c r="T742" i="8"/>
  <c r="G742" i="26" s="1"/>
  <c r="X742" i="8"/>
  <c r="J742" i="26" s="1"/>
  <c r="AB742" i="8"/>
  <c r="L742" i="26" s="1"/>
  <c r="AC742" i="8"/>
  <c r="Q742" i="27" s="1"/>
  <c r="T743" i="8"/>
  <c r="G743" i="26" s="1"/>
  <c r="X743" i="8"/>
  <c r="J743" i="26" s="1"/>
  <c r="AB743" i="8"/>
  <c r="L743" i="26" s="1"/>
  <c r="AC743" i="8"/>
  <c r="Q743" i="27" s="1"/>
  <c r="T744" i="8"/>
  <c r="G744" i="26" s="1"/>
  <c r="X744" i="8"/>
  <c r="J744" i="26" s="1"/>
  <c r="AB744" i="8"/>
  <c r="L744" i="26" s="1"/>
  <c r="AC744" i="8"/>
  <c r="Q744" i="27" s="1"/>
  <c r="T745" i="8"/>
  <c r="G745" i="26" s="1"/>
  <c r="X745" i="8"/>
  <c r="J745" i="26" s="1"/>
  <c r="AB745" i="8"/>
  <c r="L745" i="26" s="1"/>
  <c r="AC745" i="8"/>
  <c r="Q745" i="27" s="1"/>
  <c r="T746" i="8"/>
  <c r="G746" i="26" s="1"/>
  <c r="X746" i="8"/>
  <c r="J746" i="26" s="1"/>
  <c r="AB746" i="8"/>
  <c r="L746" i="26" s="1"/>
  <c r="AC746" i="8"/>
  <c r="Q746" i="27" s="1"/>
  <c r="T747" i="8"/>
  <c r="G747" i="26" s="1"/>
  <c r="X747" i="8"/>
  <c r="J747" i="26" s="1"/>
  <c r="AB747" i="8"/>
  <c r="L747" i="26" s="1"/>
  <c r="AC747" i="8"/>
  <c r="Q747" i="27" s="1"/>
  <c r="T748" i="8"/>
  <c r="G748" i="26" s="1"/>
  <c r="X748" i="8"/>
  <c r="J748" i="26" s="1"/>
  <c r="AB748" i="8"/>
  <c r="L748" i="26" s="1"/>
  <c r="AC748" i="8"/>
  <c r="Q748" i="27" s="1"/>
  <c r="T749" i="8"/>
  <c r="G749" i="26" s="1"/>
  <c r="X749" i="8"/>
  <c r="J749" i="26" s="1"/>
  <c r="AB749" i="8"/>
  <c r="L749" i="26" s="1"/>
  <c r="AC749" i="8"/>
  <c r="Q749" i="27" s="1"/>
  <c r="T750" i="8"/>
  <c r="G750" i="26" s="1"/>
  <c r="X750" i="8"/>
  <c r="J750" i="26" s="1"/>
  <c r="AB750" i="8"/>
  <c r="L750" i="26" s="1"/>
  <c r="AC750" i="8"/>
  <c r="Q750" i="27" s="1"/>
  <c r="T751" i="8"/>
  <c r="G751" i="26" s="1"/>
  <c r="X751" i="8"/>
  <c r="J751" i="26" s="1"/>
  <c r="AB751" i="8"/>
  <c r="L751" i="26" s="1"/>
  <c r="AC751" i="8"/>
  <c r="Q751" i="27" s="1"/>
  <c r="T752" i="8"/>
  <c r="G752" i="26" s="1"/>
  <c r="X752" i="8"/>
  <c r="J752" i="26" s="1"/>
  <c r="AB752" i="8"/>
  <c r="L752" i="26" s="1"/>
  <c r="AC752" i="8"/>
  <c r="Q752" i="27" s="1"/>
  <c r="T753" i="8"/>
  <c r="G753" i="26" s="1"/>
  <c r="X753" i="8"/>
  <c r="J753" i="26" s="1"/>
  <c r="AB753" i="8"/>
  <c r="L753" i="26" s="1"/>
  <c r="AC753" i="8"/>
  <c r="Q753" i="27" s="1"/>
  <c r="T754" i="8"/>
  <c r="G754" i="26" s="1"/>
  <c r="X754" i="8"/>
  <c r="J754" i="26" s="1"/>
  <c r="AB754" i="8"/>
  <c r="L754" i="26"/>
  <c r="AC754" i="8"/>
  <c r="Q754" i="27" s="1"/>
  <c r="T755" i="8"/>
  <c r="G755" i="26" s="1"/>
  <c r="X755" i="8"/>
  <c r="J755" i="26" s="1"/>
  <c r="AB755" i="8"/>
  <c r="L755" i="26" s="1"/>
  <c r="AC755" i="8"/>
  <c r="Q755" i="27" s="1"/>
  <c r="T756" i="8"/>
  <c r="G756" i="26" s="1"/>
  <c r="X756" i="8"/>
  <c r="J756" i="26" s="1"/>
  <c r="AB756" i="8"/>
  <c r="L756" i="26" s="1"/>
  <c r="AC756" i="8"/>
  <c r="Q756" i="27" s="1"/>
  <c r="T757" i="8"/>
  <c r="G757" i="26" s="1"/>
  <c r="X757" i="8"/>
  <c r="J757" i="26" s="1"/>
  <c r="AB757" i="8"/>
  <c r="L757" i="26" s="1"/>
  <c r="AC757" i="8"/>
  <c r="Q757" i="27" s="1"/>
  <c r="T758" i="8"/>
  <c r="G758" i="26"/>
  <c r="X758" i="8"/>
  <c r="J758" i="26" s="1"/>
  <c r="AB758" i="8"/>
  <c r="L758" i="26" s="1"/>
  <c r="AC758" i="8"/>
  <c r="Q758" i="27" s="1"/>
  <c r="T759" i="8"/>
  <c r="G759" i="26" s="1"/>
  <c r="X759" i="8"/>
  <c r="J759" i="26" s="1"/>
  <c r="AB759" i="8"/>
  <c r="L759" i="26" s="1"/>
  <c r="AC759" i="8"/>
  <c r="Q759" i="27" s="1"/>
  <c r="T760" i="8"/>
  <c r="G760" i="26" s="1"/>
  <c r="X760" i="8"/>
  <c r="J760" i="26" s="1"/>
  <c r="AB760" i="8"/>
  <c r="L760" i="26" s="1"/>
  <c r="AC760" i="8"/>
  <c r="Q760" i="27" s="1"/>
  <c r="T761" i="8"/>
  <c r="G761" i="26" s="1"/>
  <c r="X761" i="8"/>
  <c r="J761" i="26" s="1"/>
  <c r="AB761" i="8"/>
  <c r="L761" i="26" s="1"/>
  <c r="AC761" i="8"/>
  <c r="Q761" i="27" s="1"/>
  <c r="T762" i="8"/>
  <c r="G762" i="26" s="1"/>
  <c r="X762" i="8"/>
  <c r="J762" i="26" s="1"/>
  <c r="AB762" i="8"/>
  <c r="L762" i="26" s="1"/>
  <c r="AC762" i="8"/>
  <c r="Q762" i="27" s="1"/>
  <c r="T763" i="8"/>
  <c r="G763" i="26" s="1"/>
  <c r="X763" i="8"/>
  <c r="J763" i="26" s="1"/>
  <c r="AB763" i="8"/>
  <c r="L763" i="26" s="1"/>
  <c r="AC763" i="8"/>
  <c r="Q763" i="27" s="1"/>
  <c r="T764" i="8"/>
  <c r="G764" i="26" s="1"/>
  <c r="X764" i="8"/>
  <c r="J764" i="26" s="1"/>
  <c r="AB764" i="8"/>
  <c r="L764" i="26" s="1"/>
  <c r="AC764" i="8"/>
  <c r="Q764" i="27" s="1"/>
  <c r="T765" i="8"/>
  <c r="G765" i="26" s="1"/>
  <c r="X765" i="8"/>
  <c r="J765" i="26" s="1"/>
  <c r="AB765" i="8"/>
  <c r="L765" i="26" s="1"/>
  <c r="AC765" i="8"/>
  <c r="Q765" i="27" s="1"/>
  <c r="T766" i="8"/>
  <c r="G766" i="26" s="1"/>
  <c r="X766" i="8"/>
  <c r="J766" i="26" s="1"/>
  <c r="AB766" i="8"/>
  <c r="L766" i="26" s="1"/>
  <c r="AC766" i="8"/>
  <c r="Q766" i="27" s="1"/>
  <c r="T767" i="8"/>
  <c r="G767" i="26" s="1"/>
  <c r="X767" i="8"/>
  <c r="J767" i="26" s="1"/>
  <c r="AB767" i="8"/>
  <c r="L767" i="26" s="1"/>
  <c r="AC767" i="8"/>
  <c r="Q767" i="27" s="1"/>
  <c r="T768" i="8"/>
  <c r="G768" i="26" s="1"/>
  <c r="X768" i="8"/>
  <c r="J768" i="26" s="1"/>
  <c r="AB768" i="8"/>
  <c r="L768" i="26" s="1"/>
  <c r="AC768" i="8"/>
  <c r="Q768" i="27" s="1"/>
  <c r="T769" i="8"/>
  <c r="G769" i="26" s="1"/>
  <c r="X769" i="8"/>
  <c r="J769" i="26" s="1"/>
  <c r="AB769" i="8"/>
  <c r="L769" i="26" s="1"/>
  <c r="AC769" i="8"/>
  <c r="Q769" i="27" s="1"/>
  <c r="T770" i="8"/>
  <c r="G770" i="26" s="1"/>
  <c r="X770" i="8"/>
  <c r="J770" i="26" s="1"/>
  <c r="AB770" i="8"/>
  <c r="L770" i="26" s="1"/>
  <c r="AC770" i="8"/>
  <c r="Q770" i="27" s="1"/>
  <c r="T771" i="8"/>
  <c r="G771" i="26" s="1"/>
  <c r="X771" i="8"/>
  <c r="J771" i="26" s="1"/>
  <c r="AB771" i="8"/>
  <c r="L771" i="26" s="1"/>
  <c r="AC771" i="8"/>
  <c r="Q771" i="27" s="1"/>
  <c r="T772" i="8"/>
  <c r="G772" i="26" s="1"/>
  <c r="X772" i="8"/>
  <c r="J772" i="26" s="1"/>
  <c r="AB772" i="8"/>
  <c r="L772" i="26" s="1"/>
  <c r="AC772" i="8"/>
  <c r="Q772" i="27" s="1"/>
  <c r="T773" i="8"/>
  <c r="G773" i="26" s="1"/>
  <c r="X773" i="8"/>
  <c r="J773" i="26" s="1"/>
  <c r="AB773" i="8"/>
  <c r="L773" i="26" s="1"/>
  <c r="AC773" i="8"/>
  <c r="Q773" i="27" s="1"/>
  <c r="T774" i="8"/>
  <c r="G774" i="26" s="1"/>
  <c r="X774" i="8"/>
  <c r="J774" i="26" s="1"/>
  <c r="AB774" i="8"/>
  <c r="L774" i="26" s="1"/>
  <c r="AC774" i="8"/>
  <c r="Q774" i="27" s="1"/>
  <c r="T775" i="8"/>
  <c r="G775" i="26" s="1"/>
  <c r="X775" i="8"/>
  <c r="J775" i="26" s="1"/>
  <c r="AB775" i="8"/>
  <c r="L775" i="26" s="1"/>
  <c r="AC775" i="8"/>
  <c r="Q775" i="27" s="1"/>
  <c r="T776" i="8"/>
  <c r="G776" i="26" s="1"/>
  <c r="X776" i="8"/>
  <c r="J776" i="26" s="1"/>
  <c r="AB776" i="8"/>
  <c r="L776" i="26" s="1"/>
  <c r="AC776" i="8"/>
  <c r="Q776" i="27" s="1"/>
  <c r="T777" i="8"/>
  <c r="G777" i="26" s="1"/>
  <c r="X777" i="8"/>
  <c r="J777" i="26" s="1"/>
  <c r="AB777" i="8"/>
  <c r="L777" i="26" s="1"/>
  <c r="AC777" i="8"/>
  <c r="Q777" i="27" s="1"/>
  <c r="T778" i="8"/>
  <c r="G778" i="26" s="1"/>
  <c r="X778" i="8"/>
  <c r="J778" i="26" s="1"/>
  <c r="AB778" i="8"/>
  <c r="L778" i="26" s="1"/>
  <c r="AC778" i="8"/>
  <c r="Q778" i="27" s="1"/>
  <c r="T779" i="8"/>
  <c r="G779" i="26" s="1"/>
  <c r="X779" i="8"/>
  <c r="J779" i="26" s="1"/>
  <c r="AB779" i="8"/>
  <c r="L779" i="26" s="1"/>
  <c r="AC779" i="8"/>
  <c r="Q779" i="27" s="1"/>
  <c r="T780" i="8"/>
  <c r="G780" i="26" s="1"/>
  <c r="X780" i="8"/>
  <c r="J780" i="26" s="1"/>
  <c r="AB780" i="8"/>
  <c r="L780" i="26" s="1"/>
  <c r="AC780" i="8"/>
  <c r="Q780" i="27" s="1"/>
  <c r="T781" i="8"/>
  <c r="G781" i="26" s="1"/>
  <c r="X781" i="8"/>
  <c r="J781" i="26" s="1"/>
  <c r="AB781" i="8"/>
  <c r="L781" i="26" s="1"/>
  <c r="AC781" i="8"/>
  <c r="Q781" i="27" s="1"/>
  <c r="T782" i="8"/>
  <c r="G782" i="26"/>
  <c r="X782" i="8"/>
  <c r="J782" i="26" s="1"/>
  <c r="AB782" i="8"/>
  <c r="L782" i="26" s="1"/>
  <c r="AC782" i="8"/>
  <c r="Q782" i="27" s="1"/>
  <c r="T783" i="8"/>
  <c r="G783" i="26" s="1"/>
  <c r="X783" i="8"/>
  <c r="J783" i="26" s="1"/>
  <c r="AB783" i="8"/>
  <c r="L783" i="26" s="1"/>
  <c r="AC783" i="8"/>
  <c r="Q783" i="27" s="1"/>
  <c r="T784" i="8"/>
  <c r="G784" i="26" s="1"/>
  <c r="X784" i="8"/>
  <c r="J784" i="26" s="1"/>
  <c r="AB784" i="8"/>
  <c r="L784" i="26" s="1"/>
  <c r="AC784" i="8"/>
  <c r="Q784" i="27" s="1"/>
  <c r="T785" i="8"/>
  <c r="G785" i="26" s="1"/>
  <c r="X785" i="8"/>
  <c r="J785" i="26" s="1"/>
  <c r="AB785" i="8"/>
  <c r="L785" i="26" s="1"/>
  <c r="AC785" i="8"/>
  <c r="Q785" i="27" s="1"/>
  <c r="T786" i="8"/>
  <c r="G786" i="26" s="1"/>
  <c r="X786" i="8"/>
  <c r="J786" i="26" s="1"/>
  <c r="AB786" i="8"/>
  <c r="L786" i="26" s="1"/>
  <c r="AC786" i="8"/>
  <c r="Q786" i="27" s="1"/>
  <c r="T787" i="8"/>
  <c r="G787" i="26" s="1"/>
  <c r="X787" i="8"/>
  <c r="J787" i="26" s="1"/>
  <c r="AB787" i="8"/>
  <c r="L787" i="26" s="1"/>
  <c r="AC787" i="8"/>
  <c r="Q787" i="27" s="1"/>
  <c r="T788" i="8"/>
  <c r="G788" i="26" s="1"/>
  <c r="X788" i="8"/>
  <c r="J788" i="26" s="1"/>
  <c r="AB788" i="8"/>
  <c r="L788" i="26" s="1"/>
  <c r="AC788" i="8"/>
  <c r="Q788" i="27" s="1"/>
  <c r="T789" i="8"/>
  <c r="G789" i="26" s="1"/>
  <c r="X789" i="8"/>
  <c r="J789" i="26" s="1"/>
  <c r="AB789" i="8"/>
  <c r="L789" i="26" s="1"/>
  <c r="AC789" i="8"/>
  <c r="Q789" i="27" s="1"/>
  <c r="T790" i="8"/>
  <c r="G790" i="26" s="1"/>
  <c r="X790" i="8"/>
  <c r="J790" i="26" s="1"/>
  <c r="AB790" i="8"/>
  <c r="L790" i="26" s="1"/>
  <c r="AC790" i="8"/>
  <c r="Q790" i="27" s="1"/>
  <c r="T791" i="8"/>
  <c r="G791" i="26" s="1"/>
  <c r="X791" i="8"/>
  <c r="J791" i="26" s="1"/>
  <c r="AB791" i="8"/>
  <c r="L791" i="26" s="1"/>
  <c r="AC791" i="8"/>
  <c r="Q791" i="27" s="1"/>
  <c r="T792" i="8"/>
  <c r="G792" i="26" s="1"/>
  <c r="X792" i="8"/>
  <c r="J792" i="26" s="1"/>
  <c r="AB792" i="8"/>
  <c r="L792" i="26" s="1"/>
  <c r="AC792" i="8"/>
  <c r="Q792" i="27" s="1"/>
  <c r="T793" i="8"/>
  <c r="G793" i="26" s="1"/>
  <c r="X793" i="8"/>
  <c r="J793" i="26" s="1"/>
  <c r="AB793" i="8"/>
  <c r="L793" i="26" s="1"/>
  <c r="AC793" i="8"/>
  <c r="Q793" i="27" s="1"/>
  <c r="T794" i="8"/>
  <c r="G794" i="26" s="1"/>
  <c r="X794" i="8"/>
  <c r="J794" i="26" s="1"/>
  <c r="AB794" i="8"/>
  <c r="L794" i="26" s="1"/>
  <c r="AC794" i="8"/>
  <c r="Q794" i="27" s="1"/>
  <c r="T795" i="8"/>
  <c r="G795" i="26" s="1"/>
  <c r="X795" i="8"/>
  <c r="J795" i="26" s="1"/>
  <c r="AB795" i="8"/>
  <c r="L795" i="26" s="1"/>
  <c r="AC795" i="8"/>
  <c r="Q795" i="27" s="1"/>
  <c r="T796" i="8"/>
  <c r="G796" i="26" s="1"/>
  <c r="X796" i="8"/>
  <c r="J796" i="26" s="1"/>
  <c r="AB796" i="8"/>
  <c r="L796" i="26" s="1"/>
  <c r="AC796" i="8"/>
  <c r="Q796" i="27" s="1"/>
  <c r="T797" i="8"/>
  <c r="G797" i="26" s="1"/>
  <c r="X797" i="8"/>
  <c r="J797" i="26" s="1"/>
  <c r="AB797" i="8"/>
  <c r="L797" i="26" s="1"/>
  <c r="AC797" i="8"/>
  <c r="Q797" i="27" s="1"/>
  <c r="T798" i="8"/>
  <c r="G798" i="26" s="1"/>
  <c r="X798" i="8"/>
  <c r="J798" i="26" s="1"/>
  <c r="AB798" i="8"/>
  <c r="L798" i="26" s="1"/>
  <c r="AC798" i="8"/>
  <c r="Q798" i="27" s="1"/>
  <c r="T799" i="8"/>
  <c r="G799" i="26" s="1"/>
  <c r="X799" i="8"/>
  <c r="J799" i="26" s="1"/>
  <c r="AB799" i="8"/>
  <c r="L799" i="26" s="1"/>
  <c r="AC799" i="8"/>
  <c r="Q799" i="27" s="1"/>
  <c r="T800" i="8"/>
  <c r="G800" i="26" s="1"/>
  <c r="X800" i="8"/>
  <c r="J800" i="26" s="1"/>
  <c r="AB800" i="8"/>
  <c r="L800" i="26" s="1"/>
  <c r="AC800" i="8"/>
  <c r="Q800" i="27" s="1"/>
  <c r="T801" i="8"/>
  <c r="G801" i="26" s="1"/>
  <c r="X801" i="8"/>
  <c r="J801" i="26" s="1"/>
  <c r="AB801" i="8"/>
  <c r="L801" i="26" s="1"/>
  <c r="AC801" i="8"/>
  <c r="Q801" i="27" s="1"/>
  <c r="T802" i="8"/>
  <c r="G802" i="26" s="1"/>
  <c r="X802" i="8"/>
  <c r="J802" i="26" s="1"/>
  <c r="AB802" i="8"/>
  <c r="L802" i="26" s="1"/>
  <c r="AC802" i="8"/>
  <c r="Q802" i="27" s="1"/>
  <c r="T803" i="8"/>
  <c r="G803" i="26" s="1"/>
  <c r="X803" i="8"/>
  <c r="J803" i="26" s="1"/>
  <c r="AB803" i="8"/>
  <c r="L803" i="26" s="1"/>
  <c r="AC803" i="8"/>
  <c r="Q803" i="27" s="1"/>
  <c r="T804" i="8"/>
  <c r="G804" i="26" s="1"/>
  <c r="X804" i="8"/>
  <c r="J804" i="26" s="1"/>
  <c r="AB804" i="8"/>
  <c r="L804" i="26" s="1"/>
  <c r="AC804" i="8"/>
  <c r="Q804" i="27" s="1"/>
  <c r="T805" i="8"/>
  <c r="G805" i="26" s="1"/>
  <c r="X805" i="8"/>
  <c r="J805" i="26" s="1"/>
  <c r="AB805" i="8"/>
  <c r="L805" i="26" s="1"/>
  <c r="AC805" i="8"/>
  <c r="Q805" i="27" s="1"/>
  <c r="T806" i="8"/>
  <c r="G806" i="26" s="1"/>
  <c r="X806" i="8"/>
  <c r="J806" i="26" s="1"/>
  <c r="AB806" i="8"/>
  <c r="L806" i="26" s="1"/>
  <c r="AC806" i="8"/>
  <c r="Q806" i="27" s="1"/>
  <c r="T807" i="8"/>
  <c r="G807" i="26" s="1"/>
  <c r="X807" i="8"/>
  <c r="J807" i="26" s="1"/>
  <c r="AB807" i="8"/>
  <c r="L807" i="26" s="1"/>
  <c r="AC807" i="8"/>
  <c r="Q807" i="27" s="1"/>
  <c r="T808" i="8"/>
  <c r="G808" i="26" s="1"/>
  <c r="X808" i="8"/>
  <c r="J808" i="26" s="1"/>
  <c r="AB808" i="8"/>
  <c r="L808" i="26" s="1"/>
  <c r="AC808" i="8"/>
  <c r="Q808" i="27" s="1"/>
  <c r="T809" i="8"/>
  <c r="G809" i="26" s="1"/>
  <c r="X809" i="8"/>
  <c r="J809" i="26" s="1"/>
  <c r="AB809" i="8"/>
  <c r="L809" i="26" s="1"/>
  <c r="AC809" i="8"/>
  <c r="Q809" i="27" s="1"/>
  <c r="T810" i="8"/>
  <c r="G810" i="26" s="1"/>
  <c r="X810" i="8"/>
  <c r="J810" i="26" s="1"/>
  <c r="AB810" i="8"/>
  <c r="L810" i="26" s="1"/>
  <c r="AC810" i="8"/>
  <c r="Q810" i="27" s="1"/>
  <c r="T811" i="8"/>
  <c r="G811" i="26" s="1"/>
  <c r="X811" i="8"/>
  <c r="J811" i="26" s="1"/>
  <c r="AB811" i="8"/>
  <c r="L811" i="26" s="1"/>
  <c r="AC811" i="8"/>
  <c r="Q811" i="27" s="1"/>
  <c r="T812" i="8"/>
  <c r="G812" i="26" s="1"/>
  <c r="X812" i="8"/>
  <c r="J812" i="26"/>
  <c r="AB812" i="8"/>
  <c r="L812" i="26" s="1"/>
  <c r="AC812" i="8"/>
  <c r="Q812" i="27" s="1"/>
  <c r="T813" i="8"/>
  <c r="G813" i="26" s="1"/>
  <c r="X813" i="8"/>
  <c r="J813" i="26" s="1"/>
  <c r="AB813" i="8"/>
  <c r="L813" i="26" s="1"/>
  <c r="AC813" i="8"/>
  <c r="Q813" i="27" s="1"/>
  <c r="T814" i="8"/>
  <c r="G814" i="26" s="1"/>
  <c r="X814" i="8"/>
  <c r="J814" i="26" s="1"/>
  <c r="AB814" i="8"/>
  <c r="L814" i="26" s="1"/>
  <c r="AC814" i="8"/>
  <c r="Q814" i="27" s="1"/>
  <c r="T815" i="8"/>
  <c r="G815" i="26" s="1"/>
  <c r="X815" i="8"/>
  <c r="J815" i="26" s="1"/>
  <c r="AB815" i="8"/>
  <c r="L815" i="26" s="1"/>
  <c r="AC815" i="8"/>
  <c r="Q815" i="27" s="1"/>
  <c r="T816" i="8"/>
  <c r="G816" i="26" s="1"/>
  <c r="X816" i="8"/>
  <c r="J816" i="26" s="1"/>
  <c r="AB816" i="8"/>
  <c r="L816" i="26" s="1"/>
  <c r="AC816" i="8"/>
  <c r="Q816" i="27" s="1"/>
  <c r="T817" i="8"/>
  <c r="G817" i="26" s="1"/>
  <c r="X817" i="8"/>
  <c r="J817" i="26" s="1"/>
  <c r="AB817" i="8"/>
  <c r="L817" i="26" s="1"/>
  <c r="AC817" i="8"/>
  <c r="Q817" i="27" s="1"/>
  <c r="T818" i="8"/>
  <c r="G818" i="26" s="1"/>
  <c r="X818" i="8"/>
  <c r="J818" i="26" s="1"/>
  <c r="AB818" i="8"/>
  <c r="L818" i="26" s="1"/>
  <c r="AC818" i="8"/>
  <c r="Q818" i="27" s="1"/>
  <c r="T819" i="8"/>
  <c r="G819" i="26" s="1"/>
  <c r="X819" i="8"/>
  <c r="J819" i="26" s="1"/>
  <c r="AB819" i="8"/>
  <c r="L819" i="26" s="1"/>
  <c r="AC819" i="8"/>
  <c r="Q819" i="27" s="1"/>
  <c r="T820" i="8"/>
  <c r="G820" i="26" s="1"/>
  <c r="X820" i="8"/>
  <c r="J820" i="26" s="1"/>
  <c r="AB820" i="8"/>
  <c r="L820" i="26" s="1"/>
  <c r="AC820" i="8"/>
  <c r="Q820" i="27" s="1"/>
  <c r="T821" i="8"/>
  <c r="G821" i="26" s="1"/>
  <c r="X821" i="8"/>
  <c r="J821" i="26"/>
  <c r="AB821" i="8"/>
  <c r="L821" i="26" s="1"/>
  <c r="AC821" i="8"/>
  <c r="Q821" i="27" s="1"/>
  <c r="T822" i="8"/>
  <c r="G822" i="26" s="1"/>
  <c r="X822" i="8"/>
  <c r="J822" i="26" s="1"/>
  <c r="AB822" i="8"/>
  <c r="L822" i="26" s="1"/>
  <c r="AC822" i="8"/>
  <c r="Q822" i="27" s="1"/>
  <c r="T823" i="8"/>
  <c r="G823" i="26" s="1"/>
  <c r="X823" i="8"/>
  <c r="J823" i="26" s="1"/>
  <c r="AB823" i="8"/>
  <c r="L823" i="26" s="1"/>
  <c r="AC823" i="8"/>
  <c r="Q823" i="27" s="1"/>
  <c r="T824" i="8"/>
  <c r="G824" i="26" s="1"/>
  <c r="X824" i="8"/>
  <c r="J824" i="26" s="1"/>
  <c r="AB824" i="8"/>
  <c r="L824" i="26" s="1"/>
  <c r="AC824" i="8"/>
  <c r="Q824" i="27" s="1"/>
  <c r="T825" i="8"/>
  <c r="G825" i="26" s="1"/>
  <c r="X825" i="8"/>
  <c r="J825" i="26" s="1"/>
  <c r="AB825" i="8"/>
  <c r="L825" i="26" s="1"/>
  <c r="AC825" i="8"/>
  <c r="Q825" i="27" s="1"/>
  <c r="T826" i="8"/>
  <c r="G826" i="26" s="1"/>
  <c r="X826" i="8"/>
  <c r="J826" i="26" s="1"/>
  <c r="AB826" i="8"/>
  <c r="L826" i="26" s="1"/>
  <c r="AC826" i="8"/>
  <c r="Q826" i="27" s="1"/>
  <c r="T827" i="8"/>
  <c r="G827" i="26" s="1"/>
  <c r="X827" i="8"/>
  <c r="J827" i="26" s="1"/>
  <c r="AB827" i="8"/>
  <c r="L827" i="26" s="1"/>
  <c r="AC827" i="8"/>
  <c r="Q827" i="27" s="1"/>
  <c r="T828" i="8"/>
  <c r="G828" i="26" s="1"/>
  <c r="X828" i="8"/>
  <c r="J828" i="26" s="1"/>
  <c r="AB828" i="8"/>
  <c r="L828" i="26" s="1"/>
  <c r="AC828" i="8"/>
  <c r="Q828" i="27" s="1"/>
  <c r="T829" i="8"/>
  <c r="G829" i="26" s="1"/>
  <c r="X829" i="8"/>
  <c r="J829" i="26"/>
  <c r="AB829" i="8"/>
  <c r="L829" i="26" s="1"/>
  <c r="AC829" i="8"/>
  <c r="Q829" i="27" s="1"/>
  <c r="T830" i="8"/>
  <c r="G830" i="26" s="1"/>
  <c r="X830" i="8"/>
  <c r="J830" i="26" s="1"/>
  <c r="AB830" i="8"/>
  <c r="L830" i="26" s="1"/>
  <c r="AC830" i="8"/>
  <c r="Q830" i="27" s="1"/>
  <c r="T831" i="8"/>
  <c r="G831" i="26" s="1"/>
  <c r="X831" i="8"/>
  <c r="J831" i="26" s="1"/>
  <c r="AB831" i="8"/>
  <c r="L831" i="26" s="1"/>
  <c r="AC831" i="8"/>
  <c r="Q831" i="27" s="1"/>
  <c r="T832" i="8"/>
  <c r="G832" i="26" s="1"/>
  <c r="X832" i="8"/>
  <c r="J832" i="26"/>
  <c r="AB832" i="8"/>
  <c r="L832" i="26" s="1"/>
  <c r="AC832" i="8"/>
  <c r="Q832" i="27" s="1"/>
  <c r="T833" i="8"/>
  <c r="G833" i="26" s="1"/>
  <c r="X833" i="8"/>
  <c r="J833" i="26" s="1"/>
  <c r="AB833" i="8"/>
  <c r="L833" i="26" s="1"/>
  <c r="AC833" i="8"/>
  <c r="Q833" i="27" s="1"/>
  <c r="T834" i="8"/>
  <c r="G834" i="26" s="1"/>
  <c r="X834" i="8"/>
  <c r="J834" i="26" s="1"/>
  <c r="AB834" i="8"/>
  <c r="L834" i="26" s="1"/>
  <c r="AC834" i="8"/>
  <c r="Q834" i="27" s="1"/>
  <c r="T835" i="8"/>
  <c r="G835" i="26" s="1"/>
  <c r="X835" i="8"/>
  <c r="J835" i="26" s="1"/>
  <c r="AB835" i="8"/>
  <c r="L835" i="26" s="1"/>
  <c r="AC835" i="8"/>
  <c r="Q835" i="27" s="1"/>
  <c r="T836" i="8"/>
  <c r="G836" i="26" s="1"/>
  <c r="X836" i="8"/>
  <c r="J836" i="26" s="1"/>
  <c r="AB836" i="8"/>
  <c r="L836" i="26" s="1"/>
  <c r="AC836" i="8"/>
  <c r="Q836" i="27" s="1"/>
  <c r="T837" i="8"/>
  <c r="G837" i="26" s="1"/>
  <c r="X837" i="8"/>
  <c r="J837" i="26" s="1"/>
  <c r="AB837" i="8"/>
  <c r="L837" i="26" s="1"/>
  <c r="AC837" i="8"/>
  <c r="Q837" i="27" s="1"/>
  <c r="T838" i="8"/>
  <c r="G838" i="26" s="1"/>
  <c r="X838" i="8"/>
  <c r="J838" i="26" s="1"/>
  <c r="AB838" i="8"/>
  <c r="L838" i="26" s="1"/>
  <c r="AC838" i="8"/>
  <c r="Q838" i="27" s="1"/>
  <c r="T839" i="8"/>
  <c r="G839" i="26" s="1"/>
  <c r="X839" i="8"/>
  <c r="J839" i="26" s="1"/>
  <c r="AB839" i="8"/>
  <c r="L839" i="26" s="1"/>
  <c r="AC839" i="8"/>
  <c r="Q839" i="27" s="1"/>
  <c r="T840" i="8"/>
  <c r="G840" i="26" s="1"/>
  <c r="X840" i="8"/>
  <c r="J840" i="26" s="1"/>
  <c r="AB840" i="8"/>
  <c r="L840" i="26" s="1"/>
  <c r="AC840" i="8"/>
  <c r="Q840" i="27" s="1"/>
  <c r="T841" i="8"/>
  <c r="G841" i="26" s="1"/>
  <c r="X841" i="8"/>
  <c r="J841" i="26" s="1"/>
  <c r="AB841" i="8"/>
  <c r="L841" i="26" s="1"/>
  <c r="AC841" i="8"/>
  <c r="Q841" i="27" s="1"/>
  <c r="T842" i="8"/>
  <c r="G842" i="26" s="1"/>
  <c r="X842" i="8"/>
  <c r="J842" i="26" s="1"/>
  <c r="AB842" i="8"/>
  <c r="L842" i="26" s="1"/>
  <c r="AC842" i="8"/>
  <c r="Q842" i="27" s="1"/>
  <c r="T843" i="8"/>
  <c r="G843" i="26" s="1"/>
  <c r="X843" i="8"/>
  <c r="J843" i="26" s="1"/>
  <c r="AB843" i="8"/>
  <c r="L843" i="26" s="1"/>
  <c r="AC843" i="8"/>
  <c r="Q843" i="27" s="1"/>
  <c r="T844" i="8"/>
  <c r="G844" i="26" s="1"/>
  <c r="X844" i="8"/>
  <c r="J844" i="26" s="1"/>
  <c r="AB844" i="8"/>
  <c r="L844" i="26" s="1"/>
  <c r="AC844" i="8"/>
  <c r="Q844" i="27" s="1"/>
  <c r="T845" i="8"/>
  <c r="G845" i="26" s="1"/>
  <c r="X845" i="8"/>
  <c r="J845" i="26" s="1"/>
  <c r="AB845" i="8"/>
  <c r="L845" i="26" s="1"/>
  <c r="AC845" i="8"/>
  <c r="Q845" i="27" s="1"/>
  <c r="T846" i="8"/>
  <c r="G846" i="26" s="1"/>
  <c r="X846" i="8"/>
  <c r="J846" i="26" s="1"/>
  <c r="AB846" i="8"/>
  <c r="L846" i="26" s="1"/>
  <c r="AC846" i="8"/>
  <c r="Q846" i="27" s="1"/>
  <c r="T847" i="8"/>
  <c r="G847" i="26" s="1"/>
  <c r="X847" i="8"/>
  <c r="J847" i="26" s="1"/>
  <c r="AB847" i="8"/>
  <c r="L847" i="26" s="1"/>
  <c r="AC847" i="8"/>
  <c r="Q847" i="27" s="1"/>
  <c r="T848" i="8"/>
  <c r="G848" i="26" s="1"/>
  <c r="X848" i="8"/>
  <c r="J848" i="26" s="1"/>
  <c r="AB848" i="8"/>
  <c r="L848" i="26" s="1"/>
  <c r="AC848" i="8"/>
  <c r="Q848" i="27" s="1"/>
  <c r="T849" i="8"/>
  <c r="G849" i="26" s="1"/>
  <c r="X849" i="8"/>
  <c r="J849" i="26" s="1"/>
  <c r="AB849" i="8"/>
  <c r="L849" i="26" s="1"/>
  <c r="AC849" i="8"/>
  <c r="Q849" i="27" s="1"/>
  <c r="T850" i="8"/>
  <c r="G850" i="26" s="1"/>
  <c r="X850" i="8"/>
  <c r="J850" i="26" s="1"/>
  <c r="AB850" i="8"/>
  <c r="L850" i="26" s="1"/>
  <c r="AC850" i="8"/>
  <c r="Q850" i="27" s="1"/>
  <c r="T851" i="8"/>
  <c r="G851" i="26" s="1"/>
  <c r="X851" i="8"/>
  <c r="J851" i="26" s="1"/>
  <c r="AB851" i="8"/>
  <c r="L851" i="26" s="1"/>
  <c r="AC851" i="8"/>
  <c r="Q851" i="27" s="1"/>
  <c r="T852" i="8"/>
  <c r="G852" i="26" s="1"/>
  <c r="X852" i="8"/>
  <c r="J852" i="26" s="1"/>
  <c r="AB852" i="8"/>
  <c r="L852" i="26" s="1"/>
  <c r="AC852" i="8"/>
  <c r="Q852" i="27" s="1"/>
  <c r="T853" i="8"/>
  <c r="G853" i="26" s="1"/>
  <c r="X853" i="8"/>
  <c r="J853" i="26" s="1"/>
  <c r="AB853" i="8"/>
  <c r="L853" i="26" s="1"/>
  <c r="AC853" i="8"/>
  <c r="Q853" i="27" s="1"/>
  <c r="T854" i="8"/>
  <c r="G854" i="26" s="1"/>
  <c r="X854" i="8"/>
  <c r="J854" i="26" s="1"/>
  <c r="AB854" i="8"/>
  <c r="L854" i="26" s="1"/>
  <c r="AC854" i="8"/>
  <c r="Q854" i="27" s="1"/>
  <c r="T855" i="8"/>
  <c r="G855" i="26" s="1"/>
  <c r="X855" i="8"/>
  <c r="J855" i="26" s="1"/>
  <c r="AB855" i="8"/>
  <c r="L855" i="26" s="1"/>
  <c r="AC855" i="8"/>
  <c r="Q855" i="27" s="1"/>
  <c r="T856" i="8"/>
  <c r="G856" i="26" s="1"/>
  <c r="X856" i="8"/>
  <c r="J856" i="26" s="1"/>
  <c r="AB856" i="8"/>
  <c r="L856" i="26" s="1"/>
  <c r="AC856" i="8"/>
  <c r="Q856" i="27" s="1"/>
  <c r="T857" i="8"/>
  <c r="G857" i="26" s="1"/>
  <c r="X857" i="8"/>
  <c r="J857" i="26" s="1"/>
  <c r="AB857" i="8"/>
  <c r="L857" i="26" s="1"/>
  <c r="AC857" i="8"/>
  <c r="Q857" i="27" s="1"/>
  <c r="T858" i="8"/>
  <c r="G858" i="26" s="1"/>
  <c r="X858" i="8"/>
  <c r="J858" i="26" s="1"/>
  <c r="AB858" i="8"/>
  <c r="L858" i="26" s="1"/>
  <c r="AC858" i="8"/>
  <c r="Q858" i="27" s="1"/>
  <c r="T859" i="8"/>
  <c r="G859" i="26" s="1"/>
  <c r="X859" i="8"/>
  <c r="J859" i="26" s="1"/>
  <c r="AB859" i="8"/>
  <c r="L859" i="26" s="1"/>
  <c r="AC859" i="8"/>
  <c r="Q859" i="27" s="1"/>
  <c r="T860" i="8"/>
  <c r="G860" i="26" s="1"/>
  <c r="X860" i="8"/>
  <c r="J860" i="26"/>
  <c r="AB860" i="8"/>
  <c r="L860" i="26" s="1"/>
  <c r="AC860" i="8"/>
  <c r="Q860" i="27" s="1"/>
  <c r="T861" i="8"/>
  <c r="G861" i="26" s="1"/>
  <c r="X861" i="8"/>
  <c r="J861" i="26" s="1"/>
  <c r="AB861" i="8"/>
  <c r="L861" i="26" s="1"/>
  <c r="AC861" i="8"/>
  <c r="Q861" i="27" s="1"/>
  <c r="T862" i="8"/>
  <c r="G862" i="26" s="1"/>
  <c r="X862" i="8"/>
  <c r="J862" i="26" s="1"/>
  <c r="AB862" i="8"/>
  <c r="L862" i="26" s="1"/>
  <c r="AC862" i="8"/>
  <c r="Q862" i="27" s="1"/>
  <c r="T863" i="8"/>
  <c r="G863" i="26" s="1"/>
  <c r="X863" i="8"/>
  <c r="J863" i="26" s="1"/>
  <c r="AB863" i="8"/>
  <c r="L863" i="26" s="1"/>
  <c r="AC863" i="8"/>
  <c r="Q863" i="27" s="1"/>
  <c r="T864" i="8"/>
  <c r="G864" i="26" s="1"/>
  <c r="X864" i="8"/>
  <c r="J864" i="26" s="1"/>
  <c r="AB864" i="8"/>
  <c r="L864" i="26" s="1"/>
  <c r="AC864" i="8"/>
  <c r="Q864" i="27" s="1"/>
  <c r="T865" i="8"/>
  <c r="G865" i="26" s="1"/>
  <c r="X865" i="8"/>
  <c r="J865" i="26" s="1"/>
  <c r="AB865" i="8"/>
  <c r="L865" i="26" s="1"/>
  <c r="AC865" i="8"/>
  <c r="Q865" i="27" s="1"/>
  <c r="T866" i="8"/>
  <c r="G866" i="26" s="1"/>
  <c r="X866" i="8"/>
  <c r="J866" i="26" s="1"/>
  <c r="AB866" i="8"/>
  <c r="L866" i="26" s="1"/>
  <c r="AC866" i="8"/>
  <c r="Q866" i="27" s="1"/>
  <c r="T867" i="8"/>
  <c r="G867" i="26" s="1"/>
  <c r="X867" i="8"/>
  <c r="J867" i="26" s="1"/>
  <c r="AB867" i="8"/>
  <c r="L867" i="26" s="1"/>
  <c r="AC867" i="8"/>
  <c r="Q867" i="27" s="1"/>
  <c r="T868" i="8"/>
  <c r="G868" i="26" s="1"/>
  <c r="X868" i="8"/>
  <c r="J868" i="26" s="1"/>
  <c r="AB868" i="8"/>
  <c r="L868" i="26" s="1"/>
  <c r="AC868" i="8"/>
  <c r="Q868" i="27" s="1"/>
  <c r="T869" i="8"/>
  <c r="G869" i="26" s="1"/>
  <c r="X869" i="8"/>
  <c r="J869" i="26" s="1"/>
  <c r="AB869" i="8"/>
  <c r="L869" i="26" s="1"/>
  <c r="AC869" i="8"/>
  <c r="Q869" i="27" s="1"/>
  <c r="T870" i="8"/>
  <c r="G870" i="26" s="1"/>
  <c r="X870" i="8"/>
  <c r="J870" i="26" s="1"/>
  <c r="AB870" i="8"/>
  <c r="L870" i="26" s="1"/>
  <c r="AC870" i="8"/>
  <c r="Q870" i="27" s="1"/>
  <c r="T871" i="8"/>
  <c r="G871" i="26" s="1"/>
  <c r="X871" i="8"/>
  <c r="J871" i="26" s="1"/>
  <c r="AB871" i="8"/>
  <c r="L871" i="26" s="1"/>
  <c r="AC871" i="8"/>
  <c r="Q871" i="27" s="1"/>
  <c r="T872" i="8"/>
  <c r="G872" i="26" s="1"/>
  <c r="X872" i="8"/>
  <c r="J872" i="26" s="1"/>
  <c r="AB872" i="8"/>
  <c r="L872" i="26" s="1"/>
  <c r="AC872" i="8"/>
  <c r="Q872" i="27" s="1"/>
  <c r="T873" i="8"/>
  <c r="G873" i="26" s="1"/>
  <c r="X873" i="8"/>
  <c r="J873" i="26" s="1"/>
  <c r="AB873" i="8"/>
  <c r="L873" i="26" s="1"/>
  <c r="AC873" i="8"/>
  <c r="Q873" i="27" s="1"/>
  <c r="T874" i="8"/>
  <c r="G874" i="26" s="1"/>
  <c r="X874" i="8"/>
  <c r="J874" i="26" s="1"/>
  <c r="AB874" i="8"/>
  <c r="L874" i="26" s="1"/>
  <c r="AC874" i="8"/>
  <c r="Q874" i="27" s="1"/>
  <c r="T875" i="8"/>
  <c r="G875" i="26" s="1"/>
  <c r="X875" i="8"/>
  <c r="J875" i="26" s="1"/>
  <c r="AB875" i="8"/>
  <c r="L875" i="26" s="1"/>
  <c r="AC875" i="8"/>
  <c r="Q875" i="27" s="1"/>
  <c r="T876" i="8"/>
  <c r="G876" i="26" s="1"/>
  <c r="X876" i="8"/>
  <c r="J876" i="26" s="1"/>
  <c r="AB876" i="8"/>
  <c r="L876" i="26" s="1"/>
  <c r="AC876" i="8"/>
  <c r="Q876" i="27" s="1"/>
  <c r="T877" i="8"/>
  <c r="G877" i="26" s="1"/>
  <c r="X877" i="8"/>
  <c r="J877" i="26" s="1"/>
  <c r="AB877" i="8"/>
  <c r="L877" i="26" s="1"/>
  <c r="AC877" i="8"/>
  <c r="Q877" i="27" s="1"/>
  <c r="T878" i="8"/>
  <c r="G878" i="26" s="1"/>
  <c r="X878" i="8"/>
  <c r="J878" i="26" s="1"/>
  <c r="AB878" i="8"/>
  <c r="L878" i="26" s="1"/>
  <c r="AC878" i="8"/>
  <c r="Q878" i="27" s="1"/>
  <c r="T879" i="8"/>
  <c r="G879" i="26" s="1"/>
  <c r="X879" i="8"/>
  <c r="J879" i="26" s="1"/>
  <c r="AB879" i="8"/>
  <c r="L879" i="26" s="1"/>
  <c r="AC879" i="8"/>
  <c r="Q879" i="27" s="1"/>
  <c r="T880" i="8"/>
  <c r="G880" i="26" s="1"/>
  <c r="X880" i="8"/>
  <c r="J880" i="26" s="1"/>
  <c r="AB880" i="8"/>
  <c r="L880" i="26" s="1"/>
  <c r="AC880" i="8"/>
  <c r="Q880" i="27" s="1"/>
  <c r="T881" i="8"/>
  <c r="G881" i="26" s="1"/>
  <c r="X881" i="8"/>
  <c r="J881" i="26" s="1"/>
  <c r="AB881" i="8"/>
  <c r="L881" i="26" s="1"/>
  <c r="AC881" i="8"/>
  <c r="Q881" i="27" s="1"/>
  <c r="T882" i="8"/>
  <c r="G882" i="26" s="1"/>
  <c r="X882" i="8"/>
  <c r="J882" i="26" s="1"/>
  <c r="AB882" i="8"/>
  <c r="L882" i="26" s="1"/>
  <c r="AC882" i="8"/>
  <c r="Q882" i="27" s="1"/>
  <c r="T883" i="8"/>
  <c r="G883" i="26" s="1"/>
  <c r="X883" i="8"/>
  <c r="J883" i="26" s="1"/>
  <c r="AB883" i="8"/>
  <c r="L883" i="26" s="1"/>
  <c r="AC883" i="8"/>
  <c r="Q883" i="27" s="1"/>
  <c r="T884" i="8"/>
  <c r="G884" i="26" s="1"/>
  <c r="X884" i="8"/>
  <c r="J884" i="26"/>
  <c r="AB884" i="8"/>
  <c r="L884" i="26" s="1"/>
  <c r="AC884" i="8"/>
  <c r="Q884" i="27" s="1"/>
  <c r="T885" i="8"/>
  <c r="G885" i="26" s="1"/>
  <c r="X885" i="8"/>
  <c r="J885" i="26" s="1"/>
  <c r="AB885" i="8"/>
  <c r="L885" i="26" s="1"/>
  <c r="AC885" i="8"/>
  <c r="Q885" i="27" s="1"/>
  <c r="T886" i="8"/>
  <c r="G886" i="26" s="1"/>
  <c r="X886" i="8"/>
  <c r="J886" i="26" s="1"/>
  <c r="AB886" i="8"/>
  <c r="L886" i="26" s="1"/>
  <c r="AC886" i="8"/>
  <c r="Q886" i="27" s="1"/>
  <c r="T887" i="8"/>
  <c r="G887" i="26" s="1"/>
  <c r="X887" i="8"/>
  <c r="J887" i="26" s="1"/>
  <c r="AB887" i="8"/>
  <c r="L887" i="26" s="1"/>
  <c r="AC887" i="8"/>
  <c r="Q887" i="27" s="1"/>
  <c r="T888" i="8"/>
  <c r="G888" i="26" s="1"/>
  <c r="X888" i="8"/>
  <c r="J888" i="26" s="1"/>
  <c r="AB888" i="8"/>
  <c r="L888" i="26" s="1"/>
  <c r="AC888" i="8"/>
  <c r="Q888" i="27" s="1"/>
  <c r="T889" i="8"/>
  <c r="G889" i="26" s="1"/>
  <c r="X889" i="8"/>
  <c r="J889" i="26" s="1"/>
  <c r="AB889" i="8"/>
  <c r="L889" i="26" s="1"/>
  <c r="AC889" i="8"/>
  <c r="Q889" i="27" s="1"/>
  <c r="T890" i="8"/>
  <c r="G890" i="26" s="1"/>
  <c r="X890" i="8"/>
  <c r="J890" i="26" s="1"/>
  <c r="AB890" i="8"/>
  <c r="L890" i="26" s="1"/>
  <c r="AC890" i="8"/>
  <c r="Q890" i="27" s="1"/>
  <c r="T891" i="8"/>
  <c r="G891" i="26" s="1"/>
  <c r="X891" i="8"/>
  <c r="J891" i="26" s="1"/>
  <c r="AB891" i="8"/>
  <c r="L891" i="26" s="1"/>
  <c r="AC891" i="8"/>
  <c r="Q891" i="27" s="1"/>
  <c r="T892" i="8"/>
  <c r="G892" i="26" s="1"/>
  <c r="X892" i="8"/>
  <c r="J892" i="26" s="1"/>
  <c r="AB892" i="8"/>
  <c r="L892" i="26" s="1"/>
  <c r="AC892" i="8"/>
  <c r="Q892" i="27" s="1"/>
  <c r="T893" i="8"/>
  <c r="G893" i="26" s="1"/>
  <c r="X893" i="8"/>
  <c r="J893" i="26" s="1"/>
  <c r="AB893" i="8"/>
  <c r="L893" i="26" s="1"/>
  <c r="AC893" i="8"/>
  <c r="Q893" i="27" s="1"/>
  <c r="T894" i="8"/>
  <c r="G894" i="26" s="1"/>
  <c r="X894" i="8"/>
  <c r="J894" i="26" s="1"/>
  <c r="AB894" i="8"/>
  <c r="L894" i="26" s="1"/>
  <c r="AC894" i="8"/>
  <c r="Q894" i="27" s="1"/>
  <c r="T895" i="8"/>
  <c r="G895" i="26" s="1"/>
  <c r="X895" i="8"/>
  <c r="J895" i="26" s="1"/>
  <c r="AB895" i="8"/>
  <c r="L895" i="26" s="1"/>
  <c r="AC895" i="8"/>
  <c r="Q895" i="27" s="1"/>
  <c r="T896" i="8"/>
  <c r="G896" i="26" s="1"/>
  <c r="X896" i="8"/>
  <c r="J896" i="26" s="1"/>
  <c r="AB896" i="8"/>
  <c r="L896" i="26" s="1"/>
  <c r="AC896" i="8"/>
  <c r="Q896" i="27" s="1"/>
  <c r="T897" i="8"/>
  <c r="G897" i="26" s="1"/>
  <c r="X897" i="8"/>
  <c r="J897" i="26" s="1"/>
  <c r="AB897" i="8"/>
  <c r="L897" i="26" s="1"/>
  <c r="AC897" i="8"/>
  <c r="Q897" i="27" s="1"/>
  <c r="T898" i="8"/>
  <c r="G898" i="26" s="1"/>
  <c r="X898" i="8"/>
  <c r="J898" i="26" s="1"/>
  <c r="AB898" i="8"/>
  <c r="L898" i="26" s="1"/>
  <c r="AC898" i="8"/>
  <c r="Q898" i="27" s="1"/>
  <c r="T899" i="8"/>
  <c r="G899" i="26" s="1"/>
  <c r="X899" i="8"/>
  <c r="J899" i="26" s="1"/>
  <c r="AB899" i="8"/>
  <c r="L899" i="26" s="1"/>
  <c r="AC899" i="8"/>
  <c r="Q899" i="27" s="1"/>
  <c r="T900" i="8"/>
  <c r="G900" i="26" s="1"/>
  <c r="X900" i="8"/>
  <c r="J900" i="26" s="1"/>
  <c r="AB900" i="8"/>
  <c r="L900" i="26" s="1"/>
  <c r="AC900" i="8"/>
  <c r="Q900" i="27" s="1"/>
  <c r="T901" i="8"/>
  <c r="G901" i="26" s="1"/>
  <c r="X901" i="8"/>
  <c r="J901" i="26"/>
  <c r="AB901" i="8"/>
  <c r="L901" i="26" s="1"/>
  <c r="AC901" i="8"/>
  <c r="Q901" i="27" s="1"/>
  <c r="T902" i="8"/>
  <c r="G902" i="26" s="1"/>
  <c r="X902" i="8"/>
  <c r="J902" i="26" s="1"/>
  <c r="AB902" i="8"/>
  <c r="L902" i="26" s="1"/>
  <c r="AC902" i="8"/>
  <c r="Q902" i="27" s="1"/>
  <c r="T903" i="8"/>
  <c r="G903" i="26" s="1"/>
  <c r="X903" i="8"/>
  <c r="J903" i="26" s="1"/>
  <c r="AB903" i="8"/>
  <c r="L903" i="26" s="1"/>
  <c r="AC903" i="8"/>
  <c r="Q903" i="27" s="1"/>
  <c r="T904" i="8"/>
  <c r="G904" i="26" s="1"/>
  <c r="X904" i="8"/>
  <c r="J904" i="26" s="1"/>
  <c r="AB904" i="8"/>
  <c r="L904" i="26" s="1"/>
  <c r="AC904" i="8"/>
  <c r="Q904" i="27" s="1"/>
  <c r="T905" i="8"/>
  <c r="G905" i="26" s="1"/>
  <c r="X905" i="8"/>
  <c r="J905" i="26" s="1"/>
  <c r="AB905" i="8"/>
  <c r="L905" i="26" s="1"/>
  <c r="AC905" i="8"/>
  <c r="Q905" i="27" s="1"/>
  <c r="T906" i="8"/>
  <c r="G906" i="26" s="1"/>
  <c r="X906" i="8"/>
  <c r="J906" i="26" s="1"/>
  <c r="AB906" i="8"/>
  <c r="L906" i="26" s="1"/>
  <c r="AC906" i="8"/>
  <c r="Q906" i="27" s="1"/>
  <c r="T907" i="8"/>
  <c r="G907" i="26" s="1"/>
  <c r="X907" i="8"/>
  <c r="J907" i="26" s="1"/>
  <c r="AB907" i="8"/>
  <c r="L907" i="26" s="1"/>
  <c r="AC907" i="8"/>
  <c r="Q907" i="27" s="1"/>
  <c r="T908" i="8"/>
  <c r="G908" i="26" s="1"/>
  <c r="X908" i="8"/>
  <c r="J908" i="26" s="1"/>
  <c r="AB908" i="8"/>
  <c r="L908" i="26" s="1"/>
  <c r="AC908" i="8"/>
  <c r="Q908" i="27" s="1"/>
  <c r="T909" i="8"/>
  <c r="G909" i="26" s="1"/>
  <c r="X909" i="8"/>
  <c r="J909" i="26" s="1"/>
  <c r="AB909" i="8"/>
  <c r="L909" i="26" s="1"/>
  <c r="AC909" i="8"/>
  <c r="Q909" i="27" s="1"/>
  <c r="T910" i="8"/>
  <c r="G910" i="26" s="1"/>
  <c r="X910" i="8"/>
  <c r="J910" i="26" s="1"/>
  <c r="AB910" i="8"/>
  <c r="L910" i="26" s="1"/>
  <c r="AC910" i="8"/>
  <c r="Q910" i="27" s="1"/>
  <c r="T911" i="8"/>
  <c r="G911" i="26" s="1"/>
  <c r="X911" i="8"/>
  <c r="J911" i="26" s="1"/>
  <c r="AB911" i="8"/>
  <c r="L911" i="26" s="1"/>
  <c r="AC911" i="8"/>
  <c r="Q911" i="27" s="1"/>
  <c r="T912" i="8"/>
  <c r="G912" i="26" s="1"/>
  <c r="X912" i="8"/>
  <c r="J912" i="26"/>
  <c r="AB912" i="8"/>
  <c r="L912" i="26" s="1"/>
  <c r="AC912" i="8"/>
  <c r="Q912" i="27" s="1"/>
  <c r="T913" i="8"/>
  <c r="G913" i="26" s="1"/>
  <c r="X913" i="8"/>
  <c r="J913" i="26" s="1"/>
  <c r="AB913" i="8"/>
  <c r="L913" i="26" s="1"/>
  <c r="AC913" i="8"/>
  <c r="Q913" i="27" s="1"/>
  <c r="T914" i="8"/>
  <c r="G914" i="26" s="1"/>
  <c r="X914" i="8"/>
  <c r="J914" i="26" s="1"/>
  <c r="AB914" i="8"/>
  <c r="L914" i="26" s="1"/>
  <c r="AC914" i="8"/>
  <c r="Q914" i="27" s="1"/>
  <c r="T915" i="8"/>
  <c r="G915" i="26" s="1"/>
  <c r="X915" i="8"/>
  <c r="J915" i="26" s="1"/>
  <c r="AB915" i="8"/>
  <c r="L915" i="26" s="1"/>
  <c r="AC915" i="8"/>
  <c r="Q915" i="27" s="1"/>
  <c r="T916" i="8"/>
  <c r="G916" i="26" s="1"/>
  <c r="X916" i="8"/>
  <c r="J916" i="26" s="1"/>
  <c r="AB916" i="8"/>
  <c r="L916" i="26" s="1"/>
  <c r="AC916" i="8"/>
  <c r="Q916" i="27" s="1"/>
  <c r="T917" i="8"/>
  <c r="G917" i="26" s="1"/>
  <c r="X917" i="8"/>
  <c r="J917" i="26" s="1"/>
  <c r="AB917" i="8"/>
  <c r="L917" i="26" s="1"/>
  <c r="AC917" i="8"/>
  <c r="Q917" i="27" s="1"/>
  <c r="T918" i="8"/>
  <c r="G918" i="26" s="1"/>
  <c r="X918" i="8"/>
  <c r="J918" i="26" s="1"/>
  <c r="AB918" i="8"/>
  <c r="L918" i="26" s="1"/>
  <c r="AC918" i="8"/>
  <c r="Q918" i="27" s="1"/>
  <c r="T919" i="8"/>
  <c r="G919" i="26" s="1"/>
  <c r="X919" i="8"/>
  <c r="J919" i="26"/>
  <c r="AB919" i="8"/>
  <c r="L919" i="26" s="1"/>
  <c r="AC919" i="8"/>
  <c r="Q919" i="27" s="1"/>
  <c r="T920" i="8"/>
  <c r="G920" i="26" s="1"/>
  <c r="X920" i="8"/>
  <c r="J920" i="26"/>
  <c r="AB920" i="8"/>
  <c r="L920" i="26" s="1"/>
  <c r="AC920" i="8"/>
  <c r="Q920" i="27" s="1"/>
  <c r="T921" i="8"/>
  <c r="G921" i="26" s="1"/>
  <c r="X921" i="8"/>
  <c r="J921" i="26" s="1"/>
  <c r="AB921" i="8"/>
  <c r="L921" i="26" s="1"/>
  <c r="AC921" i="8"/>
  <c r="Q921" i="27" s="1"/>
  <c r="T922" i="8"/>
  <c r="G922" i="26" s="1"/>
  <c r="X922" i="8"/>
  <c r="J922" i="26" s="1"/>
  <c r="AB922" i="8"/>
  <c r="L922" i="26" s="1"/>
  <c r="AC922" i="8"/>
  <c r="Q922" i="27" s="1"/>
  <c r="T923" i="8"/>
  <c r="G923" i="26" s="1"/>
  <c r="X923" i="8"/>
  <c r="J923" i="26" s="1"/>
  <c r="AB923" i="8"/>
  <c r="L923" i="26" s="1"/>
  <c r="AC923" i="8"/>
  <c r="Q923" i="27" s="1"/>
  <c r="T924" i="8"/>
  <c r="G924" i="26" s="1"/>
  <c r="X924" i="8"/>
  <c r="J924" i="26" s="1"/>
  <c r="AB924" i="8"/>
  <c r="L924" i="26" s="1"/>
  <c r="AC924" i="8"/>
  <c r="Q924" i="27" s="1"/>
  <c r="T925" i="8"/>
  <c r="G925" i="26" s="1"/>
  <c r="X925" i="8"/>
  <c r="J925" i="26" s="1"/>
  <c r="AB925" i="8"/>
  <c r="L925" i="26" s="1"/>
  <c r="AC925" i="8"/>
  <c r="Q925" i="27" s="1"/>
  <c r="T926" i="8"/>
  <c r="G926" i="26" s="1"/>
  <c r="X926" i="8"/>
  <c r="J926" i="26" s="1"/>
  <c r="AB926" i="8"/>
  <c r="L926" i="26" s="1"/>
  <c r="AC926" i="8"/>
  <c r="Q926" i="27" s="1"/>
  <c r="T927" i="8"/>
  <c r="G927" i="26" s="1"/>
  <c r="X927" i="8"/>
  <c r="J927" i="26" s="1"/>
  <c r="AB927" i="8"/>
  <c r="L927" i="26" s="1"/>
  <c r="AC927" i="8"/>
  <c r="Q927" i="27" s="1"/>
  <c r="T928" i="8"/>
  <c r="G928" i="26" s="1"/>
  <c r="X928" i="8"/>
  <c r="J928" i="26" s="1"/>
  <c r="AB928" i="8"/>
  <c r="L928" i="26" s="1"/>
  <c r="AC928" i="8"/>
  <c r="Q928" i="27" s="1"/>
  <c r="T929" i="8"/>
  <c r="G929" i="26" s="1"/>
  <c r="X929" i="8"/>
  <c r="J929" i="26" s="1"/>
  <c r="AB929" i="8"/>
  <c r="L929" i="26" s="1"/>
  <c r="AC929" i="8"/>
  <c r="Q929" i="27" s="1"/>
  <c r="T930" i="8"/>
  <c r="G930" i="26" s="1"/>
  <c r="X930" i="8"/>
  <c r="J930" i="26" s="1"/>
  <c r="AB930" i="8"/>
  <c r="L930" i="26" s="1"/>
  <c r="AC930" i="8"/>
  <c r="Q930" i="27" s="1"/>
  <c r="T931" i="8"/>
  <c r="G931" i="26" s="1"/>
  <c r="X931" i="8"/>
  <c r="J931" i="26" s="1"/>
  <c r="AB931" i="8"/>
  <c r="L931" i="26" s="1"/>
  <c r="AC931" i="8"/>
  <c r="Q931" i="27" s="1"/>
  <c r="T932" i="8"/>
  <c r="G932" i="26" s="1"/>
  <c r="X932" i="8"/>
  <c r="J932" i="26" s="1"/>
  <c r="AB932" i="8"/>
  <c r="L932" i="26" s="1"/>
  <c r="AC932" i="8"/>
  <c r="Q932" i="27" s="1"/>
  <c r="T933" i="8"/>
  <c r="G933" i="26" s="1"/>
  <c r="X933" i="8"/>
  <c r="J933" i="26" s="1"/>
  <c r="AB933" i="8"/>
  <c r="L933" i="26" s="1"/>
  <c r="AC933" i="8"/>
  <c r="Q933" i="27" s="1"/>
  <c r="T934" i="8"/>
  <c r="G934" i="26" s="1"/>
  <c r="X934" i="8"/>
  <c r="J934" i="26" s="1"/>
  <c r="AB934" i="8"/>
  <c r="L934" i="26" s="1"/>
  <c r="AC934" i="8"/>
  <c r="Q934" i="27" s="1"/>
  <c r="T935" i="8"/>
  <c r="G935" i="26" s="1"/>
  <c r="X935" i="8"/>
  <c r="J935" i="26" s="1"/>
  <c r="AB935" i="8"/>
  <c r="L935" i="26" s="1"/>
  <c r="AC935" i="8"/>
  <c r="Q935" i="27" s="1"/>
  <c r="T936" i="8"/>
  <c r="G936" i="26" s="1"/>
  <c r="X936" i="8"/>
  <c r="J936" i="26" s="1"/>
  <c r="AB936" i="8"/>
  <c r="L936" i="26" s="1"/>
  <c r="AC936" i="8"/>
  <c r="Q936" i="27" s="1"/>
  <c r="T937" i="8"/>
  <c r="G937" i="26" s="1"/>
  <c r="X937" i="8"/>
  <c r="J937" i="26" s="1"/>
  <c r="AB937" i="8"/>
  <c r="L937" i="26" s="1"/>
  <c r="AC937" i="8"/>
  <c r="Q937" i="27" s="1"/>
  <c r="T938" i="8"/>
  <c r="G938" i="26" s="1"/>
  <c r="X938" i="8"/>
  <c r="J938" i="26" s="1"/>
  <c r="AB938" i="8"/>
  <c r="L938" i="26" s="1"/>
  <c r="AC938" i="8"/>
  <c r="Q938" i="27" s="1"/>
  <c r="T939" i="8"/>
  <c r="G939" i="26" s="1"/>
  <c r="X939" i="8"/>
  <c r="J939" i="26" s="1"/>
  <c r="AB939" i="8"/>
  <c r="L939" i="26" s="1"/>
  <c r="AC939" i="8"/>
  <c r="Q939" i="27" s="1"/>
  <c r="T940" i="8"/>
  <c r="G940" i="26" s="1"/>
  <c r="X940" i="8"/>
  <c r="J940" i="26" s="1"/>
  <c r="AB940" i="8"/>
  <c r="L940" i="26" s="1"/>
  <c r="AC940" i="8"/>
  <c r="Q940" i="27" s="1"/>
  <c r="T941" i="8"/>
  <c r="G941" i="26" s="1"/>
  <c r="X941" i="8"/>
  <c r="J941" i="26" s="1"/>
  <c r="AB941" i="8"/>
  <c r="L941" i="26" s="1"/>
  <c r="AC941" i="8"/>
  <c r="Q941" i="27" s="1"/>
  <c r="T942" i="8"/>
  <c r="G942" i="26" s="1"/>
  <c r="X942" i="8"/>
  <c r="J942" i="26" s="1"/>
  <c r="AB942" i="8"/>
  <c r="L942" i="26" s="1"/>
  <c r="AC942" i="8"/>
  <c r="Q942" i="27" s="1"/>
  <c r="T943" i="8"/>
  <c r="G943" i="26" s="1"/>
  <c r="X943" i="8"/>
  <c r="J943" i="26" s="1"/>
  <c r="AB943" i="8"/>
  <c r="L943" i="26" s="1"/>
  <c r="AC943" i="8"/>
  <c r="Q943" i="27" s="1"/>
  <c r="T944" i="8"/>
  <c r="G944" i="26" s="1"/>
  <c r="X944" i="8"/>
  <c r="J944" i="26" s="1"/>
  <c r="AB944" i="8"/>
  <c r="L944" i="26" s="1"/>
  <c r="AC944" i="8"/>
  <c r="Q944" i="27" s="1"/>
  <c r="T945" i="8"/>
  <c r="G945" i="26" s="1"/>
  <c r="X945" i="8"/>
  <c r="J945" i="26" s="1"/>
  <c r="AB945" i="8"/>
  <c r="L945" i="26" s="1"/>
  <c r="AC945" i="8"/>
  <c r="Q945" i="27" s="1"/>
  <c r="T946" i="8"/>
  <c r="G946" i="26" s="1"/>
  <c r="X946" i="8"/>
  <c r="J946" i="26" s="1"/>
  <c r="AB946" i="8"/>
  <c r="L946" i="26" s="1"/>
  <c r="AC946" i="8"/>
  <c r="Q946" i="27" s="1"/>
  <c r="T947" i="8"/>
  <c r="G947" i="26" s="1"/>
  <c r="X947" i="8"/>
  <c r="J947" i="26" s="1"/>
  <c r="AB947" i="8"/>
  <c r="L947" i="26" s="1"/>
  <c r="AC947" i="8"/>
  <c r="Q947" i="27" s="1"/>
  <c r="T948" i="8"/>
  <c r="G948" i="26" s="1"/>
  <c r="X948" i="8"/>
  <c r="J948" i="26" s="1"/>
  <c r="AB948" i="8"/>
  <c r="L948" i="26" s="1"/>
  <c r="AC948" i="8"/>
  <c r="Q948" i="27" s="1"/>
  <c r="T949" i="8"/>
  <c r="G949" i="26" s="1"/>
  <c r="X949" i="8"/>
  <c r="J949" i="26"/>
  <c r="AB949" i="8"/>
  <c r="L949" i="26" s="1"/>
  <c r="AC949" i="8"/>
  <c r="Q949" i="27" s="1"/>
  <c r="T950" i="8"/>
  <c r="G950" i="26" s="1"/>
  <c r="X950" i="8"/>
  <c r="J950" i="26" s="1"/>
  <c r="AB950" i="8"/>
  <c r="L950" i="26" s="1"/>
  <c r="AC950" i="8"/>
  <c r="Q950" i="27" s="1"/>
  <c r="T951" i="8"/>
  <c r="G951" i="26" s="1"/>
  <c r="X951" i="8"/>
  <c r="J951" i="26" s="1"/>
  <c r="AB951" i="8"/>
  <c r="L951" i="26" s="1"/>
  <c r="AC951" i="8"/>
  <c r="Q951" i="27" s="1"/>
  <c r="T952" i="8"/>
  <c r="G952" i="26" s="1"/>
  <c r="X952" i="8"/>
  <c r="J952" i="26" s="1"/>
  <c r="AB952" i="8"/>
  <c r="L952" i="26" s="1"/>
  <c r="AC952" i="8"/>
  <c r="Q952" i="27" s="1"/>
  <c r="T953" i="8"/>
  <c r="G953" i="26" s="1"/>
  <c r="X953" i="8"/>
  <c r="J953" i="26" s="1"/>
  <c r="AB953" i="8"/>
  <c r="L953" i="26" s="1"/>
  <c r="AC953" i="8"/>
  <c r="Q953" i="27" s="1"/>
  <c r="T954" i="8"/>
  <c r="G954" i="26" s="1"/>
  <c r="X954" i="8"/>
  <c r="J954" i="26" s="1"/>
  <c r="AB954" i="8"/>
  <c r="L954" i="26" s="1"/>
  <c r="AC954" i="8"/>
  <c r="Q954" i="27" s="1"/>
  <c r="T955" i="8"/>
  <c r="G955" i="26"/>
  <c r="X955" i="8"/>
  <c r="J955" i="26" s="1"/>
  <c r="AB955" i="8"/>
  <c r="L955" i="26" s="1"/>
  <c r="AC955" i="8"/>
  <c r="Q955" i="27" s="1"/>
  <c r="T956" i="8"/>
  <c r="G956" i="26"/>
  <c r="X956" i="8"/>
  <c r="J956" i="26" s="1"/>
  <c r="AB956" i="8"/>
  <c r="L956" i="26" s="1"/>
  <c r="AC956" i="8"/>
  <c r="Q956" i="27" s="1"/>
  <c r="T957" i="8"/>
  <c r="G957" i="26" s="1"/>
  <c r="X957" i="8"/>
  <c r="J957" i="26" s="1"/>
  <c r="AB957" i="8"/>
  <c r="L957" i="26" s="1"/>
  <c r="AC957" i="8"/>
  <c r="Q957" i="27" s="1"/>
  <c r="T958" i="8"/>
  <c r="G958" i="26" s="1"/>
  <c r="X958" i="8"/>
  <c r="J958" i="26" s="1"/>
  <c r="AB958" i="8"/>
  <c r="L958" i="26" s="1"/>
  <c r="AC958" i="8"/>
  <c r="Q958" i="27" s="1"/>
  <c r="T959" i="8"/>
  <c r="G959" i="26" s="1"/>
  <c r="X959" i="8"/>
  <c r="J959" i="26" s="1"/>
  <c r="AB959" i="8"/>
  <c r="L959" i="26" s="1"/>
  <c r="AC959" i="8"/>
  <c r="Q959" i="27" s="1"/>
  <c r="T960" i="8"/>
  <c r="G960" i="26" s="1"/>
  <c r="X960" i="8"/>
  <c r="J960" i="26" s="1"/>
  <c r="AB960" i="8"/>
  <c r="L960" i="26" s="1"/>
  <c r="AC960" i="8"/>
  <c r="Q960" i="27" s="1"/>
  <c r="T961" i="8"/>
  <c r="G961" i="26" s="1"/>
  <c r="X961" i="8"/>
  <c r="J961" i="26" s="1"/>
  <c r="AB961" i="8"/>
  <c r="L961" i="26" s="1"/>
  <c r="AC961" i="8"/>
  <c r="Q961" i="27" s="1"/>
  <c r="T962" i="8"/>
  <c r="G962" i="26" s="1"/>
  <c r="X962" i="8"/>
  <c r="J962" i="26" s="1"/>
  <c r="AB962" i="8"/>
  <c r="L962" i="26" s="1"/>
  <c r="AC962" i="8"/>
  <c r="Q962" i="27" s="1"/>
  <c r="T963" i="8"/>
  <c r="G963" i="26" s="1"/>
  <c r="X963" i="8"/>
  <c r="J963" i="26" s="1"/>
  <c r="AB963" i="8"/>
  <c r="L963" i="26" s="1"/>
  <c r="AC963" i="8"/>
  <c r="Q963" i="27" s="1"/>
  <c r="T964" i="8"/>
  <c r="G964" i="26" s="1"/>
  <c r="X964" i="8"/>
  <c r="J964" i="26" s="1"/>
  <c r="AB964" i="8"/>
  <c r="L964" i="26" s="1"/>
  <c r="AC964" i="8"/>
  <c r="Q964" i="27" s="1"/>
  <c r="T965" i="8"/>
  <c r="G965" i="26" s="1"/>
  <c r="X965" i="8"/>
  <c r="J965" i="26" s="1"/>
  <c r="AB965" i="8"/>
  <c r="L965" i="26" s="1"/>
  <c r="AC965" i="8"/>
  <c r="Q965" i="27" s="1"/>
  <c r="T966" i="8"/>
  <c r="G966" i="26" s="1"/>
  <c r="X966" i="8"/>
  <c r="J966" i="26" s="1"/>
  <c r="AB966" i="8"/>
  <c r="L966" i="26" s="1"/>
  <c r="AC966" i="8"/>
  <c r="Q966" i="27" s="1"/>
  <c r="T967" i="8"/>
  <c r="G967" i="26" s="1"/>
  <c r="X967" i="8"/>
  <c r="J967" i="26" s="1"/>
  <c r="AB967" i="8"/>
  <c r="L967" i="26" s="1"/>
  <c r="AC967" i="8"/>
  <c r="Q967" i="27" s="1"/>
  <c r="T968" i="8"/>
  <c r="G968" i="26" s="1"/>
  <c r="X968" i="8"/>
  <c r="J968" i="26" s="1"/>
  <c r="AB968" i="8"/>
  <c r="L968" i="26" s="1"/>
  <c r="AC968" i="8"/>
  <c r="Q968" i="27" s="1"/>
  <c r="T969" i="8"/>
  <c r="G969" i="26" s="1"/>
  <c r="X969" i="8"/>
  <c r="J969" i="26" s="1"/>
  <c r="AB969" i="8"/>
  <c r="L969" i="26" s="1"/>
  <c r="AC969" i="8"/>
  <c r="Q969" i="27" s="1"/>
  <c r="T970" i="8"/>
  <c r="G970" i="26" s="1"/>
  <c r="X970" i="8"/>
  <c r="J970" i="26" s="1"/>
  <c r="AB970" i="8"/>
  <c r="L970" i="26" s="1"/>
  <c r="AC970" i="8"/>
  <c r="Q970" i="27" s="1"/>
  <c r="T971" i="8"/>
  <c r="G971" i="26"/>
  <c r="X971" i="8"/>
  <c r="J971" i="26" s="1"/>
  <c r="AB971" i="8"/>
  <c r="L971" i="26" s="1"/>
  <c r="AC971" i="8"/>
  <c r="Q971" i="27" s="1"/>
  <c r="T972" i="8"/>
  <c r="G972" i="26" s="1"/>
  <c r="X972" i="8"/>
  <c r="J972" i="26" s="1"/>
  <c r="AB972" i="8"/>
  <c r="L972" i="26" s="1"/>
  <c r="AC972" i="8"/>
  <c r="Q972" i="27" s="1"/>
  <c r="T973" i="8"/>
  <c r="G973" i="26" s="1"/>
  <c r="X973" i="8"/>
  <c r="J973" i="26" s="1"/>
  <c r="AB973" i="8"/>
  <c r="L973" i="26" s="1"/>
  <c r="AC973" i="8"/>
  <c r="Q973" i="27" s="1"/>
  <c r="T974" i="8"/>
  <c r="G974" i="26" s="1"/>
  <c r="X974" i="8"/>
  <c r="J974" i="26" s="1"/>
  <c r="AB974" i="8"/>
  <c r="L974" i="26" s="1"/>
  <c r="AC974" i="8"/>
  <c r="Q974" i="27" s="1"/>
  <c r="T975" i="8"/>
  <c r="G975" i="26" s="1"/>
  <c r="X975" i="8"/>
  <c r="J975" i="26"/>
  <c r="AB975" i="8"/>
  <c r="L975" i="26" s="1"/>
  <c r="AC975" i="8"/>
  <c r="Q975" i="27" s="1"/>
  <c r="T976" i="8"/>
  <c r="G976" i="26"/>
  <c r="X976" i="8"/>
  <c r="J976" i="26" s="1"/>
  <c r="AB976" i="8"/>
  <c r="L976" i="26" s="1"/>
  <c r="AC976" i="8"/>
  <c r="Q976" i="27" s="1"/>
  <c r="T977" i="8"/>
  <c r="G977" i="26" s="1"/>
  <c r="X977" i="8"/>
  <c r="J977" i="26" s="1"/>
  <c r="AB977" i="8"/>
  <c r="L977" i="26" s="1"/>
  <c r="AC977" i="8"/>
  <c r="Q977" i="27" s="1"/>
  <c r="T978" i="8"/>
  <c r="G978" i="26" s="1"/>
  <c r="X978" i="8"/>
  <c r="J978" i="26" s="1"/>
  <c r="AB978" i="8"/>
  <c r="L978" i="26" s="1"/>
  <c r="AC978" i="8"/>
  <c r="Q978" i="27" s="1"/>
  <c r="T979" i="8"/>
  <c r="G979" i="26" s="1"/>
  <c r="X979" i="8"/>
  <c r="J979" i="26" s="1"/>
  <c r="AB979" i="8"/>
  <c r="L979" i="26" s="1"/>
  <c r="AC979" i="8"/>
  <c r="Q979" i="27" s="1"/>
  <c r="T980" i="8"/>
  <c r="G980" i="26" s="1"/>
  <c r="X980" i="8"/>
  <c r="J980" i="26"/>
  <c r="AB980" i="8"/>
  <c r="L980" i="26" s="1"/>
  <c r="AC980" i="8"/>
  <c r="Q980" i="27" s="1"/>
  <c r="T981" i="8"/>
  <c r="G981" i="26" s="1"/>
  <c r="X981" i="8"/>
  <c r="J981" i="26"/>
  <c r="AB981" i="8"/>
  <c r="L981" i="26" s="1"/>
  <c r="AC981" i="8"/>
  <c r="Q981" i="27" s="1"/>
  <c r="T982" i="8"/>
  <c r="G982" i="26" s="1"/>
  <c r="X982" i="8"/>
  <c r="J982" i="26" s="1"/>
  <c r="AB982" i="8"/>
  <c r="L982" i="26" s="1"/>
  <c r="AC982" i="8"/>
  <c r="Q982" i="27" s="1"/>
  <c r="T983" i="8"/>
  <c r="G983" i="26" s="1"/>
  <c r="X983" i="8"/>
  <c r="J983" i="26" s="1"/>
  <c r="AB983" i="8"/>
  <c r="L983" i="26" s="1"/>
  <c r="AC983" i="8"/>
  <c r="Q983" i="27" s="1"/>
  <c r="T984" i="8"/>
  <c r="G984" i="26" s="1"/>
  <c r="X984" i="8"/>
  <c r="J984" i="26" s="1"/>
  <c r="AB984" i="8"/>
  <c r="L984" i="26" s="1"/>
  <c r="AC984" i="8"/>
  <c r="Q984" i="27" s="1"/>
  <c r="T985" i="8"/>
  <c r="G985" i="26" s="1"/>
  <c r="X985" i="8"/>
  <c r="J985" i="26" s="1"/>
  <c r="AB985" i="8"/>
  <c r="L985" i="26" s="1"/>
  <c r="AC985" i="8"/>
  <c r="Q985" i="27" s="1"/>
  <c r="T986" i="8"/>
  <c r="G986" i="26" s="1"/>
  <c r="X986" i="8"/>
  <c r="J986" i="26" s="1"/>
  <c r="AB986" i="8"/>
  <c r="L986" i="26" s="1"/>
  <c r="AC986" i="8"/>
  <c r="Q986" i="27" s="1"/>
  <c r="T987" i="8"/>
  <c r="G987" i="26"/>
  <c r="X987" i="8"/>
  <c r="J987" i="26" s="1"/>
  <c r="AB987" i="8"/>
  <c r="L987" i="26" s="1"/>
  <c r="AC987" i="8"/>
  <c r="Q987" i="27" s="1"/>
  <c r="T988" i="8"/>
  <c r="G988" i="26" s="1"/>
  <c r="X988" i="8"/>
  <c r="J988" i="26" s="1"/>
  <c r="AB988" i="8"/>
  <c r="L988" i="26" s="1"/>
  <c r="AC988" i="8"/>
  <c r="Q988" i="27" s="1"/>
  <c r="T989" i="8"/>
  <c r="G989" i="26" s="1"/>
  <c r="X989" i="8"/>
  <c r="J989" i="26" s="1"/>
  <c r="AB989" i="8"/>
  <c r="L989" i="26" s="1"/>
  <c r="AC989" i="8"/>
  <c r="Q989" i="27" s="1"/>
  <c r="T990" i="8"/>
  <c r="G990" i="26" s="1"/>
  <c r="X990" i="8"/>
  <c r="J990" i="26" s="1"/>
  <c r="AB990" i="8"/>
  <c r="L990" i="26" s="1"/>
  <c r="AC990" i="8"/>
  <c r="Q990" i="27" s="1"/>
  <c r="T991" i="8"/>
  <c r="G991" i="26" s="1"/>
  <c r="X991" i="8"/>
  <c r="J991" i="26" s="1"/>
  <c r="AB991" i="8"/>
  <c r="L991" i="26" s="1"/>
  <c r="AC991" i="8"/>
  <c r="Q991" i="27" s="1"/>
  <c r="T992" i="8"/>
  <c r="G992" i="26" s="1"/>
  <c r="X992" i="8"/>
  <c r="J992" i="26" s="1"/>
  <c r="AB992" i="8"/>
  <c r="L992" i="26" s="1"/>
  <c r="AC992" i="8"/>
  <c r="Q992" i="27" s="1"/>
  <c r="T993" i="8"/>
  <c r="G993" i="26" s="1"/>
  <c r="X993" i="8"/>
  <c r="J993" i="26" s="1"/>
  <c r="AB993" i="8"/>
  <c r="L993" i="26" s="1"/>
  <c r="AC993" i="8"/>
  <c r="Q993" i="27" s="1"/>
  <c r="T994" i="8"/>
  <c r="G994" i="26" s="1"/>
  <c r="X994" i="8"/>
  <c r="J994" i="26" s="1"/>
  <c r="AB994" i="8"/>
  <c r="L994" i="26" s="1"/>
  <c r="AC994" i="8"/>
  <c r="Q994" i="27" s="1"/>
  <c r="T995" i="8"/>
  <c r="G995" i="26" s="1"/>
  <c r="X995" i="8"/>
  <c r="J995" i="26" s="1"/>
  <c r="AB995" i="8"/>
  <c r="L995" i="26" s="1"/>
  <c r="AC995" i="8"/>
  <c r="Q995" i="27" s="1"/>
  <c r="T996" i="8"/>
  <c r="G996" i="26" s="1"/>
  <c r="X996" i="8"/>
  <c r="J996" i="26"/>
  <c r="AB996" i="8"/>
  <c r="L996" i="26" s="1"/>
  <c r="AC996" i="8"/>
  <c r="Q996" i="27" s="1"/>
  <c r="T997" i="8"/>
  <c r="G997" i="26" s="1"/>
  <c r="X997" i="8"/>
  <c r="J997" i="26" s="1"/>
  <c r="AB997" i="8"/>
  <c r="L997" i="26" s="1"/>
  <c r="AC997" i="8"/>
  <c r="Q997" i="27" s="1"/>
  <c r="T998" i="8"/>
  <c r="G998" i="26" s="1"/>
  <c r="X998" i="8"/>
  <c r="J998" i="26" s="1"/>
  <c r="AB998" i="8"/>
  <c r="L998" i="26" s="1"/>
  <c r="AC998" i="8"/>
  <c r="Q998" i="27" s="1"/>
  <c r="T999" i="8"/>
  <c r="G999" i="26" s="1"/>
  <c r="X999" i="8"/>
  <c r="J999" i="26" s="1"/>
  <c r="AB999" i="8"/>
  <c r="L999" i="26" s="1"/>
  <c r="AC999" i="8"/>
  <c r="Q999" i="27" s="1"/>
  <c r="T1000" i="8"/>
  <c r="G1000" i="26" s="1"/>
  <c r="X1000" i="8"/>
  <c r="J1000" i="26" s="1"/>
  <c r="AB1000" i="8"/>
  <c r="L1000" i="26" s="1"/>
  <c r="AC1000" i="8"/>
  <c r="Q1000" i="27" s="1"/>
  <c r="T1001" i="8"/>
  <c r="G1001" i="26" s="1"/>
  <c r="X1001" i="8"/>
  <c r="J1001" i="26" s="1"/>
  <c r="AB1001" i="8"/>
  <c r="L1001" i="26" s="1"/>
  <c r="AC1001" i="8"/>
  <c r="Q1001" i="27" s="1"/>
  <c r="T1002" i="8"/>
  <c r="G1002" i="26" s="1"/>
  <c r="X1002" i="8"/>
  <c r="J1002" i="26" s="1"/>
  <c r="AB1002" i="8"/>
  <c r="L1002" i="26" s="1"/>
  <c r="AC1002" i="8"/>
  <c r="Q1002" i="27" s="1"/>
  <c r="R1002" i="27" s="1"/>
  <c r="M462" i="26" l="1"/>
  <c r="M350" i="26"/>
  <c r="N43" i="26"/>
  <c r="O43" i="27" s="1"/>
  <c r="N19" i="26"/>
  <c r="O19" i="27" s="1"/>
  <c r="N11" i="26"/>
  <c r="O11" i="27" s="1"/>
  <c r="M25" i="26"/>
  <c r="N356" i="26"/>
  <c r="O356" i="27" s="1"/>
  <c r="N252" i="26"/>
  <c r="O252" i="27" s="1"/>
  <c r="N116" i="26"/>
  <c r="O116" i="27" s="1"/>
  <c r="M54" i="26"/>
  <c r="N4" i="26"/>
  <c r="O4" i="27" s="1"/>
  <c r="M30" i="26"/>
  <c r="M22" i="26"/>
  <c r="N657" i="26"/>
  <c r="O657" i="27" s="1"/>
  <c r="N406" i="26"/>
  <c r="O406" i="27" s="1"/>
  <c r="N62" i="26"/>
  <c r="O62" i="27" s="1"/>
  <c r="N54" i="26"/>
  <c r="O54" i="27" s="1"/>
  <c r="M19" i="26"/>
  <c r="M446" i="26"/>
  <c r="M886" i="26"/>
  <c r="N901" i="26"/>
  <c r="O901" i="27" s="1"/>
  <c r="N861" i="26"/>
  <c r="O861" i="27" s="1"/>
  <c r="N514" i="26"/>
  <c r="O514" i="27" s="1"/>
  <c r="M181" i="26"/>
  <c r="M63" i="26"/>
  <c r="M23" i="26"/>
  <c r="M679" i="26"/>
  <c r="M939" i="26"/>
  <c r="M755" i="26"/>
  <c r="M55" i="26"/>
  <c r="M35" i="26"/>
  <c r="M851" i="26"/>
  <c r="M847" i="26"/>
  <c r="N55" i="26"/>
  <c r="O55" i="27" s="1"/>
  <c r="N227" i="26"/>
  <c r="O227" i="27" s="1"/>
  <c r="N219" i="26"/>
  <c r="O219" i="27" s="1"/>
  <c r="N3" i="26"/>
  <c r="O3" i="27" s="1"/>
  <c r="M868" i="26"/>
  <c r="M700" i="26"/>
  <c r="M604" i="26"/>
  <c r="M584" i="26"/>
  <c r="M356" i="26"/>
  <c r="M284" i="26"/>
  <c r="M252" i="26"/>
  <c r="N58" i="26"/>
  <c r="O58" i="27" s="1"/>
  <c r="M403" i="26"/>
  <c r="M395" i="26"/>
  <c r="N368" i="26"/>
  <c r="O368" i="27" s="1"/>
  <c r="M568" i="26"/>
  <c r="M532" i="26"/>
  <c r="M440" i="26"/>
  <c r="M416" i="26"/>
  <c r="M408" i="26"/>
  <c r="M296" i="26"/>
  <c r="M288" i="26"/>
  <c r="M280" i="26"/>
  <c r="M276" i="26"/>
  <c r="M272" i="26"/>
  <c r="M268" i="26"/>
  <c r="M260" i="26"/>
  <c r="M256" i="26"/>
  <c r="N740" i="26"/>
  <c r="O740" i="27" s="1"/>
  <c r="M658" i="26"/>
  <c r="M614" i="26"/>
  <c r="M610" i="26"/>
  <c r="M598" i="26"/>
  <c r="M582" i="26"/>
  <c r="N530" i="26"/>
  <c r="O530" i="27" s="1"/>
  <c r="N518" i="26"/>
  <c r="O518" i="27" s="1"/>
  <c r="M486" i="26"/>
  <c r="N482" i="26"/>
  <c r="O482" i="27" s="1"/>
  <c r="M474" i="26"/>
  <c r="N446" i="26"/>
  <c r="O446" i="27" s="1"/>
  <c r="M390" i="26"/>
  <c r="M382" i="26"/>
  <c r="M374" i="26"/>
  <c r="M317" i="26"/>
  <c r="M277" i="26"/>
  <c r="M265" i="26"/>
  <c r="M261" i="26"/>
  <c r="N254" i="26"/>
  <c r="O254" i="27" s="1"/>
  <c r="M201" i="26"/>
  <c r="N126" i="26"/>
  <c r="O126" i="27" s="1"/>
  <c r="M647" i="26"/>
  <c r="M985" i="26"/>
  <c r="N512" i="26"/>
  <c r="O512" i="27" s="1"/>
  <c r="N464" i="26"/>
  <c r="O464" i="27" s="1"/>
  <c r="N388" i="26"/>
  <c r="O388" i="27" s="1"/>
  <c r="N340" i="26"/>
  <c r="O340" i="27" s="1"/>
  <c r="N336" i="26"/>
  <c r="O336" i="27" s="1"/>
  <c r="N320" i="26"/>
  <c r="O320" i="27" s="1"/>
  <c r="M20" i="26"/>
  <c r="M12" i="26"/>
  <c r="N440" i="26"/>
  <c r="O440" i="27" s="1"/>
  <c r="M677" i="26"/>
  <c r="M669" i="26"/>
  <c r="N405" i="26"/>
  <c r="O405" i="27" s="1"/>
  <c r="N325" i="26"/>
  <c r="O325" i="27" s="1"/>
  <c r="N105" i="26"/>
  <c r="O105" i="27" s="1"/>
  <c r="N25" i="26"/>
  <c r="O25" i="27" s="1"/>
  <c r="N13" i="26"/>
  <c r="O13" i="27" s="1"/>
  <c r="N9" i="26"/>
  <c r="O9" i="27" s="1"/>
  <c r="N5" i="26"/>
  <c r="O5" i="27" s="1"/>
  <c r="N882" i="26"/>
  <c r="O882" i="27" s="1"/>
  <c r="N870" i="26"/>
  <c r="O870" i="27" s="1"/>
  <c r="M863" i="26"/>
  <c r="M747" i="26"/>
  <c r="N735" i="26"/>
  <c r="O735" i="27" s="1"/>
  <c r="N655" i="26"/>
  <c r="O655" i="27" s="1"/>
  <c r="M654" i="26"/>
  <c r="M650" i="26"/>
  <c r="M142" i="26"/>
  <c r="M118" i="26"/>
  <c r="N964" i="26"/>
  <c r="O964" i="27" s="1"/>
  <c r="N904" i="26"/>
  <c r="O904" i="27" s="1"/>
  <c r="N756" i="26"/>
  <c r="O756" i="27" s="1"/>
  <c r="N748" i="26"/>
  <c r="O748" i="27" s="1"/>
  <c r="N732" i="26"/>
  <c r="O732" i="27" s="1"/>
  <c r="N688" i="26"/>
  <c r="O688" i="27" s="1"/>
  <c r="N684" i="26"/>
  <c r="O684" i="27" s="1"/>
  <c r="N155" i="26"/>
  <c r="O155" i="27" s="1"/>
  <c r="N192" i="26"/>
  <c r="O192" i="27" s="1"/>
  <c r="N32" i="26"/>
  <c r="O32" i="27" s="1"/>
  <c r="N24" i="26"/>
  <c r="O24" i="27" s="1"/>
  <c r="N8" i="26"/>
  <c r="O8" i="27" s="1"/>
  <c r="M4" i="26"/>
  <c r="M482" i="26"/>
  <c r="N977" i="26"/>
  <c r="O977" i="27" s="1"/>
  <c r="N973" i="26"/>
  <c r="O973" i="27" s="1"/>
  <c r="N929" i="26"/>
  <c r="O929" i="27" s="1"/>
  <c r="N962" i="26"/>
  <c r="O962" i="27" s="1"/>
  <c r="N782" i="26"/>
  <c r="O782" i="27" s="1"/>
  <c r="N682" i="26"/>
  <c r="O682" i="27" s="1"/>
  <c r="N645" i="26"/>
  <c r="O645" i="27" s="1"/>
  <c r="N629" i="26"/>
  <c r="O629" i="27" s="1"/>
  <c r="N497" i="26"/>
  <c r="O497" i="27" s="1"/>
  <c r="M108" i="26"/>
  <c r="N534" i="26"/>
  <c r="O534" i="27" s="1"/>
  <c r="N390" i="26"/>
  <c r="O390" i="27" s="1"/>
  <c r="N382" i="26"/>
  <c r="O382" i="27" s="1"/>
  <c r="N374" i="26"/>
  <c r="O374" i="27" s="1"/>
  <c r="N190" i="26"/>
  <c r="O190" i="27" s="1"/>
  <c r="M57" i="26"/>
  <c r="N22" i="26"/>
  <c r="O22" i="27" s="1"/>
  <c r="N18" i="26"/>
  <c r="O18" i="27" s="1"/>
  <c r="M17" i="26"/>
  <c r="N14" i="26"/>
  <c r="O14" i="27" s="1"/>
  <c r="M9" i="26"/>
  <c r="N6" i="26"/>
  <c r="O6" i="27" s="1"/>
  <c r="N863" i="26"/>
  <c r="O863" i="27" s="1"/>
  <c r="N859" i="26"/>
  <c r="O859" i="27" s="1"/>
  <c r="M646" i="26"/>
  <c r="M626" i="26"/>
  <c r="N623" i="26"/>
  <c r="O623" i="27" s="1"/>
  <c r="M606" i="26"/>
  <c r="M594" i="26"/>
  <c r="M590" i="26"/>
  <c r="M586" i="26"/>
  <c r="M578" i="26"/>
  <c r="M574" i="26"/>
  <c r="M546" i="26"/>
  <c r="M358" i="26"/>
  <c r="M996" i="26"/>
  <c r="M980" i="26"/>
  <c r="M976" i="26"/>
  <c r="M967" i="26"/>
  <c r="M963" i="26"/>
  <c r="M924" i="26"/>
  <c r="M919" i="26"/>
  <c r="M831" i="26"/>
  <c r="M811" i="26"/>
  <c r="M791" i="26"/>
  <c r="M783" i="26"/>
  <c r="M775" i="26"/>
  <c r="M771" i="26"/>
  <c r="M767" i="26"/>
  <c r="M735" i="26"/>
  <c r="M731" i="26"/>
  <c r="M727" i="26"/>
  <c r="M703" i="26"/>
  <c r="M699" i="26"/>
  <c r="M683" i="26"/>
  <c r="N175" i="26"/>
  <c r="O175" i="27" s="1"/>
  <c r="M644" i="26"/>
  <c r="M640" i="26"/>
  <c r="M636" i="26"/>
  <c r="M632" i="26"/>
  <c r="M624" i="26"/>
  <c r="M612" i="26"/>
  <c r="M608" i="26"/>
  <c r="M592" i="26"/>
  <c r="M572" i="26"/>
  <c r="M560" i="26"/>
  <c r="M480" i="26"/>
  <c r="N312" i="26"/>
  <c r="O312" i="27" s="1"/>
  <c r="N757" i="26"/>
  <c r="O757" i="27" s="1"/>
  <c r="N713" i="26"/>
  <c r="O713" i="27" s="1"/>
  <c r="M551" i="26"/>
  <c r="M359" i="26"/>
  <c r="M335" i="26"/>
  <c r="M319" i="26"/>
  <c r="N235" i="26"/>
  <c r="O235" i="27" s="1"/>
  <c r="M720" i="26"/>
  <c r="M708" i="26"/>
  <c r="M696" i="26"/>
  <c r="M692" i="26"/>
  <c r="N564" i="26"/>
  <c r="O564" i="27" s="1"/>
  <c r="N500" i="26"/>
  <c r="O500" i="27" s="1"/>
  <c r="N496" i="26"/>
  <c r="O496" i="27" s="1"/>
  <c r="N472" i="26"/>
  <c r="O472" i="27" s="1"/>
  <c r="N432" i="26"/>
  <c r="O432" i="27" s="1"/>
  <c r="N428" i="26"/>
  <c r="O428" i="27" s="1"/>
  <c r="N424" i="26"/>
  <c r="O424" i="27" s="1"/>
  <c r="N412" i="26"/>
  <c r="O412" i="27" s="1"/>
  <c r="N400" i="26"/>
  <c r="O400" i="27" s="1"/>
  <c r="M226" i="26"/>
  <c r="N60" i="26"/>
  <c r="O60" i="27" s="1"/>
  <c r="N44" i="26"/>
  <c r="O44" i="27" s="1"/>
  <c r="N36" i="26"/>
  <c r="O36" i="27" s="1"/>
  <c r="M997" i="26"/>
  <c r="N953" i="26"/>
  <c r="O953" i="27" s="1"/>
  <c r="M905" i="26"/>
  <c r="N303" i="26"/>
  <c r="O303" i="27" s="1"/>
  <c r="N267" i="26"/>
  <c r="O267" i="27" s="1"/>
  <c r="M258" i="26"/>
  <c r="N239" i="26"/>
  <c r="O239" i="27" s="1"/>
  <c r="M182" i="26"/>
  <c r="N73" i="26"/>
  <c r="O73" i="27" s="1"/>
  <c r="M68" i="26"/>
  <c r="M60" i="26"/>
  <c r="M40" i="26"/>
  <c r="M32" i="26"/>
  <c r="N902" i="26"/>
  <c r="O902" i="27" s="1"/>
  <c r="M846" i="26"/>
  <c r="M842" i="26"/>
  <c r="M818" i="26"/>
  <c r="M814" i="26"/>
  <c r="M810" i="26"/>
  <c r="M794" i="26"/>
  <c r="M762" i="26"/>
  <c r="M758" i="26"/>
  <c r="M754" i="26"/>
  <c r="M738" i="26"/>
  <c r="M734" i="26"/>
  <c r="M730" i="26"/>
  <c r="M722" i="26"/>
  <c r="M698" i="26"/>
  <c r="N694" i="26"/>
  <c r="O694" i="27" s="1"/>
  <c r="M690" i="26"/>
  <c r="M685" i="26"/>
  <c r="M585" i="26"/>
  <c r="M552" i="26"/>
  <c r="M548" i="26"/>
  <c r="M544" i="26"/>
  <c r="M536" i="26"/>
  <c r="M533" i="26"/>
  <c r="N509" i="26"/>
  <c r="O509" i="27" s="1"/>
  <c r="M348" i="26"/>
  <c r="M344" i="26"/>
  <c r="M340" i="26"/>
  <c r="M336" i="26"/>
  <c r="M332" i="26"/>
  <c r="M328" i="26"/>
  <c r="M324" i="26"/>
  <c r="M320" i="26"/>
  <c r="M195" i="26"/>
  <c r="N999" i="26"/>
  <c r="O999" i="27" s="1"/>
  <c r="M918" i="26"/>
  <c r="N666" i="26"/>
  <c r="O666" i="27" s="1"/>
  <c r="N658" i="26"/>
  <c r="O658" i="27" s="1"/>
  <c r="N589" i="26"/>
  <c r="O589" i="27" s="1"/>
  <c r="N188" i="26"/>
  <c r="O188" i="27" s="1"/>
  <c r="M67" i="26"/>
  <c r="N63" i="26"/>
  <c r="O63" i="27" s="1"/>
  <c r="M59" i="26"/>
  <c r="N31" i="26"/>
  <c r="O31" i="27" s="1"/>
  <c r="N707" i="26"/>
  <c r="O707" i="27" s="1"/>
  <c r="M562" i="26"/>
  <c r="M558" i="26"/>
  <c r="N526" i="26"/>
  <c r="O526" i="27" s="1"/>
  <c r="N522" i="26"/>
  <c r="O522" i="27" s="1"/>
  <c r="N510" i="26"/>
  <c r="O510" i="27" s="1"/>
  <c r="M506" i="26"/>
  <c r="N494" i="26"/>
  <c r="O494" i="27" s="1"/>
  <c r="N490" i="26"/>
  <c r="O490" i="27" s="1"/>
  <c r="N486" i="26"/>
  <c r="O486" i="27" s="1"/>
  <c r="N466" i="26"/>
  <c r="O466" i="27" s="1"/>
  <c r="N462" i="26"/>
  <c r="O462" i="27" s="1"/>
  <c r="N450" i="26"/>
  <c r="O450" i="27" s="1"/>
  <c r="N438" i="26"/>
  <c r="O438" i="27" s="1"/>
  <c r="N430" i="26"/>
  <c r="O430" i="27" s="1"/>
  <c r="N422" i="26"/>
  <c r="O422" i="27" s="1"/>
  <c r="N414" i="26"/>
  <c r="O414" i="27" s="1"/>
  <c r="M402" i="26"/>
  <c r="N338" i="26"/>
  <c r="O338" i="27" s="1"/>
  <c r="N330" i="26"/>
  <c r="O330" i="27" s="1"/>
  <c r="N326" i="26"/>
  <c r="O326" i="27" s="1"/>
  <c r="N322" i="26"/>
  <c r="O322" i="27" s="1"/>
  <c r="N225" i="26"/>
  <c r="O225" i="27" s="1"/>
  <c r="N448" i="26"/>
  <c r="O448" i="27" s="1"/>
  <c r="M448" i="26"/>
  <c r="M404" i="26"/>
  <c r="M380" i="26"/>
  <c r="M376" i="26"/>
  <c r="M364" i="26"/>
  <c r="N360" i="26"/>
  <c r="O360" i="27" s="1"/>
  <c r="M360" i="26"/>
  <c r="N226" i="26"/>
  <c r="O226" i="27" s="1"/>
  <c r="M125" i="26"/>
  <c r="N364" i="26"/>
  <c r="O364" i="27" s="1"/>
  <c r="N557" i="26"/>
  <c r="O557" i="27" s="1"/>
  <c r="M557" i="26"/>
  <c r="N553" i="26"/>
  <c r="O553" i="27" s="1"/>
  <c r="N549" i="26"/>
  <c r="O549" i="27" s="1"/>
  <c r="N460" i="26"/>
  <c r="O460" i="27" s="1"/>
  <c r="N456" i="26"/>
  <c r="O456" i="27" s="1"/>
  <c r="N408" i="26"/>
  <c r="O408" i="27" s="1"/>
  <c r="N316" i="26"/>
  <c r="O316" i="27" s="1"/>
  <c r="M61" i="26"/>
  <c r="M45" i="26"/>
  <c r="M412" i="26"/>
  <c r="N772" i="26"/>
  <c r="O772" i="27" s="1"/>
  <c r="N720" i="26"/>
  <c r="O720" i="27" s="1"/>
  <c r="N667" i="26"/>
  <c r="O667" i="27" s="1"/>
  <c r="N90" i="26"/>
  <c r="O90" i="27" s="1"/>
  <c r="N762" i="26"/>
  <c r="O762" i="27" s="1"/>
  <c r="N373" i="26"/>
  <c r="O373" i="27" s="1"/>
  <c r="N416" i="26"/>
  <c r="O416" i="27" s="1"/>
  <c r="N559" i="26"/>
  <c r="O559" i="27" s="1"/>
  <c r="M559" i="26"/>
  <c r="N506" i="26"/>
  <c r="O506" i="27" s="1"/>
  <c r="N502" i="26"/>
  <c r="O502" i="27" s="1"/>
  <c r="M229" i="26"/>
  <c r="M205" i="26"/>
  <c r="N171" i="26"/>
  <c r="O171" i="27" s="1"/>
  <c r="N890" i="26"/>
  <c r="O890" i="27" s="1"/>
  <c r="N886" i="26"/>
  <c r="O886" i="27" s="1"/>
  <c r="N862" i="26"/>
  <c r="O862" i="27" s="1"/>
  <c r="N681" i="26"/>
  <c r="O681" i="27" s="1"/>
  <c r="M681" i="26"/>
  <c r="N677" i="26"/>
  <c r="O677" i="27" s="1"/>
  <c r="M623" i="26"/>
  <c r="N620" i="26"/>
  <c r="O620" i="27" s="1"/>
  <c r="M615" i="26"/>
  <c r="N604" i="26"/>
  <c r="O604" i="27" s="1"/>
  <c r="N600" i="26"/>
  <c r="O600" i="27" s="1"/>
  <c r="N580" i="26"/>
  <c r="O580" i="27" s="1"/>
  <c r="N576" i="26"/>
  <c r="O576" i="27" s="1"/>
  <c r="M567" i="26"/>
  <c r="N339" i="26"/>
  <c r="O339" i="27" s="1"/>
  <c r="M294" i="26"/>
  <c r="M262" i="26"/>
  <c r="M41" i="26"/>
  <c r="M37" i="26"/>
  <c r="N967" i="26"/>
  <c r="O967" i="27" s="1"/>
  <c r="M958" i="26"/>
  <c r="M954" i="26"/>
  <c r="N951" i="26"/>
  <c r="O951" i="27" s="1"/>
  <c r="M950" i="26"/>
  <c r="N947" i="26"/>
  <c r="O947" i="27" s="1"/>
  <c r="M943" i="26"/>
  <c r="N841" i="26"/>
  <c r="O841" i="27" s="1"/>
  <c r="M829" i="26"/>
  <c r="N825" i="26"/>
  <c r="O825" i="27" s="1"/>
  <c r="M820" i="26"/>
  <c r="M816" i="26"/>
  <c r="M812" i="26"/>
  <c r="N805" i="26"/>
  <c r="O805" i="27" s="1"/>
  <c r="M789" i="26"/>
  <c r="M785" i="26"/>
  <c r="M761" i="26"/>
  <c r="M757" i="26"/>
  <c r="M756" i="26"/>
  <c r="N753" i="26"/>
  <c r="O753" i="27" s="1"/>
  <c r="N749" i="26"/>
  <c r="O749" i="27" s="1"/>
  <c r="N745" i="26"/>
  <c r="O745" i="27" s="1"/>
  <c r="M744" i="26"/>
  <c r="N741" i="26"/>
  <c r="O741" i="27" s="1"/>
  <c r="M740" i="26"/>
  <c r="M736" i="26"/>
  <c r="M733" i="26"/>
  <c r="M724" i="26"/>
  <c r="N697" i="26"/>
  <c r="O697" i="27" s="1"/>
  <c r="M663" i="26"/>
  <c r="M660" i="26"/>
  <c r="M659" i="26"/>
  <c r="N563" i="26"/>
  <c r="O563" i="27" s="1"/>
  <c r="N558" i="26"/>
  <c r="O558" i="27" s="1"/>
  <c r="N550" i="26"/>
  <c r="O550" i="27" s="1"/>
  <c r="N542" i="26"/>
  <c r="O542" i="27" s="1"/>
  <c r="M541" i="26"/>
  <c r="M538" i="26"/>
  <c r="M534" i="26"/>
  <c r="N521" i="26"/>
  <c r="O521" i="27" s="1"/>
  <c r="N517" i="26"/>
  <c r="O517" i="27" s="1"/>
  <c r="M496" i="26"/>
  <c r="M488" i="26"/>
  <c r="M476" i="26"/>
  <c r="M468" i="26"/>
  <c r="M464" i="26"/>
  <c r="N461" i="26"/>
  <c r="O461" i="27" s="1"/>
  <c r="M456" i="26"/>
  <c r="M432" i="26"/>
  <c r="M428" i="26"/>
  <c r="N425" i="26"/>
  <c r="O425" i="27" s="1"/>
  <c r="M420" i="26"/>
  <c r="N246" i="26"/>
  <c r="O246" i="27" s="1"/>
  <c r="N176" i="26"/>
  <c r="O176" i="27" s="1"/>
  <c r="N172" i="26"/>
  <c r="O172" i="27" s="1"/>
  <c r="N156" i="26"/>
  <c r="O156" i="27" s="1"/>
  <c r="N139" i="26"/>
  <c r="O139" i="27" s="1"/>
  <c r="N131" i="26"/>
  <c r="O131" i="27" s="1"/>
  <c r="M126" i="26"/>
  <c r="M106" i="26"/>
  <c r="N85" i="26"/>
  <c r="O85" i="27" s="1"/>
  <c r="N69" i="26"/>
  <c r="O69" i="27" s="1"/>
  <c r="N65" i="26"/>
  <c r="O65" i="27" s="1"/>
  <c r="N61" i="26"/>
  <c r="O61" i="27" s="1"/>
  <c r="N42" i="26"/>
  <c r="O42" i="27" s="1"/>
  <c r="M1000" i="26"/>
  <c r="M923" i="26"/>
  <c r="M878" i="26"/>
  <c r="N875" i="26"/>
  <c r="O875" i="27" s="1"/>
  <c r="M870" i="26"/>
  <c r="M866" i="26"/>
  <c r="N830" i="26"/>
  <c r="O830" i="27" s="1"/>
  <c r="N758" i="26"/>
  <c r="O758" i="27" s="1"/>
  <c r="N746" i="26"/>
  <c r="O746" i="27" s="1"/>
  <c r="N555" i="26"/>
  <c r="O555" i="27" s="1"/>
  <c r="N511" i="26"/>
  <c r="O511" i="27" s="1"/>
  <c r="N366" i="26"/>
  <c r="O366" i="27" s="1"/>
  <c r="M365" i="26"/>
  <c r="N362" i="26"/>
  <c r="O362" i="27" s="1"/>
  <c r="M279" i="26"/>
  <c r="M275" i="26"/>
  <c r="N264" i="26"/>
  <c r="O264" i="27" s="1"/>
  <c r="M263" i="26"/>
  <c r="M255" i="26"/>
  <c r="N211" i="26"/>
  <c r="O211" i="27" s="1"/>
  <c r="M116" i="26"/>
  <c r="N51" i="26"/>
  <c r="O51" i="27" s="1"/>
  <c r="M50" i="26"/>
  <c r="M42" i="26"/>
  <c r="N39" i="26"/>
  <c r="O39" i="27" s="1"/>
  <c r="N35" i="26"/>
  <c r="O35" i="27" s="1"/>
  <c r="M957" i="26"/>
  <c r="M952" i="26"/>
  <c r="M940" i="26"/>
  <c r="M912" i="26"/>
  <c r="M908" i="26"/>
  <c r="M827" i="26"/>
  <c r="M823" i="26"/>
  <c r="M795" i="26"/>
  <c r="M718" i="26"/>
  <c r="M714" i="26"/>
  <c r="M710" i="26"/>
  <c r="M702" i="26"/>
  <c r="M662" i="26"/>
  <c r="M443" i="26"/>
  <c r="M442" i="26"/>
  <c r="M439" i="26"/>
  <c r="M438" i="26"/>
  <c r="M434" i="26"/>
  <c r="M418" i="26"/>
  <c r="M415" i="26"/>
  <c r="M406" i="26"/>
  <c r="M341" i="26"/>
  <c r="M312" i="26"/>
  <c r="M308" i="26"/>
  <c r="M304" i="26"/>
  <c r="M240" i="26"/>
  <c r="M174" i="26"/>
  <c r="M170" i="26"/>
  <c r="M166" i="26"/>
  <c r="N150" i="26"/>
  <c r="O150" i="27" s="1"/>
  <c r="M146" i="26"/>
  <c r="M31" i="26"/>
  <c r="N46" i="26"/>
  <c r="O46" i="27" s="1"/>
  <c r="M965" i="26"/>
  <c r="M925" i="26"/>
  <c r="N876" i="26"/>
  <c r="O876" i="27" s="1"/>
  <c r="N868" i="26"/>
  <c r="O868" i="27" s="1"/>
  <c r="M859" i="26"/>
  <c r="N771" i="26"/>
  <c r="O771" i="27" s="1"/>
  <c r="N727" i="26"/>
  <c r="O727" i="27" s="1"/>
  <c r="N699" i="26"/>
  <c r="O699" i="27" s="1"/>
  <c r="N679" i="26"/>
  <c r="O679" i="27" s="1"/>
  <c r="N566" i="26"/>
  <c r="O566" i="27" s="1"/>
  <c r="N548" i="26"/>
  <c r="O548" i="27" s="1"/>
  <c r="N544" i="26"/>
  <c r="O544" i="27" s="1"/>
  <c r="N532" i="26"/>
  <c r="O532" i="27" s="1"/>
  <c r="M524" i="26"/>
  <c r="M516" i="26"/>
  <c r="M512" i="26"/>
  <c r="N508" i="26"/>
  <c r="O508" i="27" s="1"/>
  <c r="M507" i="26"/>
  <c r="N504" i="26"/>
  <c r="O504" i="27" s="1"/>
  <c r="N451" i="26"/>
  <c r="O451" i="27" s="1"/>
  <c r="N427" i="26"/>
  <c r="O427" i="27" s="1"/>
  <c r="N367" i="26"/>
  <c r="O367" i="27" s="1"/>
  <c r="M313" i="26"/>
  <c r="N261" i="26"/>
  <c r="O261" i="27" s="1"/>
  <c r="M219" i="26"/>
  <c r="M216" i="26"/>
  <c r="N195" i="26"/>
  <c r="O195" i="27" s="1"/>
  <c r="M190" i="26"/>
  <c r="N183" i="26"/>
  <c r="O183" i="27" s="1"/>
  <c r="M134" i="26"/>
  <c r="N125" i="26"/>
  <c r="O125" i="27" s="1"/>
  <c r="M104" i="26"/>
  <c r="M88" i="26"/>
  <c r="N84" i="26"/>
  <c r="O84" i="27" s="1"/>
  <c r="M537" i="26"/>
  <c r="N524" i="26"/>
  <c r="O524" i="27" s="1"/>
  <c r="M74" i="26"/>
  <c r="N74" i="26"/>
  <c r="O74" i="27" s="1"/>
  <c r="N37" i="26"/>
  <c r="O37" i="27" s="1"/>
  <c r="N33" i="26"/>
  <c r="O33" i="27" s="1"/>
  <c r="N16" i="26"/>
  <c r="O16" i="27" s="1"/>
  <c r="N12" i="26"/>
  <c r="O12" i="27" s="1"/>
  <c r="N899" i="26"/>
  <c r="O899" i="27" s="1"/>
  <c r="N895" i="26"/>
  <c r="O895" i="27" s="1"/>
  <c r="N891" i="26"/>
  <c r="O891" i="27" s="1"/>
  <c r="M871" i="26"/>
  <c r="N854" i="26"/>
  <c r="O854" i="27" s="1"/>
  <c r="N850" i="26"/>
  <c r="O850" i="27" s="1"/>
  <c r="M838" i="26"/>
  <c r="N838" i="26"/>
  <c r="O838" i="27" s="1"/>
  <c r="N802" i="26"/>
  <c r="O802" i="27" s="1"/>
  <c r="M797" i="26"/>
  <c r="N790" i="26"/>
  <c r="O790" i="27" s="1"/>
  <c r="N765" i="26"/>
  <c r="O765" i="27" s="1"/>
  <c r="M639" i="26"/>
  <c r="M587" i="26"/>
  <c r="M571" i="26"/>
  <c r="N207" i="26"/>
  <c r="O207" i="27" s="1"/>
  <c r="M964" i="26"/>
  <c r="M961" i="26"/>
  <c r="N961" i="26"/>
  <c r="O961" i="27" s="1"/>
  <c r="N228" i="26"/>
  <c r="O228" i="27" s="1"/>
  <c r="M228" i="26"/>
  <c r="N761" i="26"/>
  <c r="O761" i="27" s="1"/>
  <c r="N47" i="26"/>
  <c r="O47" i="27" s="1"/>
  <c r="N30" i="26"/>
  <c r="O30" i="27" s="1"/>
  <c r="N26" i="26"/>
  <c r="O26" i="27" s="1"/>
  <c r="M749" i="26"/>
  <c r="N538" i="26"/>
  <c r="O538" i="27" s="1"/>
  <c r="M971" i="26"/>
  <c r="M723" i="26"/>
  <c r="N723" i="26"/>
  <c r="O723" i="27" s="1"/>
  <c r="N719" i="26"/>
  <c r="O719" i="27" s="1"/>
  <c r="M719" i="26"/>
  <c r="M711" i="26"/>
  <c r="N632" i="26"/>
  <c r="O632" i="27" s="1"/>
  <c r="N572" i="26"/>
  <c r="O572" i="27" s="1"/>
  <c r="N258" i="26"/>
  <c r="O258" i="27" s="1"/>
  <c r="N196" i="26"/>
  <c r="O196" i="27" s="1"/>
  <c r="M91" i="26"/>
  <c r="N537" i="26"/>
  <c r="O537" i="27" s="1"/>
  <c r="N67" i="26"/>
  <c r="O67" i="27" s="1"/>
  <c r="M400" i="26"/>
  <c r="M542" i="26"/>
  <c r="M566" i="26"/>
  <c r="N913" i="26"/>
  <c r="O913" i="27" s="1"/>
  <c r="N905" i="26"/>
  <c r="O905" i="27" s="1"/>
  <c r="M303" i="26"/>
  <c r="M291" i="26"/>
  <c r="M688" i="26"/>
  <c r="M549" i="26"/>
  <c r="N776" i="26"/>
  <c r="O776" i="27" s="1"/>
  <c r="N708" i="26"/>
  <c r="O708" i="27" s="1"/>
  <c r="N479" i="26"/>
  <c r="O479" i="27" s="1"/>
  <c r="N398" i="26"/>
  <c r="O398" i="27" s="1"/>
  <c r="N386" i="26"/>
  <c r="O386" i="27" s="1"/>
  <c r="M370" i="26"/>
  <c r="M329" i="26"/>
  <c r="N251" i="26"/>
  <c r="O251" i="27" s="1"/>
  <c r="N243" i="26"/>
  <c r="O243" i="27" s="1"/>
  <c r="M233" i="26"/>
  <c r="M999" i="26"/>
  <c r="N916" i="26"/>
  <c r="O916" i="27" s="1"/>
  <c r="M900" i="26"/>
  <c r="M887" i="26"/>
  <c r="N884" i="26"/>
  <c r="O884" i="27" s="1"/>
  <c r="M883" i="26"/>
  <c r="N855" i="26"/>
  <c r="O855" i="27" s="1"/>
  <c r="M854" i="26"/>
  <c r="N851" i="26"/>
  <c r="O851" i="27" s="1"/>
  <c r="M850" i="26"/>
  <c r="N843" i="26"/>
  <c r="O843" i="27" s="1"/>
  <c r="N797" i="26"/>
  <c r="O797" i="27" s="1"/>
  <c r="M781" i="26"/>
  <c r="M780" i="26"/>
  <c r="M772" i="26"/>
  <c r="N724" i="26"/>
  <c r="O724" i="27" s="1"/>
  <c r="N687" i="26"/>
  <c r="O687" i="27" s="1"/>
  <c r="M664" i="26"/>
  <c r="N615" i="26"/>
  <c r="O615" i="27" s="1"/>
  <c r="N599" i="26"/>
  <c r="O599" i="27" s="1"/>
  <c r="N541" i="26"/>
  <c r="O541" i="27" s="1"/>
  <c r="N533" i="26"/>
  <c r="O533" i="27" s="1"/>
  <c r="M529" i="26"/>
  <c r="M528" i="26"/>
  <c r="N525" i="26"/>
  <c r="O525" i="27" s="1"/>
  <c r="M520" i="26"/>
  <c r="N513" i="26"/>
  <c r="O513" i="27" s="1"/>
  <c r="M500" i="26"/>
  <c r="N492" i="26"/>
  <c r="O492" i="27" s="1"/>
  <c r="N480" i="26"/>
  <c r="O480" i="27" s="1"/>
  <c r="M455" i="26"/>
  <c r="N436" i="26"/>
  <c r="O436" i="27" s="1"/>
  <c r="M427" i="26"/>
  <c r="M378" i="26"/>
  <c r="N313" i="26"/>
  <c r="O313" i="27" s="1"/>
  <c r="N299" i="26"/>
  <c r="O299" i="27" s="1"/>
  <c r="N259" i="26"/>
  <c r="O259" i="27" s="1"/>
  <c r="M203" i="26"/>
  <c r="M186" i="26"/>
  <c r="N181" i="26"/>
  <c r="O181" i="27" s="1"/>
  <c r="M163" i="26"/>
  <c r="N147" i="26"/>
  <c r="O147" i="27" s="1"/>
  <c r="N143" i="26"/>
  <c r="O143" i="27" s="1"/>
  <c r="N113" i="26"/>
  <c r="O113" i="27" s="1"/>
  <c r="M112" i="26"/>
  <c r="N109" i="26"/>
  <c r="O109" i="27" s="1"/>
  <c r="N50" i="26"/>
  <c r="O50" i="27" s="1"/>
  <c r="M46" i="26"/>
  <c r="N34" i="26"/>
  <c r="O34" i="27" s="1"/>
  <c r="M33" i="26"/>
  <c r="N21" i="26"/>
  <c r="O21" i="27" s="1"/>
  <c r="N17" i="26"/>
  <c r="O17" i="27" s="1"/>
  <c r="M13" i="26"/>
  <c r="N997" i="26"/>
  <c r="O997" i="27" s="1"/>
  <c r="N981" i="26"/>
  <c r="O981" i="27" s="1"/>
  <c r="M968" i="26"/>
  <c r="M926" i="26"/>
  <c r="M913" i="26"/>
  <c r="N856" i="26"/>
  <c r="O856" i="27" s="1"/>
  <c r="N844" i="26"/>
  <c r="O844" i="27" s="1"/>
  <c r="N831" i="26"/>
  <c r="O831" i="27" s="1"/>
  <c r="M830" i="26"/>
  <c r="N815" i="26"/>
  <c r="O815" i="27" s="1"/>
  <c r="N811" i="26"/>
  <c r="O811" i="27" s="1"/>
  <c r="N787" i="26"/>
  <c r="O787" i="27" s="1"/>
  <c r="N766" i="26"/>
  <c r="O766" i="27" s="1"/>
  <c r="N738" i="26"/>
  <c r="O738" i="27" s="1"/>
  <c r="N734" i="26"/>
  <c r="O734" i="27" s="1"/>
  <c r="N633" i="26"/>
  <c r="O633" i="27" s="1"/>
  <c r="N605" i="26"/>
  <c r="O605" i="27" s="1"/>
  <c r="M576" i="26"/>
  <c r="N573" i="26"/>
  <c r="O573" i="27" s="1"/>
  <c r="N560" i="26"/>
  <c r="O560" i="27" s="1"/>
  <c r="N421" i="26"/>
  <c r="O421" i="27" s="1"/>
  <c r="N396" i="26"/>
  <c r="O396" i="27" s="1"/>
  <c r="N376" i="26"/>
  <c r="O376" i="27" s="1"/>
  <c r="M371" i="26"/>
  <c r="M338" i="26"/>
  <c r="M334" i="26"/>
  <c r="M326" i="26"/>
  <c r="M318" i="26"/>
  <c r="N297" i="26"/>
  <c r="O297" i="27" s="1"/>
  <c r="M292" i="26"/>
  <c r="N265" i="26"/>
  <c r="O265" i="27" s="1"/>
  <c r="M264" i="26"/>
  <c r="N231" i="26"/>
  <c r="O231" i="27" s="1"/>
  <c r="N214" i="26"/>
  <c r="O214" i="27" s="1"/>
  <c r="N201" i="26"/>
  <c r="O201" i="27" s="1"/>
  <c r="M196" i="26"/>
  <c r="M156" i="26"/>
  <c r="M131" i="26"/>
  <c r="N119" i="26"/>
  <c r="O119" i="27" s="1"/>
  <c r="N110" i="26"/>
  <c r="O110" i="27" s="1"/>
  <c r="N89" i="26"/>
  <c r="O89" i="27" s="1"/>
  <c r="M80" i="26"/>
  <c r="N77" i="26"/>
  <c r="O77" i="27" s="1"/>
  <c r="M76" i="26"/>
  <c r="M47" i="26"/>
  <c r="M26" i="26"/>
  <c r="M894" i="26"/>
  <c r="M852" i="26"/>
  <c r="M839" i="26"/>
  <c r="M666" i="26"/>
  <c r="M530" i="26"/>
  <c r="M526" i="26"/>
  <c r="M522" i="26"/>
  <c r="M514" i="26"/>
  <c r="M510" i="26"/>
  <c r="M493" i="26"/>
  <c r="M465" i="26"/>
  <c r="M450" i="26"/>
  <c r="M449" i="26"/>
  <c r="M429" i="26"/>
  <c r="M421" i="26"/>
  <c r="M392" i="26"/>
  <c r="M388" i="26"/>
  <c r="M210" i="26"/>
  <c r="M209" i="26"/>
  <c r="M206" i="26"/>
  <c r="M157" i="26"/>
  <c r="M72" i="26"/>
  <c r="N56" i="26"/>
  <c r="O56" i="27" s="1"/>
  <c r="M44" i="26"/>
  <c r="M11" i="26"/>
  <c r="M989" i="26"/>
  <c r="M977" i="26"/>
  <c r="M973" i="26"/>
  <c r="N940" i="26"/>
  <c r="O940" i="27" s="1"/>
  <c r="N915" i="26"/>
  <c r="O915" i="27" s="1"/>
  <c r="M902" i="26"/>
  <c r="N874" i="26"/>
  <c r="O874" i="27" s="1"/>
  <c r="N836" i="26"/>
  <c r="O836" i="27" s="1"/>
  <c r="M828" i="26"/>
  <c r="M824" i="26"/>
  <c r="N820" i="26"/>
  <c r="O820" i="27" s="1"/>
  <c r="M819" i="26"/>
  <c r="N816" i="26"/>
  <c r="O816" i="27" s="1"/>
  <c r="M787" i="26"/>
  <c r="N767" i="26"/>
  <c r="O767" i="27" s="1"/>
  <c r="M763" i="26"/>
  <c r="M759" i="26"/>
  <c r="N755" i="26"/>
  <c r="O755" i="27" s="1"/>
  <c r="N751" i="26"/>
  <c r="O751" i="27" s="1"/>
  <c r="M750" i="26"/>
  <c r="N747" i="26"/>
  <c r="O747" i="27" s="1"/>
  <c r="M746" i="26"/>
  <c r="M743" i="26"/>
  <c r="M739" i="26"/>
  <c r="M675" i="26"/>
  <c r="N672" i="26"/>
  <c r="O672" i="27" s="1"/>
  <c r="M667" i="26"/>
  <c r="N659" i="26"/>
  <c r="O659" i="27" s="1"/>
  <c r="N646" i="26"/>
  <c r="O646" i="27" s="1"/>
  <c r="N638" i="26"/>
  <c r="O638" i="27" s="1"/>
  <c r="N634" i="26"/>
  <c r="O634" i="27" s="1"/>
  <c r="M630" i="26"/>
  <c r="N626" i="26"/>
  <c r="O626" i="27" s="1"/>
  <c r="M625" i="26"/>
  <c r="M622" i="26"/>
  <c r="N618" i="26"/>
  <c r="O618" i="27" s="1"/>
  <c r="M589" i="26"/>
  <c r="M570" i="26"/>
  <c r="M564" i="26"/>
  <c r="M540" i="26"/>
  <c r="M539" i="26"/>
  <c r="N507" i="26"/>
  <c r="O507" i="27" s="1"/>
  <c r="M502" i="26"/>
  <c r="N478" i="26"/>
  <c r="O478" i="27" s="1"/>
  <c r="N434" i="26"/>
  <c r="O434" i="27" s="1"/>
  <c r="M339" i="26"/>
  <c r="M307" i="26"/>
  <c r="M302" i="26"/>
  <c r="M301" i="26"/>
  <c r="N290" i="26"/>
  <c r="O290" i="27" s="1"/>
  <c r="M286" i="26"/>
  <c r="M285" i="26"/>
  <c r="M281" i="26"/>
  <c r="N278" i="26"/>
  <c r="O278" i="27" s="1"/>
  <c r="N274" i="26"/>
  <c r="O274" i="27" s="1"/>
  <c r="M270" i="26"/>
  <c r="M269" i="26"/>
  <c r="N262" i="26"/>
  <c r="O262" i="27" s="1"/>
  <c r="N232" i="26"/>
  <c r="O232" i="27" s="1"/>
  <c r="N198" i="26"/>
  <c r="O198" i="27" s="1"/>
  <c r="N184" i="26"/>
  <c r="O184" i="27" s="1"/>
  <c r="M120" i="26"/>
  <c r="M105" i="26"/>
  <c r="M98" i="26"/>
  <c r="N86" i="26"/>
  <c r="O86" i="27" s="1"/>
  <c r="M69" i="26"/>
  <c r="N28" i="26"/>
  <c r="O28" i="27" s="1"/>
  <c r="N23" i="26"/>
  <c r="O23" i="27" s="1"/>
  <c r="M879" i="26"/>
  <c r="N879" i="26"/>
  <c r="O879" i="27" s="1"/>
  <c r="N867" i="26"/>
  <c r="O867" i="27" s="1"/>
  <c r="M867" i="26"/>
  <c r="N29" i="26"/>
  <c r="O29" i="27" s="1"/>
  <c r="M29" i="26"/>
  <c r="N616" i="26"/>
  <c r="O616" i="27" s="1"/>
  <c r="M616" i="26"/>
  <c r="M862" i="26"/>
  <c r="N969" i="26"/>
  <c r="O969" i="27" s="1"/>
  <c r="M969" i="26"/>
  <c r="M372" i="26"/>
  <c r="N372" i="26"/>
  <c r="O372" i="27" s="1"/>
  <c r="N140" i="26"/>
  <c r="O140" i="27" s="1"/>
  <c r="M140" i="26"/>
  <c r="N853" i="26"/>
  <c r="O853" i="27" s="1"/>
  <c r="M853" i="26"/>
  <c r="N498" i="26"/>
  <c r="O498" i="27" s="1"/>
  <c r="M498" i="26"/>
  <c r="N458" i="26"/>
  <c r="O458" i="27" s="1"/>
  <c r="M458" i="26"/>
  <c r="N454" i="26"/>
  <c r="O454" i="27" s="1"/>
  <c r="M454" i="26"/>
  <c r="N149" i="26"/>
  <c r="O149" i="27" s="1"/>
  <c r="M149" i="26"/>
  <c r="N806" i="26"/>
  <c r="O806" i="27" s="1"/>
  <c r="M806" i="26"/>
  <c r="N100" i="26"/>
  <c r="O100" i="27" s="1"/>
  <c r="M100" i="26"/>
  <c r="N978" i="26"/>
  <c r="O978" i="27" s="1"/>
  <c r="M974" i="26"/>
  <c r="N935" i="26"/>
  <c r="O935" i="27" s="1"/>
  <c r="M927" i="26"/>
  <c r="N789" i="26"/>
  <c r="O789" i="27" s="1"/>
  <c r="N662" i="26"/>
  <c r="O662" i="27" s="1"/>
  <c r="N624" i="26"/>
  <c r="O624" i="27" s="1"/>
  <c r="M503" i="26"/>
  <c r="N413" i="26"/>
  <c r="O413" i="27" s="1"/>
  <c r="M310" i="26"/>
  <c r="M51" i="26"/>
  <c r="M278" i="26"/>
  <c r="M741" i="26"/>
  <c r="M732" i="26"/>
  <c r="M995" i="26"/>
  <c r="M983" i="26"/>
  <c r="M978" i="26"/>
  <c r="N970" i="26"/>
  <c r="O970" i="27" s="1"/>
  <c r="N965" i="26"/>
  <c r="O965" i="27" s="1"/>
  <c r="M960" i="26"/>
  <c r="N952" i="26"/>
  <c r="O952" i="27" s="1"/>
  <c r="M936" i="26"/>
  <c r="M935" i="26"/>
  <c r="M931" i="26"/>
  <c r="N918" i="26"/>
  <c r="O918" i="27" s="1"/>
  <c r="M876" i="26"/>
  <c r="N846" i="26"/>
  <c r="O846" i="27" s="1"/>
  <c r="M840" i="26"/>
  <c r="N827" i="26"/>
  <c r="O827" i="27" s="1"/>
  <c r="M802" i="26"/>
  <c r="N728" i="26"/>
  <c r="O728" i="27" s="1"/>
  <c r="N698" i="26"/>
  <c r="O698" i="27" s="1"/>
  <c r="N668" i="26"/>
  <c r="O668" i="27" s="1"/>
  <c r="N609" i="26"/>
  <c r="O609" i="27" s="1"/>
  <c r="M605" i="26"/>
  <c r="N540" i="26"/>
  <c r="O540" i="27" s="1"/>
  <c r="N491" i="26"/>
  <c r="O491" i="27" s="1"/>
  <c r="M490" i="26"/>
  <c r="N410" i="26"/>
  <c r="O410" i="27" s="1"/>
  <c r="N361" i="26"/>
  <c r="O361" i="27" s="1"/>
  <c r="N222" i="26"/>
  <c r="O222" i="27" s="1"/>
  <c r="M214" i="26"/>
  <c r="N186" i="26"/>
  <c r="O186" i="27" s="1"/>
  <c r="M150" i="26"/>
  <c r="N115" i="26"/>
  <c r="O115" i="27" s="1"/>
  <c r="M115" i="26"/>
  <c r="N97" i="26"/>
  <c r="O97" i="27" s="1"/>
  <c r="M96" i="26"/>
  <c r="M634" i="26"/>
  <c r="N725" i="26"/>
  <c r="O725" i="27" s="1"/>
  <c r="M745" i="26"/>
  <c r="M836" i="26"/>
  <c r="N984" i="26"/>
  <c r="O984" i="27" s="1"/>
  <c r="M975" i="26"/>
  <c r="N937" i="26"/>
  <c r="O937" i="27" s="1"/>
  <c r="M911" i="26"/>
  <c r="M907" i="26"/>
  <c r="N903" i="26"/>
  <c r="O903" i="27" s="1"/>
  <c r="N860" i="26"/>
  <c r="O860" i="27" s="1"/>
  <c r="M855" i="26"/>
  <c r="N847" i="26"/>
  <c r="O847" i="27" s="1"/>
  <c r="N842" i="26"/>
  <c r="O842" i="27" s="1"/>
  <c r="M832" i="26"/>
  <c r="M665" i="26"/>
  <c r="N665" i="26"/>
  <c r="O665" i="27" s="1"/>
  <c r="N546" i="26"/>
  <c r="O546" i="27" s="1"/>
  <c r="N370" i="26"/>
  <c r="O370" i="27" s="1"/>
  <c r="M124" i="26"/>
  <c r="N124" i="26"/>
  <c r="O124" i="27" s="1"/>
  <c r="N630" i="26"/>
  <c r="O630" i="27" s="1"/>
  <c r="N81" i="26"/>
  <c r="O81" i="27" s="1"/>
  <c r="N10" i="26"/>
  <c r="O10" i="27" s="1"/>
  <c r="N529" i="26"/>
  <c r="O529" i="27" s="1"/>
  <c r="M274" i="26"/>
  <c r="M316" i="26"/>
  <c r="M638" i="26"/>
  <c r="M672" i="26"/>
  <c r="M753" i="26"/>
  <c r="M915" i="26"/>
  <c r="M1002" i="26"/>
  <c r="M993" i="26"/>
  <c r="M992" i="26"/>
  <c r="M984" i="26"/>
  <c r="M953" i="26"/>
  <c r="M930" i="26"/>
  <c r="M903" i="26"/>
  <c r="M860" i="26"/>
  <c r="N489" i="26"/>
  <c r="O489" i="27" s="1"/>
  <c r="M489" i="26"/>
  <c r="N358" i="26"/>
  <c r="O358" i="27" s="1"/>
  <c r="N350" i="26"/>
  <c r="O350" i="27" s="1"/>
  <c r="N342" i="26"/>
  <c r="O342" i="27" s="1"/>
  <c r="M250" i="26"/>
  <c r="N148" i="26"/>
  <c r="O148" i="27" s="1"/>
  <c r="M148" i="26"/>
  <c r="N138" i="26"/>
  <c r="O138" i="27" s="1"/>
  <c r="N975" i="26"/>
  <c r="O975" i="27" s="1"/>
  <c r="N832" i="26"/>
  <c r="O832" i="27" s="1"/>
  <c r="M398" i="26"/>
  <c r="N503" i="26"/>
  <c r="O503" i="27" s="1"/>
  <c r="M504" i="26"/>
  <c r="M21" i="26"/>
  <c r="M600" i="26"/>
  <c r="M618" i="26"/>
  <c r="N968" i="26"/>
  <c r="O968" i="27" s="1"/>
  <c r="N963" i="26"/>
  <c r="O963" i="27" s="1"/>
  <c r="M962" i="26"/>
  <c r="N954" i="26"/>
  <c r="O954" i="27" s="1"/>
  <c r="N887" i="26"/>
  <c r="O887" i="27" s="1"/>
  <c r="M882" i="26"/>
  <c r="N878" i="26"/>
  <c r="O878" i="27" s="1"/>
  <c r="N866" i="26"/>
  <c r="O866" i="27" s="1"/>
  <c r="M834" i="26"/>
  <c r="N822" i="26"/>
  <c r="O822" i="27" s="1"/>
  <c r="N809" i="26"/>
  <c r="O809" i="27" s="1"/>
  <c r="N722" i="26"/>
  <c r="O722" i="27" s="1"/>
  <c r="N705" i="26"/>
  <c r="O705" i="27" s="1"/>
  <c r="N692" i="26"/>
  <c r="O692" i="27" s="1"/>
  <c r="M603" i="26"/>
  <c r="N469" i="26"/>
  <c r="O469" i="27" s="1"/>
  <c r="N445" i="26"/>
  <c r="O445" i="27" s="1"/>
  <c r="M433" i="26"/>
  <c r="N284" i="26"/>
  <c r="O284" i="27" s="1"/>
  <c r="N280" i="26"/>
  <c r="O280" i="27" s="1"/>
  <c r="N276" i="26"/>
  <c r="O276" i="27" s="1"/>
  <c r="N272" i="26"/>
  <c r="O272" i="27" s="1"/>
  <c r="N268" i="26"/>
  <c r="O268" i="27" s="1"/>
  <c r="M180" i="26"/>
  <c r="N180" i="26"/>
  <c r="O180" i="27" s="1"/>
  <c r="N127" i="26"/>
  <c r="O127" i="27" s="1"/>
  <c r="N733" i="26"/>
  <c r="O733" i="27" s="1"/>
  <c r="M728" i="26"/>
  <c r="N718" i="26"/>
  <c r="O718" i="27" s="1"/>
  <c r="M713" i="26"/>
  <c r="N706" i="26"/>
  <c r="O706" i="27" s="1"/>
  <c r="N685" i="26"/>
  <c r="O685" i="27" s="1"/>
  <c r="N675" i="26"/>
  <c r="O675" i="27" s="1"/>
  <c r="M652" i="26"/>
  <c r="M621" i="26"/>
  <c r="N617" i="26"/>
  <c r="O617" i="27" s="1"/>
  <c r="N586" i="26"/>
  <c r="O586" i="27" s="1"/>
  <c r="N574" i="26"/>
  <c r="O574" i="27" s="1"/>
  <c r="M573" i="26"/>
  <c r="N536" i="26"/>
  <c r="O536" i="27" s="1"/>
  <c r="N528" i="26"/>
  <c r="O528" i="27" s="1"/>
  <c r="N520" i="26"/>
  <c r="O520" i="27" s="1"/>
  <c r="N516" i="26"/>
  <c r="O516" i="27" s="1"/>
  <c r="N495" i="26"/>
  <c r="O495" i="27" s="1"/>
  <c r="M494" i="26"/>
  <c r="M481" i="26"/>
  <c r="M478" i="26"/>
  <c r="N474" i="26"/>
  <c r="O474" i="27" s="1"/>
  <c r="N470" i="26"/>
  <c r="O470" i="27" s="1"/>
  <c r="N449" i="26"/>
  <c r="O449" i="27" s="1"/>
  <c r="M426" i="26"/>
  <c r="M423" i="26"/>
  <c r="M422" i="26"/>
  <c r="N418" i="26"/>
  <c r="O418" i="27" s="1"/>
  <c r="M414" i="26"/>
  <c r="M405" i="26"/>
  <c r="N401" i="26"/>
  <c r="O401" i="27" s="1"/>
  <c r="M397" i="26"/>
  <c r="M396" i="26"/>
  <c r="N392" i="26"/>
  <c r="O392" i="27" s="1"/>
  <c r="N384" i="26"/>
  <c r="O384" i="27" s="1"/>
  <c r="N380" i="26"/>
  <c r="O380" i="27" s="1"/>
  <c r="N289" i="26"/>
  <c r="O289" i="27" s="1"/>
  <c r="N285" i="26"/>
  <c r="O285" i="27" s="1"/>
  <c r="N273" i="26"/>
  <c r="O273" i="27" s="1"/>
  <c r="N250" i="26"/>
  <c r="O250" i="27" s="1"/>
  <c r="M238" i="26"/>
  <c r="N157" i="26"/>
  <c r="O157" i="27" s="1"/>
  <c r="M138" i="26"/>
  <c r="M130" i="26"/>
  <c r="M81" i="26"/>
  <c r="N72" i="26"/>
  <c r="O72" i="27" s="1"/>
  <c r="N68" i="26"/>
  <c r="O68" i="27" s="1"/>
  <c r="N52" i="26"/>
  <c r="O52" i="27" s="1"/>
  <c r="M837" i="26"/>
  <c r="N803" i="26"/>
  <c r="O803" i="27" s="1"/>
  <c r="M725" i="26"/>
  <c r="N715" i="26"/>
  <c r="O715" i="27" s="1"/>
  <c r="N690" i="26"/>
  <c r="O690" i="27" s="1"/>
  <c r="N669" i="26"/>
  <c r="O669" i="27" s="1"/>
  <c r="N663" i="26"/>
  <c r="O663" i="27" s="1"/>
  <c r="N631" i="26"/>
  <c r="O631" i="27" s="1"/>
  <c r="N610" i="26"/>
  <c r="O610" i="27" s="1"/>
  <c r="N592" i="26"/>
  <c r="O592" i="27" s="1"/>
  <c r="N579" i="26"/>
  <c r="O579" i="27" s="1"/>
  <c r="M550" i="26"/>
  <c r="N543" i="26"/>
  <c r="O543" i="27" s="1"/>
  <c r="N487" i="26"/>
  <c r="O487" i="27" s="1"/>
  <c r="M466" i="26"/>
  <c r="N463" i="26"/>
  <c r="O463" i="27" s="1"/>
  <c r="M459" i="26"/>
  <c r="N455" i="26"/>
  <c r="O455" i="27" s="1"/>
  <c r="M436" i="26"/>
  <c r="N420" i="26"/>
  <c r="O420" i="27" s="1"/>
  <c r="M386" i="26"/>
  <c r="N381" i="26"/>
  <c r="O381" i="27" s="1"/>
  <c r="N343" i="26"/>
  <c r="O343" i="27" s="1"/>
  <c r="M342" i="26"/>
  <c r="N329" i="26"/>
  <c r="O329" i="27" s="1"/>
  <c r="N308" i="26"/>
  <c r="O308" i="27" s="1"/>
  <c r="N304" i="26"/>
  <c r="O304" i="27" s="1"/>
  <c r="N295" i="26"/>
  <c r="O295" i="27" s="1"/>
  <c r="N270" i="26"/>
  <c r="O270" i="27" s="1"/>
  <c r="N266" i="26"/>
  <c r="O266" i="27" s="1"/>
  <c r="N230" i="26"/>
  <c r="O230" i="27" s="1"/>
  <c r="M172" i="26"/>
  <c r="N166" i="26"/>
  <c r="O166" i="27" s="1"/>
  <c r="N158" i="26"/>
  <c r="O158" i="27" s="1"/>
  <c r="N122" i="26"/>
  <c r="O122" i="27" s="1"/>
  <c r="N49" i="26"/>
  <c r="O49" i="27" s="1"/>
  <c r="M48" i="26"/>
  <c r="M43" i="26"/>
  <c r="M18" i="26"/>
  <c r="N15" i="26"/>
  <c r="O15" i="27" s="1"/>
  <c r="M14" i="26"/>
  <c r="M10" i="26"/>
  <c r="M843" i="26"/>
  <c r="M825" i="26"/>
  <c r="M803" i="26"/>
  <c r="M760" i="26"/>
  <c r="M752" i="26"/>
  <c r="M716" i="26"/>
  <c r="M715" i="26"/>
  <c r="M712" i="26"/>
  <c r="M694" i="26"/>
  <c r="M686" i="26"/>
  <c r="M596" i="26"/>
  <c r="M593" i="26"/>
  <c r="M583" i="26"/>
  <c r="M579" i="26"/>
  <c r="M525" i="26"/>
  <c r="M517" i="26"/>
  <c r="M513" i="26"/>
  <c r="M487" i="26"/>
  <c r="M475" i="26"/>
  <c r="M472" i="26"/>
  <c r="M424" i="26"/>
  <c r="M381" i="26"/>
  <c r="M368" i="26"/>
  <c r="M283" i="26"/>
  <c r="M230" i="26"/>
  <c r="M211" i="26"/>
  <c r="M197" i="26"/>
  <c r="M188" i="26"/>
  <c r="M158" i="26"/>
  <c r="M122" i="26"/>
  <c r="M114" i="26"/>
  <c r="M89" i="26"/>
  <c r="M84" i="26"/>
  <c r="M66" i="26"/>
  <c r="M65" i="26"/>
  <c r="M62" i="26"/>
  <c r="M53" i="26"/>
  <c r="M27" i="26"/>
  <c r="N845" i="26"/>
  <c r="O845" i="27" s="1"/>
  <c r="M844" i="26"/>
  <c r="N839" i="26"/>
  <c r="O839" i="27" s="1"/>
  <c r="N835" i="26"/>
  <c r="O835" i="27" s="1"/>
  <c r="N834" i="26"/>
  <c r="O834" i="27" s="1"/>
  <c r="N812" i="26"/>
  <c r="O812" i="27" s="1"/>
  <c r="M796" i="26"/>
  <c r="M782" i="26"/>
  <c r="M778" i="26"/>
  <c r="N775" i="26"/>
  <c r="O775" i="27" s="1"/>
  <c r="M770" i="26"/>
  <c r="M769" i="26"/>
  <c r="M765" i="26"/>
  <c r="N744" i="26"/>
  <c r="O744" i="27" s="1"/>
  <c r="N731" i="26"/>
  <c r="O731" i="27" s="1"/>
  <c r="M726" i="26"/>
  <c r="N700" i="26"/>
  <c r="O700" i="27" s="1"/>
  <c r="M682" i="26"/>
  <c r="M674" i="26"/>
  <c r="M673" i="26"/>
  <c r="M670" i="26"/>
  <c r="N650" i="26"/>
  <c r="O650" i="27" s="1"/>
  <c r="M645" i="26"/>
  <c r="N641" i="26"/>
  <c r="O641" i="27" s="1"/>
  <c r="N637" i="26"/>
  <c r="O637" i="27" s="1"/>
  <c r="N611" i="26"/>
  <c r="O611" i="27" s="1"/>
  <c r="N602" i="26"/>
  <c r="O602" i="27" s="1"/>
  <c r="N562" i="26"/>
  <c r="O562" i="27" s="1"/>
  <c r="N556" i="26"/>
  <c r="O556" i="27" s="1"/>
  <c r="M555" i="26"/>
  <c r="N552" i="26"/>
  <c r="O552" i="27" s="1"/>
  <c r="N539" i="26"/>
  <c r="O539" i="27" s="1"/>
  <c r="M535" i="26"/>
  <c r="N493" i="26"/>
  <c r="O493" i="27" s="1"/>
  <c r="N488" i="26"/>
  <c r="O488" i="27" s="1"/>
  <c r="N476" i="26"/>
  <c r="O476" i="27" s="1"/>
  <c r="N452" i="26"/>
  <c r="O452" i="27" s="1"/>
  <c r="N442" i="26"/>
  <c r="O442" i="27" s="1"/>
  <c r="N429" i="26"/>
  <c r="O429" i="27" s="1"/>
  <c r="N417" i="26"/>
  <c r="O417" i="27" s="1"/>
  <c r="N403" i="26"/>
  <c r="O403" i="27" s="1"/>
  <c r="N378" i="26"/>
  <c r="O378" i="27" s="1"/>
  <c r="N352" i="26"/>
  <c r="O352" i="27" s="1"/>
  <c r="M347" i="26"/>
  <c r="N344" i="26"/>
  <c r="O344" i="27" s="1"/>
  <c r="M299" i="26"/>
  <c r="N283" i="26"/>
  <c r="O283" i="27" s="1"/>
  <c r="N263" i="26"/>
  <c r="O263" i="27" s="1"/>
  <c r="N253" i="26"/>
  <c r="O253" i="27" s="1"/>
  <c r="M235" i="26"/>
  <c r="N203" i="26"/>
  <c r="O203" i="27" s="1"/>
  <c r="M202" i="26"/>
  <c r="M171" i="26"/>
  <c r="N163" i="26"/>
  <c r="O163" i="27" s="1"/>
  <c r="M154" i="26"/>
  <c r="M90" i="26"/>
  <c r="M85" i="26"/>
  <c r="N76" i="26"/>
  <c r="O76" i="27" s="1"/>
  <c r="N45" i="26"/>
  <c r="O45" i="27" s="1"/>
  <c r="M24" i="26"/>
  <c r="N20" i="26"/>
  <c r="O20" i="27" s="1"/>
  <c r="M16" i="26"/>
  <c r="N164" i="26"/>
  <c r="O164" i="27" s="1"/>
  <c r="M164" i="26"/>
  <c r="N793" i="26"/>
  <c r="O793" i="27" s="1"/>
  <c r="M793" i="26"/>
  <c r="N642" i="26"/>
  <c r="O642" i="27" s="1"/>
  <c r="M642" i="26"/>
  <c r="M290" i="26"/>
  <c r="N656" i="26"/>
  <c r="O656" i="27" s="1"/>
  <c r="M656" i="26"/>
  <c r="N648" i="26"/>
  <c r="O648" i="27" s="1"/>
  <c r="M648" i="26"/>
  <c r="N82" i="26"/>
  <c r="O82" i="27" s="1"/>
  <c r="M82" i="26"/>
  <c r="N64" i="26"/>
  <c r="O64" i="27" s="1"/>
  <c r="M64" i="26"/>
  <c r="M822" i="26"/>
  <c r="N857" i="26"/>
  <c r="O857" i="27" s="1"/>
  <c r="M857" i="26"/>
  <c r="N768" i="26"/>
  <c r="O768" i="27" s="1"/>
  <c r="M768" i="26"/>
  <c r="N799" i="26"/>
  <c r="O799" i="27" s="1"/>
  <c r="M799" i="26"/>
  <c r="N220" i="26"/>
  <c r="O220" i="27" s="1"/>
  <c r="M220" i="26"/>
  <c r="M8" i="26"/>
  <c r="M897" i="26"/>
  <c r="N897" i="26"/>
  <c r="O897" i="27" s="1"/>
  <c r="N858" i="26"/>
  <c r="O858" i="27" s="1"/>
  <c r="M858" i="26"/>
  <c r="M774" i="26"/>
  <c r="N774" i="26"/>
  <c r="O774" i="27" s="1"/>
  <c r="N588" i="26"/>
  <c r="O588" i="27" s="1"/>
  <c r="M588" i="26"/>
  <c r="M467" i="26"/>
  <c r="N467" i="26"/>
  <c r="O467" i="27" s="1"/>
  <c r="N107" i="26"/>
  <c r="O107" i="27" s="1"/>
  <c r="M107" i="26"/>
  <c r="N695" i="26"/>
  <c r="O695" i="27" s="1"/>
  <c r="M695" i="26"/>
  <c r="N484" i="26"/>
  <c r="O484" i="27" s="1"/>
  <c r="M484" i="26"/>
  <c r="N554" i="26"/>
  <c r="O554" i="27" s="1"/>
  <c r="M554" i="26"/>
  <c r="M354" i="26"/>
  <c r="N354" i="26"/>
  <c r="O354" i="27" s="1"/>
  <c r="N941" i="26"/>
  <c r="O941" i="27" s="1"/>
  <c r="M941" i="26"/>
  <c r="N779" i="26"/>
  <c r="O779" i="27" s="1"/>
  <c r="M779" i="26"/>
  <c r="N300" i="26"/>
  <c r="O300" i="27" s="1"/>
  <c r="M300" i="26"/>
  <c r="N995" i="26"/>
  <c r="O995" i="27" s="1"/>
  <c r="N991" i="26"/>
  <c r="O991" i="27" s="1"/>
  <c r="N987" i="26"/>
  <c r="O987" i="27" s="1"/>
  <c r="N983" i="26"/>
  <c r="O983" i="27" s="1"/>
  <c r="N979" i="26"/>
  <c r="O979" i="27" s="1"/>
  <c r="N974" i="26"/>
  <c r="O974" i="27" s="1"/>
  <c r="M955" i="26"/>
  <c r="M942" i="26"/>
  <c r="N936" i="26"/>
  <c r="O936" i="27" s="1"/>
  <c r="N912" i="26"/>
  <c r="O912" i="27" s="1"/>
  <c r="N908" i="26"/>
  <c r="O908" i="27" s="1"/>
  <c r="M813" i="26"/>
  <c r="M804" i="26"/>
  <c r="M742" i="26"/>
  <c r="N714" i="26"/>
  <c r="O714" i="27" s="1"/>
  <c r="N691" i="26"/>
  <c r="O691" i="27" s="1"/>
  <c r="N652" i="26"/>
  <c r="O652" i="27" s="1"/>
  <c r="N570" i="26"/>
  <c r="O570" i="27" s="1"/>
  <c r="M561" i="26"/>
  <c r="N419" i="26"/>
  <c r="O419" i="27" s="1"/>
  <c r="M419" i="26"/>
  <c r="N404" i="26"/>
  <c r="O404" i="27" s="1"/>
  <c r="N379" i="26"/>
  <c r="O379" i="27" s="1"/>
  <c r="M379" i="26"/>
  <c r="N315" i="26"/>
  <c r="O315" i="27" s="1"/>
  <c r="M315" i="26"/>
  <c r="M306" i="26"/>
  <c r="N221" i="26"/>
  <c r="O221" i="27" s="1"/>
  <c r="M221" i="26"/>
  <c r="N133" i="26"/>
  <c r="O133" i="27" s="1"/>
  <c r="M133" i="26"/>
  <c r="N118" i="26"/>
  <c r="O118" i="27" s="1"/>
  <c r="M805" i="26"/>
  <c r="M580" i="26"/>
  <c r="M815" i="26"/>
  <c r="N992" i="26"/>
  <c r="O992" i="27" s="1"/>
  <c r="M991" i="26"/>
  <c r="N980" i="26"/>
  <c r="O980" i="27" s="1"/>
  <c r="M979" i="26"/>
  <c r="N955" i="26"/>
  <c r="O955" i="27" s="1"/>
  <c r="N950" i="26"/>
  <c r="O950" i="27" s="1"/>
  <c r="N946" i="26"/>
  <c r="O946" i="27" s="1"/>
  <c r="N942" i="26"/>
  <c r="O942" i="27" s="1"/>
  <c r="M937" i="26"/>
  <c r="N919" i="26"/>
  <c r="O919" i="27" s="1"/>
  <c r="M874" i="26"/>
  <c r="N871" i="26"/>
  <c r="O871" i="27" s="1"/>
  <c r="N852" i="26"/>
  <c r="O852" i="27" s="1"/>
  <c r="N840" i="26"/>
  <c r="O840" i="27" s="1"/>
  <c r="N829" i="26"/>
  <c r="O829" i="27" s="1"/>
  <c r="N828" i="26"/>
  <c r="O828" i="27" s="1"/>
  <c r="N824" i="26"/>
  <c r="O824" i="27" s="1"/>
  <c r="N823" i="26"/>
  <c r="O823" i="27" s="1"/>
  <c r="N819" i="26"/>
  <c r="O819" i="27" s="1"/>
  <c r="N818" i="26"/>
  <c r="O818" i="27" s="1"/>
  <c r="N814" i="26"/>
  <c r="O814" i="27" s="1"/>
  <c r="N813" i="26"/>
  <c r="O813" i="27" s="1"/>
  <c r="M809" i="26"/>
  <c r="N804" i="26"/>
  <c r="O804" i="27" s="1"/>
  <c r="N795" i="26"/>
  <c r="O795" i="27" s="1"/>
  <c r="M790" i="26"/>
  <c r="N785" i="26"/>
  <c r="O785" i="27" s="1"/>
  <c r="N780" i="26"/>
  <c r="O780" i="27" s="1"/>
  <c r="N769" i="26"/>
  <c r="O769" i="27" s="1"/>
  <c r="N759" i="26"/>
  <c r="O759" i="27" s="1"/>
  <c r="N743" i="26"/>
  <c r="O743" i="27" s="1"/>
  <c r="N742" i="26"/>
  <c r="O742" i="27" s="1"/>
  <c r="N710" i="26"/>
  <c r="O710" i="27" s="1"/>
  <c r="M705" i="26"/>
  <c r="N702" i="26"/>
  <c r="O702" i="27" s="1"/>
  <c r="N674" i="26"/>
  <c r="O674" i="27" s="1"/>
  <c r="N664" i="26"/>
  <c r="O664" i="27" s="1"/>
  <c r="M629" i="26"/>
  <c r="M620" i="26"/>
  <c r="N608" i="26"/>
  <c r="O608" i="27" s="1"/>
  <c r="N603" i="26"/>
  <c r="O603" i="27" s="1"/>
  <c r="N594" i="26"/>
  <c r="O594" i="27" s="1"/>
  <c r="N590" i="26"/>
  <c r="O590" i="27" s="1"/>
  <c r="N551" i="26"/>
  <c r="O551" i="27" s="1"/>
  <c r="N499" i="26"/>
  <c r="O499" i="27" s="1"/>
  <c r="M495" i="26"/>
  <c r="N477" i="26"/>
  <c r="O477" i="27" s="1"/>
  <c r="M477" i="26"/>
  <c r="M452" i="26"/>
  <c r="N409" i="26"/>
  <c r="O409" i="27" s="1"/>
  <c r="N375" i="26"/>
  <c r="O375" i="27" s="1"/>
  <c r="N369" i="26"/>
  <c r="O369" i="27" s="1"/>
  <c r="N351" i="26"/>
  <c r="O351" i="27" s="1"/>
  <c r="M351" i="26"/>
  <c r="N332" i="26"/>
  <c r="O332" i="27" s="1"/>
  <c r="N324" i="26"/>
  <c r="O324" i="27" s="1"/>
  <c r="M297" i="26"/>
  <c r="N292" i="26"/>
  <c r="O292" i="27" s="1"/>
  <c r="N260" i="26"/>
  <c r="O260" i="27" s="1"/>
  <c r="M232" i="26"/>
  <c r="M225" i="26"/>
  <c r="M192" i="26"/>
  <c r="N187" i="26"/>
  <c r="O187" i="27" s="1"/>
  <c r="N134" i="26"/>
  <c r="O134" i="27" s="1"/>
  <c r="N123" i="26"/>
  <c r="O123" i="27" s="1"/>
  <c r="N114" i="26"/>
  <c r="O114" i="27" s="1"/>
  <c r="N98" i="26"/>
  <c r="O98" i="27" s="1"/>
  <c r="N83" i="26"/>
  <c r="O83" i="27" s="1"/>
  <c r="M83" i="26"/>
  <c r="N933" i="26"/>
  <c r="O933" i="27" s="1"/>
  <c r="N796" i="26"/>
  <c r="O796" i="27" s="1"/>
  <c r="N760" i="26"/>
  <c r="O760" i="27" s="1"/>
  <c r="N711" i="26"/>
  <c r="O711" i="27" s="1"/>
  <c r="N397" i="26"/>
  <c r="O397" i="27" s="1"/>
  <c r="N307" i="26"/>
  <c r="O307" i="27" s="1"/>
  <c r="N302" i="26"/>
  <c r="O302" i="27" s="1"/>
  <c r="M58" i="26"/>
  <c r="M366" i="26"/>
  <c r="M384" i="26"/>
  <c r="M602" i="26"/>
  <c r="M748" i="26"/>
  <c r="M470" i="26"/>
  <c r="M875" i="26"/>
  <c r="M947" i="26"/>
  <c r="M707" i="26"/>
  <c r="M895" i="26"/>
  <c r="N998" i="26"/>
  <c r="O998" i="27" s="1"/>
  <c r="N993" i="26"/>
  <c r="O993" i="27" s="1"/>
  <c r="N976" i="26"/>
  <c r="O976" i="27" s="1"/>
  <c r="N966" i="26"/>
  <c r="O966" i="27" s="1"/>
  <c r="M956" i="26"/>
  <c r="M951" i="26"/>
  <c r="N801" i="26"/>
  <c r="O801" i="27" s="1"/>
  <c r="N791" i="26"/>
  <c r="O791" i="27" s="1"/>
  <c r="N781" i="26"/>
  <c r="O781" i="27" s="1"/>
  <c r="M776" i="26"/>
  <c r="N739" i="26"/>
  <c r="O739" i="27" s="1"/>
  <c r="N716" i="26"/>
  <c r="O716" i="27" s="1"/>
  <c r="M697" i="26"/>
  <c r="N439" i="26"/>
  <c r="O439" i="27" s="1"/>
  <c r="N407" i="26"/>
  <c r="O407" i="27" s="1"/>
  <c r="M407" i="26"/>
  <c r="N357" i="26"/>
  <c r="O357" i="27" s="1"/>
  <c r="M357" i="26"/>
  <c r="N348" i="26"/>
  <c r="O348" i="27" s="1"/>
  <c r="M242" i="26"/>
  <c r="N238" i="26"/>
  <c r="O238" i="27" s="1"/>
  <c r="M208" i="26"/>
  <c r="N208" i="26"/>
  <c r="O208" i="27" s="1"/>
  <c r="N956" i="26"/>
  <c r="O956" i="27" s="1"/>
  <c r="N770" i="26"/>
  <c r="O770" i="27" s="1"/>
  <c r="M28" i="26"/>
  <c r="M254" i="26"/>
  <c r="M430" i="26"/>
  <c r="M684" i="26"/>
  <c r="M751" i="26"/>
  <c r="M884" i="26"/>
  <c r="M835" i="26"/>
  <c r="M994" i="26"/>
  <c r="M981" i="26"/>
  <c r="M966" i="26"/>
  <c r="N939" i="26"/>
  <c r="O939" i="27" s="1"/>
  <c r="M929" i="26"/>
  <c r="N925" i="26"/>
  <c r="O925" i="27" s="1"/>
  <c r="M901" i="26"/>
  <c r="M841" i="26"/>
  <c r="M801" i="26"/>
  <c r="M792" i="26"/>
  <c r="N730" i="26"/>
  <c r="O730" i="27" s="1"/>
  <c r="M717" i="26"/>
  <c r="N712" i="26"/>
  <c r="O712" i="27" s="1"/>
  <c r="M651" i="26"/>
  <c r="N402" i="26"/>
  <c r="O402" i="27" s="1"/>
  <c r="M271" i="26"/>
  <c r="N218" i="26"/>
  <c r="O218" i="27" s="1"/>
  <c r="N173" i="26"/>
  <c r="O173" i="27" s="1"/>
  <c r="M173" i="26"/>
  <c r="M139" i="26"/>
  <c r="N1002" i="26"/>
  <c r="O1002" i="27" s="1"/>
  <c r="N960" i="26"/>
  <c r="O960" i="27" s="1"/>
  <c r="N943" i="26"/>
  <c r="O943" i="27" s="1"/>
  <c r="N894" i="26"/>
  <c r="O894" i="27" s="1"/>
  <c r="N311" i="26"/>
  <c r="O311" i="27" s="1"/>
  <c r="N752" i="26"/>
  <c r="O752" i="27" s="1"/>
  <c r="M49" i="26"/>
  <c r="M687" i="26"/>
  <c r="M259" i="26"/>
  <c r="M352" i="26"/>
  <c r="M556" i="26"/>
  <c r="M706" i="26"/>
  <c r="M15" i="26"/>
  <c r="M6" i="26"/>
  <c r="N66" i="26"/>
  <c r="O66" i="27" s="1"/>
  <c r="M899" i="26"/>
  <c r="N994" i="26"/>
  <c r="O994" i="27" s="1"/>
  <c r="N926" i="26"/>
  <c r="O926" i="27" s="1"/>
  <c r="M916" i="26"/>
  <c r="N911" i="26"/>
  <c r="O911" i="27" s="1"/>
  <c r="N907" i="26"/>
  <c r="O907" i="27" s="1"/>
  <c r="M891" i="26"/>
  <c r="N883" i="26"/>
  <c r="O883" i="27" s="1"/>
  <c r="M856" i="26"/>
  <c r="N837" i="26"/>
  <c r="O837" i="27" s="1"/>
  <c r="N792" i="26"/>
  <c r="O792" i="27" s="1"/>
  <c r="N783" i="26"/>
  <c r="O783" i="27" s="1"/>
  <c r="N778" i="26"/>
  <c r="O778" i="27" s="1"/>
  <c r="M766" i="26"/>
  <c r="N754" i="26"/>
  <c r="O754" i="27" s="1"/>
  <c r="N736" i="26"/>
  <c r="O736" i="27" s="1"/>
  <c r="N726" i="26"/>
  <c r="O726" i="27" s="1"/>
  <c r="N717" i="26"/>
  <c r="O717" i="27" s="1"/>
  <c r="N686" i="26"/>
  <c r="O686" i="27" s="1"/>
  <c r="N676" i="26"/>
  <c r="O676" i="27" s="1"/>
  <c r="N647" i="26"/>
  <c r="O647" i="27" s="1"/>
  <c r="N614" i="26"/>
  <c r="O614" i="27" s="1"/>
  <c r="M601" i="26"/>
  <c r="N587" i="26"/>
  <c r="O587" i="27" s="1"/>
  <c r="N578" i="26"/>
  <c r="O578" i="27" s="1"/>
  <c r="M563" i="26"/>
  <c r="M399" i="26"/>
  <c r="N399" i="26"/>
  <c r="O399" i="27" s="1"/>
  <c r="N363" i="26"/>
  <c r="O363" i="27" s="1"/>
  <c r="M363" i="26"/>
  <c r="N318" i="26"/>
  <c r="O318" i="27" s="1"/>
  <c r="M314" i="26"/>
  <c r="N281" i="26"/>
  <c r="O281" i="27" s="1"/>
  <c r="N277" i="26"/>
  <c r="O277" i="27" s="1"/>
  <c r="N257" i="26"/>
  <c r="O257" i="27" s="1"/>
  <c r="M215" i="26"/>
  <c r="N215" i="26"/>
  <c r="O215" i="27" s="1"/>
  <c r="N204" i="26"/>
  <c r="O204" i="27" s="1"/>
  <c r="M204" i="26"/>
  <c r="N179" i="26"/>
  <c r="O179" i="27" s="1"/>
  <c r="M178" i="26"/>
  <c r="N146" i="26"/>
  <c r="O146" i="27" s="1"/>
  <c r="N132" i="26"/>
  <c r="O132" i="27" s="1"/>
  <c r="M132" i="26"/>
  <c r="M128" i="26"/>
  <c r="N128" i="26"/>
  <c r="O128" i="27" s="1"/>
  <c r="N106" i="26"/>
  <c r="O106" i="27" s="1"/>
  <c r="N92" i="26"/>
  <c r="O92" i="27" s="1"/>
  <c r="M92" i="26"/>
  <c r="N59" i="26"/>
  <c r="O59" i="27" s="1"/>
  <c r="N670" i="26"/>
  <c r="O670" i="27" s="1"/>
  <c r="N651" i="26"/>
  <c r="O651" i="27" s="1"/>
  <c r="N640" i="26"/>
  <c r="O640" i="27" s="1"/>
  <c r="N636" i="26"/>
  <c r="O636" i="27" s="1"/>
  <c r="N625" i="26"/>
  <c r="O625" i="27" s="1"/>
  <c r="M609" i="26"/>
  <c r="N593" i="26"/>
  <c r="O593" i="27" s="1"/>
  <c r="N583" i="26"/>
  <c r="O583" i="27" s="1"/>
  <c r="M518" i="26"/>
  <c r="N515" i="26"/>
  <c r="O515" i="27" s="1"/>
  <c r="M509" i="26"/>
  <c r="N457" i="26"/>
  <c r="O457" i="27" s="1"/>
  <c r="N443" i="26"/>
  <c r="O443" i="27" s="1"/>
  <c r="N433" i="26"/>
  <c r="O433" i="27" s="1"/>
  <c r="N423" i="26"/>
  <c r="O423" i="27" s="1"/>
  <c r="M413" i="26"/>
  <c r="M375" i="26"/>
  <c r="N371" i="26"/>
  <c r="O371" i="27" s="1"/>
  <c r="M369" i="26"/>
  <c r="N365" i="26"/>
  <c r="O365" i="27" s="1"/>
  <c r="N359" i="26"/>
  <c r="O359" i="27" s="1"/>
  <c r="N347" i="26"/>
  <c r="O347" i="27" s="1"/>
  <c r="N341" i="26"/>
  <c r="O341" i="27" s="1"/>
  <c r="M330" i="26"/>
  <c r="M325" i="26"/>
  <c r="N317" i="26"/>
  <c r="O317" i="27" s="1"/>
  <c r="N310" i="26"/>
  <c r="O310" i="27" s="1"/>
  <c r="N306" i="26"/>
  <c r="O306" i="27" s="1"/>
  <c r="N301" i="26"/>
  <c r="O301" i="27" s="1"/>
  <c r="N291" i="26"/>
  <c r="O291" i="27" s="1"/>
  <c r="N271" i="26"/>
  <c r="O271" i="27" s="1"/>
  <c r="M257" i="26"/>
  <c r="M253" i="26"/>
  <c r="M251" i="26"/>
  <c r="M246" i="26"/>
  <c r="N242" i="26"/>
  <c r="O242" i="27" s="1"/>
  <c r="M218" i="26"/>
  <c r="N206" i="26"/>
  <c r="O206" i="27" s="1"/>
  <c r="M198" i="26"/>
  <c r="N178" i="26"/>
  <c r="O178" i="27" s="1"/>
  <c r="N170" i="26"/>
  <c r="O170" i="27" s="1"/>
  <c r="M127" i="26"/>
  <c r="M123" i="26"/>
  <c r="N112" i="26"/>
  <c r="O112" i="27" s="1"/>
  <c r="N104" i="26"/>
  <c r="O104" i="27" s="1"/>
  <c r="M97" i="26"/>
  <c r="M86" i="26"/>
  <c r="M78" i="26"/>
  <c r="N40" i="26"/>
  <c r="O40" i="27" s="1"/>
  <c r="M39" i="26"/>
  <c r="M36" i="26"/>
  <c r="N27" i="26"/>
  <c r="O27" i="27" s="1"/>
  <c r="M5" i="26"/>
  <c r="M641" i="26"/>
  <c r="M631" i="26"/>
  <c r="M611" i="26"/>
  <c r="M479" i="26"/>
  <c r="M409" i="26"/>
  <c r="M343" i="26"/>
  <c r="N337" i="26"/>
  <c r="O337" i="27" s="1"/>
  <c r="M322" i="26"/>
  <c r="M311" i="26"/>
  <c r="M267" i="26"/>
  <c r="M243" i="26"/>
  <c r="N234" i="26"/>
  <c r="O234" i="27" s="1"/>
  <c r="N216" i="26"/>
  <c r="O216" i="27" s="1"/>
  <c r="N194" i="26"/>
  <c r="O194" i="27" s="1"/>
  <c r="M187" i="26"/>
  <c r="M179" i="26"/>
  <c r="N174" i="26"/>
  <c r="O174" i="27" s="1"/>
  <c r="N154" i="26"/>
  <c r="O154" i="27" s="1"/>
  <c r="N142" i="26"/>
  <c r="O142" i="27" s="1"/>
  <c r="M113" i="26"/>
  <c r="N108" i="26"/>
  <c r="O108" i="27" s="1"/>
  <c r="M676" i="26"/>
  <c r="M657" i="26"/>
  <c r="M637" i="26"/>
  <c r="M617" i="26"/>
  <c r="M613" i="26"/>
  <c r="N596" i="26"/>
  <c r="O596" i="27" s="1"/>
  <c r="N571" i="26"/>
  <c r="O571" i="27" s="1"/>
  <c r="M553" i="26"/>
  <c r="M521" i="26"/>
  <c r="M497" i="26"/>
  <c r="M491" i="26"/>
  <c r="M471" i="26"/>
  <c r="N415" i="26"/>
  <c r="O415" i="27" s="1"/>
  <c r="N387" i="26"/>
  <c r="O387" i="27" s="1"/>
  <c r="N349" i="26"/>
  <c r="O349" i="27" s="1"/>
  <c r="M337" i="26"/>
  <c r="N333" i="26"/>
  <c r="O333" i="27" s="1"/>
  <c r="N328" i="26"/>
  <c r="O328" i="27" s="1"/>
  <c r="N323" i="26"/>
  <c r="O323" i="27" s="1"/>
  <c r="N319" i="26"/>
  <c r="O319" i="27" s="1"/>
  <c r="N298" i="26"/>
  <c r="O298" i="27" s="1"/>
  <c r="M273" i="26"/>
  <c r="N240" i="26"/>
  <c r="O240" i="27" s="1"/>
  <c r="M234" i="26"/>
  <c r="M227" i="26"/>
  <c r="M222" i="26"/>
  <c r="N210" i="26"/>
  <c r="O210" i="27" s="1"/>
  <c r="M194" i="26"/>
  <c r="N182" i="26"/>
  <c r="O182" i="27" s="1"/>
  <c r="M176" i="26"/>
  <c r="N162" i="26"/>
  <c r="O162" i="27" s="1"/>
  <c r="M147" i="26"/>
  <c r="N137" i="26"/>
  <c r="O137" i="27" s="1"/>
  <c r="M110" i="26"/>
  <c r="N88" i="26"/>
  <c r="O88" i="27" s="1"/>
  <c r="M73" i="26"/>
  <c r="M70" i="26"/>
  <c r="M34" i="26"/>
  <c r="M7" i="26"/>
  <c r="N683" i="26"/>
  <c r="O683" i="27" s="1"/>
  <c r="M668" i="26"/>
  <c r="N654" i="26"/>
  <c r="O654" i="27" s="1"/>
  <c r="N644" i="26"/>
  <c r="O644" i="27" s="1"/>
  <c r="M633" i="26"/>
  <c r="N628" i="26"/>
  <c r="O628" i="27" s="1"/>
  <c r="N582" i="26"/>
  <c r="O582" i="27" s="1"/>
  <c r="N567" i="26"/>
  <c r="O567" i="27" s="1"/>
  <c r="N561" i="26"/>
  <c r="O561" i="27" s="1"/>
  <c r="N481" i="26"/>
  <c r="O481" i="27" s="1"/>
  <c r="N475" i="26"/>
  <c r="O475" i="27" s="1"/>
  <c r="M451" i="26"/>
  <c r="M445" i="26"/>
  <c r="N426" i="26"/>
  <c r="O426" i="27" s="1"/>
  <c r="M410" i="26"/>
  <c r="M387" i="26"/>
  <c r="M373" i="26"/>
  <c r="M367" i="26"/>
  <c r="M361" i="26"/>
  <c r="M349" i="26"/>
  <c r="N334" i="26"/>
  <c r="O334" i="27" s="1"/>
  <c r="M323" i="26"/>
  <c r="N314" i="26"/>
  <c r="O314" i="27" s="1"/>
  <c r="M298" i="26"/>
  <c r="N279" i="26"/>
  <c r="O279" i="27" s="1"/>
  <c r="N275" i="26"/>
  <c r="O275" i="27" s="1"/>
  <c r="N256" i="26"/>
  <c r="O256" i="27" s="1"/>
  <c r="N202" i="26"/>
  <c r="O202" i="27" s="1"/>
  <c r="N197" i="26"/>
  <c r="O197" i="27" s="1"/>
  <c r="M184" i="26"/>
  <c r="M162" i="26"/>
  <c r="M155" i="26"/>
  <c r="M144" i="26"/>
  <c r="M137" i="26"/>
  <c r="N130" i="26"/>
  <c r="O130" i="27" s="1"/>
  <c r="N96" i="26"/>
  <c r="O96" i="27" s="1"/>
  <c r="N91" i="26"/>
  <c r="O91" i="27" s="1"/>
  <c r="N80" i="26"/>
  <c r="O80" i="27" s="1"/>
  <c r="N70" i="26"/>
  <c r="O70" i="27" s="1"/>
  <c r="N53" i="26"/>
  <c r="O53" i="27" s="1"/>
  <c r="M3" i="26"/>
  <c r="N982" i="26"/>
  <c r="O982" i="27" s="1"/>
  <c r="M982" i="26"/>
  <c r="M394" i="26"/>
  <c r="N394" i="26"/>
  <c r="O394" i="27" s="1"/>
  <c r="M892" i="26"/>
  <c r="N892" i="26"/>
  <c r="O892" i="27" s="1"/>
  <c r="M52" i="26"/>
  <c r="N914" i="26"/>
  <c r="O914" i="27" s="1"/>
  <c r="M914" i="26"/>
  <c r="N786" i="26"/>
  <c r="O786" i="27" s="1"/>
  <c r="M786" i="26"/>
  <c r="N678" i="26"/>
  <c r="O678" i="27" s="1"/>
  <c r="M678" i="26"/>
  <c r="M628" i="26"/>
  <c r="M519" i="26"/>
  <c r="N519" i="26"/>
  <c r="O519" i="27" s="1"/>
  <c r="M921" i="26"/>
  <c r="N921" i="26"/>
  <c r="O921" i="27" s="1"/>
  <c r="N889" i="26"/>
  <c r="O889" i="27" s="1"/>
  <c r="M889" i="26"/>
  <c r="N826" i="26"/>
  <c r="O826" i="27" s="1"/>
  <c r="M826" i="26"/>
  <c r="M627" i="26"/>
  <c r="N627" i="26"/>
  <c r="O627" i="27" s="1"/>
  <c r="N917" i="26"/>
  <c r="O917" i="27" s="1"/>
  <c r="M917" i="26"/>
  <c r="N784" i="26"/>
  <c r="O784" i="27" s="1"/>
  <c r="M784" i="26"/>
  <c r="N1001" i="26"/>
  <c r="O1001" i="27" s="1"/>
  <c r="M1001" i="26"/>
  <c r="N972" i="26"/>
  <c r="O972" i="27" s="1"/>
  <c r="M972" i="26"/>
  <c r="M922" i="26"/>
  <c r="N922" i="26"/>
  <c r="O922" i="27" s="1"/>
  <c r="N607" i="26"/>
  <c r="O607" i="27" s="1"/>
  <c r="M607" i="26"/>
  <c r="N896" i="26"/>
  <c r="O896" i="27" s="1"/>
  <c r="M896" i="26"/>
  <c r="N881" i="26"/>
  <c r="O881" i="27" s="1"/>
  <c r="M881" i="26"/>
  <c r="N821" i="26"/>
  <c r="O821" i="27" s="1"/>
  <c r="M821" i="26"/>
  <c r="N569" i="26"/>
  <c r="O569" i="27" s="1"/>
  <c r="M569" i="26"/>
  <c r="M948" i="26"/>
  <c r="N948" i="26"/>
  <c r="O948" i="27" s="1"/>
  <c r="N944" i="26"/>
  <c r="O944" i="27" s="1"/>
  <c r="M944" i="26"/>
  <c r="M807" i="26"/>
  <c r="N807" i="26"/>
  <c r="O807" i="27" s="1"/>
  <c r="N773" i="26"/>
  <c r="O773" i="27" s="1"/>
  <c r="M773" i="26"/>
  <c r="N680" i="26"/>
  <c r="O680" i="27" s="1"/>
  <c r="M680" i="26"/>
  <c r="M898" i="26"/>
  <c r="N898" i="26"/>
  <c r="O898" i="27" s="1"/>
  <c r="N888" i="26"/>
  <c r="O888" i="27" s="1"/>
  <c r="M888" i="26"/>
  <c r="N988" i="26"/>
  <c r="O988" i="27" s="1"/>
  <c r="M988" i="26"/>
  <c r="N931" i="26"/>
  <c r="O931" i="27" s="1"/>
  <c r="N869" i="26"/>
  <c r="O869" i="27" s="1"/>
  <c r="M869" i="26"/>
  <c r="N864" i="26"/>
  <c r="O864" i="27" s="1"/>
  <c r="M864" i="26"/>
  <c r="N595" i="26"/>
  <c r="O595" i="27" s="1"/>
  <c r="M595" i="26"/>
  <c r="M932" i="26"/>
  <c r="N932" i="26"/>
  <c r="O932" i="27" s="1"/>
  <c r="N885" i="26"/>
  <c r="O885" i="27" s="1"/>
  <c r="M885" i="26"/>
  <c r="N880" i="26"/>
  <c r="O880" i="27" s="1"/>
  <c r="M880" i="26"/>
  <c r="N865" i="26"/>
  <c r="O865" i="27" s="1"/>
  <c r="M865" i="26"/>
  <c r="N721" i="26"/>
  <c r="O721" i="27" s="1"/>
  <c r="M721" i="26"/>
  <c r="N643" i="26"/>
  <c r="O643" i="27" s="1"/>
  <c r="M643" i="26"/>
  <c r="N591" i="26"/>
  <c r="O591" i="27" s="1"/>
  <c r="M591" i="26"/>
  <c r="N309" i="26"/>
  <c r="O309" i="27" s="1"/>
  <c r="M309" i="26"/>
  <c r="M287" i="26"/>
  <c r="N287" i="26"/>
  <c r="O287" i="27" s="1"/>
  <c r="M920" i="26"/>
  <c r="N920" i="26"/>
  <c r="O920" i="27" s="1"/>
  <c r="N808" i="26"/>
  <c r="O808" i="27" s="1"/>
  <c r="M808" i="26"/>
  <c r="M661" i="26"/>
  <c r="N661" i="26"/>
  <c r="O661" i="27" s="1"/>
  <c r="M575" i="26"/>
  <c r="N575" i="26"/>
  <c r="O575" i="27" s="1"/>
  <c r="N934" i="26"/>
  <c r="O934" i="27" s="1"/>
  <c r="M934" i="26"/>
  <c r="N928" i="26"/>
  <c r="O928" i="27" s="1"/>
  <c r="M928" i="26"/>
  <c r="N877" i="26"/>
  <c r="O877" i="27" s="1"/>
  <c r="M877" i="26"/>
  <c r="N872" i="26"/>
  <c r="O872" i="27" s="1"/>
  <c r="M872" i="26"/>
  <c r="N737" i="26"/>
  <c r="O737" i="27" s="1"/>
  <c r="M737" i="26"/>
  <c r="N701" i="26"/>
  <c r="O701" i="27" s="1"/>
  <c r="M701" i="26"/>
  <c r="N689" i="26"/>
  <c r="O689" i="27" s="1"/>
  <c r="M689" i="26"/>
  <c r="N990" i="26"/>
  <c r="O990" i="27" s="1"/>
  <c r="M990" i="26"/>
  <c r="N986" i="26"/>
  <c r="O986" i="27" s="1"/>
  <c r="M986" i="26"/>
  <c r="N958" i="26"/>
  <c r="O958" i="27" s="1"/>
  <c r="M946" i="26"/>
  <c r="M933" i="26"/>
  <c r="N909" i="26"/>
  <c r="O909" i="27" s="1"/>
  <c r="M909" i="26"/>
  <c r="N849" i="26"/>
  <c r="O849" i="27" s="1"/>
  <c r="M849" i="26"/>
  <c r="N798" i="26"/>
  <c r="O798" i="27" s="1"/>
  <c r="M798" i="26"/>
  <c r="N764" i="26"/>
  <c r="O764" i="27" s="1"/>
  <c r="M764" i="26"/>
  <c r="N693" i="26"/>
  <c r="O693" i="27" s="1"/>
  <c r="M693" i="26"/>
  <c r="N671" i="26"/>
  <c r="O671" i="27" s="1"/>
  <c r="M671" i="26"/>
  <c r="N653" i="26"/>
  <c r="O653" i="27" s="1"/>
  <c r="M653" i="26"/>
  <c r="N649" i="26"/>
  <c r="O649" i="27" s="1"/>
  <c r="M649" i="26"/>
  <c r="M987" i="26"/>
  <c r="N959" i="26"/>
  <c r="O959" i="27" s="1"/>
  <c r="M959" i="26"/>
  <c r="N910" i="26"/>
  <c r="O910" i="27" s="1"/>
  <c r="M910" i="26"/>
  <c r="N906" i="26"/>
  <c r="O906" i="27" s="1"/>
  <c r="M906" i="26"/>
  <c r="N893" i="26"/>
  <c r="O893" i="27" s="1"/>
  <c r="M893" i="26"/>
  <c r="M151" i="26"/>
  <c r="N151" i="26"/>
  <c r="O151" i="27" s="1"/>
  <c r="N971" i="26"/>
  <c r="O971" i="27" s="1"/>
  <c r="M970" i="26"/>
  <c r="N949" i="26"/>
  <c r="O949" i="27" s="1"/>
  <c r="M949" i="26"/>
  <c r="N938" i="26"/>
  <c r="O938" i="27" s="1"/>
  <c r="M938" i="26"/>
  <c r="N930" i="26"/>
  <c r="O930" i="27" s="1"/>
  <c r="N923" i="26"/>
  <c r="O923" i="27" s="1"/>
  <c r="N873" i="26"/>
  <c r="O873" i="27" s="1"/>
  <c r="M873" i="26"/>
  <c r="N810" i="26"/>
  <c r="O810" i="27" s="1"/>
  <c r="N703" i="26"/>
  <c r="O703" i="27" s="1"/>
  <c r="M619" i="26"/>
  <c r="N619" i="26"/>
  <c r="O619" i="27" s="1"/>
  <c r="M461" i="26"/>
  <c r="N989" i="26"/>
  <c r="O989" i="27" s="1"/>
  <c r="N945" i="26"/>
  <c r="O945" i="27" s="1"/>
  <c r="M945" i="26"/>
  <c r="N927" i="26"/>
  <c r="O927" i="27" s="1"/>
  <c r="N924" i="26"/>
  <c r="O924" i="27" s="1"/>
  <c r="N848" i="26"/>
  <c r="O848" i="27" s="1"/>
  <c r="M848" i="26"/>
  <c r="N763" i="26"/>
  <c r="O763" i="27" s="1"/>
  <c r="M709" i="26"/>
  <c r="N709" i="26"/>
  <c r="O709" i="27" s="1"/>
  <c r="N704" i="26"/>
  <c r="O704" i="27" s="1"/>
  <c r="M704" i="26"/>
  <c r="N327" i="26"/>
  <c r="O327" i="27" s="1"/>
  <c r="M327" i="26"/>
  <c r="M861" i="26"/>
  <c r="N833" i="26"/>
  <c r="O833" i="27" s="1"/>
  <c r="M833" i="26"/>
  <c r="N788" i="26"/>
  <c r="O788" i="27" s="1"/>
  <c r="M788" i="26"/>
  <c r="N777" i="26"/>
  <c r="O777" i="27" s="1"/>
  <c r="M777" i="26"/>
  <c r="N383" i="26"/>
  <c r="O383" i="27" s="1"/>
  <c r="M383" i="26"/>
  <c r="M160" i="26"/>
  <c r="N160" i="26"/>
  <c r="O160" i="27" s="1"/>
  <c r="N900" i="26"/>
  <c r="O900" i="27" s="1"/>
  <c r="N794" i="26"/>
  <c r="O794" i="27" s="1"/>
  <c r="M635" i="26"/>
  <c r="N635" i="26"/>
  <c r="O635" i="27" s="1"/>
  <c r="M565" i="26"/>
  <c r="N565" i="26"/>
  <c r="O565" i="27" s="1"/>
  <c r="N545" i="26"/>
  <c r="O545" i="27" s="1"/>
  <c r="M545" i="26"/>
  <c r="M904" i="26"/>
  <c r="M845" i="26"/>
  <c r="N817" i="26"/>
  <c r="O817" i="27" s="1"/>
  <c r="M817" i="26"/>
  <c r="N800" i="26"/>
  <c r="O800" i="27" s="1"/>
  <c r="M800" i="26"/>
  <c r="N531" i="26"/>
  <c r="O531" i="27" s="1"/>
  <c r="M531" i="26"/>
  <c r="M393" i="26"/>
  <c r="N393" i="26"/>
  <c r="O393" i="27" s="1"/>
  <c r="N389" i="26"/>
  <c r="O389" i="27" s="1"/>
  <c r="M389" i="26"/>
  <c r="M346" i="26"/>
  <c r="N346" i="26"/>
  <c r="O346" i="27" s="1"/>
  <c r="N1000" i="26"/>
  <c r="O1000" i="27" s="1"/>
  <c r="M998" i="26"/>
  <c r="N996" i="26"/>
  <c r="O996" i="27" s="1"/>
  <c r="N985" i="26"/>
  <c r="O985" i="27" s="1"/>
  <c r="N957" i="26"/>
  <c r="O957" i="27" s="1"/>
  <c r="N750" i="26"/>
  <c r="O750" i="27" s="1"/>
  <c r="N729" i="26"/>
  <c r="O729" i="27" s="1"/>
  <c r="M729" i="26"/>
  <c r="N613" i="26"/>
  <c r="O613" i="27" s="1"/>
  <c r="N598" i="26"/>
  <c r="O598" i="27" s="1"/>
  <c r="M527" i="26"/>
  <c r="N527" i="26"/>
  <c r="O527" i="27" s="1"/>
  <c r="N145" i="26"/>
  <c r="O145" i="27" s="1"/>
  <c r="M145" i="26"/>
  <c r="M102" i="26"/>
  <c r="N102" i="26"/>
  <c r="O102" i="27" s="1"/>
  <c r="N41" i="26"/>
  <c r="O41" i="27" s="1"/>
  <c r="N696" i="26"/>
  <c r="O696" i="27" s="1"/>
  <c r="M655" i="26"/>
  <c r="N639" i="26"/>
  <c r="O639" i="27" s="1"/>
  <c r="M599" i="26"/>
  <c r="N577" i="26"/>
  <c r="O577" i="27" s="1"/>
  <c r="M577" i="26"/>
  <c r="N523" i="26"/>
  <c r="O523" i="27" s="1"/>
  <c r="M523" i="26"/>
  <c r="M321" i="26"/>
  <c r="N321" i="26"/>
  <c r="O321" i="27" s="1"/>
  <c r="M289" i="26"/>
  <c r="N193" i="26"/>
  <c r="O193" i="27" s="1"/>
  <c r="M193" i="26"/>
  <c r="N103" i="26"/>
  <c r="O103" i="27" s="1"/>
  <c r="M103" i="26"/>
  <c r="N71" i="26"/>
  <c r="O71" i="27" s="1"/>
  <c r="M71" i="26"/>
  <c r="N483" i="26"/>
  <c r="O483" i="27" s="1"/>
  <c r="M483" i="26"/>
  <c r="M463" i="26"/>
  <c r="N431" i="26"/>
  <c r="O431" i="27" s="1"/>
  <c r="M431" i="26"/>
  <c r="M244" i="26"/>
  <c r="N244" i="26"/>
  <c r="O244" i="27" s="1"/>
  <c r="N660" i="26"/>
  <c r="O660" i="27" s="1"/>
  <c r="N606" i="26"/>
  <c r="O606" i="27" s="1"/>
  <c r="N585" i="26"/>
  <c r="O585" i="27" s="1"/>
  <c r="N505" i="26"/>
  <c r="O505" i="27" s="1"/>
  <c r="M505" i="26"/>
  <c r="N485" i="26"/>
  <c r="O485" i="27" s="1"/>
  <c r="M485" i="26"/>
  <c r="N447" i="26"/>
  <c r="O447" i="27" s="1"/>
  <c r="M447" i="26"/>
  <c r="N437" i="26"/>
  <c r="O437" i="27" s="1"/>
  <c r="M437" i="26"/>
  <c r="N377" i="26"/>
  <c r="O377" i="27" s="1"/>
  <c r="M377" i="26"/>
  <c r="N189" i="26"/>
  <c r="O189" i="27" s="1"/>
  <c r="M189" i="26"/>
  <c r="M691" i="26"/>
  <c r="N673" i="26"/>
  <c r="O673" i="27" s="1"/>
  <c r="N622" i="26"/>
  <c r="O622" i="27" s="1"/>
  <c r="N621" i="26"/>
  <c r="O621" i="27" s="1"/>
  <c r="N612" i="26"/>
  <c r="O612" i="27" s="1"/>
  <c r="M597" i="26"/>
  <c r="N597" i="26"/>
  <c r="O597" i="27" s="1"/>
  <c r="M581" i="26"/>
  <c r="N581" i="26"/>
  <c r="O581" i="27" s="1"/>
  <c r="M547" i="26"/>
  <c r="N547" i="26"/>
  <c r="O547" i="27" s="1"/>
  <c r="N473" i="26"/>
  <c r="O473" i="27" s="1"/>
  <c r="M473" i="26"/>
  <c r="N465" i="26"/>
  <c r="O465" i="27" s="1"/>
  <c r="N305" i="26"/>
  <c r="O305" i="27" s="1"/>
  <c r="M305" i="26"/>
  <c r="N568" i="26"/>
  <c r="O568" i="27" s="1"/>
  <c r="M543" i="26"/>
  <c r="M515" i="26"/>
  <c r="M508" i="26"/>
  <c r="N501" i="26"/>
  <c r="O501" i="27" s="1"/>
  <c r="M501" i="26"/>
  <c r="M499" i="26"/>
  <c r="M492" i="26"/>
  <c r="M469" i="26"/>
  <c r="N468" i="26"/>
  <c r="O468" i="27" s="1"/>
  <c r="M457" i="26"/>
  <c r="N441" i="26"/>
  <c r="O441" i="27" s="1"/>
  <c r="M441" i="26"/>
  <c r="M385" i="26"/>
  <c r="N385" i="26"/>
  <c r="O385" i="27" s="1"/>
  <c r="M345" i="26"/>
  <c r="N345" i="26"/>
  <c r="O345" i="27" s="1"/>
  <c r="N282" i="26"/>
  <c r="O282" i="27" s="1"/>
  <c r="M282" i="26"/>
  <c r="N217" i="26"/>
  <c r="O217" i="27" s="1"/>
  <c r="M217" i="26"/>
  <c r="M152" i="26"/>
  <c r="N152" i="26"/>
  <c r="O152" i="27" s="1"/>
  <c r="N99" i="26"/>
  <c r="O99" i="27" s="1"/>
  <c r="M99" i="26"/>
  <c r="M93" i="26"/>
  <c r="N93" i="26"/>
  <c r="O93" i="27" s="1"/>
  <c r="N57" i="26"/>
  <c r="O57" i="27" s="1"/>
  <c r="N535" i="26"/>
  <c r="O535" i="27" s="1"/>
  <c r="N471" i="26"/>
  <c r="O471" i="27" s="1"/>
  <c r="M460" i="26"/>
  <c r="N459" i="26"/>
  <c r="O459" i="27" s="1"/>
  <c r="M425" i="26"/>
  <c r="M401" i="26"/>
  <c r="N353" i="26"/>
  <c r="O353" i="27" s="1"/>
  <c r="M353" i="26"/>
  <c r="M331" i="26"/>
  <c r="N331" i="26"/>
  <c r="O331" i="27" s="1"/>
  <c r="M293" i="26"/>
  <c r="N293" i="26"/>
  <c r="O293" i="27" s="1"/>
  <c r="M199" i="26"/>
  <c r="N199" i="26"/>
  <c r="O199" i="27" s="1"/>
  <c r="M94" i="26"/>
  <c r="N94" i="26"/>
  <c r="O94" i="27" s="1"/>
  <c r="N79" i="26"/>
  <c r="O79" i="27" s="1"/>
  <c r="M79" i="26"/>
  <c r="N601" i="26"/>
  <c r="O601" i="27" s="1"/>
  <c r="N453" i="26"/>
  <c r="O453" i="27" s="1"/>
  <c r="M453" i="26"/>
  <c r="N444" i="26"/>
  <c r="O444" i="27" s="1"/>
  <c r="M444" i="26"/>
  <c r="N435" i="26"/>
  <c r="O435" i="27" s="1"/>
  <c r="M435" i="26"/>
  <c r="M391" i="26"/>
  <c r="N391" i="26"/>
  <c r="O391" i="27" s="1"/>
  <c r="N355" i="26"/>
  <c r="O355" i="27" s="1"/>
  <c r="M355" i="26"/>
  <c r="N294" i="26"/>
  <c r="O294" i="27" s="1"/>
  <c r="N286" i="26"/>
  <c r="O286" i="27" s="1"/>
  <c r="M248" i="26"/>
  <c r="N248" i="26"/>
  <c r="O248" i="27" s="1"/>
  <c r="N236" i="26"/>
  <c r="O236" i="27" s="1"/>
  <c r="M236" i="26"/>
  <c r="N212" i="26"/>
  <c r="O212" i="27" s="1"/>
  <c r="M212" i="26"/>
  <c r="M200" i="26"/>
  <c r="N200" i="26"/>
  <c r="O200" i="27" s="1"/>
  <c r="M191" i="26"/>
  <c r="N191" i="26"/>
  <c r="O191" i="27" s="1"/>
  <c r="N169" i="26"/>
  <c r="O169" i="27" s="1"/>
  <c r="M169" i="26"/>
  <c r="N584" i="26"/>
  <c r="O584" i="27" s="1"/>
  <c r="M511" i="26"/>
  <c r="M411" i="26"/>
  <c r="N411" i="26"/>
  <c r="O411" i="27" s="1"/>
  <c r="M295" i="26"/>
  <c r="N288" i="26"/>
  <c r="O288" i="27" s="1"/>
  <c r="N249" i="26"/>
  <c r="O249" i="27" s="1"/>
  <c r="M249" i="26"/>
  <c r="N237" i="26"/>
  <c r="O237" i="27" s="1"/>
  <c r="M237" i="26"/>
  <c r="M223" i="26"/>
  <c r="N223" i="26"/>
  <c r="O223" i="27" s="1"/>
  <c r="N213" i="26"/>
  <c r="O213" i="27" s="1"/>
  <c r="M213" i="26"/>
  <c r="N141" i="26"/>
  <c r="O141" i="27" s="1"/>
  <c r="M141" i="26"/>
  <c r="M135" i="26"/>
  <c r="N135" i="26"/>
  <c r="O135" i="27" s="1"/>
  <c r="M417" i="26"/>
  <c r="M362" i="26"/>
  <c r="N335" i="26"/>
  <c r="O335" i="27" s="1"/>
  <c r="N296" i="26"/>
  <c r="O296" i="27" s="1"/>
  <c r="N245" i="26"/>
  <c r="O245" i="27" s="1"/>
  <c r="M245" i="26"/>
  <c r="M224" i="26"/>
  <c r="N224" i="26"/>
  <c r="O224" i="27" s="1"/>
  <c r="M136" i="26"/>
  <c r="N136" i="26"/>
  <c r="O136" i="27" s="1"/>
  <c r="N121" i="26"/>
  <c r="O121" i="27" s="1"/>
  <c r="M121" i="26"/>
  <c r="N75" i="26"/>
  <c r="O75" i="27" s="1"/>
  <c r="M75" i="26"/>
  <c r="M247" i="26"/>
  <c r="N247" i="26"/>
  <c r="O247" i="27" s="1"/>
  <c r="N165" i="26"/>
  <c r="O165" i="27" s="1"/>
  <c r="M165" i="26"/>
  <c r="M159" i="26"/>
  <c r="N159" i="26"/>
  <c r="O159" i="27" s="1"/>
  <c r="N117" i="26"/>
  <c r="O117" i="27" s="1"/>
  <c r="M117" i="26"/>
  <c r="N255" i="26"/>
  <c r="O255" i="27" s="1"/>
  <c r="N241" i="26"/>
  <c r="O241" i="27" s="1"/>
  <c r="M241" i="26"/>
  <c r="M167" i="26"/>
  <c r="N167" i="26"/>
  <c r="O167" i="27" s="1"/>
  <c r="N395" i="26"/>
  <c r="O395" i="27" s="1"/>
  <c r="M333" i="26"/>
  <c r="M168" i="26"/>
  <c r="N168" i="26"/>
  <c r="O168" i="27" s="1"/>
  <c r="M101" i="26"/>
  <c r="N101" i="26"/>
  <c r="O101" i="27" s="1"/>
  <c r="M207" i="26"/>
  <c r="M175" i="26"/>
  <c r="N153" i="26"/>
  <c r="O153" i="27" s="1"/>
  <c r="M153" i="26"/>
  <c r="N129" i="26"/>
  <c r="O129" i="27" s="1"/>
  <c r="M129" i="26"/>
  <c r="M109" i="26"/>
  <c r="N87" i="26"/>
  <c r="O87" i="27" s="1"/>
  <c r="M87" i="26"/>
  <c r="N209" i="26"/>
  <c r="O209" i="27" s="1"/>
  <c r="N205" i="26"/>
  <c r="O205" i="27" s="1"/>
  <c r="N177" i="26"/>
  <c r="O177" i="27" s="1"/>
  <c r="M177" i="26"/>
  <c r="N111" i="26"/>
  <c r="O111" i="27" s="1"/>
  <c r="M111" i="26"/>
  <c r="N38" i="26"/>
  <c r="O38" i="27" s="1"/>
  <c r="M38" i="26"/>
  <c r="M266" i="26"/>
  <c r="M231" i="26"/>
  <c r="M183" i="26"/>
  <c r="N161" i="26"/>
  <c r="O161" i="27" s="1"/>
  <c r="M161" i="26"/>
  <c r="N144" i="26"/>
  <c r="O144" i="27" s="1"/>
  <c r="N120" i="26"/>
  <c r="O120" i="27" s="1"/>
  <c r="N95" i="26"/>
  <c r="O95" i="27" s="1"/>
  <c r="M95" i="26"/>
  <c r="N78" i="26"/>
  <c r="O78" i="27" s="1"/>
  <c r="N269" i="26"/>
  <c r="O269" i="27" s="1"/>
  <c r="M239" i="26"/>
  <c r="N233" i="26"/>
  <c r="O233" i="27" s="1"/>
  <c r="N229" i="26"/>
  <c r="O229" i="27" s="1"/>
  <c r="N185" i="26"/>
  <c r="O185" i="27" s="1"/>
  <c r="M185" i="26"/>
  <c r="M143" i="26"/>
  <c r="M119" i="26"/>
  <c r="M77" i="26"/>
  <c r="M56"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Lydia McKay</author>
    <author>VA Employee</author>
    <author>Christine Szrom</author>
  </authors>
  <commentList>
    <comment ref="A2" authorId="0" shapeId="0" xr:uid="{00000000-0006-0000-0000-000001000000}">
      <text>
        <r>
          <rPr>
            <sz val="11"/>
            <color indexed="81"/>
            <rFont val="Calibri"/>
            <family val="2"/>
            <scheme val="minor"/>
          </rPr>
          <t>Carefully review the list of SINs provided in Document 02 (the Continuation of SF1449) and choose the category that matches your product’s attributes.  If a product does not fit within one of the listed SIN categories, then it potentially does not fall within the scope of the Schedule.</t>
        </r>
      </text>
    </comment>
    <comment ref="B2" authorId="0" shapeId="0" xr:uid="{00000000-0006-0000-0000-000002000000}">
      <text>
        <r>
          <rPr>
            <sz val="11"/>
            <color indexed="81"/>
            <rFont val="Calibri"/>
            <family val="2"/>
            <scheme val="minor"/>
          </rPr>
          <t>The item number must be listed for each proposed product and must be a unique identifier (i.e., you cannot list the same item number on more than one line).  This item number should correspond to the item number listed in the commercial catalog/pricelist which you provide with your proposal.  
NDC numbers must follow the prescribed format as follows, entering leading zeroes if necessary:
NDC1 = 5 digits
NDC2 = 4 digits
NDC2 = 3 digits</t>
        </r>
      </text>
    </comment>
    <comment ref="O2" authorId="0" shapeId="0" xr:uid="{00000000-0006-0000-0000-000003000000}">
      <text>
        <r>
          <rPr>
            <sz val="11"/>
            <color indexed="81"/>
            <rFont val="Calibri"/>
            <family val="2"/>
            <scheme val="minor"/>
          </rPr>
          <t xml:space="preserve">You must list the country of origin for each product, utilizing the two-letter country codes provided on a Country Code tab.  Remember, the country of origin of the product is where the product was “substantially transformed”, not necessarily the country of manufacture or the country of export.  </t>
        </r>
      </text>
    </comment>
    <comment ref="R2" authorId="0" shapeId="0" xr:uid="{00000000-0006-0000-0000-000004000000}">
      <text>
        <r>
          <rPr>
            <sz val="11"/>
            <color indexed="81"/>
            <rFont val="Calibri"/>
            <family val="2"/>
            <scheme val="minor"/>
          </rPr>
          <t>The commercial list price must be listed for each proposed line item.  This should match the commercial pricelist/catalog provided with your proposal.  The discount off of list price (for your Most Favored Customer, the Tracking Customer, and the Government) will be calculated based upon the information in this column.</t>
        </r>
      </text>
    </comment>
    <comment ref="S2" authorId="1" shapeId="0" xr:uid="{00000000-0006-0000-0000-000005000000}">
      <text>
        <r>
          <rPr>
            <sz val="11"/>
            <color indexed="81"/>
            <rFont val="Calibri"/>
            <family val="2"/>
            <scheme val="minor"/>
          </rPr>
          <t>Lowest upfront (guaranteed) discounted price.
List the lowest price you charge any customer (known as the Most Favored Customer) for each line item.  This is specific to each line item; therefore, the Most Favored Customer (MFC) may vary from item to item.  In determining your lowest price, you should be looking for the lowest price currently received by any customer for each line item based upon the upfront (guaranteed) discount received.  This is not inclusive of “conditional” discounts, such as prompt payment discounts, annual rebates based on reaching a threshold, etc., which must be listed in Fig 515.4-2.</t>
        </r>
      </text>
    </comment>
    <comment ref="T2" authorId="2" shapeId="0" xr:uid="{00000000-0006-0000-0000-000006000000}">
      <text>
        <r>
          <rPr>
            <sz val="11"/>
            <color indexed="81"/>
            <rFont val="Calibri"/>
            <family val="2"/>
            <scheme val="minor"/>
          </rPr>
          <t>Column auto-calculates the % discount off of list price.</t>
        </r>
      </text>
    </comment>
    <comment ref="U2" authorId="1" shapeId="0" xr:uid="{00000000-0006-0000-0000-000007000000}">
      <text>
        <r>
          <rPr>
            <sz val="11"/>
            <color indexed="81"/>
            <rFont val="Calibri"/>
            <family val="2"/>
            <scheme val="minor"/>
          </rPr>
          <t>Name of Customer or category of customer that receives the lowest upfront (guaranteed) discounted price</t>
        </r>
        <r>
          <rPr>
            <sz val="10"/>
            <color indexed="81"/>
            <rFont val="Tahoma"/>
            <family val="2"/>
          </rPr>
          <t>.</t>
        </r>
      </text>
    </comment>
    <comment ref="V2" authorId="1" shapeId="0" xr:uid="{00000000-0006-0000-0000-000008000000}">
      <text>
        <r>
          <rPr>
            <sz val="11"/>
            <color indexed="81"/>
            <rFont val="Calibri"/>
            <family val="2"/>
            <scheme val="minor"/>
          </rPr>
          <t>Please enter the proposed Tracking Customer (TC) even if the proposed TC is the same as the stated MFC.
List the name of the customer or category of customers you wish to propose as the Tracking Customer (TC).  You will need to complete this field for each proposed item.  Be prepared to discuss your rationale for the TC you are proposing.  The TC ratio (Government price without IFF divided by the TC price) will impact future price increases and decreases under your Government contract pursuant to clauses 552.238-75Price Reductions  and 552.216-70 Economic Price Adjustment (located in Document 01 – Solicitation Document).</t>
        </r>
      </text>
    </comment>
    <comment ref="W2" authorId="0" shapeId="0" xr:uid="{00000000-0006-0000-0000-000009000000}">
      <text>
        <r>
          <rPr>
            <sz val="11"/>
            <color indexed="81"/>
            <rFont val="Calibri"/>
            <family val="2"/>
            <scheme val="minor"/>
          </rPr>
          <t>List the price that the listed Tracking Customer (TC) pays for each line item.  If you are proposing different TCs for different line items, then make sure that the price you list corresponds to the TC listed in the previous column.</t>
        </r>
      </text>
    </comment>
    <comment ref="X2" authorId="2" shapeId="0" xr:uid="{00000000-0006-0000-0000-00000A000000}">
      <text>
        <r>
          <rPr>
            <sz val="11"/>
            <color indexed="81"/>
            <rFont val="Calibri"/>
            <family val="2"/>
            <scheme val="minor"/>
          </rPr>
          <t>Column auto-calculates the % discount off of list price.</t>
        </r>
      </text>
    </comment>
    <comment ref="AA2" authorId="2" shapeId="0" xr:uid="{00000000-0006-0000-0000-00000B000000}">
      <text>
        <r>
          <rPr>
            <sz val="11"/>
            <color indexed="81"/>
            <rFont val="Calibri"/>
            <family val="2"/>
            <scheme val="minor"/>
          </rPr>
          <t xml:space="preserve">List the price you wish to offer the Government for each line item.  This represents the price without IFF which will be added in Column P.  This price must be F.O.B. destination (see clause F-FSS-202-G Delivery Prices in Document 02 – Vendor Response Document).  </t>
        </r>
      </text>
    </comment>
    <comment ref="AB2" authorId="2" shapeId="0" xr:uid="{00000000-0006-0000-0000-00000C000000}">
      <text>
        <r>
          <rPr>
            <sz val="11"/>
            <color indexed="81"/>
            <rFont val="Calibri"/>
            <family val="2"/>
            <scheme val="minor"/>
          </rPr>
          <t>Column auto-calculates the % off list price using the proposed FSS price without IFF</t>
        </r>
        <r>
          <rPr>
            <sz val="10"/>
            <color indexed="81"/>
            <rFont val="Arial"/>
            <family val="2"/>
          </rPr>
          <t>.</t>
        </r>
      </text>
    </comment>
    <comment ref="AC2" authorId="2" shapeId="0" xr:uid="{00000000-0006-0000-0000-00000D000000}">
      <text>
        <r>
          <rPr>
            <sz val="11"/>
            <color indexed="81"/>
            <rFont val="Calibri"/>
            <family val="2"/>
            <scheme val="minor"/>
          </rPr>
          <t>Column autocalculates the price offered to FSS including the Industrial Funding Fee (currently 0.5%).
The correct method for calculating the IFF is:
Proposed FSS pricing / (1 minus the applicable IFF) = correct calculated proposed FSS price.
 For more information on IFF, see clause 552.238-74 Industrial Funding Fee and Sales Reporting in Document 01 – Solicitation Document.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4" authorId="0" shapeId="0" xr:uid="{00000000-0006-0000-0200-000001000000}">
      <text>
        <r>
          <rPr>
            <b/>
            <sz val="9"/>
            <color indexed="12"/>
            <rFont val="Calibri"/>
            <family val="2"/>
          </rPr>
          <t xml:space="preserve">
A "Customer" is any entity, except the Federal Gvmt, which acquires supplies or services from the Offeror. </t>
        </r>
        <r>
          <rPr>
            <sz val="9"/>
            <color indexed="12"/>
            <rFont val="Calibri"/>
            <family val="2"/>
          </rPr>
          <t xml:space="preserve">
</t>
        </r>
        <r>
          <rPr>
            <sz val="9"/>
            <color indexed="81"/>
            <rFont val="Calibri"/>
            <family val="2"/>
          </rPr>
          <t>In this column you should list the MFC as well as each customer or category of customers (e.g. wholesalers, GPOs, hospitals, etc.) who are receiving equal to or better pricing than that offered to the Government for any proposed item.  Categories of customers for whom your discounting practices are the same (for all columns to the right, columns 2 – 5) may be grouped together in a single line.  Each customer with different discounting practices must be listed on a separate line.</t>
        </r>
      </text>
    </comment>
    <comment ref="B4" authorId="0" shapeId="0" xr:uid="{00000000-0006-0000-0200-000002000000}">
      <text>
        <r>
          <rPr>
            <sz val="9"/>
            <color indexed="81"/>
            <rFont val="Calibri"/>
            <family val="2"/>
          </rPr>
          <t>This column represents the best discount (as a percentage off of commercial list) at which you sell the offered products to the customer/category of customers listed in column 1.  If the total discount is a combination of various discounts (upfront discount, prompt payment, quantity, etc.), then the percentage must be broken out for each type of discount.  The “upfront” discount is that afforded to the customer at the time of order.  Below are examples of different discounting configurations.
If your discount practices vary by individual line item and you are offering a large number of items and have numerous customers listed in this figure, then you may initially list the percentage discount range for each customer for the offered products.  However, be aware that you may be asked by your Contract Specialist or the VA’s Office of Inspector General (OIG) to provide a breakdown by line item as this level of detail may be necessary for a determination of price reasonableness or a determination of the completeness and accuracy of your submission.</t>
        </r>
      </text>
    </comment>
    <comment ref="C4" authorId="0" shapeId="0" xr:uid="{00000000-0006-0000-0200-000003000000}">
      <text>
        <r>
          <rPr>
            <sz val="9"/>
            <color indexed="81"/>
            <rFont val="Calibri"/>
            <family val="2"/>
          </rPr>
          <t xml:space="preserve">
This column describes what is required of the customer in column 1 in order for them to be afforded the discount(s) listed in column 2.  Be specific when listing the requirement (e.g.” 90% market share commitment contract” rather than “commitment contract”; “Minimum of $500,000 in purchases during calendar year” rather than “$500,000 in purchases”).  </t>
        </r>
      </text>
    </comment>
    <comment ref="D4" authorId="0" shapeId="0" xr:uid="{00000000-0006-0000-0200-000004000000}">
      <text>
        <r>
          <rPr>
            <sz val="9"/>
            <color indexed="81"/>
            <rFont val="Calibri"/>
            <family val="2"/>
          </rPr>
          <t>In the preformatted spreadsheet provided in Document 06, this column has a drop-down box for you to select FOB Origin or FOB Destination.  FOB Origin means that the item is “free on board” at the point of origin; in other words, the customer pays for the shipping.  FOB Destination means that the item is “free on board” to the point of destination; in other words, the customer does not pay a separate shipping charge and the price of the item is inclusive of shipping.</t>
        </r>
      </text>
    </comment>
    <comment ref="E4" authorId="0" shapeId="0" xr:uid="{00000000-0006-0000-0200-000005000000}">
      <text>
        <r>
          <rPr>
            <sz val="9"/>
            <color indexed="81"/>
            <rFont val="Calibri"/>
            <family val="2"/>
          </rPr>
          <t>This column represents any additional concessions afforded to the listed customer, such as freight allowance, extended warranty, extended price guarantees, free installation and bonus goods, as identified in clause 553.212-70 Preparation of Offer (Multiple Award Schedule).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Lydia McKay</author>
  </authors>
  <commentList>
    <comment ref="A11" authorId="0" shapeId="0" xr:uid="{CD5AA6D2-EF84-4A5C-9C5C-B68F95AB9719}">
      <text>
        <r>
          <rPr>
            <sz val="11"/>
            <color indexed="81"/>
            <rFont val="Calibri"/>
            <family val="2"/>
            <scheme val="minor"/>
          </rPr>
          <t>The item number must be listed for each proposed product and must be a unique identifier (i.e., you cannot list the same item number on more than one line).  This item number should correspond to the item number listed in the commercial catalog/pricelist which you provide with your proposal.  
NDC numbers must follow the prescribed format as follows, entering leading zeroes if necessary:
NDC1 = 5 digits
NDC2 = 4 digits
NDC2 = 3 digits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VA Employee</author>
    <author>Lydia McKay</author>
  </authors>
  <commentList>
    <comment ref="A2" authorId="0" shapeId="0" xr:uid="{4812090D-992F-491A-8C13-AC071C843A32}">
      <text>
        <r>
          <rPr>
            <sz val="9"/>
            <color indexed="81"/>
            <rFont val="Calibri"/>
            <family val="2"/>
            <scheme val="minor"/>
          </rPr>
          <t>Special Item Number
This should match info provided in the price proposal tab.</t>
        </r>
      </text>
    </comment>
    <comment ref="B2" authorId="0" shapeId="0" xr:uid="{925C9197-E6A4-4EE8-8A39-CE90DDB6548C}">
      <text>
        <r>
          <rPr>
            <sz val="9"/>
            <color indexed="81"/>
            <rFont val="Calibri"/>
            <family val="2"/>
            <scheme val="minor"/>
          </rPr>
          <t>Manufacturer's Company Name
This should match info provided in price proposal tab Column E.</t>
        </r>
      </text>
    </comment>
    <comment ref="C2" authorId="1" shapeId="0" xr:uid="{D7F92109-E90A-4DB2-A7D5-AA316DE76CDA}">
      <text>
        <r>
          <rPr>
            <sz val="11"/>
            <color indexed="81"/>
            <rFont val="Calibri"/>
            <family val="2"/>
            <scheme val="minor"/>
          </rPr>
          <t>The item number must be listed for each proposed product and must be a unique identifier (i.e., you cannot list the same item number on more than one line).  This item number should correspond to the item number listed in the commercial catalog/pricelist which you provide with your proposal.  
NDC numbers must follow the prescribed format as follows, entering leading zeroes if necessary:
NDC1 = 5 digits
NDC2 = 4 digits
NDC2 = 3 digits</t>
        </r>
      </text>
    </comment>
    <comment ref="F2" authorId="1" shapeId="0" xr:uid="{82FBED57-9F66-4661-ADC9-55BC43DBCAD7}">
      <text>
        <r>
          <rPr>
            <sz val="11"/>
            <color indexed="81"/>
            <rFont val="Calibri"/>
            <family val="2"/>
            <scheme val="minor"/>
          </rPr>
          <t>The item number must be listed for each proposed product and must be a unique identifier (i.e., you cannot list the same item number on more than one line).  This item number should correspond to the item number listed in the commercial catalog/pricelist which you provide with your proposal.  
NDC numbers must follow the prescribed format as follows, entering leading zeroes if necessary:
NDC1 = 5 digits
NDC2 = 4 digits
NDC2 = 3 digits</t>
        </r>
      </text>
    </comment>
    <comment ref="I2" authorId="1" shapeId="0" xr:uid="{39C2A2ED-6C5B-4116-977D-0CDC24AFFA02}">
      <text>
        <r>
          <rPr>
            <sz val="9"/>
            <color indexed="81"/>
            <rFont val="Calibri"/>
            <family val="2"/>
            <scheme val="minor"/>
          </rPr>
          <t>Product Description
This should match the description provided in price proposal tab Column C.</t>
        </r>
      </text>
    </comment>
    <comment ref="J2" authorId="0" shapeId="0" xr:uid="{E56C9846-72EB-4B46-9F7A-FE1F02D428D9}">
      <text>
        <r>
          <rPr>
            <sz val="9"/>
            <color indexed="81"/>
            <rFont val="Calibri"/>
            <family val="2"/>
            <scheme val="minor"/>
          </rPr>
          <t>Manufacturer Commercial List Price</t>
        </r>
      </text>
    </comment>
    <comment ref="K2" authorId="0" shapeId="0" xr:uid="{08726862-8E4D-48AA-8ADE-FA5C471D9203}">
      <text>
        <r>
          <rPr>
            <sz val="9"/>
            <color indexed="81"/>
            <rFont val="Calibri"/>
            <family val="2"/>
            <scheme val="minor"/>
          </rPr>
          <t xml:space="preserve">
The % discount your firm receives off of the Manufacturer's commercial list price.  
This is not the % discount you are offering to the Government.</t>
        </r>
      </text>
    </comment>
  </commentList>
</comments>
</file>

<file path=xl/sharedStrings.xml><?xml version="1.0" encoding="utf-8"?>
<sst xmlns="http://schemas.openxmlformats.org/spreadsheetml/2006/main" count="804" uniqueCount="690">
  <si>
    <t>SIN#</t>
  </si>
  <si>
    <t>MFC Name</t>
  </si>
  <si>
    <t>Commercial List Price ($)</t>
  </si>
  <si>
    <t>42-1</t>
  </si>
  <si>
    <t>42-2B</t>
  </si>
  <si>
    <t>42-3</t>
  </si>
  <si>
    <t>42-5</t>
  </si>
  <si>
    <t>INP</t>
  </si>
  <si>
    <t>Proposed TC Ratio</t>
  </si>
  <si>
    <t>TC&lt;=MFC Price</t>
  </si>
  <si>
    <t>FIGURE 515.4-2</t>
  </si>
  <si>
    <t>Column 1 - Customer</t>
  </si>
  <si>
    <t>Column 2 - Discount</t>
  </si>
  <si>
    <t>Column 3 - Quantity/Volume</t>
  </si>
  <si>
    <t>Column 4 - FOB Terms</t>
  </si>
  <si>
    <t>Column 5 - Additional Discounts or Concessions</t>
  </si>
  <si>
    <t>F.O.B. Origin</t>
  </si>
  <si>
    <t>F.O.B. Destination</t>
  </si>
  <si>
    <t>Product Description</t>
  </si>
  <si>
    <t>Mfr List Price</t>
  </si>
  <si>
    <t>Proposed FSS Price ($) without IFF</t>
  </si>
  <si>
    <t>Proposed FSS Price ($) with IFF</t>
  </si>
  <si>
    <t>42-2A</t>
  </si>
  <si>
    <t>MFC Discount off Comm. List Price (%)</t>
  </si>
  <si>
    <t>TC Discount off Comm. List Price (%)</t>
  </si>
  <si>
    <t xml:space="preserve"> Tracking Ratio</t>
  </si>
  <si>
    <t>Proposed Tracking Customer (TC) Name</t>
  </si>
  <si>
    <t>Red "A" = Awarded</t>
  </si>
  <si>
    <t>Product Information</t>
  </si>
  <si>
    <t>MFC Information</t>
  </si>
  <si>
    <t>FSS Information</t>
  </si>
  <si>
    <t xml:space="preserve">Proposed FSS Discount off Comm.  Price w/out IFF  (%) </t>
  </si>
  <si>
    <t>Is Proposed Gov't Price (w/out IFF) Less Than or Equal to MFC Price?</t>
  </si>
  <si>
    <t>MFC % Off Comm. List Price</t>
  </si>
  <si>
    <t>TC % Off Comm. List Price</t>
  </si>
  <si>
    <t>Proposed FSS % Off Comm. List Price w/out IFF</t>
  </si>
  <si>
    <t>Afghanistan</t>
  </si>
  <si>
    <t>AF</t>
  </si>
  <si>
    <t>Albania</t>
  </si>
  <si>
    <t>AL</t>
  </si>
  <si>
    <t>Country</t>
  </si>
  <si>
    <t>Code</t>
  </si>
  <si>
    <t>Alberta</t>
  </si>
  <si>
    <t>XA</t>
  </si>
  <si>
    <t>Algeria</t>
  </si>
  <si>
    <t>DZ</t>
  </si>
  <si>
    <t>American Samoa</t>
  </si>
  <si>
    <t>AS</t>
  </si>
  <si>
    <t>Andorra</t>
  </si>
  <si>
    <t>AD</t>
  </si>
  <si>
    <t>Angola</t>
  </si>
  <si>
    <t>AO</t>
  </si>
  <si>
    <t>Anguilla</t>
  </si>
  <si>
    <t>AI</t>
  </si>
  <si>
    <t>Antigua &amp; Barbuda</t>
  </si>
  <si>
    <t>AG</t>
  </si>
  <si>
    <t>APO Customs Mail Entry Only</t>
  </si>
  <si>
    <t>AP</t>
  </si>
  <si>
    <t>Argentina</t>
  </si>
  <si>
    <t>AR</t>
  </si>
  <si>
    <t>Armenia</t>
  </si>
  <si>
    <t>AM</t>
  </si>
  <si>
    <t>Aruba</t>
  </si>
  <si>
    <t>AW</t>
  </si>
  <si>
    <t>Australia</t>
  </si>
  <si>
    <t>AU</t>
  </si>
  <si>
    <t>Austria</t>
  </si>
  <si>
    <t>AT</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</si>
  <si>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</si>
  <si>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</si>
  <si>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</si>
  <si>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</si>
  <si>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</si>
  <si>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</si>
  <si>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</si>
  <si>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</si>
  <si>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</si>
  <si>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</si>
  <si>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</si>
  <si>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</si>
  <si>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</si>
  <si>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</si>
  <si>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</si>
  <si>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</si>
  <si>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</si>
  <si>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</si>
  <si>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</si>
  <si>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</si>
  <si>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</si>
  <si>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</si>
  <si>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</si>
  <si>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t>
  </si>
  <si>
    <t>Bosnia and Herceqovina</t>
  </si>
  <si>
    <t>BA</t>
  </si>
  <si>
    <t>Botswana</t>
  </si>
  <si>
    <t>BW</t>
  </si>
  <si>
    <t>Bouvet Island</t>
  </si>
  <si>
    <t>BV</t>
  </si>
  <si>
    <t>Brazil</t>
  </si>
  <si>
    <t>BR</t>
  </si>
  <si>
    <t xml:space="preserve">British Columbia </t>
  </si>
  <si>
    <t>XC</t>
  </si>
  <si>
    <t>British Columbia Coastal</t>
  </si>
  <si>
    <t>XD</t>
  </si>
  <si>
    <t>British Columbia Interior</t>
  </si>
  <si>
    <t>XE</t>
  </si>
  <si>
    <t>British Indian Ocean Territory</t>
  </si>
  <si>
    <t>IO</t>
  </si>
  <si>
    <t>British Virgin Islands</t>
  </si>
  <si>
    <t>VG</t>
  </si>
  <si>
    <t xml:space="preserve">Brunei </t>
  </si>
  <si>
    <t>BN</t>
  </si>
  <si>
    <t>Bulgaria</t>
  </si>
  <si>
    <t>BG</t>
  </si>
  <si>
    <t>Burkina Faso</t>
  </si>
  <si>
    <t>BF</t>
  </si>
  <si>
    <t>Burma</t>
  </si>
  <si>
    <t>BU</t>
  </si>
  <si>
    <t>Burma (Myanmar)</t>
  </si>
  <si>
    <t>MM</t>
  </si>
  <si>
    <t>Burundi</t>
  </si>
  <si>
    <t>BI</t>
  </si>
  <si>
    <t>Cambodia</t>
  </si>
  <si>
    <t>KH</t>
  </si>
  <si>
    <t>Cameroon</t>
  </si>
  <si>
    <t>CM</t>
  </si>
  <si>
    <t>Canada</t>
  </si>
  <si>
    <t>CA</t>
  </si>
  <si>
    <t>Cape Verde</t>
  </si>
  <si>
    <t>CV</t>
  </si>
  <si>
    <t>Cayman Islands</t>
  </si>
  <si>
    <t>KY</t>
  </si>
  <si>
    <t>Central African Republic</t>
  </si>
  <si>
    <t>CF</t>
  </si>
  <si>
    <t>Chad</t>
  </si>
  <si>
    <t>TD</t>
  </si>
  <si>
    <t>Chile</t>
  </si>
  <si>
    <t>CL</t>
  </si>
  <si>
    <t>China  (Mainland)</t>
  </si>
  <si>
    <t>CN</t>
  </si>
  <si>
    <t>China (Taiwan)</t>
  </si>
  <si>
    <t>TW</t>
  </si>
  <si>
    <t>Christmas Islands</t>
  </si>
  <si>
    <t>CX</t>
  </si>
  <si>
    <t>Cocos (Keeling) Islands</t>
  </si>
  <si>
    <t>CC</t>
  </si>
  <si>
    <t>Colombia</t>
  </si>
  <si>
    <t>CO</t>
  </si>
  <si>
    <t>Comoros</t>
  </si>
  <si>
    <t>KM</t>
  </si>
  <si>
    <t>Congo (Brazzaville)</t>
  </si>
  <si>
    <t>CG</t>
  </si>
  <si>
    <t>Congo, The Democratic Republic of the (Kinshasa)</t>
  </si>
  <si>
    <t>CD</t>
  </si>
  <si>
    <t>Cook Islands</t>
  </si>
  <si>
    <t>CK</t>
  </si>
  <si>
    <t>Costa Rica</t>
  </si>
  <si>
    <t>CR</t>
  </si>
  <si>
    <t>Croatia</t>
  </si>
  <si>
    <t>HR</t>
  </si>
  <si>
    <t>Cuba</t>
  </si>
  <si>
    <t>CU</t>
  </si>
  <si>
    <t>Curacao</t>
  </si>
  <si>
    <t>CW</t>
  </si>
  <si>
    <t>Cyprus</t>
  </si>
  <si>
    <t>CY</t>
  </si>
  <si>
    <t>Czech Republic</t>
  </si>
  <si>
    <t>CZ</t>
  </si>
  <si>
    <t>Czechoslavakia</t>
  </si>
  <si>
    <t>CS</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</si>
  <si>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</si>
  <si>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</si>
  <si>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</si>
  <si>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</si>
  <si>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</si>
  <si>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</si>
  <si>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</si>
  <si>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</si>
  <si>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</si>
  <si>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</si>
  <si>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</si>
  <si>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</si>
  <si>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</si>
  <si>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</si>
  <si>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</si>
  <si>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</si>
  <si>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</si>
  <si>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</si>
  <si>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</si>
  <si>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</si>
  <si>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EN</t>
  </si>
  <si>
    <t>Ethiopia</t>
  </si>
  <si>
    <t>ET</t>
  </si>
  <si>
    <t>Falkland Islands (Malvinas)</t>
  </si>
  <si>
    <t>FK</t>
  </si>
  <si>
    <t>Faroe Islands</t>
  </si>
  <si>
    <t>FO</t>
  </si>
  <si>
    <t>Fiji</t>
  </si>
  <si>
    <t>Finland</t>
  </si>
  <si>
    <t>FPO Customs Mail Entry</t>
  </si>
  <si>
    <t>France</t>
  </si>
  <si>
    <t>French Guiana</t>
  </si>
  <si>
    <t>French Polynesia</t>
  </si>
  <si>
    <t>French Southern and Antarctic Lands</t>
  </si>
  <si>
    <t>Gabon</t>
  </si>
  <si>
    <t>Gambia</t>
  </si>
  <si>
    <t>Gaza Strip</t>
  </si>
  <si>
    <t>Georgia</t>
  </si>
  <si>
    <t>Germany</t>
  </si>
  <si>
    <t>Germany, East</t>
  </si>
  <si>
    <t>Ghana</t>
  </si>
  <si>
    <t>Gibraltar</t>
  </si>
  <si>
    <t>Greece</t>
  </si>
  <si>
    <t>Greenland</t>
  </si>
  <si>
    <t>Grenada</t>
  </si>
  <si>
    <t>Guadeloupe</t>
  </si>
  <si>
    <t>Guam</t>
  </si>
  <si>
    <t>Guatemala</t>
  </si>
  <si>
    <t>FJ</t>
  </si>
  <si>
    <t>FI</t>
  </si>
  <si>
    <t>FP</t>
  </si>
  <si>
    <t>FR</t>
  </si>
  <si>
    <t>GF</t>
  </si>
  <si>
    <t>PF</t>
  </si>
  <si>
    <t>TF</t>
  </si>
  <si>
    <t>GA</t>
  </si>
  <si>
    <t>GM</t>
  </si>
  <si>
    <t>GZ</t>
  </si>
  <si>
    <t>GE</t>
  </si>
  <si>
    <t>GG</t>
  </si>
  <si>
    <t>DE</t>
  </si>
  <si>
    <t>DD</t>
  </si>
  <si>
    <t>GH</t>
  </si>
  <si>
    <t>GI</t>
  </si>
  <si>
    <t>GR</t>
  </si>
  <si>
    <t>GL</t>
  </si>
  <si>
    <t>GD</t>
  </si>
  <si>
    <t>GP</t>
  </si>
  <si>
    <t>GU</t>
  </si>
  <si>
    <t>GT</t>
  </si>
  <si>
    <t>Guernsey</t>
  </si>
  <si>
    <t>Guinea</t>
  </si>
  <si>
    <t>GN</t>
  </si>
  <si>
    <t>Guinea Bissau</t>
  </si>
  <si>
    <t>GW</t>
  </si>
  <si>
    <t>Guyana</t>
  </si>
  <si>
    <t>GY</t>
  </si>
  <si>
    <t xml:space="preserve">Haiti </t>
  </si>
  <si>
    <t>HT</t>
  </si>
  <si>
    <t>Heard Island and McDonald Islands</t>
  </si>
  <si>
    <t>HM</t>
  </si>
  <si>
    <t>Honduras</t>
  </si>
  <si>
    <t>HN</t>
  </si>
  <si>
    <t>Hong Kong</t>
  </si>
  <si>
    <t>HK</t>
  </si>
  <si>
    <t>Hungary</t>
  </si>
  <si>
    <t>HU</t>
  </si>
  <si>
    <t>Iceland</t>
  </si>
  <si>
    <t>IS</t>
  </si>
  <si>
    <t>India</t>
  </si>
  <si>
    <t>IN</t>
  </si>
  <si>
    <t>Indonesia</t>
  </si>
  <si>
    <t>ID</t>
  </si>
  <si>
    <t xml:space="preserve">Iran, </t>
  </si>
  <si>
    <t>IR</t>
  </si>
  <si>
    <t>Iraq</t>
  </si>
  <si>
    <t>IQ</t>
  </si>
  <si>
    <t>Ireland</t>
  </si>
  <si>
    <t>IE</t>
  </si>
  <si>
    <t>Israel</t>
  </si>
  <si>
    <t>IL</t>
  </si>
  <si>
    <t>Italy</t>
  </si>
  <si>
    <t>IT</t>
  </si>
  <si>
    <t>Jamaica</t>
  </si>
  <si>
    <t>JM</t>
  </si>
  <si>
    <t>Japan</t>
  </si>
  <si>
    <t>JP</t>
  </si>
  <si>
    <t>Jordan</t>
  </si>
  <si>
    <t>JO</t>
  </si>
  <si>
    <t xml:space="preserve">Kazakhstan </t>
  </si>
  <si>
    <t>KZ</t>
  </si>
  <si>
    <t>Kazakhstan</t>
  </si>
  <si>
    <t>KK</t>
  </si>
  <si>
    <t>Kenya</t>
  </si>
  <si>
    <t>KE</t>
  </si>
  <si>
    <t>Kiribati</t>
  </si>
  <si>
    <t>KI</t>
  </si>
  <si>
    <t xml:space="preserve">Korea, Republic Of </t>
  </si>
  <si>
    <t>KR</t>
  </si>
  <si>
    <t>Kuwait</t>
  </si>
  <si>
    <t>KW</t>
  </si>
  <si>
    <t>Kyrgyzstan</t>
  </si>
  <si>
    <t>KG</t>
  </si>
  <si>
    <t>Laos People's Democratic Republic</t>
  </si>
  <si>
    <t>LA</t>
  </si>
  <si>
    <t>Latvia</t>
  </si>
  <si>
    <t>LV</t>
  </si>
  <si>
    <t>Lebanon</t>
  </si>
  <si>
    <t>LB</t>
  </si>
  <si>
    <t>Lesotho</t>
  </si>
  <si>
    <t>LS</t>
  </si>
  <si>
    <t>Liberia</t>
  </si>
  <si>
    <t>LR</t>
  </si>
  <si>
    <t>Libya</t>
  </si>
  <si>
    <t>LY</t>
  </si>
  <si>
    <t>Liechtenstein</t>
  </si>
  <si>
    <t>LI</t>
  </si>
  <si>
    <t>Lithuania</t>
  </si>
  <si>
    <t>LT</t>
  </si>
  <si>
    <t>Luxembourg</t>
  </si>
  <si>
    <t>LU</t>
  </si>
  <si>
    <t xml:space="preserve">Macao </t>
  </si>
  <si>
    <t>MO</t>
  </si>
  <si>
    <t>Macedonia,  (Skopie)</t>
  </si>
  <si>
    <t>MK</t>
  </si>
  <si>
    <t>Madagascar</t>
  </si>
  <si>
    <t>MG</t>
  </si>
  <si>
    <t>Malawi</t>
  </si>
  <si>
    <t>MW</t>
  </si>
  <si>
    <t>Malaysia</t>
  </si>
  <si>
    <t>MY</t>
  </si>
  <si>
    <t>Mali</t>
  </si>
  <si>
    <t>ML</t>
  </si>
  <si>
    <t>Malta and Gozo</t>
  </si>
  <si>
    <t>MT</t>
  </si>
  <si>
    <t>Manitoba</t>
  </si>
  <si>
    <t>XM</t>
  </si>
  <si>
    <t>Marshall Islands</t>
  </si>
  <si>
    <t>MH</t>
  </si>
  <si>
    <t>Martinique</t>
  </si>
  <si>
    <t>MQ</t>
  </si>
  <si>
    <t>Mauritania</t>
  </si>
  <si>
    <t>MR</t>
  </si>
  <si>
    <t>Mauritius</t>
  </si>
  <si>
    <t>MU</t>
  </si>
  <si>
    <t>Mayotte</t>
  </si>
  <si>
    <t>YT</t>
  </si>
  <si>
    <t>Mexico</t>
  </si>
  <si>
    <t>MX</t>
  </si>
  <si>
    <t>Micronesia, Federated  States</t>
  </si>
  <si>
    <t>FM</t>
  </si>
  <si>
    <t>Moldova, Republic of</t>
  </si>
  <si>
    <t>MD</t>
  </si>
  <si>
    <t>Monaco</t>
  </si>
  <si>
    <t>MC</t>
  </si>
  <si>
    <t>Mongolia</t>
  </si>
  <si>
    <t>MN</t>
  </si>
  <si>
    <t>Montenegro</t>
  </si>
  <si>
    <t>ME</t>
  </si>
  <si>
    <t>Montserrat</t>
  </si>
  <si>
    <t>MS</t>
  </si>
  <si>
    <t>Morocco</t>
  </si>
  <si>
    <t>MA</t>
  </si>
  <si>
    <t>Mozambique</t>
  </si>
  <si>
    <t>MZ</t>
  </si>
  <si>
    <t>Namibia</t>
  </si>
  <si>
    <t>NA</t>
  </si>
  <si>
    <t>Nauru</t>
  </si>
  <si>
    <t>NR</t>
  </si>
  <si>
    <t>Nepal</t>
  </si>
  <si>
    <t>NP</t>
  </si>
  <si>
    <t>Netherlands</t>
  </si>
  <si>
    <t>NL</t>
  </si>
  <si>
    <t>Netherlands Antilles</t>
  </si>
  <si>
    <t>AN</t>
  </si>
  <si>
    <t>New Brunswick</t>
  </si>
  <si>
    <t>XB</t>
  </si>
  <si>
    <t>New Foundland and Labrador</t>
  </si>
  <si>
    <t>XW</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</si>
  <si>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</si>
  <si>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</si>
  <si>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</si>
  <si>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</si>
  <si>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</si>
  <si>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</si>
  <si>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</si>
  <si>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</si>
  <si>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</si>
  <si>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</si>
  <si>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</si>
  <si>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</si>
  <si>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</si>
  <si>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</si>
  <si>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</si>
  <si>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</si>
  <si>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</si>
  <si>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</si>
  <si>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</si>
  <si>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</si>
  <si>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Ontario</t>
  </si>
  <si>
    <t>XO</t>
  </si>
  <si>
    <t>Pakistan</t>
  </si>
  <si>
    <t>PK</t>
  </si>
  <si>
    <t>Palau</t>
  </si>
  <si>
    <t>PW</t>
  </si>
  <si>
    <t>Panama</t>
  </si>
  <si>
    <t>PA</t>
  </si>
  <si>
    <t>Papua New Guinea</t>
  </si>
  <si>
    <t>PG</t>
  </si>
  <si>
    <t>Paraguay</t>
  </si>
  <si>
    <t>PY</t>
  </si>
  <si>
    <t>Peru</t>
  </si>
  <si>
    <t>PE</t>
  </si>
  <si>
    <t>Philippines</t>
  </si>
  <si>
    <t>PH</t>
  </si>
  <si>
    <t>Pitcairn  Island</t>
  </si>
  <si>
    <t>PN</t>
  </si>
  <si>
    <t>Poland</t>
  </si>
  <si>
    <t>PL</t>
  </si>
  <si>
    <t>Portugal</t>
  </si>
  <si>
    <t>PT</t>
  </si>
  <si>
    <t>Prince Edward Island</t>
  </si>
  <si>
    <t>XP</t>
  </si>
  <si>
    <t>Puerto Rico</t>
  </si>
  <si>
    <t>PR</t>
  </si>
  <si>
    <t>Qatar</t>
  </si>
  <si>
    <t>QA</t>
  </si>
  <si>
    <t>Quebec</t>
  </si>
  <si>
    <t>Republic of Maldives</t>
  </si>
  <si>
    <t>MV</t>
  </si>
  <si>
    <t>Republic of South Africa</t>
  </si>
  <si>
    <t>ZA</t>
  </si>
  <si>
    <t>Republic of Yemen</t>
  </si>
  <si>
    <t>YE</t>
  </si>
  <si>
    <t xml:space="preserve">Reunion </t>
  </si>
  <si>
    <t>RE</t>
  </si>
  <si>
    <t>Romania</t>
  </si>
  <si>
    <t>RO</t>
  </si>
  <si>
    <t>Russia Federation</t>
  </si>
  <si>
    <t>RU</t>
  </si>
  <si>
    <t>Rwanda</t>
  </si>
  <si>
    <t>RW</t>
  </si>
  <si>
    <t>St. Kitts and Nevis Islands</t>
  </si>
  <si>
    <t>KN</t>
  </si>
  <si>
    <t>St. Lucia</t>
  </si>
  <si>
    <t>LC</t>
  </si>
  <si>
    <t>Saint Pierre and Miquelon</t>
  </si>
  <si>
    <t>PM</t>
  </si>
  <si>
    <t>Saint Vincent and The Grenadines</t>
  </si>
  <si>
    <t>VC</t>
  </si>
  <si>
    <t>Samoa</t>
  </si>
  <si>
    <t>WS</t>
  </si>
  <si>
    <t>San Marino</t>
  </si>
  <si>
    <t>SM</t>
  </si>
  <si>
    <t>Sao Tomes and Principe</t>
  </si>
  <si>
    <t>ST</t>
  </si>
  <si>
    <t>Saudi Arabia</t>
  </si>
  <si>
    <t>SA</t>
  </si>
  <si>
    <t>Senegal</t>
  </si>
  <si>
    <t>SN</t>
  </si>
  <si>
    <t>Serbia</t>
  </si>
  <si>
    <t>RS</t>
  </si>
  <si>
    <t>Seychelles</t>
  </si>
  <si>
    <t>SC</t>
  </si>
  <si>
    <t>Sierra Leone</t>
  </si>
  <si>
    <t>SL</t>
  </si>
  <si>
    <t>Singapore</t>
  </si>
  <si>
    <t>SG</t>
  </si>
  <si>
    <t>Sint Maarten (Southern)</t>
  </si>
  <si>
    <t>SX</t>
  </si>
  <si>
    <t>Slovakia</t>
  </si>
  <si>
    <t>SK</t>
  </si>
  <si>
    <t>SQ</t>
  </si>
  <si>
    <t>Slovenia</t>
  </si>
  <si>
    <t>SI</t>
  </si>
  <si>
    <t>Solomon Islands</t>
  </si>
  <si>
    <t>SB</t>
  </si>
  <si>
    <t>Somalia</t>
  </si>
  <si>
    <t>SO</t>
  </si>
  <si>
    <t>Spain</t>
  </si>
  <si>
    <t>ES</t>
  </si>
  <si>
    <t>Sri Lanka</t>
  </si>
  <si>
    <t>LK</t>
  </si>
  <si>
    <t>Sudan</t>
  </si>
  <si>
    <t>SD</t>
  </si>
  <si>
    <t>Surinam</t>
  </si>
  <si>
    <t>SR</t>
  </si>
  <si>
    <t>Svalbard and Jan Mayen Islands</t>
  </si>
  <si>
    <t>SJ</t>
  </si>
  <si>
    <t>Swaziland</t>
  </si>
  <si>
    <t>SZ</t>
  </si>
  <si>
    <t>Sweden</t>
  </si>
  <si>
    <t>SE</t>
  </si>
  <si>
    <t>Switzerland</t>
  </si>
  <si>
    <t>CH</t>
  </si>
  <si>
    <t>Syria</t>
  </si>
  <si>
    <t>SY</t>
  </si>
  <si>
    <t>Tajikistan</t>
  </si>
  <si>
    <t>TJ</t>
  </si>
  <si>
    <t>Tanzania, United Republic of</t>
  </si>
  <si>
    <t>TZ</t>
  </si>
  <si>
    <t>Thailand</t>
  </si>
  <si>
    <t>TH</t>
  </si>
  <si>
    <t>Timor-Leste</t>
  </si>
  <si>
    <t>TL</t>
  </si>
  <si>
    <t>Togo</t>
  </si>
  <si>
    <t>TG</t>
  </si>
  <si>
    <t xml:space="preserve">Tokelau </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</si>
  <si>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</si>
  <si>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</si>
  <si>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</si>
  <si>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</si>
  <si>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</si>
  <si>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</si>
  <si>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</si>
  <si>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</si>
  <si>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</si>
  <si>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</si>
  <si>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</si>
  <si>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</si>
  <si>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</si>
  <si>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</si>
  <si>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</si>
  <si>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</si>
  <si>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</si>
  <si>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</si>
  <si>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</si>
  <si>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Union of Soviet Socialist Republics</t>
  </si>
  <si>
    <t>SU</t>
  </si>
  <si>
    <t>United Arab Emirates</t>
  </si>
  <si>
    <t>AE</t>
  </si>
  <si>
    <t>United Kingdom</t>
  </si>
  <si>
    <t>GB</t>
  </si>
  <si>
    <t>United States of America</t>
  </si>
  <si>
    <t>US</t>
  </si>
  <si>
    <t>United States Minor Outlying Islands</t>
  </si>
  <si>
    <t>UM</t>
  </si>
  <si>
    <t>Uruguay</t>
  </si>
  <si>
    <t>UY</t>
  </si>
  <si>
    <t>Uzbekistan</t>
  </si>
  <si>
    <t>UZ</t>
  </si>
  <si>
    <t>Vanuatu</t>
  </si>
  <si>
    <t>VU</t>
  </si>
  <si>
    <t>Vatican City</t>
  </si>
  <si>
    <t>VA</t>
  </si>
  <si>
    <t>Venezuela</t>
  </si>
  <si>
    <t>VE</t>
  </si>
  <si>
    <t>Vietnam</t>
  </si>
  <si>
    <t>VN</t>
  </si>
  <si>
    <t xml:space="preserve">Virgin Islands of the United States </t>
  </si>
  <si>
    <t>VI</t>
  </si>
  <si>
    <t xml:space="preserve">Wallis and Futuna </t>
  </si>
  <si>
    <t>WF</t>
  </si>
  <si>
    <t>West Bank</t>
  </si>
  <si>
    <t>WE</t>
  </si>
  <si>
    <t>Western Sahara</t>
  </si>
  <si>
    <t>EH</t>
  </si>
  <si>
    <t>Yemen</t>
  </si>
  <si>
    <t>Yugoslavia</t>
  </si>
  <si>
    <t>YU</t>
  </si>
  <si>
    <t>Yukon</t>
  </si>
  <si>
    <t>XU</t>
  </si>
  <si>
    <t>Zaire</t>
  </si>
  <si>
    <t>ZR</t>
  </si>
  <si>
    <t>Zambia</t>
  </si>
  <si>
    <t>ZM</t>
  </si>
  <si>
    <t>Zimbabwe</t>
  </si>
  <si>
    <t>ZW</t>
  </si>
  <si>
    <r>
      <t xml:space="preserve">Country of Origin 
</t>
    </r>
    <r>
      <rPr>
        <sz val="11"/>
        <rFont val="Calibri"/>
        <family val="2"/>
      </rPr>
      <t>(See Country Codes Tab)</t>
    </r>
  </si>
  <si>
    <t>Enter date in this cell based on instructions to the left.</t>
  </si>
  <si>
    <r>
      <t xml:space="preserve">The Government expects you to provide information required by the format in accordance with the solicitation instructions for Figure 515.4-2 that is, to the best of your knowledge and belief, current, accurate, and complete as of 60 calendar days prior to its submission.  The data provided in the price proposal tab and Figure 515.4-2 is current, accurate, and complete as of </t>
    </r>
    <r>
      <rPr>
        <b/>
        <i/>
        <sz val="9"/>
        <rFont val="Calibri"/>
        <family val="2"/>
      </rPr>
      <t>(enter date in cell to the right)</t>
    </r>
    <r>
      <rPr>
        <b/>
        <sz val="9"/>
        <rFont val="Calibri"/>
        <family val="2"/>
      </rPr>
      <t xml:space="preserve">. </t>
    </r>
  </si>
  <si>
    <t>(Copy FSS w/ IFF from PP Tab)</t>
  </si>
  <si>
    <t>NDC 1
or
Item #</t>
  </si>
  <si>
    <t>NDC3</t>
  </si>
  <si>
    <t>NDC2</t>
  </si>
  <si>
    <t>Type "YES" if item is handled by Specialty Distrib.</t>
  </si>
  <si>
    <r>
      <t xml:space="preserve">NDC2
</t>
    </r>
    <r>
      <rPr>
        <sz val="10"/>
        <rFont val="Calibri"/>
        <family val="2"/>
      </rPr>
      <t>(4 digits only - Add leading 0 if necessary)</t>
    </r>
  </si>
  <si>
    <t>Trade Name / Strength</t>
  </si>
  <si>
    <t>Package Size</t>
  </si>
  <si>
    <t>Unit of Sale</t>
  </si>
  <si>
    <t>Quantity in Unit of Sale</t>
  </si>
  <si>
    <t>Unit Pkg</t>
  </si>
  <si>
    <t>Quantity in Unit Pkg</t>
  </si>
  <si>
    <t>Unit of Measure</t>
  </si>
  <si>
    <t>FDA Application Number</t>
  </si>
  <si>
    <t>Generic Name / Strength</t>
  </si>
  <si>
    <t>Columns H &amp; J - Unit of Sale &amp; Unit Package</t>
  </si>
  <si>
    <t>Column L - Unit of Measure</t>
  </si>
  <si>
    <t>Ampule</t>
  </si>
  <si>
    <t>EA</t>
  </si>
  <si>
    <t>Each</t>
  </si>
  <si>
    <t>Bag</t>
  </si>
  <si>
    <t>F2</t>
  </si>
  <si>
    <t>Square Feet</t>
  </si>
  <si>
    <t>Bottle</t>
  </si>
  <si>
    <t>Gram</t>
  </si>
  <si>
    <t>BX</t>
  </si>
  <si>
    <t>Box</t>
  </si>
  <si>
    <t>Inch</t>
  </si>
  <si>
    <t>Case</t>
  </si>
  <si>
    <t>Liter</t>
  </si>
  <si>
    <t>Container</t>
  </si>
  <si>
    <t>Milliliter</t>
  </si>
  <si>
    <t>Cylinder</t>
  </si>
  <si>
    <t>Can</t>
  </si>
  <si>
    <t>CQ</t>
  </si>
  <si>
    <t>Cartridge</t>
  </si>
  <si>
    <t>CT</t>
  </si>
  <si>
    <t>Carton</t>
  </si>
  <si>
    <t>DR</t>
  </si>
  <si>
    <t>Drum</t>
  </si>
  <si>
    <t>KT</t>
  </si>
  <si>
    <t>Kit</t>
  </si>
  <si>
    <t>PC</t>
  </si>
  <si>
    <t>Piece</t>
  </si>
  <si>
    <t>Package</t>
  </si>
  <si>
    <t>RL</t>
  </si>
  <si>
    <t>Roll</t>
  </si>
  <si>
    <t>TB</t>
  </si>
  <si>
    <t>Tube</t>
  </si>
  <si>
    <t>Vial</t>
  </si>
  <si>
    <t>EXAMPLES:</t>
  </si>
  <si>
    <t>Note:  There is no column for strength.  It is to be included with the generic and trade names.</t>
  </si>
  <si>
    <t>Unit of Pkg</t>
  </si>
  <si>
    <t>XXXXXX / 30mg</t>
  </si>
  <si>
    <t>1 x 100</t>
  </si>
  <si>
    <t>FSS Price is for one bottle containing 100 tablets of 30 mg each.</t>
  </si>
  <si>
    <t>XXXXXX / 25mg</t>
  </si>
  <si>
    <t>10 x 100</t>
  </si>
  <si>
    <t>FSS Price is for one case containing 10 boxes of bottles which contain 100 capsules of 25 mg each.</t>
  </si>
  <si>
    <t>XXXXXX / 0.3%</t>
  </si>
  <si>
    <t>1 x 6</t>
  </si>
  <si>
    <t>FSS Price is for one vial containing 6 ml of 0.3% solution.</t>
  </si>
  <si>
    <t>5 x 6</t>
  </si>
  <si>
    <t>FSS Price is for one box containing 5 vials, 6 ml each, of 0.3% solution.</t>
  </si>
  <si>
    <t>XXXXXX / 0.2%</t>
  </si>
  <si>
    <t>1 x 150</t>
  </si>
  <si>
    <t>FSS Price is for one bottle containing 150 ml of 2% suspension.</t>
  </si>
  <si>
    <t>XXXXXX / 0.1%</t>
  </si>
  <si>
    <t>50 x 150</t>
  </si>
  <si>
    <t>FSS Price is for one case of 50 bottles containing 150ml each of 1% strength.</t>
  </si>
  <si>
    <t>1 x 5</t>
  </si>
  <si>
    <t>FSS Price is for one, 5 gram tube containing 1% strength.</t>
  </si>
  <si>
    <t>Specialty Distrib. Item?</t>
  </si>
  <si>
    <t>NDC1
or
Item #</t>
  </si>
  <si>
    <t>Trade Name / Description</t>
  </si>
  <si>
    <t>Gov't Price without IFF</t>
  </si>
  <si>
    <t>Gov't Price with IFF</t>
  </si>
  <si>
    <t>Pkg Size</t>
  </si>
  <si>
    <t>Qnty in Unit of Sale</t>
  </si>
  <si>
    <t>Qnty in Unit Pkg</t>
  </si>
  <si>
    <t>Unit of Meas</t>
  </si>
  <si>
    <t>TC Information</t>
  </si>
  <si>
    <t>MFC &amp; TC Analysis</t>
  </si>
  <si>
    <t>Proposed TC Price ($)</t>
  </si>
  <si>
    <t>MFC Price ($)</t>
  </si>
  <si>
    <t>A</t>
  </si>
  <si>
    <t xml:space="preserve">Please reference the instructions for this Figure in the CSP-1 section of the solicitation and in the "Contractor Guide to CSP" </t>
  </si>
  <si>
    <t>found on our Training web page under the "Prospective Contractors - Solicitation Assistance" section at:</t>
  </si>
  <si>
    <t>Total (comm. &amp; gov’t) units sold during Prior Fiscal Year (or a more recent 12-month period)</t>
  </si>
  <si>
    <t>Total (comm. &amp; gov’t) sales ($) during Prior Fiscal Year (or a more recent 12-month period)</t>
  </si>
  <si>
    <t>Total Gov't sales (FSS &amp; open market) ($) during Prior Fiscal Year (or a more recent 12-month period)</t>
  </si>
  <si>
    <t xml:space="preserve"> Tracking Customer Name</t>
  </si>
  <si>
    <r>
      <rPr>
        <b/>
        <sz val="11"/>
        <rFont val="Calibri"/>
        <family val="2"/>
      </rPr>
      <t xml:space="preserve">Column G - Package Size: </t>
    </r>
    <r>
      <rPr>
        <sz val="11"/>
        <rFont val="Calibri"/>
        <family val="2"/>
      </rPr>
      <t xml:space="preserve"> Quantity in Unit of Sale  x  Quantity in Unit of Package</t>
    </r>
  </si>
  <si>
    <r>
      <t>Provide the date range which represents the start and end date of the transactional data and commercial agreements used to populate the MFC and TC columns on the Price Proposal tab as well as Figure 515.4-2 below</t>
    </r>
    <r>
      <rPr>
        <b/>
        <i/>
        <sz val="9"/>
        <rFont val="Calibri"/>
        <family val="2"/>
        <scheme val="minor"/>
      </rPr>
      <t xml:space="preserve"> (enter date in cell to the right)</t>
    </r>
    <r>
      <rPr>
        <b/>
        <sz val="9"/>
        <rFont val="Calibri"/>
        <family val="2"/>
        <scheme val="minor"/>
      </rPr>
      <t xml:space="preserve">.  </t>
    </r>
  </si>
  <si>
    <t>Enter date range (start and end date) in this cell based on instructions to the left.</t>
  </si>
  <si>
    <t>Manufacturing Facilities / Place of Performance</t>
  </si>
  <si>
    <r>
      <t xml:space="preserve">Please complete the table below with information regarding </t>
    </r>
    <r>
      <rPr>
        <i/>
        <u/>
        <sz val="10"/>
        <rFont val="Calibri"/>
        <family val="2"/>
      </rPr>
      <t>each</t>
    </r>
    <r>
      <rPr>
        <i/>
        <sz val="10"/>
        <rFont val="Calibri"/>
        <family val="2"/>
      </rPr>
      <t xml:space="preserve"> place of performance for the offered products.  </t>
    </r>
  </si>
  <si>
    <t>Provide the Field Establishment Identifier (FEI) Number and the Facility Owner Name, Address, City, County, State and Zip Code)</t>
  </si>
  <si>
    <t>You should provide information for the following (choose from the drop-down menu in column B):</t>
  </si>
  <si>
    <t>1.  Measured/Compounded:  Location where ingredients are measured, weighed, mixed and compounded.</t>
  </si>
  <si>
    <t>2.  Sterilization:  Location where product is sterilized.</t>
  </si>
  <si>
    <t>3.  Vaccines:  Location where vaccine is produced.</t>
  </si>
  <si>
    <t>4.  Packaging:  Location where intermediate containers will be fixed and labeled.</t>
  </si>
  <si>
    <t>5.  Packing:  Location where products will be packed and prepared for shipment.</t>
  </si>
  <si>
    <t>Facility Location Type</t>
  </si>
  <si>
    <t>Sterilization</t>
  </si>
  <si>
    <t>Vaccines</t>
  </si>
  <si>
    <t>Packaging</t>
  </si>
  <si>
    <t>Proposed TC Name</t>
  </si>
  <si>
    <t>https://www.va.gov/opal/nac/fss/training.asp</t>
  </si>
  <si>
    <t>Generic Name</t>
  </si>
  <si>
    <t>Trade Name</t>
  </si>
  <si>
    <r>
      <t xml:space="preserve">NDC2
</t>
    </r>
    <r>
      <rPr>
        <sz val="9"/>
        <rFont val="Calibri"/>
        <family val="2"/>
      </rPr>
      <t>(4 digits only - Add leading 0 if necessary)</t>
    </r>
  </si>
  <si>
    <t>Measured/ Compounded</t>
  </si>
  <si>
    <t>(FEI) Number</t>
  </si>
  <si>
    <r>
      <rPr>
        <b/>
        <sz val="11"/>
        <rFont val="Calibri"/>
        <family val="2"/>
        <scheme val="minor"/>
      </rPr>
      <t xml:space="preserve">Facility Information
</t>
    </r>
    <r>
      <rPr>
        <sz val="11"/>
        <rFont val="Calibri"/>
        <family val="2"/>
        <scheme val="minor"/>
      </rPr>
      <t>Facility Owner Name, Address, City, County, State and Zip Code</t>
    </r>
  </si>
  <si>
    <t>Facility Owner Name &amp; Address:</t>
  </si>
  <si>
    <r>
      <rPr>
        <b/>
        <sz val="11"/>
        <rFont val="Calibri"/>
        <family val="2"/>
        <scheme val="minor"/>
      </rPr>
      <t xml:space="preserve">Point of Contact
</t>
    </r>
    <r>
      <rPr>
        <sz val="11"/>
        <rFont val="Calibri"/>
        <family val="2"/>
        <scheme val="minor"/>
      </rPr>
      <t>Including Phone Number &amp; Email Address</t>
    </r>
  </si>
  <si>
    <t>Manufacturer Name</t>
  </si>
  <si>
    <r>
      <t>Manuf. NDC2</t>
    </r>
    <r>
      <rPr>
        <b/>
        <sz val="8"/>
        <rFont val="Calibri"/>
        <family val="2"/>
        <scheme val="minor"/>
      </rPr>
      <t xml:space="preserve">
</t>
    </r>
    <r>
      <rPr>
        <sz val="8"/>
        <rFont val="Calibri"/>
        <family val="2"/>
        <scheme val="minor"/>
      </rPr>
      <t>(4 digits only - Add leading 0 if necessary)</t>
    </r>
  </si>
  <si>
    <t>Manuf. NDC3</t>
  </si>
  <si>
    <r>
      <t>Dealer/ Reseller NDC2</t>
    </r>
    <r>
      <rPr>
        <b/>
        <sz val="8"/>
        <rFont val="Calibri"/>
        <family val="2"/>
        <scheme val="minor"/>
      </rPr>
      <t xml:space="preserve">
</t>
    </r>
    <r>
      <rPr>
        <sz val="8"/>
        <rFont val="Calibri"/>
        <family val="2"/>
        <scheme val="minor"/>
      </rPr>
      <t>(4 digits only - Add leading 0 if necessary)</t>
    </r>
  </si>
  <si>
    <t>Dealer/ Reseller NDC3</t>
  </si>
  <si>
    <t>Dealer/ Reseller % discount off Mfr. List Price</t>
  </si>
  <si>
    <t>Manuf.
NDC 1 or Item #</t>
  </si>
  <si>
    <t>Dealer/ Reseller
NDC 1 or Item #</t>
  </si>
  <si>
    <t>Packing</t>
  </si>
  <si>
    <t>Item # / NDC1</t>
  </si>
  <si>
    <t>Total sales ($) to Proposed TC during Prior Fiscal Year (or a more recent 12-month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</si>
</sst>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3" x14ac:knownFonts="1">
    <font>
      <sz val="10"/>
      <name val="Arial"/>
    </font>
    <font>
      <sz val="8"/>
      <name val="Arial"/>
      <family val="2"/>
    </font>
    <font>
      <u/>
      <sz val="9"/>
      <color indexed="12"/>
      <name val="Arial"/>
      <family val="2"/>
    </font>
    <font>
      <sz val="10"/>
      <name val="Arial"/>
      <family val="2"/>
    </font>
    <font>
      <u/>
      <sz val="10"/>
      <color indexed="12"/>
      <name val="Arial"/>
      <family val="2"/>
    </font>
    <font>
      <sz val="10"/>
      <color indexed="81"/>
      <name val="Tahoma"/>
      <family val="2"/>
    </font>
    <font>
      <sz val="10"/>
      <color indexed="81"/>
      <name val="Arial"/>
      <family val="2"/>
    </font>
    <font>
      <sz val="10"/>
      <name val="Arial"/>
      <family val="2"/>
    </font>
    <font>
      <sz val="10"/>
      <name val="Arial"/>
      <family val="2"/>
    </font>
    <font>
      <sz val="11"/>
      <name val="Calibri"/>
      <family val="2"/>
    </font>
    <font>
      <b/>
      <sz val="11"/>
      <name val="Georgia"/>
      <family val="1"/>
    </font>
    <font>
      <sz val="11"/>
      <name val="Georgia"/>
      <family val="1"/>
    </font>
    <font>
      <sz val="10"/>
      <name val="Georgia"/>
      <family val="1"/>
    </font>
    <font>
      <b/>
      <sz val="10"/>
      <name val="Georgia"/>
      <family val="1"/>
    </font>
    <font>
      <b/>
      <sz val="12"/>
      <name val="Georgia"/>
      <family val="1"/>
    </font>
    <font>
      <b/>
      <sz val="12"/>
      <name val="Arial"/>
      <family val="2"/>
    </font>
    <font>
      <b/>
      <sz val="10"/>
      <name val="Arial"/>
      <family val="2"/>
    </font>
    <font>
      <sz val="10"/>
      <color indexed="9"/>
      <name val="Arial"/>
      <family val="2"/>
    </font>
    <font>
      <b/>
      <sz val="9"/>
      <color indexed="12"/>
      <name val="Calibri"/>
      <family val="2"/>
    </font>
    <font>
      <sz val="9"/>
      <color indexed="12"/>
      <name val="Calibri"/>
      <family val="2"/>
    </font>
    <font>
      <sz val="9"/>
      <color indexed="81"/>
      <name val="Calibri"/>
      <family val="2"/>
    </font>
    <font>
      <b/>
      <sz val="9"/>
      <name val="Calibri"/>
      <family val="2"/>
    </font>
    <font>
      <b/>
      <i/>
      <sz val="9"/>
      <name val="Calibri"/>
      <family val="2"/>
    </font>
    <font>
      <sz val="11"/>
      <color theme="1"/>
      <name val="Calibri"/>
      <family val="2"/>
      <scheme val="minor"/>
    </font>
    <font>
      <u/>
      <sz val="8.25"/>
      <color theme="10"/>
      <name val="Calibri"/>
      <family val="2"/>
    </font>
    <font>
      <b/>
      <sz val="11"/>
      <name val="Calibri"/>
      <family val="2"/>
      <scheme val="minor"/>
    </font>
    <font>
      <sz val="11"/>
      <name val="Calibri"/>
      <family val="2"/>
      <scheme val="minor"/>
    </font>
    <font>
      <sz val="11"/>
      <color indexed="9"/>
      <name val="Calibri"/>
      <family val="2"/>
      <scheme val="minor"/>
    </font>
    <font>
      <b/>
      <sz val="11"/>
      <color indexed="9"/>
      <name val="Calibri"/>
      <family val="2"/>
      <scheme val="minor"/>
    </font>
    <font>
      <sz val="10"/>
      <name val="Calibri"/>
      <family val="2"/>
      <scheme val="minor"/>
    </font>
    <font>
      <b/>
      <sz val="10"/>
      <name val="Calibri"/>
      <family val="2"/>
      <scheme val="minor"/>
    </font>
    <font>
      <b/>
      <sz val="10"/>
      <color rgb="FFC00000"/>
      <name val="Calibri"/>
      <family val="2"/>
      <scheme val="minor"/>
    </font>
    <font>
      <b/>
      <sz val="9"/>
      <name val="Calibri"/>
      <family val="2"/>
      <scheme val="minor"/>
    </font>
    <font>
      <sz val="9"/>
      <color indexed="81"/>
      <name val="Calibri"/>
      <family val="2"/>
      <scheme val="minor"/>
    </font>
    <font>
      <sz val="11"/>
      <color indexed="81"/>
      <name val="Calibri"/>
      <family val="2"/>
      <scheme val="minor"/>
    </font>
    <font>
      <b/>
      <i/>
      <sz val="10"/>
      <name val="Calibri"/>
      <family val="2"/>
      <scheme val="minor"/>
    </font>
    <font>
      <b/>
      <i/>
      <sz val="11"/>
      <color indexed="12"/>
      <name val="Calibri"/>
      <family val="2"/>
      <scheme val="minor"/>
    </font>
    <font>
      <b/>
      <i/>
      <u/>
      <sz val="11"/>
      <color indexed="12"/>
      <name val="Calibri"/>
      <family val="2"/>
      <scheme val="minor"/>
    </font>
    <font>
      <sz val="10"/>
      <name val="Calibri"/>
      <family val="2"/>
    </font>
    <font>
      <sz val="9"/>
      <name val="Calibri"/>
      <family val="2"/>
      <scheme val="minor"/>
    </font>
    <font>
      <b/>
      <sz val="11"/>
      <name val="Calibri"/>
      <family val="2"/>
    </font>
    <font>
      <b/>
      <i/>
      <sz val="9"/>
      <name val="Calibri"/>
      <family val="2"/>
      <scheme val="minor"/>
    </font>
    <font>
      <b/>
      <i/>
      <sz val="11"/>
      <color rgb="FFC00000"/>
      <name val="Calibri"/>
      <family val="2"/>
      <scheme val="minor"/>
    </font>
    <font>
      <i/>
      <sz val="11"/>
      <color rgb="FFC00000"/>
      <name val="Arial"/>
      <family val="2"/>
    </font>
    <font>
      <b/>
      <u/>
      <sz val="11"/>
      <name val="Georgia"/>
      <family val="1"/>
    </font>
    <font>
      <i/>
      <sz val="10"/>
      <name val="Calibri"/>
      <family val="2"/>
    </font>
    <font>
      <i/>
      <u/>
      <sz val="10"/>
      <name val="Calibri"/>
      <family val="2"/>
    </font>
    <font>
      <i/>
      <sz val="10"/>
      <color rgb="FFC00000"/>
      <name val="Calibri"/>
      <family val="2"/>
    </font>
    <font>
      <i/>
      <sz val="11"/>
      <name val="Calibri"/>
      <family val="2"/>
      <scheme val="minor"/>
    </font>
    <font>
      <sz val="9"/>
      <name val="Calibri"/>
      <family val="2"/>
    </font>
    <font>
      <b/>
      <sz val="8"/>
      <name val="Calibri"/>
      <family val="2"/>
      <scheme val="minor"/>
    </font>
    <font>
      <sz val="8"/>
      <name val="Calibri"/>
      <family val="2"/>
      <scheme val="minor"/>
    </font>
    <font>
      <b/>
      <sz val="11"/>
      <color rgb="FFC00000"/>
      <name val="Calibri"/>
      <family val="2"/>
      <scheme val="minor"/>
    </font>
  </fonts>
  <fills count="14">
    <fill>
      <patternFill patternType="none"/>
    </fill>
    <fill>
      <patternFill patternType="gray125"/>
    </fill>
    <fill>
      <patternFill patternType="solid">
        <fgColor indexed="44"/>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FFFFA7"/>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theme="9" tint="0.79998168889431442"/>
        <bgColor indexed="64"/>
      </patternFill>
    </fill>
    <fill>
      <patternFill patternType="solid">
        <fgColor rgb="FF99CCFF"/>
        <bgColor indexed="64"/>
      </patternFill>
    </fill>
  </fills>
  <borders count="49">
    <border>
      <left/>
      <right/>
      <top/>
      <bottom/>
      <diagonal/>
    </border>
    <border>
      <left style="thick">
        <color indexed="64"/>
      </left>
      <right style="thick">
        <color indexed="64"/>
      </right>
      <top style="thick">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right style="thin">
        <color indexed="64"/>
      </right>
      <top style="thick">
        <color indexed="64"/>
      </top>
      <bottom style="thick">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ck">
        <color indexed="64"/>
      </right>
      <top/>
      <bottom style="thin">
        <color indexed="64"/>
      </bottom>
      <diagonal/>
    </border>
    <border>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bottom/>
      <diagonal/>
    </border>
    <border>
      <left style="thick">
        <color indexed="64"/>
      </left>
      <right style="thick">
        <color indexed="64"/>
      </right>
      <top style="thin">
        <color indexed="64"/>
      </top>
      <bottom style="thick">
        <color indexed="64"/>
      </bottom>
      <diagonal/>
    </border>
    <border>
      <left/>
      <right/>
      <top/>
      <bottom style="thick">
        <color indexed="64"/>
      </bottom>
      <diagonal/>
    </border>
    <border>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top/>
      <bottom style="thin">
        <color indexed="64"/>
      </bottom>
      <diagonal/>
    </border>
    <border>
      <left style="thin">
        <color indexed="64"/>
      </left>
      <right style="thin">
        <color indexed="64"/>
      </right>
      <top/>
      <bottom/>
      <diagonal/>
    </border>
    <border>
      <left/>
      <right style="thick">
        <color indexed="64"/>
      </right>
      <top/>
      <bottom/>
      <diagonal/>
    </border>
    <border>
      <left style="thick">
        <color indexed="64"/>
      </left>
      <right/>
      <top/>
      <bottom/>
      <diagonal/>
    </border>
    <border>
      <left style="thin">
        <color auto="1"/>
      </left>
      <right/>
      <top/>
      <bottom/>
      <diagonal/>
    </border>
    <border>
      <left style="thin">
        <color indexed="64"/>
      </left>
      <right style="thin">
        <color indexed="64"/>
      </right>
      <top/>
      <bottom style="thick">
        <color indexed="64"/>
      </bottom>
      <diagonal/>
    </border>
    <border>
      <left/>
      <right style="thick">
        <color indexed="64"/>
      </right>
      <top style="thin">
        <color indexed="64"/>
      </top>
      <bottom style="thin">
        <color indexed="64"/>
      </bottom>
      <diagonal/>
    </border>
    <border>
      <left style="thin">
        <color indexed="64"/>
      </left>
      <right style="thick">
        <color indexed="64"/>
      </right>
      <top/>
      <bottom/>
      <diagonal/>
    </border>
    <border>
      <left style="thick">
        <color indexed="64"/>
      </left>
      <right/>
      <top/>
      <bottom style="thick">
        <color indexed="64"/>
      </bottom>
      <diagonal/>
    </border>
    <border>
      <left/>
      <right style="thin">
        <color auto="1"/>
      </right>
      <top/>
      <bottom/>
      <diagonal/>
    </border>
    <border>
      <left/>
      <right style="thin">
        <color indexed="64"/>
      </right>
      <top style="thick">
        <color indexed="64"/>
      </top>
      <bottom style="thin">
        <color indexed="64"/>
      </bottom>
      <diagonal/>
    </border>
  </borders>
  <cellStyleXfs count="13">
    <xf numFmtId="0" fontId="0" fillId="0" borderId="0"/>
    <xf numFmtId="0" fontId="2"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3" fillId="0" borderId="0"/>
    <xf numFmtId="0" fontId="3" fillId="0" borderId="0"/>
    <xf numFmtId="0" fontId="23" fillId="0" borderId="0"/>
    <xf numFmtId="0" fontId="3" fillId="0" borderId="0"/>
    <xf numFmtId="0" fontId="7" fillId="0" borderId="0"/>
    <xf numFmtId="0" fontId="3" fillId="0" borderId="0"/>
    <xf numFmtId="9" fontId="8" fillId="0" borderId="0" applyFont="0" applyFill="0" applyBorder="0" applyAlignment="0" applyProtection="0"/>
    <xf numFmtId="9" fontId="3" fillId="0" borderId="0" applyFont="0" applyFill="0" applyBorder="0" applyAlignment="0" applyProtection="0"/>
  </cellStyleXfs>
  <cellXfs count="331">
    <xf numFmtId="0" fontId="0" fillId="0" borderId="0" xfId="0"/>
    <xf numFmtId="164" fontId="25" fillId="3" borderId="1" xfId="0" applyNumberFormat="1" applyFont="1" applyFill="1" applyBorder="1" applyAlignment="1" applyProtection="1">
      <alignment horizontal="center" wrapText="1"/>
      <protection locked="0"/>
    </xf>
    <xf numFmtId="10" fontId="25" fillId="5" borderId="3" xfId="0" applyNumberFormat="1" applyFont="1" applyFill="1" applyBorder="1" applyAlignment="1">
      <alignment horizontal="center" wrapText="1"/>
    </xf>
    <xf numFmtId="10" fontId="25" fillId="6" borderId="4" xfId="0" applyNumberFormat="1" applyFont="1" applyFill="1" applyBorder="1" applyAlignment="1">
      <alignment horizontal="center" wrapText="1"/>
    </xf>
    <xf numFmtId="10" fontId="25" fillId="7" borderId="7" xfId="0" applyNumberFormat="1" applyFont="1" applyFill="1" applyBorder="1" applyAlignment="1">
      <alignment horizontal="center" wrapText="1"/>
    </xf>
    <xf numFmtId="164" fontId="25" fillId="7" borderId="5" xfId="0" applyNumberFormat="1" applyFont="1" applyFill="1" applyBorder="1" applyAlignment="1">
      <alignment horizontal="center" wrapText="1"/>
    </xf>
    <xf numFmtId="0" fontId="25" fillId="0" borderId="0" xfId="0" applyFont="1" applyAlignment="1" applyProtection="1">
      <alignment horizontal="center"/>
      <protection locked="0"/>
    </xf>
    <xf numFmtId="0" fontId="28" fillId="0" borderId="0" xfId="0" applyFont="1" applyAlignment="1" applyProtection="1">
      <alignment horizontal="center"/>
      <protection locked="0"/>
    </xf>
    <xf numFmtId="164" fontId="26" fillId="0" borderId="13" xfId="0" applyNumberFormat="1" applyFont="1" applyBorder="1" applyAlignment="1" applyProtection="1">
      <alignment wrapText="1"/>
      <protection locked="0"/>
    </xf>
    <xf numFmtId="10" fontId="26" fillId="5" borderId="9" xfId="0" applyNumberFormat="1" applyFont="1" applyFill="1" applyBorder="1" applyAlignment="1">
      <alignment horizontal="center" wrapText="1"/>
    </xf>
    <xf numFmtId="164" fontId="26" fillId="0" borderId="9" xfId="0" applyNumberFormat="1" applyFont="1" applyBorder="1" applyAlignment="1" applyProtection="1">
      <alignment wrapText="1"/>
      <protection locked="0"/>
    </xf>
    <xf numFmtId="10" fontId="26" fillId="7" borderId="9" xfId="0" applyNumberFormat="1" applyFont="1" applyFill="1" applyBorder="1" applyAlignment="1">
      <alignment horizontal="center" wrapText="1"/>
    </xf>
    <xf numFmtId="164" fontId="26" fillId="0" borderId="14" xfId="0" applyNumberFormat="1" applyFont="1" applyBorder="1" applyAlignment="1">
      <alignment wrapText="1"/>
    </xf>
    <xf numFmtId="0" fontId="26" fillId="0" borderId="0" xfId="0" applyFont="1" applyProtection="1">
      <protection locked="0"/>
    </xf>
    <xf numFmtId="0" fontId="27" fillId="0" borderId="0" xfId="0" applyFont="1" applyProtection="1">
      <protection locked="0"/>
    </xf>
    <xf numFmtId="0" fontId="26" fillId="0" borderId="0" xfId="0" applyFont="1" applyAlignment="1" applyProtection="1">
      <alignment horizontal="center"/>
      <protection locked="0"/>
    </xf>
    <xf numFmtId="49" fontId="26" fillId="0" borderId="15" xfId="0" applyNumberFormat="1" applyFont="1" applyBorder="1" applyAlignment="1" applyProtection="1">
      <alignment horizontal="center" wrapText="1"/>
      <protection locked="0"/>
    </xf>
    <xf numFmtId="49" fontId="26" fillId="0" borderId="17" xfId="0" applyNumberFormat="1" applyFont="1" applyBorder="1" applyAlignment="1" applyProtection="1">
      <alignment wrapText="1"/>
      <protection locked="0"/>
    </xf>
    <xf numFmtId="49" fontId="26" fillId="0" borderId="18" xfId="0" applyNumberFormat="1" applyFont="1" applyBorder="1" applyAlignment="1" applyProtection="1">
      <alignment wrapText="1"/>
      <protection locked="0"/>
    </xf>
    <xf numFmtId="164" fontId="26" fillId="0" borderId="19" xfId="0" applyNumberFormat="1" applyFont="1" applyBorder="1" applyAlignment="1" applyProtection="1">
      <alignment wrapText="1"/>
      <protection locked="0"/>
    </xf>
    <xf numFmtId="164" fontId="26" fillId="0" borderId="20" xfId="0" applyNumberFormat="1" applyFont="1" applyBorder="1" applyAlignment="1" applyProtection="1">
      <alignment wrapText="1"/>
      <protection locked="0"/>
    </xf>
    <xf numFmtId="49" fontId="26" fillId="0" borderId="20" xfId="0" applyNumberFormat="1" applyFont="1" applyBorder="1" applyAlignment="1" applyProtection="1">
      <alignment wrapText="1"/>
      <protection locked="0"/>
    </xf>
    <xf numFmtId="164" fontId="26" fillId="0" borderId="16" xfId="0" applyNumberFormat="1" applyFont="1" applyBorder="1" applyAlignment="1" applyProtection="1">
      <alignment wrapText="1"/>
      <protection locked="0"/>
    </xf>
    <xf numFmtId="0" fontId="27" fillId="0" borderId="0" xfId="0" applyFont="1" applyAlignment="1" applyProtection="1">
      <alignment horizontal="left"/>
      <protection locked="0"/>
    </xf>
    <xf numFmtId="10" fontId="26" fillId="5" borderId="9" xfId="0" applyNumberFormat="1" applyFont="1" applyFill="1" applyBorder="1" applyAlignment="1" applyProtection="1">
      <alignment horizontal="center" wrapText="1"/>
      <protection locked="0"/>
    </xf>
    <xf numFmtId="10" fontId="26" fillId="7" borderId="9" xfId="0" applyNumberFormat="1" applyFont="1" applyFill="1" applyBorder="1" applyAlignment="1" applyProtection="1">
      <alignment horizontal="center" wrapText="1"/>
      <protection locked="0"/>
    </xf>
    <xf numFmtId="164" fontId="26" fillId="0" borderId="14" xfId="0" applyNumberFormat="1" applyFont="1" applyBorder="1" applyAlignment="1" applyProtection="1">
      <alignment wrapText="1"/>
      <protection locked="0"/>
    </xf>
    <xf numFmtId="49" fontId="26" fillId="0" borderId="0" xfId="0" applyNumberFormat="1" applyFont="1" applyAlignment="1" applyProtection="1">
      <alignment horizontal="center" wrapText="1"/>
      <protection locked="0"/>
    </xf>
    <xf numFmtId="49" fontId="26" fillId="0" borderId="0" xfId="0" applyNumberFormat="1" applyFont="1" applyAlignment="1" applyProtection="1">
      <alignment wrapText="1"/>
      <protection locked="0"/>
    </xf>
    <xf numFmtId="164" fontId="26" fillId="0" borderId="0" xfId="0" applyNumberFormat="1" applyFont="1" applyAlignment="1" applyProtection="1">
      <alignment wrapText="1"/>
      <protection locked="0"/>
    </xf>
    <xf numFmtId="0" fontId="30" fillId="0" borderId="0" xfId="6" applyFont="1" applyAlignment="1">
      <alignment horizontal="center" wrapText="1"/>
    </xf>
    <xf numFmtId="0" fontId="30" fillId="0" borderId="0" xfId="6" applyFont="1" applyAlignment="1">
      <alignment horizontal="center"/>
    </xf>
    <xf numFmtId="0" fontId="29" fillId="0" borderId="0" xfId="0" applyFont="1"/>
    <xf numFmtId="0" fontId="29" fillId="0" borderId="12" xfId="0" applyFont="1" applyBorder="1" applyAlignment="1">
      <alignment horizontal="left" vertical="top" wrapText="1"/>
    </xf>
    <xf numFmtId="0" fontId="29" fillId="0" borderId="12" xfId="0" applyFont="1" applyBorder="1" applyAlignment="1">
      <alignment horizontal="center" vertical="top" wrapText="1"/>
    </xf>
    <xf numFmtId="0" fontId="29" fillId="0" borderId="19" xfId="0" applyFont="1" applyBorder="1" applyAlignment="1">
      <alignment horizontal="left" vertical="top" wrapText="1"/>
    </xf>
    <xf numFmtId="0" fontId="29" fillId="0" borderId="19" xfId="0" applyFont="1" applyBorder="1" applyAlignment="1">
      <alignment horizontal="center" vertical="top" wrapText="1"/>
    </xf>
    <xf numFmtId="0" fontId="29" fillId="0" borderId="19" xfId="0" applyFont="1" applyBorder="1" applyAlignment="1">
      <alignment horizontal="left" wrapText="1"/>
    </xf>
    <xf numFmtId="0" fontId="29" fillId="0" borderId="19" xfId="0" applyFont="1" applyBorder="1" applyAlignment="1">
      <alignment horizontal="center"/>
    </xf>
    <xf numFmtId="0" fontId="29" fillId="0" borderId="21" xfId="0" applyFont="1" applyBorder="1" applyAlignment="1">
      <alignment horizontal="left" wrapText="1"/>
    </xf>
    <xf numFmtId="0" fontId="29" fillId="0" borderId="21" xfId="0" applyFont="1" applyBorder="1" applyAlignment="1">
      <alignment horizontal="center"/>
    </xf>
    <xf numFmtId="0" fontId="13" fillId="0" borderId="22" xfId="0" applyFont="1" applyBorder="1" applyAlignment="1">
      <alignment horizontal="center" vertical="top" wrapText="1"/>
    </xf>
    <xf numFmtId="49" fontId="29" fillId="0" borderId="0" xfId="0" applyNumberFormat="1" applyFont="1" applyAlignment="1" applyProtection="1">
      <alignment wrapText="1"/>
      <protection locked="0"/>
    </xf>
    <xf numFmtId="164" fontId="29" fillId="0" borderId="0" xfId="0" applyNumberFormat="1" applyFont="1" applyProtection="1">
      <protection locked="0"/>
    </xf>
    <xf numFmtId="49" fontId="31" fillId="0" borderId="0" xfId="0" applyNumberFormat="1" applyFont="1" applyProtection="1">
      <protection locked="0"/>
    </xf>
    <xf numFmtId="0" fontId="29" fillId="0" borderId="0" xfId="0" applyFont="1" applyProtection="1">
      <protection locked="0"/>
    </xf>
    <xf numFmtId="49" fontId="30" fillId="4" borderId="2" xfId="0" applyNumberFormat="1" applyFont="1" applyFill="1" applyBorder="1" applyAlignment="1">
      <alignment horizontal="center" wrapText="1"/>
    </xf>
    <xf numFmtId="49" fontId="30" fillId="4" borderId="3" xfId="0" applyNumberFormat="1" applyFont="1" applyFill="1" applyBorder="1" applyAlignment="1">
      <alignment horizontal="center" wrapText="1"/>
    </xf>
    <xf numFmtId="49" fontId="30" fillId="4" borderId="4" xfId="0" applyNumberFormat="1" applyFont="1" applyFill="1" applyBorder="1" applyAlignment="1">
      <alignment horizontal="center" wrapText="1"/>
    </xf>
    <xf numFmtId="164" fontId="30" fillId="7" borderId="3" xfId="7" applyNumberFormat="1" applyFont="1" applyFill="1" applyBorder="1" applyAlignment="1">
      <alignment horizontal="center" wrapText="1"/>
    </xf>
    <xf numFmtId="49" fontId="31" fillId="7" borderId="5" xfId="7" applyNumberFormat="1" applyFont="1" applyFill="1" applyBorder="1" applyAlignment="1" applyProtection="1">
      <alignment horizontal="center" wrapText="1"/>
      <protection locked="0"/>
    </xf>
    <xf numFmtId="49" fontId="29" fillId="0" borderId="10" xfId="0" applyNumberFormat="1" applyFont="1" applyBorder="1" applyAlignment="1">
      <alignment wrapText="1"/>
    </xf>
    <xf numFmtId="49" fontId="31" fillId="0" borderId="14" xfId="0" applyNumberFormat="1" applyFont="1" applyBorder="1" applyAlignment="1" applyProtection="1">
      <alignment horizontal="center"/>
      <protection locked="0"/>
    </xf>
    <xf numFmtId="164" fontId="29" fillId="0" borderId="16" xfId="0" applyNumberFormat="1" applyFont="1" applyBorder="1" applyAlignment="1">
      <alignment horizontal="right"/>
    </xf>
    <xf numFmtId="49" fontId="31" fillId="0" borderId="18" xfId="0" applyNumberFormat="1" applyFont="1" applyBorder="1" applyAlignment="1" applyProtection="1">
      <alignment horizontal="center"/>
      <protection locked="0"/>
    </xf>
    <xf numFmtId="164" fontId="29" fillId="0" borderId="16" xfId="0" applyNumberFormat="1" applyFont="1" applyBorder="1" applyAlignment="1" applyProtection="1">
      <alignment horizontal="right"/>
      <protection locked="0"/>
    </xf>
    <xf numFmtId="4" fontId="29" fillId="0" borderId="0" xfId="0" applyNumberFormat="1" applyFont="1" applyProtection="1">
      <protection locked="0"/>
    </xf>
    <xf numFmtId="10" fontId="29" fillId="0" borderId="0" xfId="0" applyNumberFormat="1" applyFont="1" applyProtection="1">
      <protection locked="0"/>
    </xf>
    <xf numFmtId="10" fontId="25" fillId="0" borderId="23" xfId="0" applyNumberFormat="1" applyFont="1" applyBorder="1" applyAlignment="1" applyProtection="1">
      <alignment horizontal="center"/>
      <protection locked="0"/>
    </xf>
    <xf numFmtId="49" fontId="30" fillId="4" borderId="2" xfId="9" applyNumberFormat="1" applyFont="1" applyFill="1" applyBorder="1" applyAlignment="1">
      <alignment horizontal="center" wrapText="1"/>
    </xf>
    <xf numFmtId="49" fontId="30" fillId="4" borderId="24" xfId="9" applyNumberFormat="1" applyFont="1" applyFill="1" applyBorder="1" applyAlignment="1">
      <alignment horizontal="center" wrapText="1"/>
    </xf>
    <xf numFmtId="164" fontId="30" fillId="3" borderId="25" xfId="9" applyNumberFormat="1" applyFont="1" applyFill="1" applyBorder="1" applyAlignment="1">
      <alignment horizontal="center" wrapText="1"/>
    </xf>
    <xf numFmtId="164" fontId="30" fillId="5" borderId="24" xfId="9" applyNumberFormat="1" applyFont="1" applyFill="1" applyBorder="1" applyAlignment="1">
      <alignment horizontal="center" wrapText="1"/>
    </xf>
    <xf numFmtId="10" fontId="30" fillId="5" borderId="5" xfId="9" applyNumberFormat="1" applyFont="1" applyFill="1" applyBorder="1" applyAlignment="1">
      <alignment horizontal="center" wrapText="1"/>
    </xf>
    <xf numFmtId="164" fontId="30" fillId="6" borderId="2" xfId="9" applyNumberFormat="1" applyFont="1" applyFill="1" applyBorder="1" applyAlignment="1">
      <alignment horizontal="center" wrapText="1"/>
    </xf>
    <xf numFmtId="10" fontId="30" fillId="6" borderId="24" xfId="9" applyNumberFormat="1" applyFont="1" applyFill="1" applyBorder="1" applyAlignment="1">
      <alignment horizontal="center" wrapText="1"/>
    </xf>
    <xf numFmtId="10" fontId="30" fillId="7" borderId="24" xfId="9" applyNumberFormat="1" applyFont="1" applyFill="1" applyBorder="1" applyAlignment="1">
      <alignment horizontal="center" wrapText="1"/>
    </xf>
    <xf numFmtId="0" fontId="30" fillId="8" borderId="2" xfId="9" applyFont="1" applyFill="1" applyBorder="1" applyAlignment="1">
      <alignment horizontal="center" wrapText="1"/>
    </xf>
    <xf numFmtId="2" fontId="30" fillId="8" borderId="5" xfId="9" applyNumberFormat="1" applyFont="1" applyFill="1" applyBorder="1" applyAlignment="1">
      <alignment horizontal="center" wrapText="1"/>
    </xf>
    <xf numFmtId="164" fontId="23" fillId="0" borderId="12" xfId="5" applyNumberFormat="1" applyBorder="1" applyAlignment="1">
      <alignment wrapText="1"/>
    </xf>
    <xf numFmtId="164" fontId="23" fillId="0" borderId="27" xfId="5" applyNumberFormat="1" applyBorder="1" applyAlignment="1">
      <alignment wrapText="1"/>
    </xf>
    <xf numFmtId="10" fontId="23" fillId="6" borderId="28" xfId="5" applyNumberFormat="1" applyFill="1" applyBorder="1" applyAlignment="1">
      <alignment wrapText="1"/>
    </xf>
    <xf numFmtId="0" fontId="23" fillId="0" borderId="8" xfId="5" applyBorder="1" applyAlignment="1">
      <alignment horizontal="center" wrapText="1"/>
    </xf>
    <xf numFmtId="164" fontId="23" fillId="0" borderId="8" xfId="5" applyNumberFormat="1" applyBorder="1" applyAlignment="1">
      <alignment wrapText="1"/>
    </xf>
    <xf numFmtId="164" fontId="23" fillId="0" borderId="12" xfId="5" applyNumberFormat="1" applyBorder="1" applyAlignment="1" applyProtection="1">
      <alignment wrapText="1"/>
      <protection locked="0"/>
    </xf>
    <xf numFmtId="164" fontId="23" fillId="0" borderId="8" xfId="5" applyNumberFormat="1" applyBorder="1" applyAlignment="1" applyProtection="1">
      <alignment wrapText="1"/>
      <protection locked="0"/>
    </xf>
    <xf numFmtId="10" fontId="23" fillId="6" borderId="28" xfId="5" applyNumberFormat="1" applyFill="1" applyBorder="1" applyAlignment="1" applyProtection="1">
      <alignment wrapText="1"/>
      <protection locked="0"/>
    </xf>
    <xf numFmtId="0" fontId="23" fillId="0" borderId="8" xfId="5" applyBorder="1" applyAlignment="1" applyProtection="1">
      <alignment horizontal="center" wrapText="1"/>
      <protection locked="0"/>
    </xf>
    <xf numFmtId="10" fontId="29" fillId="6" borderId="0" xfId="0" applyNumberFormat="1" applyFont="1" applyFill="1" applyProtection="1">
      <protection locked="0"/>
    </xf>
    <xf numFmtId="0" fontId="3" fillId="0" borderId="0" xfId="6" applyProtection="1">
      <protection locked="0"/>
    </xf>
    <xf numFmtId="0" fontId="25" fillId="0" borderId="2" xfId="6" applyFont="1" applyBorder="1" applyAlignment="1" applyProtection="1">
      <alignment horizontal="center" wrapText="1" shrinkToFit="1"/>
      <protection locked="0"/>
    </xf>
    <xf numFmtId="0" fontId="25" fillId="0" borderId="3" xfId="6" applyFont="1" applyBorder="1" applyAlignment="1" applyProtection="1">
      <alignment horizontal="center" wrapText="1" shrinkToFit="1"/>
      <protection locked="0"/>
    </xf>
    <xf numFmtId="0" fontId="25" fillId="0" borderId="5" xfId="6" applyFont="1" applyBorder="1" applyAlignment="1" applyProtection="1">
      <alignment horizontal="center" wrapText="1" shrinkToFit="1"/>
      <protection locked="0"/>
    </xf>
    <xf numFmtId="0" fontId="16" fillId="0" borderId="0" xfId="6" applyFont="1" applyAlignment="1" applyProtection="1">
      <alignment horizontal="center" wrapText="1" shrinkToFit="1"/>
      <protection locked="0"/>
    </xf>
    <xf numFmtId="0" fontId="29" fillId="0" borderId="8" xfId="6" applyFont="1" applyBorder="1" applyAlignment="1" applyProtection="1">
      <alignment wrapText="1"/>
      <protection locked="0"/>
    </xf>
    <xf numFmtId="0" fontId="29" fillId="0" borderId="9" xfId="6" applyFont="1" applyBorder="1" applyAlignment="1" applyProtection="1">
      <alignment wrapText="1"/>
      <protection locked="0"/>
    </xf>
    <xf numFmtId="0" fontId="29" fillId="0" borderId="14" xfId="6" applyFont="1" applyBorder="1" applyAlignment="1" applyProtection="1">
      <alignment wrapText="1"/>
      <protection locked="0"/>
    </xf>
    <xf numFmtId="0" fontId="17" fillId="0" borderId="0" xfId="6" applyFont="1" applyProtection="1">
      <protection locked="0"/>
    </xf>
    <xf numFmtId="0" fontId="29" fillId="0" borderId="15" xfId="6" applyFont="1" applyBorder="1" applyAlignment="1" applyProtection="1">
      <alignment wrapText="1"/>
      <protection locked="0"/>
    </xf>
    <xf numFmtId="0" fontId="29" fillId="0" borderId="16" xfId="6" applyFont="1" applyBorder="1" applyAlignment="1" applyProtection="1">
      <alignment wrapText="1"/>
      <protection locked="0"/>
    </xf>
    <xf numFmtId="0" fontId="29" fillId="0" borderId="18" xfId="6" applyFont="1" applyBorder="1" applyAlignment="1" applyProtection="1">
      <alignment wrapText="1"/>
      <protection locked="0"/>
    </xf>
    <xf numFmtId="0" fontId="29" fillId="0" borderId="30" xfId="6" applyFont="1" applyBorder="1" applyAlignment="1" applyProtection="1">
      <alignment wrapText="1"/>
      <protection locked="0"/>
    </xf>
    <xf numFmtId="0" fontId="29" fillId="0" borderId="31" xfId="6" applyFont="1" applyBorder="1" applyAlignment="1" applyProtection="1">
      <alignment wrapText="1"/>
      <protection locked="0"/>
    </xf>
    <xf numFmtId="0" fontId="2" fillId="0" borderId="32" xfId="1" applyBorder="1" applyAlignment="1" applyProtection="1">
      <alignment wrapText="1"/>
      <protection locked="0"/>
    </xf>
    <xf numFmtId="164" fontId="31" fillId="7" borderId="4" xfId="7" applyNumberFormat="1" applyFont="1" applyFill="1" applyBorder="1" applyAlignment="1">
      <alignment horizontal="center" wrapText="1"/>
    </xf>
    <xf numFmtId="164" fontId="30" fillId="10" borderId="9" xfId="0" applyNumberFormat="1" applyFont="1" applyFill="1" applyBorder="1" applyAlignment="1">
      <alignment horizontal="right"/>
    </xf>
    <xf numFmtId="164" fontId="31" fillId="0" borderId="0" xfId="0" applyNumberFormat="1" applyFont="1" applyAlignment="1">
      <alignment horizontal="right"/>
    </xf>
    <xf numFmtId="164" fontId="30" fillId="0" borderId="0" xfId="0" applyNumberFormat="1" applyFont="1" applyProtection="1">
      <protection locked="0"/>
    </xf>
    <xf numFmtId="164" fontId="30" fillId="10" borderId="0" xfId="0" applyNumberFormat="1" applyFont="1" applyFill="1" applyProtection="1">
      <protection locked="0"/>
    </xf>
    <xf numFmtId="164" fontId="31" fillId="0" borderId="0" xfId="0" applyNumberFormat="1" applyFont="1" applyProtection="1">
      <protection locked="0"/>
    </xf>
    <xf numFmtId="164" fontId="31" fillId="0" borderId="10" xfId="0" applyNumberFormat="1" applyFont="1" applyBorder="1" applyAlignment="1">
      <alignment horizontal="right"/>
    </xf>
    <xf numFmtId="164" fontId="31" fillId="0" borderId="10" xfId="0" applyNumberFormat="1" applyFont="1" applyBorder="1" applyAlignment="1" applyProtection="1">
      <alignment horizontal="right"/>
      <protection locked="0"/>
    </xf>
    <xf numFmtId="0" fontId="37" fillId="0" borderId="0" xfId="1" applyFont="1" applyBorder="1" applyAlignment="1" applyProtection="1">
      <protection locked="0"/>
    </xf>
    <xf numFmtId="49" fontId="29" fillId="0" borderId="10" xfId="0" applyNumberFormat="1" applyFont="1" applyBorder="1" applyAlignment="1" applyProtection="1">
      <alignment wrapText="1"/>
      <protection locked="0"/>
    </xf>
    <xf numFmtId="164" fontId="30" fillId="10" borderId="9" xfId="0" applyNumberFormat="1" applyFont="1" applyFill="1" applyBorder="1" applyAlignment="1" applyProtection="1">
      <alignment horizontal="right"/>
      <protection locked="0"/>
    </xf>
    <xf numFmtId="164" fontId="31" fillId="0" borderId="0" xfId="0" applyNumberFormat="1" applyFont="1" applyAlignment="1" applyProtection="1">
      <alignment horizontal="right"/>
      <protection locked="0"/>
    </xf>
    <xf numFmtId="0" fontId="10" fillId="6" borderId="24" xfId="0" applyFont="1" applyFill="1" applyBorder="1" applyAlignment="1" applyProtection="1">
      <alignment horizontal="center" wrapText="1"/>
      <protection locked="0"/>
    </xf>
    <xf numFmtId="49" fontId="26" fillId="0" borderId="9" xfId="0" applyNumberFormat="1" applyFont="1" applyBorder="1" applyAlignment="1" applyProtection="1">
      <alignment horizontal="center" wrapText="1"/>
      <protection locked="0"/>
    </xf>
    <xf numFmtId="49" fontId="26" fillId="0" borderId="16" xfId="0" applyNumberFormat="1" applyFont="1" applyBorder="1" applyAlignment="1" applyProtection="1">
      <alignment horizontal="center" wrapText="1"/>
      <protection locked="0"/>
    </xf>
    <xf numFmtId="49" fontId="26" fillId="0" borderId="17" xfId="0" applyNumberFormat="1" applyFont="1" applyBorder="1" applyAlignment="1" applyProtection="1">
      <alignment horizontal="center" wrapText="1"/>
      <protection locked="0"/>
    </xf>
    <xf numFmtId="49" fontId="26" fillId="0" borderId="38" xfId="0" applyNumberFormat="1" applyFont="1" applyBorder="1" applyAlignment="1" applyProtection="1">
      <alignment horizontal="center" wrapText="1"/>
      <protection locked="0"/>
    </xf>
    <xf numFmtId="49" fontId="29" fillId="0" borderId="16" xfId="6" applyNumberFormat="1" applyFont="1" applyBorder="1" applyAlignment="1" applyProtection="1">
      <alignment wrapText="1"/>
      <protection locked="0"/>
    </xf>
    <xf numFmtId="49" fontId="39" fillId="0" borderId="39" xfId="0" applyNumberFormat="1" applyFont="1" applyBorder="1" applyAlignment="1" applyProtection="1">
      <alignment horizontal="center" wrapText="1"/>
      <protection locked="0"/>
    </xf>
    <xf numFmtId="49" fontId="39" fillId="0" borderId="0" xfId="0" applyNumberFormat="1" applyFont="1" applyAlignment="1" applyProtection="1">
      <alignment horizontal="center" wrapText="1"/>
      <protection locked="0"/>
    </xf>
    <xf numFmtId="49" fontId="39" fillId="11" borderId="0" xfId="0" applyNumberFormat="1" applyFont="1" applyFill="1" applyAlignment="1" applyProtection="1">
      <alignment horizontal="center" wrapText="1"/>
      <protection locked="0"/>
    </xf>
    <xf numFmtId="49" fontId="29" fillId="0" borderId="0" xfId="0" applyNumberFormat="1" applyFont="1" applyAlignment="1" applyProtection="1">
      <alignment horizontal="center"/>
      <protection locked="0"/>
    </xf>
    <xf numFmtId="49" fontId="30" fillId="4" borderId="3" xfId="10" applyNumberFormat="1" applyFont="1" applyFill="1" applyBorder="1" applyAlignment="1">
      <alignment horizontal="center" wrapText="1"/>
    </xf>
    <xf numFmtId="49" fontId="30" fillId="4" borderId="5" xfId="10" applyNumberFormat="1" applyFont="1" applyFill="1" applyBorder="1" applyAlignment="1">
      <alignment horizontal="center" wrapText="1"/>
    </xf>
    <xf numFmtId="49" fontId="26" fillId="0" borderId="42" xfId="10" applyNumberFormat="1" applyFont="1" applyBorder="1" applyAlignment="1" applyProtection="1">
      <alignment horizontal="center" wrapText="1"/>
      <protection locked="0"/>
    </xf>
    <xf numFmtId="49" fontId="29" fillId="0" borderId="42" xfId="0" applyNumberFormat="1" applyFont="1" applyBorder="1" applyAlignment="1" applyProtection="1">
      <alignment horizontal="center"/>
      <protection locked="0"/>
    </xf>
    <xf numFmtId="49" fontId="30" fillId="4" borderId="7" xfId="0" applyNumberFormat="1" applyFont="1" applyFill="1" applyBorder="1" applyAlignment="1">
      <alignment horizontal="center" wrapText="1"/>
    </xf>
    <xf numFmtId="49" fontId="29" fillId="0" borderId="9" xfId="0" applyNumberFormat="1" applyFont="1" applyBorder="1" applyAlignment="1">
      <alignment horizontal="center"/>
    </xf>
    <xf numFmtId="49" fontId="29" fillId="0" borderId="9" xfId="0" applyNumberFormat="1" applyFont="1" applyBorder="1" applyAlignment="1" applyProtection="1">
      <alignment horizontal="center"/>
      <protection locked="0"/>
    </xf>
    <xf numFmtId="49" fontId="29" fillId="0" borderId="0" xfId="0" applyNumberFormat="1" applyFont="1" applyAlignment="1" applyProtection="1">
      <alignment horizontal="center" wrapText="1"/>
      <protection locked="0"/>
    </xf>
    <xf numFmtId="49" fontId="30" fillId="4" borderId="34" xfId="0" applyNumberFormat="1" applyFont="1" applyFill="1" applyBorder="1" applyAlignment="1">
      <alignment horizontal="center" wrapText="1"/>
    </xf>
    <xf numFmtId="49" fontId="29" fillId="0" borderId="10" xfId="0" applyNumberFormat="1" applyFont="1" applyBorder="1" applyAlignment="1">
      <alignment horizontal="center" wrapText="1"/>
    </xf>
    <xf numFmtId="49" fontId="29" fillId="0" borderId="10" xfId="0" applyNumberFormat="1" applyFont="1" applyBorder="1" applyAlignment="1" applyProtection="1">
      <alignment horizontal="center" wrapText="1"/>
      <protection locked="0"/>
    </xf>
    <xf numFmtId="49" fontId="29" fillId="0" borderId="8" xfId="0" applyNumberFormat="1" applyFont="1" applyBorder="1" applyAlignment="1">
      <alignment horizontal="center"/>
    </xf>
    <xf numFmtId="49" fontId="29" fillId="0" borderId="8" xfId="0" applyNumberFormat="1" applyFont="1" applyBorder="1" applyAlignment="1" applyProtection="1">
      <alignment horizontal="center"/>
      <protection locked="0"/>
    </xf>
    <xf numFmtId="49" fontId="25" fillId="4" borderId="3" xfId="0" applyNumberFormat="1" applyFont="1" applyFill="1" applyBorder="1" applyAlignment="1" applyProtection="1">
      <alignment horizontal="center" wrapText="1"/>
      <protection locked="0"/>
    </xf>
    <xf numFmtId="49" fontId="26" fillId="0" borderId="23" xfId="9" applyNumberFormat="1" applyFont="1" applyBorder="1" applyAlignment="1" applyProtection="1">
      <alignment horizontal="center" wrapText="1"/>
      <protection locked="0"/>
    </xf>
    <xf numFmtId="49" fontId="23" fillId="0" borderId="26" xfId="5" applyNumberFormat="1" applyBorder="1" applyAlignment="1">
      <alignment horizontal="center" wrapText="1"/>
    </xf>
    <xf numFmtId="49" fontId="23" fillId="0" borderId="29" xfId="5" applyNumberFormat="1" applyBorder="1" applyAlignment="1">
      <alignment horizontal="center" wrapText="1"/>
    </xf>
    <xf numFmtId="49" fontId="23" fillId="0" borderId="26" xfId="5" applyNumberFormat="1" applyBorder="1" applyAlignment="1" applyProtection="1">
      <alignment horizontal="center" wrapText="1"/>
      <protection locked="0"/>
    </xf>
    <xf numFmtId="49" fontId="39" fillId="11" borderId="42" xfId="0" applyNumberFormat="1" applyFont="1" applyFill="1" applyBorder="1" applyAlignment="1" applyProtection="1">
      <alignment wrapText="1"/>
      <protection locked="0"/>
    </xf>
    <xf numFmtId="49" fontId="39" fillId="0" borderId="42" xfId="0" applyNumberFormat="1" applyFont="1" applyBorder="1" applyAlignment="1" applyProtection="1">
      <alignment wrapText="1"/>
      <protection locked="0"/>
    </xf>
    <xf numFmtId="49" fontId="23" fillId="0" borderId="11" xfId="5" applyNumberFormat="1" applyBorder="1" applyAlignment="1">
      <alignment horizontal="center" wrapText="1"/>
    </xf>
    <xf numFmtId="49" fontId="23" fillId="0" borderId="17" xfId="5" applyNumberFormat="1" applyBorder="1" applyAlignment="1">
      <alignment horizontal="center" wrapText="1"/>
    </xf>
    <xf numFmtId="49" fontId="23" fillId="0" borderId="18" xfId="5" applyNumberFormat="1" applyBorder="1" applyAlignment="1">
      <alignment horizontal="center" wrapText="1"/>
    </xf>
    <xf numFmtId="0" fontId="26" fillId="0" borderId="0" xfId="6" applyFont="1" applyAlignment="1" applyProtection="1">
      <alignment horizontal="center"/>
      <protection locked="0"/>
    </xf>
    <xf numFmtId="0" fontId="29" fillId="0" borderId="0" xfId="0" applyFont="1" applyAlignment="1" applyProtection="1">
      <alignment horizontal="center"/>
      <protection locked="0"/>
    </xf>
    <xf numFmtId="49" fontId="10" fillId="4" borderId="36" xfId="0" applyNumberFormat="1" applyFont="1" applyFill="1" applyBorder="1" applyAlignment="1" applyProtection="1">
      <alignment horizontal="right" wrapText="1"/>
      <protection locked="0"/>
    </xf>
    <xf numFmtId="49" fontId="10" fillId="4" borderId="24" xfId="0" applyNumberFormat="1" applyFont="1" applyFill="1" applyBorder="1" applyAlignment="1" applyProtection="1">
      <alignment horizontal="center" wrapText="1"/>
      <protection locked="0"/>
    </xf>
    <xf numFmtId="0" fontId="10" fillId="5" borderId="34" xfId="0" applyFont="1" applyFill="1" applyBorder="1" applyAlignment="1" applyProtection="1">
      <alignment horizontal="left" wrapText="1"/>
      <protection locked="0"/>
    </xf>
    <xf numFmtId="0" fontId="10" fillId="5" borderId="33" xfId="0" applyFont="1" applyFill="1" applyBorder="1" applyAlignment="1" applyProtection="1">
      <alignment horizontal="left"/>
      <protection locked="0"/>
    </xf>
    <xf numFmtId="49" fontId="10" fillId="4" borderId="35" xfId="0" applyNumberFormat="1" applyFont="1" applyFill="1" applyBorder="1" applyAlignment="1" applyProtection="1">
      <alignment horizontal="left"/>
      <protection locked="0"/>
    </xf>
    <xf numFmtId="0" fontId="10" fillId="4" borderId="36" xfId="0" applyFont="1" applyFill="1" applyBorder="1" applyAlignment="1" applyProtection="1">
      <alignment horizontal="right" wrapText="1"/>
      <protection locked="0"/>
    </xf>
    <xf numFmtId="0" fontId="10" fillId="6" borderId="33" xfId="0" applyFont="1" applyFill="1" applyBorder="1" applyAlignment="1" applyProtection="1">
      <alignment horizontal="left"/>
      <protection locked="0"/>
    </xf>
    <xf numFmtId="49" fontId="25" fillId="4" borderId="7" xfId="0" applyNumberFormat="1" applyFont="1" applyFill="1" applyBorder="1" applyAlignment="1" applyProtection="1">
      <alignment horizontal="center" wrapText="1"/>
      <protection locked="0"/>
    </xf>
    <xf numFmtId="49" fontId="25" fillId="4" borderId="4" xfId="0" applyNumberFormat="1" applyFont="1" applyFill="1" applyBorder="1" applyAlignment="1" applyProtection="1">
      <alignment horizontal="center" wrapText="1"/>
      <protection locked="0"/>
    </xf>
    <xf numFmtId="164" fontId="25" fillId="3" borderId="6" xfId="0" applyNumberFormat="1" applyFont="1" applyFill="1" applyBorder="1" applyAlignment="1" applyProtection="1">
      <alignment horizontal="center" wrapText="1"/>
      <protection locked="0"/>
    </xf>
    <xf numFmtId="164" fontId="25" fillId="5" borderId="7" xfId="0" applyNumberFormat="1" applyFont="1" applyFill="1" applyBorder="1" applyAlignment="1" applyProtection="1">
      <alignment horizontal="center" wrapText="1"/>
      <protection locked="0"/>
    </xf>
    <xf numFmtId="0" fontId="11" fillId="5" borderId="24" xfId="0" applyFont="1" applyFill="1" applyBorder="1" applyAlignment="1">
      <alignment horizontal="center" wrapText="1"/>
    </xf>
    <xf numFmtId="10" fontId="26" fillId="5" borderId="0" xfId="0" applyNumberFormat="1" applyFont="1" applyFill="1" applyAlignment="1">
      <alignment horizontal="center" wrapText="1"/>
    </xf>
    <xf numFmtId="49" fontId="25" fillId="5" borderId="5" xfId="0" applyNumberFormat="1" applyFont="1" applyFill="1" applyBorder="1" applyAlignment="1" applyProtection="1">
      <alignment horizontal="center" wrapText="1"/>
      <protection locked="0"/>
    </xf>
    <xf numFmtId="49" fontId="25" fillId="6" borderId="7" xfId="0" applyNumberFormat="1" applyFont="1" applyFill="1" applyBorder="1" applyAlignment="1" applyProtection="1">
      <alignment horizontal="center" wrapText="1"/>
      <protection locked="0"/>
    </xf>
    <xf numFmtId="164" fontId="25" fillId="6" borderId="3" xfId="0" applyNumberFormat="1" applyFont="1" applyFill="1" applyBorder="1" applyAlignment="1" applyProtection="1">
      <alignment horizontal="center" wrapText="1"/>
      <protection locked="0"/>
    </xf>
    <xf numFmtId="10" fontId="26" fillId="6" borderId="0" xfId="0" applyNumberFormat="1" applyFont="1" applyFill="1" applyAlignment="1">
      <alignment horizontal="center" wrapText="1"/>
    </xf>
    <xf numFmtId="0" fontId="10" fillId="7" borderId="24" xfId="0" applyFont="1" applyFill="1" applyBorder="1" applyAlignment="1">
      <alignment horizontal="center"/>
    </xf>
    <xf numFmtId="0" fontId="10" fillId="7" borderId="34" xfId="0" applyFont="1" applyFill="1" applyBorder="1" applyAlignment="1">
      <alignment horizontal="center"/>
    </xf>
    <xf numFmtId="10" fontId="26" fillId="7" borderId="0" xfId="0" applyNumberFormat="1" applyFont="1" applyFill="1" applyAlignment="1">
      <alignment horizontal="center" wrapText="1"/>
    </xf>
    <xf numFmtId="164" fontId="26" fillId="0" borderId="0" xfId="0" applyNumberFormat="1" applyFont="1" applyAlignment="1">
      <alignment wrapText="1"/>
    </xf>
    <xf numFmtId="49" fontId="25" fillId="4" borderId="2" xfId="0" applyNumberFormat="1" applyFont="1" applyFill="1" applyBorder="1" applyAlignment="1" applyProtection="1">
      <alignment horizontal="center" wrapText="1"/>
      <protection locked="0"/>
    </xf>
    <xf numFmtId="49" fontId="25" fillId="4" borderId="24" xfId="0" applyNumberFormat="1" applyFont="1" applyFill="1" applyBorder="1" applyAlignment="1" applyProtection="1">
      <alignment horizontal="center" wrapText="1"/>
      <protection locked="0"/>
    </xf>
    <xf numFmtId="164" fontId="30" fillId="7" borderId="2" xfId="9" applyNumberFormat="1" applyFont="1" applyFill="1" applyBorder="1" applyAlignment="1">
      <alignment horizontal="center" wrapText="1"/>
    </xf>
    <xf numFmtId="164" fontId="23" fillId="0" borderId="26" xfId="5" applyNumberFormat="1" applyBorder="1" applyAlignment="1">
      <alignment wrapText="1"/>
    </xf>
    <xf numFmtId="164" fontId="23" fillId="0" borderId="26" xfId="5" applyNumberFormat="1" applyBorder="1" applyAlignment="1" applyProtection="1">
      <alignment wrapText="1"/>
      <protection locked="0"/>
    </xf>
    <xf numFmtId="2" fontId="23" fillId="0" borderId="14" xfId="5" applyNumberFormat="1" applyBorder="1" applyAlignment="1">
      <alignment horizontal="center" wrapText="1"/>
    </xf>
    <xf numFmtId="2" fontId="23" fillId="0" borderId="14" xfId="5" applyNumberFormat="1" applyBorder="1" applyAlignment="1" applyProtection="1">
      <alignment horizontal="center" wrapText="1"/>
      <protection locked="0"/>
    </xf>
    <xf numFmtId="2" fontId="29" fillId="0" borderId="0" xfId="0" applyNumberFormat="1" applyFont="1" applyAlignment="1" applyProtection="1">
      <alignment horizontal="center"/>
      <protection locked="0"/>
    </xf>
    <xf numFmtId="49" fontId="29" fillId="0" borderId="0" xfId="0" applyNumberFormat="1" applyFont="1" applyAlignment="1" applyProtection="1">
      <alignment horizontal="left"/>
      <protection locked="0"/>
    </xf>
    <xf numFmtId="49" fontId="29" fillId="0" borderId="9" xfId="0" applyNumberFormat="1" applyFont="1" applyBorder="1" applyAlignment="1">
      <alignment horizontal="left"/>
    </xf>
    <xf numFmtId="10" fontId="29" fillId="0" borderId="0" xfId="0" applyNumberFormat="1" applyFont="1" applyAlignment="1" applyProtection="1">
      <alignment horizontal="center"/>
      <protection locked="0"/>
    </xf>
    <xf numFmtId="10" fontId="23" fillId="5" borderId="28" xfId="5" applyNumberFormat="1" applyFill="1" applyBorder="1" applyAlignment="1">
      <alignment horizontal="center" wrapText="1"/>
    </xf>
    <xf numFmtId="10" fontId="23" fillId="5" borderId="28" xfId="5" applyNumberFormat="1" applyFill="1" applyBorder="1" applyAlignment="1" applyProtection="1">
      <alignment horizontal="center" wrapText="1"/>
      <protection locked="0"/>
    </xf>
    <xf numFmtId="10" fontId="29" fillId="5" borderId="0" xfId="0" applyNumberFormat="1" applyFont="1" applyFill="1" applyAlignment="1" applyProtection="1">
      <alignment horizontal="center"/>
      <protection locked="0"/>
    </xf>
    <xf numFmtId="10" fontId="23" fillId="7" borderId="29" xfId="5" applyNumberFormat="1" applyFill="1" applyBorder="1" applyAlignment="1">
      <alignment horizontal="center" wrapText="1"/>
    </xf>
    <xf numFmtId="10" fontId="23" fillId="7" borderId="17" xfId="5" applyNumberFormat="1" applyFill="1" applyBorder="1" applyAlignment="1">
      <alignment horizontal="center" wrapText="1"/>
    </xf>
    <xf numFmtId="10" fontId="23" fillId="7" borderId="10" xfId="5" applyNumberFormat="1" applyFill="1" applyBorder="1" applyAlignment="1">
      <alignment horizontal="center" wrapText="1"/>
    </xf>
    <xf numFmtId="10" fontId="23" fillId="7" borderId="10" xfId="5" applyNumberFormat="1" applyFill="1" applyBorder="1" applyAlignment="1" applyProtection="1">
      <alignment horizontal="center" wrapText="1"/>
      <protection locked="0"/>
    </xf>
    <xf numFmtId="10" fontId="29" fillId="7" borderId="0" xfId="0" applyNumberFormat="1" applyFont="1" applyFill="1" applyAlignment="1" applyProtection="1">
      <alignment horizontal="center"/>
      <protection locked="0"/>
    </xf>
    <xf numFmtId="49" fontId="29" fillId="0" borderId="9" xfId="0" applyNumberFormat="1" applyFont="1" applyBorder="1" applyAlignment="1" applyProtection="1">
      <alignment horizontal="left"/>
      <protection locked="0"/>
    </xf>
    <xf numFmtId="49" fontId="23" fillId="0" borderId="17" xfId="5" applyNumberFormat="1" applyBorder="1" applyAlignment="1" applyProtection="1">
      <alignment horizontal="center" wrapText="1"/>
      <protection locked="0"/>
    </xf>
    <xf numFmtId="49" fontId="23" fillId="0" borderId="18" xfId="5" applyNumberFormat="1" applyBorder="1" applyAlignment="1" applyProtection="1">
      <alignment horizontal="center" wrapText="1"/>
      <protection locked="0"/>
    </xf>
    <xf numFmtId="0" fontId="13" fillId="8" borderId="33" xfId="0" applyFont="1" applyFill="1" applyBorder="1" applyAlignment="1" applyProtection="1">
      <alignment horizontal="left"/>
      <protection locked="0"/>
    </xf>
    <xf numFmtId="0" fontId="12" fillId="8" borderId="34" xfId="0" applyFont="1" applyFill="1" applyBorder="1" applyAlignment="1" applyProtection="1">
      <alignment horizontal="left"/>
      <protection locked="0"/>
    </xf>
    <xf numFmtId="0" fontId="30" fillId="2" borderId="25" xfId="6" applyFont="1" applyFill="1" applyBorder="1" applyAlignment="1">
      <alignment horizontal="center" wrapText="1"/>
    </xf>
    <xf numFmtId="49" fontId="30" fillId="2" borderId="25" xfId="6" applyNumberFormat="1" applyFont="1" applyFill="1" applyBorder="1" applyAlignment="1">
      <alignment horizontal="center" wrapText="1"/>
    </xf>
    <xf numFmtId="164" fontId="30" fillId="2" borderId="25" xfId="6" applyNumberFormat="1" applyFont="1" applyFill="1" applyBorder="1" applyAlignment="1">
      <alignment horizontal="center" wrapText="1"/>
    </xf>
    <xf numFmtId="164" fontId="35" fillId="10" borderId="3" xfId="7" applyNumberFormat="1" applyFont="1" applyFill="1" applyBorder="1" applyAlignment="1">
      <alignment horizontal="center" wrapText="1"/>
    </xf>
    <xf numFmtId="0" fontId="14" fillId="0" borderId="0" xfId="6" applyFont="1" applyAlignment="1" applyProtection="1">
      <alignment horizontal="center"/>
      <protection locked="0"/>
    </xf>
    <xf numFmtId="0" fontId="15" fillId="0" borderId="0" xfId="6" applyFont="1" applyAlignment="1" applyProtection="1">
      <alignment horizontal="center"/>
      <protection locked="0"/>
    </xf>
    <xf numFmtId="0" fontId="36" fillId="0" borderId="36" xfId="1" applyFont="1" applyBorder="1" applyAlignment="1" applyProtection="1">
      <protection locked="0"/>
    </xf>
    <xf numFmtId="0" fontId="36" fillId="0" borderId="0" xfId="1" applyFont="1" applyBorder="1" applyAlignment="1" applyProtection="1">
      <protection locked="0"/>
    </xf>
    <xf numFmtId="0" fontId="10" fillId="6" borderId="24" xfId="0" applyFont="1" applyFill="1" applyBorder="1" applyAlignment="1">
      <alignment horizontal="center" wrapText="1"/>
    </xf>
    <xf numFmtId="164" fontId="10" fillId="7" borderId="24" xfId="0" applyNumberFormat="1" applyFont="1" applyFill="1" applyBorder="1" applyAlignment="1" applyProtection="1">
      <alignment horizontal="left"/>
      <protection locked="0"/>
    </xf>
    <xf numFmtId="164" fontId="25" fillId="7" borderId="7" xfId="0" applyNumberFormat="1" applyFont="1" applyFill="1" applyBorder="1" applyAlignment="1" applyProtection="1">
      <alignment horizontal="center" wrapText="1"/>
      <protection locked="0"/>
    </xf>
    <xf numFmtId="10" fontId="26" fillId="6" borderId="10" xfId="0" applyNumberFormat="1" applyFont="1" applyFill="1" applyBorder="1" applyAlignment="1">
      <alignment horizontal="center" wrapText="1"/>
    </xf>
    <xf numFmtId="10" fontId="26" fillId="6" borderId="10" xfId="0" applyNumberFormat="1" applyFont="1" applyFill="1" applyBorder="1" applyAlignment="1" applyProtection="1">
      <alignment horizontal="center" wrapText="1"/>
      <protection locked="0"/>
    </xf>
    <xf numFmtId="2" fontId="29" fillId="0" borderId="42" xfId="0" applyNumberFormat="1" applyFont="1" applyBorder="1" applyProtection="1">
      <protection locked="0"/>
    </xf>
    <xf numFmtId="2" fontId="30" fillId="7" borderId="3" xfId="7" applyNumberFormat="1" applyFont="1" applyFill="1" applyBorder="1" applyAlignment="1">
      <alignment horizontal="center" wrapText="1"/>
    </xf>
    <xf numFmtId="2" fontId="29" fillId="0" borderId="9" xfId="0" applyNumberFormat="1" applyFont="1" applyBorder="1" applyAlignment="1">
      <alignment horizontal="center"/>
    </xf>
    <xf numFmtId="2" fontId="29" fillId="0" borderId="9" xfId="0" applyNumberFormat="1" applyFont="1" applyBorder="1" applyAlignment="1" applyProtection="1">
      <alignment horizontal="center"/>
      <protection locked="0"/>
    </xf>
    <xf numFmtId="2" fontId="29" fillId="0" borderId="23" xfId="0" applyNumberFormat="1" applyFont="1" applyBorder="1" applyProtection="1">
      <protection locked="0"/>
    </xf>
    <xf numFmtId="2" fontId="30" fillId="7" borderId="24" xfId="7" applyNumberFormat="1" applyFont="1" applyFill="1" applyBorder="1" applyAlignment="1">
      <alignment horizontal="center" wrapText="1"/>
    </xf>
    <xf numFmtId="49" fontId="29" fillId="0" borderId="40" xfId="0" applyNumberFormat="1" applyFont="1" applyBorder="1" applyAlignment="1" applyProtection="1">
      <alignment horizontal="center" wrapText="1"/>
      <protection locked="0"/>
    </xf>
    <xf numFmtId="49" fontId="29" fillId="0" borderId="14" xfId="0" applyNumberFormat="1" applyFont="1" applyBorder="1" applyAlignment="1">
      <alignment horizontal="center" wrapText="1"/>
    </xf>
    <xf numFmtId="49" fontId="29" fillId="0" borderId="14" xfId="0" applyNumberFormat="1" applyFont="1" applyBorder="1" applyAlignment="1" applyProtection="1">
      <alignment horizontal="center" wrapText="1"/>
      <protection locked="0"/>
    </xf>
    <xf numFmtId="49" fontId="29" fillId="0" borderId="23" xfId="0" applyNumberFormat="1" applyFont="1" applyBorder="1" applyAlignment="1" applyProtection="1">
      <alignment horizontal="center" wrapText="1"/>
      <protection locked="0"/>
    </xf>
    <xf numFmtId="0" fontId="26" fillId="0" borderId="0" xfId="0" applyFont="1"/>
    <xf numFmtId="0" fontId="26" fillId="0" borderId="0" xfId="0" applyFont="1" applyAlignment="1">
      <alignment horizontal="center" wrapText="1"/>
    </xf>
    <xf numFmtId="0" fontId="25" fillId="0" borderId="0" xfId="0" applyFont="1" applyAlignment="1">
      <alignment horizontal="center"/>
    </xf>
    <xf numFmtId="0" fontId="26" fillId="0" borderId="0" xfId="0" applyFont="1" applyAlignment="1">
      <alignment horizontal="center"/>
    </xf>
    <xf numFmtId="0" fontId="26" fillId="0" borderId="0" xfId="0" applyFont="1" applyAlignment="1">
      <alignment horizontal="left"/>
    </xf>
    <xf numFmtId="0" fontId="10" fillId="0" borderId="23" xfId="0" applyFont="1" applyBorder="1" applyAlignment="1">
      <alignment horizontal="left"/>
    </xf>
    <xf numFmtId="0" fontId="11" fillId="0" borderId="23" xfId="0" applyFont="1" applyBorder="1" applyAlignment="1">
      <alignment horizontal="left"/>
    </xf>
    <xf numFmtId="0" fontId="11" fillId="0" borderId="0" xfId="0" applyFont="1" applyAlignment="1">
      <alignment horizontal="center"/>
    </xf>
    <xf numFmtId="0" fontId="11" fillId="0" borderId="23" xfId="0" applyFont="1" applyBorder="1" applyAlignment="1">
      <alignment horizontal="center"/>
    </xf>
    <xf numFmtId="0" fontId="11" fillId="0" borderId="0" xfId="0" applyFont="1"/>
    <xf numFmtId="0" fontId="26" fillId="0" borderId="37" xfId="0" applyFont="1" applyBorder="1" applyAlignment="1">
      <alignment horizontal="center"/>
    </xf>
    <xf numFmtId="0" fontId="26" fillId="0" borderId="36" xfId="0" applyFont="1" applyBorder="1" applyAlignment="1">
      <alignment horizontal="center"/>
    </xf>
    <xf numFmtId="0" fontId="26" fillId="0" borderId="35" xfId="0" applyFont="1" applyBorder="1" applyAlignment="1">
      <alignment horizontal="center"/>
    </xf>
    <xf numFmtId="0" fontId="26" fillId="0" borderId="40" xfId="0" applyFont="1" applyBorder="1" applyAlignment="1">
      <alignment horizontal="center"/>
    </xf>
    <xf numFmtId="0" fontId="26" fillId="0" borderId="41" xfId="0" applyFont="1" applyBorder="1" applyAlignment="1">
      <alignment horizontal="center"/>
    </xf>
    <xf numFmtId="0" fontId="10" fillId="0" borderId="0" xfId="0" applyFont="1"/>
    <xf numFmtId="0" fontId="10" fillId="4" borderId="4" xfId="0" applyFont="1" applyFill="1" applyBorder="1" applyAlignment="1" applyProtection="1">
      <alignment horizontal="center" wrapText="1"/>
      <protection locked="0"/>
    </xf>
    <xf numFmtId="0" fontId="10" fillId="4" borderId="3" xfId="0" applyFont="1" applyFill="1" applyBorder="1" applyAlignment="1" applyProtection="1">
      <alignment horizontal="center" wrapText="1"/>
      <protection locked="0"/>
    </xf>
    <xf numFmtId="0" fontId="10" fillId="4" borderId="34" xfId="0" applyFont="1" applyFill="1" applyBorder="1" applyAlignment="1" applyProtection="1">
      <alignment horizontal="center" wrapText="1"/>
      <protection locked="0"/>
    </xf>
    <xf numFmtId="0" fontId="26" fillId="0" borderId="23" xfId="0" applyFont="1" applyBorder="1" applyAlignment="1">
      <alignment horizontal="left"/>
    </xf>
    <xf numFmtId="0" fontId="26" fillId="0" borderId="23" xfId="0" applyFont="1" applyBorder="1"/>
    <xf numFmtId="1" fontId="12" fillId="4" borderId="24" xfId="0" applyNumberFormat="1" applyFont="1" applyFill="1" applyBorder="1" applyAlignment="1" applyProtection="1">
      <alignment horizontal="left"/>
      <protection locked="0"/>
    </xf>
    <xf numFmtId="1" fontId="25" fillId="4" borderId="43" xfId="0" applyNumberFormat="1" applyFont="1" applyFill="1" applyBorder="1" applyAlignment="1" applyProtection="1">
      <alignment horizontal="center" wrapText="1"/>
      <protection locked="0"/>
    </xf>
    <xf numFmtId="1" fontId="26" fillId="0" borderId="9" xfId="0" applyNumberFormat="1" applyFont="1" applyBorder="1" applyAlignment="1" applyProtection="1">
      <alignment horizontal="center" wrapText="1"/>
      <protection locked="0"/>
    </xf>
    <xf numFmtId="1" fontId="26" fillId="0" borderId="16" xfId="0" applyNumberFormat="1" applyFont="1" applyBorder="1" applyAlignment="1" applyProtection="1">
      <alignment horizontal="center" wrapText="1"/>
      <protection locked="0"/>
    </xf>
    <xf numFmtId="1" fontId="39" fillId="11" borderId="39" xfId="0" applyNumberFormat="1" applyFont="1" applyFill="1" applyBorder="1" applyAlignment="1" applyProtection="1">
      <alignment horizontal="center" wrapText="1"/>
      <protection locked="0"/>
    </xf>
    <xf numFmtId="1" fontId="39" fillId="0" borderId="39" xfId="0" applyNumberFormat="1" applyFont="1" applyBorder="1" applyAlignment="1" applyProtection="1">
      <alignment horizontal="center" wrapText="1"/>
      <protection locked="0"/>
    </xf>
    <xf numFmtId="164" fontId="12" fillId="4" borderId="34" xfId="0" applyNumberFormat="1" applyFont="1" applyFill="1" applyBorder="1" applyAlignment="1" applyProtection="1">
      <alignment horizontal="left"/>
      <protection locked="0"/>
    </xf>
    <xf numFmtId="164" fontId="25" fillId="4" borderId="23" xfId="0" applyNumberFormat="1" applyFont="1" applyFill="1" applyBorder="1" applyAlignment="1" applyProtection="1">
      <alignment horizontal="center" wrapText="1"/>
      <protection locked="0"/>
    </xf>
    <xf numFmtId="164" fontId="26" fillId="0" borderId="28" xfId="0" applyNumberFormat="1" applyFont="1" applyBorder="1" applyAlignment="1" applyProtection="1">
      <alignment horizontal="center" wrapText="1"/>
      <protection locked="0"/>
    </xf>
    <xf numFmtId="164" fontId="26" fillId="0" borderId="44" xfId="0" applyNumberFormat="1" applyFont="1" applyBorder="1" applyAlignment="1" applyProtection="1">
      <alignment horizontal="center" wrapText="1"/>
      <protection locked="0"/>
    </xf>
    <xf numFmtId="164" fontId="39" fillId="11" borderId="0" xfId="0" applyNumberFormat="1" applyFont="1" applyFill="1" applyAlignment="1" applyProtection="1">
      <alignment horizontal="center" wrapText="1"/>
      <protection locked="0"/>
    </xf>
    <xf numFmtId="164" fontId="39" fillId="0" borderId="0" xfId="0" applyNumberFormat="1" applyFont="1" applyAlignment="1" applyProtection="1">
      <alignment horizontal="center" wrapText="1"/>
      <protection locked="0"/>
    </xf>
    <xf numFmtId="164" fontId="14" fillId="6" borderId="34" xfId="0" applyNumberFormat="1" applyFont="1" applyFill="1" applyBorder="1" applyProtection="1">
      <protection locked="0"/>
    </xf>
    <xf numFmtId="164" fontId="14" fillId="12" borderId="1" xfId="0" applyNumberFormat="1" applyFont="1" applyFill="1" applyBorder="1" applyProtection="1">
      <protection locked="0"/>
    </xf>
    <xf numFmtId="164" fontId="25" fillId="6" borderId="5" xfId="0" applyNumberFormat="1" applyFont="1" applyFill="1" applyBorder="1" applyAlignment="1" applyProtection="1">
      <alignment horizontal="center" wrapText="1"/>
      <protection locked="0"/>
    </xf>
    <xf numFmtId="164" fontId="25" fillId="12" borderId="6" xfId="0" applyNumberFormat="1" applyFont="1" applyFill="1" applyBorder="1" applyAlignment="1" applyProtection="1">
      <alignment horizontal="center" wrapText="1"/>
      <protection locked="0"/>
    </xf>
    <xf numFmtId="164" fontId="26" fillId="0" borderId="14" xfId="0" applyNumberFormat="1" applyFont="1" applyBorder="1" applyAlignment="1" applyProtection="1">
      <alignment horizontal="center" wrapText="1"/>
      <protection locked="0"/>
    </xf>
    <xf numFmtId="164" fontId="26" fillId="0" borderId="12" xfId="0" applyNumberFormat="1" applyFont="1" applyBorder="1" applyAlignment="1" applyProtection="1">
      <alignment horizontal="center" wrapText="1"/>
      <protection locked="0"/>
    </xf>
    <xf numFmtId="164" fontId="39" fillId="0" borderId="45" xfId="0" applyNumberFormat="1" applyFont="1" applyBorder="1" applyAlignment="1" applyProtection="1">
      <alignment horizontal="center" wrapText="1"/>
      <protection locked="0"/>
    </xf>
    <xf numFmtId="164" fontId="39" fillId="0" borderId="21" xfId="0" applyNumberFormat="1" applyFont="1" applyBorder="1" applyAlignment="1" applyProtection="1">
      <alignment horizontal="center" wrapText="1"/>
      <protection locked="0"/>
    </xf>
    <xf numFmtId="49" fontId="29" fillId="0" borderId="23" xfId="0" applyNumberFormat="1" applyFont="1" applyBorder="1" applyAlignment="1" applyProtection="1">
      <alignment horizontal="left" wrapText="1"/>
      <protection locked="0"/>
    </xf>
    <xf numFmtId="49" fontId="29" fillId="0" borderId="38" xfId="0" applyNumberFormat="1" applyFont="1" applyBorder="1" applyAlignment="1">
      <alignment horizontal="left" wrapText="1"/>
    </xf>
    <xf numFmtId="49" fontId="29" fillId="0" borderId="38" xfId="0" applyNumberFormat="1" applyFont="1" applyBorder="1" applyAlignment="1" applyProtection="1">
      <alignment horizontal="left" wrapText="1"/>
      <protection locked="0"/>
    </xf>
    <xf numFmtId="49" fontId="29" fillId="0" borderId="0" xfId="0" applyNumberFormat="1" applyFont="1" applyAlignment="1" applyProtection="1">
      <alignment horizontal="left" wrapText="1"/>
      <protection locked="0"/>
    </xf>
    <xf numFmtId="0" fontId="10" fillId="0" borderId="0" xfId="0" applyFont="1" applyAlignment="1">
      <alignment horizontal="left"/>
    </xf>
    <xf numFmtId="0" fontId="44" fillId="0" borderId="0" xfId="0" applyFont="1" applyAlignment="1">
      <alignment horizontal="left"/>
    </xf>
    <xf numFmtId="0" fontId="45" fillId="0" borderId="0" xfId="0" applyFont="1" applyAlignment="1">
      <alignment horizontal="left"/>
    </xf>
    <xf numFmtId="0" fontId="26" fillId="0" borderId="0" xfId="0" applyFont="1" applyAlignment="1">
      <alignment wrapText="1"/>
    </xf>
    <xf numFmtId="0" fontId="26" fillId="0" borderId="0" xfId="0" applyFont="1" applyAlignment="1">
      <alignment horizontal="left" wrapText="1"/>
    </xf>
    <xf numFmtId="0" fontId="47" fillId="0" borderId="0" xfId="0" applyFont="1" applyAlignment="1">
      <alignment horizontal="left"/>
    </xf>
    <xf numFmtId="0" fontId="25" fillId="0" borderId="25" xfId="0" applyFont="1" applyBorder="1" applyAlignment="1">
      <alignment horizontal="center" wrapText="1"/>
    </xf>
    <xf numFmtId="0" fontId="26" fillId="0" borderId="25" xfId="0" applyFont="1" applyBorder="1" applyAlignment="1">
      <alignment horizontal="center" wrapText="1"/>
    </xf>
    <xf numFmtId="0" fontId="48" fillId="0" borderId="0" xfId="0" applyFont="1" applyAlignment="1">
      <alignment horizontal="center" wrapText="1"/>
    </xf>
    <xf numFmtId="0" fontId="26" fillId="0" borderId="21" xfId="0" applyFont="1" applyBorder="1" applyAlignment="1">
      <alignment horizontal="left" wrapText="1"/>
    </xf>
    <xf numFmtId="0" fontId="26" fillId="0" borderId="21" xfId="0" applyFont="1" applyBorder="1" applyAlignment="1">
      <alignment horizontal="center" wrapText="1"/>
    </xf>
    <xf numFmtId="0" fontId="26" fillId="0" borderId="19" xfId="0" applyFont="1" applyBorder="1" applyAlignment="1">
      <alignment horizontal="left" wrapText="1"/>
    </xf>
    <xf numFmtId="0" fontId="26" fillId="0" borderId="19" xfId="0" applyFont="1" applyBorder="1" applyAlignment="1">
      <alignment horizontal="center" wrapText="1"/>
    </xf>
    <xf numFmtId="0" fontId="26" fillId="0" borderId="46" xfId="0" applyFont="1" applyBorder="1" applyAlignment="1">
      <alignment horizontal="left" wrapText="1"/>
    </xf>
    <xf numFmtId="0" fontId="26" fillId="0" borderId="6" xfId="0" applyFont="1" applyBorder="1" applyAlignment="1">
      <alignment horizontal="left" wrapText="1"/>
    </xf>
    <xf numFmtId="164" fontId="30" fillId="6" borderId="7" xfId="9" applyNumberFormat="1" applyFont="1" applyFill="1" applyBorder="1" applyAlignment="1">
      <alignment horizontal="center" wrapText="1"/>
    </xf>
    <xf numFmtId="164" fontId="23" fillId="0" borderId="48" xfId="5" applyNumberFormat="1" applyBorder="1" applyAlignment="1">
      <alignment wrapText="1"/>
    </xf>
    <xf numFmtId="164" fontId="23" fillId="0" borderId="13" xfId="5" applyNumberFormat="1" applyBorder="1" applyAlignment="1">
      <alignment wrapText="1"/>
    </xf>
    <xf numFmtId="164" fontId="23" fillId="0" borderId="13" xfId="5" applyNumberFormat="1" applyBorder="1" applyAlignment="1" applyProtection="1">
      <alignment wrapText="1"/>
      <protection locked="0"/>
    </xf>
    <xf numFmtId="10" fontId="29" fillId="0" borderId="47" xfId="0" applyNumberFormat="1" applyFont="1" applyBorder="1" applyAlignment="1" applyProtection="1">
      <alignment horizontal="center"/>
      <protection locked="0"/>
    </xf>
    <xf numFmtId="10" fontId="29" fillId="0" borderId="23" xfId="0" applyNumberFormat="1" applyFont="1" applyBorder="1" applyAlignment="1" applyProtection="1">
      <alignment horizontal="center"/>
      <protection locked="0"/>
    </xf>
    <xf numFmtId="164" fontId="23" fillId="0" borderId="15" xfId="5" applyNumberFormat="1" applyBorder="1" applyAlignment="1">
      <alignment wrapText="1"/>
    </xf>
    <xf numFmtId="164" fontId="23" fillId="0" borderId="15" xfId="5" applyNumberFormat="1" applyBorder="1" applyAlignment="1" applyProtection="1">
      <alignment wrapText="1"/>
      <protection locked="0"/>
    </xf>
    <xf numFmtId="49" fontId="45" fillId="0" borderId="0" xfId="0" applyNumberFormat="1" applyFont="1" applyAlignment="1">
      <alignment horizontal="left"/>
    </xf>
    <xf numFmtId="49" fontId="47" fillId="0" borderId="0" xfId="0" applyNumberFormat="1" applyFont="1" applyAlignment="1">
      <alignment horizontal="left"/>
    </xf>
    <xf numFmtId="49" fontId="25" fillId="0" borderId="24" xfId="0" applyNumberFormat="1" applyFont="1" applyBorder="1" applyAlignment="1" applyProtection="1">
      <alignment horizontal="center" wrapText="1"/>
      <protection locked="0"/>
    </xf>
    <xf numFmtId="49" fontId="25" fillId="0" borderId="25" xfId="0" applyNumberFormat="1" applyFont="1" applyBorder="1" applyAlignment="1" applyProtection="1">
      <alignment horizontal="center" wrapText="1"/>
      <protection locked="0"/>
    </xf>
    <xf numFmtId="10" fontId="30" fillId="13" borderId="25" xfId="6" applyNumberFormat="1" applyFont="1" applyFill="1" applyBorder="1" applyAlignment="1">
      <alignment horizontal="center" wrapText="1"/>
    </xf>
    <xf numFmtId="0" fontId="26" fillId="0" borderId="0" xfId="6" applyFont="1" applyAlignment="1">
      <alignment horizontal="center"/>
    </xf>
    <xf numFmtId="0" fontId="26" fillId="0" borderId="0" xfId="6" applyFont="1" applyAlignment="1">
      <alignment horizontal="left"/>
    </xf>
    <xf numFmtId="49" fontId="26" fillId="0" borderId="0" xfId="6" applyNumberFormat="1" applyFont="1" applyAlignment="1">
      <alignment horizontal="center"/>
    </xf>
    <xf numFmtId="49" fontId="26" fillId="0" borderId="0" xfId="6" applyNumberFormat="1" applyFont="1" applyAlignment="1">
      <alignment horizontal="left"/>
    </xf>
    <xf numFmtId="164" fontId="26" fillId="0" borderId="0" xfId="6" applyNumberFormat="1" applyFont="1" applyAlignment="1" applyProtection="1">
      <alignment horizontal="right"/>
      <protection locked="0"/>
    </xf>
    <xf numFmtId="10" fontId="26" fillId="0" borderId="0" xfId="6" applyNumberFormat="1" applyFont="1" applyAlignment="1">
      <alignment horizontal="center"/>
    </xf>
    <xf numFmtId="0" fontId="26" fillId="0" borderId="0" xfId="6" applyFont="1"/>
    <xf numFmtId="49" fontId="30" fillId="6" borderId="25" xfId="6" applyNumberFormat="1" applyFont="1" applyFill="1" applyBorder="1" applyAlignment="1" applyProtection="1">
      <alignment horizontal="center" wrapText="1"/>
      <protection locked="0"/>
    </xf>
    <xf numFmtId="49" fontId="30" fillId="6" borderId="24" xfId="6" applyNumberFormat="1" applyFont="1" applyFill="1" applyBorder="1" applyAlignment="1" applyProtection="1">
      <alignment horizontal="center" wrapText="1"/>
      <protection locked="0"/>
    </xf>
    <xf numFmtId="49" fontId="30" fillId="7" borderId="25" xfId="6" applyNumberFormat="1" applyFont="1" applyFill="1" applyBorder="1" applyAlignment="1" applyProtection="1">
      <alignment horizontal="center" wrapText="1"/>
      <protection locked="0"/>
    </xf>
    <xf numFmtId="49" fontId="30" fillId="7" borderId="24" xfId="6" applyNumberFormat="1" applyFont="1" applyFill="1" applyBorder="1" applyAlignment="1" applyProtection="1">
      <alignment horizontal="center" wrapText="1"/>
      <protection locked="0"/>
    </xf>
    <xf numFmtId="0" fontId="26" fillId="0" borderId="12" xfId="6" applyFont="1" applyBorder="1" applyAlignment="1" applyProtection="1">
      <alignment horizontal="center"/>
      <protection locked="0"/>
    </xf>
    <xf numFmtId="0" fontId="26" fillId="0" borderId="12" xfId="6" applyFont="1" applyBorder="1" applyAlignment="1" applyProtection="1">
      <alignment horizontal="left"/>
      <protection locked="0"/>
    </xf>
    <xf numFmtId="49" fontId="26" fillId="0" borderId="12" xfId="6" applyNumberFormat="1" applyFont="1" applyBorder="1" applyAlignment="1" applyProtection="1">
      <alignment horizontal="center"/>
      <protection locked="0"/>
    </xf>
    <xf numFmtId="49" fontId="26" fillId="0" borderId="12" xfId="6" applyNumberFormat="1" applyFont="1" applyBorder="1" applyAlignment="1" applyProtection="1">
      <alignment horizontal="left"/>
      <protection locked="0"/>
    </xf>
    <xf numFmtId="164" fontId="26" fillId="0" borderId="12" xfId="6" applyNumberFormat="1" applyFont="1" applyBorder="1" applyAlignment="1" applyProtection="1">
      <alignment horizontal="right"/>
      <protection locked="0"/>
    </xf>
    <xf numFmtId="10" fontId="26" fillId="0" borderId="12" xfId="6" applyNumberFormat="1" applyFont="1" applyBorder="1" applyAlignment="1" applyProtection="1">
      <alignment horizontal="center"/>
      <protection locked="0"/>
    </xf>
    <xf numFmtId="0" fontId="26" fillId="0" borderId="19" xfId="6" applyFont="1" applyBorder="1" applyAlignment="1" applyProtection="1">
      <alignment horizontal="center"/>
      <protection locked="0"/>
    </xf>
    <xf numFmtId="0" fontId="26" fillId="0" borderId="19" xfId="6" applyFont="1" applyBorder="1" applyAlignment="1" applyProtection="1">
      <alignment horizontal="left"/>
      <protection locked="0"/>
    </xf>
    <xf numFmtId="49" fontId="26" fillId="0" borderId="19" xfId="6" applyNumberFormat="1" applyFont="1" applyBorder="1" applyAlignment="1" applyProtection="1">
      <alignment horizontal="center"/>
      <protection locked="0"/>
    </xf>
    <xf numFmtId="49" fontId="26" fillId="0" borderId="19" xfId="6" applyNumberFormat="1" applyFont="1" applyBorder="1" applyAlignment="1" applyProtection="1">
      <alignment horizontal="left"/>
      <protection locked="0"/>
    </xf>
    <xf numFmtId="164" fontId="26" fillId="0" borderId="19" xfId="6" applyNumberFormat="1" applyFont="1" applyBorder="1" applyAlignment="1" applyProtection="1">
      <alignment horizontal="right"/>
      <protection locked="0"/>
    </xf>
    <xf numFmtId="10" fontId="26" fillId="0" borderId="19" xfId="6" applyNumberFormat="1" applyFont="1" applyBorder="1" applyAlignment="1" applyProtection="1">
      <alignment horizontal="center"/>
      <protection locked="0"/>
    </xf>
    <xf numFmtId="0" fontId="26" fillId="0" borderId="22" xfId="6" applyFont="1" applyBorder="1" applyAlignment="1" applyProtection="1">
      <alignment horizontal="center"/>
      <protection locked="0"/>
    </xf>
    <xf numFmtId="0" fontId="26" fillId="0" borderId="22" xfId="6" applyFont="1" applyBorder="1" applyAlignment="1" applyProtection="1">
      <alignment horizontal="left"/>
      <protection locked="0"/>
    </xf>
    <xf numFmtId="49" fontId="26" fillId="0" borderId="22" xfId="6" applyNumberFormat="1" applyFont="1" applyBorder="1" applyAlignment="1" applyProtection="1">
      <alignment horizontal="center"/>
      <protection locked="0"/>
    </xf>
    <xf numFmtId="49" fontId="26" fillId="0" borderId="22" xfId="6" applyNumberFormat="1" applyFont="1" applyBorder="1" applyAlignment="1" applyProtection="1">
      <alignment horizontal="left"/>
      <protection locked="0"/>
    </xf>
    <xf numFmtId="164" fontId="26" fillId="0" borderId="22" xfId="6" applyNumberFormat="1" applyFont="1" applyBorder="1" applyAlignment="1" applyProtection="1">
      <alignment horizontal="right"/>
      <protection locked="0"/>
    </xf>
    <xf numFmtId="10" fontId="26" fillId="0" borderId="22" xfId="6" applyNumberFormat="1" applyFont="1" applyBorder="1" applyAlignment="1" applyProtection="1">
      <alignment horizontal="center"/>
      <protection locked="0"/>
    </xf>
    <xf numFmtId="49" fontId="10" fillId="0" borderId="0" xfId="0" applyNumberFormat="1" applyFont="1" applyAlignment="1">
      <alignment horizontal="center"/>
    </xf>
    <xf numFmtId="49" fontId="26" fillId="0" borderId="21" xfId="0" applyNumberFormat="1" applyFont="1" applyBorder="1" applyAlignment="1">
      <alignment horizontal="center" wrapText="1"/>
    </xf>
    <xf numFmtId="49" fontId="26" fillId="0" borderId="19" xfId="0" applyNumberFormat="1" applyFont="1" applyBorder="1" applyAlignment="1">
      <alignment horizontal="center" wrapText="1"/>
    </xf>
    <xf numFmtId="49" fontId="26" fillId="0" borderId="46" xfId="0" applyNumberFormat="1" applyFont="1" applyBorder="1" applyAlignment="1">
      <alignment horizontal="center" wrapText="1"/>
    </xf>
    <xf numFmtId="49" fontId="26" fillId="0" borderId="0" xfId="0" applyNumberFormat="1" applyFont="1" applyAlignment="1">
      <alignment horizontal="center" wrapText="1"/>
    </xf>
    <xf numFmtId="0" fontId="26" fillId="0" borderId="21" xfId="0" applyFont="1" applyBorder="1" applyAlignment="1">
      <alignment horizontal="left" vertical="top" wrapText="1"/>
    </xf>
    <xf numFmtId="0" fontId="26" fillId="0" borderId="19" xfId="0" applyFont="1" applyBorder="1" applyAlignment="1">
      <alignment horizontal="left" vertical="top" wrapText="1"/>
    </xf>
    <xf numFmtId="0" fontId="26" fillId="0" borderId="22" xfId="0" applyFont="1" applyBorder="1" applyAlignment="1">
      <alignment horizontal="left" vertical="top" wrapText="1"/>
    </xf>
    <xf numFmtId="0" fontId="52" fillId="0" borderId="0" xfId="0" applyFont="1" applyAlignment="1">
      <alignment horizontal="left"/>
    </xf>
    <xf numFmtId="0" fontId="52" fillId="0" borderId="0" xfId="0" applyFont="1" applyAlignment="1">
      <alignment horizontal="center"/>
    </xf>
    <xf numFmtId="0" fontId="52" fillId="0" borderId="0" xfId="0" applyFont="1"/>
    <xf numFmtId="0" fontId="26" fillId="0" borderId="22" xfId="0" applyFont="1" applyBorder="1" applyAlignment="1">
      <alignment horizontal="center" wrapText="1"/>
    </xf>
    <xf numFmtId="49" fontId="44" fillId="0" borderId="0" xfId="0" applyNumberFormat="1" applyFont="1" applyAlignment="1">
      <alignment horizontal="left"/>
    </xf>
    <xf numFmtId="49" fontId="26" fillId="0" borderId="0" xfId="0" applyNumberFormat="1" applyFont="1" applyAlignment="1">
      <alignment horizontal="left"/>
    </xf>
    <xf numFmtId="49" fontId="25" fillId="0" borderId="25" xfId="0" applyNumberFormat="1" applyFont="1" applyBorder="1" applyAlignment="1">
      <alignment horizontal="center" wrapText="1"/>
    </xf>
    <xf numFmtId="49" fontId="26" fillId="0" borderId="6" xfId="0" applyNumberFormat="1" applyFont="1" applyBorder="1" applyAlignment="1">
      <alignment horizontal="center" wrapText="1"/>
    </xf>
    <xf numFmtId="0" fontId="32" fillId="0" borderId="33" xfId="6" applyFont="1" applyBorder="1" applyAlignment="1" applyProtection="1">
      <alignment horizontal="left" wrapText="1"/>
      <protection locked="0"/>
    </xf>
    <xf numFmtId="0" fontId="0" fillId="0" borderId="24" xfId="0" applyBorder="1" applyAlignment="1">
      <alignment horizontal="left" wrapText="1"/>
    </xf>
    <xf numFmtId="0" fontId="42" fillId="9" borderId="33" xfId="0" applyFont="1" applyFill="1" applyBorder="1" applyAlignment="1">
      <alignment horizontal="center" vertical="center" wrapText="1"/>
    </xf>
    <xf numFmtId="0" fontId="43" fillId="0" borderId="34" xfId="0" applyFont="1" applyBorder="1" applyAlignment="1">
      <alignment wrapText="1"/>
    </xf>
  </cellXfs>
  <cellStyles count="13">
    <cellStyle name="Hyperlink" xfId="1" builtinId="8"/>
    <cellStyle name="Hyperlink 2" xfId="2" xr:uid="{00000000-0005-0000-0000-000001000000}"/>
    <cellStyle name="Hyperlink 2 2" xfId="3" xr:uid="{00000000-0005-0000-0000-000002000000}"/>
    <cellStyle name="Hyperlink 3" xfId="4" xr:uid="{00000000-0005-0000-0000-000003000000}"/>
    <cellStyle name="Normal" xfId="0" builtinId="0"/>
    <cellStyle name="Normal 2" xfId="5" xr:uid="{00000000-0005-0000-0000-000005000000}"/>
    <cellStyle name="Normal 2 2" xfId="6" xr:uid="{00000000-0005-0000-0000-000006000000}"/>
    <cellStyle name="Normal 2 3" xfId="7" xr:uid="{00000000-0005-0000-0000-000007000000}"/>
    <cellStyle name="Normal 3" xfId="8" xr:uid="{00000000-0005-0000-0000-000008000000}"/>
    <cellStyle name="Normal 4" xfId="9" xr:uid="{00000000-0005-0000-0000-000009000000}"/>
    <cellStyle name="Normal 4 2" xfId="10" xr:uid="{00000000-0005-0000-0000-00000A000000}"/>
    <cellStyle name="Percent 2" xfId="11" xr:uid="{00000000-0005-0000-0000-00000B000000}"/>
    <cellStyle name="Percent 3" xfId="12" xr:uid="{00000000-0005-0000-0000-00000C000000}"/>
  </cellStyles>
  <dxfs count="2">
    <dxf>
      <font>
        <color theme="0"/>
      </font>
    </dxf>
    <dxf>
      <font>
        <condense val="0"/>
        <extend val="0"/>
        <color rgb="FF9C0006"/>
      </font>
      <fill>
        <patternFill>
          <bgColor rgb="FFFFC7CE"/>
        </patternFill>
      </fill>
    </dxf>
  </dxfs>
  <tableStyles count="0" defaultTableStyle="TableStyleMedium9"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5.bin"/><Relationship Id="rId1" Type="http://schemas.openxmlformats.org/officeDocument/2006/relationships/hyperlink" Target="https://www.va.gov/opal/nac/fss/training.asp" TargetMode="Externa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pageSetUpPr autoPageBreaks="0"/>
  </sheetPr>
  <dimension ref="A1:BH3408"/>
  <sheetViews>
    <sheetView showGridLines="0" tabSelected="1" zoomScale="75" zoomScaleNormal="75" workbookViewId="0">
      <pane xSplit="4" ySplit="2" topLeftCell="E3" activePane="bottomRight" state="frozen"/>
      <selection pane="topRight" activeCell="E1" sqref="E1"/>
      <selection pane="bottomLeft" activeCell="A3" sqref="A3"/>
      <selection pane="bottomRight" activeCell="A3" sqref="A3"/>
    </sheetView>
  </sheetViews>
  <sheetFormatPr defaultColWidth="9.140625" defaultRowHeight="15" x14ac:dyDescent="0.25"/>
  <cols>
    <col min="1" max="1" width="6.7109375" style="27" customWidth="1"/>
    <col min="2" max="2" width="19.5703125" style="27" customWidth="1"/>
    <col min="3" max="3" width="9.85546875" style="27" customWidth="1"/>
    <col min="4" max="4" width="8.7109375" style="27" customWidth="1"/>
    <col min="5" max="5" width="10.7109375" style="27" customWidth="1"/>
    <col min="6" max="6" width="35" style="135" customWidth="1"/>
    <col min="7" max="7" width="42.42578125" style="28" customWidth="1"/>
    <col min="8" max="8" width="8.28515625" style="112" customWidth="1"/>
    <col min="9" max="9" width="5.85546875" style="112" customWidth="1"/>
    <col min="10" max="10" width="10" style="112" customWidth="1"/>
    <col min="11" max="11" width="7.140625" style="112" customWidth="1"/>
    <col min="12" max="12" width="9.28515625" style="112" customWidth="1"/>
    <col min="13" max="13" width="8.85546875" style="113" customWidth="1"/>
    <col min="14" max="14" width="12.7109375" style="113" customWidth="1"/>
    <col min="15" max="15" width="9.5703125" style="27" customWidth="1"/>
    <col min="16" max="16" width="13.7109375" style="235" customWidth="1"/>
    <col min="17" max="17" width="13.28515625" style="241" customWidth="1"/>
    <col min="18" max="18" width="12.85546875" style="29" customWidth="1"/>
    <col min="19" max="19" width="12.7109375" style="29" customWidth="1"/>
    <col min="20" max="20" width="10.85546875" style="153" customWidth="1"/>
    <col min="21" max="21" width="28.140625" style="28" customWidth="1"/>
    <col min="22" max="22" width="24" style="28" customWidth="1"/>
    <col min="23" max="23" width="11.42578125" style="29" customWidth="1"/>
    <col min="24" max="24" width="10.28515625" style="157" customWidth="1"/>
    <col min="25" max="25" width="13.5703125" style="248" customWidth="1"/>
    <col min="26" max="26" width="13.7109375" style="249" customWidth="1"/>
    <col min="27" max="27" width="11.28515625" style="29" customWidth="1"/>
    <col min="28" max="28" width="10.42578125" style="160" customWidth="1"/>
    <col min="29" max="29" width="11.85546875" style="161" customWidth="1"/>
    <col min="30" max="34" width="9.140625" style="13"/>
    <col min="35" max="35" width="15.140625" style="14" bestFit="1" customWidth="1"/>
    <col min="36" max="36" width="18.140625" style="14" bestFit="1" customWidth="1"/>
    <col min="37" max="16384" width="9.140625" style="13"/>
  </cols>
  <sheetData>
    <row r="1" spans="1:60" ht="18" customHeight="1" thickTop="1" thickBot="1" x14ac:dyDescent="0.3">
      <c r="A1" s="145"/>
      <c r="B1" s="141"/>
      <c r="C1" s="141"/>
      <c r="D1" s="141"/>
      <c r="E1" s="141"/>
      <c r="F1" s="142" t="s">
        <v>28</v>
      </c>
      <c r="G1" s="141"/>
      <c r="H1" s="141"/>
      <c r="I1" s="141"/>
      <c r="J1" s="141"/>
      <c r="K1" s="141"/>
      <c r="L1" s="141"/>
      <c r="M1" s="141"/>
      <c r="N1" s="141"/>
      <c r="O1" s="146"/>
      <c r="P1" s="230"/>
      <c r="Q1" s="236"/>
      <c r="R1" s="1"/>
      <c r="S1" s="144" t="s">
        <v>29</v>
      </c>
      <c r="T1" s="152"/>
      <c r="U1" s="143"/>
      <c r="V1" s="147" t="s">
        <v>642</v>
      </c>
      <c r="W1" s="106"/>
      <c r="X1" s="194"/>
      <c r="Y1" s="242"/>
      <c r="Z1" s="243"/>
      <c r="AA1" s="195" t="s">
        <v>30</v>
      </c>
      <c r="AB1" s="158"/>
      <c r="AC1" s="159"/>
    </row>
    <row r="2" spans="1:60" s="6" customFormat="1" ht="123.6" customHeight="1" thickTop="1" thickBot="1" x14ac:dyDescent="0.3">
      <c r="A2" s="162" t="s">
        <v>0</v>
      </c>
      <c r="B2" s="129" t="s">
        <v>562</v>
      </c>
      <c r="C2" s="148" t="s">
        <v>566</v>
      </c>
      <c r="D2" s="149" t="s">
        <v>563</v>
      </c>
      <c r="E2" s="149" t="s">
        <v>565</v>
      </c>
      <c r="F2" s="149" t="s">
        <v>575</v>
      </c>
      <c r="G2" s="149" t="s">
        <v>567</v>
      </c>
      <c r="H2" s="129" t="s">
        <v>568</v>
      </c>
      <c r="I2" s="129" t="s">
        <v>569</v>
      </c>
      <c r="J2" s="129" t="s">
        <v>570</v>
      </c>
      <c r="K2" s="129" t="s">
        <v>571</v>
      </c>
      <c r="L2" s="129" t="s">
        <v>572</v>
      </c>
      <c r="M2" s="163" t="s">
        <v>573</v>
      </c>
      <c r="N2" s="149" t="s">
        <v>574</v>
      </c>
      <c r="O2" s="129" t="s">
        <v>558</v>
      </c>
      <c r="P2" s="231" t="s">
        <v>649</v>
      </c>
      <c r="Q2" s="237" t="s">
        <v>650</v>
      </c>
      <c r="R2" s="150" t="s">
        <v>2</v>
      </c>
      <c r="S2" s="151" t="s">
        <v>645</v>
      </c>
      <c r="T2" s="2" t="s">
        <v>33</v>
      </c>
      <c r="U2" s="154" t="s">
        <v>1</v>
      </c>
      <c r="V2" s="155" t="s">
        <v>26</v>
      </c>
      <c r="W2" s="156" t="s">
        <v>644</v>
      </c>
      <c r="X2" s="3" t="s">
        <v>34</v>
      </c>
      <c r="Y2" s="244" t="s">
        <v>689</v>
      </c>
      <c r="Z2" s="245" t="s">
        <v>651</v>
      </c>
      <c r="AA2" s="196" t="s">
        <v>20</v>
      </c>
      <c r="AB2" s="4" t="s">
        <v>35</v>
      </c>
      <c r="AC2" s="5" t="s">
        <v>21</v>
      </c>
      <c r="AI2" s="7" t="s">
        <v>9</v>
      </c>
      <c r="AJ2" s="7" t="s">
        <v>8</v>
      </c>
    </row>
    <row r="3" spans="1:60" ht="20.100000000000001" customHeight="1" thickTop="1" x14ac:dyDescent="0.25">
      <c r="A3" s="16"/>
      <c r="B3" s="108"/>
      <c r="C3" s="109"/>
      <c r="D3" s="109"/>
      <c r="E3" s="109"/>
      <c r="F3" s="17"/>
      <c r="G3" s="17"/>
      <c r="H3" s="108"/>
      <c r="I3" s="107"/>
      <c r="J3" s="108"/>
      <c r="K3" s="107"/>
      <c r="L3" s="108"/>
      <c r="M3" s="110"/>
      <c r="N3" s="109"/>
      <c r="O3" s="108"/>
      <c r="P3" s="232"/>
      <c r="Q3" s="238"/>
      <c r="R3" s="19"/>
      <c r="S3" s="20"/>
      <c r="T3" s="9" t="str">
        <f>IF(ISBLANK(R3)," ",((ROUND(S3,2)-(ROUND(R3,2)))/(ROUND(R3,2))))</f>
        <v xml:space="preserve"> </v>
      </c>
      <c r="U3" s="18"/>
      <c r="V3" s="21"/>
      <c r="W3" s="10"/>
      <c r="X3" s="197" t="str">
        <f>IF(ISBLANK(R3)," ",((ROUND(W3,2))-(ROUND(R3,2)))/(ROUND(R3,2)))</f>
        <v xml:space="preserve"> </v>
      </c>
      <c r="Y3" s="246"/>
      <c r="Z3" s="247"/>
      <c r="AA3" s="8"/>
      <c r="AB3" s="11" t="str">
        <f>IF(ISBLANK(R3)," ",((ROUND(AA3,2))-(ROUND(R3,2)))/(ROUND(R3,2)))</f>
        <v xml:space="preserve"> </v>
      </c>
      <c r="AC3" s="12" t="str">
        <f>IF(ISBLANK(AA3)," ",(ROUND(AA3,2)/0.995))</f>
        <v xml:space="preserve"> </v>
      </c>
      <c r="AI3" s="14" t="str">
        <f>IF(W3&lt;=S3,"TC Better Price","MFC Better Price")</f>
        <v>TC Better Price</v>
      </c>
      <c r="AJ3" s="14" t="str">
        <f>IF(W3=0,"",(#REF!/W3))</f>
        <v/>
      </c>
      <c r="BH3" s="15"/>
    </row>
    <row r="4" spans="1:60" ht="20.100000000000001" customHeight="1" x14ac:dyDescent="0.25">
      <c r="A4" s="16"/>
      <c r="B4" s="108"/>
      <c r="C4" s="109"/>
      <c r="D4" s="109"/>
      <c r="E4" s="109"/>
      <c r="F4" s="17"/>
      <c r="G4" s="17"/>
      <c r="H4" s="108"/>
      <c r="I4" s="107"/>
      <c r="J4" s="108"/>
      <c r="K4" s="107"/>
      <c r="L4" s="108"/>
      <c r="M4" s="110"/>
      <c r="N4" s="109"/>
      <c r="O4" s="108"/>
      <c r="P4" s="233"/>
      <c r="Q4" s="239"/>
      <c r="R4" s="19"/>
      <c r="S4" s="20"/>
      <c r="T4" s="9" t="str">
        <f t="shared" ref="T4:T67" si="0">IF(ISBLANK(R4)," ",((ROUND(S4,2)-(ROUND(R4,2)))/(ROUND(R4,2))))</f>
        <v xml:space="preserve"> </v>
      </c>
      <c r="U4" s="18"/>
      <c r="V4" s="21"/>
      <c r="W4" s="22"/>
      <c r="X4" s="197" t="str">
        <f t="shared" ref="X4:X67" si="1">IF(ISBLANK(R4)," ",((ROUND(W4,2))-(ROUND(R4,2)))/(ROUND(R4,2)))</f>
        <v xml:space="preserve"> </v>
      </c>
      <c r="Y4" s="246"/>
      <c r="Z4" s="247"/>
      <c r="AA4" s="20"/>
      <c r="AB4" s="11" t="str">
        <f t="shared" ref="AB4:AB67" si="2">IF(ISBLANK(R4)," ",((ROUND(AA4,2))-(ROUND(R4,2)))/(ROUND(R4,2)))</f>
        <v xml:space="preserve"> </v>
      </c>
      <c r="AC4" s="12" t="str">
        <f t="shared" ref="AC4:AC67" si="3">IF(ISBLANK(AA4)," ",(ROUND(AA4,2)/0.995))</f>
        <v xml:space="preserve"> </v>
      </c>
      <c r="AD4" s="23" t="s">
        <v>3</v>
      </c>
      <c r="AI4" s="14" t="str">
        <f t="shared" ref="AI4:AI66" si="4">IF(W4&lt;=S4,"TC Better Price","MFC Better Price")</f>
        <v>TC Better Price</v>
      </c>
      <c r="AJ4" s="14" t="str">
        <f>IF(W4=0,"",(#REF!/W4))</f>
        <v/>
      </c>
      <c r="BH4" s="15"/>
    </row>
    <row r="5" spans="1:60" ht="20.100000000000001" customHeight="1" x14ac:dyDescent="0.25">
      <c r="A5" s="16"/>
      <c r="B5" s="108"/>
      <c r="C5" s="109"/>
      <c r="D5" s="109"/>
      <c r="E5" s="109"/>
      <c r="F5" s="17"/>
      <c r="G5" s="17"/>
      <c r="H5" s="108"/>
      <c r="I5" s="107"/>
      <c r="J5" s="108"/>
      <c r="K5" s="107"/>
      <c r="L5" s="108"/>
      <c r="M5" s="110"/>
      <c r="N5" s="109"/>
      <c r="O5" s="108"/>
      <c r="P5" s="233"/>
      <c r="Q5" s="239"/>
      <c r="R5" s="19"/>
      <c r="S5" s="20"/>
      <c r="T5" s="9" t="str">
        <f t="shared" si="0"/>
        <v xml:space="preserve"> </v>
      </c>
      <c r="U5" s="18"/>
      <c r="V5" s="21"/>
      <c r="W5" s="22"/>
      <c r="X5" s="197" t="str">
        <f t="shared" si="1"/>
        <v xml:space="preserve"> </v>
      </c>
      <c r="Y5" s="246"/>
      <c r="Z5" s="247"/>
      <c r="AA5" s="20"/>
      <c r="AB5" s="11" t="str">
        <f t="shared" si="2"/>
        <v xml:space="preserve"> </v>
      </c>
      <c r="AC5" s="12" t="str">
        <f t="shared" si="3"/>
        <v xml:space="preserve"> </v>
      </c>
      <c r="AD5" s="23" t="s">
        <v>4</v>
      </c>
      <c r="AI5" s="14" t="str">
        <f t="shared" si="4"/>
        <v>TC Better Price</v>
      </c>
      <c r="AJ5" s="14" t="str">
        <f>IF(W5=0,"",(#REF!/W5))</f>
        <v/>
      </c>
      <c r="BH5" s="15"/>
    </row>
    <row r="6" spans="1:60" ht="20.100000000000001" customHeight="1" x14ac:dyDescent="0.25">
      <c r="A6" s="16"/>
      <c r="B6" s="108"/>
      <c r="C6" s="109"/>
      <c r="D6" s="109"/>
      <c r="E6" s="109"/>
      <c r="F6" s="17"/>
      <c r="G6" s="17"/>
      <c r="H6" s="108"/>
      <c r="I6" s="107"/>
      <c r="J6" s="108"/>
      <c r="K6" s="107"/>
      <c r="L6" s="108"/>
      <c r="M6" s="110"/>
      <c r="N6" s="109"/>
      <c r="O6" s="108"/>
      <c r="P6" s="233"/>
      <c r="Q6" s="239"/>
      <c r="R6" s="19"/>
      <c r="S6" s="20"/>
      <c r="T6" s="9" t="str">
        <f t="shared" si="0"/>
        <v xml:space="preserve"> </v>
      </c>
      <c r="U6" s="18"/>
      <c r="V6" s="21"/>
      <c r="W6" s="22"/>
      <c r="X6" s="197" t="str">
        <f t="shared" si="1"/>
        <v xml:space="preserve"> </v>
      </c>
      <c r="Y6" s="246"/>
      <c r="Z6" s="247"/>
      <c r="AA6" s="20"/>
      <c r="AB6" s="11" t="str">
        <f t="shared" si="2"/>
        <v xml:space="preserve"> </v>
      </c>
      <c r="AC6" s="12" t="str">
        <f t="shared" si="3"/>
        <v xml:space="preserve"> </v>
      </c>
      <c r="AD6" s="23" t="s">
        <v>5</v>
      </c>
      <c r="AI6" s="14" t="str">
        <f t="shared" si="4"/>
        <v>TC Better Price</v>
      </c>
      <c r="AJ6" s="14" t="str">
        <f>IF(W6=0,"",(#REF!/W6))</f>
        <v/>
      </c>
      <c r="BH6" s="15"/>
    </row>
    <row r="7" spans="1:60" ht="20.100000000000001" customHeight="1" x14ac:dyDescent="0.25">
      <c r="A7" s="16"/>
      <c r="B7" s="108"/>
      <c r="C7" s="109"/>
      <c r="D7" s="109"/>
      <c r="E7" s="109"/>
      <c r="F7" s="17"/>
      <c r="G7" s="17"/>
      <c r="H7" s="108"/>
      <c r="I7" s="107"/>
      <c r="J7" s="108"/>
      <c r="K7" s="107"/>
      <c r="L7" s="108"/>
      <c r="M7" s="110"/>
      <c r="N7" s="109"/>
      <c r="O7" s="108"/>
      <c r="P7" s="233"/>
      <c r="Q7" s="239"/>
      <c r="R7" s="19"/>
      <c r="S7" s="20"/>
      <c r="T7" s="9" t="str">
        <f t="shared" si="0"/>
        <v xml:space="preserve"> </v>
      </c>
      <c r="U7" s="18"/>
      <c r="V7" s="21"/>
      <c r="W7" s="22"/>
      <c r="X7" s="197" t="str">
        <f t="shared" si="1"/>
        <v xml:space="preserve"> </v>
      </c>
      <c r="Y7" s="246"/>
      <c r="Z7" s="247"/>
      <c r="AA7" s="20"/>
      <c r="AB7" s="11" t="str">
        <f t="shared" si="2"/>
        <v xml:space="preserve"> </v>
      </c>
      <c r="AC7" s="12" t="str">
        <f t="shared" si="3"/>
        <v xml:space="preserve"> </v>
      </c>
      <c r="AD7" s="23" t="s">
        <v>6</v>
      </c>
      <c r="AI7" s="14" t="str">
        <f t="shared" si="4"/>
        <v>TC Better Price</v>
      </c>
      <c r="AJ7" s="14" t="str">
        <f>IF(W7=0,"",(#REF!/W7))</f>
        <v/>
      </c>
      <c r="AP7" s="139"/>
      <c r="AQ7" s="140" t="s">
        <v>61</v>
      </c>
      <c r="AR7" s="140" t="s">
        <v>579</v>
      </c>
      <c r="BH7" s="15"/>
    </row>
    <row r="8" spans="1:60" ht="20.100000000000001" customHeight="1" x14ac:dyDescent="0.25">
      <c r="A8" s="16"/>
      <c r="B8" s="108"/>
      <c r="C8" s="109"/>
      <c r="D8" s="109"/>
      <c r="E8" s="109"/>
      <c r="F8" s="17"/>
      <c r="G8" s="17"/>
      <c r="H8" s="108"/>
      <c r="I8" s="107"/>
      <c r="J8" s="108"/>
      <c r="K8" s="107"/>
      <c r="L8" s="108"/>
      <c r="M8" s="110"/>
      <c r="N8" s="109"/>
      <c r="O8" s="108"/>
      <c r="P8" s="233"/>
      <c r="Q8" s="239"/>
      <c r="R8" s="19"/>
      <c r="S8" s="20"/>
      <c r="T8" s="9" t="str">
        <f t="shared" si="0"/>
        <v xml:space="preserve"> </v>
      </c>
      <c r="U8" s="18"/>
      <c r="V8" s="21"/>
      <c r="W8" s="22"/>
      <c r="X8" s="197" t="str">
        <f t="shared" si="1"/>
        <v xml:space="preserve"> </v>
      </c>
      <c r="Y8" s="246"/>
      <c r="Z8" s="247"/>
      <c r="AA8" s="20"/>
      <c r="AB8" s="11" t="str">
        <f t="shared" si="2"/>
        <v xml:space="preserve"> </v>
      </c>
      <c r="AC8" s="12" t="str">
        <f t="shared" si="3"/>
        <v xml:space="preserve"> </v>
      </c>
      <c r="AD8" s="23">
        <v>622</v>
      </c>
      <c r="AI8" s="14" t="str">
        <f t="shared" si="4"/>
        <v>TC Better Price</v>
      </c>
      <c r="AJ8" s="14" t="str">
        <f>IF(W8=0,"",(#REF!/W8))</f>
        <v/>
      </c>
      <c r="AP8" s="139" t="s">
        <v>4</v>
      </c>
      <c r="AQ8" s="140" t="s">
        <v>113</v>
      </c>
      <c r="AR8" s="140" t="s">
        <v>582</v>
      </c>
      <c r="BH8" s="15"/>
    </row>
    <row r="9" spans="1:60" ht="20.100000000000001" customHeight="1" x14ac:dyDescent="0.25">
      <c r="A9" s="16"/>
      <c r="B9" s="108"/>
      <c r="C9" s="109"/>
      <c r="D9" s="109"/>
      <c r="E9" s="109"/>
      <c r="F9" s="17"/>
      <c r="G9" s="17"/>
      <c r="H9" s="108"/>
      <c r="I9" s="107"/>
      <c r="J9" s="108"/>
      <c r="K9" s="107"/>
      <c r="L9" s="108"/>
      <c r="M9" s="110"/>
      <c r="N9" s="109"/>
      <c r="O9" s="108"/>
      <c r="P9" s="233"/>
      <c r="Q9" s="239"/>
      <c r="R9" s="19"/>
      <c r="S9" s="20"/>
      <c r="T9" s="9" t="str">
        <f t="shared" si="0"/>
        <v xml:space="preserve"> </v>
      </c>
      <c r="U9" s="18"/>
      <c r="V9" s="21"/>
      <c r="W9" s="22"/>
      <c r="X9" s="197" t="str">
        <f>IF(ISBLANK(R9)," ",((ROUND(W9,2))-(ROUND(R9,2)))/(ROUND(R9,2)))</f>
        <v xml:space="preserve"> </v>
      </c>
      <c r="Y9" s="246"/>
      <c r="Z9" s="247"/>
      <c r="AA9" s="20"/>
      <c r="AB9" s="11" t="str">
        <f t="shared" si="2"/>
        <v xml:space="preserve"> </v>
      </c>
      <c r="AC9" s="12" t="str">
        <f t="shared" si="3"/>
        <v xml:space="preserve"> </v>
      </c>
      <c r="AD9" s="23" t="s">
        <v>7</v>
      </c>
      <c r="AI9" s="14" t="str">
        <f>IF(W9&lt;=S9,"TC Better Price","MFC Better Price")</f>
        <v>TC Better Price</v>
      </c>
      <c r="AJ9" s="14" t="str">
        <f>IF(W9=0,"",(#REF!/W9))</f>
        <v/>
      </c>
      <c r="AP9" s="139" t="s">
        <v>3</v>
      </c>
      <c r="AQ9" s="140" t="s">
        <v>91</v>
      </c>
      <c r="AR9" s="140" t="s">
        <v>226</v>
      </c>
      <c r="BH9" s="15"/>
    </row>
    <row r="10" spans="1:60" ht="20.100000000000001" customHeight="1" x14ac:dyDescent="0.25">
      <c r="A10" s="16"/>
      <c r="B10" s="108"/>
      <c r="C10" s="109"/>
      <c r="D10" s="109"/>
      <c r="E10" s="109"/>
      <c r="F10" s="17"/>
      <c r="G10" s="17"/>
      <c r="H10" s="108"/>
      <c r="I10" s="107"/>
      <c r="J10" s="108"/>
      <c r="K10" s="107"/>
      <c r="L10" s="108"/>
      <c r="M10" s="110"/>
      <c r="N10" s="109"/>
      <c r="O10" s="108"/>
      <c r="P10" s="233"/>
      <c r="Q10" s="239"/>
      <c r="R10" s="19"/>
      <c r="S10" s="20"/>
      <c r="T10" s="9" t="str">
        <f t="shared" si="0"/>
        <v xml:space="preserve"> </v>
      </c>
      <c r="U10" s="18"/>
      <c r="V10" s="21"/>
      <c r="W10" s="22"/>
      <c r="X10" s="197" t="str">
        <f t="shared" si="1"/>
        <v xml:space="preserve"> </v>
      </c>
      <c r="Y10" s="246"/>
      <c r="Z10" s="247"/>
      <c r="AA10" s="20"/>
      <c r="AB10" s="11" t="str">
        <f t="shared" si="2"/>
        <v xml:space="preserve"> </v>
      </c>
      <c r="AC10" s="12" t="str">
        <f t="shared" si="3"/>
        <v xml:space="preserve"> </v>
      </c>
      <c r="AI10" s="14" t="str">
        <f t="shared" si="4"/>
        <v>TC Better Price</v>
      </c>
      <c r="AJ10" s="14" t="str">
        <f>IF(W10=0,"",(#REF!/W10))</f>
        <v/>
      </c>
      <c r="AP10" s="139" t="s">
        <v>5</v>
      </c>
      <c r="AQ10" s="140" t="s">
        <v>586</v>
      </c>
      <c r="AR10" s="140" t="s">
        <v>260</v>
      </c>
    </row>
    <row r="11" spans="1:60" ht="20.100000000000001" customHeight="1" x14ac:dyDescent="0.25">
      <c r="A11" s="16"/>
      <c r="B11" s="108"/>
      <c r="C11" s="109"/>
      <c r="D11" s="109"/>
      <c r="E11" s="109"/>
      <c r="F11" s="17"/>
      <c r="G11" s="17"/>
      <c r="H11" s="108"/>
      <c r="I11" s="107"/>
      <c r="J11" s="108"/>
      <c r="K11" s="107"/>
      <c r="L11" s="108"/>
      <c r="M11" s="110"/>
      <c r="N11" s="109"/>
      <c r="O11" s="108"/>
      <c r="P11" s="233"/>
      <c r="Q11" s="239"/>
      <c r="R11" s="19"/>
      <c r="S11" s="20"/>
      <c r="T11" s="9" t="str">
        <f t="shared" si="0"/>
        <v xml:space="preserve"> </v>
      </c>
      <c r="U11" s="18"/>
      <c r="V11" s="21"/>
      <c r="W11" s="22"/>
      <c r="X11" s="197" t="str">
        <f t="shared" si="1"/>
        <v xml:space="preserve"> </v>
      </c>
      <c r="Y11" s="246"/>
      <c r="Z11" s="247"/>
      <c r="AA11" s="20"/>
      <c r="AB11" s="11" t="str">
        <f t="shared" si="2"/>
        <v xml:space="preserve"> </v>
      </c>
      <c r="AC11" s="12" t="str">
        <f t="shared" si="3"/>
        <v xml:space="preserve"> </v>
      </c>
      <c r="AI11" s="14" t="str">
        <f t="shared" si="4"/>
        <v>TC Better Price</v>
      </c>
      <c r="AJ11" s="14" t="str">
        <f>IF(W11=0,"",(#REF!/W11))</f>
        <v/>
      </c>
      <c r="AP11" s="139" t="s">
        <v>6</v>
      </c>
      <c r="AQ11" s="140" t="s">
        <v>127</v>
      </c>
      <c r="AR11" s="140" t="s">
        <v>308</v>
      </c>
    </row>
    <row r="12" spans="1:60" ht="20.100000000000001" customHeight="1" x14ac:dyDescent="0.25">
      <c r="A12" s="16"/>
      <c r="B12" s="108"/>
      <c r="C12" s="109"/>
      <c r="D12" s="109"/>
      <c r="E12" s="109"/>
      <c r="F12" s="17"/>
      <c r="G12" s="17"/>
      <c r="H12" s="108"/>
      <c r="I12" s="107"/>
      <c r="J12" s="108"/>
      <c r="K12" s="107"/>
      <c r="L12" s="108"/>
      <c r="M12" s="110"/>
      <c r="N12" s="109"/>
      <c r="O12" s="108"/>
      <c r="P12" s="233"/>
      <c r="Q12" s="239"/>
      <c r="R12" s="19"/>
      <c r="S12" s="20"/>
      <c r="T12" s="9" t="str">
        <f t="shared" si="0"/>
        <v xml:space="preserve"> </v>
      </c>
      <c r="U12" s="18"/>
      <c r="V12" s="21"/>
      <c r="W12" s="22"/>
      <c r="X12" s="197" t="str">
        <f t="shared" si="1"/>
        <v xml:space="preserve"> </v>
      </c>
      <c r="Y12" s="246"/>
      <c r="Z12" s="247"/>
      <c r="AA12" s="20"/>
      <c r="AB12" s="11" t="str">
        <f t="shared" si="2"/>
        <v xml:space="preserve"> </v>
      </c>
      <c r="AC12" s="12" t="str">
        <f t="shared" si="3"/>
        <v xml:space="preserve"> </v>
      </c>
      <c r="AI12" s="14" t="str">
        <f t="shared" si="4"/>
        <v>TC Better Price</v>
      </c>
      <c r="AJ12" s="14" t="str">
        <f>IF(W12=0,"",(#REF!/W12))</f>
        <v/>
      </c>
      <c r="AP12" s="139">
        <v>622</v>
      </c>
      <c r="AQ12" s="140" t="s">
        <v>484</v>
      </c>
      <c r="AR12" s="140" t="s">
        <v>322</v>
      </c>
    </row>
    <row r="13" spans="1:60" ht="20.100000000000001" customHeight="1" x14ac:dyDescent="0.25">
      <c r="A13" s="16"/>
      <c r="B13" s="108"/>
      <c r="C13" s="109"/>
      <c r="D13" s="109"/>
      <c r="E13" s="109"/>
      <c r="F13" s="17"/>
      <c r="G13" s="17"/>
      <c r="H13" s="108"/>
      <c r="I13" s="107"/>
      <c r="J13" s="108"/>
      <c r="K13" s="107"/>
      <c r="L13" s="108"/>
      <c r="M13" s="110"/>
      <c r="N13" s="109"/>
      <c r="O13" s="108"/>
      <c r="P13" s="233"/>
      <c r="Q13" s="239"/>
      <c r="R13" s="19"/>
      <c r="S13" s="20"/>
      <c r="T13" s="9" t="str">
        <f t="shared" si="0"/>
        <v xml:space="preserve"> </v>
      </c>
      <c r="U13" s="18"/>
      <c r="V13" s="21"/>
      <c r="W13" s="22"/>
      <c r="X13" s="197" t="str">
        <f t="shared" si="1"/>
        <v xml:space="preserve"> </v>
      </c>
      <c r="Y13" s="246"/>
      <c r="Z13" s="247"/>
      <c r="AA13" s="20"/>
      <c r="AB13" s="11" t="str">
        <f t="shared" si="2"/>
        <v xml:space="preserve"> </v>
      </c>
      <c r="AC13" s="12" t="str">
        <f t="shared" si="3"/>
        <v xml:space="preserve"> </v>
      </c>
      <c r="AI13" s="14" t="str">
        <f t="shared" si="4"/>
        <v>TC Better Price</v>
      </c>
      <c r="AJ13" s="14" t="str">
        <f>IF(W13=0,"",(#REF!/W13))</f>
        <v/>
      </c>
      <c r="AP13" s="139" t="s">
        <v>7</v>
      </c>
      <c r="AQ13" s="140" t="s">
        <v>137</v>
      </c>
    </row>
    <row r="14" spans="1:60" ht="20.100000000000001" customHeight="1" x14ac:dyDescent="0.25">
      <c r="A14" s="16"/>
      <c r="B14" s="108"/>
      <c r="C14" s="109"/>
      <c r="D14" s="109"/>
      <c r="E14" s="109"/>
      <c r="F14" s="17"/>
      <c r="G14" s="17"/>
      <c r="H14" s="108"/>
      <c r="I14" s="107"/>
      <c r="J14" s="108"/>
      <c r="K14" s="107"/>
      <c r="L14" s="108"/>
      <c r="M14" s="110"/>
      <c r="N14" s="109"/>
      <c r="O14" s="108"/>
      <c r="P14" s="233"/>
      <c r="Q14" s="239"/>
      <c r="R14" s="19"/>
      <c r="S14" s="20"/>
      <c r="T14" s="9" t="str">
        <f t="shared" si="0"/>
        <v xml:space="preserve"> </v>
      </c>
      <c r="U14" s="18"/>
      <c r="V14" s="21"/>
      <c r="W14" s="22"/>
      <c r="X14" s="197" t="str">
        <f t="shared" si="1"/>
        <v xml:space="preserve"> </v>
      </c>
      <c r="Y14" s="246"/>
      <c r="Z14" s="247"/>
      <c r="AA14" s="20"/>
      <c r="AB14" s="11" t="str">
        <f t="shared" si="2"/>
        <v xml:space="preserve"> </v>
      </c>
      <c r="AC14" s="12" t="str">
        <f t="shared" si="3"/>
        <v xml:space="preserve"> </v>
      </c>
      <c r="AI14" s="14" t="str">
        <f t="shared" si="4"/>
        <v>TC Better Price</v>
      </c>
      <c r="AJ14" s="14" t="str">
        <f>IF(W14=0,"",(#REF!/W14))</f>
        <v/>
      </c>
      <c r="AQ14" s="140" t="s">
        <v>139</v>
      </c>
    </row>
    <row r="15" spans="1:60" ht="20.100000000000001" customHeight="1" x14ac:dyDescent="0.25">
      <c r="A15" s="16"/>
      <c r="B15" s="108"/>
      <c r="C15" s="109"/>
      <c r="D15" s="109"/>
      <c r="E15" s="109"/>
      <c r="F15" s="17"/>
      <c r="G15" s="17"/>
      <c r="H15" s="108"/>
      <c r="I15" s="107"/>
      <c r="J15" s="108"/>
      <c r="K15" s="107"/>
      <c r="L15" s="108"/>
      <c r="M15" s="110"/>
      <c r="N15" s="109"/>
      <c r="O15" s="108"/>
      <c r="P15" s="233"/>
      <c r="Q15" s="239"/>
      <c r="R15" s="19"/>
      <c r="S15" s="20"/>
      <c r="T15" s="9" t="str">
        <f t="shared" si="0"/>
        <v xml:space="preserve"> </v>
      </c>
      <c r="U15" s="18"/>
      <c r="V15" s="21"/>
      <c r="W15" s="22"/>
      <c r="X15" s="197" t="str">
        <f t="shared" si="1"/>
        <v xml:space="preserve"> </v>
      </c>
      <c r="Y15" s="246"/>
      <c r="Z15" s="247"/>
      <c r="AA15" s="20"/>
      <c r="AB15" s="11" t="str">
        <f t="shared" si="2"/>
        <v xml:space="preserve"> </v>
      </c>
      <c r="AC15" s="12" t="str">
        <f t="shared" si="3"/>
        <v xml:space="preserve"> </v>
      </c>
      <c r="AI15" s="14" t="str">
        <f t="shared" si="4"/>
        <v>TC Better Price</v>
      </c>
      <c r="AJ15" s="14" t="str">
        <f>IF(W15=0,"",(#REF!/W15))</f>
        <v/>
      </c>
      <c r="AQ15" s="140" t="s">
        <v>595</v>
      </c>
    </row>
    <row r="16" spans="1:60" ht="20.100000000000001" customHeight="1" x14ac:dyDescent="0.25">
      <c r="A16" s="16"/>
      <c r="B16" s="108"/>
      <c r="C16" s="109"/>
      <c r="D16" s="109"/>
      <c r="E16" s="109"/>
      <c r="F16" s="17"/>
      <c r="G16" s="17"/>
      <c r="H16" s="108"/>
      <c r="I16" s="107"/>
      <c r="J16" s="108"/>
      <c r="K16" s="107"/>
      <c r="L16" s="108"/>
      <c r="M16" s="110"/>
      <c r="N16" s="109"/>
      <c r="O16" s="108"/>
      <c r="P16" s="233"/>
      <c r="Q16" s="239"/>
      <c r="R16" s="19"/>
      <c r="S16" s="20"/>
      <c r="T16" s="9" t="str">
        <f t="shared" si="0"/>
        <v xml:space="preserve"> </v>
      </c>
      <c r="U16" s="18"/>
      <c r="V16" s="21"/>
      <c r="W16" s="22"/>
      <c r="X16" s="197" t="str">
        <f t="shared" si="1"/>
        <v xml:space="preserve"> </v>
      </c>
      <c r="Y16" s="246"/>
      <c r="Z16" s="247"/>
      <c r="AA16" s="20"/>
      <c r="AB16" s="11" t="str">
        <f t="shared" si="2"/>
        <v xml:space="preserve"> </v>
      </c>
      <c r="AC16" s="12" t="str">
        <f t="shared" si="3"/>
        <v xml:space="preserve"> </v>
      </c>
      <c r="AI16" s="14" t="str">
        <f t="shared" si="4"/>
        <v>TC Better Price</v>
      </c>
      <c r="AJ16" s="14" t="str">
        <f>IF(W16=0,"",(#REF!/W16))</f>
        <v/>
      </c>
      <c r="AQ16" s="140" t="s">
        <v>597</v>
      </c>
    </row>
    <row r="17" spans="1:43" ht="20.100000000000001" customHeight="1" x14ac:dyDescent="0.25">
      <c r="A17" s="16"/>
      <c r="B17" s="108"/>
      <c r="C17" s="109"/>
      <c r="D17" s="109"/>
      <c r="E17" s="109"/>
      <c r="F17" s="17"/>
      <c r="G17" s="17"/>
      <c r="H17" s="108"/>
      <c r="I17" s="107"/>
      <c r="J17" s="108"/>
      <c r="K17" s="107"/>
      <c r="L17" s="108"/>
      <c r="M17" s="110"/>
      <c r="N17" s="109"/>
      <c r="O17" s="108"/>
      <c r="P17" s="233"/>
      <c r="Q17" s="239"/>
      <c r="R17" s="19"/>
      <c r="S17" s="20"/>
      <c r="T17" s="9" t="str">
        <f t="shared" si="0"/>
        <v xml:space="preserve"> </v>
      </c>
      <c r="U17" s="18"/>
      <c r="V17" s="21"/>
      <c r="W17" s="22"/>
      <c r="X17" s="197" t="str">
        <f t="shared" si="1"/>
        <v xml:space="preserve"> </v>
      </c>
      <c r="Y17" s="246"/>
      <c r="Z17" s="247"/>
      <c r="AA17" s="20"/>
      <c r="AB17" s="11" t="str">
        <f t="shared" si="2"/>
        <v xml:space="preserve"> </v>
      </c>
      <c r="AC17" s="12" t="str">
        <f t="shared" si="3"/>
        <v xml:space="preserve"> </v>
      </c>
      <c r="AI17" s="14" t="str">
        <f t="shared" si="4"/>
        <v>TC Better Price</v>
      </c>
      <c r="AJ17" s="14" t="str">
        <f>IF(W17=0,"",(#REF!/W17))</f>
        <v/>
      </c>
      <c r="AQ17" s="140" t="s">
        <v>599</v>
      </c>
    </row>
    <row r="18" spans="1:43" ht="20.100000000000001" customHeight="1" x14ac:dyDescent="0.25">
      <c r="A18" s="16"/>
      <c r="B18" s="108"/>
      <c r="C18" s="109"/>
      <c r="D18" s="109"/>
      <c r="E18" s="109"/>
      <c r="F18" s="17"/>
      <c r="G18" s="17"/>
      <c r="H18" s="108"/>
      <c r="I18" s="107"/>
      <c r="J18" s="108"/>
      <c r="K18" s="107"/>
      <c r="L18" s="108"/>
      <c r="M18" s="110"/>
      <c r="N18" s="109"/>
      <c r="O18" s="108"/>
      <c r="P18" s="233"/>
      <c r="Q18" s="239"/>
      <c r="R18" s="19"/>
      <c r="S18" s="20"/>
      <c r="T18" s="9" t="str">
        <f t="shared" si="0"/>
        <v xml:space="preserve"> </v>
      </c>
      <c r="U18" s="18"/>
      <c r="V18" s="21"/>
      <c r="W18" s="22"/>
      <c r="X18" s="197" t="str">
        <f t="shared" si="1"/>
        <v xml:space="preserve"> </v>
      </c>
      <c r="Y18" s="246"/>
      <c r="Z18" s="247"/>
      <c r="AA18" s="20"/>
      <c r="AB18" s="11" t="str">
        <f t="shared" si="2"/>
        <v xml:space="preserve"> </v>
      </c>
      <c r="AC18" s="12" t="str">
        <f t="shared" si="3"/>
        <v xml:space="preserve"> </v>
      </c>
      <c r="AI18" s="14" t="str">
        <f t="shared" si="4"/>
        <v>TC Better Price</v>
      </c>
      <c r="AJ18" s="14" t="str">
        <f>IF(W18=0,"",(#REF!/W18))</f>
        <v/>
      </c>
      <c r="AQ18" s="140" t="s">
        <v>579</v>
      </c>
    </row>
    <row r="19" spans="1:43" ht="20.100000000000001" customHeight="1" x14ac:dyDescent="0.25">
      <c r="A19" s="16"/>
      <c r="B19" s="108"/>
      <c r="C19" s="109"/>
      <c r="D19" s="109"/>
      <c r="E19" s="109"/>
      <c r="F19" s="17"/>
      <c r="G19" s="17"/>
      <c r="H19" s="108"/>
      <c r="I19" s="107"/>
      <c r="J19" s="108"/>
      <c r="K19" s="107"/>
      <c r="L19" s="108"/>
      <c r="M19" s="110"/>
      <c r="N19" s="109"/>
      <c r="O19" s="108"/>
      <c r="P19" s="233"/>
      <c r="Q19" s="239"/>
      <c r="R19" s="19"/>
      <c r="S19" s="20"/>
      <c r="T19" s="9" t="str">
        <f t="shared" si="0"/>
        <v xml:space="preserve"> </v>
      </c>
      <c r="U19" s="18"/>
      <c r="V19" s="21"/>
      <c r="W19" s="22"/>
      <c r="X19" s="197" t="str">
        <f t="shared" si="1"/>
        <v xml:space="preserve"> </v>
      </c>
      <c r="Y19" s="246"/>
      <c r="Z19" s="247"/>
      <c r="AA19" s="20"/>
      <c r="AB19" s="11" t="str">
        <f t="shared" si="2"/>
        <v xml:space="preserve"> </v>
      </c>
      <c r="AC19" s="12" t="str">
        <f t="shared" si="3"/>
        <v xml:space="preserve"> </v>
      </c>
      <c r="AI19" s="14" t="str">
        <f t="shared" si="4"/>
        <v>TC Better Price</v>
      </c>
      <c r="AJ19" s="14" t="str">
        <f>IF(W19=0,"",(#REF!/W19))</f>
        <v/>
      </c>
      <c r="AQ19" s="140" t="s">
        <v>601</v>
      </c>
    </row>
    <row r="20" spans="1:43" ht="20.100000000000001" customHeight="1" x14ac:dyDescent="0.25">
      <c r="A20" s="16"/>
      <c r="B20" s="108"/>
      <c r="C20" s="109"/>
      <c r="D20" s="109"/>
      <c r="E20" s="109"/>
      <c r="F20" s="17"/>
      <c r="G20" s="17"/>
      <c r="H20" s="108"/>
      <c r="I20" s="107"/>
      <c r="J20" s="108"/>
      <c r="K20" s="107"/>
      <c r="L20" s="108"/>
      <c r="M20" s="110"/>
      <c r="N20" s="109"/>
      <c r="O20" s="108"/>
      <c r="P20" s="233"/>
      <c r="Q20" s="239"/>
      <c r="R20" s="19"/>
      <c r="S20" s="20"/>
      <c r="T20" s="9" t="str">
        <f t="shared" si="0"/>
        <v xml:space="preserve"> </v>
      </c>
      <c r="U20" s="18"/>
      <c r="V20" s="21"/>
      <c r="W20" s="22"/>
      <c r="X20" s="197" t="str">
        <f t="shared" si="1"/>
        <v xml:space="preserve"> </v>
      </c>
      <c r="Y20" s="246"/>
      <c r="Z20" s="247"/>
      <c r="AA20" s="20"/>
      <c r="AB20" s="11" t="str">
        <f t="shared" si="2"/>
        <v xml:space="preserve"> </v>
      </c>
      <c r="AC20" s="12" t="str">
        <f t="shared" si="3"/>
        <v xml:space="preserve"> </v>
      </c>
      <c r="AI20" s="14" t="str">
        <f t="shared" si="4"/>
        <v>TC Better Price</v>
      </c>
      <c r="AJ20" s="14" t="str">
        <f>IF(W20=0,"",(#REF!/W20))</f>
        <v/>
      </c>
      <c r="AQ20" s="140" t="s">
        <v>603</v>
      </c>
    </row>
    <row r="21" spans="1:43" ht="20.100000000000001" customHeight="1" x14ac:dyDescent="0.25">
      <c r="A21" s="16"/>
      <c r="B21" s="108"/>
      <c r="C21" s="109"/>
      <c r="D21" s="109"/>
      <c r="E21" s="109"/>
      <c r="F21" s="17"/>
      <c r="G21" s="17"/>
      <c r="H21" s="108"/>
      <c r="I21" s="107"/>
      <c r="J21" s="108"/>
      <c r="K21" s="107"/>
      <c r="L21" s="108"/>
      <c r="M21" s="110"/>
      <c r="N21" s="109"/>
      <c r="O21" s="108"/>
      <c r="P21" s="233"/>
      <c r="Q21" s="239"/>
      <c r="R21" s="19"/>
      <c r="S21" s="20"/>
      <c r="T21" s="9" t="str">
        <f t="shared" si="0"/>
        <v xml:space="preserve"> </v>
      </c>
      <c r="U21" s="18"/>
      <c r="V21" s="21"/>
      <c r="W21" s="22"/>
      <c r="X21" s="197" t="str">
        <f t="shared" si="1"/>
        <v xml:space="preserve"> </v>
      </c>
      <c r="Y21" s="246"/>
      <c r="Z21" s="247"/>
      <c r="AA21" s="20"/>
      <c r="AB21" s="11" t="str">
        <f t="shared" si="2"/>
        <v xml:space="preserve"> </v>
      </c>
      <c r="AC21" s="12" t="str">
        <f t="shared" si="3"/>
        <v xml:space="preserve"> </v>
      </c>
      <c r="AI21" s="14" t="str">
        <f t="shared" si="4"/>
        <v>TC Better Price</v>
      </c>
      <c r="AJ21" s="14" t="str">
        <f>IF(W21=0,"",(#REF!/W21))</f>
        <v/>
      </c>
      <c r="AQ21" s="140" t="s">
        <v>392</v>
      </c>
    </row>
    <row r="22" spans="1:43" ht="20.100000000000001" customHeight="1" x14ac:dyDescent="0.25">
      <c r="A22" s="16"/>
      <c r="B22" s="108"/>
      <c r="C22" s="109"/>
      <c r="D22" s="109"/>
      <c r="E22" s="109"/>
      <c r="F22" s="17"/>
      <c r="G22" s="17"/>
      <c r="H22" s="108"/>
      <c r="I22" s="107"/>
      <c r="J22" s="108"/>
      <c r="K22" s="107"/>
      <c r="L22" s="108"/>
      <c r="M22" s="110"/>
      <c r="N22" s="109"/>
      <c r="O22" s="108"/>
      <c r="P22" s="233"/>
      <c r="Q22" s="239"/>
      <c r="R22" s="19"/>
      <c r="S22" s="20"/>
      <c r="T22" s="9" t="str">
        <f t="shared" si="0"/>
        <v xml:space="preserve"> </v>
      </c>
      <c r="U22" s="18"/>
      <c r="V22" s="21"/>
      <c r="W22" s="22"/>
      <c r="X22" s="197" t="str">
        <f t="shared" si="1"/>
        <v xml:space="preserve"> </v>
      </c>
      <c r="Y22" s="246"/>
      <c r="Z22" s="247"/>
      <c r="AA22" s="20"/>
      <c r="AB22" s="11" t="str">
        <f t="shared" si="2"/>
        <v xml:space="preserve"> </v>
      </c>
      <c r="AC22" s="12" t="str">
        <f t="shared" si="3"/>
        <v xml:space="preserve"> </v>
      </c>
      <c r="AI22" s="14" t="str">
        <f t="shared" si="4"/>
        <v>TC Better Price</v>
      </c>
      <c r="AJ22" s="14" t="str">
        <f>IF(W22=0,"",(#REF!/W22))</f>
        <v/>
      </c>
      <c r="AQ22" s="140" t="s">
        <v>606</v>
      </c>
    </row>
    <row r="23" spans="1:43" ht="20.100000000000001" customHeight="1" x14ac:dyDescent="0.25">
      <c r="A23" s="16"/>
      <c r="B23" s="108"/>
      <c r="C23" s="109"/>
      <c r="D23" s="109"/>
      <c r="E23" s="109"/>
      <c r="F23" s="17"/>
      <c r="G23" s="17"/>
      <c r="H23" s="108"/>
      <c r="I23" s="107"/>
      <c r="J23" s="108"/>
      <c r="K23" s="107"/>
      <c r="L23" s="108"/>
      <c r="M23" s="110"/>
      <c r="N23" s="109"/>
      <c r="O23" s="108"/>
      <c r="P23" s="233"/>
      <c r="Q23" s="239"/>
      <c r="R23" s="19"/>
      <c r="S23" s="20"/>
      <c r="T23" s="9" t="str">
        <f t="shared" si="0"/>
        <v xml:space="preserve"> </v>
      </c>
      <c r="U23" s="18"/>
      <c r="V23" s="21"/>
      <c r="W23" s="22"/>
      <c r="X23" s="197" t="str">
        <f t="shared" si="1"/>
        <v xml:space="preserve"> </v>
      </c>
      <c r="Y23" s="246"/>
      <c r="Z23" s="247"/>
      <c r="AA23" s="20"/>
      <c r="AB23" s="11" t="str">
        <f t="shared" si="2"/>
        <v xml:space="preserve"> </v>
      </c>
      <c r="AC23" s="12" t="str">
        <f t="shared" si="3"/>
        <v xml:space="preserve"> </v>
      </c>
      <c r="AI23" s="14" t="str">
        <f t="shared" si="4"/>
        <v>TC Better Price</v>
      </c>
      <c r="AJ23" s="14" t="str">
        <f>IF(W23=0,"",(#REF!/W23))</f>
        <v/>
      </c>
      <c r="AQ23" s="140" t="s">
        <v>608</v>
      </c>
    </row>
    <row r="24" spans="1:43" ht="20.100000000000001" customHeight="1" x14ac:dyDescent="0.25">
      <c r="A24" s="16"/>
      <c r="B24" s="108"/>
      <c r="C24" s="109"/>
      <c r="D24" s="109"/>
      <c r="E24" s="109"/>
      <c r="F24" s="17"/>
      <c r="G24" s="17"/>
      <c r="H24" s="108"/>
      <c r="I24" s="107"/>
      <c r="J24" s="108"/>
      <c r="K24" s="107"/>
      <c r="L24" s="108"/>
      <c r="M24" s="110"/>
      <c r="N24" s="109"/>
      <c r="O24" s="108"/>
      <c r="P24" s="233"/>
      <c r="Q24" s="239"/>
      <c r="R24" s="19"/>
      <c r="S24" s="20"/>
      <c r="T24" s="9" t="str">
        <f t="shared" si="0"/>
        <v xml:space="preserve"> </v>
      </c>
      <c r="U24" s="18"/>
      <c r="V24" s="21"/>
      <c r="W24" s="22"/>
      <c r="X24" s="197" t="str">
        <f t="shared" si="1"/>
        <v xml:space="preserve"> </v>
      </c>
      <c r="Y24" s="246"/>
      <c r="Z24" s="247"/>
      <c r="AA24" s="20"/>
      <c r="AB24" s="11" t="str">
        <f t="shared" si="2"/>
        <v xml:space="preserve"> </v>
      </c>
      <c r="AC24" s="12" t="str">
        <f t="shared" si="3"/>
        <v xml:space="preserve"> </v>
      </c>
      <c r="AI24" s="14" t="str">
        <f t="shared" si="4"/>
        <v>TC Better Price</v>
      </c>
      <c r="AJ24" s="14" t="str">
        <f>IF(W24=0,"",(#REF!/W24))</f>
        <v/>
      </c>
      <c r="AQ24" s="140" t="s">
        <v>540</v>
      </c>
    </row>
    <row r="25" spans="1:43" ht="20.100000000000001" customHeight="1" x14ac:dyDescent="0.25">
      <c r="A25" s="16"/>
      <c r="B25" s="108"/>
      <c r="C25" s="109"/>
      <c r="D25" s="109"/>
      <c r="E25" s="109"/>
      <c r="F25" s="17"/>
      <c r="G25" s="17"/>
      <c r="H25" s="108"/>
      <c r="I25" s="107"/>
      <c r="J25" s="108"/>
      <c r="K25" s="107"/>
      <c r="L25" s="108"/>
      <c r="M25" s="110"/>
      <c r="N25" s="109"/>
      <c r="O25" s="108"/>
      <c r="P25" s="233"/>
      <c r="Q25" s="239"/>
      <c r="R25" s="19"/>
      <c r="S25" s="20"/>
      <c r="T25" s="9" t="str">
        <f t="shared" si="0"/>
        <v xml:space="preserve"> </v>
      </c>
      <c r="U25" s="18"/>
      <c r="V25" s="21"/>
      <c r="W25" s="22"/>
      <c r="X25" s="197" t="str">
        <f t="shared" si="1"/>
        <v xml:space="preserve"> </v>
      </c>
      <c r="Y25" s="246"/>
      <c r="Z25" s="247"/>
      <c r="AA25" s="20"/>
      <c r="AB25" s="11" t="str">
        <f t="shared" si="2"/>
        <v xml:space="preserve"> </v>
      </c>
      <c r="AC25" s="12" t="str">
        <f t="shared" si="3"/>
        <v xml:space="preserve"> </v>
      </c>
      <c r="AI25" s="14" t="str">
        <f t="shared" si="4"/>
        <v>TC Better Price</v>
      </c>
      <c r="AJ25" s="14" t="str">
        <f>IF(W25=0,"",(#REF!/W25))</f>
        <v/>
      </c>
    </row>
    <row r="26" spans="1:43" ht="20.100000000000001" customHeight="1" x14ac:dyDescent="0.25">
      <c r="A26" s="16"/>
      <c r="B26" s="108"/>
      <c r="C26" s="109"/>
      <c r="D26" s="109"/>
      <c r="E26" s="109"/>
      <c r="F26" s="17"/>
      <c r="G26" s="17"/>
      <c r="H26" s="108"/>
      <c r="I26" s="107"/>
      <c r="J26" s="108"/>
      <c r="K26" s="107"/>
      <c r="L26" s="108"/>
      <c r="M26" s="110"/>
      <c r="N26" s="109"/>
      <c r="O26" s="108"/>
      <c r="P26" s="233"/>
      <c r="Q26" s="239"/>
      <c r="R26" s="19"/>
      <c r="S26" s="20"/>
      <c r="T26" s="9" t="str">
        <f t="shared" si="0"/>
        <v xml:space="preserve"> </v>
      </c>
      <c r="U26" s="18"/>
      <c r="V26" s="21"/>
      <c r="W26" s="22"/>
      <c r="X26" s="197" t="str">
        <f t="shared" si="1"/>
        <v xml:space="preserve"> </v>
      </c>
      <c r="Y26" s="246"/>
      <c r="Z26" s="247"/>
      <c r="AA26" s="20"/>
      <c r="AB26" s="11" t="str">
        <f t="shared" si="2"/>
        <v xml:space="preserve"> </v>
      </c>
      <c r="AC26" s="12" t="str">
        <f t="shared" si="3"/>
        <v xml:space="preserve"> </v>
      </c>
      <c r="AI26" s="14" t="str">
        <f t="shared" si="4"/>
        <v>TC Better Price</v>
      </c>
      <c r="AJ26" s="14" t="str">
        <f>IF(W26=0,"",(#REF!/W26))</f>
        <v/>
      </c>
    </row>
    <row r="27" spans="1:43" ht="20.100000000000001" customHeight="1" x14ac:dyDescent="0.25">
      <c r="A27" s="16"/>
      <c r="B27" s="108"/>
      <c r="C27" s="109"/>
      <c r="D27" s="109"/>
      <c r="E27" s="109"/>
      <c r="F27" s="17"/>
      <c r="G27" s="17"/>
      <c r="H27" s="108"/>
      <c r="I27" s="107"/>
      <c r="J27" s="108"/>
      <c r="K27" s="107"/>
      <c r="L27" s="108"/>
      <c r="M27" s="110"/>
      <c r="N27" s="109"/>
      <c r="O27" s="108"/>
      <c r="P27" s="233"/>
      <c r="Q27" s="239"/>
      <c r="R27" s="19"/>
      <c r="S27" s="20"/>
      <c r="T27" s="9" t="str">
        <f t="shared" si="0"/>
        <v xml:space="preserve"> </v>
      </c>
      <c r="U27" s="18"/>
      <c r="V27" s="21"/>
      <c r="W27" s="22"/>
      <c r="X27" s="197" t="str">
        <f t="shared" si="1"/>
        <v xml:space="preserve"> </v>
      </c>
      <c r="Y27" s="246"/>
      <c r="Z27" s="247"/>
      <c r="AA27" s="20"/>
      <c r="AB27" s="11" t="str">
        <f t="shared" si="2"/>
        <v xml:space="preserve"> </v>
      </c>
      <c r="AC27" s="12" t="str">
        <f t="shared" si="3"/>
        <v xml:space="preserve"> </v>
      </c>
      <c r="AI27" s="14" t="str">
        <f t="shared" si="4"/>
        <v>TC Better Price</v>
      </c>
      <c r="AJ27" s="14" t="str">
        <f>IF(W27=0,"",(#REF!/W27))</f>
        <v/>
      </c>
    </row>
    <row r="28" spans="1:43" ht="20.100000000000001" customHeight="1" x14ac:dyDescent="0.25">
      <c r="A28" s="16"/>
      <c r="B28" s="108"/>
      <c r="C28" s="109"/>
      <c r="D28" s="109"/>
      <c r="E28" s="109"/>
      <c r="F28" s="17"/>
      <c r="G28" s="17"/>
      <c r="H28" s="108"/>
      <c r="I28" s="107"/>
      <c r="J28" s="108"/>
      <c r="K28" s="107"/>
      <c r="L28" s="108"/>
      <c r="M28" s="110"/>
      <c r="N28" s="109"/>
      <c r="O28" s="108"/>
      <c r="P28" s="233"/>
      <c r="Q28" s="239"/>
      <c r="R28" s="19"/>
      <c r="S28" s="20"/>
      <c r="T28" s="9" t="str">
        <f t="shared" si="0"/>
        <v xml:space="preserve"> </v>
      </c>
      <c r="U28" s="18"/>
      <c r="V28" s="21"/>
      <c r="W28" s="22"/>
      <c r="X28" s="197" t="str">
        <f t="shared" si="1"/>
        <v xml:space="preserve"> </v>
      </c>
      <c r="Y28" s="246"/>
      <c r="Z28" s="247"/>
      <c r="AA28" s="20"/>
      <c r="AB28" s="11" t="str">
        <f t="shared" si="2"/>
        <v xml:space="preserve"> </v>
      </c>
      <c r="AC28" s="12" t="str">
        <f t="shared" si="3"/>
        <v xml:space="preserve"> </v>
      </c>
      <c r="AI28" s="14" t="str">
        <f t="shared" si="4"/>
        <v>TC Better Price</v>
      </c>
      <c r="AJ28" s="14" t="str">
        <f>IF(W28=0,"",(#REF!/W28))</f>
        <v/>
      </c>
    </row>
    <row r="29" spans="1:43" ht="20.100000000000001" customHeight="1" x14ac:dyDescent="0.25">
      <c r="A29" s="16"/>
      <c r="B29" s="108"/>
      <c r="C29" s="109"/>
      <c r="D29" s="109"/>
      <c r="E29" s="109"/>
      <c r="F29" s="17"/>
      <c r="G29" s="17"/>
      <c r="H29" s="108"/>
      <c r="I29" s="107"/>
      <c r="J29" s="108"/>
      <c r="K29" s="107"/>
      <c r="L29" s="108"/>
      <c r="M29" s="110"/>
      <c r="N29" s="109"/>
      <c r="O29" s="108"/>
      <c r="P29" s="233"/>
      <c r="Q29" s="239"/>
      <c r="R29" s="19"/>
      <c r="S29" s="20"/>
      <c r="T29" s="9" t="str">
        <f t="shared" si="0"/>
        <v xml:space="preserve"> </v>
      </c>
      <c r="U29" s="18"/>
      <c r="V29" s="21"/>
      <c r="W29" s="22"/>
      <c r="X29" s="197" t="str">
        <f t="shared" si="1"/>
        <v xml:space="preserve"> </v>
      </c>
      <c r="Y29" s="246"/>
      <c r="Z29" s="247"/>
      <c r="AA29" s="20"/>
      <c r="AB29" s="11" t="str">
        <f t="shared" si="2"/>
        <v xml:space="preserve"> </v>
      </c>
      <c r="AC29" s="12" t="str">
        <f t="shared" si="3"/>
        <v xml:space="preserve"> </v>
      </c>
      <c r="AI29" s="14" t="str">
        <f t="shared" si="4"/>
        <v>TC Better Price</v>
      </c>
      <c r="AJ29" s="14" t="str">
        <f>IF(W29=0,"",(#REF!/W29))</f>
        <v/>
      </c>
    </row>
    <row r="30" spans="1:43" ht="20.100000000000001" customHeight="1" x14ac:dyDescent="0.25">
      <c r="A30" s="16"/>
      <c r="B30" s="108"/>
      <c r="C30" s="109"/>
      <c r="D30" s="109"/>
      <c r="E30" s="109"/>
      <c r="F30" s="17"/>
      <c r="G30" s="17"/>
      <c r="H30" s="108"/>
      <c r="I30" s="107"/>
      <c r="J30" s="108"/>
      <c r="K30" s="107"/>
      <c r="L30" s="108"/>
      <c r="M30" s="110"/>
      <c r="N30" s="109"/>
      <c r="O30" s="108"/>
      <c r="P30" s="233"/>
      <c r="Q30" s="239"/>
      <c r="R30" s="19"/>
      <c r="S30" s="20"/>
      <c r="T30" s="9" t="str">
        <f t="shared" si="0"/>
        <v xml:space="preserve"> </v>
      </c>
      <c r="U30" s="18"/>
      <c r="V30" s="21"/>
      <c r="W30" s="22"/>
      <c r="X30" s="197" t="str">
        <f t="shared" si="1"/>
        <v xml:space="preserve"> </v>
      </c>
      <c r="Y30" s="246"/>
      <c r="Z30" s="247"/>
      <c r="AA30" s="20"/>
      <c r="AB30" s="11" t="str">
        <f t="shared" si="2"/>
        <v xml:space="preserve"> </v>
      </c>
      <c r="AC30" s="12" t="str">
        <f t="shared" si="3"/>
        <v xml:space="preserve"> </v>
      </c>
      <c r="AI30" s="14" t="str">
        <f t="shared" si="4"/>
        <v>TC Better Price</v>
      </c>
      <c r="AJ30" s="14" t="str">
        <f>IF(W30=0,"",(#REF!/W30))</f>
        <v/>
      </c>
    </row>
    <row r="31" spans="1:43" ht="20.100000000000001" customHeight="1" x14ac:dyDescent="0.25">
      <c r="A31" s="16"/>
      <c r="B31" s="108"/>
      <c r="C31" s="109"/>
      <c r="D31" s="109"/>
      <c r="E31" s="109"/>
      <c r="F31" s="17"/>
      <c r="G31" s="17"/>
      <c r="H31" s="108"/>
      <c r="I31" s="107"/>
      <c r="J31" s="108"/>
      <c r="K31" s="107"/>
      <c r="L31" s="108"/>
      <c r="M31" s="110"/>
      <c r="N31" s="109"/>
      <c r="O31" s="108"/>
      <c r="P31" s="233"/>
      <c r="Q31" s="239"/>
      <c r="R31" s="19"/>
      <c r="S31" s="20"/>
      <c r="T31" s="9" t="str">
        <f t="shared" si="0"/>
        <v xml:space="preserve"> </v>
      </c>
      <c r="U31" s="18"/>
      <c r="V31" s="21"/>
      <c r="W31" s="22"/>
      <c r="X31" s="197" t="str">
        <f t="shared" si="1"/>
        <v xml:space="preserve"> </v>
      </c>
      <c r="Y31" s="246"/>
      <c r="Z31" s="247"/>
      <c r="AA31" s="20"/>
      <c r="AB31" s="11" t="str">
        <f t="shared" si="2"/>
        <v xml:space="preserve"> </v>
      </c>
      <c r="AC31" s="12" t="str">
        <f t="shared" si="3"/>
        <v xml:space="preserve"> </v>
      </c>
      <c r="AI31" s="14" t="str">
        <f t="shared" si="4"/>
        <v>TC Better Price</v>
      </c>
      <c r="AJ31" s="14" t="str">
        <f>IF(W31=0,"",(#REF!/W31))</f>
        <v/>
      </c>
    </row>
    <row r="32" spans="1:43" ht="20.100000000000001" customHeight="1" x14ac:dyDescent="0.25">
      <c r="A32" s="16"/>
      <c r="B32" s="108"/>
      <c r="C32" s="109"/>
      <c r="D32" s="109"/>
      <c r="E32" s="109"/>
      <c r="F32" s="17"/>
      <c r="G32" s="17"/>
      <c r="H32" s="108"/>
      <c r="I32" s="107"/>
      <c r="J32" s="108"/>
      <c r="K32" s="107"/>
      <c r="L32" s="108"/>
      <c r="M32" s="110"/>
      <c r="N32" s="109"/>
      <c r="O32" s="108"/>
      <c r="P32" s="233"/>
      <c r="Q32" s="239"/>
      <c r="R32" s="19"/>
      <c r="S32" s="20"/>
      <c r="T32" s="9" t="str">
        <f t="shared" si="0"/>
        <v xml:space="preserve"> </v>
      </c>
      <c r="U32" s="18"/>
      <c r="V32" s="21"/>
      <c r="W32" s="22"/>
      <c r="X32" s="197" t="str">
        <f t="shared" si="1"/>
        <v xml:space="preserve"> </v>
      </c>
      <c r="Y32" s="246"/>
      <c r="Z32" s="247"/>
      <c r="AA32" s="20"/>
      <c r="AB32" s="11" t="str">
        <f t="shared" si="2"/>
        <v xml:space="preserve"> </v>
      </c>
      <c r="AC32" s="12" t="str">
        <f t="shared" si="3"/>
        <v xml:space="preserve"> </v>
      </c>
      <c r="AI32" s="14" t="str">
        <f t="shared" si="4"/>
        <v>TC Better Price</v>
      </c>
      <c r="AJ32" s="14" t="str">
        <f>IF(W32=0,"",(#REF!/W32))</f>
        <v/>
      </c>
    </row>
    <row r="33" spans="1:36" ht="20.100000000000001" customHeight="1" x14ac:dyDescent="0.25">
      <c r="A33" s="16"/>
      <c r="B33" s="108"/>
      <c r="C33" s="109"/>
      <c r="D33" s="109"/>
      <c r="E33" s="109"/>
      <c r="F33" s="17"/>
      <c r="G33" s="17"/>
      <c r="H33" s="108"/>
      <c r="I33" s="107"/>
      <c r="J33" s="108"/>
      <c r="K33" s="107"/>
      <c r="L33" s="108"/>
      <c r="M33" s="110"/>
      <c r="N33" s="109"/>
      <c r="O33" s="108"/>
      <c r="P33" s="233"/>
      <c r="Q33" s="239"/>
      <c r="R33" s="19"/>
      <c r="S33" s="20"/>
      <c r="T33" s="9" t="str">
        <f t="shared" si="0"/>
        <v xml:space="preserve"> </v>
      </c>
      <c r="U33" s="18"/>
      <c r="V33" s="21"/>
      <c r="W33" s="22"/>
      <c r="X33" s="197" t="str">
        <f t="shared" si="1"/>
        <v xml:space="preserve"> </v>
      </c>
      <c r="Y33" s="246"/>
      <c r="Z33" s="247"/>
      <c r="AA33" s="20"/>
      <c r="AB33" s="11" t="str">
        <f t="shared" si="2"/>
        <v xml:space="preserve"> </v>
      </c>
      <c r="AC33" s="12" t="str">
        <f t="shared" si="3"/>
        <v xml:space="preserve"> </v>
      </c>
      <c r="AI33" s="14" t="str">
        <f t="shared" si="4"/>
        <v>TC Better Price</v>
      </c>
      <c r="AJ33" s="14" t="str">
        <f>IF(W33=0,"",(#REF!/W33))</f>
        <v/>
      </c>
    </row>
    <row r="34" spans="1:36" ht="20.100000000000001" customHeight="1" x14ac:dyDescent="0.25">
      <c r="A34" s="16"/>
      <c r="B34" s="108"/>
      <c r="C34" s="109"/>
      <c r="D34" s="109"/>
      <c r="E34" s="109"/>
      <c r="F34" s="17"/>
      <c r="G34" s="17"/>
      <c r="H34" s="108"/>
      <c r="I34" s="107"/>
      <c r="J34" s="108"/>
      <c r="K34" s="107"/>
      <c r="L34" s="108"/>
      <c r="M34" s="110"/>
      <c r="N34" s="109"/>
      <c r="O34" s="108"/>
      <c r="P34" s="233"/>
      <c r="Q34" s="239"/>
      <c r="R34" s="19"/>
      <c r="S34" s="20"/>
      <c r="T34" s="9" t="str">
        <f t="shared" si="0"/>
        <v xml:space="preserve"> </v>
      </c>
      <c r="U34" s="18"/>
      <c r="V34" s="21"/>
      <c r="W34" s="22"/>
      <c r="X34" s="197" t="str">
        <f t="shared" si="1"/>
        <v xml:space="preserve"> </v>
      </c>
      <c r="Y34" s="246"/>
      <c r="Z34" s="247"/>
      <c r="AA34" s="20"/>
      <c r="AB34" s="11" t="str">
        <f t="shared" si="2"/>
        <v xml:space="preserve"> </v>
      </c>
      <c r="AC34" s="12" t="str">
        <f t="shared" si="3"/>
        <v xml:space="preserve"> </v>
      </c>
      <c r="AI34" s="14" t="str">
        <f t="shared" si="4"/>
        <v>TC Better Price</v>
      </c>
      <c r="AJ34" s="14" t="str">
        <f>IF(W34=0,"",(#REF!/W34))</f>
        <v/>
      </c>
    </row>
    <row r="35" spans="1:36" ht="20.100000000000001" customHeight="1" x14ac:dyDescent="0.25">
      <c r="A35" s="16"/>
      <c r="B35" s="108"/>
      <c r="C35" s="109"/>
      <c r="D35" s="109"/>
      <c r="E35" s="109"/>
      <c r="F35" s="17"/>
      <c r="G35" s="17"/>
      <c r="H35" s="108"/>
      <c r="I35" s="107"/>
      <c r="J35" s="108"/>
      <c r="K35" s="107"/>
      <c r="L35" s="108"/>
      <c r="M35" s="110"/>
      <c r="N35" s="109"/>
      <c r="O35" s="108"/>
      <c r="P35" s="233"/>
      <c r="Q35" s="239"/>
      <c r="R35" s="19"/>
      <c r="S35" s="20"/>
      <c r="T35" s="9" t="str">
        <f t="shared" si="0"/>
        <v xml:space="preserve"> </v>
      </c>
      <c r="U35" s="18"/>
      <c r="V35" s="21"/>
      <c r="W35" s="22"/>
      <c r="X35" s="197" t="str">
        <f t="shared" si="1"/>
        <v xml:space="preserve"> </v>
      </c>
      <c r="Y35" s="246"/>
      <c r="Z35" s="247"/>
      <c r="AA35" s="20"/>
      <c r="AB35" s="11" t="str">
        <f t="shared" si="2"/>
        <v xml:space="preserve"> </v>
      </c>
      <c r="AC35" s="12" t="str">
        <f t="shared" si="3"/>
        <v xml:space="preserve"> </v>
      </c>
      <c r="AI35" s="14" t="str">
        <f t="shared" si="4"/>
        <v>TC Better Price</v>
      </c>
      <c r="AJ35" s="14" t="str">
        <f>IF(W35=0,"",(#REF!/W35))</f>
        <v/>
      </c>
    </row>
    <row r="36" spans="1:36" ht="20.100000000000001" customHeight="1" x14ac:dyDescent="0.25">
      <c r="A36" s="16"/>
      <c r="B36" s="108"/>
      <c r="C36" s="109"/>
      <c r="D36" s="109"/>
      <c r="E36" s="109"/>
      <c r="F36" s="17"/>
      <c r="G36" s="17"/>
      <c r="H36" s="108"/>
      <c r="I36" s="107"/>
      <c r="J36" s="108"/>
      <c r="K36" s="107"/>
      <c r="L36" s="108"/>
      <c r="M36" s="110"/>
      <c r="N36" s="109"/>
      <c r="O36" s="108"/>
      <c r="P36" s="233"/>
      <c r="Q36" s="239"/>
      <c r="R36" s="19"/>
      <c r="S36" s="20"/>
      <c r="T36" s="9" t="str">
        <f t="shared" si="0"/>
        <v xml:space="preserve"> </v>
      </c>
      <c r="U36" s="18"/>
      <c r="V36" s="21"/>
      <c r="W36" s="22"/>
      <c r="X36" s="197" t="str">
        <f t="shared" si="1"/>
        <v xml:space="preserve"> </v>
      </c>
      <c r="Y36" s="246"/>
      <c r="Z36" s="247"/>
      <c r="AA36" s="20"/>
      <c r="AB36" s="11" t="str">
        <f t="shared" si="2"/>
        <v xml:space="preserve"> </v>
      </c>
      <c r="AC36" s="12" t="str">
        <f t="shared" si="3"/>
        <v xml:space="preserve"> </v>
      </c>
      <c r="AI36" s="14" t="str">
        <f t="shared" si="4"/>
        <v>TC Better Price</v>
      </c>
      <c r="AJ36" s="14" t="str">
        <f>IF(W36=0,"",(#REF!/W36))</f>
        <v/>
      </c>
    </row>
    <row r="37" spans="1:36" ht="20.100000000000001" customHeight="1" x14ac:dyDescent="0.25">
      <c r="A37" s="16"/>
      <c r="B37" s="108"/>
      <c r="C37" s="109"/>
      <c r="D37" s="109"/>
      <c r="E37" s="109"/>
      <c r="F37" s="17"/>
      <c r="G37" s="17"/>
      <c r="H37" s="108"/>
      <c r="I37" s="107"/>
      <c r="J37" s="108"/>
      <c r="K37" s="107"/>
      <c r="L37" s="108"/>
      <c r="M37" s="110"/>
      <c r="N37" s="109"/>
      <c r="O37" s="108"/>
      <c r="P37" s="233"/>
      <c r="Q37" s="239"/>
      <c r="R37" s="19"/>
      <c r="S37" s="20"/>
      <c r="T37" s="9" t="str">
        <f t="shared" si="0"/>
        <v xml:space="preserve"> </v>
      </c>
      <c r="U37" s="18"/>
      <c r="V37" s="21"/>
      <c r="W37" s="22"/>
      <c r="X37" s="197" t="str">
        <f t="shared" si="1"/>
        <v xml:space="preserve"> </v>
      </c>
      <c r="Y37" s="246"/>
      <c r="Z37" s="247"/>
      <c r="AA37" s="20"/>
      <c r="AB37" s="11" t="str">
        <f t="shared" si="2"/>
        <v xml:space="preserve"> </v>
      </c>
      <c r="AC37" s="12" t="str">
        <f t="shared" si="3"/>
        <v xml:space="preserve"> </v>
      </c>
      <c r="AI37" s="14" t="str">
        <f t="shared" si="4"/>
        <v>TC Better Price</v>
      </c>
      <c r="AJ37" s="14" t="str">
        <f>IF(W37=0,"",(#REF!/W37))</f>
        <v/>
      </c>
    </row>
    <row r="38" spans="1:36" ht="20.100000000000001" customHeight="1" x14ac:dyDescent="0.25">
      <c r="A38" s="16"/>
      <c r="B38" s="108"/>
      <c r="C38" s="109"/>
      <c r="D38" s="109"/>
      <c r="E38" s="109"/>
      <c r="F38" s="17"/>
      <c r="G38" s="17"/>
      <c r="H38" s="108"/>
      <c r="I38" s="107"/>
      <c r="J38" s="108"/>
      <c r="K38" s="107"/>
      <c r="L38" s="108"/>
      <c r="M38" s="110"/>
      <c r="N38" s="109"/>
      <c r="O38" s="108"/>
      <c r="P38" s="233"/>
      <c r="Q38" s="239"/>
      <c r="R38" s="19"/>
      <c r="S38" s="20"/>
      <c r="T38" s="9" t="str">
        <f t="shared" si="0"/>
        <v xml:space="preserve"> </v>
      </c>
      <c r="U38" s="18"/>
      <c r="V38" s="21"/>
      <c r="W38" s="22"/>
      <c r="X38" s="197" t="str">
        <f t="shared" si="1"/>
        <v xml:space="preserve"> </v>
      </c>
      <c r="Y38" s="246"/>
      <c r="Z38" s="247"/>
      <c r="AA38" s="20"/>
      <c r="AB38" s="11" t="str">
        <f t="shared" si="2"/>
        <v xml:space="preserve"> </v>
      </c>
      <c r="AC38" s="12" t="str">
        <f t="shared" si="3"/>
        <v xml:space="preserve"> </v>
      </c>
      <c r="AI38" s="14" t="str">
        <f t="shared" si="4"/>
        <v>TC Better Price</v>
      </c>
      <c r="AJ38" s="14" t="str">
        <f>IF(W38=0,"",(#REF!/W38))</f>
        <v/>
      </c>
    </row>
    <row r="39" spans="1:36" ht="20.100000000000001" customHeight="1" x14ac:dyDescent="0.25">
      <c r="A39" s="16"/>
      <c r="B39" s="108"/>
      <c r="C39" s="109"/>
      <c r="D39" s="109"/>
      <c r="E39" s="109"/>
      <c r="F39" s="17"/>
      <c r="G39" s="17"/>
      <c r="H39" s="108"/>
      <c r="I39" s="107"/>
      <c r="J39" s="108"/>
      <c r="K39" s="107"/>
      <c r="L39" s="108"/>
      <c r="M39" s="110"/>
      <c r="N39" s="109"/>
      <c r="O39" s="108"/>
      <c r="P39" s="233"/>
      <c r="Q39" s="239"/>
      <c r="R39" s="19"/>
      <c r="S39" s="20"/>
      <c r="T39" s="9" t="str">
        <f t="shared" si="0"/>
        <v xml:space="preserve"> </v>
      </c>
      <c r="U39" s="18"/>
      <c r="V39" s="21"/>
      <c r="W39" s="22"/>
      <c r="X39" s="197" t="str">
        <f t="shared" si="1"/>
        <v xml:space="preserve"> </v>
      </c>
      <c r="Y39" s="246"/>
      <c r="Z39" s="247"/>
      <c r="AA39" s="20"/>
      <c r="AB39" s="11" t="str">
        <f t="shared" si="2"/>
        <v xml:space="preserve"> </v>
      </c>
      <c r="AC39" s="12" t="str">
        <f t="shared" si="3"/>
        <v xml:space="preserve"> </v>
      </c>
      <c r="AI39" s="14" t="str">
        <f t="shared" si="4"/>
        <v>TC Better Price</v>
      </c>
      <c r="AJ39" s="14" t="str">
        <f>IF(W39=0,"",(#REF!/W39))</f>
        <v/>
      </c>
    </row>
    <row r="40" spans="1:36" ht="20.100000000000001" customHeight="1" x14ac:dyDescent="0.25">
      <c r="A40" s="16"/>
      <c r="B40" s="108"/>
      <c r="C40" s="109"/>
      <c r="D40" s="109"/>
      <c r="E40" s="109"/>
      <c r="F40" s="17"/>
      <c r="G40" s="17"/>
      <c r="H40" s="108"/>
      <c r="I40" s="107"/>
      <c r="J40" s="108"/>
      <c r="K40" s="107"/>
      <c r="L40" s="108"/>
      <c r="M40" s="110"/>
      <c r="N40" s="109"/>
      <c r="O40" s="108"/>
      <c r="P40" s="233"/>
      <c r="Q40" s="239"/>
      <c r="R40" s="19"/>
      <c r="S40" s="20"/>
      <c r="T40" s="9" t="str">
        <f t="shared" si="0"/>
        <v xml:space="preserve"> </v>
      </c>
      <c r="U40" s="18"/>
      <c r="V40" s="21"/>
      <c r="W40" s="22"/>
      <c r="X40" s="197" t="str">
        <f t="shared" si="1"/>
        <v xml:space="preserve"> </v>
      </c>
      <c r="Y40" s="246"/>
      <c r="Z40" s="247"/>
      <c r="AA40" s="20"/>
      <c r="AB40" s="11" t="str">
        <f t="shared" si="2"/>
        <v xml:space="preserve"> </v>
      </c>
      <c r="AC40" s="12" t="str">
        <f t="shared" si="3"/>
        <v xml:space="preserve"> </v>
      </c>
      <c r="AI40" s="14" t="str">
        <f t="shared" si="4"/>
        <v>TC Better Price</v>
      </c>
      <c r="AJ40" s="14" t="str">
        <f>IF(W40=0,"",(#REF!/W40))</f>
        <v/>
      </c>
    </row>
    <row r="41" spans="1:36" ht="20.100000000000001" customHeight="1" x14ac:dyDescent="0.25">
      <c r="A41" s="16"/>
      <c r="B41" s="108"/>
      <c r="C41" s="109"/>
      <c r="D41" s="109"/>
      <c r="E41" s="109"/>
      <c r="F41" s="17"/>
      <c r="G41" s="17"/>
      <c r="H41" s="108"/>
      <c r="I41" s="107"/>
      <c r="J41" s="108"/>
      <c r="K41" s="107"/>
      <c r="L41" s="108"/>
      <c r="M41" s="110"/>
      <c r="N41" s="109"/>
      <c r="O41" s="108"/>
      <c r="P41" s="233"/>
      <c r="Q41" s="239"/>
      <c r="R41" s="19"/>
      <c r="S41" s="20"/>
      <c r="T41" s="9" t="str">
        <f t="shared" si="0"/>
        <v xml:space="preserve"> </v>
      </c>
      <c r="U41" s="18"/>
      <c r="V41" s="21"/>
      <c r="W41" s="22"/>
      <c r="X41" s="197" t="str">
        <f t="shared" si="1"/>
        <v xml:space="preserve"> </v>
      </c>
      <c r="Y41" s="246"/>
      <c r="Z41" s="247"/>
      <c r="AA41" s="20"/>
      <c r="AB41" s="11" t="str">
        <f t="shared" si="2"/>
        <v xml:space="preserve"> </v>
      </c>
      <c r="AC41" s="12" t="str">
        <f t="shared" si="3"/>
        <v xml:space="preserve"> </v>
      </c>
      <c r="AI41" s="14" t="str">
        <f t="shared" si="4"/>
        <v>TC Better Price</v>
      </c>
      <c r="AJ41" s="14" t="str">
        <f>IF(W41=0,"",(#REF!/W41))</f>
        <v/>
      </c>
    </row>
    <row r="42" spans="1:36" ht="20.100000000000001" customHeight="1" x14ac:dyDescent="0.25">
      <c r="A42" s="16"/>
      <c r="B42" s="108"/>
      <c r="C42" s="109"/>
      <c r="D42" s="109"/>
      <c r="E42" s="109"/>
      <c r="F42" s="17"/>
      <c r="G42" s="17"/>
      <c r="H42" s="108"/>
      <c r="I42" s="107"/>
      <c r="J42" s="108"/>
      <c r="K42" s="107"/>
      <c r="L42" s="108"/>
      <c r="M42" s="110"/>
      <c r="N42" s="109"/>
      <c r="O42" s="108"/>
      <c r="P42" s="233"/>
      <c r="Q42" s="239"/>
      <c r="R42" s="19"/>
      <c r="S42" s="20"/>
      <c r="T42" s="9" t="str">
        <f t="shared" si="0"/>
        <v xml:space="preserve"> </v>
      </c>
      <c r="U42" s="18"/>
      <c r="V42" s="21"/>
      <c r="W42" s="22"/>
      <c r="X42" s="197" t="str">
        <f t="shared" si="1"/>
        <v xml:space="preserve"> </v>
      </c>
      <c r="Y42" s="246"/>
      <c r="Z42" s="247"/>
      <c r="AA42" s="20"/>
      <c r="AB42" s="11" t="str">
        <f t="shared" si="2"/>
        <v xml:space="preserve"> </v>
      </c>
      <c r="AC42" s="12" t="str">
        <f t="shared" si="3"/>
        <v xml:space="preserve"> </v>
      </c>
      <c r="AI42" s="14" t="str">
        <f t="shared" si="4"/>
        <v>TC Better Price</v>
      </c>
      <c r="AJ42" s="14" t="str">
        <f>IF(W42=0,"",(#REF!/W42))</f>
        <v/>
      </c>
    </row>
    <row r="43" spans="1:36" ht="20.100000000000001" customHeight="1" x14ac:dyDescent="0.25">
      <c r="A43" s="16"/>
      <c r="B43" s="108"/>
      <c r="C43" s="109"/>
      <c r="D43" s="109"/>
      <c r="E43" s="109"/>
      <c r="F43" s="17"/>
      <c r="G43" s="17"/>
      <c r="H43" s="108"/>
      <c r="I43" s="107"/>
      <c r="J43" s="108"/>
      <c r="K43" s="107"/>
      <c r="L43" s="108"/>
      <c r="M43" s="110"/>
      <c r="N43" s="109"/>
      <c r="O43" s="108"/>
      <c r="P43" s="233"/>
      <c r="Q43" s="239"/>
      <c r="R43" s="19"/>
      <c r="S43" s="20"/>
      <c r="T43" s="9" t="str">
        <f t="shared" si="0"/>
        <v xml:space="preserve"> </v>
      </c>
      <c r="U43" s="18"/>
      <c r="V43" s="21"/>
      <c r="W43" s="22"/>
      <c r="X43" s="197" t="str">
        <f t="shared" si="1"/>
        <v xml:space="preserve"> </v>
      </c>
      <c r="Y43" s="246"/>
      <c r="Z43" s="247"/>
      <c r="AA43" s="20"/>
      <c r="AB43" s="11" t="str">
        <f t="shared" si="2"/>
        <v xml:space="preserve"> </v>
      </c>
      <c r="AC43" s="12" t="str">
        <f t="shared" si="3"/>
        <v xml:space="preserve"> </v>
      </c>
      <c r="AI43" s="14" t="str">
        <f t="shared" si="4"/>
        <v>TC Better Price</v>
      </c>
      <c r="AJ43" s="14" t="str">
        <f>IF(W43=0,"",(#REF!/W43))</f>
        <v/>
      </c>
    </row>
    <row r="44" spans="1:36" ht="20.100000000000001" customHeight="1" x14ac:dyDescent="0.25">
      <c r="A44" s="16"/>
      <c r="B44" s="108"/>
      <c r="C44" s="109"/>
      <c r="D44" s="109"/>
      <c r="E44" s="109"/>
      <c r="F44" s="17"/>
      <c r="G44" s="17"/>
      <c r="H44" s="108"/>
      <c r="I44" s="107"/>
      <c r="J44" s="108"/>
      <c r="K44" s="107"/>
      <c r="L44" s="108"/>
      <c r="M44" s="110"/>
      <c r="N44" s="109"/>
      <c r="O44" s="108"/>
      <c r="P44" s="233"/>
      <c r="Q44" s="239"/>
      <c r="R44" s="19"/>
      <c r="S44" s="20"/>
      <c r="T44" s="9" t="str">
        <f t="shared" si="0"/>
        <v xml:space="preserve"> </v>
      </c>
      <c r="U44" s="18"/>
      <c r="V44" s="21"/>
      <c r="W44" s="22"/>
      <c r="X44" s="197" t="str">
        <f t="shared" si="1"/>
        <v xml:space="preserve"> </v>
      </c>
      <c r="Y44" s="246"/>
      <c r="Z44" s="247"/>
      <c r="AA44" s="20"/>
      <c r="AB44" s="11" t="str">
        <f t="shared" si="2"/>
        <v xml:space="preserve"> </v>
      </c>
      <c r="AC44" s="12" t="str">
        <f t="shared" si="3"/>
        <v xml:space="preserve"> </v>
      </c>
      <c r="AI44" s="14" t="str">
        <f t="shared" si="4"/>
        <v>TC Better Price</v>
      </c>
      <c r="AJ44" s="14" t="str">
        <f>IF(W44=0,"",(#REF!/W44))</f>
        <v/>
      </c>
    </row>
    <row r="45" spans="1:36" ht="20.100000000000001" customHeight="1" x14ac:dyDescent="0.25">
      <c r="A45" s="16"/>
      <c r="B45" s="108"/>
      <c r="C45" s="109"/>
      <c r="D45" s="109"/>
      <c r="E45" s="109"/>
      <c r="F45" s="17"/>
      <c r="G45" s="17"/>
      <c r="H45" s="108"/>
      <c r="I45" s="107"/>
      <c r="J45" s="108"/>
      <c r="K45" s="107"/>
      <c r="L45" s="108"/>
      <c r="M45" s="110"/>
      <c r="N45" s="109"/>
      <c r="O45" s="108"/>
      <c r="P45" s="233"/>
      <c r="Q45" s="239"/>
      <c r="R45" s="19"/>
      <c r="S45" s="20"/>
      <c r="T45" s="9" t="str">
        <f t="shared" si="0"/>
        <v xml:space="preserve"> </v>
      </c>
      <c r="U45" s="18"/>
      <c r="V45" s="21"/>
      <c r="W45" s="22"/>
      <c r="X45" s="197" t="str">
        <f t="shared" si="1"/>
        <v xml:space="preserve"> </v>
      </c>
      <c r="Y45" s="246"/>
      <c r="Z45" s="247"/>
      <c r="AA45" s="20"/>
      <c r="AB45" s="11" t="str">
        <f t="shared" si="2"/>
        <v xml:space="preserve"> </v>
      </c>
      <c r="AC45" s="12" t="str">
        <f t="shared" si="3"/>
        <v xml:space="preserve"> </v>
      </c>
      <c r="AI45" s="14" t="str">
        <f t="shared" si="4"/>
        <v>TC Better Price</v>
      </c>
      <c r="AJ45" s="14" t="str">
        <f>IF(W45=0,"",(#REF!/W45))</f>
        <v/>
      </c>
    </row>
    <row r="46" spans="1:36" ht="20.100000000000001" customHeight="1" x14ac:dyDescent="0.25">
      <c r="A46" s="16"/>
      <c r="B46" s="108"/>
      <c r="C46" s="109"/>
      <c r="D46" s="109"/>
      <c r="E46" s="109"/>
      <c r="F46" s="17"/>
      <c r="G46" s="17"/>
      <c r="H46" s="108"/>
      <c r="I46" s="107"/>
      <c r="J46" s="108"/>
      <c r="K46" s="107"/>
      <c r="L46" s="108"/>
      <c r="M46" s="110"/>
      <c r="N46" s="109"/>
      <c r="O46" s="108"/>
      <c r="P46" s="233"/>
      <c r="Q46" s="239"/>
      <c r="R46" s="19"/>
      <c r="S46" s="20"/>
      <c r="T46" s="9" t="str">
        <f t="shared" si="0"/>
        <v xml:space="preserve"> </v>
      </c>
      <c r="U46" s="18"/>
      <c r="V46" s="21"/>
      <c r="W46" s="22"/>
      <c r="X46" s="197" t="str">
        <f t="shared" si="1"/>
        <v xml:space="preserve"> </v>
      </c>
      <c r="Y46" s="246"/>
      <c r="Z46" s="247"/>
      <c r="AA46" s="20"/>
      <c r="AB46" s="11" t="str">
        <f t="shared" si="2"/>
        <v xml:space="preserve"> </v>
      </c>
      <c r="AC46" s="12" t="str">
        <f t="shared" si="3"/>
        <v xml:space="preserve"> </v>
      </c>
      <c r="AI46" s="14" t="str">
        <f t="shared" si="4"/>
        <v>TC Better Price</v>
      </c>
      <c r="AJ46" s="14" t="str">
        <f>IF(W46=0,"",(#REF!/W46))</f>
        <v/>
      </c>
    </row>
    <row r="47" spans="1:36" ht="20.100000000000001" customHeight="1" x14ac:dyDescent="0.25">
      <c r="A47" s="16"/>
      <c r="B47" s="108"/>
      <c r="C47" s="109"/>
      <c r="D47" s="109"/>
      <c r="E47" s="109"/>
      <c r="F47" s="17"/>
      <c r="G47" s="17"/>
      <c r="H47" s="108"/>
      <c r="I47" s="107"/>
      <c r="J47" s="108"/>
      <c r="K47" s="107"/>
      <c r="L47" s="108"/>
      <c r="M47" s="110"/>
      <c r="N47" s="109"/>
      <c r="O47" s="108"/>
      <c r="P47" s="233"/>
      <c r="Q47" s="239"/>
      <c r="R47" s="19"/>
      <c r="S47" s="20"/>
      <c r="T47" s="9" t="str">
        <f t="shared" si="0"/>
        <v xml:space="preserve"> </v>
      </c>
      <c r="U47" s="18"/>
      <c r="V47" s="21"/>
      <c r="W47" s="22"/>
      <c r="X47" s="197" t="str">
        <f t="shared" si="1"/>
        <v xml:space="preserve"> </v>
      </c>
      <c r="Y47" s="246"/>
      <c r="Z47" s="247"/>
      <c r="AA47" s="20"/>
      <c r="AB47" s="11" t="str">
        <f t="shared" si="2"/>
        <v xml:space="preserve"> </v>
      </c>
      <c r="AC47" s="12" t="str">
        <f t="shared" si="3"/>
        <v xml:space="preserve"> </v>
      </c>
      <c r="AI47" s="14" t="str">
        <f t="shared" si="4"/>
        <v>TC Better Price</v>
      </c>
      <c r="AJ47" s="14" t="str">
        <f>IF(W47=0,"",(#REF!/W47))</f>
        <v/>
      </c>
    </row>
    <row r="48" spans="1:36" ht="20.100000000000001" customHeight="1" x14ac:dyDescent="0.25">
      <c r="A48" s="16"/>
      <c r="B48" s="108"/>
      <c r="C48" s="109"/>
      <c r="D48" s="109"/>
      <c r="E48" s="109"/>
      <c r="F48" s="17"/>
      <c r="G48" s="17"/>
      <c r="H48" s="108"/>
      <c r="I48" s="107"/>
      <c r="J48" s="108"/>
      <c r="K48" s="107"/>
      <c r="L48" s="108"/>
      <c r="M48" s="110"/>
      <c r="N48" s="109"/>
      <c r="O48" s="108"/>
      <c r="P48" s="233"/>
      <c r="Q48" s="239"/>
      <c r="R48" s="19"/>
      <c r="S48" s="20"/>
      <c r="T48" s="9" t="str">
        <f t="shared" si="0"/>
        <v xml:space="preserve"> </v>
      </c>
      <c r="U48" s="18"/>
      <c r="V48" s="21"/>
      <c r="W48" s="22"/>
      <c r="X48" s="197" t="str">
        <f t="shared" si="1"/>
        <v xml:space="preserve"> </v>
      </c>
      <c r="Y48" s="246"/>
      <c r="Z48" s="247"/>
      <c r="AA48" s="20"/>
      <c r="AB48" s="11" t="str">
        <f t="shared" si="2"/>
        <v xml:space="preserve"> </v>
      </c>
      <c r="AC48" s="12" t="str">
        <f t="shared" si="3"/>
        <v xml:space="preserve"> </v>
      </c>
      <c r="AI48" s="14" t="str">
        <f t="shared" si="4"/>
        <v>TC Better Price</v>
      </c>
      <c r="AJ48" s="14" t="str">
        <f>IF(W48=0,"",(#REF!/W48))</f>
        <v/>
      </c>
    </row>
    <row r="49" spans="1:36" ht="20.100000000000001" customHeight="1" x14ac:dyDescent="0.25">
      <c r="A49" s="16"/>
      <c r="B49" s="108"/>
      <c r="C49" s="109"/>
      <c r="D49" s="109"/>
      <c r="E49" s="109"/>
      <c r="F49" s="17"/>
      <c r="G49" s="17"/>
      <c r="H49" s="108"/>
      <c r="I49" s="107"/>
      <c r="J49" s="108"/>
      <c r="K49" s="107"/>
      <c r="L49" s="108"/>
      <c r="M49" s="110"/>
      <c r="N49" s="109"/>
      <c r="O49" s="108"/>
      <c r="P49" s="233"/>
      <c r="Q49" s="239"/>
      <c r="R49" s="19"/>
      <c r="S49" s="20"/>
      <c r="T49" s="9" t="str">
        <f t="shared" si="0"/>
        <v xml:space="preserve"> </v>
      </c>
      <c r="U49" s="18"/>
      <c r="V49" s="21"/>
      <c r="W49" s="22"/>
      <c r="X49" s="197" t="str">
        <f t="shared" si="1"/>
        <v xml:space="preserve"> </v>
      </c>
      <c r="Y49" s="246"/>
      <c r="Z49" s="247"/>
      <c r="AA49" s="20"/>
      <c r="AB49" s="11" t="str">
        <f t="shared" si="2"/>
        <v xml:space="preserve"> </v>
      </c>
      <c r="AC49" s="12" t="str">
        <f t="shared" si="3"/>
        <v xml:space="preserve"> </v>
      </c>
      <c r="AI49" s="14" t="str">
        <f t="shared" si="4"/>
        <v>TC Better Price</v>
      </c>
      <c r="AJ49" s="14" t="str">
        <f>IF(W49=0,"",(#REF!/W49))</f>
        <v/>
      </c>
    </row>
    <row r="50" spans="1:36" ht="20.100000000000001" customHeight="1" x14ac:dyDescent="0.25">
      <c r="A50" s="16"/>
      <c r="B50" s="108"/>
      <c r="C50" s="109"/>
      <c r="D50" s="109"/>
      <c r="E50" s="109"/>
      <c r="F50" s="17"/>
      <c r="G50" s="17"/>
      <c r="H50" s="108"/>
      <c r="I50" s="107"/>
      <c r="J50" s="108"/>
      <c r="K50" s="107"/>
      <c r="L50" s="108"/>
      <c r="M50" s="110"/>
      <c r="N50" s="109"/>
      <c r="O50" s="108"/>
      <c r="P50" s="233"/>
      <c r="Q50" s="239"/>
      <c r="R50" s="19"/>
      <c r="S50" s="20"/>
      <c r="T50" s="9" t="str">
        <f t="shared" si="0"/>
        <v xml:space="preserve"> </v>
      </c>
      <c r="U50" s="18"/>
      <c r="V50" s="21"/>
      <c r="W50" s="22"/>
      <c r="X50" s="197" t="str">
        <f t="shared" si="1"/>
        <v xml:space="preserve"> </v>
      </c>
      <c r="Y50" s="246"/>
      <c r="Z50" s="247"/>
      <c r="AA50" s="20"/>
      <c r="AB50" s="11" t="str">
        <f t="shared" si="2"/>
        <v xml:space="preserve"> </v>
      </c>
      <c r="AC50" s="12" t="str">
        <f t="shared" si="3"/>
        <v xml:space="preserve"> </v>
      </c>
      <c r="AI50" s="14" t="str">
        <f t="shared" si="4"/>
        <v>TC Better Price</v>
      </c>
      <c r="AJ50" s="14" t="str">
        <f>IF(W50=0,"",(#REF!/W50))</f>
        <v/>
      </c>
    </row>
    <row r="51" spans="1:36" ht="20.100000000000001" customHeight="1" x14ac:dyDescent="0.25">
      <c r="A51" s="16"/>
      <c r="B51" s="108"/>
      <c r="C51" s="109"/>
      <c r="D51" s="109"/>
      <c r="E51" s="109"/>
      <c r="F51" s="17"/>
      <c r="G51" s="17"/>
      <c r="H51" s="108"/>
      <c r="I51" s="107"/>
      <c r="J51" s="108"/>
      <c r="K51" s="107"/>
      <c r="L51" s="108"/>
      <c r="M51" s="110"/>
      <c r="N51" s="109"/>
      <c r="O51" s="108"/>
      <c r="P51" s="233"/>
      <c r="Q51" s="239"/>
      <c r="R51" s="19"/>
      <c r="S51" s="20"/>
      <c r="T51" s="9" t="str">
        <f t="shared" si="0"/>
        <v xml:space="preserve"> </v>
      </c>
      <c r="U51" s="18"/>
      <c r="V51" s="21"/>
      <c r="W51" s="22"/>
      <c r="X51" s="197" t="str">
        <f t="shared" si="1"/>
        <v xml:space="preserve"> </v>
      </c>
      <c r="Y51" s="246"/>
      <c r="Z51" s="247"/>
      <c r="AA51" s="20"/>
      <c r="AB51" s="11" t="str">
        <f t="shared" si="2"/>
        <v xml:space="preserve"> </v>
      </c>
      <c r="AC51" s="12" t="str">
        <f t="shared" si="3"/>
        <v xml:space="preserve"> </v>
      </c>
      <c r="AI51" s="14" t="str">
        <f t="shared" si="4"/>
        <v>TC Better Price</v>
      </c>
      <c r="AJ51" s="14" t="str">
        <f>IF(W51=0,"",(#REF!/W51))</f>
        <v/>
      </c>
    </row>
    <row r="52" spans="1:36" ht="20.100000000000001" customHeight="1" x14ac:dyDescent="0.25">
      <c r="A52" s="16"/>
      <c r="B52" s="108"/>
      <c r="C52" s="109"/>
      <c r="D52" s="109"/>
      <c r="E52" s="109"/>
      <c r="F52" s="17"/>
      <c r="G52" s="17"/>
      <c r="H52" s="108"/>
      <c r="I52" s="107"/>
      <c r="J52" s="108"/>
      <c r="K52" s="107"/>
      <c r="L52" s="108"/>
      <c r="M52" s="110"/>
      <c r="N52" s="109"/>
      <c r="O52" s="108"/>
      <c r="P52" s="233"/>
      <c r="Q52" s="239"/>
      <c r="R52" s="19"/>
      <c r="S52" s="20"/>
      <c r="T52" s="9" t="str">
        <f t="shared" si="0"/>
        <v xml:space="preserve"> </v>
      </c>
      <c r="U52" s="18"/>
      <c r="V52" s="21"/>
      <c r="W52" s="22"/>
      <c r="X52" s="197" t="str">
        <f t="shared" si="1"/>
        <v xml:space="preserve"> </v>
      </c>
      <c r="Y52" s="246"/>
      <c r="Z52" s="247"/>
      <c r="AA52" s="20"/>
      <c r="AB52" s="11" t="str">
        <f t="shared" si="2"/>
        <v xml:space="preserve"> </v>
      </c>
      <c r="AC52" s="12" t="str">
        <f t="shared" si="3"/>
        <v xml:space="preserve"> </v>
      </c>
      <c r="AI52" s="14" t="str">
        <f t="shared" si="4"/>
        <v>TC Better Price</v>
      </c>
      <c r="AJ52" s="14" t="str">
        <f>IF(W52=0,"",(#REF!/W52))</f>
        <v/>
      </c>
    </row>
    <row r="53" spans="1:36" ht="20.100000000000001" customHeight="1" x14ac:dyDescent="0.25">
      <c r="A53" s="16"/>
      <c r="B53" s="108"/>
      <c r="C53" s="109"/>
      <c r="D53" s="109"/>
      <c r="E53" s="109"/>
      <c r="F53" s="17"/>
      <c r="G53" s="17"/>
      <c r="H53" s="108"/>
      <c r="I53" s="107"/>
      <c r="J53" s="108"/>
      <c r="K53" s="107"/>
      <c r="L53" s="108"/>
      <c r="M53" s="110"/>
      <c r="N53" s="109"/>
      <c r="O53" s="108"/>
      <c r="P53" s="233"/>
      <c r="Q53" s="239"/>
      <c r="R53" s="19"/>
      <c r="S53" s="20"/>
      <c r="T53" s="9" t="str">
        <f t="shared" si="0"/>
        <v xml:space="preserve"> </v>
      </c>
      <c r="U53" s="18"/>
      <c r="V53" s="21"/>
      <c r="W53" s="22"/>
      <c r="X53" s="197" t="str">
        <f t="shared" si="1"/>
        <v xml:space="preserve"> </v>
      </c>
      <c r="Y53" s="246"/>
      <c r="Z53" s="247"/>
      <c r="AA53" s="20"/>
      <c r="AB53" s="11" t="str">
        <f t="shared" si="2"/>
        <v xml:space="preserve"> </v>
      </c>
      <c r="AC53" s="12" t="str">
        <f t="shared" si="3"/>
        <v xml:space="preserve"> </v>
      </c>
      <c r="AI53" s="14" t="str">
        <f t="shared" si="4"/>
        <v>TC Better Price</v>
      </c>
      <c r="AJ53" s="14" t="str">
        <f>IF(W53=0,"",(#REF!/W53))</f>
        <v/>
      </c>
    </row>
    <row r="54" spans="1:36" ht="20.100000000000001" customHeight="1" x14ac:dyDescent="0.25">
      <c r="A54" s="16"/>
      <c r="B54" s="108"/>
      <c r="C54" s="109"/>
      <c r="D54" s="109"/>
      <c r="E54" s="109"/>
      <c r="F54" s="17"/>
      <c r="G54" s="17"/>
      <c r="H54" s="108"/>
      <c r="I54" s="107"/>
      <c r="J54" s="108"/>
      <c r="K54" s="107"/>
      <c r="L54" s="108"/>
      <c r="M54" s="110"/>
      <c r="N54" s="109"/>
      <c r="O54" s="108"/>
      <c r="P54" s="233"/>
      <c r="Q54" s="239"/>
      <c r="R54" s="19"/>
      <c r="S54" s="20"/>
      <c r="T54" s="9" t="str">
        <f t="shared" si="0"/>
        <v xml:space="preserve"> </v>
      </c>
      <c r="U54" s="18"/>
      <c r="V54" s="21"/>
      <c r="W54" s="22"/>
      <c r="X54" s="197" t="str">
        <f t="shared" si="1"/>
        <v xml:space="preserve"> </v>
      </c>
      <c r="Y54" s="246"/>
      <c r="Z54" s="247"/>
      <c r="AA54" s="20"/>
      <c r="AB54" s="11" t="str">
        <f t="shared" si="2"/>
        <v xml:space="preserve"> </v>
      </c>
      <c r="AC54" s="12" t="str">
        <f t="shared" si="3"/>
        <v xml:space="preserve"> </v>
      </c>
      <c r="AI54" s="14" t="str">
        <f t="shared" si="4"/>
        <v>TC Better Price</v>
      </c>
      <c r="AJ54" s="14" t="str">
        <f>IF(W54=0,"",(#REF!/W54))</f>
        <v/>
      </c>
    </row>
    <row r="55" spans="1:36" ht="20.100000000000001" customHeight="1" x14ac:dyDescent="0.25">
      <c r="A55" s="16"/>
      <c r="B55" s="108"/>
      <c r="C55" s="109"/>
      <c r="D55" s="109"/>
      <c r="E55" s="109"/>
      <c r="F55" s="17"/>
      <c r="G55" s="17"/>
      <c r="H55" s="108"/>
      <c r="I55" s="107"/>
      <c r="J55" s="108"/>
      <c r="K55" s="107"/>
      <c r="L55" s="108"/>
      <c r="M55" s="110"/>
      <c r="N55" s="109"/>
      <c r="O55" s="108"/>
      <c r="P55" s="233"/>
      <c r="Q55" s="239"/>
      <c r="R55" s="19"/>
      <c r="S55" s="20"/>
      <c r="T55" s="9" t="str">
        <f t="shared" si="0"/>
        <v xml:space="preserve"> </v>
      </c>
      <c r="U55" s="18"/>
      <c r="V55" s="21"/>
      <c r="W55" s="22"/>
      <c r="X55" s="197" t="str">
        <f t="shared" si="1"/>
        <v xml:space="preserve"> </v>
      </c>
      <c r="Y55" s="246"/>
      <c r="Z55" s="247"/>
      <c r="AA55" s="20"/>
      <c r="AB55" s="11" t="str">
        <f t="shared" si="2"/>
        <v xml:space="preserve"> </v>
      </c>
      <c r="AC55" s="12" t="str">
        <f t="shared" si="3"/>
        <v xml:space="preserve"> </v>
      </c>
      <c r="AI55" s="14" t="str">
        <f t="shared" si="4"/>
        <v>TC Better Price</v>
      </c>
      <c r="AJ55" s="14" t="str">
        <f>IF(W55=0,"",(#REF!/W55))</f>
        <v/>
      </c>
    </row>
    <row r="56" spans="1:36" ht="20.100000000000001" customHeight="1" x14ac:dyDescent="0.25">
      <c r="A56" s="16"/>
      <c r="B56" s="108"/>
      <c r="C56" s="109"/>
      <c r="D56" s="109"/>
      <c r="E56" s="109"/>
      <c r="F56" s="17"/>
      <c r="G56" s="17"/>
      <c r="H56" s="108"/>
      <c r="I56" s="107"/>
      <c r="J56" s="108"/>
      <c r="K56" s="107"/>
      <c r="L56" s="108"/>
      <c r="M56" s="110"/>
      <c r="N56" s="109"/>
      <c r="O56" s="108"/>
      <c r="P56" s="233"/>
      <c r="Q56" s="239"/>
      <c r="R56" s="19"/>
      <c r="S56" s="20"/>
      <c r="T56" s="9" t="str">
        <f t="shared" si="0"/>
        <v xml:space="preserve"> </v>
      </c>
      <c r="U56" s="18"/>
      <c r="V56" s="21"/>
      <c r="W56" s="22"/>
      <c r="X56" s="197" t="str">
        <f t="shared" si="1"/>
        <v xml:space="preserve"> </v>
      </c>
      <c r="Y56" s="246"/>
      <c r="Z56" s="247"/>
      <c r="AA56" s="20"/>
      <c r="AB56" s="11" t="str">
        <f t="shared" si="2"/>
        <v xml:space="preserve"> </v>
      </c>
      <c r="AC56" s="12" t="str">
        <f t="shared" si="3"/>
        <v xml:space="preserve"> </v>
      </c>
      <c r="AI56" s="14" t="str">
        <f t="shared" si="4"/>
        <v>TC Better Price</v>
      </c>
      <c r="AJ56" s="14" t="str">
        <f>IF(W56=0,"",(#REF!/W56))</f>
        <v/>
      </c>
    </row>
    <row r="57" spans="1:36" ht="20.100000000000001" customHeight="1" x14ac:dyDescent="0.25">
      <c r="A57" s="16"/>
      <c r="B57" s="108"/>
      <c r="C57" s="109"/>
      <c r="D57" s="109"/>
      <c r="E57" s="109"/>
      <c r="F57" s="17"/>
      <c r="G57" s="17"/>
      <c r="H57" s="108"/>
      <c r="I57" s="107"/>
      <c r="J57" s="108"/>
      <c r="K57" s="107"/>
      <c r="L57" s="108"/>
      <c r="M57" s="110"/>
      <c r="N57" s="109"/>
      <c r="O57" s="108"/>
      <c r="P57" s="233"/>
      <c r="Q57" s="239"/>
      <c r="R57" s="19"/>
      <c r="S57" s="20"/>
      <c r="T57" s="9" t="str">
        <f t="shared" si="0"/>
        <v xml:space="preserve"> </v>
      </c>
      <c r="U57" s="18"/>
      <c r="V57" s="21"/>
      <c r="W57" s="22"/>
      <c r="X57" s="197" t="str">
        <f t="shared" si="1"/>
        <v xml:space="preserve"> </v>
      </c>
      <c r="Y57" s="246"/>
      <c r="Z57" s="247"/>
      <c r="AA57" s="20"/>
      <c r="AB57" s="11" t="str">
        <f t="shared" si="2"/>
        <v xml:space="preserve"> </v>
      </c>
      <c r="AC57" s="12" t="str">
        <f t="shared" si="3"/>
        <v xml:space="preserve"> </v>
      </c>
      <c r="AI57" s="14" t="str">
        <f t="shared" si="4"/>
        <v>TC Better Price</v>
      </c>
      <c r="AJ57" s="14" t="str">
        <f>IF(W57=0,"",(#REF!/W57))</f>
        <v/>
      </c>
    </row>
    <row r="58" spans="1:36" ht="20.100000000000001" customHeight="1" x14ac:dyDescent="0.25">
      <c r="A58" s="16"/>
      <c r="B58" s="108"/>
      <c r="C58" s="109"/>
      <c r="D58" s="109"/>
      <c r="E58" s="109"/>
      <c r="F58" s="17"/>
      <c r="G58" s="17"/>
      <c r="H58" s="108"/>
      <c r="I58" s="107"/>
      <c r="J58" s="108"/>
      <c r="K58" s="107"/>
      <c r="L58" s="108"/>
      <c r="M58" s="110"/>
      <c r="N58" s="109"/>
      <c r="O58" s="108"/>
      <c r="P58" s="233"/>
      <c r="Q58" s="239"/>
      <c r="R58" s="19"/>
      <c r="S58" s="20"/>
      <c r="T58" s="9" t="str">
        <f t="shared" si="0"/>
        <v xml:space="preserve"> </v>
      </c>
      <c r="U58" s="18"/>
      <c r="V58" s="21"/>
      <c r="W58" s="22"/>
      <c r="X58" s="197" t="str">
        <f t="shared" si="1"/>
        <v xml:space="preserve"> </v>
      </c>
      <c r="Y58" s="246"/>
      <c r="Z58" s="247"/>
      <c r="AA58" s="20"/>
      <c r="AB58" s="11" t="str">
        <f t="shared" si="2"/>
        <v xml:space="preserve"> </v>
      </c>
      <c r="AC58" s="12" t="str">
        <f t="shared" si="3"/>
        <v xml:space="preserve"> </v>
      </c>
      <c r="AI58" s="14" t="str">
        <f t="shared" si="4"/>
        <v>TC Better Price</v>
      </c>
      <c r="AJ58" s="14" t="str">
        <f>IF(W58=0,"",(#REF!/W58))</f>
        <v/>
      </c>
    </row>
    <row r="59" spans="1:36" ht="20.100000000000001" customHeight="1" x14ac:dyDescent="0.25">
      <c r="A59" s="16"/>
      <c r="B59" s="108"/>
      <c r="C59" s="109"/>
      <c r="D59" s="109"/>
      <c r="E59" s="109"/>
      <c r="F59" s="17"/>
      <c r="G59" s="17"/>
      <c r="H59" s="108"/>
      <c r="I59" s="107"/>
      <c r="J59" s="108"/>
      <c r="K59" s="107"/>
      <c r="L59" s="108"/>
      <c r="M59" s="110"/>
      <c r="N59" s="109"/>
      <c r="O59" s="108"/>
      <c r="P59" s="233"/>
      <c r="Q59" s="239"/>
      <c r="R59" s="19"/>
      <c r="S59" s="20"/>
      <c r="T59" s="9" t="str">
        <f t="shared" si="0"/>
        <v xml:space="preserve"> </v>
      </c>
      <c r="U59" s="18"/>
      <c r="V59" s="21"/>
      <c r="W59" s="22"/>
      <c r="X59" s="197" t="str">
        <f t="shared" si="1"/>
        <v xml:space="preserve"> </v>
      </c>
      <c r="Y59" s="246"/>
      <c r="Z59" s="247"/>
      <c r="AA59" s="20"/>
      <c r="AB59" s="11" t="str">
        <f t="shared" si="2"/>
        <v xml:space="preserve"> </v>
      </c>
      <c r="AC59" s="12" t="str">
        <f t="shared" si="3"/>
        <v xml:space="preserve"> </v>
      </c>
      <c r="AI59" s="14" t="str">
        <f t="shared" si="4"/>
        <v>TC Better Price</v>
      </c>
      <c r="AJ59" s="14" t="str">
        <f>IF(W59=0,"",(#REF!/W59))</f>
        <v/>
      </c>
    </row>
    <row r="60" spans="1:36" ht="20.100000000000001" customHeight="1" x14ac:dyDescent="0.25">
      <c r="A60" s="16"/>
      <c r="B60" s="108"/>
      <c r="C60" s="109"/>
      <c r="D60" s="109"/>
      <c r="E60" s="109"/>
      <c r="F60" s="17"/>
      <c r="G60" s="17"/>
      <c r="H60" s="108"/>
      <c r="I60" s="107"/>
      <c r="J60" s="108"/>
      <c r="K60" s="107"/>
      <c r="L60" s="108"/>
      <c r="M60" s="110"/>
      <c r="N60" s="109"/>
      <c r="O60" s="108"/>
      <c r="P60" s="233"/>
      <c r="Q60" s="239"/>
      <c r="R60" s="19"/>
      <c r="S60" s="20"/>
      <c r="T60" s="9" t="str">
        <f t="shared" si="0"/>
        <v xml:space="preserve"> </v>
      </c>
      <c r="U60" s="18"/>
      <c r="V60" s="21"/>
      <c r="W60" s="22"/>
      <c r="X60" s="197" t="str">
        <f t="shared" si="1"/>
        <v xml:space="preserve"> </v>
      </c>
      <c r="Y60" s="246"/>
      <c r="Z60" s="247"/>
      <c r="AA60" s="20"/>
      <c r="AB60" s="11" t="str">
        <f t="shared" si="2"/>
        <v xml:space="preserve"> </v>
      </c>
      <c r="AC60" s="12" t="str">
        <f t="shared" si="3"/>
        <v xml:space="preserve"> </v>
      </c>
      <c r="AI60" s="14" t="str">
        <f t="shared" si="4"/>
        <v>TC Better Price</v>
      </c>
      <c r="AJ60" s="14" t="str">
        <f>IF(W60=0,"",(#REF!/W60))</f>
        <v/>
      </c>
    </row>
    <row r="61" spans="1:36" ht="20.100000000000001" customHeight="1" x14ac:dyDescent="0.25">
      <c r="A61" s="16"/>
      <c r="B61" s="108"/>
      <c r="C61" s="109"/>
      <c r="D61" s="109"/>
      <c r="E61" s="109"/>
      <c r="F61" s="17"/>
      <c r="G61" s="17"/>
      <c r="H61" s="108"/>
      <c r="I61" s="107"/>
      <c r="J61" s="108"/>
      <c r="K61" s="107"/>
      <c r="L61" s="108"/>
      <c r="M61" s="110"/>
      <c r="N61" s="109"/>
      <c r="O61" s="108"/>
      <c r="P61" s="233"/>
      <c r="Q61" s="239"/>
      <c r="R61" s="19"/>
      <c r="S61" s="20"/>
      <c r="T61" s="9" t="str">
        <f t="shared" si="0"/>
        <v xml:space="preserve"> </v>
      </c>
      <c r="U61" s="18"/>
      <c r="V61" s="21"/>
      <c r="W61" s="22"/>
      <c r="X61" s="197" t="str">
        <f t="shared" si="1"/>
        <v xml:space="preserve"> </v>
      </c>
      <c r="Y61" s="246"/>
      <c r="Z61" s="247"/>
      <c r="AA61" s="20"/>
      <c r="AB61" s="11" t="str">
        <f t="shared" si="2"/>
        <v xml:space="preserve"> </v>
      </c>
      <c r="AC61" s="12" t="str">
        <f t="shared" si="3"/>
        <v xml:space="preserve"> </v>
      </c>
      <c r="AI61" s="14" t="str">
        <f t="shared" si="4"/>
        <v>TC Better Price</v>
      </c>
      <c r="AJ61" s="14" t="str">
        <f>IF(W61=0,"",(#REF!/W61))</f>
        <v/>
      </c>
    </row>
    <row r="62" spans="1:36" ht="20.100000000000001" customHeight="1" x14ac:dyDescent="0.25">
      <c r="A62" s="16"/>
      <c r="B62" s="108"/>
      <c r="C62" s="109"/>
      <c r="D62" s="109"/>
      <c r="E62" s="109"/>
      <c r="F62" s="17"/>
      <c r="G62" s="17"/>
      <c r="H62" s="108"/>
      <c r="I62" s="107"/>
      <c r="J62" s="108"/>
      <c r="K62" s="107"/>
      <c r="L62" s="108"/>
      <c r="M62" s="110"/>
      <c r="N62" s="109"/>
      <c r="O62" s="108"/>
      <c r="P62" s="233"/>
      <c r="Q62" s="239"/>
      <c r="R62" s="19"/>
      <c r="S62" s="20"/>
      <c r="T62" s="9" t="str">
        <f t="shared" si="0"/>
        <v xml:space="preserve"> </v>
      </c>
      <c r="U62" s="18"/>
      <c r="V62" s="21"/>
      <c r="W62" s="22"/>
      <c r="X62" s="197" t="str">
        <f t="shared" si="1"/>
        <v xml:space="preserve"> </v>
      </c>
      <c r="Y62" s="246"/>
      <c r="Z62" s="247"/>
      <c r="AA62" s="20"/>
      <c r="AB62" s="11" t="str">
        <f t="shared" si="2"/>
        <v xml:space="preserve"> </v>
      </c>
      <c r="AC62" s="12" t="str">
        <f t="shared" si="3"/>
        <v xml:space="preserve"> </v>
      </c>
      <c r="AI62" s="14" t="str">
        <f t="shared" si="4"/>
        <v>TC Better Price</v>
      </c>
      <c r="AJ62" s="14" t="str">
        <f>IF(W62=0,"",(#REF!/W62))</f>
        <v/>
      </c>
    </row>
    <row r="63" spans="1:36" ht="20.100000000000001" customHeight="1" x14ac:dyDescent="0.25">
      <c r="A63" s="16"/>
      <c r="B63" s="108"/>
      <c r="C63" s="109"/>
      <c r="D63" s="109"/>
      <c r="E63" s="109"/>
      <c r="F63" s="17"/>
      <c r="G63" s="17"/>
      <c r="H63" s="108"/>
      <c r="I63" s="107"/>
      <c r="J63" s="108"/>
      <c r="K63" s="107"/>
      <c r="L63" s="108"/>
      <c r="M63" s="110"/>
      <c r="N63" s="109"/>
      <c r="O63" s="108"/>
      <c r="P63" s="233"/>
      <c r="Q63" s="239"/>
      <c r="R63" s="19"/>
      <c r="S63" s="20"/>
      <c r="T63" s="9" t="str">
        <f t="shared" si="0"/>
        <v xml:space="preserve"> </v>
      </c>
      <c r="U63" s="18"/>
      <c r="V63" s="21"/>
      <c r="W63" s="22"/>
      <c r="X63" s="197" t="str">
        <f t="shared" si="1"/>
        <v xml:space="preserve"> </v>
      </c>
      <c r="Y63" s="246"/>
      <c r="Z63" s="247"/>
      <c r="AA63" s="20"/>
      <c r="AB63" s="11" t="str">
        <f t="shared" si="2"/>
        <v xml:space="preserve"> </v>
      </c>
      <c r="AC63" s="12" t="str">
        <f t="shared" si="3"/>
        <v xml:space="preserve"> </v>
      </c>
      <c r="AI63" s="14" t="str">
        <f t="shared" si="4"/>
        <v>TC Better Price</v>
      </c>
      <c r="AJ63" s="14" t="str">
        <f>IF(W63=0,"",(#REF!/W63))</f>
        <v/>
      </c>
    </row>
    <row r="64" spans="1:36" ht="20.100000000000001" customHeight="1" x14ac:dyDescent="0.25">
      <c r="A64" s="16"/>
      <c r="B64" s="108"/>
      <c r="C64" s="109"/>
      <c r="D64" s="109"/>
      <c r="E64" s="109"/>
      <c r="F64" s="17"/>
      <c r="G64" s="17"/>
      <c r="H64" s="108"/>
      <c r="I64" s="107"/>
      <c r="J64" s="108"/>
      <c r="K64" s="107"/>
      <c r="L64" s="108"/>
      <c r="M64" s="110"/>
      <c r="N64" s="109"/>
      <c r="O64" s="108"/>
      <c r="P64" s="233"/>
      <c r="Q64" s="239"/>
      <c r="R64" s="19"/>
      <c r="S64" s="20"/>
      <c r="T64" s="9" t="str">
        <f t="shared" si="0"/>
        <v xml:space="preserve"> </v>
      </c>
      <c r="U64" s="18"/>
      <c r="V64" s="21"/>
      <c r="W64" s="22"/>
      <c r="X64" s="197" t="str">
        <f t="shared" si="1"/>
        <v xml:space="preserve"> </v>
      </c>
      <c r="Y64" s="246"/>
      <c r="Z64" s="247"/>
      <c r="AA64" s="20"/>
      <c r="AB64" s="11" t="str">
        <f t="shared" si="2"/>
        <v xml:space="preserve"> </v>
      </c>
      <c r="AC64" s="12" t="str">
        <f t="shared" si="3"/>
        <v xml:space="preserve"> </v>
      </c>
      <c r="AI64" s="14" t="str">
        <f t="shared" si="4"/>
        <v>TC Better Price</v>
      </c>
      <c r="AJ64" s="14" t="str">
        <f>IF(W64=0,"",(#REF!/W64))</f>
        <v/>
      </c>
    </row>
    <row r="65" spans="1:36" ht="20.100000000000001" customHeight="1" x14ac:dyDescent="0.25">
      <c r="A65" s="16"/>
      <c r="B65" s="108"/>
      <c r="C65" s="109"/>
      <c r="D65" s="109"/>
      <c r="E65" s="109"/>
      <c r="F65" s="17"/>
      <c r="G65" s="17"/>
      <c r="H65" s="108"/>
      <c r="I65" s="107"/>
      <c r="J65" s="108"/>
      <c r="K65" s="107"/>
      <c r="L65" s="108"/>
      <c r="M65" s="110"/>
      <c r="N65" s="109"/>
      <c r="O65" s="108"/>
      <c r="P65" s="233"/>
      <c r="Q65" s="239"/>
      <c r="R65" s="19"/>
      <c r="S65" s="20"/>
      <c r="T65" s="9" t="str">
        <f t="shared" si="0"/>
        <v xml:space="preserve"> </v>
      </c>
      <c r="U65" s="18"/>
      <c r="V65" s="21"/>
      <c r="W65" s="22"/>
      <c r="X65" s="197" t="str">
        <f t="shared" si="1"/>
        <v xml:space="preserve"> </v>
      </c>
      <c r="Y65" s="246"/>
      <c r="Z65" s="247"/>
      <c r="AA65" s="20"/>
      <c r="AB65" s="11" t="str">
        <f t="shared" si="2"/>
        <v xml:space="preserve"> </v>
      </c>
      <c r="AC65" s="12" t="str">
        <f t="shared" si="3"/>
        <v xml:space="preserve"> </v>
      </c>
      <c r="AI65" s="14" t="str">
        <f t="shared" si="4"/>
        <v>TC Better Price</v>
      </c>
      <c r="AJ65" s="14" t="str">
        <f>IF(W65=0,"",(#REF!/W65))</f>
        <v/>
      </c>
    </row>
    <row r="66" spans="1:36" ht="20.100000000000001" customHeight="1" x14ac:dyDescent="0.25">
      <c r="A66" s="16"/>
      <c r="B66" s="108"/>
      <c r="C66" s="109"/>
      <c r="D66" s="109"/>
      <c r="E66" s="109"/>
      <c r="F66" s="17"/>
      <c r="G66" s="17"/>
      <c r="H66" s="108"/>
      <c r="I66" s="107"/>
      <c r="J66" s="108"/>
      <c r="K66" s="107"/>
      <c r="L66" s="108"/>
      <c r="M66" s="110"/>
      <c r="N66" s="109"/>
      <c r="O66" s="108"/>
      <c r="P66" s="233"/>
      <c r="Q66" s="239"/>
      <c r="R66" s="19"/>
      <c r="S66" s="20"/>
      <c r="T66" s="9" t="str">
        <f t="shared" si="0"/>
        <v xml:space="preserve"> </v>
      </c>
      <c r="U66" s="18"/>
      <c r="V66" s="21"/>
      <c r="W66" s="22"/>
      <c r="X66" s="197" t="str">
        <f t="shared" si="1"/>
        <v xml:space="preserve"> </v>
      </c>
      <c r="Y66" s="246"/>
      <c r="Z66" s="247"/>
      <c r="AA66" s="20"/>
      <c r="AB66" s="11" t="str">
        <f t="shared" si="2"/>
        <v xml:space="preserve"> </v>
      </c>
      <c r="AC66" s="12" t="str">
        <f t="shared" si="3"/>
        <v xml:space="preserve"> </v>
      </c>
      <c r="AI66" s="14" t="str">
        <f t="shared" si="4"/>
        <v>TC Better Price</v>
      </c>
      <c r="AJ66" s="14" t="str">
        <f>IF(W66=0,"",(#REF!/W66))</f>
        <v/>
      </c>
    </row>
    <row r="67" spans="1:36" ht="20.100000000000001" customHeight="1" x14ac:dyDescent="0.25">
      <c r="A67" s="16"/>
      <c r="B67" s="108"/>
      <c r="C67" s="109"/>
      <c r="D67" s="109"/>
      <c r="E67" s="109"/>
      <c r="F67" s="17"/>
      <c r="G67" s="17"/>
      <c r="H67" s="108"/>
      <c r="I67" s="107"/>
      <c r="J67" s="108"/>
      <c r="K67" s="107"/>
      <c r="L67" s="108"/>
      <c r="M67" s="110"/>
      <c r="N67" s="109"/>
      <c r="O67" s="108"/>
      <c r="P67" s="233"/>
      <c r="Q67" s="239"/>
      <c r="R67" s="19"/>
      <c r="S67" s="20"/>
      <c r="T67" s="9" t="str">
        <f t="shared" si="0"/>
        <v xml:space="preserve"> </v>
      </c>
      <c r="U67" s="18"/>
      <c r="V67" s="21"/>
      <c r="W67" s="22"/>
      <c r="X67" s="197" t="str">
        <f t="shared" si="1"/>
        <v xml:space="preserve"> </v>
      </c>
      <c r="Y67" s="246"/>
      <c r="Z67" s="247"/>
      <c r="AA67" s="20"/>
      <c r="AB67" s="11" t="str">
        <f t="shared" si="2"/>
        <v xml:space="preserve"> </v>
      </c>
      <c r="AC67" s="12" t="str">
        <f t="shared" si="3"/>
        <v xml:space="preserve"> </v>
      </c>
      <c r="AI67" s="14" t="str">
        <f t="shared" ref="AI67:AI130" si="5">IF(W67&lt;=S67,"TC Better Price","MFC Better Price")</f>
        <v>TC Better Price</v>
      </c>
      <c r="AJ67" s="14" t="str">
        <f>IF(W67=0,"",(#REF!/W67))</f>
        <v/>
      </c>
    </row>
    <row r="68" spans="1:36" ht="20.100000000000001" customHeight="1" x14ac:dyDescent="0.25">
      <c r="A68" s="16"/>
      <c r="B68" s="108"/>
      <c r="C68" s="109"/>
      <c r="D68" s="109"/>
      <c r="E68" s="109"/>
      <c r="F68" s="17"/>
      <c r="G68" s="17"/>
      <c r="H68" s="108"/>
      <c r="I68" s="107"/>
      <c r="J68" s="108"/>
      <c r="K68" s="107"/>
      <c r="L68" s="108"/>
      <c r="M68" s="110"/>
      <c r="N68" s="109"/>
      <c r="O68" s="108"/>
      <c r="P68" s="233"/>
      <c r="Q68" s="239"/>
      <c r="R68" s="19"/>
      <c r="S68" s="20"/>
      <c r="T68" s="9" t="str">
        <f t="shared" ref="T68:T131" si="6">IF(ISBLANK(R68)," ",((ROUND(S68,2)-(ROUND(R68,2)))/(ROUND(R68,2))))</f>
        <v xml:space="preserve"> </v>
      </c>
      <c r="U68" s="18"/>
      <c r="V68" s="21"/>
      <c r="W68" s="22"/>
      <c r="X68" s="197" t="str">
        <f t="shared" ref="X68:X131" si="7">IF(ISBLANK(R68)," ",((ROUND(W68,2))-(ROUND(R68,2)))/(ROUND(R68,2)))</f>
        <v xml:space="preserve"> </v>
      </c>
      <c r="Y68" s="246"/>
      <c r="Z68" s="247"/>
      <c r="AA68" s="20"/>
      <c r="AB68" s="11" t="str">
        <f t="shared" ref="AB68:AB131" si="8">IF(ISBLANK(R68)," ",((ROUND(AA68,2))-(ROUND(R68,2)))/(ROUND(R68,2)))</f>
        <v xml:space="preserve"> </v>
      </c>
      <c r="AC68" s="12" t="str">
        <f t="shared" ref="AC68:AC131" si="9">IF(ISBLANK(AA68)," ",(ROUND(AA68,2)/0.995))</f>
        <v xml:space="preserve"> </v>
      </c>
      <c r="AI68" s="14" t="str">
        <f t="shared" si="5"/>
        <v>TC Better Price</v>
      </c>
      <c r="AJ68" s="14" t="str">
        <f>IF(W68=0,"",(#REF!/W68))</f>
        <v/>
      </c>
    </row>
    <row r="69" spans="1:36" ht="20.100000000000001" customHeight="1" x14ac:dyDescent="0.25">
      <c r="A69" s="16"/>
      <c r="B69" s="108"/>
      <c r="C69" s="109"/>
      <c r="D69" s="109"/>
      <c r="E69" s="109"/>
      <c r="F69" s="17"/>
      <c r="G69" s="17"/>
      <c r="H69" s="108"/>
      <c r="I69" s="107"/>
      <c r="J69" s="108"/>
      <c r="K69" s="107"/>
      <c r="L69" s="108"/>
      <c r="M69" s="110"/>
      <c r="N69" s="109"/>
      <c r="O69" s="108"/>
      <c r="P69" s="233"/>
      <c r="Q69" s="239"/>
      <c r="R69" s="19"/>
      <c r="S69" s="20"/>
      <c r="T69" s="9" t="str">
        <f t="shared" si="6"/>
        <v xml:space="preserve"> </v>
      </c>
      <c r="U69" s="18"/>
      <c r="V69" s="21"/>
      <c r="W69" s="22"/>
      <c r="X69" s="197" t="str">
        <f t="shared" si="7"/>
        <v xml:space="preserve"> </v>
      </c>
      <c r="Y69" s="246"/>
      <c r="Z69" s="247"/>
      <c r="AA69" s="20"/>
      <c r="AB69" s="11" t="str">
        <f t="shared" si="8"/>
        <v xml:space="preserve"> </v>
      </c>
      <c r="AC69" s="12" t="str">
        <f t="shared" si="9"/>
        <v xml:space="preserve"> </v>
      </c>
      <c r="AI69" s="14" t="str">
        <f t="shared" si="5"/>
        <v>TC Better Price</v>
      </c>
      <c r="AJ69" s="14" t="str">
        <f>IF(W69=0,"",(#REF!/W69))</f>
        <v/>
      </c>
    </row>
    <row r="70" spans="1:36" ht="20.100000000000001" customHeight="1" x14ac:dyDescent="0.25">
      <c r="A70" s="16"/>
      <c r="B70" s="108"/>
      <c r="C70" s="109"/>
      <c r="D70" s="109"/>
      <c r="E70" s="109"/>
      <c r="F70" s="17"/>
      <c r="G70" s="17"/>
      <c r="H70" s="108"/>
      <c r="I70" s="107"/>
      <c r="J70" s="108"/>
      <c r="K70" s="107"/>
      <c r="L70" s="108"/>
      <c r="M70" s="110"/>
      <c r="N70" s="109"/>
      <c r="O70" s="108"/>
      <c r="P70" s="233"/>
      <c r="Q70" s="239"/>
      <c r="R70" s="19"/>
      <c r="S70" s="20"/>
      <c r="T70" s="9" t="str">
        <f t="shared" si="6"/>
        <v xml:space="preserve"> </v>
      </c>
      <c r="U70" s="18"/>
      <c r="V70" s="21"/>
      <c r="W70" s="22"/>
      <c r="X70" s="197" t="str">
        <f t="shared" si="7"/>
        <v xml:space="preserve"> </v>
      </c>
      <c r="Y70" s="246"/>
      <c r="Z70" s="247"/>
      <c r="AA70" s="20"/>
      <c r="AB70" s="11" t="str">
        <f t="shared" si="8"/>
        <v xml:space="preserve"> </v>
      </c>
      <c r="AC70" s="12" t="str">
        <f t="shared" si="9"/>
        <v xml:space="preserve"> </v>
      </c>
      <c r="AI70" s="14" t="str">
        <f t="shared" si="5"/>
        <v>TC Better Price</v>
      </c>
      <c r="AJ70" s="14" t="str">
        <f>IF(W70=0,"",(#REF!/W70))</f>
        <v/>
      </c>
    </row>
    <row r="71" spans="1:36" ht="20.100000000000001" customHeight="1" x14ac:dyDescent="0.25">
      <c r="A71" s="16"/>
      <c r="B71" s="108"/>
      <c r="C71" s="109"/>
      <c r="D71" s="109"/>
      <c r="E71" s="109"/>
      <c r="F71" s="17"/>
      <c r="G71" s="17"/>
      <c r="H71" s="108"/>
      <c r="I71" s="107"/>
      <c r="J71" s="108"/>
      <c r="K71" s="107"/>
      <c r="L71" s="108"/>
      <c r="M71" s="110"/>
      <c r="N71" s="109"/>
      <c r="O71" s="108"/>
      <c r="P71" s="233"/>
      <c r="Q71" s="239"/>
      <c r="R71" s="19"/>
      <c r="S71" s="20"/>
      <c r="T71" s="9" t="str">
        <f t="shared" si="6"/>
        <v xml:space="preserve"> </v>
      </c>
      <c r="U71" s="18"/>
      <c r="V71" s="21"/>
      <c r="W71" s="22"/>
      <c r="X71" s="197" t="str">
        <f t="shared" si="7"/>
        <v xml:space="preserve"> </v>
      </c>
      <c r="Y71" s="246"/>
      <c r="Z71" s="247"/>
      <c r="AA71" s="20"/>
      <c r="AB71" s="11" t="str">
        <f t="shared" si="8"/>
        <v xml:space="preserve"> </v>
      </c>
      <c r="AC71" s="12" t="str">
        <f t="shared" si="9"/>
        <v xml:space="preserve"> </v>
      </c>
      <c r="AI71" s="14" t="str">
        <f t="shared" si="5"/>
        <v>TC Better Price</v>
      </c>
      <c r="AJ71" s="14" t="str">
        <f>IF(W71=0,"",(#REF!/W71))</f>
        <v/>
      </c>
    </row>
    <row r="72" spans="1:36" ht="20.100000000000001" customHeight="1" x14ac:dyDescent="0.25">
      <c r="A72" s="16"/>
      <c r="B72" s="108"/>
      <c r="C72" s="109"/>
      <c r="D72" s="109"/>
      <c r="E72" s="109"/>
      <c r="F72" s="17"/>
      <c r="G72" s="17"/>
      <c r="H72" s="108"/>
      <c r="I72" s="107"/>
      <c r="J72" s="108"/>
      <c r="K72" s="107"/>
      <c r="L72" s="108"/>
      <c r="M72" s="110"/>
      <c r="N72" s="109"/>
      <c r="O72" s="108"/>
      <c r="P72" s="233"/>
      <c r="Q72" s="239"/>
      <c r="R72" s="19"/>
      <c r="S72" s="20"/>
      <c r="T72" s="9" t="str">
        <f t="shared" si="6"/>
        <v xml:space="preserve"> </v>
      </c>
      <c r="U72" s="18"/>
      <c r="V72" s="21"/>
      <c r="W72" s="22"/>
      <c r="X72" s="197" t="str">
        <f t="shared" si="7"/>
        <v xml:space="preserve"> </v>
      </c>
      <c r="Y72" s="246"/>
      <c r="Z72" s="247"/>
      <c r="AA72" s="20"/>
      <c r="AB72" s="11" t="str">
        <f t="shared" si="8"/>
        <v xml:space="preserve"> </v>
      </c>
      <c r="AC72" s="12" t="str">
        <f t="shared" si="9"/>
        <v xml:space="preserve"> </v>
      </c>
      <c r="AI72" s="14" t="str">
        <f t="shared" si="5"/>
        <v>TC Better Price</v>
      </c>
      <c r="AJ72" s="14" t="str">
        <f>IF(W72=0,"",(#REF!/W72))</f>
        <v/>
      </c>
    </row>
    <row r="73" spans="1:36" ht="20.100000000000001" customHeight="1" x14ac:dyDescent="0.25">
      <c r="A73" s="16"/>
      <c r="B73" s="108"/>
      <c r="C73" s="109"/>
      <c r="D73" s="109"/>
      <c r="E73" s="109"/>
      <c r="F73" s="17"/>
      <c r="G73" s="17"/>
      <c r="H73" s="108"/>
      <c r="I73" s="107"/>
      <c r="J73" s="108"/>
      <c r="K73" s="107"/>
      <c r="L73" s="108"/>
      <c r="M73" s="110"/>
      <c r="N73" s="109"/>
      <c r="O73" s="108"/>
      <c r="P73" s="233"/>
      <c r="Q73" s="239"/>
      <c r="R73" s="19"/>
      <c r="S73" s="20"/>
      <c r="T73" s="9" t="str">
        <f t="shared" si="6"/>
        <v xml:space="preserve"> </v>
      </c>
      <c r="U73" s="18"/>
      <c r="V73" s="21"/>
      <c r="W73" s="22"/>
      <c r="X73" s="197" t="str">
        <f t="shared" si="7"/>
        <v xml:space="preserve"> </v>
      </c>
      <c r="Y73" s="246"/>
      <c r="Z73" s="247"/>
      <c r="AA73" s="20"/>
      <c r="AB73" s="11" t="str">
        <f t="shared" si="8"/>
        <v xml:space="preserve"> </v>
      </c>
      <c r="AC73" s="12" t="str">
        <f t="shared" si="9"/>
        <v xml:space="preserve"> </v>
      </c>
      <c r="AI73" s="14" t="str">
        <f t="shared" si="5"/>
        <v>TC Better Price</v>
      </c>
      <c r="AJ73" s="14" t="str">
        <f>IF(W73=0,"",(#REF!/W73))</f>
        <v/>
      </c>
    </row>
    <row r="74" spans="1:36" ht="20.100000000000001" customHeight="1" x14ac:dyDescent="0.25">
      <c r="A74" s="16"/>
      <c r="B74" s="108"/>
      <c r="C74" s="109"/>
      <c r="D74" s="109"/>
      <c r="E74" s="109"/>
      <c r="F74" s="17"/>
      <c r="G74" s="17"/>
      <c r="H74" s="108"/>
      <c r="I74" s="107"/>
      <c r="J74" s="108"/>
      <c r="K74" s="107"/>
      <c r="L74" s="108"/>
      <c r="M74" s="110"/>
      <c r="N74" s="109"/>
      <c r="O74" s="108"/>
      <c r="P74" s="233"/>
      <c r="Q74" s="239"/>
      <c r="R74" s="19"/>
      <c r="S74" s="20"/>
      <c r="T74" s="9" t="str">
        <f t="shared" si="6"/>
        <v xml:space="preserve"> </v>
      </c>
      <c r="U74" s="18"/>
      <c r="V74" s="21"/>
      <c r="W74" s="22"/>
      <c r="X74" s="197" t="str">
        <f t="shared" si="7"/>
        <v xml:space="preserve"> </v>
      </c>
      <c r="Y74" s="246"/>
      <c r="Z74" s="247"/>
      <c r="AA74" s="20"/>
      <c r="AB74" s="11" t="str">
        <f t="shared" si="8"/>
        <v xml:space="preserve"> </v>
      </c>
      <c r="AC74" s="12" t="str">
        <f t="shared" si="9"/>
        <v xml:space="preserve"> </v>
      </c>
      <c r="AI74" s="14" t="str">
        <f t="shared" si="5"/>
        <v>TC Better Price</v>
      </c>
      <c r="AJ74" s="14" t="str">
        <f>IF(W74=0,"",(#REF!/W74))</f>
        <v/>
      </c>
    </row>
    <row r="75" spans="1:36" ht="20.100000000000001" customHeight="1" x14ac:dyDescent="0.25">
      <c r="A75" s="16"/>
      <c r="B75" s="108"/>
      <c r="C75" s="109"/>
      <c r="D75" s="109"/>
      <c r="E75" s="109"/>
      <c r="F75" s="17"/>
      <c r="G75" s="17"/>
      <c r="H75" s="108"/>
      <c r="I75" s="107"/>
      <c r="J75" s="108"/>
      <c r="K75" s="107"/>
      <c r="L75" s="108"/>
      <c r="M75" s="110"/>
      <c r="N75" s="109"/>
      <c r="O75" s="108"/>
      <c r="P75" s="233"/>
      <c r="Q75" s="239"/>
      <c r="R75" s="19"/>
      <c r="S75" s="20"/>
      <c r="T75" s="9" t="str">
        <f t="shared" si="6"/>
        <v xml:space="preserve"> </v>
      </c>
      <c r="U75" s="18"/>
      <c r="V75" s="21"/>
      <c r="W75" s="22"/>
      <c r="X75" s="197" t="str">
        <f t="shared" si="7"/>
        <v xml:space="preserve"> </v>
      </c>
      <c r="Y75" s="246"/>
      <c r="Z75" s="247"/>
      <c r="AA75" s="20"/>
      <c r="AB75" s="11" t="str">
        <f t="shared" si="8"/>
        <v xml:space="preserve"> </v>
      </c>
      <c r="AC75" s="12" t="str">
        <f t="shared" si="9"/>
        <v xml:space="preserve"> </v>
      </c>
      <c r="AI75" s="14" t="str">
        <f t="shared" si="5"/>
        <v>TC Better Price</v>
      </c>
      <c r="AJ75" s="14" t="str">
        <f>IF(W75=0,"",(#REF!/W75))</f>
        <v/>
      </c>
    </row>
    <row r="76" spans="1:36" ht="20.100000000000001" customHeight="1" x14ac:dyDescent="0.25">
      <c r="A76" s="16"/>
      <c r="B76" s="108"/>
      <c r="C76" s="109"/>
      <c r="D76" s="109"/>
      <c r="E76" s="109"/>
      <c r="F76" s="17"/>
      <c r="G76" s="17"/>
      <c r="H76" s="108"/>
      <c r="I76" s="107"/>
      <c r="J76" s="108"/>
      <c r="K76" s="107"/>
      <c r="L76" s="108"/>
      <c r="M76" s="110"/>
      <c r="N76" s="109"/>
      <c r="O76" s="108"/>
      <c r="P76" s="233"/>
      <c r="Q76" s="239"/>
      <c r="R76" s="19"/>
      <c r="S76" s="20"/>
      <c r="T76" s="9" t="str">
        <f t="shared" si="6"/>
        <v xml:space="preserve"> </v>
      </c>
      <c r="U76" s="18"/>
      <c r="V76" s="21"/>
      <c r="W76" s="22"/>
      <c r="X76" s="197" t="str">
        <f t="shared" si="7"/>
        <v xml:space="preserve"> </v>
      </c>
      <c r="Y76" s="246"/>
      <c r="Z76" s="247"/>
      <c r="AA76" s="20"/>
      <c r="AB76" s="11" t="str">
        <f t="shared" si="8"/>
        <v xml:space="preserve"> </v>
      </c>
      <c r="AC76" s="12" t="str">
        <f t="shared" si="9"/>
        <v xml:space="preserve"> </v>
      </c>
      <c r="AI76" s="14" t="str">
        <f t="shared" si="5"/>
        <v>TC Better Price</v>
      </c>
      <c r="AJ76" s="14" t="str">
        <f>IF(W76=0,"",(#REF!/W76))</f>
        <v/>
      </c>
    </row>
    <row r="77" spans="1:36" ht="20.100000000000001" customHeight="1" x14ac:dyDescent="0.25">
      <c r="A77" s="16"/>
      <c r="B77" s="108"/>
      <c r="C77" s="109"/>
      <c r="D77" s="109"/>
      <c r="E77" s="109"/>
      <c r="F77" s="17"/>
      <c r="G77" s="17"/>
      <c r="H77" s="108"/>
      <c r="I77" s="107"/>
      <c r="J77" s="108"/>
      <c r="K77" s="107"/>
      <c r="L77" s="108"/>
      <c r="M77" s="110"/>
      <c r="N77" s="109"/>
      <c r="O77" s="108"/>
      <c r="P77" s="233"/>
      <c r="Q77" s="239"/>
      <c r="R77" s="19"/>
      <c r="S77" s="20"/>
      <c r="T77" s="9" t="str">
        <f t="shared" si="6"/>
        <v xml:space="preserve"> </v>
      </c>
      <c r="U77" s="18"/>
      <c r="V77" s="21"/>
      <c r="W77" s="22"/>
      <c r="X77" s="197" t="str">
        <f t="shared" si="7"/>
        <v xml:space="preserve"> </v>
      </c>
      <c r="Y77" s="246"/>
      <c r="Z77" s="247"/>
      <c r="AA77" s="20"/>
      <c r="AB77" s="11" t="str">
        <f t="shared" si="8"/>
        <v xml:space="preserve"> </v>
      </c>
      <c r="AC77" s="12" t="str">
        <f t="shared" si="9"/>
        <v xml:space="preserve"> </v>
      </c>
      <c r="AI77" s="14" t="str">
        <f t="shared" si="5"/>
        <v>TC Better Price</v>
      </c>
      <c r="AJ77" s="14" t="str">
        <f>IF(W77=0,"",(#REF!/W77))</f>
        <v/>
      </c>
    </row>
    <row r="78" spans="1:36" ht="20.100000000000001" customHeight="1" x14ac:dyDescent="0.25">
      <c r="A78" s="16"/>
      <c r="B78" s="108"/>
      <c r="C78" s="109"/>
      <c r="D78" s="109"/>
      <c r="E78" s="109"/>
      <c r="F78" s="17"/>
      <c r="G78" s="17"/>
      <c r="H78" s="108"/>
      <c r="I78" s="107"/>
      <c r="J78" s="108"/>
      <c r="K78" s="107"/>
      <c r="L78" s="108"/>
      <c r="M78" s="110"/>
      <c r="N78" s="109"/>
      <c r="O78" s="108"/>
      <c r="P78" s="233"/>
      <c r="Q78" s="239"/>
      <c r="R78" s="19"/>
      <c r="S78" s="20"/>
      <c r="T78" s="9" t="str">
        <f t="shared" si="6"/>
        <v xml:space="preserve"> </v>
      </c>
      <c r="U78" s="18"/>
      <c r="V78" s="21"/>
      <c r="W78" s="22"/>
      <c r="X78" s="197" t="str">
        <f t="shared" si="7"/>
        <v xml:space="preserve"> </v>
      </c>
      <c r="Y78" s="246"/>
      <c r="Z78" s="247"/>
      <c r="AA78" s="20"/>
      <c r="AB78" s="11" t="str">
        <f t="shared" si="8"/>
        <v xml:space="preserve"> </v>
      </c>
      <c r="AC78" s="12" t="str">
        <f t="shared" si="9"/>
        <v xml:space="preserve"> </v>
      </c>
      <c r="AI78" s="14" t="str">
        <f t="shared" si="5"/>
        <v>TC Better Price</v>
      </c>
      <c r="AJ78" s="14" t="str">
        <f>IF(W78=0,"",(#REF!/W78))</f>
        <v/>
      </c>
    </row>
    <row r="79" spans="1:36" ht="20.100000000000001" customHeight="1" x14ac:dyDescent="0.25">
      <c r="A79" s="16"/>
      <c r="B79" s="108"/>
      <c r="C79" s="109"/>
      <c r="D79" s="109"/>
      <c r="E79" s="109"/>
      <c r="F79" s="17"/>
      <c r="G79" s="17"/>
      <c r="H79" s="108"/>
      <c r="I79" s="107"/>
      <c r="J79" s="108"/>
      <c r="K79" s="107"/>
      <c r="L79" s="108"/>
      <c r="M79" s="110"/>
      <c r="N79" s="109"/>
      <c r="O79" s="108"/>
      <c r="P79" s="233"/>
      <c r="Q79" s="239"/>
      <c r="R79" s="19"/>
      <c r="S79" s="20"/>
      <c r="T79" s="9" t="str">
        <f t="shared" si="6"/>
        <v xml:space="preserve"> </v>
      </c>
      <c r="U79" s="18"/>
      <c r="V79" s="21"/>
      <c r="W79" s="22"/>
      <c r="X79" s="197" t="str">
        <f t="shared" si="7"/>
        <v xml:space="preserve"> </v>
      </c>
      <c r="Y79" s="246"/>
      <c r="Z79" s="247"/>
      <c r="AA79" s="20"/>
      <c r="AB79" s="11" t="str">
        <f t="shared" si="8"/>
        <v xml:space="preserve"> </v>
      </c>
      <c r="AC79" s="12" t="str">
        <f t="shared" si="9"/>
        <v xml:space="preserve"> </v>
      </c>
      <c r="AI79" s="14" t="str">
        <f t="shared" si="5"/>
        <v>TC Better Price</v>
      </c>
      <c r="AJ79" s="14" t="str">
        <f>IF(W79=0,"",(#REF!/W79))</f>
        <v/>
      </c>
    </row>
    <row r="80" spans="1:36" ht="20.100000000000001" customHeight="1" x14ac:dyDescent="0.25">
      <c r="A80" s="16"/>
      <c r="B80" s="108"/>
      <c r="C80" s="109"/>
      <c r="D80" s="109"/>
      <c r="E80" s="109"/>
      <c r="F80" s="17"/>
      <c r="G80" s="17"/>
      <c r="H80" s="108"/>
      <c r="I80" s="107"/>
      <c r="J80" s="108"/>
      <c r="K80" s="107"/>
      <c r="L80" s="108"/>
      <c r="M80" s="110"/>
      <c r="N80" s="109"/>
      <c r="O80" s="108"/>
      <c r="P80" s="233"/>
      <c r="Q80" s="239"/>
      <c r="R80" s="19"/>
      <c r="S80" s="20"/>
      <c r="T80" s="9" t="str">
        <f t="shared" si="6"/>
        <v xml:space="preserve"> </v>
      </c>
      <c r="U80" s="18"/>
      <c r="V80" s="21"/>
      <c r="W80" s="22"/>
      <c r="X80" s="197" t="str">
        <f t="shared" si="7"/>
        <v xml:space="preserve"> </v>
      </c>
      <c r="Y80" s="246"/>
      <c r="Z80" s="247"/>
      <c r="AA80" s="20"/>
      <c r="AB80" s="11" t="str">
        <f t="shared" si="8"/>
        <v xml:space="preserve"> </v>
      </c>
      <c r="AC80" s="12" t="str">
        <f t="shared" si="9"/>
        <v xml:space="preserve"> </v>
      </c>
      <c r="AI80" s="14" t="str">
        <f t="shared" si="5"/>
        <v>TC Better Price</v>
      </c>
      <c r="AJ80" s="14" t="str">
        <f>IF(W80=0,"",(#REF!/W80))</f>
        <v/>
      </c>
    </row>
    <row r="81" spans="1:36" ht="20.100000000000001" customHeight="1" x14ac:dyDescent="0.25">
      <c r="A81" s="16"/>
      <c r="B81" s="108"/>
      <c r="C81" s="109"/>
      <c r="D81" s="109"/>
      <c r="E81" s="109"/>
      <c r="F81" s="17"/>
      <c r="G81" s="17"/>
      <c r="H81" s="108"/>
      <c r="I81" s="107"/>
      <c r="J81" s="108"/>
      <c r="K81" s="107"/>
      <c r="L81" s="108"/>
      <c r="M81" s="110"/>
      <c r="N81" s="109"/>
      <c r="O81" s="108"/>
      <c r="P81" s="233"/>
      <c r="Q81" s="239"/>
      <c r="R81" s="19"/>
      <c r="S81" s="20"/>
      <c r="T81" s="9" t="str">
        <f t="shared" si="6"/>
        <v xml:space="preserve"> </v>
      </c>
      <c r="U81" s="18"/>
      <c r="V81" s="21"/>
      <c r="W81" s="22"/>
      <c r="X81" s="197" t="str">
        <f t="shared" si="7"/>
        <v xml:space="preserve"> </v>
      </c>
      <c r="Y81" s="246"/>
      <c r="Z81" s="247"/>
      <c r="AA81" s="20"/>
      <c r="AB81" s="11" t="str">
        <f t="shared" si="8"/>
        <v xml:space="preserve"> </v>
      </c>
      <c r="AC81" s="12" t="str">
        <f t="shared" si="9"/>
        <v xml:space="preserve"> </v>
      </c>
      <c r="AI81" s="14" t="str">
        <f t="shared" si="5"/>
        <v>TC Better Price</v>
      </c>
      <c r="AJ81" s="14" t="str">
        <f>IF(W81=0,"",(#REF!/W81))</f>
        <v/>
      </c>
    </row>
    <row r="82" spans="1:36" ht="20.100000000000001" customHeight="1" x14ac:dyDescent="0.25">
      <c r="A82" s="16"/>
      <c r="B82" s="108"/>
      <c r="C82" s="109"/>
      <c r="D82" s="109"/>
      <c r="E82" s="109"/>
      <c r="F82" s="17"/>
      <c r="G82" s="17"/>
      <c r="H82" s="108"/>
      <c r="I82" s="107"/>
      <c r="J82" s="108"/>
      <c r="K82" s="107"/>
      <c r="L82" s="108"/>
      <c r="M82" s="110"/>
      <c r="N82" s="109"/>
      <c r="O82" s="108"/>
      <c r="P82" s="233"/>
      <c r="Q82" s="239"/>
      <c r="R82" s="19"/>
      <c r="S82" s="20"/>
      <c r="T82" s="9" t="str">
        <f t="shared" si="6"/>
        <v xml:space="preserve"> </v>
      </c>
      <c r="U82" s="18"/>
      <c r="V82" s="21"/>
      <c r="W82" s="22"/>
      <c r="X82" s="197" t="str">
        <f t="shared" si="7"/>
        <v xml:space="preserve"> </v>
      </c>
      <c r="Y82" s="246"/>
      <c r="Z82" s="247"/>
      <c r="AA82" s="20"/>
      <c r="AB82" s="11" t="str">
        <f t="shared" si="8"/>
        <v xml:space="preserve"> </v>
      </c>
      <c r="AC82" s="12" t="str">
        <f t="shared" si="9"/>
        <v xml:space="preserve"> </v>
      </c>
      <c r="AI82" s="14" t="str">
        <f t="shared" si="5"/>
        <v>TC Better Price</v>
      </c>
      <c r="AJ82" s="14" t="str">
        <f>IF(W82=0,"",(#REF!/W82))</f>
        <v/>
      </c>
    </row>
    <row r="83" spans="1:36" ht="20.100000000000001" customHeight="1" x14ac:dyDescent="0.25">
      <c r="A83" s="16"/>
      <c r="B83" s="108"/>
      <c r="C83" s="109"/>
      <c r="D83" s="109"/>
      <c r="E83" s="109"/>
      <c r="F83" s="17"/>
      <c r="G83" s="17"/>
      <c r="H83" s="108"/>
      <c r="I83" s="107"/>
      <c r="J83" s="108"/>
      <c r="K83" s="107"/>
      <c r="L83" s="108"/>
      <c r="M83" s="110"/>
      <c r="N83" s="109"/>
      <c r="O83" s="108"/>
      <c r="P83" s="233"/>
      <c r="Q83" s="239"/>
      <c r="R83" s="19"/>
      <c r="S83" s="20"/>
      <c r="T83" s="9" t="str">
        <f t="shared" si="6"/>
        <v xml:space="preserve"> </v>
      </c>
      <c r="U83" s="18"/>
      <c r="V83" s="21"/>
      <c r="W83" s="22"/>
      <c r="X83" s="197" t="str">
        <f t="shared" si="7"/>
        <v xml:space="preserve"> </v>
      </c>
      <c r="Y83" s="246"/>
      <c r="Z83" s="247"/>
      <c r="AA83" s="20"/>
      <c r="AB83" s="11" t="str">
        <f t="shared" si="8"/>
        <v xml:space="preserve"> </v>
      </c>
      <c r="AC83" s="12" t="str">
        <f t="shared" si="9"/>
        <v xml:space="preserve"> </v>
      </c>
      <c r="AI83" s="14" t="str">
        <f t="shared" si="5"/>
        <v>TC Better Price</v>
      </c>
      <c r="AJ83" s="14" t="str">
        <f>IF(W83=0,"",(#REF!/W83))</f>
        <v/>
      </c>
    </row>
    <row r="84" spans="1:36" ht="20.100000000000001" customHeight="1" x14ac:dyDescent="0.25">
      <c r="A84" s="16"/>
      <c r="B84" s="108"/>
      <c r="C84" s="109"/>
      <c r="D84" s="109"/>
      <c r="E84" s="109"/>
      <c r="F84" s="17"/>
      <c r="G84" s="17"/>
      <c r="H84" s="108"/>
      <c r="I84" s="107"/>
      <c r="J84" s="108"/>
      <c r="K84" s="107"/>
      <c r="L84" s="108"/>
      <c r="M84" s="110"/>
      <c r="N84" s="109"/>
      <c r="O84" s="108"/>
      <c r="P84" s="233"/>
      <c r="Q84" s="239"/>
      <c r="R84" s="19"/>
      <c r="S84" s="20"/>
      <c r="T84" s="9" t="str">
        <f t="shared" si="6"/>
        <v xml:space="preserve"> </v>
      </c>
      <c r="U84" s="18"/>
      <c r="V84" s="21"/>
      <c r="W84" s="22"/>
      <c r="X84" s="197" t="str">
        <f t="shared" si="7"/>
        <v xml:space="preserve"> </v>
      </c>
      <c r="Y84" s="246"/>
      <c r="Z84" s="247"/>
      <c r="AA84" s="20"/>
      <c r="AB84" s="11" t="str">
        <f t="shared" si="8"/>
        <v xml:space="preserve"> </v>
      </c>
      <c r="AC84" s="12" t="str">
        <f t="shared" si="9"/>
        <v xml:space="preserve"> </v>
      </c>
      <c r="AI84" s="14" t="str">
        <f t="shared" si="5"/>
        <v>TC Better Price</v>
      </c>
      <c r="AJ84" s="14" t="str">
        <f>IF(W84=0,"",(#REF!/W84))</f>
        <v/>
      </c>
    </row>
    <row r="85" spans="1:36" ht="20.100000000000001" customHeight="1" x14ac:dyDescent="0.25">
      <c r="A85" s="16"/>
      <c r="B85" s="108"/>
      <c r="C85" s="109"/>
      <c r="D85" s="109"/>
      <c r="E85" s="109"/>
      <c r="F85" s="17"/>
      <c r="G85" s="17"/>
      <c r="H85" s="108"/>
      <c r="I85" s="107"/>
      <c r="J85" s="108"/>
      <c r="K85" s="107"/>
      <c r="L85" s="108"/>
      <c r="M85" s="110"/>
      <c r="N85" s="109"/>
      <c r="O85" s="108"/>
      <c r="P85" s="233"/>
      <c r="Q85" s="239"/>
      <c r="R85" s="19"/>
      <c r="S85" s="20"/>
      <c r="T85" s="9" t="str">
        <f t="shared" si="6"/>
        <v xml:space="preserve"> </v>
      </c>
      <c r="U85" s="18"/>
      <c r="V85" s="21"/>
      <c r="W85" s="22"/>
      <c r="X85" s="197" t="str">
        <f t="shared" si="7"/>
        <v xml:space="preserve"> </v>
      </c>
      <c r="Y85" s="246"/>
      <c r="Z85" s="247"/>
      <c r="AA85" s="20"/>
      <c r="AB85" s="11" t="str">
        <f t="shared" si="8"/>
        <v xml:space="preserve"> </v>
      </c>
      <c r="AC85" s="12" t="str">
        <f t="shared" si="9"/>
        <v xml:space="preserve"> </v>
      </c>
      <c r="AI85" s="14" t="str">
        <f t="shared" si="5"/>
        <v>TC Better Price</v>
      </c>
      <c r="AJ85" s="14" t="str">
        <f>IF(W85=0,"",(#REF!/W85))</f>
        <v/>
      </c>
    </row>
    <row r="86" spans="1:36" ht="20.100000000000001" customHeight="1" x14ac:dyDescent="0.25">
      <c r="A86" s="16"/>
      <c r="B86" s="108"/>
      <c r="C86" s="109"/>
      <c r="D86" s="109"/>
      <c r="E86" s="109"/>
      <c r="F86" s="17"/>
      <c r="G86" s="17"/>
      <c r="H86" s="108"/>
      <c r="I86" s="107"/>
      <c r="J86" s="108"/>
      <c r="K86" s="107"/>
      <c r="L86" s="108"/>
      <c r="M86" s="110"/>
      <c r="N86" s="109"/>
      <c r="O86" s="108"/>
      <c r="P86" s="233"/>
      <c r="Q86" s="239"/>
      <c r="R86" s="19"/>
      <c r="S86" s="20"/>
      <c r="T86" s="9" t="str">
        <f t="shared" si="6"/>
        <v xml:space="preserve"> </v>
      </c>
      <c r="U86" s="18"/>
      <c r="V86" s="21"/>
      <c r="W86" s="22"/>
      <c r="X86" s="197" t="str">
        <f t="shared" si="7"/>
        <v xml:space="preserve"> </v>
      </c>
      <c r="Y86" s="246"/>
      <c r="Z86" s="247"/>
      <c r="AA86" s="20"/>
      <c r="AB86" s="11" t="str">
        <f t="shared" si="8"/>
        <v xml:space="preserve"> </v>
      </c>
      <c r="AC86" s="12" t="str">
        <f t="shared" si="9"/>
        <v xml:space="preserve"> </v>
      </c>
      <c r="AI86" s="14" t="str">
        <f t="shared" si="5"/>
        <v>TC Better Price</v>
      </c>
      <c r="AJ86" s="14" t="str">
        <f>IF(W86=0,"",(#REF!/W86))</f>
        <v/>
      </c>
    </row>
    <row r="87" spans="1:36" ht="20.100000000000001" customHeight="1" x14ac:dyDescent="0.25">
      <c r="A87" s="16"/>
      <c r="B87" s="108"/>
      <c r="C87" s="109"/>
      <c r="D87" s="109"/>
      <c r="E87" s="109"/>
      <c r="F87" s="17"/>
      <c r="G87" s="17"/>
      <c r="H87" s="108"/>
      <c r="I87" s="107"/>
      <c r="J87" s="108"/>
      <c r="K87" s="107"/>
      <c r="L87" s="108"/>
      <c r="M87" s="110"/>
      <c r="N87" s="109"/>
      <c r="O87" s="108"/>
      <c r="P87" s="233"/>
      <c r="Q87" s="239"/>
      <c r="R87" s="19"/>
      <c r="S87" s="20"/>
      <c r="T87" s="9" t="str">
        <f t="shared" si="6"/>
        <v xml:space="preserve"> </v>
      </c>
      <c r="U87" s="18"/>
      <c r="V87" s="21"/>
      <c r="W87" s="22"/>
      <c r="X87" s="197" t="str">
        <f t="shared" si="7"/>
        <v xml:space="preserve"> </v>
      </c>
      <c r="Y87" s="246"/>
      <c r="Z87" s="247"/>
      <c r="AA87" s="20"/>
      <c r="AB87" s="11" t="str">
        <f t="shared" si="8"/>
        <v xml:space="preserve"> </v>
      </c>
      <c r="AC87" s="12" t="str">
        <f t="shared" si="9"/>
        <v xml:space="preserve"> </v>
      </c>
      <c r="AI87" s="14" t="str">
        <f t="shared" si="5"/>
        <v>TC Better Price</v>
      </c>
      <c r="AJ87" s="14" t="str">
        <f>IF(W87=0,"",(#REF!/W87))</f>
        <v/>
      </c>
    </row>
    <row r="88" spans="1:36" ht="20.100000000000001" customHeight="1" x14ac:dyDescent="0.25">
      <c r="A88" s="16"/>
      <c r="B88" s="108"/>
      <c r="C88" s="109"/>
      <c r="D88" s="109"/>
      <c r="E88" s="109"/>
      <c r="F88" s="17"/>
      <c r="G88" s="17"/>
      <c r="H88" s="108"/>
      <c r="I88" s="107"/>
      <c r="J88" s="108"/>
      <c r="K88" s="107"/>
      <c r="L88" s="108"/>
      <c r="M88" s="110"/>
      <c r="N88" s="109"/>
      <c r="O88" s="108"/>
      <c r="P88" s="233"/>
      <c r="Q88" s="239"/>
      <c r="R88" s="19"/>
      <c r="S88" s="20"/>
      <c r="T88" s="9" t="str">
        <f t="shared" si="6"/>
        <v xml:space="preserve"> </v>
      </c>
      <c r="U88" s="18"/>
      <c r="V88" s="21"/>
      <c r="W88" s="22"/>
      <c r="X88" s="197" t="str">
        <f t="shared" si="7"/>
        <v xml:space="preserve"> </v>
      </c>
      <c r="Y88" s="246"/>
      <c r="Z88" s="247"/>
      <c r="AA88" s="20"/>
      <c r="AB88" s="11" t="str">
        <f t="shared" si="8"/>
        <v xml:space="preserve"> </v>
      </c>
      <c r="AC88" s="12" t="str">
        <f t="shared" si="9"/>
        <v xml:space="preserve"> </v>
      </c>
      <c r="AI88" s="14" t="str">
        <f t="shared" si="5"/>
        <v>TC Better Price</v>
      </c>
      <c r="AJ88" s="14" t="str">
        <f>IF(W88=0,"",(#REF!/W88))</f>
        <v/>
      </c>
    </row>
    <row r="89" spans="1:36" ht="20.100000000000001" customHeight="1" x14ac:dyDescent="0.25">
      <c r="A89" s="16"/>
      <c r="B89" s="108"/>
      <c r="C89" s="109"/>
      <c r="D89" s="109"/>
      <c r="E89" s="109"/>
      <c r="F89" s="17"/>
      <c r="G89" s="17"/>
      <c r="H89" s="108"/>
      <c r="I89" s="107"/>
      <c r="J89" s="108"/>
      <c r="K89" s="107"/>
      <c r="L89" s="108"/>
      <c r="M89" s="110"/>
      <c r="N89" s="109"/>
      <c r="O89" s="108"/>
      <c r="P89" s="233"/>
      <c r="Q89" s="239"/>
      <c r="R89" s="19"/>
      <c r="S89" s="20"/>
      <c r="T89" s="9" t="str">
        <f t="shared" si="6"/>
        <v xml:space="preserve"> </v>
      </c>
      <c r="U89" s="18"/>
      <c r="V89" s="21"/>
      <c r="W89" s="22"/>
      <c r="X89" s="197" t="str">
        <f t="shared" si="7"/>
        <v xml:space="preserve"> </v>
      </c>
      <c r="Y89" s="246"/>
      <c r="Z89" s="247"/>
      <c r="AA89" s="20"/>
      <c r="AB89" s="11" t="str">
        <f t="shared" si="8"/>
        <v xml:space="preserve"> </v>
      </c>
      <c r="AC89" s="12" t="str">
        <f t="shared" si="9"/>
        <v xml:space="preserve"> </v>
      </c>
      <c r="AI89" s="14" t="str">
        <f t="shared" si="5"/>
        <v>TC Better Price</v>
      </c>
      <c r="AJ89" s="14" t="str">
        <f>IF(W89=0,"",(#REF!/W89))</f>
        <v/>
      </c>
    </row>
    <row r="90" spans="1:36" ht="20.100000000000001" customHeight="1" x14ac:dyDescent="0.25">
      <c r="A90" s="16"/>
      <c r="B90" s="108"/>
      <c r="C90" s="109"/>
      <c r="D90" s="109"/>
      <c r="E90" s="109"/>
      <c r="F90" s="17"/>
      <c r="G90" s="17"/>
      <c r="H90" s="108"/>
      <c r="I90" s="107"/>
      <c r="J90" s="108"/>
      <c r="K90" s="107"/>
      <c r="L90" s="108"/>
      <c r="M90" s="110"/>
      <c r="N90" s="109"/>
      <c r="O90" s="108"/>
      <c r="P90" s="233"/>
      <c r="Q90" s="239"/>
      <c r="R90" s="19"/>
      <c r="S90" s="20"/>
      <c r="T90" s="9" t="str">
        <f t="shared" si="6"/>
        <v xml:space="preserve"> </v>
      </c>
      <c r="U90" s="18"/>
      <c r="V90" s="21"/>
      <c r="W90" s="22"/>
      <c r="X90" s="197" t="str">
        <f t="shared" si="7"/>
        <v xml:space="preserve"> </v>
      </c>
      <c r="Y90" s="246"/>
      <c r="Z90" s="247"/>
      <c r="AA90" s="20"/>
      <c r="AB90" s="11" t="str">
        <f t="shared" si="8"/>
        <v xml:space="preserve"> </v>
      </c>
      <c r="AC90" s="12" t="str">
        <f t="shared" si="9"/>
        <v xml:space="preserve"> </v>
      </c>
      <c r="AI90" s="14" t="str">
        <f t="shared" si="5"/>
        <v>TC Better Price</v>
      </c>
      <c r="AJ90" s="14" t="str">
        <f>IF(W90=0,"",(#REF!/W90))</f>
        <v/>
      </c>
    </row>
    <row r="91" spans="1:36" ht="20.100000000000001" customHeight="1" x14ac:dyDescent="0.25">
      <c r="A91" s="16"/>
      <c r="B91" s="108"/>
      <c r="C91" s="109"/>
      <c r="D91" s="109"/>
      <c r="E91" s="109"/>
      <c r="F91" s="17"/>
      <c r="G91" s="17"/>
      <c r="H91" s="108"/>
      <c r="I91" s="107"/>
      <c r="J91" s="108"/>
      <c r="K91" s="107"/>
      <c r="L91" s="108"/>
      <c r="M91" s="110"/>
      <c r="N91" s="109"/>
      <c r="O91" s="108"/>
      <c r="P91" s="233"/>
      <c r="Q91" s="239"/>
      <c r="R91" s="19"/>
      <c r="S91" s="20"/>
      <c r="T91" s="9" t="str">
        <f t="shared" si="6"/>
        <v xml:space="preserve"> </v>
      </c>
      <c r="U91" s="18"/>
      <c r="V91" s="21"/>
      <c r="W91" s="22"/>
      <c r="X91" s="197" t="str">
        <f t="shared" si="7"/>
        <v xml:space="preserve"> </v>
      </c>
      <c r="Y91" s="246"/>
      <c r="Z91" s="247"/>
      <c r="AA91" s="20"/>
      <c r="AB91" s="11" t="str">
        <f t="shared" si="8"/>
        <v xml:space="preserve"> </v>
      </c>
      <c r="AC91" s="12" t="str">
        <f t="shared" si="9"/>
        <v xml:space="preserve"> </v>
      </c>
      <c r="AI91" s="14" t="str">
        <f t="shared" si="5"/>
        <v>TC Better Price</v>
      </c>
      <c r="AJ91" s="14" t="str">
        <f>IF(W91=0,"",(#REF!/W91))</f>
        <v/>
      </c>
    </row>
    <row r="92" spans="1:36" ht="20.100000000000001" customHeight="1" x14ac:dyDescent="0.25">
      <c r="A92" s="16"/>
      <c r="B92" s="108"/>
      <c r="C92" s="109"/>
      <c r="D92" s="109"/>
      <c r="E92" s="109"/>
      <c r="F92" s="17"/>
      <c r="G92" s="17"/>
      <c r="H92" s="108"/>
      <c r="I92" s="107"/>
      <c r="J92" s="108"/>
      <c r="K92" s="107"/>
      <c r="L92" s="108"/>
      <c r="M92" s="110"/>
      <c r="N92" s="109"/>
      <c r="O92" s="108"/>
      <c r="P92" s="233"/>
      <c r="Q92" s="239"/>
      <c r="R92" s="19"/>
      <c r="S92" s="20"/>
      <c r="T92" s="9" t="str">
        <f t="shared" si="6"/>
        <v xml:space="preserve"> </v>
      </c>
      <c r="U92" s="18"/>
      <c r="V92" s="21"/>
      <c r="W92" s="22"/>
      <c r="X92" s="197" t="str">
        <f t="shared" si="7"/>
        <v xml:space="preserve"> </v>
      </c>
      <c r="Y92" s="246"/>
      <c r="Z92" s="247"/>
      <c r="AA92" s="20"/>
      <c r="AB92" s="11" t="str">
        <f t="shared" si="8"/>
        <v xml:space="preserve"> </v>
      </c>
      <c r="AC92" s="12" t="str">
        <f t="shared" si="9"/>
        <v xml:space="preserve"> </v>
      </c>
      <c r="AI92" s="14" t="str">
        <f t="shared" si="5"/>
        <v>TC Better Price</v>
      </c>
      <c r="AJ92" s="14" t="str">
        <f>IF(W92=0,"",(#REF!/W92))</f>
        <v/>
      </c>
    </row>
    <row r="93" spans="1:36" ht="20.100000000000001" customHeight="1" x14ac:dyDescent="0.25">
      <c r="A93" s="16"/>
      <c r="B93" s="108"/>
      <c r="C93" s="109"/>
      <c r="D93" s="109"/>
      <c r="E93" s="109"/>
      <c r="F93" s="17"/>
      <c r="G93" s="17"/>
      <c r="H93" s="108"/>
      <c r="I93" s="107"/>
      <c r="J93" s="108"/>
      <c r="K93" s="107"/>
      <c r="L93" s="108"/>
      <c r="M93" s="110"/>
      <c r="N93" s="109"/>
      <c r="O93" s="108"/>
      <c r="P93" s="233"/>
      <c r="Q93" s="239"/>
      <c r="R93" s="19"/>
      <c r="S93" s="20"/>
      <c r="T93" s="9" t="str">
        <f t="shared" si="6"/>
        <v xml:space="preserve"> </v>
      </c>
      <c r="U93" s="18"/>
      <c r="V93" s="21"/>
      <c r="W93" s="22"/>
      <c r="X93" s="197" t="str">
        <f t="shared" si="7"/>
        <v xml:space="preserve"> </v>
      </c>
      <c r="Y93" s="246"/>
      <c r="Z93" s="247"/>
      <c r="AA93" s="20"/>
      <c r="AB93" s="11" t="str">
        <f t="shared" si="8"/>
        <v xml:space="preserve"> </v>
      </c>
      <c r="AC93" s="12" t="str">
        <f t="shared" si="9"/>
        <v xml:space="preserve"> </v>
      </c>
      <c r="AI93" s="14" t="str">
        <f t="shared" si="5"/>
        <v>TC Better Price</v>
      </c>
      <c r="AJ93" s="14" t="str">
        <f>IF(W93=0,"",(#REF!/W93))</f>
        <v/>
      </c>
    </row>
    <row r="94" spans="1:36" ht="20.100000000000001" customHeight="1" x14ac:dyDescent="0.25">
      <c r="A94" s="16"/>
      <c r="B94" s="108"/>
      <c r="C94" s="109"/>
      <c r="D94" s="109"/>
      <c r="E94" s="109"/>
      <c r="F94" s="17"/>
      <c r="G94" s="17"/>
      <c r="H94" s="108"/>
      <c r="I94" s="107"/>
      <c r="J94" s="108"/>
      <c r="K94" s="107"/>
      <c r="L94" s="108"/>
      <c r="M94" s="110"/>
      <c r="N94" s="109"/>
      <c r="O94" s="108"/>
      <c r="P94" s="233"/>
      <c r="Q94" s="239"/>
      <c r="R94" s="19"/>
      <c r="S94" s="20"/>
      <c r="T94" s="9" t="str">
        <f t="shared" si="6"/>
        <v xml:space="preserve"> </v>
      </c>
      <c r="U94" s="18"/>
      <c r="V94" s="21"/>
      <c r="W94" s="22"/>
      <c r="X94" s="197" t="str">
        <f t="shared" si="7"/>
        <v xml:space="preserve"> </v>
      </c>
      <c r="Y94" s="246"/>
      <c r="Z94" s="247"/>
      <c r="AA94" s="20"/>
      <c r="AB94" s="11" t="str">
        <f t="shared" si="8"/>
        <v xml:space="preserve"> </v>
      </c>
      <c r="AC94" s="12" t="str">
        <f t="shared" si="9"/>
        <v xml:space="preserve"> </v>
      </c>
      <c r="AI94" s="14" t="str">
        <f t="shared" si="5"/>
        <v>TC Better Price</v>
      </c>
      <c r="AJ94" s="14" t="str">
        <f>IF(W94=0,"",(#REF!/W94))</f>
        <v/>
      </c>
    </row>
    <row r="95" spans="1:36" ht="20.100000000000001" customHeight="1" x14ac:dyDescent="0.25">
      <c r="A95" s="16"/>
      <c r="B95" s="108"/>
      <c r="C95" s="109"/>
      <c r="D95" s="109"/>
      <c r="E95" s="109"/>
      <c r="F95" s="17"/>
      <c r="G95" s="17"/>
      <c r="H95" s="108"/>
      <c r="I95" s="107"/>
      <c r="J95" s="108"/>
      <c r="K95" s="107"/>
      <c r="L95" s="108"/>
      <c r="M95" s="110"/>
      <c r="N95" s="109"/>
      <c r="O95" s="108"/>
      <c r="P95" s="233"/>
      <c r="Q95" s="239"/>
      <c r="R95" s="19"/>
      <c r="S95" s="20"/>
      <c r="T95" s="9" t="str">
        <f t="shared" si="6"/>
        <v xml:space="preserve"> </v>
      </c>
      <c r="U95" s="18"/>
      <c r="V95" s="21"/>
      <c r="W95" s="22"/>
      <c r="X95" s="197" t="str">
        <f t="shared" si="7"/>
        <v xml:space="preserve"> </v>
      </c>
      <c r="Y95" s="246"/>
      <c r="Z95" s="247"/>
      <c r="AA95" s="20"/>
      <c r="AB95" s="11" t="str">
        <f t="shared" si="8"/>
        <v xml:space="preserve"> </v>
      </c>
      <c r="AC95" s="12" t="str">
        <f t="shared" si="9"/>
        <v xml:space="preserve"> </v>
      </c>
      <c r="AI95" s="14" t="str">
        <f t="shared" si="5"/>
        <v>TC Better Price</v>
      </c>
      <c r="AJ95" s="14" t="str">
        <f>IF(W95=0,"",(#REF!/W95))</f>
        <v/>
      </c>
    </row>
    <row r="96" spans="1:36" ht="20.100000000000001" customHeight="1" x14ac:dyDescent="0.25">
      <c r="A96" s="16"/>
      <c r="B96" s="108"/>
      <c r="C96" s="109"/>
      <c r="D96" s="109"/>
      <c r="E96" s="109"/>
      <c r="F96" s="17"/>
      <c r="G96" s="17"/>
      <c r="H96" s="108"/>
      <c r="I96" s="107"/>
      <c r="J96" s="108"/>
      <c r="K96" s="107"/>
      <c r="L96" s="108"/>
      <c r="M96" s="110"/>
      <c r="N96" s="109"/>
      <c r="O96" s="108"/>
      <c r="P96" s="233"/>
      <c r="Q96" s="239"/>
      <c r="R96" s="19"/>
      <c r="S96" s="20"/>
      <c r="T96" s="9" t="str">
        <f t="shared" si="6"/>
        <v xml:space="preserve"> </v>
      </c>
      <c r="U96" s="18"/>
      <c r="V96" s="21"/>
      <c r="W96" s="22"/>
      <c r="X96" s="197" t="str">
        <f t="shared" si="7"/>
        <v xml:space="preserve"> </v>
      </c>
      <c r="Y96" s="246"/>
      <c r="Z96" s="247"/>
      <c r="AA96" s="20"/>
      <c r="AB96" s="11" t="str">
        <f t="shared" si="8"/>
        <v xml:space="preserve"> </v>
      </c>
      <c r="AC96" s="12" t="str">
        <f t="shared" si="9"/>
        <v xml:space="preserve"> </v>
      </c>
      <c r="AI96" s="14" t="str">
        <f t="shared" si="5"/>
        <v>TC Better Price</v>
      </c>
      <c r="AJ96" s="14" t="str">
        <f>IF(W96=0,"",(#REF!/W96))</f>
        <v/>
      </c>
    </row>
    <row r="97" spans="1:36" ht="20.100000000000001" customHeight="1" x14ac:dyDescent="0.25">
      <c r="A97" s="16"/>
      <c r="B97" s="108"/>
      <c r="C97" s="109"/>
      <c r="D97" s="109"/>
      <c r="E97" s="109"/>
      <c r="F97" s="17"/>
      <c r="G97" s="17"/>
      <c r="H97" s="108"/>
      <c r="I97" s="107"/>
      <c r="J97" s="108"/>
      <c r="K97" s="107"/>
      <c r="L97" s="108"/>
      <c r="M97" s="110"/>
      <c r="N97" s="109"/>
      <c r="O97" s="108"/>
      <c r="P97" s="233"/>
      <c r="Q97" s="239"/>
      <c r="R97" s="19"/>
      <c r="S97" s="20"/>
      <c r="T97" s="9" t="str">
        <f t="shared" si="6"/>
        <v xml:space="preserve"> </v>
      </c>
      <c r="U97" s="18"/>
      <c r="V97" s="21"/>
      <c r="W97" s="22"/>
      <c r="X97" s="197" t="str">
        <f t="shared" si="7"/>
        <v xml:space="preserve"> </v>
      </c>
      <c r="Y97" s="246"/>
      <c r="Z97" s="247"/>
      <c r="AA97" s="20"/>
      <c r="AB97" s="11" t="str">
        <f t="shared" si="8"/>
        <v xml:space="preserve"> </v>
      </c>
      <c r="AC97" s="12" t="str">
        <f t="shared" si="9"/>
        <v xml:space="preserve"> </v>
      </c>
      <c r="AI97" s="14" t="str">
        <f t="shared" si="5"/>
        <v>TC Better Price</v>
      </c>
      <c r="AJ97" s="14" t="str">
        <f>IF(W97=0,"",(#REF!/W97))</f>
        <v/>
      </c>
    </row>
    <row r="98" spans="1:36" ht="20.100000000000001" customHeight="1" x14ac:dyDescent="0.25">
      <c r="A98" s="16"/>
      <c r="B98" s="108"/>
      <c r="C98" s="109"/>
      <c r="D98" s="109"/>
      <c r="E98" s="109"/>
      <c r="F98" s="17"/>
      <c r="G98" s="17"/>
      <c r="H98" s="108"/>
      <c r="I98" s="107"/>
      <c r="J98" s="108"/>
      <c r="K98" s="107"/>
      <c r="L98" s="108"/>
      <c r="M98" s="110"/>
      <c r="N98" s="109"/>
      <c r="O98" s="108"/>
      <c r="P98" s="233"/>
      <c r="Q98" s="239"/>
      <c r="R98" s="19"/>
      <c r="S98" s="20"/>
      <c r="T98" s="9" t="str">
        <f t="shared" si="6"/>
        <v xml:space="preserve"> </v>
      </c>
      <c r="U98" s="18"/>
      <c r="V98" s="21"/>
      <c r="W98" s="22"/>
      <c r="X98" s="197" t="str">
        <f t="shared" si="7"/>
        <v xml:space="preserve"> </v>
      </c>
      <c r="Y98" s="246"/>
      <c r="Z98" s="247"/>
      <c r="AA98" s="20"/>
      <c r="AB98" s="11" t="str">
        <f t="shared" si="8"/>
        <v xml:space="preserve"> </v>
      </c>
      <c r="AC98" s="12" t="str">
        <f t="shared" si="9"/>
        <v xml:space="preserve"> </v>
      </c>
      <c r="AI98" s="14" t="str">
        <f t="shared" si="5"/>
        <v>TC Better Price</v>
      </c>
      <c r="AJ98" s="14" t="str">
        <f>IF(W98=0,"",(#REF!/W98))</f>
        <v/>
      </c>
    </row>
    <row r="99" spans="1:36" ht="20.100000000000001" customHeight="1" x14ac:dyDescent="0.25">
      <c r="A99" s="16"/>
      <c r="B99" s="108"/>
      <c r="C99" s="109"/>
      <c r="D99" s="109"/>
      <c r="E99" s="109"/>
      <c r="F99" s="17"/>
      <c r="G99" s="17"/>
      <c r="H99" s="108"/>
      <c r="I99" s="107"/>
      <c r="J99" s="108"/>
      <c r="K99" s="107"/>
      <c r="L99" s="108"/>
      <c r="M99" s="110"/>
      <c r="N99" s="109"/>
      <c r="O99" s="108"/>
      <c r="P99" s="233"/>
      <c r="Q99" s="239"/>
      <c r="R99" s="19"/>
      <c r="S99" s="20"/>
      <c r="T99" s="9" t="str">
        <f t="shared" si="6"/>
        <v xml:space="preserve"> </v>
      </c>
      <c r="U99" s="18"/>
      <c r="V99" s="21"/>
      <c r="W99" s="22"/>
      <c r="X99" s="197" t="str">
        <f t="shared" si="7"/>
        <v xml:space="preserve"> </v>
      </c>
      <c r="Y99" s="246"/>
      <c r="Z99" s="247"/>
      <c r="AA99" s="20"/>
      <c r="AB99" s="11" t="str">
        <f t="shared" si="8"/>
        <v xml:space="preserve"> </v>
      </c>
      <c r="AC99" s="12" t="str">
        <f t="shared" si="9"/>
        <v xml:space="preserve"> </v>
      </c>
      <c r="AI99" s="14" t="str">
        <f t="shared" si="5"/>
        <v>TC Better Price</v>
      </c>
      <c r="AJ99" s="14" t="str">
        <f>IF(W99=0,"",(#REF!/W99))</f>
        <v/>
      </c>
    </row>
    <row r="100" spans="1:36" ht="20.100000000000001" customHeight="1" x14ac:dyDescent="0.25">
      <c r="A100" s="16"/>
      <c r="B100" s="108"/>
      <c r="C100" s="109"/>
      <c r="D100" s="109"/>
      <c r="E100" s="109"/>
      <c r="F100" s="17"/>
      <c r="G100" s="17"/>
      <c r="H100" s="108"/>
      <c r="I100" s="107"/>
      <c r="J100" s="108"/>
      <c r="K100" s="107"/>
      <c r="L100" s="108"/>
      <c r="M100" s="110"/>
      <c r="N100" s="109"/>
      <c r="O100" s="108"/>
      <c r="P100" s="233"/>
      <c r="Q100" s="239"/>
      <c r="R100" s="19"/>
      <c r="S100" s="20"/>
      <c r="T100" s="9" t="str">
        <f t="shared" si="6"/>
        <v xml:space="preserve"> </v>
      </c>
      <c r="U100" s="18"/>
      <c r="V100" s="21"/>
      <c r="W100" s="22"/>
      <c r="X100" s="197" t="str">
        <f t="shared" si="7"/>
        <v xml:space="preserve"> </v>
      </c>
      <c r="Y100" s="246"/>
      <c r="Z100" s="247"/>
      <c r="AA100" s="20"/>
      <c r="AB100" s="11" t="str">
        <f t="shared" si="8"/>
        <v xml:space="preserve"> </v>
      </c>
      <c r="AC100" s="12" t="str">
        <f t="shared" si="9"/>
        <v xml:space="preserve"> </v>
      </c>
      <c r="AI100" s="14" t="str">
        <f t="shared" si="5"/>
        <v>TC Better Price</v>
      </c>
      <c r="AJ100" s="14" t="str">
        <f>IF(W100=0,"",(#REF!/W100))</f>
        <v/>
      </c>
    </row>
    <row r="101" spans="1:36" ht="20.100000000000001" customHeight="1" x14ac:dyDescent="0.25">
      <c r="A101" s="16"/>
      <c r="B101" s="108"/>
      <c r="C101" s="109"/>
      <c r="D101" s="109"/>
      <c r="E101" s="109"/>
      <c r="F101" s="17"/>
      <c r="G101" s="17"/>
      <c r="H101" s="108"/>
      <c r="I101" s="107"/>
      <c r="J101" s="108"/>
      <c r="K101" s="107"/>
      <c r="L101" s="108"/>
      <c r="M101" s="110"/>
      <c r="N101" s="109"/>
      <c r="O101" s="108"/>
      <c r="P101" s="233"/>
      <c r="Q101" s="239"/>
      <c r="R101" s="19"/>
      <c r="S101" s="20"/>
      <c r="T101" s="9" t="str">
        <f t="shared" si="6"/>
        <v xml:space="preserve"> </v>
      </c>
      <c r="U101" s="18"/>
      <c r="V101" s="21"/>
      <c r="W101" s="22"/>
      <c r="X101" s="197" t="str">
        <f t="shared" si="7"/>
        <v xml:space="preserve"> </v>
      </c>
      <c r="Y101" s="246"/>
      <c r="Z101" s="247"/>
      <c r="AA101" s="20"/>
      <c r="AB101" s="11" t="str">
        <f t="shared" si="8"/>
        <v xml:space="preserve"> </v>
      </c>
      <c r="AC101" s="12" t="str">
        <f t="shared" si="9"/>
        <v xml:space="preserve"> </v>
      </c>
      <c r="AI101" s="14" t="str">
        <f t="shared" si="5"/>
        <v>TC Better Price</v>
      </c>
      <c r="AJ101" s="14" t="str">
        <f>IF(W101=0,"",(#REF!/W101))</f>
        <v/>
      </c>
    </row>
    <row r="102" spans="1:36" ht="20.100000000000001" customHeight="1" x14ac:dyDescent="0.25">
      <c r="A102" s="16"/>
      <c r="B102" s="108"/>
      <c r="C102" s="109"/>
      <c r="D102" s="109"/>
      <c r="E102" s="109"/>
      <c r="F102" s="17"/>
      <c r="G102" s="17"/>
      <c r="H102" s="108"/>
      <c r="I102" s="107"/>
      <c r="J102" s="108"/>
      <c r="K102" s="107"/>
      <c r="L102" s="108"/>
      <c r="M102" s="110"/>
      <c r="N102" s="109"/>
      <c r="O102" s="108"/>
      <c r="P102" s="233"/>
      <c r="Q102" s="239"/>
      <c r="R102" s="19"/>
      <c r="S102" s="20"/>
      <c r="T102" s="9" t="str">
        <f t="shared" si="6"/>
        <v xml:space="preserve"> </v>
      </c>
      <c r="U102" s="18"/>
      <c r="V102" s="21"/>
      <c r="W102" s="22"/>
      <c r="X102" s="197" t="str">
        <f t="shared" si="7"/>
        <v xml:space="preserve"> </v>
      </c>
      <c r="Y102" s="246"/>
      <c r="Z102" s="247"/>
      <c r="AA102" s="20"/>
      <c r="AB102" s="11" t="str">
        <f t="shared" si="8"/>
        <v xml:space="preserve"> </v>
      </c>
      <c r="AC102" s="12" t="str">
        <f t="shared" si="9"/>
        <v xml:space="preserve"> </v>
      </c>
      <c r="AI102" s="14" t="str">
        <f t="shared" si="5"/>
        <v>TC Better Price</v>
      </c>
      <c r="AJ102" s="14" t="str">
        <f>IF(W102=0,"",(#REF!/W102))</f>
        <v/>
      </c>
    </row>
    <row r="103" spans="1:36" ht="20.100000000000001" customHeight="1" x14ac:dyDescent="0.25">
      <c r="A103" s="16"/>
      <c r="B103" s="108"/>
      <c r="C103" s="109"/>
      <c r="D103" s="109"/>
      <c r="E103" s="109"/>
      <c r="F103" s="17"/>
      <c r="G103" s="17"/>
      <c r="H103" s="108"/>
      <c r="I103" s="107"/>
      <c r="J103" s="108"/>
      <c r="K103" s="107"/>
      <c r="L103" s="108"/>
      <c r="M103" s="110"/>
      <c r="N103" s="109"/>
      <c r="O103" s="108"/>
      <c r="P103" s="233"/>
      <c r="Q103" s="239"/>
      <c r="R103" s="19"/>
      <c r="S103" s="20"/>
      <c r="T103" s="9" t="str">
        <f t="shared" si="6"/>
        <v xml:space="preserve"> </v>
      </c>
      <c r="U103" s="18"/>
      <c r="V103" s="21"/>
      <c r="W103" s="22"/>
      <c r="X103" s="197" t="str">
        <f t="shared" si="7"/>
        <v xml:space="preserve"> </v>
      </c>
      <c r="Y103" s="246"/>
      <c r="Z103" s="247"/>
      <c r="AA103" s="20"/>
      <c r="AB103" s="11" t="str">
        <f t="shared" si="8"/>
        <v xml:space="preserve"> </v>
      </c>
      <c r="AC103" s="12" t="str">
        <f t="shared" si="9"/>
        <v xml:space="preserve"> </v>
      </c>
      <c r="AI103" s="14" t="str">
        <f t="shared" si="5"/>
        <v>TC Better Price</v>
      </c>
      <c r="AJ103" s="14" t="str">
        <f>IF(W103=0,"",(#REF!/W103))</f>
        <v/>
      </c>
    </row>
    <row r="104" spans="1:36" ht="20.100000000000001" customHeight="1" x14ac:dyDescent="0.25">
      <c r="A104" s="16"/>
      <c r="B104" s="108"/>
      <c r="C104" s="109"/>
      <c r="D104" s="109"/>
      <c r="E104" s="109"/>
      <c r="F104" s="17"/>
      <c r="G104" s="17"/>
      <c r="H104" s="108"/>
      <c r="I104" s="107"/>
      <c r="J104" s="108"/>
      <c r="K104" s="107"/>
      <c r="L104" s="108"/>
      <c r="M104" s="110"/>
      <c r="N104" s="109"/>
      <c r="O104" s="108"/>
      <c r="P104" s="233"/>
      <c r="Q104" s="239"/>
      <c r="R104" s="19"/>
      <c r="S104" s="20"/>
      <c r="T104" s="9" t="str">
        <f t="shared" si="6"/>
        <v xml:space="preserve"> </v>
      </c>
      <c r="U104" s="18"/>
      <c r="V104" s="21"/>
      <c r="W104" s="22"/>
      <c r="X104" s="197" t="str">
        <f t="shared" si="7"/>
        <v xml:space="preserve"> </v>
      </c>
      <c r="Y104" s="246"/>
      <c r="Z104" s="247"/>
      <c r="AA104" s="20"/>
      <c r="AB104" s="11" t="str">
        <f t="shared" si="8"/>
        <v xml:space="preserve"> </v>
      </c>
      <c r="AC104" s="12" t="str">
        <f t="shared" si="9"/>
        <v xml:space="preserve"> </v>
      </c>
      <c r="AI104" s="14" t="str">
        <f t="shared" si="5"/>
        <v>TC Better Price</v>
      </c>
      <c r="AJ104" s="14" t="str">
        <f>IF(W104=0,"",(#REF!/W104))</f>
        <v/>
      </c>
    </row>
    <row r="105" spans="1:36" ht="20.100000000000001" customHeight="1" x14ac:dyDescent="0.25">
      <c r="A105" s="16"/>
      <c r="B105" s="108"/>
      <c r="C105" s="109"/>
      <c r="D105" s="109"/>
      <c r="E105" s="109"/>
      <c r="F105" s="17"/>
      <c r="G105" s="17"/>
      <c r="H105" s="108"/>
      <c r="I105" s="107"/>
      <c r="J105" s="108"/>
      <c r="K105" s="107"/>
      <c r="L105" s="108"/>
      <c r="M105" s="110"/>
      <c r="N105" s="109"/>
      <c r="O105" s="108"/>
      <c r="P105" s="233"/>
      <c r="Q105" s="239"/>
      <c r="R105" s="19"/>
      <c r="S105" s="20"/>
      <c r="T105" s="9" t="str">
        <f t="shared" si="6"/>
        <v xml:space="preserve"> </v>
      </c>
      <c r="U105" s="18"/>
      <c r="V105" s="21"/>
      <c r="W105" s="22"/>
      <c r="X105" s="197" t="str">
        <f t="shared" si="7"/>
        <v xml:space="preserve"> </v>
      </c>
      <c r="Y105" s="246"/>
      <c r="Z105" s="247"/>
      <c r="AA105" s="20"/>
      <c r="AB105" s="11" t="str">
        <f t="shared" si="8"/>
        <v xml:space="preserve"> </v>
      </c>
      <c r="AC105" s="12" t="str">
        <f t="shared" si="9"/>
        <v xml:space="preserve"> </v>
      </c>
      <c r="AI105" s="14" t="str">
        <f t="shared" si="5"/>
        <v>TC Better Price</v>
      </c>
      <c r="AJ105" s="14" t="str">
        <f>IF(W105=0,"",(#REF!/W105))</f>
        <v/>
      </c>
    </row>
    <row r="106" spans="1:36" ht="20.100000000000001" customHeight="1" x14ac:dyDescent="0.25">
      <c r="A106" s="16"/>
      <c r="B106" s="108"/>
      <c r="C106" s="109"/>
      <c r="D106" s="109"/>
      <c r="E106" s="109"/>
      <c r="F106" s="17"/>
      <c r="G106" s="17"/>
      <c r="H106" s="108"/>
      <c r="I106" s="107"/>
      <c r="J106" s="108"/>
      <c r="K106" s="107"/>
      <c r="L106" s="108"/>
      <c r="M106" s="110"/>
      <c r="N106" s="109"/>
      <c r="O106" s="108"/>
      <c r="P106" s="233"/>
      <c r="Q106" s="239"/>
      <c r="R106" s="19"/>
      <c r="S106" s="20"/>
      <c r="T106" s="9" t="str">
        <f t="shared" si="6"/>
        <v xml:space="preserve"> </v>
      </c>
      <c r="U106" s="18"/>
      <c r="V106" s="21"/>
      <c r="W106" s="22"/>
      <c r="X106" s="197" t="str">
        <f t="shared" si="7"/>
        <v xml:space="preserve"> </v>
      </c>
      <c r="Y106" s="246"/>
      <c r="Z106" s="247"/>
      <c r="AA106" s="20"/>
      <c r="AB106" s="11" t="str">
        <f t="shared" si="8"/>
        <v xml:space="preserve"> </v>
      </c>
      <c r="AC106" s="12" t="str">
        <f t="shared" si="9"/>
        <v xml:space="preserve"> </v>
      </c>
      <c r="AI106" s="14" t="str">
        <f t="shared" si="5"/>
        <v>TC Better Price</v>
      </c>
      <c r="AJ106" s="14" t="str">
        <f>IF(W106=0,"",(#REF!/W106))</f>
        <v/>
      </c>
    </row>
    <row r="107" spans="1:36" ht="20.100000000000001" customHeight="1" x14ac:dyDescent="0.25">
      <c r="A107" s="16"/>
      <c r="B107" s="108"/>
      <c r="C107" s="109"/>
      <c r="D107" s="109"/>
      <c r="E107" s="109"/>
      <c r="F107" s="17"/>
      <c r="G107" s="17"/>
      <c r="H107" s="108"/>
      <c r="I107" s="107"/>
      <c r="J107" s="108"/>
      <c r="K107" s="107"/>
      <c r="L107" s="108"/>
      <c r="M107" s="110"/>
      <c r="N107" s="109"/>
      <c r="O107" s="108"/>
      <c r="P107" s="233"/>
      <c r="Q107" s="239"/>
      <c r="R107" s="19"/>
      <c r="S107" s="20"/>
      <c r="T107" s="9" t="str">
        <f t="shared" si="6"/>
        <v xml:space="preserve"> </v>
      </c>
      <c r="U107" s="18"/>
      <c r="V107" s="21"/>
      <c r="W107" s="22"/>
      <c r="X107" s="197" t="str">
        <f t="shared" si="7"/>
        <v xml:space="preserve"> </v>
      </c>
      <c r="Y107" s="246"/>
      <c r="Z107" s="247"/>
      <c r="AA107" s="20"/>
      <c r="AB107" s="11" t="str">
        <f t="shared" si="8"/>
        <v xml:space="preserve"> </v>
      </c>
      <c r="AC107" s="12" t="str">
        <f t="shared" si="9"/>
        <v xml:space="preserve"> </v>
      </c>
      <c r="AI107" s="14" t="str">
        <f t="shared" si="5"/>
        <v>TC Better Price</v>
      </c>
      <c r="AJ107" s="14" t="str">
        <f>IF(W107=0,"",(#REF!/W107))</f>
        <v/>
      </c>
    </row>
    <row r="108" spans="1:36" ht="20.100000000000001" customHeight="1" x14ac:dyDescent="0.25">
      <c r="A108" s="16"/>
      <c r="B108" s="108"/>
      <c r="C108" s="109"/>
      <c r="D108" s="109"/>
      <c r="E108" s="109"/>
      <c r="F108" s="17"/>
      <c r="G108" s="17"/>
      <c r="H108" s="108"/>
      <c r="I108" s="107"/>
      <c r="J108" s="108"/>
      <c r="K108" s="107"/>
      <c r="L108" s="108"/>
      <c r="M108" s="110"/>
      <c r="N108" s="109"/>
      <c r="O108" s="108"/>
      <c r="P108" s="233"/>
      <c r="Q108" s="239"/>
      <c r="R108" s="19"/>
      <c r="S108" s="20"/>
      <c r="T108" s="9" t="str">
        <f t="shared" si="6"/>
        <v xml:space="preserve"> </v>
      </c>
      <c r="U108" s="18"/>
      <c r="V108" s="21"/>
      <c r="W108" s="22"/>
      <c r="X108" s="197" t="str">
        <f t="shared" si="7"/>
        <v xml:space="preserve"> </v>
      </c>
      <c r="Y108" s="246"/>
      <c r="Z108" s="247"/>
      <c r="AA108" s="20"/>
      <c r="AB108" s="11" t="str">
        <f t="shared" si="8"/>
        <v xml:space="preserve"> </v>
      </c>
      <c r="AC108" s="12" t="str">
        <f t="shared" si="9"/>
        <v xml:space="preserve"> </v>
      </c>
      <c r="AI108" s="14" t="str">
        <f t="shared" si="5"/>
        <v>TC Better Price</v>
      </c>
      <c r="AJ108" s="14" t="str">
        <f>IF(W108=0,"",(#REF!/W108))</f>
        <v/>
      </c>
    </row>
    <row r="109" spans="1:36" ht="20.100000000000001" customHeight="1" x14ac:dyDescent="0.25">
      <c r="A109" s="16"/>
      <c r="B109" s="108"/>
      <c r="C109" s="109"/>
      <c r="D109" s="109"/>
      <c r="E109" s="109"/>
      <c r="F109" s="17"/>
      <c r="G109" s="17"/>
      <c r="H109" s="108"/>
      <c r="I109" s="107"/>
      <c r="J109" s="108"/>
      <c r="K109" s="107"/>
      <c r="L109" s="108"/>
      <c r="M109" s="110"/>
      <c r="N109" s="109"/>
      <c r="O109" s="108"/>
      <c r="P109" s="233"/>
      <c r="Q109" s="239"/>
      <c r="R109" s="19"/>
      <c r="S109" s="20"/>
      <c r="T109" s="9" t="str">
        <f t="shared" si="6"/>
        <v xml:space="preserve"> </v>
      </c>
      <c r="U109" s="18"/>
      <c r="V109" s="21"/>
      <c r="W109" s="22"/>
      <c r="X109" s="197" t="str">
        <f t="shared" si="7"/>
        <v xml:space="preserve"> </v>
      </c>
      <c r="Y109" s="246"/>
      <c r="Z109" s="247"/>
      <c r="AA109" s="20"/>
      <c r="AB109" s="11" t="str">
        <f t="shared" si="8"/>
        <v xml:space="preserve"> </v>
      </c>
      <c r="AC109" s="12" t="str">
        <f t="shared" si="9"/>
        <v xml:space="preserve"> </v>
      </c>
      <c r="AI109" s="14" t="str">
        <f t="shared" si="5"/>
        <v>TC Better Price</v>
      </c>
      <c r="AJ109" s="14" t="str">
        <f>IF(W109=0,"",(#REF!/W109))</f>
        <v/>
      </c>
    </row>
    <row r="110" spans="1:36" ht="20.100000000000001" customHeight="1" x14ac:dyDescent="0.25">
      <c r="A110" s="16"/>
      <c r="B110" s="108"/>
      <c r="C110" s="109"/>
      <c r="D110" s="109"/>
      <c r="E110" s="109"/>
      <c r="F110" s="17"/>
      <c r="G110" s="17"/>
      <c r="H110" s="108"/>
      <c r="I110" s="107"/>
      <c r="J110" s="108"/>
      <c r="K110" s="107"/>
      <c r="L110" s="108"/>
      <c r="M110" s="110"/>
      <c r="N110" s="109"/>
      <c r="O110" s="108"/>
      <c r="P110" s="233"/>
      <c r="Q110" s="239"/>
      <c r="R110" s="19"/>
      <c r="S110" s="20"/>
      <c r="T110" s="9" t="str">
        <f t="shared" si="6"/>
        <v xml:space="preserve"> </v>
      </c>
      <c r="U110" s="18"/>
      <c r="V110" s="21"/>
      <c r="W110" s="22"/>
      <c r="X110" s="197" t="str">
        <f t="shared" si="7"/>
        <v xml:space="preserve"> </v>
      </c>
      <c r="Y110" s="246"/>
      <c r="Z110" s="247"/>
      <c r="AA110" s="20"/>
      <c r="AB110" s="11" t="str">
        <f t="shared" si="8"/>
        <v xml:space="preserve"> </v>
      </c>
      <c r="AC110" s="12" t="str">
        <f t="shared" si="9"/>
        <v xml:space="preserve"> </v>
      </c>
      <c r="AI110" s="14" t="str">
        <f t="shared" si="5"/>
        <v>TC Better Price</v>
      </c>
      <c r="AJ110" s="14" t="str">
        <f>IF(W110=0,"",(#REF!/W110))</f>
        <v/>
      </c>
    </row>
    <row r="111" spans="1:36" ht="20.100000000000001" customHeight="1" x14ac:dyDescent="0.25">
      <c r="A111" s="16"/>
      <c r="B111" s="108"/>
      <c r="C111" s="109"/>
      <c r="D111" s="109"/>
      <c r="E111" s="109"/>
      <c r="F111" s="17"/>
      <c r="G111" s="17"/>
      <c r="H111" s="108"/>
      <c r="I111" s="107"/>
      <c r="J111" s="108"/>
      <c r="K111" s="107"/>
      <c r="L111" s="108"/>
      <c r="M111" s="110"/>
      <c r="N111" s="109"/>
      <c r="O111" s="108"/>
      <c r="P111" s="233"/>
      <c r="Q111" s="239"/>
      <c r="R111" s="19"/>
      <c r="S111" s="20"/>
      <c r="T111" s="9" t="str">
        <f t="shared" si="6"/>
        <v xml:space="preserve"> </v>
      </c>
      <c r="U111" s="18"/>
      <c r="V111" s="21"/>
      <c r="W111" s="22"/>
      <c r="X111" s="197" t="str">
        <f t="shared" si="7"/>
        <v xml:space="preserve"> </v>
      </c>
      <c r="Y111" s="246"/>
      <c r="Z111" s="247"/>
      <c r="AA111" s="20"/>
      <c r="AB111" s="11" t="str">
        <f t="shared" si="8"/>
        <v xml:space="preserve"> </v>
      </c>
      <c r="AC111" s="12" t="str">
        <f t="shared" si="9"/>
        <v xml:space="preserve"> </v>
      </c>
      <c r="AI111" s="14" t="str">
        <f t="shared" si="5"/>
        <v>TC Better Price</v>
      </c>
      <c r="AJ111" s="14" t="str">
        <f>IF(W111=0,"",(#REF!/W111))</f>
        <v/>
      </c>
    </row>
    <row r="112" spans="1:36" ht="20.100000000000001" customHeight="1" x14ac:dyDescent="0.25">
      <c r="A112" s="16"/>
      <c r="B112" s="108"/>
      <c r="C112" s="109"/>
      <c r="D112" s="109"/>
      <c r="E112" s="109"/>
      <c r="F112" s="17"/>
      <c r="G112" s="17"/>
      <c r="H112" s="108"/>
      <c r="I112" s="107"/>
      <c r="J112" s="108"/>
      <c r="K112" s="107"/>
      <c r="L112" s="108"/>
      <c r="M112" s="110"/>
      <c r="N112" s="109"/>
      <c r="O112" s="108"/>
      <c r="P112" s="233"/>
      <c r="Q112" s="239"/>
      <c r="R112" s="19"/>
      <c r="S112" s="20"/>
      <c r="T112" s="9" t="str">
        <f t="shared" si="6"/>
        <v xml:space="preserve"> </v>
      </c>
      <c r="U112" s="18"/>
      <c r="V112" s="21"/>
      <c r="W112" s="22"/>
      <c r="X112" s="197" t="str">
        <f t="shared" si="7"/>
        <v xml:space="preserve"> </v>
      </c>
      <c r="Y112" s="246"/>
      <c r="Z112" s="247"/>
      <c r="AA112" s="20"/>
      <c r="AB112" s="11" t="str">
        <f t="shared" si="8"/>
        <v xml:space="preserve"> </v>
      </c>
      <c r="AC112" s="12" t="str">
        <f t="shared" si="9"/>
        <v xml:space="preserve"> </v>
      </c>
      <c r="AI112" s="14" t="str">
        <f t="shared" si="5"/>
        <v>TC Better Price</v>
      </c>
      <c r="AJ112" s="14" t="str">
        <f>IF(W112=0,"",(#REF!/W112))</f>
        <v/>
      </c>
    </row>
    <row r="113" spans="1:36" ht="20.100000000000001" customHeight="1" x14ac:dyDescent="0.25">
      <c r="A113" s="16"/>
      <c r="B113" s="108"/>
      <c r="C113" s="109"/>
      <c r="D113" s="109"/>
      <c r="E113" s="109"/>
      <c r="F113" s="17"/>
      <c r="G113" s="17"/>
      <c r="H113" s="108"/>
      <c r="I113" s="107"/>
      <c r="J113" s="108"/>
      <c r="K113" s="107"/>
      <c r="L113" s="108"/>
      <c r="M113" s="110"/>
      <c r="N113" s="109"/>
      <c r="O113" s="108"/>
      <c r="P113" s="233"/>
      <c r="Q113" s="239"/>
      <c r="R113" s="19"/>
      <c r="S113" s="20"/>
      <c r="T113" s="9" t="str">
        <f t="shared" si="6"/>
        <v xml:space="preserve"> </v>
      </c>
      <c r="U113" s="18"/>
      <c r="V113" s="21"/>
      <c r="W113" s="22"/>
      <c r="X113" s="197" t="str">
        <f t="shared" si="7"/>
        <v xml:space="preserve"> </v>
      </c>
      <c r="Y113" s="246"/>
      <c r="Z113" s="247"/>
      <c r="AA113" s="20"/>
      <c r="AB113" s="11" t="str">
        <f t="shared" si="8"/>
        <v xml:space="preserve"> </v>
      </c>
      <c r="AC113" s="12" t="str">
        <f t="shared" si="9"/>
        <v xml:space="preserve"> </v>
      </c>
      <c r="AI113" s="14" t="str">
        <f t="shared" si="5"/>
        <v>TC Better Price</v>
      </c>
      <c r="AJ113" s="14" t="str">
        <f>IF(W113=0,"",(#REF!/W113))</f>
        <v/>
      </c>
    </row>
    <row r="114" spans="1:36" ht="20.100000000000001" customHeight="1" x14ac:dyDescent="0.25">
      <c r="A114" s="16"/>
      <c r="B114" s="108"/>
      <c r="C114" s="109"/>
      <c r="D114" s="109"/>
      <c r="E114" s="109"/>
      <c r="F114" s="17"/>
      <c r="G114" s="17"/>
      <c r="H114" s="108"/>
      <c r="I114" s="107"/>
      <c r="J114" s="108"/>
      <c r="K114" s="107"/>
      <c r="L114" s="108"/>
      <c r="M114" s="110"/>
      <c r="N114" s="109"/>
      <c r="O114" s="108"/>
      <c r="P114" s="233"/>
      <c r="Q114" s="239"/>
      <c r="R114" s="19"/>
      <c r="S114" s="20"/>
      <c r="T114" s="9" t="str">
        <f t="shared" si="6"/>
        <v xml:space="preserve"> </v>
      </c>
      <c r="U114" s="18"/>
      <c r="V114" s="21"/>
      <c r="W114" s="22"/>
      <c r="X114" s="197" t="str">
        <f t="shared" si="7"/>
        <v xml:space="preserve"> </v>
      </c>
      <c r="Y114" s="246"/>
      <c r="Z114" s="247"/>
      <c r="AA114" s="20"/>
      <c r="AB114" s="11" t="str">
        <f t="shared" si="8"/>
        <v xml:space="preserve"> </v>
      </c>
      <c r="AC114" s="12" t="str">
        <f t="shared" si="9"/>
        <v xml:space="preserve"> </v>
      </c>
      <c r="AI114" s="14" t="str">
        <f t="shared" si="5"/>
        <v>TC Better Price</v>
      </c>
      <c r="AJ114" s="14" t="str">
        <f>IF(W114=0,"",(#REF!/W114))</f>
        <v/>
      </c>
    </row>
    <row r="115" spans="1:36" ht="20.100000000000001" customHeight="1" x14ac:dyDescent="0.25">
      <c r="A115" s="16"/>
      <c r="B115" s="108"/>
      <c r="C115" s="109"/>
      <c r="D115" s="109"/>
      <c r="E115" s="109"/>
      <c r="F115" s="17"/>
      <c r="G115" s="17"/>
      <c r="H115" s="108"/>
      <c r="I115" s="107"/>
      <c r="J115" s="108"/>
      <c r="K115" s="107"/>
      <c r="L115" s="108"/>
      <c r="M115" s="110"/>
      <c r="N115" s="109"/>
      <c r="O115" s="108"/>
      <c r="P115" s="233"/>
      <c r="Q115" s="239"/>
      <c r="R115" s="19"/>
      <c r="S115" s="20"/>
      <c r="T115" s="9" t="str">
        <f t="shared" si="6"/>
        <v xml:space="preserve"> </v>
      </c>
      <c r="U115" s="18"/>
      <c r="V115" s="21"/>
      <c r="W115" s="22"/>
      <c r="X115" s="197" t="str">
        <f t="shared" si="7"/>
        <v xml:space="preserve"> </v>
      </c>
      <c r="Y115" s="246"/>
      <c r="Z115" s="247"/>
      <c r="AA115" s="20"/>
      <c r="AB115" s="11" t="str">
        <f t="shared" si="8"/>
        <v xml:space="preserve"> </v>
      </c>
      <c r="AC115" s="12" t="str">
        <f t="shared" si="9"/>
        <v xml:space="preserve"> </v>
      </c>
      <c r="AI115" s="14" t="str">
        <f t="shared" si="5"/>
        <v>TC Better Price</v>
      </c>
      <c r="AJ115" s="14" t="str">
        <f>IF(W115=0,"",(#REF!/W115))</f>
        <v/>
      </c>
    </row>
    <row r="116" spans="1:36" ht="20.100000000000001" customHeight="1" x14ac:dyDescent="0.25">
      <c r="A116" s="16"/>
      <c r="B116" s="108"/>
      <c r="C116" s="109"/>
      <c r="D116" s="109"/>
      <c r="E116" s="109"/>
      <c r="F116" s="17"/>
      <c r="G116" s="17"/>
      <c r="H116" s="108"/>
      <c r="I116" s="107"/>
      <c r="J116" s="108"/>
      <c r="K116" s="107"/>
      <c r="L116" s="108"/>
      <c r="M116" s="110"/>
      <c r="N116" s="109"/>
      <c r="O116" s="108"/>
      <c r="P116" s="233"/>
      <c r="Q116" s="239"/>
      <c r="R116" s="19"/>
      <c r="S116" s="20"/>
      <c r="T116" s="9" t="str">
        <f t="shared" si="6"/>
        <v xml:space="preserve"> </v>
      </c>
      <c r="U116" s="18"/>
      <c r="V116" s="21"/>
      <c r="W116" s="22"/>
      <c r="X116" s="197" t="str">
        <f t="shared" si="7"/>
        <v xml:space="preserve"> </v>
      </c>
      <c r="Y116" s="246"/>
      <c r="Z116" s="247"/>
      <c r="AA116" s="20"/>
      <c r="AB116" s="11" t="str">
        <f t="shared" si="8"/>
        <v xml:space="preserve"> </v>
      </c>
      <c r="AC116" s="12" t="str">
        <f t="shared" si="9"/>
        <v xml:space="preserve"> </v>
      </c>
      <c r="AI116" s="14" t="str">
        <f t="shared" si="5"/>
        <v>TC Better Price</v>
      </c>
      <c r="AJ116" s="14" t="str">
        <f>IF(W116=0,"",(#REF!/W116))</f>
        <v/>
      </c>
    </row>
    <row r="117" spans="1:36" ht="20.100000000000001" customHeight="1" x14ac:dyDescent="0.25">
      <c r="A117" s="16"/>
      <c r="B117" s="108"/>
      <c r="C117" s="109"/>
      <c r="D117" s="109"/>
      <c r="E117" s="109"/>
      <c r="F117" s="17"/>
      <c r="G117" s="17"/>
      <c r="H117" s="108"/>
      <c r="I117" s="107"/>
      <c r="J117" s="108"/>
      <c r="K117" s="107"/>
      <c r="L117" s="108"/>
      <c r="M117" s="110"/>
      <c r="N117" s="109"/>
      <c r="O117" s="108"/>
      <c r="P117" s="233"/>
      <c r="Q117" s="239"/>
      <c r="R117" s="19"/>
      <c r="S117" s="20"/>
      <c r="T117" s="9" t="str">
        <f t="shared" si="6"/>
        <v xml:space="preserve"> </v>
      </c>
      <c r="U117" s="18"/>
      <c r="V117" s="21"/>
      <c r="W117" s="22"/>
      <c r="X117" s="197" t="str">
        <f t="shared" si="7"/>
        <v xml:space="preserve"> </v>
      </c>
      <c r="Y117" s="246"/>
      <c r="Z117" s="247"/>
      <c r="AA117" s="20"/>
      <c r="AB117" s="11" t="str">
        <f t="shared" si="8"/>
        <v xml:space="preserve"> </v>
      </c>
      <c r="AC117" s="12" t="str">
        <f t="shared" si="9"/>
        <v xml:space="preserve"> </v>
      </c>
      <c r="AI117" s="14" t="str">
        <f t="shared" si="5"/>
        <v>TC Better Price</v>
      </c>
      <c r="AJ117" s="14" t="str">
        <f>IF(W117=0,"",(#REF!/W117))</f>
        <v/>
      </c>
    </row>
    <row r="118" spans="1:36" ht="20.100000000000001" customHeight="1" x14ac:dyDescent="0.25">
      <c r="A118" s="16"/>
      <c r="B118" s="108"/>
      <c r="C118" s="109"/>
      <c r="D118" s="109"/>
      <c r="E118" s="109"/>
      <c r="F118" s="17"/>
      <c r="G118" s="17"/>
      <c r="H118" s="108"/>
      <c r="I118" s="107"/>
      <c r="J118" s="108"/>
      <c r="K118" s="107"/>
      <c r="L118" s="108"/>
      <c r="M118" s="110"/>
      <c r="N118" s="109"/>
      <c r="O118" s="108"/>
      <c r="P118" s="233"/>
      <c r="Q118" s="239"/>
      <c r="R118" s="19"/>
      <c r="S118" s="20"/>
      <c r="T118" s="9" t="str">
        <f t="shared" si="6"/>
        <v xml:space="preserve"> </v>
      </c>
      <c r="U118" s="18"/>
      <c r="V118" s="21"/>
      <c r="W118" s="22"/>
      <c r="X118" s="197" t="str">
        <f t="shared" si="7"/>
        <v xml:space="preserve"> </v>
      </c>
      <c r="Y118" s="246"/>
      <c r="Z118" s="247"/>
      <c r="AA118" s="20"/>
      <c r="AB118" s="11" t="str">
        <f t="shared" si="8"/>
        <v xml:space="preserve"> </v>
      </c>
      <c r="AC118" s="12" t="str">
        <f t="shared" si="9"/>
        <v xml:space="preserve"> </v>
      </c>
      <c r="AI118" s="14" t="str">
        <f t="shared" si="5"/>
        <v>TC Better Price</v>
      </c>
      <c r="AJ118" s="14" t="str">
        <f>IF(W118=0,"",(#REF!/W118))</f>
        <v/>
      </c>
    </row>
    <row r="119" spans="1:36" ht="20.100000000000001" customHeight="1" x14ac:dyDescent="0.25">
      <c r="A119" s="16"/>
      <c r="B119" s="108"/>
      <c r="C119" s="109"/>
      <c r="D119" s="109"/>
      <c r="E119" s="109"/>
      <c r="F119" s="17"/>
      <c r="G119" s="17"/>
      <c r="H119" s="108"/>
      <c r="I119" s="107"/>
      <c r="J119" s="108"/>
      <c r="K119" s="107"/>
      <c r="L119" s="108"/>
      <c r="M119" s="110"/>
      <c r="N119" s="109"/>
      <c r="O119" s="108"/>
      <c r="P119" s="233"/>
      <c r="Q119" s="239"/>
      <c r="R119" s="19"/>
      <c r="S119" s="20"/>
      <c r="T119" s="9" t="str">
        <f t="shared" si="6"/>
        <v xml:space="preserve"> </v>
      </c>
      <c r="U119" s="18"/>
      <c r="V119" s="21"/>
      <c r="W119" s="22"/>
      <c r="X119" s="197" t="str">
        <f t="shared" si="7"/>
        <v xml:space="preserve"> </v>
      </c>
      <c r="Y119" s="246"/>
      <c r="Z119" s="247"/>
      <c r="AA119" s="20"/>
      <c r="AB119" s="11" t="str">
        <f t="shared" si="8"/>
        <v xml:space="preserve"> </v>
      </c>
      <c r="AC119" s="12" t="str">
        <f t="shared" si="9"/>
        <v xml:space="preserve"> </v>
      </c>
      <c r="AI119" s="14" t="str">
        <f t="shared" si="5"/>
        <v>TC Better Price</v>
      </c>
      <c r="AJ119" s="14" t="str">
        <f>IF(W119=0,"",(#REF!/W119))</f>
        <v/>
      </c>
    </row>
    <row r="120" spans="1:36" ht="20.100000000000001" customHeight="1" x14ac:dyDescent="0.25">
      <c r="A120" s="16"/>
      <c r="B120" s="108"/>
      <c r="C120" s="109"/>
      <c r="D120" s="109"/>
      <c r="E120" s="109"/>
      <c r="F120" s="17"/>
      <c r="G120" s="17"/>
      <c r="H120" s="108"/>
      <c r="I120" s="107"/>
      <c r="J120" s="108"/>
      <c r="K120" s="107"/>
      <c r="L120" s="108"/>
      <c r="M120" s="110"/>
      <c r="N120" s="109"/>
      <c r="O120" s="108"/>
      <c r="P120" s="233"/>
      <c r="Q120" s="239"/>
      <c r="R120" s="19"/>
      <c r="S120" s="20"/>
      <c r="T120" s="9" t="str">
        <f t="shared" si="6"/>
        <v xml:space="preserve"> </v>
      </c>
      <c r="U120" s="18"/>
      <c r="V120" s="21"/>
      <c r="W120" s="22"/>
      <c r="X120" s="197" t="str">
        <f t="shared" si="7"/>
        <v xml:space="preserve"> </v>
      </c>
      <c r="Y120" s="246"/>
      <c r="Z120" s="247"/>
      <c r="AA120" s="20"/>
      <c r="AB120" s="11" t="str">
        <f t="shared" si="8"/>
        <v xml:space="preserve"> </v>
      </c>
      <c r="AC120" s="12" t="str">
        <f t="shared" si="9"/>
        <v xml:space="preserve"> </v>
      </c>
      <c r="AI120" s="14" t="str">
        <f t="shared" si="5"/>
        <v>TC Better Price</v>
      </c>
      <c r="AJ120" s="14" t="str">
        <f>IF(W120=0,"",(#REF!/W120))</f>
        <v/>
      </c>
    </row>
    <row r="121" spans="1:36" ht="20.100000000000001" customHeight="1" x14ac:dyDescent="0.25">
      <c r="A121" s="16"/>
      <c r="B121" s="108"/>
      <c r="C121" s="109"/>
      <c r="D121" s="109"/>
      <c r="E121" s="109"/>
      <c r="F121" s="17"/>
      <c r="G121" s="17"/>
      <c r="H121" s="108"/>
      <c r="I121" s="107"/>
      <c r="J121" s="108"/>
      <c r="K121" s="107"/>
      <c r="L121" s="108"/>
      <c r="M121" s="110"/>
      <c r="N121" s="109"/>
      <c r="O121" s="108"/>
      <c r="P121" s="233"/>
      <c r="Q121" s="239"/>
      <c r="R121" s="19"/>
      <c r="S121" s="20"/>
      <c r="T121" s="9" t="str">
        <f t="shared" si="6"/>
        <v xml:space="preserve"> </v>
      </c>
      <c r="U121" s="18"/>
      <c r="V121" s="21"/>
      <c r="W121" s="22"/>
      <c r="X121" s="197" t="str">
        <f t="shared" si="7"/>
        <v xml:space="preserve"> </v>
      </c>
      <c r="Y121" s="246"/>
      <c r="Z121" s="247"/>
      <c r="AA121" s="20"/>
      <c r="AB121" s="11" t="str">
        <f t="shared" si="8"/>
        <v xml:space="preserve"> </v>
      </c>
      <c r="AC121" s="12" t="str">
        <f t="shared" si="9"/>
        <v xml:space="preserve"> </v>
      </c>
      <c r="AI121" s="14" t="str">
        <f t="shared" si="5"/>
        <v>TC Better Price</v>
      </c>
      <c r="AJ121" s="14" t="str">
        <f>IF(W121=0,"",(#REF!/W121))</f>
        <v/>
      </c>
    </row>
    <row r="122" spans="1:36" ht="20.100000000000001" customHeight="1" x14ac:dyDescent="0.25">
      <c r="A122" s="16"/>
      <c r="B122" s="108"/>
      <c r="C122" s="109"/>
      <c r="D122" s="109"/>
      <c r="E122" s="109"/>
      <c r="F122" s="17"/>
      <c r="G122" s="17"/>
      <c r="H122" s="108"/>
      <c r="I122" s="107"/>
      <c r="J122" s="108"/>
      <c r="K122" s="107"/>
      <c r="L122" s="108"/>
      <c r="M122" s="110"/>
      <c r="N122" s="109"/>
      <c r="O122" s="108"/>
      <c r="P122" s="233"/>
      <c r="Q122" s="239"/>
      <c r="R122" s="19"/>
      <c r="S122" s="20"/>
      <c r="T122" s="9" t="str">
        <f t="shared" si="6"/>
        <v xml:space="preserve"> </v>
      </c>
      <c r="U122" s="18"/>
      <c r="V122" s="21"/>
      <c r="W122" s="22"/>
      <c r="X122" s="197" t="str">
        <f t="shared" si="7"/>
        <v xml:space="preserve"> </v>
      </c>
      <c r="Y122" s="246"/>
      <c r="Z122" s="247"/>
      <c r="AA122" s="20"/>
      <c r="AB122" s="11" t="str">
        <f t="shared" si="8"/>
        <v xml:space="preserve"> </v>
      </c>
      <c r="AC122" s="12" t="str">
        <f t="shared" si="9"/>
        <v xml:space="preserve"> </v>
      </c>
      <c r="AI122" s="14" t="str">
        <f t="shared" si="5"/>
        <v>TC Better Price</v>
      </c>
      <c r="AJ122" s="14" t="str">
        <f>IF(W122=0,"",(#REF!/W122))</f>
        <v/>
      </c>
    </row>
    <row r="123" spans="1:36" ht="20.100000000000001" customHeight="1" x14ac:dyDescent="0.25">
      <c r="A123" s="16"/>
      <c r="B123" s="108"/>
      <c r="C123" s="109"/>
      <c r="D123" s="109"/>
      <c r="E123" s="109"/>
      <c r="F123" s="17"/>
      <c r="G123" s="17"/>
      <c r="H123" s="108"/>
      <c r="I123" s="107"/>
      <c r="J123" s="108"/>
      <c r="K123" s="107"/>
      <c r="L123" s="108"/>
      <c r="M123" s="110"/>
      <c r="N123" s="109"/>
      <c r="O123" s="108"/>
      <c r="P123" s="233"/>
      <c r="Q123" s="239"/>
      <c r="R123" s="19"/>
      <c r="S123" s="20"/>
      <c r="T123" s="9" t="str">
        <f t="shared" si="6"/>
        <v xml:space="preserve"> </v>
      </c>
      <c r="U123" s="18"/>
      <c r="V123" s="21"/>
      <c r="W123" s="22"/>
      <c r="X123" s="197" t="str">
        <f t="shared" si="7"/>
        <v xml:space="preserve"> </v>
      </c>
      <c r="Y123" s="246"/>
      <c r="Z123" s="247"/>
      <c r="AA123" s="20"/>
      <c r="AB123" s="11" t="str">
        <f t="shared" si="8"/>
        <v xml:space="preserve"> </v>
      </c>
      <c r="AC123" s="12" t="str">
        <f t="shared" si="9"/>
        <v xml:space="preserve"> </v>
      </c>
      <c r="AI123" s="14" t="str">
        <f t="shared" si="5"/>
        <v>TC Better Price</v>
      </c>
      <c r="AJ123" s="14" t="str">
        <f>IF(W123=0,"",(#REF!/W123))</f>
        <v/>
      </c>
    </row>
    <row r="124" spans="1:36" ht="20.100000000000001" customHeight="1" x14ac:dyDescent="0.25">
      <c r="A124" s="16"/>
      <c r="B124" s="108"/>
      <c r="C124" s="109"/>
      <c r="D124" s="109"/>
      <c r="E124" s="109"/>
      <c r="F124" s="17"/>
      <c r="G124" s="17"/>
      <c r="H124" s="108"/>
      <c r="I124" s="107"/>
      <c r="J124" s="108"/>
      <c r="K124" s="107"/>
      <c r="L124" s="108"/>
      <c r="M124" s="110"/>
      <c r="N124" s="109"/>
      <c r="O124" s="108"/>
      <c r="P124" s="233"/>
      <c r="Q124" s="239"/>
      <c r="R124" s="19"/>
      <c r="S124" s="20"/>
      <c r="T124" s="9" t="str">
        <f t="shared" si="6"/>
        <v xml:space="preserve"> </v>
      </c>
      <c r="U124" s="18"/>
      <c r="V124" s="21"/>
      <c r="W124" s="22"/>
      <c r="X124" s="197" t="str">
        <f t="shared" si="7"/>
        <v xml:space="preserve"> </v>
      </c>
      <c r="Y124" s="246"/>
      <c r="Z124" s="247"/>
      <c r="AA124" s="20"/>
      <c r="AB124" s="11" t="str">
        <f t="shared" si="8"/>
        <v xml:space="preserve"> </v>
      </c>
      <c r="AC124" s="12" t="str">
        <f t="shared" si="9"/>
        <v xml:space="preserve"> </v>
      </c>
      <c r="AI124" s="14" t="str">
        <f t="shared" si="5"/>
        <v>TC Better Price</v>
      </c>
      <c r="AJ124" s="14" t="str">
        <f>IF(W124=0,"",(#REF!/W124))</f>
        <v/>
      </c>
    </row>
    <row r="125" spans="1:36" ht="20.100000000000001" customHeight="1" x14ac:dyDescent="0.25">
      <c r="A125" s="16"/>
      <c r="B125" s="108"/>
      <c r="C125" s="109"/>
      <c r="D125" s="109"/>
      <c r="E125" s="109"/>
      <c r="F125" s="17"/>
      <c r="G125" s="17"/>
      <c r="H125" s="108"/>
      <c r="I125" s="107"/>
      <c r="J125" s="108"/>
      <c r="K125" s="107"/>
      <c r="L125" s="108"/>
      <c r="M125" s="110"/>
      <c r="N125" s="109"/>
      <c r="O125" s="108"/>
      <c r="P125" s="233"/>
      <c r="Q125" s="239"/>
      <c r="R125" s="19"/>
      <c r="S125" s="20"/>
      <c r="T125" s="9" t="str">
        <f t="shared" si="6"/>
        <v xml:space="preserve"> </v>
      </c>
      <c r="U125" s="18"/>
      <c r="V125" s="21"/>
      <c r="W125" s="22"/>
      <c r="X125" s="197" t="str">
        <f t="shared" si="7"/>
        <v xml:space="preserve"> </v>
      </c>
      <c r="Y125" s="246"/>
      <c r="Z125" s="247"/>
      <c r="AA125" s="20"/>
      <c r="AB125" s="11" t="str">
        <f t="shared" si="8"/>
        <v xml:space="preserve"> </v>
      </c>
      <c r="AC125" s="12" t="str">
        <f t="shared" si="9"/>
        <v xml:space="preserve"> </v>
      </c>
      <c r="AI125" s="14" t="str">
        <f t="shared" si="5"/>
        <v>TC Better Price</v>
      </c>
      <c r="AJ125" s="14" t="str">
        <f>IF(W125=0,"",(#REF!/W125))</f>
        <v/>
      </c>
    </row>
    <row r="126" spans="1:36" ht="20.100000000000001" customHeight="1" x14ac:dyDescent="0.25">
      <c r="A126" s="16"/>
      <c r="B126" s="108"/>
      <c r="C126" s="109"/>
      <c r="D126" s="109"/>
      <c r="E126" s="109"/>
      <c r="F126" s="17"/>
      <c r="G126" s="17"/>
      <c r="H126" s="108"/>
      <c r="I126" s="107"/>
      <c r="J126" s="108"/>
      <c r="K126" s="107"/>
      <c r="L126" s="108"/>
      <c r="M126" s="110"/>
      <c r="N126" s="109"/>
      <c r="O126" s="108"/>
      <c r="P126" s="233"/>
      <c r="Q126" s="239"/>
      <c r="R126" s="19"/>
      <c r="S126" s="20"/>
      <c r="T126" s="9" t="str">
        <f t="shared" si="6"/>
        <v xml:space="preserve"> </v>
      </c>
      <c r="U126" s="18"/>
      <c r="V126" s="21"/>
      <c r="W126" s="22"/>
      <c r="X126" s="197" t="str">
        <f t="shared" si="7"/>
        <v xml:space="preserve"> </v>
      </c>
      <c r="Y126" s="246"/>
      <c r="Z126" s="247"/>
      <c r="AA126" s="20"/>
      <c r="AB126" s="11" t="str">
        <f t="shared" si="8"/>
        <v xml:space="preserve"> </v>
      </c>
      <c r="AC126" s="12" t="str">
        <f t="shared" si="9"/>
        <v xml:space="preserve"> </v>
      </c>
      <c r="AI126" s="14" t="str">
        <f t="shared" si="5"/>
        <v>TC Better Price</v>
      </c>
      <c r="AJ126" s="14" t="str">
        <f>IF(W126=0,"",(#REF!/W126))</f>
        <v/>
      </c>
    </row>
    <row r="127" spans="1:36" ht="20.100000000000001" customHeight="1" x14ac:dyDescent="0.25">
      <c r="A127" s="16"/>
      <c r="B127" s="108"/>
      <c r="C127" s="109"/>
      <c r="D127" s="109"/>
      <c r="E127" s="109"/>
      <c r="F127" s="17"/>
      <c r="G127" s="17"/>
      <c r="H127" s="108"/>
      <c r="I127" s="107"/>
      <c r="J127" s="108"/>
      <c r="K127" s="107"/>
      <c r="L127" s="108"/>
      <c r="M127" s="110"/>
      <c r="N127" s="109"/>
      <c r="O127" s="108"/>
      <c r="P127" s="233"/>
      <c r="Q127" s="239"/>
      <c r="R127" s="19"/>
      <c r="S127" s="20"/>
      <c r="T127" s="9" t="str">
        <f t="shared" si="6"/>
        <v xml:space="preserve"> </v>
      </c>
      <c r="U127" s="18"/>
      <c r="V127" s="21"/>
      <c r="W127" s="22"/>
      <c r="X127" s="197" t="str">
        <f t="shared" si="7"/>
        <v xml:space="preserve"> </v>
      </c>
      <c r="Y127" s="246"/>
      <c r="Z127" s="247"/>
      <c r="AA127" s="20"/>
      <c r="AB127" s="11" t="str">
        <f t="shared" si="8"/>
        <v xml:space="preserve"> </v>
      </c>
      <c r="AC127" s="12" t="str">
        <f t="shared" si="9"/>
        <v xml:space="preserve"> </v>
      </c>
      <c r="AI127" s="14" t="str">
        <f t="shared" si="5"/>
        <v>TC Better Price</v>
      </c>
      <c r="AJ127" s="14" t="str">
        <f>IF(W127=0,"",(#REF!/W127))</f>
        <v/>
      </c>
    </row>
    <row r="128" spans="1:36" ht="20.100000000000001" customHeight="1" x14ac:dyDescent="0.25">
      <c r="A128" s="16"/>
      <c r="B128" s="108"/>
      <c r="C128" s="109"/>
      <c r="D128" s="109"/>
      <c r="E128" s="109"/>
      <c r="F128" s="17"/>
      <c r="G128" s="17"/>
      <c r="H128" s="108"/>
      <c r="I128" s="107"/>
      <c r="J128" s="108"/>
      <c r="K128" s="107"/>
      <c r="L128" s="108"/>
      <c r="M128" s="110"/>
      <c r="N128" s="109"/>
      <c r="O128" s="108"/>
      <c r="P128" s="233"/>
      <c r="Q128" s="239"/>
      <c r="R128" s="19"/>
      <c r="S128" s="20"/>
      <c r="T128" s="9" t="str">
        <f t="shared" si="6"/>
        <v xml:space="preserve"> </v>
      </c>
      <c r="U128" s="18"/>
      <c r="V128" s="21"/>
      <c r="W128" s="22"/>
      <c r="X128" s="197" t="str">
        <f t="shared" si="7"/>
        <v xml:space="preserve"> </v>
      </c>
      <c r="Y128" s="246"/>
      <c r="Z128" s="247"/>
      <c r="AA128" s="20"/>
      <c r="AB128" s="11" t="str">
        <f t="shared" si="8"/>
        <v xml:space="preserve"> </v>
      </c>
      <c r="AC128" s="12" t="str">
        <f t="shared" si="9"/>
        <v xml:space="preserve"> </v>
      </c>
      <c r="AI128" s="14" t="str">
        <f t="shared" si="5"/>
        <v>TC Better Price</v>
      </c>
      <c r="AJ128" s="14" t="str">
        <f>IF(W128=0,"",(#REF!/W128))</f>
        <v/>
      </c>
    </row>
    <row r="129" spans="1:36" ht="20.100000000000001" customHeight="1" x14ac:dyDescent="0.25">
      <c r="A129" s="16"/>
      <c r="B129" s="108"/>
      <c r="C129" s="109"/>
      <c r="D129" s="109"/>
      <c r="E129" s="109"/>
      <c r="F129" s="17"/>
      <c r="G129" s="17"/>
      <c r="H129" s="108"/>
      <c r="I129" s="107"/>
      <c r="J129" s="108"/>
      <c r="K129" s="107"/>
      <c r="L129" s="108"/>
      <c r="M129" s="110"/>
      <c r="N129" s="109"/>
      <c r="O129" s="108"/>
      <c r="P129" s="233"/>
      <c r="Q129" s="239"/>
      <c r="R129" s="19"/>
      <c r="S129" s="20"/>
      <c r="T129" s="9" t="str">
        <f t="shared" si="6"/>
        <v xml:space="preserve"> </v>
      </c>
      <c r="U129" s="18"/>
      <c r="V129" s="21"/>
      <c r="W129" s="22"/>
      <c r="X129" s="197" t="str">
        <f t="shared" si="7"/>
        <v xml:space="preserve"> </v>
      </c>
      <c r="Y129" s="246"/>
      <c r="Z129" s="247"/>
      <c r="AA129" s="20"/>
      <c r="AB129" s="11" t="str">
        <f t="shared" si="8"/>
        <v xml:space="preserve"> </v>
      </c>
      <c r="AC129" s="12" t="str">
        <f t="shared" si="9"/>
        <v xml:space="preserve"> </v>
      </c>
      <c r="AI129" s="14" t="str">
        <f t="shared" si="5"/>
        <v>TC Better Price</v>
      </c>
      <c r="AJ129" s="14" t="str">
        <f>IF(W129=0,"",(#REF!/W129))</f>
        <v/>
      </c>
    </row>
    <row r="130" spans="1:36" ht="20.100000000000001" customHeight="1" x14ac:dyDescent="0.25">
      <c r="A130" s="16"/>
      <c r="B130" s="108"/>
      <c r="C130" s="109"/>
      <c r="D130" s="109"/>
      <c r="E130" s="109"/>
      <c r="F130" s="17"/>
      <c r="G130" s="17"/>
      <c r="H130" s="108"/>
      <c r="I130" s="107"/>
      <c r="J130" s="108"/>
      <c r="K130" s="107"/>
      <c r="L130" s="108"/>
      <c r="M130" s="110"/>
      <c r="N130" s="109"/>
      <c r="O130" s="108"/>
      <c r="P130" s="233"/>
      <c r="Q130" s="239"/>
      <c r="R130" s="19"/>
      <c r="S130" s="20"/>
      <c r="T130" s="9" t="str">
        <f t="shared" si="6"/>
        <v xml:space="preserve"> </v>
      </c>
      <c r="U130" s="18"/>
      <c r="V130" s="21"/>
      <c r="W130" s="22"/>
      <c r="X130" s="197" t="str">
        <f t="shared" si="7"/>
        <v xml:space="preserve"> </v>
      </c>
      <c r="Y130" s="246"/>
      <c r="Z130" s="247"/>
      <c r="AA130" s="20"/>
      <c r="AB130" s="11" t="str">
        <f t="shared" si="8"/>
        <v xml:space="preserve"> </v>
      </c>
      <c r="AC130" s="12" t="str">
        <f t="shared" si="9"/>
        <v xml:space="preserve"> </v>
      </c>
      <c r="AI130" s="14" t="str">
        <f t="shared" si="5"/>
        <v>TC Better Price</v>
      </c>
      <c r="AJ130" s="14" t="str">
        <f>IF(W130=0,"",(#REF!/W130))</f>
        <v/>
      </c>
    </row>
    <row r="131" spans="1:36" ht="20.100000000000001" customHeight="1" x14ac:dyDescent="0.25">
      <c r="A131" s="16"/>
      <c r="B131" s="108"/>
      <c r="C131" s="109"/>
      <c r="D131" s="109"/>
      <c r="E131" s="109"/>
      <c r="F131" s="17"/>
      <c r="G131" s="17"/>
      <c r="H131" s="108"/>
      <c r="I131" s="107"/>
      <c r="J131" s="108"/>
      <c r="K131" s="107"/>
      <c r="L131" s="108"/>
      <c r="M131" s="110"/>
      <c r="N131" s="109"/>
      <c r="O131" s="108"/>
      <c r="P131" s="233"/>
      <c r="Q131" s="239"/>
      <c r="R131" s="19"/>
      <c r="S131" s="20"/>
      <c r="T131" s="9" t="str">
        <f t="shared" si="6"/>
        <v xml:space="preserve"> </v>
      </c>
      <c r="U131" s="18"/>
      <c r="V131" s="21"/>
      <c r="W131" s="22"/>
      <c r="X131" s="197" t="str">
        <f t="shared" si="7"/>
        <v xml:space="preserve"> </v>
      </c>
      <c r="Y131" s="246"/>
      <c r="Z131" s="247"/>
      <c r="AA131" s="20"/>
      <c r="AB131" s="11" t="str">
        <f t="shared" si="8"/>
        <v xml:space="preserve"> </v>
      </c>
      <c r="AC131" s="12" t="str">
        <f t="shared" si="9"/>
        <v xml:space="preserve"> </v>
      </c>
      <c r="AI131" s="14" t="str">
        <f t="shared" ref="AI131:AI194" si="10">IF(W131&lt;=S131,"TC Better Price","MFC Better Price")</f>
        <v>TC Better Price</v>
      </c>
      <c r="AJ131" s="14" t="str">
        <f>IF(W131=0,"",(#REF!/W131))</f>
        <v/>
      </c>
    </row>
    <row r="132" spans="1:36" ht="20.100000000000001" customHeight="1" x14ac:dyDescent="0.25">
      <c r="A132" s="16"/>
      <c r="B132" s="108"/>
      <c r="C132" s="109"/>
      <c r="D132" s="109"/>
      <c r="E132" s="109"/>
      <c r="F132" s="17"/>
      <c r="G132" s="17"/>
      <c r="H132" s="108"/>
      <c r="I132" s="107"/>
      <c r="J132" s="108"/>
      <c r="K132" s="107"/>
      <c r="L132" s="108"/>
      <c r="M132" s="110"/>
      <c r="N132" s="109"/>
      <c r="O132" s="108"/>
      <c r="P132" s="233"/>
      <c r="Q132" s="239"/>
      <c r="R132" s="19"/>
      <c r="S132" s="20"/>
      <c r="T132" s="9" t="str">
        <f t="shared" ref="T132:T195" si="11">IF(ISBLANK(R132)," ",((ROUND(S132,2)-(ROUND(R132,2)))/(ROUND(R132,2))))</f>
        <v xml:space="preserve"> </v>
      </c>
      <c r="U132" s="18"/>
      <c r="V132" s="21"/>
      <c r="W132" s="22"/>
      <c r="X132" s="197" t="str">
        <f t="shared" ref="X132:X195" si="12">IF(ISBLANK(R132)," ",((ROUND(W132,2))-(ROUND(R132,2)))/(ROUND(R132,2)))</f>
        <v xml:space="preserve"> </v>
      </c>
      <c r="Y132" s="246"/>
      <c r="Z132" s="247"/>
      <c r="AA132" s="20"/>
      <c r="AB132" s="11" t="str">
        <f t="shared" ref="AB132:AB195" si="13">IF(ISBLANK(R132)," ",((ROUND(AA132,2))-(ROUND(R132,2)))/(ROUND(R132,2)))</f>
        <v xml:space="preserve"> </v>
      </c>
      <c r="AC132" s="12" t="str">
        <f t="shared" ref="AC132:AC195" si="14">IF(ISBLANK(AA132)," ",(ROUND(AA132,2)/0.995))</f>
        <v xml:space="preserve"> </v>
      </c>
      <c r="AI132" s="14" t="str">
        <f t="shared" si="10"/>
        <v>TC Better Price</v>
      </c>
      <c r="AJ132" s="14" t="str">
        <f>IF(W132=0,"",(#REF!/W132))</f>
        <v/>
      </c>
    </row>
    <row r="133" spans="1:36" ht="20.100000000000001" customHeight="1" x14ac:dyDescent="0.25">
      <c r="A133" s="16"/>
      <c r="B133" s="108"/>
      <c r="C133" s="109"/>
      <c r="D133" s="109"/>
      <c r="E133" s="109"/>
      <c r="F133" s="17"/>
      <c r="G133" s="17"/>
      <c r="H133" s="108"/>
      <c r="I133" s="107"/>
      <c r="J133" s="108"/>
      <c r="K133" s="107"/>
      <c r="L133" s="108"/>
      <c r="M133" s="110"/>
      <c r="N133" s="109"/>
      <c r="O133" s="108"/>
      <c r="P133" s="233"/>
      <c r="Q133" s="239"/>
      <c r="R133" s="19"/>
      <c r="S133" s="20"/>
      <c r="T133" s="9" t="str">
        <f t="shared" si="11"/>
        <v xml:space="preserve"> </v>
      </c>
      <c r="U133" s="18"/>
      <c r="V133" s="21"/>
      <c r="W133" s="22"/>
      <c r="X133" s="197" t="str">
        <f t="shared" si="12"/>
        <v xml:space="preserve"> </v>
      </c>
      <c r="Y133" s="246"/>
      <c r="Z133" s="247"/>
      <c r="AA133" s="20"/>
      <c r="AB133" s="11" t="str">
        <f t="shared" si="13"/>
        <v xml:space="preserve"> </v>
      </c>
      <c r="AC133" s="12" t="str">
        <f t="shared" si="14"/>
        <v xml:space="preserve"> </v>
      </c>
      <c r="AI133" s="14" t="str">
        <f t="shared" si="10"/>
        <v>TC Better Price</v>
      </c>
      <c r="AJ133" s="14" t="str">
        <f>IF(W133=0,"",(#REF!/W133))</f>
        <v/>
      </c>
    </row>
    <row r="134" spans="1:36" ht="20.100000000000001" customHeight="1" x14ac:dyDescent="0.25">
      <c r="A134" s="16"/>
      <c r="B134" s="108"/>
      <c r="C134" s="109"/>
      <c r="D134" s="109"/>
      <c r="E134" s="109"/>
      <c r="F134" s="17"/>
      <c r="G134" s="17"/>
      <c r="H134" s="108"/>
      <c r="I134" s="107"/>
      <c r="J134" s="108"/>
      <c r="K134" s="107"/>
      <c r="L134" s="108"/>
      <c r="M134" s="110"/>
      <c r="N134" s="109"/>
      <c r="O134" s="108"/>
      <c r="P134" s="233"/>
      <c r="Q134" s="239"/>
      <c r="R134" s="19"/>
      <c r="S134" s="20"/>
      <c r="T134" s="9" t="str">
        <f t="shared" si="11"/>
        <v xml:space="preserve"> </v>
      </c>
      <c r="U134" s="18"/>
      <c r="V134" s="21"/>
      <c r="W134" s="22"/>
      <c r="X134" s="197" t="str">
        <f t="shared" si="12"/>
        <v xml:space="preserve"> </v>
      </c>
      <c r="Y134" s="246"/>
      <c r="Z134" s="247"/>
      <c r="AA134" s="20"/>
      <c r="AB134" s="11" t="str">
        <f t="shared" si="13"/>
        <v xml:space="preserve"> </v>
      </c>
      <c r="AC134" s="12" t="str">
        <f t="shared" si="14"/>
        <v xml:space="preserve"> </v>
      </c>
      <c r="AI134" s="14" t="str">
        <f t="shared" si="10"/>
        <v>TC Better Price</v>
      </c>
      <c r="AJ134" s="14" t="str">
        <f>IF(W134=0,"",(#REF!/W134))</f>
        <v/>
      </c>
    </row>
    <row r="135" spans="1:36" ht="20.100000000000001" customHeight="1" x14ac:dyDescent="0.25">
      <c r="A135" s="16"/>
      <c r="B135" s="108"/>
      <c r="C135" s="109"/>
      <c r="D135" s="109"/>
      <c r="E135" s="109"/>
      <c r="F135" s="17"/>
      <c r="G135" s="17"/>
      <c r="H135" s="108"/>
      <c r="I135" s="107"/>
      <c r="J135" s="108"/>
      <c r="K135" s="107"/>
      <c r="L135" s="108"/>
      <c r="M135" s="110"/>
      <c r="N135" s="109"/>
      <c r="O135" s="108"/>
      <c r="P135" s="233"/>
      <c r="Q135" s="239"/>
      <c r="R135" s="19"/>
      <c r="S135" s="20"/>
      <c r="T135" s="9" t="str">
        <f t="shared" si="11"/>
        <v xml:space="preserve"> </v>
      </c>
      <c r="U135" s="18"/>
      <c r="V135" s="21"/>
      <c r="W135" s="22"/>
      <c r="X135" s="197" t="str">
        <f t="shared" si="12"/>
        <v xml:space="preserve"> </v>
      </c>
      <c r="Y135" s="246"/>
      <c r="Z135" s="247"/>
      <c r="AA135" s="20"/>
      <c r="AB135" s="11" t="str">
        <f t="shared" si="13"/>
        <v xml:space="preserve"> </v>
      </c>
      <c r="AC135" s="12" t="str">
        <f t="shared" si="14"/>
        <v xml:space="preserve"> </v>
      </c>
      <c r="AI135" s="14" t="str">
        <f t="shared" si="10"/>
        <v>TC Better Price</v>
      </c>
      <c r="AJ135" s="14" t="str">
        <f>IF(W135=0,"",(#REF!/W135))</f>
        <v/>
      </c>
    </row>
    <row r="136" spans="1:36" ht="20.100000000000001" customHeight="1" x14ac:dyDescent="0.25">
      <c r="A136" s="16"/>
      <c r="B136" s="108"/>
      <c r="C136" s="109"/>
      <c r="D136" s="109"/>
      <c r="E136" s="109"/>
      <c r="F136" s="17"/>
      <c r="G136" s="17"/>
      <c r="H136" s="108"/>
      <c r="I136" s="107"/>
      <c r="J136" s="108"/>
      <c r="K136" s="107"/>
      <c r="L136" s="108"/>
      <c r="M136" s="110"/>
      <c r="N136" s="109"/>
      <c r="O136" s="108"/>
      <c r="P136" s="233"/>
      <c r="Q136" s="239"/>
      <c r="R136" s="19"/>
      <c r="S136" s="20"/>
      <c r="T136" s="9" t="str">
        <f t="shared" si="11"/>
        <v xml:space="preserve"> </v>
      </c>
      <c r="U136" s="18"/>
      <c r="V136" s="21"/>
      <c r="W136" s="22"/>
      <c r="X136" s="197" t="str">
        <f t="shared" si="12"/>
        <v xml:space="preserve"> </v>
      </c>
      <c r="Y136" s="246"/>
      <c r="Z136" s="247"/>
      <c r="AA136" s="20"/>
      <c r="AB136" s="11" t="str">
        <f t="shared" si="13"/>
        <v xml:space="preserve"> </v>
      </c>
      <c r="AC136" s="12" t="str">
        <f t="shared" si="14"/>
        <v xml:space="preserve"> </v>
      </c>
      <c r="AI136" s="14" t="str">
        <f t="shared" si="10"/>
        <v>TC Better Price</v>
      </c>
      <c r="AJ136" s="14" t="str">
        <f>IF(W136=0,"",(#REF!/W136))</f>
        <v/>
      </c>
    </row>
    <row r="137" spans="1:36" ht="20.100000000000001" customHeight="1" x14ac:dyDescent="0.25">
      <c r="A137" s="16"/>
      <c r="B137" s="108"/>
      <c r="C137" s="109"/>
      <c r="D137" s="109"/>
      <c r="E137" s="109"/>
      <c r="F137" s="17"/>
      <c r="G137" s="17"/>
      <c r="H137" s="108"/>
      <c r="I137" s="107"/>
      <c r="J137" s="108"/>
      <c r="K137" s="107"/>
      <c r="L137" s="108"/>
      <c r="M137" s="110"/>
      <c r="N137" s="109"/>
      <c r="O137" s="108"/>
      <c r="P137" s="233"/>
      <c r="Q137" s="239"/>
      <c r="R137" s="19"/>
      <c r="S137" s="20"/>
      <c r="T137" s="9" t="str">
        <f t="shared" si="11"/>
        <v xml:space="preserve"> </v>
      </c>
      <c r="U137" s="18"/>
      <c r="V137" s="21"/>
      <c r="W137" s="22"/>
      <c r="X137" s="197" t="str">
        <f t="shared" si="12"/>
        <v xml:space="preserve"> </v>
      </c>
      <c r="Y137" s="246"/>
      <c r="Z137" s="247"/>
      <c r="AA137" s="20"/>
      <c r="AB137" s="11" t="str">
        <f t="shared" si="13"/>
        <v xml:space="preserve"> </v>
      </c>
      <c r="AC137" s="12" t="str">
        <f t="shared" si="14"/>
        <v xml:space="preserve"> </v>
      </c>
      <c r="AI137" s="14" t="str">
        <f t="shared" si="10"/>
        <v>TC Better Price</v>
      </c>
      <c r="AJ137" s="14" t="str">
        <f>IF(W137=0,"",(#REF!/W137))</f>
        <v/>
      </c>
    </row>
    <row r="138" spans="1:36" ht="20.100000000000001" customHeight="1" x14ac:dyDescent="0.25">
      <c r="A138" s="16"/>
      <c r="B138" s="108"/>
      <c r="C138" s="109"/>
      <c r="D138" s="109"/>
      <c r="E138" s="109"/>
      <c r="F138" s="17"/>
      <c r="G138" s="17"/>
      <c r="H138" s="108"/>
      <c r="I138" s="107"/>
      <c r="J138" s="108"/>
      <c r="K138" s="107"/>
      <c r="L138" s="108"/>
      <c r="M138" s="110"/>
      <c r="N138" s="109"/>
      <c r="O138" s="108"/>
      <c r="P138" s="233"/>
      <c r="Q138" s="239"/>
      <c r="R138" s="19"/>
      <c r="S138" s="20"/>
      <c r="T138" s="9" t="str">
        <f t="shared" si="11"/>
        <v xml:space="preserve"> </v>
      </c>
      <c r="U138" s="18"/>
      <c r="V138" s="21"/>
      <c r="W138" s="22"/>
      <c r="X138" s="197" t="str">
        <f t="shared" si="12"/>
        <v xml:space="preserve"> </v>
      </c>
      <c r="Y138" s="246"/>
      <c r="Z138" s="247"/>
      <c r="AA138" s="20"/>
      <c r="AB138" s="11" t="str">
        <f t="shared" si="13"/>
        <v xml:space="preserve"> </v>
      </c>
      <c r="AC138" s="12" t="str">
        <f t="shared" si="14"/>
        <v xml:space="preserve"> </v>
      </c>
      <c r="AI138" s="14" t="str">
        <f t="shared" si="10"/>
        <v>TC Better Price</v>
      </c>
      <c r="AJ138" s="14" t="str">
        <f>IF(W138=0,"",(#REF!/W138))</f>
        <v/>
      </c>
    </row>
    <row r="139" spans="1:36" ht="20.100000000000001" customHeight="1" x14ac:dyDescent="0.25">
      <c r="A139" s="16"/>
      <c r="B139" s="108"/>
      <c r="C139" s="109"/>
      <c r="D139" s="109"/>
      <c r="E139" s="109"/>
      <c r="F139" s="17"/>
      <c r="G139" s="17"/>
      <c r="H139" s="108"/>
      <c r="I139" s="107"/>
      <c r="J139" s="108"/>
      <c r="K139" s="107"/>
      <c r="L139" s="108"/>
      <c r="M139" s="110"/>
      <c r="N139" s="109"/>
      <c r="O139" s="108"/>
      <c r="P139" s="233"/>
      <c r="Q139" s="239"/>
      <c r="R139" s="19"/>
      <c r="S139" s="20"/>
      <c r="T139" s="9" t="str">
        <f t="shared" si="11"/>
        <v xml:space="preserve"> </v>
      </c>
      <c r="U139" s="18"/>
      <c r="V139" s="21"/>
      <c r="W139" s="22"/>
      <c r="X139" s="197" t="str">
        <f t="shared" si="12"/>
        <v xml:space="preserve"> </v>
      </c>
      <c r="Y139" s="246"/>
      <c r="Z139" s="247"/>
      <c r="AA139" s="20"/>
      <c r="AB139" s="11" t="str">
        <f t="shared" si="13"/>
        <v xml:space="preserve"> </v>
      </c>
      <c r="AC139" s="12" t="str">
        <f t="shared" si="14"/>
        <v xml:space="preserve"> </v>
      </c>
      <c r="AI139" s="14" t="str">
        <f t="shared" si="10"/>
        <v>TC Better Price</v>
      </c>
      <c r="AJ139" s="14" t="str">
        <f>IF(W139=0,"",(#REF!/W139))</f>
        <v/>
      </c>
    </row>
    <row r="140" spans="1:36" ht="20.100000000000001" customHeight="1" x14ac:dyDescent="0.25">
      <c r="A140" s="16"/>
      <c r="B140" s="108"/>
      <c r="C140" s="109"/>
      <c r="D140" s="109"/>
      <c r="E140" s="109"/>
      <c r="F140" s="17"/>
      <c r="G140" s="17"/>
      <c r="H140" s="108"/>
      <c r="I140" s="107"/>
      <c r="J140" s="108"/>
      <c r="K140" s="107"/>
      <c r="L140" s="108"/>
      <c r="M140" s="110"/>
      <c r="N140" s="109"/>
      <c r="O140" s="108"/>
      <c r="P140" s="233"/>
      <c r="Q140" s="239"/>
      <c r="R140" s="19"/>
      <c r="S140" s="20"/>
      <c r="T140" s="9" t="str">
        <f t="shared" si="11"/>
        <v xml:space="preserve"> </v>
      </c>
      <c r="U140" s="18"/>
      <c r="V140" s="21"/>
      <c r="W140" s="22"/>
      <c r="X140" s="197" t="str">
        <f t="shared" si="12"/>
        <v xml:space="preserve"> </v>
      </c>
      <c r="Y140" s="246"/>
      <c r="Z140" s="247"/>
      <c r="AA140" s="20"/>
      <c r="AB140" s="11" t="str">
        <f t="shared" si="13"/>
        <v xml:space="preserve"> </v>
      </c>
      <c r="AC140" s="12" t="str">
        <f t="shared" si="14"/>
        <v xml:space="preserve"> </v>
      </c>
      <c r="AI140" s="14" t="str">
        <f t="shared" si="10"/>
        <v>TC Better Price</v>
      </c>
      <c r="AJ140" s="14" t="str">
        <f>IF(W140=0,"",(#REF!/W140))</f>
        <v/>
      </c>
    </row>
    <row r="141" spans="1:36" ht="20.100000000000001" customHeight="1" x14ac:dyDescent="0.25">
      <c r="A141" s="16"/>
      <c r="B141" s="108"/>
      <c r="C141" s="109"/>
      <c r="D141" s="109"/>
      <c r="E141" s="109"/>
      <c r="F141" s="17"/>
      <c r="G141" s="17"/>
      <c r="H141" s="108"/>
      <c r="I141" s="107"/>
      <c r="J141" s="108"/>
      <c r="K141" s="107"/>
      <c r="L141" s="108"/>
      <c r="M141" s="110"/>
      <c r="N141" s="109"/>
      <c r="O141" s="108"/>
      <c r="P141" s="233"/>
      <c r="Q141" s="239"/>
      <c r="R141" s="19"/>
      <c r="S141" s="20"/>
      <c r="T141" s="9" t="str">
        <f t="shared" si="11"/>
        <v xml:space="preserve"> </v>
      </c>
      <c r="U141" s="18"/>
      <c r="V141" s="21"/>
      <c r="W141" s="22"/>
      <c r="X141" s="197" t="str">
        <f t="shared" si="12"/>
        <v xml:space="preserve"> </v>
      </c>
      <c r="Y141" s="246"/>
      <c r="Z141" s="247"/>
      <c r="AA141" s="20"/>
      <c r="AB141" s="11" t="str">
        <f t="shared" si="13"/>
        <v xml:space="preserve"> </v>
      </c>
      <c r="AC141" s="12" t="str">
        <f t="shared" si="14"/>
        <v xml:space="preserve"> </v>
      </c>
      <c r="AI141" s="14" t="str">
        <f t="shared" si="10"/>
        <v>TC Better Price</v>
      </c>
      <c r="AJ141" s="14" t="str">
        <f>IF(W141=0,"",(#REF!/W141))</f>
        <v/>
      </c>
    </row>
    <row r="142" spans="1:36" ht="20.100000000000001" customHeight="1" x14ac:dyDescent="0.25">
      <c r="A142" s="16"/>
      <c r="B142" s="108"/>
      <c r="C142" s="109"/>
      <c r="D142" s="109"/>
      <c r="E142" s="109"/>
      <c r="F142" s="17"/>
      <c r="G142" s="17"/>
      <c r="H142" s="108"/>
      <c r="I142" s="107"/>
      <c r="J142" s="108"/>
      <c r="K142" s="107"/>
      <c r="L142" s="108"/>
      <c r="M142" s="110"/>
      <c r="N142" s="109"/>
      <c r="O142" s="108"/>
      <c r="P142" s="233"/>
      <c r="Q142" s="239"/>
      <c r="R142" s="19"/>
      <c r="S142" s="20"/>
      <c r="T142" s="9" t="str">
        <f t="shared" si="11"/>
        <v xml:space="preserve"> </v>
      </c>
      <c r="U142" s="18"/>
      <c r="V142" s="21"/>
      <c r="W142" s="22"/>
      <c r="X142" s="197" t="str">
        <f t="shared" si="12"/>
        <v xml:space="preserve"> </v>
      </c>
      <c r="Y142" s="246"/>
      <c r="Z142" s="247"/>
      <c r="AA142" s="20"/>
      <c r="AB142" s="11" t="str">
        <f t="shared" si="13"/>
        <v xml:space="preserve"> </v>
      </c>
      <c r="AC142" s="12" t="str">
        <f t="shared" si="14"/>
        <v xml:space="preserve"> </v>
      </c>
      <c r="AI142" s="14" t="str">
        <f t="shared" si="10"/>
        <v>TC Better Price</v>
      </c>
      <c r="AJ142" s="14" t="str">
        <f>IF(W142=0,"",(#REF!/W142))</f>
        <v/>
      </c>
    </row>
    <row r="143" spans="1:36" ht="20.100000000000001" customHeight="1" x14ac:dyDescent="0.25">
      <c r="A143" s="16"/>
      <c r="B143" s="108"/>
      <c r="C143" s="109"/>
      <c r="D143" s="109"/>
      <c r="E143" s="109"/>
      <c r="F143" s="17"/>
      <c r="G143" s="17"/>
      <c r="H143" s="108"/>
      <c r="I143" s="107"/>
      <c r="J143" s="108"/>
      <c r="K143" s="107"/>
      <c r="L143" s="108"/>
      <c r="M143" s="110"/>
      <c r="N143" s="109"/>
      <c r="O143" s="108"/>
      <c r="P143" s="233"/>
      <c r="Q143" s="239"/>
      <c r="R143" s="19"/>
      <c r="S143" s="20"/>
      <c r="T143" s="9" t="str">
        <f t="shared" si="11"/>
        <v xml:space="preserve"> </v>
      </c>
      <c r="U143" s="18"/>
      <c r="V143" s="21"/>
      <c r="W143" s="22"/>
      <c r="X143" s="197" t="str">
        <f t="shared" si="12"/>
        <v xml:space="preserve"> </v>
      </c>
      <c r="Y143" s="246"/>
      <c r="Z143" s="247"/>
      <c r="AA143" s="20"/>
      <c r="AB143" s="11" t="str">
        <f t="shared" si="13"/>
        <v xml:space="preserve"> </v>
      </c>
      <c r="AC143" s="12" t="str">
        <f t="shared" si="14"/>
        <v xml:space="preserve"> </v>
      </c>
      <c r="AI143" s="14" t="str">
        <f t="shared" si="10"/>
        <v>TC Better Price</v>
      </c>
      <c r="AJ143" s="14" t="str">
        <f>IF(W143=0,"",(#REF!/W143))</f>
        <v/>
      </c>
    </row>
    <row r="144" spans="1:36" ht="20.100000000000001" customHeight="1" x14ac:dyDescent="0.25">
      <c r="A144" s="16"/>
      <c r="B144" s="108"/>
      <c r="C144" s="109"/>
      <c r="D144" s="109"/>
      <c r="E144" s="109"/>
      <c r="F144" s="17"/>
      <c r="G144" s="17"/>
      <c r="H144" s="108"/>
      <c r="I144" s="107"/>
      <c r="J144" s="108"/>
      <c r="K144" s="107"/>
      <c r="L144" s="108"/>
      <c r="M144" s="110"/>
      <c r="N144" s="109"/>
      <c r="O144" s="108"/>
      <c r="P144" s="233"/>
      <c r="Q144" s="239"/>
      <c r="R144" s="19"/>
      <c r="S144" s="20"/>
      <c r="T144" s="9" t="str">
        <f t="shared" si="11"/>
        <v xml:space="preserve"> </v>
      </c>
      <c r="U144" s="18"/>
      <c r="V144" s="21"/>
      <c r="W144" s="22"/>
      <c r="X144" s="197" t="str">
        <f t="shared" si="12"/>
        <v xml:space="preserve"> </v>
      </c>
      <c r="Y144" s="246"/>
      <c r="Z144" s="247"/>
      <c r="AA144" s="20"/>
      <c r="AB144" s="11" t="str">
        <f t="shared" si="13"/>
        <v xml:space="preserve"> </v>
      </c>
      <c r="AC144" s="12" t="str">
        <f t="shared" si="14"/>
        <v xml:space="preserve"> </v>
      </c>
      <c r="AI144" s="14" t="str">
        <f t="shared" si="10"/>
        <v>TC Better Price</v>
      </c>
      <c r="AJ144" s="14" t="str">
        <f>IF(W144=0,"",(#REF!/W144))</f>
        <v/>
      </c>
    </row>
    <row r="145" spans="1:36" ht="20.100000000000001" customHeight="1" x14ac:dyDescent="0.25">
      <c r="A145" s="16"/>
      <c r="B145" s="108"/>
      <c r="C145" s="109"/>
      <c r="D145" s="109"/>
      <c r="E145" s="109"/>
      <c r="F145" s="17"/>
      <c r="G145" s="17"/>
      <c r="H145" s="108"/>
      <c r="I145" s="107"/>
      <c r="J145" s="108"/>
      <c r="K145" s="107"/>
      <c r="L145" s="108"/>
      <c r="M145" s="110"/>
      <c r="N145" s="109"/>
      <c r="O145" s="108"/>
      <c r="P145" s="233"/>
      <c r="Q145" s="239"/>
      <c r="R145" s="19"/>
      <c r="S145" s="20"/>
      <c r="T145" s="9" t="str">
        <f t="shared" si="11"/>
        <v xml:space="preserve"> </v>
      </c>
      <c r="U145" s="18"/>
      <c r="V145" s="21"/>
      <c r="W145" s="22"/>
      <c r="X145" s="197" t="str">
        <f t="shared" si="12"/>
        <v xml:space="preserve"> </v>
      </c>
      <c r="Y145" s="246"/>
      <c r="Z145" s="247"/>
      <c r="AA145" s="20"/>
      <c r="AB145" s="11" t="str">
        <f t="shared" si="13"/>
        <v xml:space="preserve"> </v>
      </c>
      <c r="AC145" s="12" t="str">
        <f t="shared" si="14"/>
        <v xml:space="preserve"> </v>
      </c>
      <c r="AI145" s="14" t="str">
        <f t="shared" si="10"/>
        <v>TC Better Price</v>
      </c>
      <c r="AJ145" s="14" t="str">
        <f>IF(W145=0,"",(#REF!/W145))</f>
        <v/>
      </c>
    </row>
    <row r="146" spans="1:36" ht="20.100000000000001" customHeight="1" x14ac:dyDescent="0.25">
      <c r="A146" s="16"/>
      <c r="B146" s="108"/>
      <c r="C146" s="109"/>
      <c r="D146" s="109"/>
      <c r="E146" s="109"/>
      <c r="F146" s="17"/>
      <c r="G146" s="17"/>
      <c r="H146" s="108"/>
      <c r="I146" s="107"/>
      <c r="J146" s="108"/>
      <c r="K146" s="107"/>
      <c r="L146" s="108"/>
      <c r="M146" s="110"/>
      <c r="N146" s="109"/>
      <c r="O146" s="108"/>
      <c r="P146" s="233"/>
      <c r="Q146" s="239"/>
      <c r="R146" s="19"/>
      <c r="S146" s="20"/>
      <c r="T146" s="9" t="str">
        <f t="shared" si="11"/>
        <v xml:space="preserve"> </v>
      </c>
      <c r="U146" s="18"/>
      <c r="V146" s="21"/>
      <c r="W146" s="22"/>
      <c r="X146" s="197" t="str">
        <f t="shared" si="12"/>
        <v xml:space="preserve"> </v>
      </c>
      <c r="Y146" s="246"/>
      <c r="Z146" s="247"/>
      <c r="AA146" s="20"/>
      <c r="AB146" s="11" t="str">
        <f t="shared" si="13"/>
        <v xml:space="preserve"> </v>
      </c>
      <c r="AC146" s="12" t="str">
        <f t="shared" si="14"/>
        <v xml:space="preserve"> </v>
      </c>
      <c r="AI146" s="14" t="str">
        <f t="shared" si="10"/>
        <v>TC Better Price</v>
      </c>
      <c r="AJ146" s="14" t="str">
        <f>IF(W146=0,"",(#REF!/W146))</f>
        <v/>
      </c>
    </row>
    <row r="147" spans="1:36" ht="20.100000000000001" customHeight="1" x14ac:dyDescent="0.25">
      <c r="A147" s="16"/>
      <c r="B147" s="108"/>
      <c r="C147" s="109"/>
      <c r="D147" s="109"/>
      <c r="E147" s="109"/>
      <c r="F147" s="17"/>
      <c r="G147" s="17"/>
      <c r="H147" s="108"/>
      <c r="I147" s="107"/>
      <c r="J147" s="108"/>
      <c r="K147" s="107"/>
      <c r="L147" s="108"/>
      <c r="M147" s="110"/>
      <c r="N147" s="109"/>
      <c r="O147" s="108"/>
      <c r="P147" s="233"/>
      <c r="Q147" s="239"/>
      <c r="R147" s="19"/>
      <c r="S147" s="20"/>
      <c r="T147" s="9" t="str">
        <f t="shared" si="11"/>
        <v xml:space="preserve"> </v>
      </c>
      <c r="U147" s="18"/>
      <c r="V147" s="21"/>
      <c r="W147" s="22"/>
      <c r="X147" s="197" t="str">
        <f t="shared" si="12"/>
        <v xml:space="preserve"> </v>
      </c>
      <c r="Y147" s="246"/>
      <c r="Z147" s="247"/>
      <c r="AA147" s="20"/>
      <c r="AB147" s="11" t="str">
        <f t="shared" si="13"/>
        <v xml:space="preserve"> </v>
      </c>
      <c r="AC147" s="12" t="str">
        <f t="shared" si="14"/>
        <v xml:space="preserve"> </v>
      </c>
      <c r="AI147" s="14" t="str">
        <f t="shared" si="10"/>
        <v>TC Better Price</v>
      </c>
      <c r="AJ147" s="14" t="str">
        <f>IF(W147=0,"",(#REF!/W147))</f>
        <v/>
      </c>
    </row>
    <row r="148" spans="1:36" ht="20.100000000000001" customHeight="1" x14ac:dyDescent="0.25">
      <c r="A148" s="16"/>
      <c r="B148" s="108"/>
      <c r="C148" s="109"/>
      <c r="D148" s="109"/>
      <c r="E148" s="109"/>
      <c r="F148" s="17"/>
      <c r="G148" s="17"/>
      <c r="H148" s="108"/>
      <c r="I148" s="107"/>
      <c r="J148" s="108"/>
      <c r="K148" s="107"/>
      <c r="L148" s="108"/>
      <c r="M148" s="110"/>
      <c r="N148" s="109"/>
      <c r="O148" s="108"/>
      <c r="P148" s="233"/>
      <c r="Q148" s="239"/>
      <c r="R148" s="19"/>
      <c r="S148" s="20"/>
      <c r="T148" s="9" t="str">
        <f t="shared" si="11"/>
        <v xml:space="preserve"> </v>
      </c>
      <c r="U148" s="18"/>
      <c r="V148" s="21"/>
      <c r="W148" s="22"/>
      <c r="X148" s="197" t="str">
        <f t="shared" si="12"/>
        <v xml:space="preserve"> </v>
      </c>
      <c r="Y148" s="246"/>
      <c r="Z148" s="247"/>
      <c r="AA148" s="20"/>
      <c r="AB148" s="11" t="str">
        <f t="shared" si="13"/>
        <v xml:space="preserve"> </v>
      </c>
      <c r="AC148" s="12" t="str">
        <f t="shared" si="14"/>
        <v xml:space="preserve"> </v>
      </c>
      <c r="AI148" s="14" t="str">
        <f t="shared" si="10"/>
        <v>TC Better Price</v>
      </c>
      <c r="AJ148" s="14" t="str">
        <f>IF(W148=0,"",(#REF!/W148))</f>
        <v/>
      </c>
    </row>
    <row r="149" spans="1:36" ht="20.100000000000001" customHeight="1" x14ac:dyDescent="0.25">
      <c r="A149" s="16"/>
      <c r="B149" s="108"/>
      <c r="C149" s="109"/>
      <c r="D149" s="109"/>
      <c r="E149" s="109"/>
      <c r="F149" s="17"/>
      <c r="G149" s="17"/>
      <c r="H149" s="108"/>
      <c r="I149" s="107"/>
      <c r="J149" s="108"/>
      <c r="K149" s="107"/>
      <c r="L149" s="108"/>
      <c r="M149" s="110"/>
      <c r="N149" s="109"/>
      <c r="O149" s="108"/>
      <c r="P149" s="233"/>
      <c r="Q149" s="239"/>
      <c r="R149" s="19"/>
      <c r="S149" s="20"/>
      <c r="T149" s="9" t="str">
        <f t="shared" si="11"/>
        <v xml:space="preserve"> </v>
      </c>
      <c r="U149" s="18"/>
      <c r="V149" s="21"/>
      <c r="W149" s="22"/>
      <c r="X149" s="197" t="str">
        <f t="shared" si="12"/>
        <v xml:space="preserve"> </v>
      </c>
      <c r="Y149" s="246"/>
      <c r="Z149" s="247"/>
      <c r="AA149" s="20"/>
      <c r="AB149" s="11" t="str">
        <f t="shared" si="13"/>
        <v xml:space="preserve"> </v>
      </c>
      <c r="AC149" s="12" t="str">
        <f t="shared" si="14"/>
        <v xml:space="preserve"> </v>
      </c>
      <c r="AI149" s="14" t="str">
        <f t="shared" si="10"/>
        <v>TC Better Price</v>
      </c>
      <c r="AJ149" s="14" t="str">
        <f>IF(W149=0,"",(#REF!/W149))</f>
        <v/>
      </c>
    </row>
    <row r="150" spans="1:36" ht="20.100000000000001" customHeight="1" x14ac:dyDescent="0.25">
      <c r="A150" s="16"/>
      <c r="B150" s="108"/>
      <c r="C150" s="109"/>
      <c r="D150" s="109"/>
      <c r="E150" s="109"/>
      <c r="F150" s="17"/>
      <c r="G150" s="17"/>
      <c r="H150" s="108"/>
      <c r="I150" s="107"/>
      <c r="J150" s="108"/>
      <c r="K150" s="107"/>
      <c r="L150" s="108"/>
      <c r="M150" s="110"/>
      <c r="N150" s="109"/>
      <c r="O150" s="108"/>
      <c r="P150" s="233"/>
      <c r="Q150" s="239"/>
      <c r="R150" s="19"/>
      <c r="S150" s="20"/>
      <c r="T150" s="9" t="str">
        <f t="shared" si="11"/>
        <v xml:space="preserve"> </v>
      </c>
      <c r="U150" s="18"/>
      <c r="V150" s="21"/>
      <c r="W150" s="22"/>
      <c r="X150" s="197" t="str">
        <f t="shared" si="12"/>
        <v xml:space="preserve"> </v>
      </c>
      <c r="Y150" s="246"/>
      <c r="Z150" s="247"/>
      <c r="AA150" s="20"/>
      <c r="AB150" s="11" t="str">
        <f t="shared" si="13"/>
        <v xml:space="preserve"> </v>
      </c>
      <c r="AC150" s="12" t="str">
        <f t="shared" si="14"/>
        <v xml:space="preserve"> </v>
      </c>
      <c r="AI150" s="14" t="str">
        <f t="shared" si="10"/>
        <v>TC Better Price</v>
      </c>
      <c r="AJ150" s="14" t="str">
        <f>IF(W150=0,"",(#REF!/W150))</f>
        <v/>
      </c>
    </row>
    <row r="151" spans="1:36" ht="20.100000000000001" customHeight="1" x14ac:dyDescent="0.25">
      <c r="A151" s="16"/>
      <c r="B151" s="108"/>
      <c r="C151" s="109"/>
      <c r="D151" s="109"/>
      <c r="E151" s="109"/>
      <c r="F151" s="17"/>
      <c r="G151" s="17"/>
      <c r="H151" s="108"/>
      <c r="I151" s="107"/>
      <c r="J151" s="108"/>
      <c r="K151" s="107"/>
      <c r="L151" s="108"/>
      <c r="M151" s="110"/>
      <c r="N151" s="109"/>
      <c r="O151" s="108"/>
      <c r="P151" s="233"/>
      <c r="Q151" s="239"/>
      <c r="R151" s="19"/>
      <c r="S151" s="20"/>
      <c r="T151" s="9" t="str">
        <f t="shared" si="11"/>
        <v xml:space="preserve"> </v>
      </c>
      <c r="U151" s="18"/>
      <c r="V151" s="21"/>
      <c r="W151" s="22"/>
      <c r="X151" s="197" t="str">
        <f t="shared" si="12"/>
        <v xml:space="preserve"> </v>
      </c>
      <c r="Y151" s="246"/>
      <c r="Z151" s="247"/>
      <c r="AA151" s="20"/>
      <c r="AB151" s="11" t="str">
        <f t="shared" si="13"/>
        <v xml:space="preserve"> </v>
      </c>
      <c r="AC151" s="12" t="str">
        <f t="shared" si="14"/>
        <v xml:space="preserve"> </v>
      </c>
      <c r="AI151" s="14" t="str">
        <f t="shared" si="10"/>
        <v>TC Better Price</v>
      </c>
      <c r="AJ151" s="14" t="str">
        <f>IF(W151=0,"",(#REF!/W151))</f>
        <v/>
      </c>
    </row>
    <row r="152" spans="1:36" ht="20.100000000000001" customHeight="1" x14ac:dyDescent="0.25">
      <c r="A152" s="16"/>
      <c r="B152" s="108"/>
      <c r="C152" s="109"/>
      <c r="D152" s="109"/>
      <c r="E152" s="109"/>
      <c r="F152" s="17"/>
      <c r="G152" s="17"/>
      <c r="H152" s="108"/>
      <c r="I152" s="107"/>
      <c r="J152" s="108"/>
      <c r="K152" s="107"/>
      <c r="L152" s="108"/>
      <c r="M152" s="110"/>
      <c r="N152" s="109"/>
      <c r="O152" s="108"/>
      <c r="P152" s="233"/>
      <c r="Q152" s="239"/>
      <c r="R152" s="19"/>
      <c r="S152" s="20"/>
      <c r="T152" s="9" t="str">
        <f t="shared" si="11"/>
        <v xml:space="preserve"> </v>
      </c>
      <c r="U152" s="18"/>
      <c r="V152" s="21"/>
      <c r="W152" s="22"/>
      <c r="X152" s="197" t="str">
        <f t="shared" si="12"/>
        <v xml:space="preserve"> </v>
      </c>
      <c r="Y152" s="246"/>
      <c r="Z152" s="247"/>
      <c r="AA152" s="20"/>
      <c r="AB152" s="11" t="str">
        <f t="shared" si="13"/>
        <v xml:space="preserve"> </v>
      </c>
      <c r="AC152" s="12" t="str">
        <f t="shared" si="14"/>
        <v xml:space="preserve"> </v>
      </c>
      <c r="AI152" s="14" t="str">
        <f t="shared" si="10"/>
        <v>TC Better Price</v>
      </c>
      <c r="AJ152" s="14" t="str">
        <f>IF(W152=0,"",(#REF!/W152))</f>
        <v/>
      </c>
    </row>
    <row r="153" spans="1:36" ht="20.100000000000001" customHeight="1" x14ac:dyDescent="0.25">
      <c r="A153" s="16"/>
      <c r="B153" s="108"/>
      <c r="C153" s="109"/>
      <c r="D153" s="109"/>
      <c r="E153" s="109"/>
      <c r="F153" s="17"/>
      <c r="G153" s="17"/>
      <c r="H153" s="108"/>
      <c r="I153" s="107"/>
      <c r="J153" s="108"/>
      <c r="K153" s="107"/>
      <c r="L153" s="108"/>
      <c r="M153" s="110"/>
      <c r="N153" s="109"/>
      <c r="O153" s="108"/>
      <c r="P153" s="233"/>
      <c r="Q153" s="239"/>
      <c r="R153" s="19"/>
      <c r="S153" s="20"/>
      <c r="T153" s="9" t="str">
        <f t="shared" si="11"/>
        <v xml:space="preserve"> </v>
      </c>
      <c r="U153" s="18"/>
      <c r="V153" s="21"/>
      <c r="W153" s="22"/>
      <c r="X153" s="197" t="str">
        <f t="shared" si="12"/>
        <v xml:space="preserve"> </v>
      </c>
      <c r="Y153" s="246"/>
      <c r="Z153" s="247"/>
      <c r="AA153" s="20"/>
      <c r="AB153" s="11" t="str">
        <f t="shared" si="13"/>
        <v xml:space="preserve"> </v>
      </c>
      <c r="AC153" s="12" t="str">
        <f t="shared" si="14"/>
        <v xml:space="preserve"> </v>
      </c>
      <c r="AI153" s="14" t="str">
        <f t="shared" si="10"/>
        <v>TC Better Price</v>
      </c>
      <c r="AJ153" s="14" t="str">
        <f>IF(W153=0,"",(#REF!/W153))</f>
        <v/>
      </c>
    </row>
    <row r="154" spans="1:36" ht="20.100000000000001" customHeight="1" x14ac:dyDescent="0.25">
      <c r="A154" s="16"/>
      <c r="B154" s="108"/>
      <c r="C154" s="109"/>
      <c r="D154" s="109"/>
      <c r="E154" s="109"/>
      <c r="F154" s="17"/>
      <c r="G154" s="17"/>
      <c r="H154" s="108"/>
      <c r="I154" s="107"/>
      <c r="J154" s="108"/>
      <c r="K154" s="107"/>
      <c r="L154" s="108"/>
      <c r="M154" s="110"/>
      <c r="N154" s="109"/>
      <c r="O154" s="108"/>
      <c r="P154" s="233"/>
      <c r="Q154" s="239"/>
      <c r="R154" s="19"/>
      <c r="S154" s="20"/>
      <c r="T154" s="9" t="str">
        <f t="shared" si="11"/>
        <v xml:space="preserve"> </v>
      </c>
      <c r="U154" s="18"/>
      <c r="V154" s="21"/>
      <c r="W154" s="22"/>
      <c r="X154" s="197" t="str">
        <f t="shared" si="12"/>
        <v xml:space="preserve"> </v>
      </c>
      <c r="Y154" s="246"/>
      <c r="Z154" s="247"/>
      <c r="AA154" s="20"/>
      <c r="AB154" s="11" t="str">
        <f t="shared" si="13"/>
        <v xml:space="preserve"> </v>
      </c>
      <c r="AC154" s="12" t="str">
        <f t="shared" si="14"/>
        <v xml:space="preserve"> </v>
      </c>
      <c r="AI154" s="14" t="str">
        <f t="shared" si="10"/>
        <v>TC Better Price</v>
      </c>
      <c r="AJ154" s="14" t="str">
        <f>IF(W154=0,"",(#REF!/W154))</f>
        <v/>
      </c>
    </row>
    <row r="155" spans="1:36" ht="20.100000000000001" customHeight="1" x14ac:dyDescent="0.25">
      <c r="A155" s="16"/>
      <c r="B155" s="108"/>
      <c r="C155" s="109"/>
      <c r="D155" s="109"/>
      <c r="E155" s="109"/>
      <c r="F155" s="17"/>
      <c r="G155" s="17"/>
      <c r="H155" s="108"/>
      <c r="I155" s="107"/>
      <c r="J155" s="108"/>
      <c r="K155" s="107"/>
      <c r="L155" s="108"/>
      <c r="M155" s="110"/>
      <c r="N155" s="109"/>
      <c r="O155" s="108"/>
      <c r="P155" s="233"/>
      <c r="Q155" s="239"/>
      <c r="R155" s="19"/>
      <c r="S155" s="20"/>
      <c r="T155" s="9" t="str">
        <f t="shared" si="11"/>
        <v xml:space="preserve"> </v>
      </c>
      <c r="U155" s="18"/>
      <c r="V155" s="21"/>
      <c r="W155" s="22"/>
      <c r="X155" s="197" t="str">
        <f t="shared" si="12"/>
        <v xml:space="preserve"> </v>
      </c>
      <c r="Y155" s="246"/>
      <c r="Z155" s="247"/>
      <c r="AA155" s="20"/>
      <c r="AB155" s="11" t="str">
        <f t="shared" si="13"/>
        <v xml:space="preserve"> </v>
      </c>
      <c r="AC155" s="12" t="str">
        <f t="shared" si="14"/>
        <v xml:space="preserve"> </v>
      </c>
      <c r="AI155" s="14" t="str">
        <f t="shared" si="10"/>
        <v>TC Better Price</v>
      </c>
      <c r="AJ155" s="14" t="str">
        <f>IF(W155=0,"",(#REF!/W155))</f>
        <v/>
      </c>
    </row>
    <row r="156" spans="1:36" ht="20.100000000000001" customHeight="1" x14ac:dyDescent="0.25">
      <c r="A156" s="16"/>
      <c r="B156" s="108"/>
      <c r="C156" s="109"/>
      <c r="D156" s="109"/>
      <c r="E156" s="109"/>
      <c r="F156" s="17"/>
      <c r="G156" s="17"/>
      <c r="H156" s="108"/>
      <c r="I156" s="107"/>
      <c r="J156" s="108"/>
      <c r="K156" s="107"/>
      <c r="L156" s="108"/>
      <c r="M156" s="110"/>
      <c r="N156" s="109"/>
      <c r="O156" s="108"/>
      <c r="P156" s="233"/>
      <c r="Q156" s="239"/>
      <c r="R156" s="19"/>
      <c r="S156" s="20"/>
      <c r="T156" s="9" t="str">
        <f t="shared" si="11"/>
        <v xml:space="preserve"> </v>
      </c>
      <c r="U156" s="18"/>
      <c r="V156" s="21"/>
      <c r="W156" s="22"/>
      <c r="X156" s="197" t="str">
        <f t="shared" si="12"/>
        <v xml:space="preserve"> </v>
      </c>
      <c r="Y156" s="246"/>
      <c r="Z156" s="247"/>
      <c r="AA156" s="20"/>
      <c r="AB156" s="11" t="str">
        <f t="shared" si="13"/>
        <v xml:space="preserve"> </v>
      </c>
      <c r="AC156" s="12" t="str">
        <f t="shared" si="14"/>
        <v xml:space="preserve"> </v>
      </c>
      <c r="AI156" s="14" t="str">
        <f t="shared" si="10"/>
        <v>TC Better Price</v>
      </c>
      <c r="AJ156" s="14" t="str">
        <f>IF(W156=0,"",(#REF!/W156))</f>
        <v/>
      </c>
    </row>
    <row r="157" spans="1:36" ht="20.100000000000001" customHeight="1" x14ac:dyDescent="0.25">
      <c r="A157" s="16"/>
      <c r="B157" s="108"/>
      <c r="C157" s="109"/>
      <c r="D157" s="109"/>
      <c r="E157" s="109"/>
      <c r="F157" s="17"/>
      <c r="G157" s="17"/>
      <c r="H157" s="108"/>
      <c r="I157" s="107"/>
      <c r="J157" s="108"/>
      <c r="K157" s="107"/>
      <c r="L157" s="108"/>
      <c r="M157" s="110"/>
      <c r="N157" s="109"/>
      <c r="O157" s="108"/>
      <c r="P157" s="233"/>
      <c r="Q157" s="239"/>
      <c r="R157" s="19"/>
      <c r="S157" s="20"/>
      <c r="T157" s="9" t="str">
        <f t="shared" si="11"/>
        <v xml:space="preserve"> </v>
      </c>
      <c r="U157" s="18"/>
      <c r="V157" s="21"/>
      <c r="W157" s="22"/>
      <c r="X157" s="197" t="str">
        <f t="shared" si="12"/>
        <v xml:space="preserve"> </v>
      </c>
      <c r="Y157" s="246"/>
      <c r="Z157" s="247"/>
      <c r="AA157" s="20"/>
      <c r="AB157" s="11" t="str">
        <f t="shared" si="13"/>
        <v xml:space="preserve"> </v>
      </c>
      <c r="AC157" s="12" t="str">
        <f t="shared" si="14"/>
        <v xml:space="preserve"> </v>
      </c>
      <c r="AI157" s="14" t="str">
        <f t="shared" si="10"/>
        <v>TC Better Price</v>
      </c>
      <c r="AJ157" s="14" t="str">
        <f>IF(W157=0,"",(#REF!/W157))</f>
        <v/>
      </c>
    </row>
    <row r="158" spans="1:36" ht="20.100000000000001" customHeight="1" x14ac:dyDescent="0.25">
      <c r="A158" s="16"/>
      <c r="B158" s="108"/>
      <c r="C158" s="109"/>
      <c r="D158" s="109"/>
      <c r="E158" s="109"/>
      <c r="F158" s="17"/>
      <c r="G158" s="17"/>
      <c r="H158" s="108"/>
      <c r="I158" s="107"/>
      <c r="J158" s="108"/>
      <c r="K158" s="107"/>
      <c r="L158" s="108"/>
      <c r="M158" s="110"/>
      <c r="N158" s="109"/>
      <c r="O158" s="108"/>
      <c r="P158" s="233"/>
      <c r="Q158" s="239"/>
      <c r="R158" s="19"/>
      <c r="S158" s="20"/>
      <c r="T158" s="9" t="str">
        <f t="shared" si="11"/>
        <v xml:space="preserve"> </v>
      </c>
      <c r="U158" s="18"/>
      <c r="V158" s="21"/>
      <c r="W158" s="22"/>
      <c r="X158" s="197" t="str">
        <f t="shared" si="12"/>
        <v xml:space="preserve"> </v>
      </c>
      <c r="Y158" s="246"/>
      <c r="Z158" s="247"/>
      <c r="AA158" s="20"/>
      <c r="AB158" s="11" t="str">
        <f t="shared" si="13"/>
        <v xml:space="preserve"> </v>
      </c>
      <c r="AC158" s="12" t="str">
        <f t="shared" si="14"/>
        <v xml:space="preserve"> </v>
      </c>
      <c r="AI158" s="14" t="str">
        <f t="shared" si="10"/>
        <v>TC Better Price</v>
      </c>
      <c r="AJ158" s="14" t="str">
        <f>IF(W158=0,"",(#REF!/W158))</f>
        <v/>
      </c>
    </row>
    <row r="159" spans="1:36" ht="20.100000000000001" customHeight="1" x14ac:dyDescent="0.25">
      <c r="A159" s="16"/>
      <c r="B159" s="108"/>
      <c r="C159" s="109"/>
      <c r="D159" s="109"/>
      <c r="E159" s="109"/>
      <c r="F159" s="17"/>
      <c r="G159" s="17"/>
      <c r="H159" s="108"/>
      <c r="I159" s="107"/>
      <c r="J159" s="108"/>
      <c r="K159" s="107"/>
      <c r="L159" s="108"/>
      <c r="M159" s="110"/>
      <c r="N159" s="109"/>
      <c r="O159" s="108"/>
      <c r="P159" s="233"/>
      <c r="Q159" s="239"/>
      <c r="R159" s="19"/>
      <c r="S159" s="20"/>
      <c r="T159" s="9" t="str">
        <f t="shared" si="11"/>
        <v xml:space="preserve"> </v>
      </c>
      <c r="U159" s="18"/>
      <c r="V159" s="21"/>
      <c r="W159" s="22"/>
      <c r="X159" s="197" t="str">
        <f t="shared" si="12"/>
        <v xml:space="preserve"> </v>
      </c>
      <c r="Y159" s="246"/>
      <c r="Z159" s="247"/>
      <c r="AA159" s="20"/>
      <c r="AB159" s="11" t="str">
        <f t="shared" si="13"/>
        <v xml:space="preserve"> </v>
      </c>
      <c r="AC159" s="12" t="str">
        <f t="shared" si="14"/>
        <v xml:space="preserve"> </v>
      </c>
      <c r="AI159" s="14" t="str">
        <f t="shared" si="10"/>
        <v>TC Better Price</v>
      </c>
      <c r="AJ159" s="14" t="str">
        <f>IF(W159=0,"",(#REF!/W159))</f>
        <v/>
      </c>
    </row>
    <row r="160" spans="1:36" ht="20.100000000000001" customHeight="1" x14ac:dyDescent="0.25">
      <c r="A160" s="16"/>
      <c r="B160" s="108"/>
      <c r="C160" s="109"/>
      <c r="D160" s="109"/>
      <c r="E160" s="109"/>
      <c r="F160" s="17"/>
      <c r="G160" s="17"/>
      <c r="H160" s="108"/>
      <c r="I160" s="107"/>
      <c r="J160" s="108"/>
      <c r="K160" s="107"/>
      <c r="L160" s="108"/>
      <c r="M160" s="110"/>
      <c r="N160" s="109"/>
      <c r="O160" s="108"/>
      <c r="P160" s="233"/>
      <c r="Q160" s="239"/>
      <c r="R160" s="19"/>
      <c r="S160" s="20"/>
      <c r="T160" s="9" t="str">
        <f t="shared" si="11"/>
        <v xml:space="preserve"> </v>
      </c>
      <c r="U160" s="18"/>
      <c r="V160" s="21"/>
      <c r="W160" s="22"/>
      <c r="X160" s="197" t="str">
        <f t="shared" si="12"/>
        <v xml:space="preserve"> </v>
      </c>
      <c r="Y160" s="246"/>
      <c r="Z160" s="247"/>
      <c r="AA160" s="20"/>
      <c r="AB160" s="11" t="str">
        <f t="shared" si="13"/>
        <v xml:space="preserve"> </v>
      </c>
      <c r="AC160" s="12" t="str">
        <f t="shared" si="14"/>
        <v xml:space="preserve"> </v>
      </c>
      <c r="AI160" s="14" t="str">
        <f t="shared" si="10"/>
        <v>TC Better Price</v>
      </c>
      <c r="AJ160" s="14" t="str">
        <f>IF(W160=0,"",(#REF!/W160))</f>
        <v/>
      </c>
    </row>
    <row r="161" spans="1:36" ht="20.100000000000001" customHeight="1" x14ac:dyDescent="0.25">
      <c r="A161" s="16"/>
      <c r="B161" s="108"/>
      <c r="C161" s="109"/>
      <c r="D161" s="109"/>
      <c r="E161" s="109"/>
      <c r="F161" s="17"/>
      <c r="G161" s="17"/>
      <c r="H161" s="108"/>
      <c r="I161" s="107"/>
      <c r="J161" s="108"/>
      <c r="K161" s="107"/>
      <c r="L161" s="108"/>
      <c r="M161" s="110"/>
      <c r="N161" s="109"/>
      <c r="O161" s="108"/>
      <c r="P161" s="233"/>
      <c r="Q161" s="239"/>
      <c r="R161" s="19"/>
      <c r="S161" s="20"/>
      <c r="T161" s="9" t="str">
        <f t="shared" si="11"/>
        <v xml:space="preserve"> </v>
      </c>
      <c r="U161" s="18"/>
      <c r="V161" s="21"/>
      <c r="W161" s="22"/>
      <c r="X161" s="197" t="str">
        <f t="shared" si="12"/>
        <v xml:space="preserve"> </v>
      </c>
      <c r="Y161" s="246"/>
      <c r="Z161" s="247"/>
      <c r="AA161" s="20"/>
      <c r="AB161" s="11" t="str">
        <f t="shared" si="13"/>
        <v xml:space="preserve"> </v>
      </c>
      <c r="AC161" s="12" t="str">
        <f t="shared" si="14"/>
        <v xml:space="preserve"> </v>
      </c>
      <c r="AI161" s="14" t="str">
        <f t="shared" si="10"/>
        <v>TC Better Price</v>
      </c>
      <c r="AJ161" s="14" t="str">
        <f>IF(W161=0,"",(#REF!/W161))</f>
        <v/>
      </c>
    </row>
    <row r="162" spans="1:36" ht="20.100000000000001" customHeight="1" x14ac:dyDescent="0.25">
      <c r="A162" s="16"/>
      <c r="B162" s="108"/>
      <c r="C162" s="109"/>
      <c r="D162" s="109"/>
      <c r="E162" s="109"/>
      <c r="F162" s="17"/>
      <c r="G162" s="17"/>
      <c r="H162" s="108"/>
      <c r="I162" s="107"/>
      <c r="J162" s="108"/>
      <c r="K162" s="107"/>
      <c r="L162" s="108"/>
      <c r="M162" s="110"/>
      <c r="N162" s="109"/>
      <c r="O162" s="108"/>
      <c r="P162" s="233"/>
      <c r="Q162" s="239"/>
      <c r="R162" s="19"/>
      <c r="S162" s="20"/>
      <c r="T162" s="9" t="str">
        <f t="shared" si="11"/>
        <v xml:space="preserve"> </v>
      </c>
      <c r="U162" s="18"/>
      <c r="V162" s="21"/>
      <c r="W162" s="22"/>
      <c r="X162" s="197" t="str">
        <f t="shared" si="12"/>
        <v xml:space="preserve"> </v>
      </c>
      <c r="Y162" s="246"/>
      <c r="Z162" s="247"/>
      <c r="AA162" s="20"/>
      <c r="AB162" s="11" t="str">
        <f t="shared" si="13"/>
        <v xml:space="preserve"> </v>
      </c>
      <c r="AC162" s="12" t="str">
        <f t="shared" si="14"/>
        <v xml:space="preserve"> </v>
      </c>
      <c r="AI162" s="14" t="str">
        <f t="shared" si="10"/>
        <v>TC Better Price</v>
      </c>
      <c r="AJ162" s="14" t="str">
        <f>IF(W162=0,"",(#REF!/W162))</f>
        <v/>
      </c>
    </row>
    <row r="163" spans="1:36" ht="20.100000000000001" customHeight="1" x14ac:dyDescent="0.25">
      <c r="A163" s="16"/>
      <c r="B163" s="108"/>
      <c r="C163" s="109"/>
      <c r="D163" s="109"/>
      <c r="E163" s="109"/>
      <c r="F163" s="17"/>
      <c r="G163" s="17"/>
      <c r="H163" s="108"/>
      <c r="I163" s="107"/>
      <c r="J163" s="108"/>
      <c r="K163" s="107"/>
      <c r="L163" s="108"/>
      <c r="M163" s="110"/>
      <c r="N163" s="109"/>
      <c r="O163" s="108"/>
      <c r="P163" s="233"/>
      <c r="Q163" s="239"/>
      <c r="R163" s="19"/>
      <c r="S163" s="20"/>
      <c r="T163" s="9" t="str">
        <f t="shared" si="11"/>
        <v xml:space="preserve"> </v>
      </c>
      <c r="U163" s="18"/>
      <c r="V163" s="21"/>
      <c r="W163" s="22"/>
      <c r="X163" s="197" t="str">
        <f t="shared" si="12"/>
        <v xml:space="preserve"> </v>
      </c>
      <c r="Y163" s="246"/>
      <c r="Z163" s="247"/>
      <c r="AA163" s="20"/>
      <c r="AB163" s="11" t="str">
        <f t="shared" si="13"/>
        <v xml:space="preserve"> </v>
      </c>
      <c r="AC163" s="12" t="str">
        <f t="shared" si="14"/>
        <v xml:space="preserve"> </v>
      </c>
      <c r="AI163" s="14" t="str">
        <f t="shared" si="10"/>
        <v>TC Better Price</v>
      </c>
      <c r="AJ163" s="14" t="str">
        <f>IF(W163=0,"",(#REF!/W163))</f>
        <v/>
      </c>
    </row>
    <row r="164" spans="1:36" ht="20.100000000000001" customHeight="1" x14ac:dyDescent="0.25">
      <c r="A164" s="16"/>
      <c r="B164" s="108"/>
      <c r="C164" s="109"/>
      <c r="D164" s="109"/>
      <c r="E164" s="109"/>
      <c r="F164" s="17"/>
      <c r="G164" s="17"/>
      <c r="H164" s="108"/>
      <c r="I164" s="107"/>
      <c r="J164" s="108"/>
      <c r="K164" s="107"/>
      <c r="L164" s="108"/>
      <c r="M164" s="110"/>
      <c r="N164" s="109"/>
      <c r="O164" s="108"/>
      <c r="P164" s="233"/>
      <c r="Q164" s="239"/>
      <c r="R164" s="19"/>
      <c r="S164" s="20"/>
      <c r="T164" s="9" t="str">
        <f t="shared" si="11"/>
        <v xml:space="preserve"> </v>
      </c>
      <c r="U164" s="18"/>
      <c r="V164" s="21"/>
      <c r="W164" s="22"/>
      <c r="X164" s="197" t="str">
        <f t="shared" si="12"/>
        <v xml:space="preserve"> </v>
      </c>
      <c r="Y164" s="246"/>
      <c r="Z164" s="247"/>
      <c r="AA164" s="20"/>
      <c r="AB164" s="11" t="str">
        <f t="shared" si="13"/>
        <v xml:space="preserve"> </v>
      </c>
      <c r="AC164" s="12" t="str">
        <f t="shared" si="14"/>
        <v xml:space="preserve"> </v>
      </c>
      <c r="AI164" s="14" t="str">
        <f t="shared" si="10"/>
        <v>TC Better Price</v>
      </c>
      <c r="AJ164" s="14" t="str">
        <f>IF(W164=0,"",(#REF!/W164))</f>
        <v/>
      </c>
    </row>
    <row r="165" spans="1:36" ht="20.100000000000001" customHeight="1" x14ac:dyDescent="0.25">
      <c r="A165" s="16"/>
      <c r="B165" s="108"/>
      <c r="C165" s="109"/>
      <c r="D165" s="109"/>
      <c r="E165" s="109"/>
      <c r="F165" s="17"/>
      <c r="G165" s="17"/>
      <c r="H165" s="108"/>
      <c r="I165" s="107"/>
      <c r="J165" s="108"/>
      <c r="K165" s="107"/>
      <c r="L165" s="108"/>
      <c r="M165" s="110"/>
      <c r="N165" s="109"/>
      <c r="O165" s="108"/>
      <c r="P165" s="233"/>
      <c r="Q165" s="239"/>
      <c r="R165" s="19"/>
      <c r="S165" s="20"/>
      <c r="T165" s="9" t="str">
        <f t="shared" si="11"/>
        <v xml:space="preserve"> </v>
      </c>
      <c r="U165" s="18"/>
      <c r="V165" s="21"/>
      <c r="W165" s="22"/>
      <c r="X165" s="197" t="str">
        <f t="shared" si="12"/>
        <v xml:space="preserve"> </v>
      </c>
      <c r="Y165" s="246"/>
      <c r="Z165" s="247"/>
      <c r="AA165" s="20"/>
      <c r="AB165" s="11" t="str">
        <f t="shared" si="13"/>
        <v xml:space="preserve"> </v>
      </c>
      <c r="AC165" s="12" t="str">
        <f t="shared" si="14"/>
        <v xml:space="preserve"> </v>
      </c>
      <c r="AI165" s="14" t="str">
        <f t="shared" si="10"/>
        <v>TC Better Price</v>
      </c>
      <c r="AJ165" s="14" t="str">
        <f>IF(W165=0,"",(#REF!/W165))</f>
        <v/>
      </c>
    </row>
    <row r="166" spans="1:36" ht="20.100000000000001" customHeight="1" x14ac:dyDescent="0.25">
      <c r="A166" s="16"/>
      <c r="B166" s="108"/>
      <c r="C166" s="109"/>
      <c r="D166" s="109"/>
      <c r="E166" s="109"/>
      <c r="F166" s="17"/>
      <c r="G166" s="17"/>
      <c r="H166" s="108"/>
      <c r="I166" s="107"/>
      <c r="J166" s="108"/>
      <c r="K166" s="107"/>
      <c r="L166" s="108"/>
      <c r="M166" s="110"/>
      <c r="N166" s="109"/>
      <c r="O166" s="108"/>
      <c r="P166" s="233"/>
      <c r="Q166" s="239"/>
      <c r="R166" s="19"/>
      <c r="S166" s="20"/>
      <c r="T166" s="9" t="str">
        <f t="shared" si="11"/>
        <v xml:space="preserve"> </v>
      </c>
      <c r="U166" s="18"/>
      <c r="V166" s="21"/>
      <c r="W166" s="22"/>
      <c r="X166" s="197" t="str">
        <f t="shared" si="12"/>
        <v xml:space="preserve"> </v>
      </c>
      <c r="Y166" s="246"/>
      <c r="Z166" s="247"/>
      <c r="AA166" s="20"/>
      <c r="AB166" s="11" t="str">
        <f t="shared" si="13"/>
        <v xml:space="preserve"> </v>
      </c>
      <c r="AC166" s="12" t="str">
        <f t="shared" si="14"/>
        <v xml:space="preserve"> </v>
      </c>
      <c r="AI166" s="14" t="str">
        <f t="shared" si="10"/>
        <v>TC Better Price</v>
      </c>
      <c r="AJ166" s="14" t="str">
        <f>IF(W166=0,"",(#REF!/W166))</f>
        <v/>
      </c>
    </row>
    <row r="167" spans="1:36" ht="20.100000000000001" customHeight="1" x14ac:dyDescent="0.25">
      <c r="A167" s="16"/>
      <c r="B167" s="108"/>
      <c r="C167" s="109"/>
      <c r="D167" s="109"/>
      <c r="E167" s="109"/>
      <c r="F167" s="17"/>
      <c r="G167" s="17"/>
      <c r="H167" s="108"/>
      <c r="I167" s="107"/>
      <c r="J167" s="108"/>
      <c r="K167" s="107"/>
      <c r="L167" s="108"/>
      <c r="M167" s="110"/>
      <c r="N167" s="109"/>
      <c r="O167" s="108"/>
      <c r="P167" s="233"/>
      <c r="Q167" s="239"/>
      <c r="R167" s="19"/>
      <c r="S167" s="20"/>
      <c r="T167" s="9" t="str">
        <f t="shared" si="11"/>
        <v xml:space="preserve"> </v>
      </c>
      <c r="U167" s="18"/>
      <c r="V167" s="21"/>
      <c r="W167" s="22"/>
      <c r="X167" s="197" t="str">
        <f t="shared" si="12"/>
        <v xml:space="preserve"> </v>
      </c>
      <c r="Y167" s="246"/>
      <c r="Z167" s="247"/>
      <c r="AA167" s="20"/>
      <c r="AB167" s="11" t="str">
        <f t="shared" si="13"/>
        <v xml:space="preserve"> </v>
      </c>
      <c r="AC167" s="12" t="str">
        <f t="shared" si="14"/>
        <v xml:space="preserve"> </v>
      </c>
      <c r="AI167" s="14" t="str">
        <f t="shared" si="10"/>
        <v>TC Better Price</v>
      </c>
      <c r="AJ167" s="14" t="str">
        <f>IF(W167=0,"",(#REF!/W167))</f>
        <v/>
      </c>
    </row>
    <row r="168" spans="1:36" ht="20.100000000000001" customHeight="1" x14ac:dyDescent="0.25">
      <c r="A168" s="16"/>
      <c r="B168" s="108"/>
      <c r="C168" s="109"/>
      <c r="D168" s="109"/>
      <c r="E168" s="109"/>
      <c r="F168" s="17"/>
      <c r="G168" s="17"/>
      <c r="H168" s="108"/>
      <c r="I168" s="107"/>
      <c r="J168" s="108"/>
      <c r="K168" s="107"/>
      <c r="L168" s="108"/>
      <c r="M168" s="110"/>
      <c r="N168" s="109"/>
      <c r="O168" s="108"/>
      <c r="P168" s="233"/>
      <c r="Q168" s="239"/>
      <c r="R168" s="19"/>
      <c r="S168" s="20"/>
      <c r="T168" s="9" t="str">
        <f t="shared" si="11"/>
        <v xml:space="preserve"> </v>
      </c>
      <c r="U168" s="18"/>
      <c r="V168" s="21"/>
      <c r="W168" s="22"/>
      <c r="X168" s="197" t="str">
        <f t="shared" si="12"/>
        <v xml:space="preserve"> </v>
      </c>
      <c r="Y168" s="246"/>
      <c r="Z168" s="247"/>
      <c r="AA168" s="20"/>
      <c r="AB168" s="11" t="str">
        <f t="shared" si="13"/>
        <v xml:space="preserve"> </v>
      </c>
      <c r="AC168" s="12" t="str">
        <f t="shared" si="14"/>
        <v xml:space="preserve"> </v>
      </c>
      <c r="AI168" s="14" t="str">
        <f t="shared" si="10"/>
        <v>TC Better Price</v>
      </c>
      <c r="AJ168" s="14" t="str">
        <f>IF(W168=0,"",(#REF!/W168))</f>
        <v/>
      </c>
    </row>
    <row r="169" spans="1:36" ht="20.100000000000001" customHeight="1" x14ac:dyDescent="0.25">
      <c r="A169" s="16"/>
      <c r="B169" s="108"/>
      <c r="C169" s="109"/>
      <c r="D169" s="109"/>
      <c r="E169" s="109"/>
      <c r="F169" s="17"/>
      <c r="G169" s="17"/>
      <c r="H169" s="108"/>
      <c r="I169" s="107"/>
      <c r="J169" s="108"/>
      <c r="K169" s="107"/>
      <c r="L169" s="108"/>
      <c r="M169" s="110"/>
      <c r="N169" s="109"/>
      <c r="O169" s="108"/>
      <c r="P169" s="233"/>
      <c r="Q169" s="239"/>
      <c r="R169" s="19"/>
      <c r="S169" s="20"/>
      <c r="T169" s="9" t="str">
        <f t="shared" si="11"/>
        <v xml:space="preserve"> </v>
      </c>
      <c r="U169" s="18"/>
      <c r="V169" s="21"/>
      <c r="W169" s="22"/>
      <c r="X169" s="197" t="str">
        <f t="shared" si="12"/>
        <v xml:space="preserve"> </v>
      </c>
      <c r="Y169" s="246"/>
      <c r="Z169" s="247"/>
      <c r="AA169" s="20"/>
      <c r="AB169" s="11" t="str">
        <f t="shared" si="13"/>
        <v xml:space="preserve"> </v>
      </c>
      <c r="AC169" s="12" t="str">
        <f t="shared" si="14"/>
        <v xml:space="preserve"> </v>
      </c>
      <c r="AI169" s="14" t="str">
        <f t="shared" si="10"/>
        <v>TC Better Price</v>
      </c>
      <c r="AJ169" s="14" t="str">
        <f>IF(W169=0,"",(#REF!/W169))</f>
        <v/>
      </c>
    </row>
    <row r="170" spans="1:36" ht="20.100000000000001" customHeight="1" x14ac:dyDescent="0.25">
      <c r="A170" s="16"/>
      <c r="B170" s="108"/>
      <c r="C170" s="109"/>
      <c r="D170" s="109"/>
      <c r="E170" s="109"/>
      <c r="F170" s="17"/>
      <c r="G170" s="17"/>
      <c r="H170" s="108"/>
      <c r="I170" s="107"/>
      <c r="J170" s="108"/>
      <c r="K170" s="107"/>
      <c r="L170" s="108"/>
      <c r="M170" s="110"/>
      <c r="N170" s="109"/>
      <c r="O170" s="108"/>
      <c r="P170" s="233"/>
      <c r="Q170" s="239"/>
      <c r="R170" s="19"/>
      <c r="S170" s="20"/>
      <c r="T170" s="9" t="str">
        <f t="shared" si="11"/>
        <v xml:space="preserve"> </v>
      </c>
      <c r="U170" s="18"/>
      <c r="V170" s="21"/>
      <c r="W170" s="22"/>
      <c r="X170" s="197" t="str">
        <f t="shared" si="12"/>
        <v xml:space="preserve"> </v>
      </c>
      <c r="Y170" s="246"/>
      <c r="Z170" s="247"/>
      <c r="AA170" s="20"/>
      <c r="AB170" s="11" t="str">
        <f t="shared" si="13"/>
        <v xml:space="preserve"> </v>
      </c>
      <c r="AC170" s="12" t="str">
        <f t="shared" si="14"/>
        <v xml:space="preserve"> </v>
      </c>
      <c r="AI170" s="14" t="str">
        <f t="shared" si="10"/>
        <v>TC Better Price</v>
      </c>
      <c r="AJ170" s="14" t="str">
        <f>IF(W170=0,"",(#REF!/W170))</f>
        <v/>
      </c>
    </row>
    <row r="171" spans="1:36" ht="20.100000000000001" customHeight="1" x14ac:dyDescent="0.25">
      <c r="A171" s="16"/>
      <c r="B171" s="108"/>
      <c r="C171" s="109"/>
      <c r="D171" s="109"/>
      <c r="E171" s="109"/>
      <c r="F171" s="17"/>
      <c r="G171" s="17"/>
      <c r="H171" s="108"/>
      <c r="I171" s="107"/>
      <c r="J171" s="108"/>
      <c r="K171" s="107"/>
      <c r="L171" s="108"/>
      <c r="M171" s="110"/>
      <c r="N171" s="109"/>
      <c r="O171" s="108"/>
      <c r="P171" s="233"/>
      <c r="Q171" s="239"/>
      <c r="R171" s="19"/>
      <c r="S171" s="20"/>
      <c r="T171" s="9" t="str">
        <f t="shared" si="11"/>
        <v xml:space="preserve"> </v>
      </c>
      <c r="U171" s="18"/>
      <c r="V171" s="21"/>
      <c r="W171" s="22"/>
      <c r="X171" s="197" t="str">
        <f t="shared" si="12"/>
        <v xml:space="preserve"> </v>
      </c>
      <c r="Y171" s="246"/>
      <c r="Z171" s="247"/>
      <c r="AA171" s="20"/>
      <c r="AB171" s="11" t="str">
        <f t="shared" si="13"/>
        <v xml:space="preserve"> </v>
      </c>
      <c r="AC171" s="12" t="str">
        <f t="shared" si="14"/>
        <v xml:space="preserve"> </v>
      </c>
      <c r="AI171" s="14" t="str">
        <f t="shared" si="10"/>
        <v>TC Better Price</v>
      </c>
      <c r="AJ171" s="14" t="str">
        <f>IF(W171=0,"",(#REF!/W171))</f>
        <v/>
      </c>
    </row>
    <row r="172" spans="1:36" ht="20.100000000000001" customHeight="1" x14ac:dyDescent="0.25">
      <c r="A172" s="16"/>
      <c r="B172" s="108"/>
      <c r="C172" s="109"/>
      <c r="D172" s="109"/>
      <c r="E172" s="109"/>
      <c r="F172" s="17"/>
      <c r="G172" s="17"/>
      <c r="H172" s="108"/>
      <c r="I172" s="107"/>
      <c r="J172" s="108"/>
      <c r="K172" s="107"/>
      <c r="L172" s="108"/>
      <c r="M172" s="110"/>
      <c r="N172" s="109"/>
      <c r="O172" s="108"/>
      <c r="P172" s="233"/>
      <c r="Q172" s="239"/>
      <c r="R172" s="19"/>
      <c r="S172" s="20"/>
      <c r="T172" s="9" t="str">
        <f t="shared" si="11"/>
        <v xml:space="preserve"> </v>
      </c>
      <c r="U172" s="18"/>
      <c r="V172" s="21"/>
      <c r="W172" s="22"/>
      <c r="X172" s="197" t="str">
        <f t="shared" si="12"/>
        <v xml:space="preserve"> </v>
      </c>
      <c r="Y172" s="246"/>
      <c r="Z172" s="247"/>
      <c r="AA172" s="20"/>
      <c r="AB172" s="11" t="str">
        <f t="shared" si="13"/>
        <v xml:space="preserve"> </v>
      </c>
      <c r="AC172" s="12" t="str">
        <f t="shared" si="14"/>
        <v xml:space="preserve"> </v>
      </c>
      <c r="AI172" s="14" t="str">
        <f t="shared" si="10"/>
        <v>TC Better Price</v>
      </c>
      <c r="AJ172" s="14" t="str">
        <f>IF(W172=0,"",(#REF!/W172))</f>
        <v/>
      </c>
    </row>
    <row r="173" spans="1:36" ht="20.100000000000001" customHeight="1" x14ac:dyDescent="0.25">
      <c r="A173" s="16"/>
      <c r="B173" s="108"/>
      <c r="C173" s="109"/>
      <c r="D173" s="109"/>
      <c r="E173" s="109"/>
      <c r="F173" s="17"/>
      <c r="G173" s="17"/>
      <c r="H173" s="108"/>
      <c r="I173" s="107"/>
      <c r="J173" s="108"/>
      <c r="K173" s="107"/>
      <c r="L173" s="108"/>
      <c r="M173" s="110"/>
      <c r="N173" s="109"/>
      <c r="O173" s="108"/>
      <c r="P173" s="233"/>
      <c r="Q173" s="239"/>
      <c r="R173" s="19"/>
      <c r="S173" s="20"/>
      <c r="T173" s="9" t="str">
        <f t="shared" si="11"/>
        <v xml:space="preserve"> </v>
      </c>
      <c r="U173" s="18"/>
      <c r="V173" s="21"/>
      <c r="W173" s="22"/>
      <c r="X173" s="197" t="str">
        <f t="shared" si="12"/>
        <v xml:space="preserve"> </v>
      </c>
      <c r="Y173" s="246"/>
      <c r="Z173" s="247"/>
      <c r="AA173" s="20"/>
      <c r="AB173" s="11" t="str">
        <f t="shared" si="13"/>
        <v xml:space="preserve"> </v>
      </c>
      <c r="AC173" s="12" t="str">
        <f t="shared" si="14"/>
        <v xml:space="preserve"> </v>
      </c>
      <c r="AI173" s="14" t="str">
        <f t="shared" si="10"/>
        <v>TC Better Price</v>
      </c>
      <c r="AJ173" s="14" t="str">
        <f>IF(W173=0,"",(#REF!/W173))</f>
        <v/>
      </c>
    </row>
    <row r="174" spans="1:36" ht="20.100000000000001" customHeight="1" x14ac:dyDescent="0.25">
      <c r="A174" s="16"/>
      <c r="B174" s="108"/>
      <c r="C174" s="109"/>
      <c r="D174" s="109"/>
      <c r="E174" s="109"/>
      <c r="F174" s="17"/>
      <c r="G174" s="17"/>
      <c r="H174" s="108"/>
      <c r="I174" s="107"/>
      <c r="J174" s="108"/>
      <c r="K174" s="107"/>
      <c r="L174" s="108"/>
      <c r="M174" s="110"/>
      <c r="N174" s="109"/>
      <c r="O174" s="108"/>
      <c r="P174" s="233"/>
      <c r="Q174" s="239"/>
      <c r="R174" s="19"/>
      <c r="S174" s="20"/>
      <c r="T174" s="9" t="str">
        <f t="shared" si="11"/>
        <v xml:space="preserve"> </v>
      </c>
      <c r="U174" s="18"/>
      <c r="V174" s="21"/>
      <c r="W174" s="22"/>
      <c r="X174" s="197" t="str">
        <f t="shared" si="12"/>
        <v xml:space="preserve"> </v>
      </c>
      <c r="Y174" s="246"/>
      <c r="Z174" s="247"/>
      <c r="AA174" s="20"/>
      <c r="AB174" s="11" t="str">
        <f t="shared" si="13"/>
        <v xml:space="preserve"> </v>
      </c>
      <c r="AC174" s="12" t="str">
        <f t="shared" si="14"/>
        <v xml:space="preserve"> </v>
      </c>
      <c r="AI174" s="14" t="str">
        <f t="shared" si="10"/>
        <v>TC Better Price</v>
      </c>
      <c r="AJ174" s="14" t="str">
        <f>IF(W174=0,"",(#REF!/W174))</f>
        <v/>
      </c>
    </row>
    <row r="175" spans="1:36" ht="20.100000000000001" customHeight="1" x14ac:dyDescent="0.25">
      <c r="A175" s="16"/>
      <c r="B175" s="108"/>
      <c r="C175" s="109"/>
      <c r="D175" s="109"/>
      <c r="E175" s="109"/>
      <c r="F175" s="17"/>
      <c r="G175" s="17"/>
      <c r="H175" s="108"/>
      <c r="I175" s="107"/>
      <c r="J175" s="108"/>
      <c r="K175" s="107"/>
      <c r="L175" s="108"/>
      <c r="M175" s="110"/>
      <c r="N175" s="109"/>
      <c r="O175" s="108"/>
      <c r="P175" s="233"/>
      <c r="Q175" s="239"/>
      <c r="R175" s="19"/>
      <c r="S175" s="20"/>
      <c r="T175" s="9" t="str">
        <f t="shared" si="11"/>
        <v xml:space="preserve"> </v>
      </c>
      <c r="U175" s="18"/>
      <c r="V175" s="21"/>
      <c r="W175" s="22"/>
      <c r="X175" s="197" t="str">
        <f t="shared" si="12"/>
        <v xml:space="preserve"> </v>
      </c>
      <c r="Y175" s="246"/>
      <c r="Z175" s="247"/>
      <c r="AA175" s="20"/>
      <c r="AB175" s="11" t="str">
        <f t="shared" si="13"/>
        <v xml:space="preserve"> </v>
      </c>
      <c r="AC175" s="12" t="str">
        <f t="shared" si="14"/>
        <v xml:space="preserve"> </v>
      </c>
      <c r="AI175" s="14" t="str">
        <f t="shared" si="10"/>
        <v>TC Better Price</v>
      </c>
      <c r="AJ175" s="14" t="str">
        <f>IF(W175=0,"",(#REF!/W175))</f>
        <v/>
      </c>
    </row>
    <row r="176" spans="1:36" ht="20.100000000000001" customHeight="1" x14ac:dyDescent="0.25">
      <c r="A176" s="16"/>
      <c r="B176" s="108"/>
      <c r="C176" s="109"/>
      <c r="D176" s="109"/>
      <c r="E176" s="109"/>
      <c r="F176" s="17"/>
      <c r="G176" s="17"/>
      <c r="H176" s="108"/>
      <c r="I176" s="107"/>
      <c r="J176" s="108"/>
      <c r="K176" s="107"/>
      <c r="L176" s="108"/>
      <c r="M176" s="110"/>
      <c r="N176" s="109"/>
      <c r="O176" s="108"/>
      <c r="P176" s="233"/>
      <c r="Q176" s="239"/>
      <c r="R176" s="19"/>
      <c r="S176" s="20"/>
      <c r="T176" s="9" t="str">
        <f t="shared" si="11"/>
        <v xml:space="preserve"> </v>
      </c>
      <c r="U176" s="18"/>
      <c r="V176" s="21"/>
      <c r="W176" s="22"/>
      <c r="X176" s="197" t="str">
        <f t="shared" si="12"/>
        <v xml:space="preserve"> </v>
      </c>
      <c r="Y176" s="246"/>
      <c r="Z176" s="247"/>
      <c r="AA176" s="20"/>
      <c r="AB176" s="11" t="str">
        <f t="shared" si="13"/>
        <v xml:space="preserve"> </v>
      </c>
      <c r="AC176" s="12" t="str">
        <f t="shared" si="14"/>
        <v xml:space="preserve"> </v>
      </c>
      <c r="AI176" s="14" t="str">
        <f t="shared" si="10"/>
        <v>TC Better Price</v>
      </c>
      <c r="AJ176" s="14" t="str">
        <f>IF(W176=0,"",(#REF!/W176))</f>
        <v/>
      </c>
    </row>
    <row r="177" spans="1:36" ht="20.100000000000001" customHeight="1" x14ac:dyDescent="0.25">
      <c r="A177" s="16"/>
      <c r="B177" s="108"/>
      <c r="C177" s="109"/>
      <c r="D177" s="109"/>
      <c r="E177" s="109"/>
      <c r="F177" s="17"/>
      <c r="G177" s="17"/>
      <c r="H177" s="108"/>
      <c r="I177" s="107"/>
      <c r="J177" s="108"/>
      <c r="K177" s="107"/>
      <c r="L177" s="108"/>
      <c r="M177" s="110"/>
      <c r="N177" s="109"/>
      <c r="O177" s="108"/>
      <c r="P177" s="233"/>
      <c r="Q177" s="239"/>
      <c r="R177" s="19"/>
      <c r="S177" s="20"/>
      <c r="T177" s="9" t="str">
        <f t="shared" si="11"/>
        <v xml:space="preserve"> </v>
      </c>
      <c r="U177" s="18"/>
      <c r="V177" s="21"/>
      <c r="W177" s="22"/>
      <c r="X177" s="197" t="str">
        <f t="shared" si="12"/>
        <v xml:space="preserve"> </v>
      </c>
      <c r="Y177" s="246"/>
      <c r="Z177" s="247"/>
      <c r="AA177" s="20"/>
      <c r="AB177" s="11" t="str">
        <f t="shared" si="13"/>
        <v xml:space="preserve"> </v>
      </c>
      <c r="AC177" s="12" t="str">
        <f t="shared" si="14"/>
        <v xml:space="preserve"> </v>
      </c>
      <c r="AI177" s="14" t="str">
        <f t="shared" si="10"/>
        <v>TC Better Price</v>
      </c>
      <c r="AJ177" s="14" t="str">
        <f>IF(W177=0,"",(#REF!/W177))</f>
        <v/>
      </c>
    </row>
    <row r="178" spans="1:36" ht="20.100000000000001" customHeight="1" x14ac:dyDescent="0.25">
      <c r="A178" s="16"/>
      <c r="B178" s="108"/>
      <c r="C178" s="109"/>
      <c r="D178" s="109"/>
      <c r="E178" s="109"/>
      <c r="F178" s="17"/>
      <c r="G178" s="17"/>
      <c r="H178" s="108"/>
      <c r="I178" s="107"/>
      <c r="J178" s="108"/>
      <c r="K178" s="107"/>
      <c r="L178" s="108"/>
      <c r="M178" s="110"/>
      <c r="N178" s="109"/>
      <c r="O178" s="108"/>
      <c r="P178" s="233"/>
      <c r="Q178" s="239"/>
      <c r="R178" s="19"/>
      <c r="S178" s="20"/>
      <c r="T178" s="9" t="str">
        <f t="shared" si="11"/>
        <v xml:space="preserve"> </v>
      </c>
      <c r="U178" s="18"/>
      <c r="V178" s="21"/>
      <c r="W178" s="22"/>
      <c r="X178" s="197" t="str">
        <f t="shared" si="12"/>
        <v xml:space="preserve"> </v>
      </c>
      <c r="Y178" s="246"/>
      <c r="Z178" s="247"/>
      <c r="AA178" s="20"/>
      <c r="AB178" s="11" t="str">
        <f t="shared" si="13"/>
        <v xml:space="preserve"> </v>
      </c>
      <c r="AC178" s="12" t="str">
        <f t="shared" si="14"/>
        <v xml:space="preserve"> </v>
      </c>
      <c r="AI178" s="14" t="str">
        <f t="shared" si="10"/>
        <v>TC Better Price</v>
      </c>
      <c r="AJ178" s="14" t="str">
        <f>IF(W178=0,"",(#REF!/W178))</f>
        <v/>
      </c>
    </row>
    <row r="179" spans="1:36" ht="20.100000000000001" customHeight="1" x14ac:dyDescent="0.25">
      <c r="A179" s="16"/>
      <c r="B179" s="108"/>
      <c r="C179" s="109"/>
      <c r="D179" s="109"/>
      <c r="E179" s="109"/>
      <c r="F179" s="17"/>
      <c r="G179" s="17"/>
      <c r="H179" s="108"/>
      <c r="I179" s="107"/>
      <c r="J179" s="108"/>
      <c r="K179" s="107"/>
      <c r="L179" s="108"/>
      <c r="M179" s="110"/>
      <c r="N179" s="109"/>
      <c r="O179" s="108"/>
      <c r="P179" s="233"/>
      <c r="Q179" s="239"/>
      <c r="R179" s="19"/>
      <c r="S179" s="20"/>
      <c r="T179" s="9" t="str">
        <f t="shared" si="11"/>
        <v xml:space="preserve"> </v>
      </c>
      <c r="U179" s="18"/>
      <c r="V179" s="21"/>
      <c r="W179" s="22"/>
      <c r="X179" s="197" t="str">
        <f t="shared" si="12"/>
        <v xml:space="preserve"> </v>
      </c>
      <c r="Y179" s="246"/>
      <c r="Z179" s="247"/>
      <c r="AA179" s="20"/>
      <c r="AB179" s="11" t="str">
        <f t="shared" si="13"/>
        <v xml:space="preserve"> </v>
      </c>
      <c r="AC179" s="12" t="str">
        <f t="shared" si="14"/>
        <v xml:space="preserve"> </v>
      </c>
      <c r="AI179" s="14" t="str">
        <f t="shared" si="10"/>
        <v>TC Better Price</v>
      </c>
      <c r="AJ179" s="14" t="str">
        <f>IF(W179=0,"",(#REF!/W179))</f>
        <v/>
      </c>
    </row>
    <row r="180" spans="1:36" ht="20.100000000000001" customHeight="1" x14ac:dyDescent="0.25">
      <c r="A180" s="16"/>
      <c r="B180" s="108"/>
      <c r="C180" s="109"/>
      <c r="D180" s="109"/>
      <c r="E180" s="109"/>
      <c r="F180" s="17"/>
      <c r="G180" s="17"/>
      <c r="H180" s="108"/>
      <c r="I180" s="107"/>
      <c r="J180" s="108"/>
      <c r="K180" s="107"/>
      <c r="L180" s="108"/>
      <c r="M180" s="110"/>
      <c r="N180" s="109"/>
      <c r="O180" s="108"/>
      <c r="P180" s="233"/>
      <c r="Q180" s="239"/>
      <c r="R180" s="19"/>
      <c r="S180" s="20"/>
      <c r="T180" s="9" t="str">
        <f t="shared" si="11"/>
        <v xml:space="preserve"> </v>
      </c>
      <c r="U180" s="18"/>
      <c r="V180" s="21"/>
      <c r="W180" s="22"/>
      <c r="X180" s="197" t="str">
        <f t="shared" si="12"/>
        <v xml:space="preserve"> </v>
      </c>
      <c r="Y180" s="246"/>
      <c r="Z180" s="247"/>
      <c r="AA180" s="20"/>
      <c r="AB180" s="11" t="str">
        <f t="shared" si="13"/>
        <v xml:space="preserve"> </v>
      </c>
      <c r="AC180" s="12" t="str">
        <f t="shared" si="14"/>
        <v xml:space="preserve"> </v>
      </c>
      <c r="AI180" s="14" t="str">
        <f t="shared" si="10"/>
        <v>TC Better Price</v>
      </c>
      <c r="AJ180" s="14" t="str">
        <f>IF(W180=0,"",(#REF!/W180))</f>
        <v/>
      </c>
    </row>
    <row r="181" spans="1:36" ht="20.100000000000001" customHeight="1" x14ac:dyDescent="0.25">
      <c r="A181" s="16"/>
      <c r="B181" s="108"/>
      <c r="C181" s="109"/>
      <c r="D181" s="109"/>
      <c r="E181" s="109"/>
      <c r="F181" s="17"/>
      <c r="G181" s="17"/>
      <c r="H181" s="108"/>
      <c r="I181" s="107"/>
      <c r="J181" s="108"/>
      <c r="K181" s="107"/>
      <c r="L181" s="108"/>
      <c r="M181" s="110"/>
      <c r="N181" s="109"/>
      <c r="O181" s="108"/>
      <c r="P181" s="233"/>
      <c r="Q181" s="239"/>
      <c r="R181" s="19"/>
      <c r="S181" s="20"/>
      <c r="T181" s="9" t="str">
        <f t="shared" si="11"/>
        <v xml:space="preserve"> </v>
      </c>
      <c r="U181" s="18"/>
      <c r="V181" s="21"/>
      <c r="W181" s="22"/>
      <c r="X181" s="197" t="str">
        <f t="shared" si="12"/>
        <v xml:space="preserve"> </v>
      </c>
      <c r="Y181" s="246"/>
      <c r="Z181" s="247"/>
      <c r="AA181" s="20"/>
      <c r="AB181" s="11" t="str">
        <f t="shared" si="13"/>
        <v xml:space="preserve"> </v>
      </c>
      <c r="AC181" s="12" t="str">
        <f t="shared" si="14"/>
        <v xml:space="preserve"> </v>
      </c>
      <c r="AI181" s="14" t="str">
        <f t="shared" si="10"/>
        <v>TC Better Price</v>
      </c>
      <c r="AJ181" s="14" t="str">
        <f>IF(W181=0,"",(#REF!/W181))</f>
        <v/>
      </c>
    </row>
    <row r="182" spans="1:36" ht="20.100000000000001" customHeight="1" x14ac:dyDescent="0.25">
      <c r="A182" s="16"/>
      <c r="B182" s="108"/>
      <c r="C182" s="109"/>
      <c r="D182" s="109"/>
      <c r="E182" s="109"/>
      <c r="F182" s="17"/>
      <c r="G182" s="17"/>
      <c r="H182" s="108"/>
      <c r="I182" s="107"/>
      <c r="J182" s="108"/>
      <c r="K182" s="107"/>
      <c r="L182" s="108"/>
      <c r="M182" s="110"/>
      <c r="N182" s="109"/>
      <c r="O182" s="108"/>
      <c r="P182" s="233"/>
      <c r="Q182" s="239"/>
      <c r="R182" s="19"/>
      <c r="S182" s="20"/>
      <c r="T182" s="9" t="str">
        <f t="shared" si="11"/>
        <v xml:space="preserve"> </v>
      </c>
      <c r="U182" s="18"/>
      <c r="V182" s="21"/>
      <c r="W182" s="22"/>
      <c r="X182" s="197" t="str">
        <f t="shared" si="12"/>
        <v xml:space="preserve"> </v>
      </c>
      <c r="Y182" s="246"/>
      <c r="Z182" s="247"/>
      <c r="AA182" s="20"/>
      <c r="AB182" s="11" t="str">
        <f t="shared" si="13"/>
        <v xml:space="preserve"> </v>
      </c>
      <c r="AC182" s="12" t="str">
        <f t="shared" si="14"/>
        <v xml:space="preserve"> </v>
      </c>
      <c r="AI182" s="14" t="str">
        <f t="shared" si="10"/>
        <v>TC Better Price</v>
      </c>
      <c r="AJ182" s="14" t="str">
        <f>IF(W182=0,"",(#REF!/W182))</f>
        <v/>
      </c>
    </row>
    <row r="183" spans="1:36" ht="20.100000000000001" customHeight="1" x14ac:dyDescent="0.25">
      <c r="A183" s="16"/>
      <c r="B183" s="108"/>
      <c r="C183" s="109"/>
      <c r="D183" s="109"/>
      <c r="E183" s="109"/>
      <c r="F183" s="17"/>
      <c r="G183" s="17"/>
      <c r="H183" s="108"/>
      <c r="I183" s="107"/>
      <c r="J183" s="108"/>
      <c r="K183" s="107"/>
      <c r="L183" s="108"/>
      <c r="M183" s="110"/>
      <c r="N183" s="109"/>
      <c r="O183" s="108"/>
      <c r="P183" s="233"/>
      <c r="Q183" s="239"/>
      <c r="R183" s="19"/>
      <c r="S183" s="20"/>
      <c r="T183" s="9" t="str">
        <f t="shared" si="11"/>
        <v xml:space="preserve"> </v>
      </c>
      <c r="U183" s="18"/>
      <c r="V183" s="21"/>
      <c r="W183" s="22"/>
      <c r="X183" s="197" t="str">
        <f t="shared" si="12"/>
        <v xml:space="preserve"> </v>
      </c>
      <c r="Y183" s="246"/>
      <c r="Z183" s="247"/>
      <c r="AA183" s="20"/>
      <c r="AB183" s="11" t="str">
        <f t="shared" si="13"/>
        <v xml:space="preserve"> </v>
      </c>
      <c r="AC183" s="12" t="str">
        <f t="shared" si="14"/>
        <v xml:space="preserve"> </v>
      </c>
      <c r="AI183" s="14" t="str">
        <f t="shared" si="10"/>
        <v>TC Better Price</v>
      </c>
      <c r="AJ183" s="14" t="str">
        <f>IF(W183=0,"",(#REF!/W183))</f>
        <v/>
      </c>
    </row>
    <row r="184" spans="1:36" ht="20.100000000000001" customHeight="1" x14ac:dyDescent="0.25">
      <c r="A184" s="16"/>
      <c r="B184" s="108"/>
      <c r="C184" s="109"/>
      <c r="D184" s="109"/>
      <c r="E184" s="109"/>
      <c r="F184" s="17"/>
      <c r="G184" s="17"/>
      <c r="H184" s="108"/>
      <c r="I184" s="107"/>
      <c r="J184" s="108"/>
      <c r="K184" s="107"/>
      <c r="L184" s="108"/>
      <c r="M184" s="110"/>
      <c r="N184" s="109"/>
      <c r="O184" s="108"/>
      <c r="P184" s="233"/>
      <c r="Q184" s="239"/>
      <c r="R184" s="19"/>
      <c r="S184" s="20"/>
      <c r="T184" s="9" t="str">
        <f t="shared" si="11"/>
        <v xml:space="preserve"> </v>
      </c>
      <c r="U184" s="18"/>
      <c r="V184" s="21"/>
      <c r="W184" s="22"/>
      <c r="X184" s="197" t="str">
        <f t="shared" si="12"/>
        <v xml:space="preserve"> </v>
      </c>
      <c r="Y184" s="246"/>
      <c r="Z184" s="247"/>
      <c r="AA184" s="20"/>
      <c r="AB184" s="11" t="str">
        <f t="shared" si="13"/>
        <v xml:space="preserve"> </v>
      </c>
      <c r="AC184" s="12" t="str">
        <f t="shared" si="14"/>
        <v xml:space="preserve"> </v>
      </c>
      <c r="AI184" s="14" t="str">
        <f t="shared" si="10"/>
        <v>TC Better Price</v>
      </c>
      <c r="AJ184" s="14" t="str">
        <f>IF(W184=0,"",(#REF!/W184))</f>
        <v/>
      </c>
    </row>
    <row r="185" spans="1:36" ht="20.100000000000001" customHeight="1" x14ac:dyDescent="0.25">
      <c r="A185" s="16"/>
      <c r="B185" s="108"/>
      <c r="C185" s="109"/>
      <c r="D185" s="109"/>
      <c r="E185" s="109"/>
      <c r="F185" s="17"/>
      <c r="G185" s="17"/>
      <c r="H185" s="108"/>
      <c r="I185" s="107"/>
      <c r="J185" s="108"/>
      <c r="K185" s="107"/>
      <c r="L185" s="108"/>
      <c r="M185" s="110"/>
      <c r="N185" s="109"/>
      <c r="O185" s="108"/>
      <c r="P185" s="233"/>
      <c r="Q185" s="239"/>
      <c r="R185" s="19"/>
      <c r="S185" s="20"/>
      <c r="T185" s="9" t="str">
        <f t="shared" si="11"/>
        <v xml:space="preserve"> </v>
      </c>
      <c r="U185" s="18"/>
      <c r="V185" s="21"/>
      <c r="W185" s="22"/>
      <c r="X185" s="197" t="str">
        <f t="shared" si="12"/>
        <v xml:space="preserve"> </v>
      </c>
      <c r="Y185" s="246"/>
      <c r="Z185" s="247"/>
      <c r="AA185" s="20"/>
      <c r="AB185" s="11" t="str">
        <f t="shared" si="13"/>
        <v xml:space="preserve"> </v>
      </c>
      <c r="AC185" s="12" t="str">
        <f t="shared" si="14"/>
        <v xml:space="preserve"> </v>
      </c>
      <c r="AI185" s="14" t="str">
        <f t="shared" si="10"/>
        <v>TC Better Price</v>
      </c>
      <c r="AJ185" s="14" t="str">
        <f>IF(W185=0,"",(#REF!/W185))</f>
        <v/>
      </c>
    </row>
    <row r="186" spans="1:36" ht="20.100000000000001" customHeight="1" x14ac:dyDescent="0.25">
      <c r="A186" s="16"/>
      <c r="B186" s="108"/>
      <c r="C186" s="109"/>
      <c r="D186" s="109"/>
      <c r="E186" s="109"/>
      <c r="F186" s="17"/>
      <c r="G186" s="17"/>
      <c r="H186" s="108"/>
      <c r="I186" s="107"/>
      <c r="J186" s="108"/>
      <c r="K186" s="107"/>
      <c r="L186" s="108"/>
      <c r="M186" s="110"/>
      <c r="N186" s="109"/>
      <c r="O186" s="108"/>
      <c r="P186" s="233"/>
      <c r="Q186" s="239"/>
      <c r="R186" s="19"/>
      <c r="S186" s="20"/>
      <c r="T186" s="9" t="str">
        <f t="shared" si="11"/>
        <v xml:space="preserve"> </v>
      </c>
      <c r="U186" s="18"/>
      <c r="V186" s="21"/>
      <c r="W186" s="22"/>
      <c r="X186" s="197" t="str">
        <f t="shared" si="12"/>
        <v xml:space="preserve"> </v>
      </c>
      <c r="Y186" s="246"/>
      <c r="Z186" s="247"/>
      <c r="AA186" s="20"/>
      <c r="AB186" s="11" t="str">
        <f t="shared" si="13"/>
        <v xml:space="preserve"> </v>
      </c>
      <c r="AC186" s="12" t="str">
        <f t="shared" si="14"/>
        <v xml:space="preserve"> </v>
      </c>
      <c r="AI186" s="14" t="str">
        <f t="shared" si="10"/>
        <v>TC Better Price</v>
      </c>
      <c r="AJ186" s="14" t="str">
        <f>IF(W186=0,"",(#REF!/W186))</f>
        <v/>
      </c>
    </row>
    <row r="187" spans="1:36" ht="20.100000000000001" customHeight="1" x14ac:dyDescent="0.25">
      <c r="A187" s="16"/>
      <c r="B187" s="108"/>
      <c r="C187" s="109"/>
      <c r="D187" s="109"/>
      <c r="E187" s="109"/>
      <c r="F187" s="17"/>
      <c r="G187" s="17"/>
      <c r="H187" s="108"/>
      <c r="I187" s="107"/>
      <c r="J187" s="108"/>
      <c r="K187" s="107"/>
      <c r="L187" s="108"/>
      <c r="M187" s="110"/>
      <c r="N187" s="109"/>
      <c r="O187" s="108"/>
      <c r="P187" s="233"/>
      <c r="Q187" s="239"/>
      <c r="R187" s="19"/>
      <c r="S187" s="20"/>
      <c r="T187" s="9" t="str">
        <f t="shared" si="11"/>
        <v xml:space="preserve"> </v>
      </c>
      <c r="U187" s="18"/>
      <c r="V187" s="21"/>
      <c r="W187" s="22"/>
      <c r="X187" s="197" t="str">
        <f t="shared" si="12"/>
        <v xml:space="preserve"> </v>
      </c>
      <c r="Y187" s="246"/>
      <c r="Z187" s="247"/>
      <c r="AA187" s="20"/>
      <c r="AB187" s="11" t="str">
        <f t="shared" si="13"/>
        <v xml:space="preserve"> </v>
      </c>
      <c r="AC187" s="12" t="str">
        <f t="shared" si="14"/>
        <v xml:space="preserve"> </v>
      </c>
      <c r="AI187" s="14" t="str">
        <f t="shared" si="10"/>
        <v>TC Better Price</v>
      </c>
      <c r="AJ187" s="14" t="str">
        <f>IF(W187=0,"",(#REF!/W187))</f>
        <v/>
      </c>
    </row>
    <row r="188" spans="1:36" ht="20.100000000000001" customHeight="1" x14ac:dyDescent="0.25">
      <c r="A188" s="16"/>
      <c r="B188" s="108"/>
      <c r="C188" s="109"/>
      <c r="D188" s="109"/>
      <c r="E188" s="109"/>
      <c r="F188" s="17"/>
      <c r="G188" s="17"/>
      <c r="H188" s="108"/>
      <c r="I188" s="107"/>
      <c r="J188" s="108"/>
      <c r="K188" s="107"/>
      <c r="L188" s="108"/>
      <c r="M188" s="110"/>
      <c r="N188" s="109"/>
      <c r="O188" s="108"/>
      <c r="P188" s="233"/>
      <c r="Q188" s="239"/>
      <c r="R188" s="19"/>
      <c r="S188" s="20"/>
      <c r="T188" s="9" t="str">
        <f t="shared" si="11"/>
        <v xml:space="preserve"> </v>
      </c>
      <c r="U188" s="18"/>
      <c r="V188" s="21"/>
      <c r="W188" s="22"/>
      <c r="X188" s="197" t="str">
        <f t="shared" si="12"/>
        <v xml:space="preserve"> </v>
      </c>
      <c r="Y188" s="246"/>
      <c r="Z188" s="247"/>
      <c r="AA188" s="20"/>
      <c r="AB188" s="11" t="str">
        <f t="shared" si="13"/>
        <v xml:space="preserve"> </v>
      </c>
      <c r="AC188" s="12" t="str">
        <f t="shared" si="14"/>
        <v xml:space="preserve"> </v>
      </c>
      <c r="AI188" s="14" t="str">
        <f t="shared" si="10"/>
        <v>TC Better Price</v>
      </c>
      <c r="AJ188" s="14" t="str">
        <f>IF(W188=0,"",(#REF!/W188))</f>
        <v/>
      </c>
    </row>
    <row r="189" spans="1:36" ht="20.100000000000001" customHeight="1" x14ac:dyDescent="0.25">
      <c r="A189" s="16"/>
      <c r="B189" s="108"/>
      <c r="C189" s="109"/>
      <c r="D189" s="109"/>
      <c r="E189" s="109"/>
      <c r="F189" s="17"/>
      <c r="G189" s="17"/>
      <c r="H189" s="108"/>
      <c r="I189" s="107"/>
      <c r="J189" s="108"/>
      <c r="K189" s="107"/>
      <c r="L189" s="108"/>
      <c r="M189" s="110"/>
      <c r="N189" s="109"/>
      <c r="O189" s="108"/>
      <c r="P189" s="233"/>
      <c r="Q189" s="239"/>
      <c r="R189" s="19"/>
      <c r="S189" s="20"/>
      <c r="T189" s="9" t="str">
        <f t="shared" si="11"/>
        <v xml:space="preserve"> </v>
      </c>
      <c r="U189" s="18"/>
      <c r="V189" s="21"/>
      <c r="W189" s="22"/>
      <c r="X189" s="197" t="str">
        <f t="shared" si="12"/>
        <v xml:space="preserve"> </v>
      </c>
      <c r="Y189" s="246"/>
      <c r="Z189" s="247"/>
      <c r="AA189" s="20"/>
      <c r="AB189" s="11" t="str">
        <f t="shared" si="13"/>
        <v xml:space="preserve"> </v>
      </c>
      <c r="AC189" s="12" t="str">
        <f t="shared" si="14"/>
        <v xml:space="preserve"> </v>
      </c>
      <c r="AI189" s="14" t="str">
        <f t="shared" si="10"/>
        <v>TC Better Price</v>
      </c>
      <c r="AJ189" s="14" t="str">
        <f>IF(W189=0,"",(#REF!/W189))</f>
        <v/>
      </c>
    </row>
    <row r="190" spans="1:36" ht="20.100000000000001" customHeight="1" x14ac:dyDescent="0.25">
      <c r="A190" s="16"/>
      <c r="B190" s="108"/>
      <c r="C190" s="109"/>
      <c r="D190" s="109"/>
      <c r="E190" s="109"/>
      <c r="F190" s="17"/>
      <c r="G190" s="17"/>
      <c r="H190" s="108"/>
      <c r="I190" s="107"/>
      <c r="J190" s="108"/>
      <c r="K190" s="107"/>
      <c r="L190" s="108"/>
      <c r="M190" s="110"/>
      <c r="N190" s="109"/>
      <c r="O190" s="108"/>
      <c r="P190" s="233"/>
      <c r="Q190" s="239"/>
      <c r="R190" s="19"/>
      <c r="S190" s="20"/>
      <c r="T190" s="9" t="str">
        <f t="shared" si="11"/>
        <v xml:space="preserve"> </v>
      </c>
      <c r="U190" s="18"/>
      <c r="V190" s="21"/>
      <c r="W190" s="22"/>
      <c r="X190" s="197" t="str">
        <f t="shared" si="12"/>
        <v xml:space="preserve"> </v>
      </c>
      <c r="Y190" s="246"/>
      <c r="Z190" s="247"/>
      <c r="AA190" s="20"/>
      <c r="AB190" s="11" t="str">
        <f t="shared" si="13"/>
        <v xml:space="preserve"> </v>
      </c>
      <c r="AC190" s="12" t="str">
        <f t="shared" si="14"/>
        <v xml:space="preserve"> </v>
      </c>
      <c r="AI190" s="14" t="str">
        <f t="shared" si="10"/>
        <v>TC Better Price</v>
      </c>
      <c r="AJ190" s="14" t="str">
        <f>IF(W190=0,"",(#REF!/W190))</f>
        <v/>
      </c>
    </row>
    <row r="191" spans="1:36" ht="20.100000000000001" customHeight="1" x14ac:dyDescent="0.25">
      <c r="A191" s="16"/>
      <c r="B191" s="108"/>
      <c r="C191" s="109"/>
      <c r="D191" s="109"/>
      <c r="E191" s="109"/>
      <c r="F191" s="17"/>
      <c r="G191" s="17"/>
      <c r="H191" s="108"/>
      <c r="I191" s="107"/>
      <c r="J191" s="108"/>
      <c r="K191" s="107"/>
      <c r="L191" s="108"/>
      <c r="M191" s="110"/>
      <c r="N191" s="109"/>
      <c r="O191" s="108"/>
      <c r="P191" s="233"/>
      <c r="Q191" s="239"/>
      <c r="R191" s="19"/>
      <c r="S191" s="20"/>
      <c r="T191" s="9" t="str">
        <f t="shared" si="11"/>
        <v xml:space="preserve"> </v>
      </c>
      <c r="U191" s="18"/>
      <c r="V191" s="21"/>
      <c r="W191" s="22"/>
      <c r="X191" s="197" t="str">
        <f t="shared" si="12"/>
        <v xml:space="preserve"> </v>
      </c>
      <c r="Y191" s="246"/>
      <c r="Z191" s="247"/>
      <c r="AA191" s="20"/>
      <c r="AB191" s="11" t="str">
        <f t="shared" si="13"/>
        <v xml:space="preserve"> </v>
      </c>
      <c r="AC191" s="12" t="str">
        <f t="shared" si="14"/>
        <v xml:space="preserve"> </v>
      </c>
      <c r="AI191" s="14" t="str">
        <f t="shared" si="10"/>
        <v>TC Better Price</v>
      </c>
      <c r="AJ191" s="14" t="str">
        <f>IF(W191=0,"",(#REF!/W191))</f>
        <v/>
      </c>
    </row>
    <row r="192" spans="1:36" ht="20.100000000000001" customHeight="1" x14ac:dyDescent="0.25">
      <c r="A192" s="16"/>
      <c r="B192" s="108"/>
      <c r="C192" s="109"/>
      <c r="D192" s="109"/>
      <c r="E192" s="109"/>
      <c r="F192" s="17"/>
      <c r="G192" s="17"/>
      <c r="H192" s="108"/>
      <c r="I192" s="107"/>
      <c r="J192" s="108"/>
      <c r="K192" s="107"/>
      <c r="L192" s="108"/>
      <c r="M192" s="110"/>
      <c r="N192" s="109"/>
      <c r="O192" s="108"/>
      <c r="P192" s="233"/>
      <c r="Q192" s="239"/>
      <c r="R192" s="19"/>
      <c r="S192" s="20"/>
      <c r="T192" s="9" t="str">
        <f t="shared" si="11"/>
        <v xml:space="preserve"> </v>
      </c>
      <c r="U192" s="18"/>
      <c r="V192" s="21"/>
      <c r="W192" s="22"/>
      <c r="X192" s="197" t="str">
        <f t="shared" si="12"/>
        <v xml:space="preserve"> </v>
      </c>
      <c r="Y192" s="246"/>
      <c r="Z192" s="247"/>
      <c r="AA192" s="20"/>
      <c r="AB192" s="11" t="str">
        <f t="shared" si="13"/>
        <v xml:space="preserve"> </v>
      </c>
      <c r="AC192" s="12" t="str">
        <f t="shared" si="14"/>
        <v xml:space="preserve"> </v>
      </c>
      <c r="AI192" s="14" t="str">
        <f t="shared" si="10"/>
        <v>TC Better Price</v>
      </c>
      <c r="AJ192" s="14" t="str">
        <f>IF(W192=0,"",(#REF!/W192))</f>
        <v/>
      </c>
    </row>
    <row r="193" spans="1:36" ht="20.100000000000001" customHeight="1" x14ac:dyDescent="0.25">
      <c r="A193" s="16"/>
      <c r="B193" s="108"/>
      <c r="C193" s="109"/>
      <c r="D193" s="109"/>
      <c r="E193" s="109"/>
      <c r="F193" s="17"/>
      <c r="G193" s="17"/>
      <c r="H193" s="108"/>
      <c r="I193" s="107"/>
      <c r="J193" s="108"/>
      <c r="K193" s="107"/>
      <c r="L193" s="108"/>
      <c r="M193" s="110"/>
      <c r="N193" s="109"/>
      <c r="O193" s="108"/>
      <c r="P193" s="233"/>
      <c r="Q193" s="239"/>
      <c r="R193" s="19"/>
      <c r="S193" s="20"/>
      <c r="T193" s="9" t="str">
        <f t="shared" si="11"/>
        <v xml:space="preserve"> </v>
      </c>
      <c r="U193" s="18"/>
      <c r="V193" s="21"/>
      <c r="W193" s="22"/>
      <c r="X193" s="197" t="str">
        <f t="shared" si="12"/>
        <v xml:space="preserve"> </v>
      </c>
      <c r="Y193" s="246"/>
      <c r="Z193" s="247"/>
      <c r="AA193" s="20"/>
      <c r="AB193" s="11" t="str">
        <f t="shared" si="13"/>
        <v xml:space="preserve"> </v>
      </c>
      <c r="AC193" s="12" t="str">
        <f t="shared" si="14"/>
        <v xml:space="preserve"> </v>
      </c>
      <c r="AI193" s="14" t="str">
        <f t="shared" si="10"/>
        <v>TC Better Price</v>
      </c>
      <c r="AJ193" s="14" t="str">
        <f>IF(W193=0,"",(#REF!/W193))</f>
        <v/>
      </c>
    </row>
    <row r="194" spans="1:36" ht="20.100000000000001" customHeight="1" x14ac:dyDescent="0.25">
      <c r="A194" s="16"/>
      <c r="B194" s="108"/>
      <c r="C194" s="109"/>
      <c r="D194" s="109"/>
      <c r="E194" s="109"/>
      <c r="F194" s="17"/>
      <c r="G194" s="17"/>
      <c r="H194" s="108"/>
      <c r="I194" s="107"/>
      <c r="J194" s="108"/>
      <c r="K194" s="107"/>
      <c r="L194" s="108"/>
      <c r="M194" s="110"/>
      <c r="N194" s="109"/>
      <c r="O194" s="108"/>
      <c r="P194" s="233"/>
      <c r="Q194" s="239"/>
      <c r="R194" s="19"/>
      <c r="S194" s="20"/>
      <c r="T194" s="9" t="str">
        <f t="shared" si="11"/>
        <v xml:space="preserve"> </v>
      </c>
      <c r="U194" s="18"/>
      <c r="V194" s="21"/>
      <c r="W194" s="22"/>
      <c r="X194" s="197" t="str">
        <f t="shared" si="12"/>
        <v xml:space="preserve"> </v>
      </c>
      <c r="Y194" s="246"/>
      <c r="Z194" s="247"/>
      <c r="AA194" s="20"/>
      <c r="AB194" s="11" t="str">
        <f t="shared" si="13"/>
        <v xml:space="preserve"> </v>
      </c>
      <c r="AC194" s="12" t="str">
        <f t="shared" si="14"/>
        <v xml:space="preserve"> </v>
      </c>
      <c r="AI194" s="14" t="str">
        <f t="shared" si="10"/>
        <v>TC Better Price</v>
      </c>
      <c r="AJ194" s="14" t="str">
        <f>IF(W194=0,"",(#REF!/W194))</f>
        <v/>
      </c>
    </row>
    <row r="195" spans="1:36" ht="20.100000000000001" customHeight="1" x14ac:dyDescent="0.25">
      <c r="A195" s="16"/>
      <c r="B195" s="108"/>
      <c r="C195" s="109"/>
      <c r="D195" s="109"/>
      <c r="E195" s="109"/>
      <c r="F195" s="17"/>
      <c r="G195" s="17"/>
      <c r="H195" s="108"/>
      <c r="I195" s="107"/>
      <c r="J195" s="108"/>
      <c r="K195" s="107"/>
      <c r="L195" s="108"/>
      <c r="M195" s="110"/>
      <c r="N195" s="109"/>
      <c r="O195" s="108"/>
      <c r="P195" s="233"/>
      <c r="Q195" s="239"/>
      <c r="R195" s="19"/>
      <c r="S195" s="20"/>
      <c r="T195" s="9" t="str">
        <f t="shared" si="11"/>
        <v xml:space="preserve"> </v>
      </c>
      <c r="U195" s="18"/>
      <c r="V195" s="21"/>
      <c r="W195" s="22"/>
      <c r="X195" s="197" t="str">
        <f t="shared" si="12"/>
        <v xml:space="preserve"> </v>
      </c>
      <c r="Y195" s="246"/>
      <c r="Z195" s="247"/>
      <c r="AA195" s="20"/>
      <c r="AB195" s="11" t="str">
        <f t="shared" si="13"/>
        <v xml:space="preserve"> </v>
      </c>
      <c r="AC195" s="12" t="str">
        <f t="shared" si="14"/>
        <v xml:space="preserve"> </v>
      </c>
      <c r="AI195" s="14" t="str">
        <f t="shared" ref="AI195:AI258" si="15">IF(W195&lt;=S195,"TC Better Price","MFC Better Price")</f>
        <v>TC Better Price</v>
      </c>
      <c r="AJ195" s="14" t="str">
        <f>IF(W195=0,"",(#REF!/W195))</f>
        <v/>
      </c>
    </row>
    <row r="196" spans="1:36" ht="20.100000000000001" customHeight="1" x14ac:dyDescent="0.25">
      <c r="A196" s="16"/>
      <c r="B196" s="108"/>
      <c r="C196" s="109"/>
      <c r="D196" s="109"/>
      <c r="E196" s="109"/>
      <c r="F196" s="17"/>
      <c r="G196" s="17"/>
      <c r="H196" s="108"/>
      <c r="I196" s="107"/>
      <c r="J196" s="108"/>
      <c r="K196" s="107"/>
      <c r="L196" s="108"/>
      <c r="M196" s="110"/>
      <c r="N196" s="109"/>
      <c r="O196" s="108"/>
      <c r="P196" s="233"/>
      <c r="Q196" s="239"/>
      <c r="R196" s="19"/>
      <c r="S196" s="20"/>
      <c r="T196" s="9" t="str">
        <f t="shared" ref="T196:T259" si="16">IF(ISBLANK(R196)," ",((ROUND(S196,2)-(ROUND(R196,2)))/(ROUND(R196,2))))</f>
        <v xml:space="preserve"> </v>
      </c>
      <c r="U196" s="18"/>
      <c r="V196" s="21"/>
      <c r="W196" s="22"/>
      <c r="X196" s="197" t="str">
        <f t="shared" ref="X196:X259" si="17">IF(ISBLANK(R196)," ",((ROUND(W196,2))-(ROUND(R196,2)))/(ROUND(R196,2)))</f>
        <v xml:space="preserve"> </v>
      </c>
      <c r="Y196" s="246"/>
      <c r="Z196" s="247"/>
      <c r="AA196" s="20"/>
      <c r="AB196" s="11" t="str">
        <f t="shared" ref="AB196:AB259" si="18">IF(ISBLANK(R196)," ",((ROUND(AA196,2))-(ROUND(R196,2)))/(ROUND(R196,2)))</f>
        <v xml:space="preserve"> </v>
      </c>
      <c r="AC196" s="12" t="str">
        <f t="shared" ref="AC196:AC259" si="19">IF(ISBLANK(AA196)," ",(ROUND(AA196,2)/0.995))</f>
        <v xml:space="preserve"> </v>
      </c>
      <c r="AI196" s="14" t="str">
        <f t="shared" si="15"/>
        <v>TC Better Price</v>
      </c>
      <c r="AJ196" s="14" t="str">
        <f>IF(W196=0,"",(#REF!/W196))</f>
        <v/>
      </c>
    </row>
    <row r="197" spans="1:36" ht="20.100000000000001" customHeight="1" x14ac:dyDescent="0.25">
      <c r="A197" s="16"/>
      <c r="B197" s="108"/>
      <c r="C197" s="109"/>
      <c r="D197" s="109"/>
      <c r="E197" s="109"/>
      <c r="F197" s="17"/>
      <c r="G197" s="17"/>
      <c r="H197" s="108"/>
      <c r="I197" s="107"/>
      <c r="J197" s="108"/>
      <c r="K197" s="107"/>
      <c r="L197" s="108"/>
      <c r="M197" s="110"/>
      <c r="N197" s="109"/>
      <c r="O197" s="108"/>
      <c r="P197" s="233"/>
      <c r="Q197" s="239"/>
      <c r="R197" s="19"/>
      <c r="S197" s="20"/>
      <c r="T197" s="9" t="str">
        <f t="shared" si="16"/>
        <v xml:space="preserve"> </v>
      </c>
      <c r="U197" s="18"/>
      <c r="V197" s="21"/>
      <c r="W197" s="22"/>
      <c r="X197" s="197" t="str">
        <f t="shared" si="17"/>
        <v xml:space="preserve"> </v>
      </c>
      <c r="Y197" s="246"/>
      <c r="Z197" s="247"/>
      <c r="AA197" s="20"/>
      <c r="AB197" s="11" t="str">
        <f t="shared" si="18"/>
        <v xml:space="preserve"> </v>
      </c>
      <c r="AC197" s="12" t="str">
        <f t="shared" si="19"/>
        <v xml:space="preserve"> </v>
      </c>
      <c r="AI197" s="14" t="str">
        <f t="shared" si="15"/>
        <v>TC Better Price</v>
      </c>
      <c r="AJ197" s="14" t="str">
        <f>IF(W197=0,"",(#REF!/W197))</f>
        <v/>
      </c>
    </row>
    <row r="198" spans="1:36" ht="20.100000000000001" customHeight="1" x14ac:dyDescent="0.25">
      <c r="A198" s="16"/>
      <c r="B198" s="108"/>
      <c r="C198" s="109"/>
      <c r="D198" s="109"/>
      <c r="E198" s="109"/>
      <c r="F198" s="17"/>
      <c r="G198" s="17"/>
      <c r="H198" s="108"/>
      <c r="I198" s="107"/>
      <c r="J198" s="108"/>
      <c r="K198" s="107"/>
      <c r="L198" s="108"/>
      <c r="M198" s="110"/>
      <c r="N198" s="109"/>
      <c r="O198" s="108"/>
      <c r="P198" s="233"/>
      <c r="Q198" s="239"/>
      <c r="R198" s="19"/>
      <c r="S198" s="20"/>
      <c r="T198" s="9" t="str">
        <f t="shared" si="16"/>
        <v xml:space="preserve"> </v>
      </c>
      <c r="U198" s="18"/>
      <c r="V198" s="21"/>
      <c r="W198" s="22"/>
      <c r="X198" s="197" t="str">
        <f t="shared" si="17"/>
        <v xml:space="preserve"> </v>
      </c>
      <c r="Y198" s="246"/>
      <c r="Z198" s="247"/>
      <c r="AA198" s="20"/>
      <c r="AB198" s="11" t="str">
        <f t="shared" si="18"/>
        <v xml:space="preserve"> </v>
      </c>
      <c r="AC198" s="12" t="str">
        <f t="shared" si="19"/>
        <v xml:space="preserve"> </v>
      </c>
      <c r="AI198" s="14" t="str">
        <f t="shared" si="15"/>
        <v>TC Better Price</v>
      </c>
      <c r="AJ198" s="14" t="str">
        <f>IF(W198=0,"",(#REF!/W198))</f>
        <v/>
      </c>
    </row>
    <row r="199" spans="1:36" ht="20.100000000000001" customHeight="1" x14ac:dyDescent="0.25">
      <c r="A199" s="16"/>
      <c r="B199" s="108"/>
      <c r="C199" s="109"/>
      <c r="D199" s="109"/>
      <c r="E199" s="109"/>
      <c r="F199" s="17"/>
      <c r="G199" s="17"/>
      <c r="H199" s="108"/>
      <c r="I199" s="107"/>
      <c r="J199" s="108"/>
      <c r="K199" s="107"/>
      <c r="L199" s="108"/>
      <c r="M199" s="110"/>
      <c r="N199" s="109"/>
      <c r="O199" s="108"/>
      <c r="P199" s="233"/>
      <c r="Q199" s="239"/>
      <c r="R199" s="19"/>
      <c r="S199" s="20"/>
      <c r="T199" s="9" t="str">
        <f t="shared" si="16"/>
        <v xml:space="preserve"> </v>
      </c>
      <c r="U199" s="18"/>
      <c r="V199" s="21"/>
      <c r="W199" s="22"/>
      <c r="X199" s="197" t="str">
        <f t="shared" si="17"/>
        <v xml:space="preserve"> </v>
      </c>
      <c r="Y199" s="246"/>
      <c r="Z199" s="247"/>
      <c r="AA199" s="20"/>
      <c r="AB199" s="11" t="str">
        <f t="shared" si="18"/>
        <v xml:space="preserve"> </v>
      </c>
      <c r="AC199" s="12" t="str">
        <f t="shared" si="19"/>
        <v xml:space="preserve"> </v>
      </c>
      <c r="AI199" s="14" t="str">
        <f t="shared" si="15"/>
        <v>TC Better Price</v>
      </c>
      <c r="AJ199" s="14" t="str">
        <f>IF(W199=0,"",(#REF!/W199))</f>
        <v/>
      </c>
    </row>
    <row r="200" spans="1:36" ht="20.100000000000001" customHeight="1" x14ac:dyDescent="0.25">
      <c r="A200" s="16"/>
      <c r="B200" s="108"/>
      <c r="C200" s="109"/>
      <c r="D200" s="109"/>
      <c r="E200" s="109"/>
      <c r="F200" s="17"/>
      <c r="G200" s="17"/>
      <c r="H200" s="108"/>
      <c r="I200" s="107"/>
      <c r="J200" s="108"/>
      <c r="K200" s="107"/>
      <c r="L200" s="108"/>
      <c r="M200" s="110"/>
      <c r="N200" s="109"/>
      <c r="O200" s="108"/>
      <c r="P200" s="233"/>
      <c r="Q200" s="239"/>
      <c r="R200" s="19"/>
      <c r="S200" s="20"/>
      <c r="T200" s="9" t="str">
        <f t="shared" si="16"/>
        <v xml:space="preserve"> </v>
      </c>
      <c r="U200" s="18"/>
      <c r="V200" s="21"/>
      <c r="W200" s="22"/>
      <c r="X200" s="197" t="str">
        <f t="shared" si="17"/>
        <v xml:space="preserve"> </v>
      </c>
      <c r="Y200" s="246"/>
      <c r="Z200" s="247"/>
      <c r="AA200" s="20"/>
      <c r="AB200" s="11" t="str">
        <f t="shared" si="18"/>
        <v xml:space="preserve"> </v>
      </c>
      <c r="AC200" s="12" t="str">
        <f t="shared" si="19"/>
        <v xml:space="preserve"> </v>
      </c>
      <c r="AI200" s="14" t="str">
        <f t="shared" si="15"/>
        <v>TC Better Price</v>
      </c>
      <c r="AJ200" s="14" t="str">
        <f>IF(W200=0,"",(#REF!/W200))</f>
        <v/>
      </c>
    </row>
    <row r="201" spans="1:36" ht="20.100000000000001" customHeight="1" x14ac:dyDescent="0.25">
      <c r="A201" s="16"/>
      <c r="B201" s="108"/>
      <c r="C201" s="109"/>
      <c r="D201" s="109"/>
      <c r="E201" s="109"/>
      <c r="F201" s="17"/>
      <c r="G201" s="17"/>
      <c r="H201" s="108"/>
      <c r="I201" s="107"/>
      <c r="J201" s="108"/>
      <c r="K201" s="107"/>
      <c r="L201" s="108"/>
      <c r="M201" s="110"/>
      <c r="N201" s="109"/>
      <c r="O201" s="108"/>
      <c r="P201" s="233"/>
      <c r="Q201" s="239"/>
      <c r="R201" s="19"/>
      <c r="S201" s="20"/>
      <c r="T201" s="9" t="str">
        <f t="shared" si="16"/>
        <v xml:space="preserve"> </v>
      </c>
      <c r="U201" s="18"/>
      <c r="V201" s="21"/>
      <c r="W201" s="22"/>
      <c r="X201" s="197" t="str">
        <f t="shared" si="17"/>
        <v xml:space="preserve"> </v>
      </c>
      <c r="Y201" s="246"/>
      <c r="Z201" s="247"/>
      <c r="AA201" s="20"/>
      <c r="AB201" s="11" t="str">
        <f t="shared" si="18"/>
        <v xml:space="preserve"> </v>
      </c>
      <c r="AC201" s="12" t="str">
        <f t="shared" si="19"/>
        <v xml:space="preserve"> </v>
      </c>
      <c r="AI201" s="14" t="str">
        <f t="shared" si="15"/>
        <v>TC Better Price</v>
      </c>
      <c r="AJ201" s="14" t="str">
        <f>IF(W201=0,"",(#REF!/W201))</f>
        <v/>
      </c>
    </row>
    <row r="202" spans="1:36" ht="20.100000000000001" customHeight="1" x14ac:dyDescent="0.25">
      <c r="A202" s="16"/>
      <c r="B202" s="108"/>
      <c r="C202" s="109"/>
      <c r="D202" s="109"/>
      <c r="E202" s="109"/>
      <c r="F202" s="17"/>
      <c r="G202" s="17"/>
      <c r="H202" s="108"/>
      <c r="I202" s="107"/>
      <c r="J202" s="108"/>
      <c r="K202" s="107"/>
      <c r="L202" s="108"/>
      <c r="M202" s="110"/>
      <c r="N202" s="109"/>
      <c r="O202" s="108"/>
      <c r="P202" s="233"/>
      <c r="Q202" s="239"/>
      <c r="R202" s="19"/>
      <c r="S202" s="20"/>
      <c r="T202" s="9" t="str">
        <f t="shared" si="16"/>
        <v xml:space="preserve"> </v>
      </c>
      <c r="U202" s="18"/>
      <c r="V202" s="21"/>
      <c r="W202" s="22"/>
      <c r="X202" s="197" t="str">
        <f t="shared" si="17"/>
        <v xml:space="preserve"> </v>
      </c>
      <c r="Y202" s="246"/>
      <c r="Z202" s="247"/>
      <c r="AA202" s="20"/>
      <c r="AB202" s="11" t="str">
        <f t="shared" si="18"/>
        <v xml:space="preserve"> </v>
      </c>
      <c r="AC202" s="12" t="str">
        <f t="shared" si="19"/>
        <v xml:space="preserve"> </v>
      </c>
      <c r="AI202" s="14" t="str">
        <f t="shared" si="15"/>
        <v>TC Better Price</v>
      </c>
      <c r="AJ202" s="14" t="str">
        <f>IF(W202=0,"",(#REF!/W202))</f>
        <v/>
      </c>
    </row>
    <row r="203" spans="1:36" ht="20.100000000000001" customHeight="1" x14ac:dyDescent="0.25">
      <c r="A203" s="16"/>
      <c r="B203" s="108"/>
      <c r="C203" s="109"/>
      <c r="D203" s="109"/>
      <c r="E203" s="109"/>
      <c r="F203" s="17"/>
      <c r="G203" s="17"/>
      <c r="H203" s="108"/>
      <c r="I203" s="107"/>
      <c r="J203" s="108"/>
      <c r="K203" s="107"/>
      <c r="L203" s="108"/>
      <c r="M203" s="110"/>
      <c r="N203" s="109"/>
      <c r="O203" s="108"/>
      <c r="P203" s="233"/>
      <c r="Q203" s="239"/>
      <c r="R203" s="19"/>
      <c r="S203" s="20"/>
      <c r="T203" s="9" t="str">
        <f t="shared" si="16"/>
        <v xml:space="preserve"> </v>
      </c>
      <c r="U203" s="18"/>
      <c r="V203" s="21"/>
      <c r="W203" s="22"/>
      <c r="X203" s="197" t="str">
        <f t="shared" si="17"/>
        <v xml:space="preserve"> </v>
      </c>
      <c r="Y203" s="246"/>
      <c r="Z203" s="247"/>
      <c r="AA203" s="20"/>
      <c r="AB203" s="11" t="str">
        <f t="shared" si="18"/>
        <v xml:space="preserve"> </v>
      </c>
      <c r="AC203" s="12" t="str">
        <f t="shared" si="19"/>
        <v xml:space="preserve"> </v>
      </c>
      <c r="AI203" s="14" t="str">
        <f t="shared" si="15"/>
        <v>TC Better Price</v>
      </c>
      <c r="AJ203" s="14" t="str">
        <f>IF(W203=0,"",(#REF!/W203))</f>
        <v/>
      </c>
    </row>
    <row r="204" spans="1:36" ht="20.100000000000001" customHeight="1" x14ac:dyDescent="0.25">
      <c r="A204" s="16"/>
      <c r="B204" s="108"/>
      <c r="C204" s="109"/>
      <c r="D204" s="109"/>
      <c r="E204" s="109"/>
      <c r="F204" s="17"/>
      <c r="G204" s="17"/>
      <c r="H204" s="108"/>
      <c r="I204" s="107"/>
      <c r="J204" s="108"/>
      <c r="K204" s="107"/>
      <c r="L204" s="108"/>
      <c r="M204" s="110"/>
      <c r="N204" s="109"/>
      <c r="O204" s="108"/>
      <c r="P204" s="233"/>
      <c r="Q204" s="239"/>
      <c r="R204" s="19"/>
      <c r="S204" s="20"/>
      <c r="T204" s="9" t="str">
        <f t="shared" si="16"/>
        <v xml:space="preserve"> </v>
      </c>
      <c r="U204" s="18"/>
      <c r="V204" s="21"/>
      <c r="W204" s="22"/>
      <c r="X204" s="197" t="str">
        <f t="shared" si="17"/>
        <v xml:space="preserve"> </v>
      </c>
      <c r="Y204" s="246"/>
      <c r="Z204" s="247"/>
      <c r="AA204" s="20"/>
      <c r="AB204" s="11" t="str">
        <f t="shared" si="18"/>
        <v xml:space="preserve"> </v>
      </c>
      <c r="AC204" s="12" t="str">
        <f t="shared" si="19"/>
        <v xml:space="preserve"> </v>
      </c>
      <c r="AI204" s="14" t="str">
        <f t="shared" si="15"/>
        <v>TC Better Price</v>
      </c>
      <c r="AJ204" s="14" t="str">
        <f>IF(W204=0,"",(#REF!/W204))</f>
        <v/>
      </c>
    </row>
    <row r="205" spans="1:36" ht="20.100000000000001" customHeight="1" x14ac:dyDescent="0.25">
      <c r="A205" s="16"/>
      <c r="B205" s="108"/>
      <c r="C205" s="109"/>
      <c r="D205" s="109"/>
      <c r="E205" s="109"/>
      <c r="F205" s="17"/>
      <c r="G205" s="17"/>
      <c r="H205" s="108"/>
      <c r="I205" s="107"/>
      <c r="J205" s="108"/>
      <c r="K205" s="107"/>
      <c r="L205" s="108"/>
      <c r="M205" s="110"/>
      <c r="N205" s="109"/>
      <c r="O205" s="108"/>
      <c r="P205" s="233"/>
      <c r="Q205" s="239"/>
      <c r="R205" s="19"/>
      <c r="S205" s="20"/>
      <c r="T205" s="9" t="str">
        <f t="shared" si="16"/>
        <v xml:space="preserve"> </v>
      </c>
      <c r="U205" s="18"/>
      <c r="V205" s="21"/>
      <c r="W205" s="22"/>
      <c r="X205" s="197" t="str">
        <f t="shared" si="17"/>
        <v xml:space="preserve"> </v>
      </c>
      <c r="Y205" s="246"/>
      <c r="Z205" s="247"/>
      <c r="AA205" s="20"/>
      <c r="AB205" s="11" t="str">
        <f t="shared" si="18"/>
        <v xml:space="preserve"> </v>
      </c>
      <c r="AC205" s="12" t="str">
        <f t="shared" si="19"/>
        <v xml:space="preserve"> </v>
      </c>
      <c r="AI205" s="14" t="str">
        <f t="shared" si="15"/>
        <v>TC Better Price</v>
      </c>
      <c r="AJ205" s="14" t="str">
        <f>IF(W205=0,"",(#REF!/W205))</f>
        <v/>
      </c>
    </row>
    <row r="206" spans="1:36" ht="20.100000000000001" customHeight="1" x14ac:dyDescent="0.25">
      <c r="A206" s="16"/>
      <c r="B206" s="108"/>
      <c r="C206" s="109"/>
      <c r="D206" s="109"/>
      <c r="E206" s="109"/>
      <c r="F206" s="17"/>
      <c r="G206" s="17"/>
      <c r="H206" s="108"/>
      <c r="I206" s="107"/>
      <c r="J206" s="108"/>
      <c r="K206" s="107"/>
      <c r="L206" s="108"/>
      <c r="M206" s="110"/>
      <c r="N206" s="109"/>
      <c r="O206" s="108"/>
      <c r="P206" s="233"/>
      <c r="Q206" s="239"/>
      <c r="R206" s="19"/>
      <c r="S206" s="20"/>
      <c r="T206" s="9" t="str">
        <f t="shared" si="16"/>
        <v xml:space="preserve"> </v>
      </c>
      <c r="U206" s="18"/>
      <c r="V206" s="21"/>
      <c r="W206" s="22"/>
      <c r="X206" s="197" t="str">
        <f t="shared" si="17"/>
        <v xml:space="preserve"> </v>
      </c>
      <c r="Y206" s="246"/>
      <c r="Z206" s="247"/>
      <c r="AA206" s="20"/>
      <c r="AB206" s="11" t="str">
        <f t="shared" si="18"/>
        <v xml:space="preserve"> </v>
      </c>
      <c r="AC206" s="12" t="str">
        <f t="shared" si="19"/>
        <v xml:space="preserve"> </v>
      </c>
      <c r="AI206" s="14" t="str">
        <f t="shared" si="15"/>
        <v>TC Better Price</v>
      </c>
      <c r="AJ206" s="14" t="str">
        <f>IF(W206=0,"",(#REF!/W206))</f>
        <v/>
      </c>
    </row>
    <row r="207" spans="1:36" ht="20.100000000000001" customHeight="1" x14ac:dyDescent="0.25">
      <c r="A207" s="16"/>
      <c r="B207" s="108"/>
      <c r="C207" s="109"/>
      <c r="D207" s="109"/>
      <c r="E207" s="109"/>
      <c r="F207" s="17"/>
      <c r="G207" s="17"/>
      <c r="H207" s="108"/>
      <c r="I207" s="107"/>
      <c r="J207" s="108"/>
      <c r="K207" s="107"/>
      <c r="L207" s="108"/>
      <c r="M207" s="110"/>
      <c r="N207" s="109"/>
      <c r="O207" s="108"/>
      <c r="P207" s="233"/>
      <c r="Q207" s="239"/>
      <c r="R207" s="19"/>
      <c r="S207" s="20"/>
      <c r="T207" s="9" t="str">
        <f t="shared" si="16"/>
        <v xml:space="preserve"> </v>
      </c>
      <c r="U207" s="18"/>
      <c r="V207" s="21"/>
      <c r="W207" s="22"/>
      <c r="X207" s="197" t="str">
        <f t="shared" si="17"/>
        <v xml:space="preserve"> </v>
      </c>
      <c r="Y207" s="246"/>
      <c r="Z207" s="247"/>
      <c r="AA207" s="20"/>
      <c r="AB207" s="11" t="str">
        <f t="shared" si="18"/>
        <v xml:space="preserve"> </v>
      </c>
      <c r="AC207" s="12" t="str">
        <f t="shared" si="19"/>
        <v xml:space="preserve"> </v>
      </c>
      <c r="AI207" s="14" t="str">
        <f t="shared" si="15"/>
        <v>TC Better Price</v>
      </c>
      <c r="AJ207" s="14" t="str">
        <f>IF(W207=0,"",(#REF!/W207))</f>
        <v/>
      </c>
    </row>
    <row r="208" spans="1:36" ht="20.100000000000001" customHeight="1" x14ac:dyDescent="0.25">
      <c r="A208" s="16"/>
      <c r="B208" s="108"/>
      <c r="C208" s="109"/>
      <c r="D208" s="109"/>
      <c r="E208" s="109"/>
      <c r="F208" s="17"/>
      <c r="G208" s="17"/>
      <c r="H208" s="108"/>
      <c r="I208" s="107"/>
      <c r="J208" s="108"/>
      <c r="K208" s="107"/>
      <c r="L208" s="108"/>
      <c r="M208" s="110"/>
      <c r="N208" s="109"/>
      <c r="O208" s="108"/>
      <c r="P208" s="233"/>
      <c r="Q208" s="239"/>
      <c r="R208" s="19"/>
      <c r="S208" s="20"/>
      <c r="T208" s="9" t="str">
        <f t="shared" si="16"/>
        <v xml:space="preserve"> </v>
      </c>
      <c r="U208" s="18"/>
      <c r="V208" s="21"/>
      <c r="W208" s="22"/>
      <c r="X208" s="197" t="str">
        <f t="shared" si="17"/>
        <v xml:space="preserve"> </v>
      </c>
      <c r="Y208" s="246"/>
      <c r="Z208" s="247"/>
      <c r="AA208" s="20"/>
      <c r="AB208" s="11" t="str">
        <f t="shared" si="18"/>
        <v xml:space="preserve"> </v>
      </c>
      <c r="AC208" s="12" t="str">
        <f t="shared" si="19"/>
        <v xml:space="preserve"> </v>
      </c>
      <c r="AI208" s="14" t="str">
        <f t="shared" si="15"/>
        <v>TC Better Price</v>
      </c>
      <c r="AJ208" s="14" t="str">
        <f>IF(W208=0,"",(#REF!/W208))</f>
        <v/>
      </c>
    </row>
    <row r="209" spans="1:36" ht="20.100000000000001" customHeight="1" x14ac:dyDescent="0.25">
      <c r="A209" s="16"/>
      <c r="B209" s="108"/>
      <c r="C209" s="109"/>
      <c r="D209" s="109"/>
      <c r="E209" s="109"/>
      <c r="F209" s="17"/>
      <c r="G209" s="17"/>
      <c r="H209" s="108"/>
      <c r="I209" s="107"/>
      <c r="J209" s="108"/>
      <c r="K209" s="107"/>
      <c r="L209" s="108"/>
      <c r="M209" s="110"/>
      <c r="N209" s="109"/>
      <c r="O209" s="108"/>
      <c r="P209" s="233"/>
      <c r="Q209" s="239"/>
      <c r="R209" s="19"/>
      <c r="S209" s="20"/>
      <c r="T209" s="9" t="str">
        <f t="shared" si="16"/>
        <v xml:space="preserve"> </v>
      </c>
      <c r="U209" s="18"/>
      <c r="V209" s="21"/>
      <c r="W209" s="22"/>
      <c r="X209" s="197" t="str">
        <f t="shared" si="17"/>
        <v xml:space="preserve"> </v>
      </c>
      <c r="Y209" s="246"/>
      <c r="Z209" s="247"/>
      <c r="AA209" s="20"/>
      <c r="AB209" s="11" t="str">
        <f t="shared" si="18"/>
        <v xml:space="preserve"> </v>
      </c>
      <c r="AC209" s="12" t="str">
        <f t="shared" si="19"/>
        <v xml:space="preserve"> </v>
      </c>
      <c r="AI209" s="14" t="str">
        <f t="shared" si="15"/>
        <v>TC Better Price</v>
      </c>
      <c r="AJ209" s="14" t="str">
        <f>IF(W209=0,"",(#REF!/W209))</f>
        <v/>
      </c>
    </row>
    <row r="210" spans="1:36" ht="20.100000000000001" customHeight="1" x14ac:dyDescent="0.25">
      <c r="A210" s="16"/>
      <c r="B210" s="108"/>
      <c r="C210" s="109"/>
      <c r="D210" s="109"/>
      <c r="E210" s="109"/>
      <c r="F210" s="17"/>
      <c r="G210" s="17"/>
      <c r="H210" s="108"/>
      <c r="I210" s="107"/>
      <c r="J210" s="108"/>
      <c r="K210" s="107"/>
      <c r="L210" s="108"/>
      <c r="M210" s="110"/>
      <c r="N210" s="109"/>
      <c r="O210" s="108"/>
      <c r="P210" s="233"/>
      <c r="Q210" s="239"/>
      <c r="R210" s="19"/>
      <c r="S210" s="20"/>
      <c r="T210" s="9" t="str">
        <f t="shared" si="16"/>
        <v xml:space="preserve"> </v>
      </c>
      <c r="U210" s="18"/>
      <c r="V210" s="21"/>
      <c r="W210" s="22"/>
      <c r="X210" s="197" t="str">
        <f t="shared" si="17"/>
        <v xml:space="preserve"> </v>
      </c>
      <c r="Y210" s="246"/>
      <c r="Z210" s="247"/>
      <c r="AA210" s="20"/>
      <c r="AB210" s="11" t="str">
        <f t="shared" si="18"/>
        <v xml:space="preserve"> </v>
      </c>
      <c r="AC210" s="12" t="str">
        <f t="shared" si="19"/>
        <v xml:space="preserve"> </v>
      </c>
      <c r="AI210" s="14" t="str">
        <f t="shared" si="15"/>
        <v>TC Better Price</v>
      </c>
      <c r="AJ210" s="14" t="str">
        <f>IF(W210=0,"",(#REF!/W210))</f>
        <v/>
      </c>
    </row>
    <row r="211" spans="1:36" ht="20.100000000000001" customHeight="1" x14ac:dyDescent="0.25">
      <c r="A211" s="16"/>
      <c r="B211" s="108"/>
      <c r="C211" s="109"/>
      <c r="D211" s="109"/>
      <c r="E211" s="109"/>
      <c r="F211" s="17"/>
      <c r="G211" s="17"/>
      <c r="H211" s="108"/>
      <c r="I211" s="107"/>
      <c r="J211" s="108"/>
      <c r="K211" s="107"/>
      <c r="L211" s="108"/>
      <c r="M211" s="110"/>
      <c r="N211" s="109"/>
      <c r="O211" s="108"/>
      <c r="P211" s="233"/>
      <c r="Q211" s="239"/>
      <c r="R211" s="19"/>
      <c r="S211" s="20"/>
      <c r="T211" s="9" t="str">
        <f t="shared" si="16"/>
        <v xml:space="preserve"> </v>
      </c>
      <c r="U211" s="18"/>
      <c r="V211" s="21"/>
      <c r="W211" s="22"/>
      <c r="X211" s="197" t="str">
        <f t="shared" si="17"/>
        <v xml:space="preserve"> </v>
      </c>
      <c r="Y211" s="246"/>
      <c r="Z211" s="247"/>
      <c r="AA211" s="20"/>
      <c r="AB211" s="11" t="str">
        <f t="shared" si="18"/>
        <v xml:space="preserve"> </v>
      </c>
      <c r="AC211" s="12" t="str">
        <f t="shared" si="19"/>
        <v xml:space="preserve"> </v>
      </c>
      <c r="AI211" s="14" t="str">
        <f t="shared" si="15"/>
        <v>TC Better Price</v>
      </c>
      <c r="AJ211" s="14" t="str">
        <f>IF(W211=0,"",(#REF!/W211))</f>
        <v/>
      </c>
    </row>
    <row r="212" spans="1:36" ht="20.100000000000001" customHeight="1" x14ac:dyDescent="0.25">
      <c r="A212" s="16"/>
      <c r="B212" s="108"/>
      <c r="C212" s="109"/>
      <c r="D212" s="109"/>
      <c r="E212" s="109"/>
      <c r="F212" s="17"/>
      <c r="G212" s="17"/>
      <c r="H212" s="108"/>
      <c r="I212" s="107"/>
      <c r="J212" s="108"/>
      <c r="K212" s="107"/>
      <c r="L212" s="108"/>
      <c r="M212" s="110"/>
      <c r="N212" s="109"/>
      <c r="O212" s="108"/>
      <c r="P212" s="233"/>
      <c r="Q212" s="239"/>
      <c r="R212" s="19"/>
      <c r="S212" s="20"/>
      <c r="T212" s="9" t="str">
        <f t="shared" si="16"/>
        <v xml:space="preserve"> </v>
      </c>
      <c r="U212" s="18"/>
      <c r="V212" s="21"/>
      <c r="W212" s="22"/>
      <c r="X212" s="197" t="str">
        <f t="shared" si="17"/>
        <v xml:space="preserve"> </v>
      </c>
      <c r="Y212" s="246"/>
      <c r="Z212" s="247"/>
      <c r="AA212" s="20"/>
      <c r="AB212" s="11" t="str">
        <f t="shared" si="18"/>
        <v xml:space="preserve"> </v>
      </c>
      <c r="AC212" s="12" t="str">
        <f t="shared" si="19"/>
        <v xml:space="preserve"> </v>
      </c>
      <c r="AI212" s="14" t="str">
        <f t="shared" si="15"/>
        <v>TC Better Price</v>
      </c>
      <c r="AJ212" s="14" t="str">
        <f>IF(W212=0,"",(#REF!/W212))</f>
        <v/>
      </c>
    </row>
    <row r="213" spans="1:36" ht="20.100000000000001" customHeight="1" x14ac:dyDescent="0.25">
      <c r="A213" s="16"/>
      <c r="B213" s="108"/>
      <c r="C213" s="109"/>
      <c r="D213" s="109"/>
      <c r="E213" s="109"/>
      <c r="F213" s="17"/>
      <c r="G213" s="17"/>
      <c r="H213" s="108"/>
      <c r="I213" s="107"/>
      <c r="J213" s="108"/>
      <c r="K213" s="107"/>
      <c r="L213" s="108"/>
      <c r="M213" s="110"/>
      <c r="N213" s="109"/>
      <c r="O213" s="108"/>
      <c r="P213" s="233"/>
      <c r="Q213" s="239"/>
      <c r="R213" s="19"/>
      <c r="S213" s="20"/>
      <c r="T213" s="9" t="str">
        <f t="shared" si="16"/>
        <v xml:space="preserve"> </v>
      </c>
      <c r="U213" s="18"/>
      <c r="V213" s="21"/>
      <c r="W213" s="22"/>
      <c r="X213" s="197" t="str">
        <f t="shared" si="17"/>
        <v xml:space="preserve"> </v>
      </c>
      <c r="Y213" s="246"/>
      <c r="Z213" s="247"/>
      <c r="AA213" s="20"/>
      <c r="AB213" s="11" t="str">
        <f t="shared" si="18"/>
        <v xml:space="preserve"> </v>
      </c>
      <c r="AC213" s="12" t="str">
        <f t="shared" si="19"/>
        <v xml:space="preserve"> </v>
      </c>
      <c r="AI213" s="14" t="str">
        <f t="shared" si="15"/>
        <v>TC Better Price</v>
      </c>
      <c r="AJ213" s="14" t="str">
        <f>IF(W213=0,"",(#REF!/W213))</f>
        <v/>
      </c>
    </row>
    <row r="214" spans="1:36" ht="20.100000000000001" customHeight="1" x14ac:dyDescent="0.25">
      <c r="A214" s="16"/>
      <c r="B214" s="108"/>
      <c r="C214" s="109"/>
      <c r="D214" s="109"/>
      <c r="E214" s="109"/>
      <c r="F214" s="17"/>
      <c r="G214" s="17"/>
      <c r="H214" s="108"/>
      <c r="I214" s="107"/>
      <c r="J214" s="108"/>
      <c r="K214" s="107"/>
      <c r="L214" s="108"/>
      <c r="M214" s="110"/>
      <c r="N214" s="109"/>
      <c r="O214" s="108"/>
      <c r="P214" s="233"/>
      <c r="Q214" s="239"/>
      <c r="R214" s="19"/>
      <c r="S214" s="20"/>
      <c r="T214" s="9" t="str">
        <f t="shared" si="16"/>
        <v xml:space="preserve"> </v>
      </c>
      <c r="U214" s="18"/>
      <c r="V214" s="21"/>
      <c r="W214" s="22"/>
      <c r="X214" s="197" t="str">
        <f t="shared" si="17"/>
        <v xml:space="preserve"> </v>
      </c>
      <c r="Y214" s="246"/>
      <c r="Z214" s="247"/>
      <c r="AA214" s="20"/>
      <c r="AB214" s="11" t="str">
        <f t="shared" si="18"/>
        <v xml:space="preserve"> </v>
      </c>
      <c r="AC214" s="12" t="str">
        <f t="shared" si="19"/>
        <v xml:space="preserve"> </v>
      </c>
      <c r="AI214" s="14" t="str">
        <f t="shared" si="15"/>
        <v>TC Better Price</v>
      </c>
      <c r="AJ214" s="14" t="str">
        <f>IF(W214=0,"",(#REF!/W214))</f>
        <v/>
      </c>
    </row>
    <row r="215" spans="1:36" ht="20.100000000000001" customHeight="1" x14ac:dyDescent="0.25">
      <c r="A215" s="16"/>
      <c r="B215" s="108"/>
      <c r="C215" s="109"/>
      <c r="D215" s="109"/>
      <c r="E215" s="109"/>
      <c r="F215" s="17"/>
      <c r="G215" s="17"/>
      <c r="H215" s="108"/>
      <c r="I215" s="107"/>
      <c r="J215" s="108"/>
      <c r="K215" s="107"/>
      <c r="L215" s="108"/>
      <c r="M215" s="110"/>
      <c r="N215" s="109"/>
      <c r="O215" s="108"/>
      <c r="P215" s="233"/>
      <c r="Q215" s="239"/>
      <c r="R215" s="19"/>
      <c r="S215" s="20"/>
      <c r="T215" s="9" t="str">
        <f t="shared" si="16"/>
        <v xml:space="preserve"> </v>
      </c>
      <c r="U215" s="18"/>
      <c r="V215" s="21"/>
      <c r="W215" s="22"/>
      <c r="X215" s="197" t="str">
        <f t="shared" si="17"/>
        <v xml:space="preserve"> </v>
      </c>
      <c r="Y215" s="246"/>
      <c r="Z215" s="247"/>
      <c r="AA215" s="20"/>
      <c r="AB215" s="11" t="str">
        <f t="shared" si="18"/>
        <v xml:space="preserve"> </v>
      </c>
      <c r="AC215" s="12" t="str">
        <f t="shared" si="19"/>
        <v xml:space="preserve"> </v>
      </c>
      <c r="AI215" s="14" t="str">
        <f t="shared" si="15"/>
        <v>TC Better Price</v>
      </c>
      <c r="AJ215" s="14" t="str">
        <f>IF(W215=0,"",(#REF!/W215))</f>
        <v/>
      </c>
    </row>
    <row r="216" spans="1:36" ht="20.100000000000001" customHeight="1" x14ac:dyDescent="0.25">
      <c r="A216" s="16"/>
      <c r="B216" s="108"/>
      <c r="C216" s="109"/>
      <c r="D216" s="109"/>
      <c r="E216" s="109"/>
      <c r="F216" s="17"/>
      <c r="G216" s="17"/>
      <c r="H216" s="108"/>
      <c r="I216" s="107"/>
      <c r="J216" s="108"/>
      <c r="K216" s="107"/>
      <c r="L216" s="108"/>
      <c r="M216" s="110"/>
      <c r="N216" s="109"/>
      <c r="O216" s="108"/>
      <c r="P216" s="233"/>
      <c r="Q216" s="239"/>
      <c r="R216" s="19"/>
      <c r="S216" s="20"/>
      <c r="T216" s="9" t="str">
        <f t="shared" si="16"/>
        <v xml:space="preserve"> </v>
      </c>
      <c r="U216" s="18"/>
      <c r="V216" s="21"/>
      <c r="W216" s="22"/>
      <c r="X216" s="197" t="str">
        <f t="shared" si="17"/>
        <v xml:space="preserve"> </v>
      </c>
      <c r="Y216" s="246"/>
      <c r="Z216" s="247"/>
      <c r="AA216" s="20"/>
      <c r="AB216" s="11" t="str">
        <f t="shared" si="18"/>
        <v xml:space="preserve"> </v>
      </c>
      <c r="AC216" s="12" t="str">
        <f t="shared" si="19"/>
        <v xml:space="preserve"> </v>
      </c>
      <c r="AI216" s="14" t="str">
        <f t="shared" si="15"/>
        <v>TC Better Price</v>
      </c>
      <c r="AJ216" s="14" t="str">
        <f>IF(W216=0,"",(#REF!/W216))</f>
        <v/>
      </c>
    </row>
    <row r="217" spans="1:36" ht="20.100000000000001" customHeight="1" x14ac:dyDescent="0.25">
      <c r="A217" s="16"/>
      <c r="B217" s="108"/>
      <c r="C217" s="109"/>
      <c r="D217" s="109"/>
      <c r="E217" s="109"/>
      <c r="F217" s="17"/>
      <c r="G217" s="17"/>
      <c r="H217" s="108"/>
      <c r="I217" s="107"/>
      <c r="J217" s="108"/>
      <c r="K217" s="107"/>
      <c r="L217" s="108"/>
      <c r="M217" s="110"/>
      <c r="N217" s="109"/>
      <c r="O217" s="108"/>
      <c r="P217" s="233"/>
      <c r="Q217" s="239"/>
      <c r="R217" s="19"/>
      <c r="S217" s="20"/>
      <c r="T217" s="9" t="str">
        <f t="shared" si="16"/>
        <v xml:space="preserve"> </v>
      </c>
      <c r="U217" s="18"/>
      <c r="V217" s="21"/>
      <c r="W217" s="22"/>
      <c r="X217" s="197" t="str">
        <f t="shared" si="17"/>
        <v xml:space="preserve"> </v>
      </c>
      <c r="Y217" s="246"/>
      <c r="Z217" s="247"/>
      <c r="AA217" s="20"/>
      <c r="AB217" s="11" t="str">
        <f t="shared" si="18"/>
        <v xml:space="preserve"> </v>
      </c>
      <c r="AC217" s="12" t="str">
        <f t="shared" si="19"/>
        <v xml:space="preserve"> </v>
      </c>
      <c r="AI217" s="14" t="str">
        <f t="shared" si="15"/>
        <v>TC Better Price</v>
      </c>
      <c r="AJ217" s="14" t="str">
        <f>IF(W217=0,"",(#REF!/W217))</f>
        <v/>
      </c>
    </row>
    <row r="218" spans="1:36" ht="20.100000000000001" customHeight="1" x14ac:dyDescent="0.25">
      <c r="A218" s="16"/>
      <c r="B218" s="108"/>
      <c r="C218" s="109"/>
      <c r="D218" s="109"/>
      <c r="E218" s="109"/>
      <c r="F218" s="17"/>
      <c r="G218" s="17"/>
      <c r="H218" s="108"/>
      <c r="I218" s="107"/>
      <c r="J218" s="108"/>
      <c r="K218" s="107"/>
      <c r="L218" s="108"/>
      <c r="M218" s="110"/>
      <c r="N218" s="109"/>
      <c r="O218" s="108"/>
      <c r="P218" s="233"/>
      <c r="Q218" s="239"/>
      <c r="R218" s="19"/>
      <c r="S218" s="20"/>
      <c r="T218" s="9" t="str">
        <f t="shared" si="16"/>
        <v xml:space="preserve"> </v>
      </c>
      <c r="U218" s="18"/>
      <c r="V218" s="21"/>
      <c r="W218" s="22"/>
      <c r="X218" s="197" t="str">
        <f t="shared" si="17"/>
        <v xml:space="preserve"> </v>
      </c>
      <c r="Y218" s="246"/>
      <c r="Z218" s="247"/>
      <c r="AA218" s="20"/>
      <c r="AB218" s="11" t="str">
        <f t="shared" si="18"/>
        <v xml:space="preserve"> </v>
      </c>
      <c r="AC218" s="12" t="str">
        <f t="shared" si="19"/>
        <v xml:space="preserve"> </v>
      </c>
      <c r="AI218" s="14" t="str">
        <f t="shared" si="15"/>
        <v>TC Better Price</v>
      </c>
      <c r="AJ218" s="14" t="str">
        <f>IF(W218=0,"",(#REF!/W218))</f>
        <v/>
      </c>
    </row>
    <row r="219" spans="1:36" ht="20.100000000000001" customHeight="1" x14ac:dyDescent="0.25">
      <c r="A219" s="16"/>
      <c r="B219" s="108"/>
      <c r="C219" s="109"/>
      <c r="D219" s="109"/>
      <c r="E219" s="109"/>
      <c r="F219" s="17"/>
      <c r="G219" s="17"/>
      <c r="H219" s="108"/>
      <c r="I219" s="107"/>
      <c r="J219" s="108"/>
      <c r="K219" s="107"/>
      <c r="L219" s="108"/>
      <c r="M219" s="110"/>
      <c r="N219" s="109"/>
      <c r="O219" s="108"/>
      <c r="P219" s="233"/>
      <c r="Q219" s="239"/>
      <c r="R219" s="19"/>
      <c r="S219" s="20"/>
      <c r="T219" s="9" t="str">
        <f t="shared" si="16"/>
        <v xml:space="preserve"> </v>
      </c>
      <c r="U219" s="18"/>
      <c r="V219" s="21"/>
      <c r="W219" s="22"/>
      <c r="X219" s="197" t="str">
        <f t="shared" si="17"/>
        <v xml:space="preserve"> </v>
      </c>
      <c r="Y219" s="246"/>
      <c r="Z219" s="247"/>
      <c r="AA219" s="20"/>
      <c r="AB219" s="11" t="str">
        <f t="shared" si="18"/>
        <v xml:space="preserve"> </v>
      </c>
      <c r="AC219" s="12" t="str">
        <f t="shared" si="19"/>
        <v xml:space="preserve"> </v>
      </c>
      <c r="AI219" s="14" t="str">
        <f t="shared" si="15"/>
        <v>TC Better Price</v>
      </c>
      <c r="AJ219" s="14" t="str">
        <f>IF(W219=0,"",(#REF!/W219))</f>
        <v/>
      </c>
    </row>
    <row r="220" spans="1:36" ht="20.100000000000001" customHeight="1" x14ac:dyDescent="0.25">
      <c r="A220" s="16"/>
      <c r="B220" s="108"/>
      <c r="C220" s="109"/>
      <c r="D220" s="109"/>
      <c r="E220" s="109"/>
      <c r="F220" s="17"/>
      <c r="G220" s="17"/>
      <c r="H220" s="108"/>
      <c r="I220" s="107"/>
      <c r="J220" s="108"/>
      <c r="K220" s="107"/>
      <c r="L220" s="108"/>
      <c r="M220" s="110"/>
      <c r="N220" s="109"/>
      <c r="O220" s="108"/>
      <c r="P220" s="233"/>
      <c r="Q220" s="239"/>
      <c r="R220" s="19"/>
      <c r="S220" s="20"/>
      <c r="T220" s="9" t="str">
        <f t="shared" si="16"/>
        <v xml:space="preserve"> </v>
      </c>
      <c r="U220" s="18"/>
      <c r="V220" s="21"/>
      <c r="W220" s="22"/>
      <c r="X220" s="197" t="str">
        <f t="shared" si="17"/>
        <v xml:space="preserve"> </v>
      </c>
      <c r="Y220" s="246"/>
      <c r="Z220" s="247"/>
      <c r="AA220" s="20"/>
      <c r="AB220" s="11" t="str">
        <f t="shared" si="18"/>
        <v xml:space="preserve"> </v>
      </c>
      <c r="AC220" s="12" t="str">
        <f t="shared" si="19"/>
        <v xml:space="preserve"> </v>
      </c>
      <c r="AI220" s="14" t="str">
        <f t="shared" si="15"/>
        <v>TC Better Price</v>
      </c>
      <c r="AJ220" s="14" t="str">
        <f>IF(W220=0,"",(#REF!/W220))</f>
        <v/>
      </c>
    </row>
    <row r="221" spans="1:36" ht="20.100000000000001" customHeight="1" x14ac:dyDescent="0.25">
      <c r="A221" s="16"/>
      <c r="B221" s="108"/>
      <c r="C221" s="109"/>
      <c r="D221" s="109"/>
      <c r="E221" s="109"/>
      <c r="F221" s="17"/>
      <c r="G221" s="17"/>
      <c r="H221" s="108"/>
      <c r="I221" s="107"/>
      <c r="J221" s="108"/>
      <c r="K221" s="107"/>
      <c r="L221" s="108"/>
      <c r="M221" s="110"/>
      <c r="N221" s="109"/>
      <c r="O221" s="108"/>
      <c r="P221" s="233"/>
      <c r="Q221" s="239"/>
      <c r="R221" s="19"/>
      <c r="S221" s="20"/>
      <c r="T221" s="9" t="str">
        <f t="shared" si="16"/>
        <v xml:space="preserve"> </v>
      </c>
      <c r="U221" s="18"/>
      <c r="V221" s="21"/>
      <c r="W221" s="22"/>
      <c r="X221" s="197" t="str">
        <f t="shared" si="17"/>
        <v xml:space="preserve"> </v>
      </c>
      <c r="Y221" s="246"/>
      <c r="Z221" s="247"/>
      <c r="AA221" s="20"/>
      <c r="AB221" s="11" t="str">
        <f t="shared" si="18"/>
        <v xml:space="preserve"> </v>
      </c>
      <c r="AC221" s="12" t="str">
        <f t="shared" si="19"/>
        <v xml:space="preserve"> </v>
      </c>
      <c r="AI221" s="14" t="str">
        <f t="shared" si="15"/>
        <v>TC Better Price</v>
      </c>
      <c r="AJ221" s="14" t="str">
        <f>IF(W221=0,"",(#REF!/W221))</f>
        <v/>
      </c>
    </row>
    <row r="222" spans="1:36" ht="20.100000000000001" customHeight="1" x14ac:dyDescent="0.25">
      <c r="A222" s="16"/>
      <c r="B222" s="108"/>
      <c r="C222" s="109"/>
      <c r="D222" s="109"/>
      <c r="E222" s="109"/>
      <c r="F222" s="17"/>
      <c r="G222" s="17"/>
      <c r="H222" s="108"/>
      <c r="I222" s="107"/>
      <c r="J222" s="108"/>
      <c r="K222" s="107"/>
      <c r="L222" s="108"/>
      <c r="M222" s="110"/>
      <c r="N222" s="109"/>
      <c r="O222" s="108"/>
      <c r="P222" s="233"/>
      <c r="Q222" s="239"/>
      <c r="R222" s="19"/>
      <c r="S222" s="20"/>
      <c r="T222" s="9" t="str">
        <f t="shared" si="16"/>
        <v xml:space="preserve"> </v>
      </c>
      <c r="U222" s="18"/>
      <c r="V222" s="21"/>
      <c r="W222" s="22"/>
      <c r="X222" s="197" t="str">
        <f t="shared" si="17"/>
        <v xml:space="preserve"> </v>
      </c>
      <c r="Y222" s="246"/>
      <c r="Z222" s="247"/>
      <c r="AA222" s="20"/>
      <c r="AB222" s="11" t="str">
        <f t="shared" si="18"/>
        <v xml:space="preserve"> </v>
      </c>
      <c r="AC222" s="12" t="str">
        <f t="shared" si="19"/>
        <v xml:space="preserve"> </v>
      </c>
      <c r="AI222" s="14" t="str">
        <f t="shared" si="15"/>
        <v>TC Better Price</v>
      </c>
      <c r="AJ222" s="14" t="str">
        <f>IF(W222=0,"",(#REF!/W222))</f>
        <v/>
      </c>
    </row>
    <row r="223" spans="1:36" ht="20.100000000000001" customHeight="1" x14ac:dyDescent="0.25">
      <c r="A223" s="16"/>
      <c r="B223" s="108"/>
      <c r="C223" s="109"/>
      <c r="D223" s="109"/>
      <c r="E223" s="109"/>
      <c r="F223" s="17"/>
      <c r="G223" s="17"/>
      <c r="H223" s="108"/>
      <c r="I223" s="107"/>
      <c r="J223" s="108"/>
      <c r="K223" s="107"/>
      <c r="L223" s="108"/>
      <c r="M223" s="110"/>
      <c r="N223" s="109"/>
      <c r="O223" s="108"/>
      <c r="P223" s="233"/>
      <c r="Q223" s="239"/>
      <c r="R223" s="19"/>
      <c r="S223" s="20"/>
      <c r="T223" s="9" t="str">
        <f t="shared" si="16"/>
        <v xml:space="preserve"> </v>
      </c>
      <c r="U223" s="18"/>
      <c r="V223" s="21"/>
      <c r="W223" s="22"/>
      <c r="X223" s="197" t="str">
        <f t="shared" si="17"/>
        <v xml:space="preserve"> </v>
      </c>
      <c r="Y223" s="246"/>
      <c r="Z223" s="247"/>
      <c r="AA223" s="20"/>
      <c r="AB223" s="11" t="str">
        <f t="shared" si="18"/>
        <v xml:space="preserve"> </v>
      </c>
      <c r="AC223" s="12" t="str">
        <f t="shared" si="19"/>
        <v xml:space="preserve"> </v>
      </c>
      <c r="AI223" s="14" t="str">
        <f t="shared" si="15"/>
        <v>TC Better Price</v>
      </c>
      <c r="AJ223" s="14" t="str">
        <f>IF(W223=0,"",(#REF!/W223))</f>
        <v/>
      </c>
    </row>
    <row r="224" spans="1:36" ht="20.100000000000001" customHeight="1" x14ac:dyDescent="0.25">
      <c r="A224" s="16"/>
      <c r="B224" s="108"/>
      <c r="C224" s="109"/>
      <c r="D224" s="109"/>
      <c r="E224" s="109"/>
      <c r="F224" s="17"/>
      <c r="G224" s="17"/>
      <c r="H224" s="108"/>
      <c r="I224" s="107"/>
      <c r="J224" s="108"/>
      <c r="K224" s="107"/>
      <c r="L224" s="108"/>
      <c r="M224" s="110"/>
      <c r="N224" s="109"/>
      <c r="O224" s="108"/>
      <c r="P224" s="233"/>
      <c r="Q224" s="239"/>
      <c r="R224" s="19"/>
      <c r="S224" s="20"/>
      <c r="T224" s="9" t="str">
        <f t="shared" si="16"/>
        <v xml:space="preserve"> </v>
      </c>
      <c r="U224" s="18"/>
      <c r="V224" s="21"/>
      <c r="W224" s="22"/>
      <c r="X224" s="197" t="str">
        <f t="shared" si="17"/>
        <v xml:space="preserve"> </v>
      </c>
      <c r="Y224" s="246"/>
      <c r="Z224" s="247"/>
      <c r="AA224" s="20"/>
      <c r="AB224" s="11" t="str">
        <f t="shared" si="18"/>
        <v xml:space="preserve"> </v>
      </c>
      <c r="AC224" s="12" t="str">
        <f t="shared" si="19"/>
        <v xml:space="preserve"> </v>
      </c>
      <c r="AI224" s="14" t="str">
        <f t="shared" si="15"/>
        <v>TC Better Price</v>
      </c>
      <c r="AJ224" s="14" t="str">
        <f>IF(W224=0,"",(#REF!/W224))</f>
        <v/>
      </c>
    </row>
    <row r="225" spans="1:36" ht="20.100000000000001" customHeight="1" x14ac:dyDescent="0.25">
      <c r="A225" s="16"/>
      <c r="B225" s="108"/>
      <c r="C225" s="109"/>
      <c r="D225" s="109"/>
      <c r="E225" s="109"/>
      <c r="F225" s="17"/>
      <c r="G225" s="17"/>
      <c r="H225" s="108"/>
      <c r="I225" s="107"/>
      <c r="J225" s="108"/>
      <c r="K225" s="107"/>
      <c r="L225" s="108"/>
      <c r="M225" s="110"/>
      <c r="N225" s="109"/>
      <c r="O225" s="108"/>
      <c r="P225" s="233"/>
      <c r="Q225" s="239"/>
      <c r="R225" s="19"/>
      <c r="S225" s="20"/>
      <c r="T225" s="9" t="str">
        <f t="shared" si="16"/>
        <v xml:space="preserve"> </v>
      </c>
      <c r="U225" s="18"/>
      <c r="V225" s="21"/>
      <c r="W225" s="22"/>
      <c r="X225" s="197" t="str">
        <f t="shared" si="17"/>
        <v xml:space="preserve"> </v>
      </c>
      <c r="Y225" s="246"/>
      <c r="Z225" s="247"/>
      <c r="AA225" s="20"/>
      <c r="AB225" s="11" t="str">
        <f t="shared" si="18"/>
        <v xml:space="preserve"> </v>
      </c>
      <c r="AC225" s="12" t="str">
        <f t="shared" si="19"/>
        <v xml:space="preserve"> </v>
      </c>
      <c r="AI225" s="14" t="str">
        <f t="shared" si="15"/>
        <v>TC Better Price</v>
      </c>
      <c r="AJ225" s="14" t="str">
        <f>IF(W225=0,"",(#REF!/W225))</f>
        <v/>
      </c>
    </row>
    <row r="226" spans="1:36" ht="20.100000000000001" customHeight="1" x14ac:dyDescent="0.25">
      <c r="A226" s="16"/>
      <c r="B226" s="108"/>
      <c r="C226" s="109"/>
      <c r="D226" s="109"/>
      <c r="E226" s="109"/>
      <c r="F226" s="17"/>
      <c r="G226" s="17"/>
      <c r="H226" s="108"/>
      <c r="I226" s="107"/>
      <c r="J226" s="108"/>
      <c r="K226" s="107"/>
      <c r="L226" s="108"/>
      <c r="M226" s="110"/>
      <c r="N226" s="109"/>
      <c r="O226" s="108"/>
      <c r="P226" s="233"/>
      <c r="Q226" s="239"/>
      <c r="R226" s="19"/>
      <c r="S226" s="20"/>
      <c r="T226" s="9" t="str">
        <f t="shared" si="16"/>
        <v xml:space="preserve"> </v>
      </c>
      <c r="U226" s="18"/>
      <c r="V226" s="21"/>
      <c r="W226" s="22"/>
      <c r="X226" s="197" t="str">
        <f t="shared" si="17"/>
        <v xml:space="preserve"> </v>
      </c>
      <c r="Y226" s="246"/>
      <c r="Z226" s="247"/>
      <c r="AA226" s="20"/>
      <c r="AB226" s="11" t="str">
        <f t="shared" si="18"/>
        <v xml:space="preserve"> </v>
      </c>
      <c r="AC226" s="12" t="str">
        <f t="shared" si="19"/>
        <v xml:space="preserve"> </v>
      </c>
      <c r="AI226" s="14" t="str">
        <f t="shared" si="15"/>
        <v>TC Better Price</v>
      </c>
      <c r="AJ226" s="14" t="str">
        <f>IF(W226=0,"",(#REF!/W226))</f>
        <v/>
      </c>
    </row>
    <row r="227" spans="1:36" ht="20.100000000000001" customHeight="1" x14ac:dyDescent="0.25">
      <c r="A227" s="16"/>
      <c r="B227" s="108"/>
      <c r="C227" s="109"/>
      <c r="D227" s="109"/>
      <c r="E227" s="109"/>
      <c r="F227" s="17"/>
      <c r="G227" s="17"/>
      <c r="H227" s="108"/>
      <c r="I227" s="107"/>
      <c r="J227" s="108"/>
      <c r="K227" s="107"/>
      <c r="L227" s="108"/>
      <c r="M227" s="110"/>
      <c r="N227" s="109"/>
      <c r="O227" s="108"/>
      <c r="P227" s="233"/>
      <c r="Q227" s="239"/>
      <c r="R227" s="19"/>
      <c r="S227" s="20"/>
      <c r="T227" s="9" t="str">
        <f t="shared" si="16"/>
        <v xml:space="preserve"> </v>
      </c>
      <c r="U227" s="18"/>
      <c r="V227" s="21"/>
      <c r="W227" s="22"/>
      <c r="X227" s="197" t="str">
        <f t="shared" si="17"/>
        <v xml:space="preserve"> </v>
      </c>
      <c r="Y227" s="246"/>
      <c r="Z227" s="247"/>
      <c r="AA227" s="20"/>
      <c r="AB227" s="11" t="str">
        <f t="shared" si="18"/>
        <v xml:space="preserve"> </v>
      </c>
      <c r="AC227" s="12" t="str">
        <f t="shared" si="19"/>
        <v xml:space="preserve"> </v>
      </c>
      <c r="AI227" s="14" t="str">
        <f t="shared" si="15"/>
        <v>TC Better Price</v>
      </c>
      <c r="AJ227" s="14" t="str">
        <f>IF(W227=0,"",(#REF!/W227))</f>
        <v/>
      </c>
    </row>
    <row r="228" spans="1:36" ht="20.100000000000001" customHeight="1" x14ac:dyDescent="0.25">
      <c r="A228" s="16"/>
      <c r="B228" s="108"/>
      <c r="C228" s="109"/>
      <c r="D228" s="109"/>
      <c r="E228" s="109"/>
      <c r="F228" s="17"/>
      <c r="G228" s="17"/>
      <c r="H228" s="108"/>
      <c r="I228" s="107"/>
      <c r="J228" s="108"/>
      <c r="K228" s="107"/>
      <c r="L228" s="108"/>
      <c r="M228" s="110"/>
      <c r="N228" s="109"/>
      <c r="O228" s="108"/>
      <c r="P228" s="233"/>
      <c r="Q228" s="239"/>
      <c r="R228" s="19"/>
      <c r="S228" s="20"/>
      <c r="T228" s="9" t="str">
        <f t="shared" si="16"/>
        <v xml:space="preserve"> </v>
      </c>
      <c r="U228" s="18"/>
      <c r="V228" s="21"/>
      <c r="W228" s="22"/>
      <c r="X228" s="197" t="str">
        <f t="shared" si="17"/>
        <v xml:space="preserve"> </v>
      </c>
      <c r="Y228" s="246"/>
      <c r="Z228" s="247"/>
      <c r="AA228" s="20"/>
      <c r="AB228" s="11" t="str">
        <f t="shared" si="18"/>
        <v xml:space="preserve"> </v>
      </c>
      <c r="AC228" s="12" t="str">
        <f t="shared" si="19"/>
        <v xml:space="preserve"> </v>
      </c>
      <c r="AI228" s="14" t="str">
        <f t="shared" si="15"/>
        <v>TC Better Price</v>
      </c>
      <c r="AJ228" s="14" t="str">
        <f>IF(W228=0,"",(#REF!/W228))</f>
        <v/>
      </c>
    </row>
    <row r="229" spans="1:36" ht="20.100000000000001" customHeight="1" x14ac:dyDescent="0.25">
      <c r="A229" s="16"/>
      <c r="B229" s="108"/>
      <c r="C229" s="109"/>
      <c r="D229" s="109"/>
      <c r="E229" s="109"/>
      <c r="F229" s="17"/>
      <c r="G229" s="17"/>
      <c r="H229" s="108"/>
      <c r="I229" s="107"/>
      <c r="J229" s="108"/>
      <c r="K229" s="107"/>
      <c r="L229" s="108"/>
      <c r="M229" s="110"/>
      <c r="N229" s="109"/>
      <c r="O229" s="108"/>
      <c r="P229" s="233"/>
      <c r="Q229" s="239"/>
      <c r="R229" s="19"/>
      <c r="S229" s="20"/>
      <c r="T229" s="9" t="str">
        <f t="shared" si="16"/>
        <v xml:space="preserve"> </v>
      </c>
      <c r="U229" s="18"/>
      <c r="V229" s="21"/>
      <c r="W229" s="22"/>
      <c r="X229" s="197" t="str">
        <f t="shared" si="17"/>
        <v xml:space="preserve"> </v>
      </c>
      <c r="Y229" s="246"/>
      <c r="Z229" s="247"/>
      <c r="AA229" s="20"/>
      <c r="AB229" s="11" t="str">
        <f t="shared" si="18"/>
        <v xml:space="preserve"> </v>
      </c>
      <c r="AC229" s="12" t="str">
        <f t="shared" si="19"/>
        <v xml:space="preserve"> </v>
      </c>
      <c r="AI229" s="14" t="str">
        <f t="shared" si="15"/>
        <v>TC Better Price</v>
      </c>
      <c r="AJ229" s="14" t="str">
        <f>IF(W229=0,"",(#REF!/W229))</f>
        <v/>
      </c>
    </row>
    <row r="230" spans="1:36" ht="20.100000000000001" customHeight="1" x14ac:dyDescent="0.25">
      <c r="A230" s="16"/>
      <c r="B230" s="108"/>
      <c r="C230" s="109"/>
      <c r="D230" s="109"/>
      <c r="E230" s="109"/>
      <c r="F230" s="17"/>
      <c r="G230" s="17"/>
      <c r="H230" s="108"/>
      <c r="I230" s="107"/>
      <c r="J230" s="108"/>
      <c r="K230" s="107"/>
      <c r="L230" s="108"/>
      <c r="M230" s="110"/>
      <c r="N230" s="109"/>
      <c r="O230" s="108"/>
      <c r="P230" s="233"/>
      <c r="Q230" s="239"/>
      <c r="R230" s="19"/>
      <c r="S230" s="20"/>
      <c r="T230" s="9" t="str">
        <f t="shared" si="16"/>
        <v xml:space="preserve"> </v>
      </c>
      <c r="U230" s="18"/>
      <c r="V230" s="21"/>
      <c r="W230" s="22"/>
      <c r="X230" s="197" t="str">
        <f t="shared" si="17"/>
        <v xml:space="preserve"> </v>
      </c>
      <c r="Y230" s="246"/>
      <c r="Z230" s="247"/>
      <c r="AA230" s="20"/>
      <c r="AB230" s="11" t="str">
        <f t="shared" si="18"/>
        <v xml:space="preserve"> </v>
      </c>
      <c r="AC230" s="12" t="str">
        <f t="shared" si="19"/>
        <v xml:space="preserve"> </v>
      </c>
      <c r="AI230" s="14" t="str">
        <f t="shared" si="15"/>
        <v>TC Better Price</v>
      </c>
      <c r="AJ230" s="14" t="str">
        <f>IF(W230=0,"",(#REF!/W230))</f>
        <v/>
      </c>
    </row>
    <row r="231" spans="1:36" ht="20.100000000000001" customHeight="1" x14ac:dyDescent="0.25">
      <c r="A231" s="16"/>
      <c r="B231" s="108"/>
      <c r="C231" s="109"/>
      <c r="D231" s="109"/>
      <c r="E231" s="109"/>
      <c r="F231" s="17"/>
      <c r="G231" s="17"/>
      <c r="H231" s="108"/>
      <c r="I231" s="107"/>
      <c r="J231" s="108"/>
      <c r="K231" s="107"/>
      <c r="L231" s="108"/>
      <c r="M231" s="110"/>
      <c r="N231" s="109"/>
      <c r="O231" s="108"/>
      <c r="P231" s="233"/>
      <c r="Q231" s="239"/>
      <c r="R231" s="19"/>
      <c r="S231" s="20"/>
      <c r="T231" s="9" t="str">
        <f t="shared" si="16"/>
        <v xml:space="preserve"> </v>
      </c>
      <c r="U231" s="18"/>
      <c r="V231" s="21"/>
      <c r="W231" s="22"/>
      <c r="X231" s="197" t="str">
        <f t="shared" si="17"/>
        <v xml:space="preserve"> </v>
      </c>
      <c r="Y231" s="246"/>
      <c r="Z231" s="247"/>
      <c r="AA231" s="20"/>
      <c r="AB231" s="11" t="str">
        <f t="shared" si="18"/>
        <v xml:space="preserve"> </v>
      </c>
      <c r="AC231" s="12" t="str">
        <f t="shared" si="19"/>
        <v xml:space="preserve"> </v>
      </c>
      <c r="AI231" s="14" t="str">
        <f t="shared" si="15"/>
        <v>TC Better Price</v>
      </c>
      <c r="AJ231" s="14" t="str">
        <f>IF(W231=0,"",(#REF!/W231))</f>
        <v/>
      </c>
    </row>
    <row r="232" spans="1:36" ht="20.100000000000001" customHeight="1" x14ac:dyDescent="0.25">
      <c r="A232" s="16"/>
      <c r="B232" s="108"/>
      <c r="C232" s="109"/>
      <c r="D232" s="109"/>
      <c r="E232" s="109"/>
      <c r="F232" s="17"/>
      <c r="G232" s="17"/>
      <c r="H232" s="108"/>
      <c r="I232" s="107"/>
      <c r="J232" s="108"/>
      <c r="K232" s="107"/>
      <c r="L232" s="108"/>
      <c r="M232" s="110"/>
      <c r="N232" s="109"/>
      <c r="O232" s="108"/>
      <c r="P232" s="233"/>
      <c r="Q232" s="239"/>
      <c r="R232" s="19"/>
      <c r="S232" s="20"/>
      <c r="T232" s="9" t="str">
        <f t="shared" si="16"/>
        <v xml:space="preserve"> </v>
      </c>
      <c r="U232" s="18"/>
      <c r="V232" s="21"/>
      <c r="W232" s="22"/>
      <c r="X232" s="197" t="str">
        <f t="shared" si="17"/>
        <v xml:space="preserve"> </v>
      </c>
      <c r="Y232" s="246"/>
      <c r="Z232" s="247"/>
      <c r="AA232" s="20"/>
      <c r="AB232" s="11" t="str">
        <f t="shared" si="18"/>
        <v xml:space="preserve"> </v>
      </c>
      <c r="AC232" s="12" t="str">
        <f t="shared" si="19"/>
        <v xml:space="preserve"> </v>
      </c>
      <c r="AI232" s="14" t="str">
        <f t="shared" si="15"/>
        <v>TC Better Price</v>
      </c>
      <c r="AJ232" s="14" t="str">
        <f>IF(W232=0,"",(#REF!/W232))</f>
        <v/>
      </c>
    </row>
    <row r="233" spans="1:36" ht="20.100000000000001" customHeight="1" x14ac:dyDescent="0.25">
      <c r="A233" s="16"/>
      <c r="B233" s="108"/>
      <c r="C233" s="109"/>
      <c r="D233" s="109"/>
      <c r="E233" s="109"/>
      <c r="F233" s="17"/>
      <c r="G233" s="17"/>
      <c r="H233" s="108"/>
      <c r="I233" s="107"/>
      <c r="J233" s="108"/>
      <c r="K233" s="107"/>
      <c r="L233" s="108"/>
      <c r="M233" s="110"/>
      <c r="N233" s="109"/>
      <c r="O233" s="108"/>
      <c r="P233" s="233"/>
      <c r="Q233" s="239"/>
      <c r="R233" s="19"/>
      <c r="S233" s="20"/>
      <c r="T233" s="9" t="str">
        <f t="shared" si="16"/>
        <v xml:space="preserve"> </v>
      </c>
      <c r="U233" s="18"/>
      <c r="V233" s="21"/>
      <c r="W233" s="22"/>
      <c r="X233" s="197" t="str">
        <f t="shared" si="17"/>
        <v xml:space="preserve"> </v>
      </c>
      <c r="Y233" s="246"/>
      <c r="Z233" s="247"/>
      <c r="AA233" s="20"/>
      <c r="AB233" s="11" t="str">
        <f t="shared" si="18"/>
        <v xml:space="preserve"> </v>
      </c>
      <c r="AC233" s="12" t="str">
        <f t="shared" si="19"/>
        <v xml:space="preserve"> </v>
      </c>
      <c r="AI233" s="14" t="str">
        <f t="shared" si="15"/>
        <v>TC Better Price</v>
      </c>
      <c r="AJ233" s="14" t="str">
        <f>IF(W233=0,"",(#REF!/W233))</f>
        <v/>
      </c>
    </row>
    <row r="234" spans="1:36" ht="20.100000000000001" customHeight="1" x14ac:dyDescent="0.25">
      <c r="A234" s="16"/>
      <c r="B234" s="108"/>
      <c r="C234" s="109"/>
      <c r="D234" s="109"/>
      <c r="E234" s="109"/>
      <c r="F234" s="17"/>
      <c r="G234" s="17"/>
      <c r="H234" s="108"/>
      <c r="I234" s="107"/>
      <c r="J234" s="108"/>
      <c r="K234" s="107"/>
      <c r="L234" s="108"/>
      <c r="M234" s="110"/>
      <c r="N234" s="109"/>
      <c r="O234" s="108"/>
      <c r="P234" s="233"/>
      <c r="Q234" s="239"/>
      <c r="R234" s="19"/>
      <c r="S234" s="20"/>
      <c r="T234" s="9" t="str">
        <f t="shared" si="16"/>
        <v xml:space="preserve"> </v>
      </c>
      <c r="U234" s="18"/>
      <c r="V234" s="21"/>
      <c r="W234" s="22"/>
      <c r="X234" s="197" t="str">
        <f t="shared" si="17"/>
        <v xml:space="preserve"> </v>
      </c>
      <c r="Y234" s="246"/>
      <c r="Z234" s="247"/>
      <c r="AA234" s="20"/>
      <c r="AB234" s="11" t="str">
        <f t="shared" si="18"/>
        <v xml:space="preserve"> </v>
      </c>
      <c r="AC234" s="12" t="str">
        <f t="shared" si="19"/>
        <v xml:space="preserve"> </v>
      </c>
      <c r="AI234" s="14" t="str">
        <f t="shared" si="15"/>
        <v>TC Better Price</v>
      </c>
      <c r="AJ234" s="14" t="str">
        <f>IF(W234=0,"",(#REF!/W234))</f>
        <v/>
      </c>
    </row>
    <row r="235" spans="1:36" ht="20.100000000000001" customHeight="1" x14ac:dyDescent="0.25">
      <c r="A235" s="16"/>
      <c r="B235" s="108"/>
      <c r="C235" s="109"/>
      <c r="D235" s="109"/>
      <c r="E235" s="109"/>
      <c r="F235" s="17"/>
      <c r="G235" s="17"/>
      <c r="H235" s="108"/>
      <c r="I235" s="107"/>
      <c r="J235" s="108"/>
      <c r="K235" s="107"/>
      <c r="L235" s="108"/>
      <c r="M235" s="110"/>
      <c r="N235" s="109"/>
      <c r="O235" s="108"/>
      <c r="P235" s="233"/>
      <c r="Q235" s="239"/>
      <c r="R235" s="19"/>
      <c r="S235" s="20"/>
      <c r="T235" s="9" t="str">
        <f t="shared" si="16"/>
        <v xml:space="preserve"> </v>
      </c>
      <c r="U235" s="18"/>
      <c r="V235" s="21"/>
      <c r="W235" s="22"/>
      <c r="X235" s="197" t="str">
        <f t="shared" si="17"/>
        <v xml:space="preserve"> </v>
      </c>
      <c r="Y235" s="246"/>
      <c r="Z235" s="247"/>
      <c r="AA235" s="20"/>
      <c r="AB235" s="11" t="str">
        <f t="shared" si="18"/>
        <v xml:space="preserve"> </v>
      </c>
      <c r="AC235" s="12" t="str">
        <f t="shared" si="19"/>
        <v xml:space="preserve"> </v>
      </c>
      <c r="AI235" s="14" t="str">
        <f t="shared" si="15"/>
        <v>TC Better Price</v>
      </c>
      <c r="AJ235" s="14" t="str">
        <f>IF(W235=0,"",(#REF!/W235))</f>
        <v/>
      </c>
    </row>
    <row r="236" spans="1:36" ht="20.100000000000001" customHeight="1" x14ac:dyDescent="0.25">
      <c r="A236" s="16"/>
      <c r="B236" s="108"/>
      <c r="C236" s="109"/>
      <c r="D236" s="109"/>
      <c r="E236" s="109"/>
      <c r="F236" s="17"/>
      <c r="G236" s="17"/>
      <c r="H236" s="108"/>
      <c r="I236" s="107"/>
      <c r="J236" s="108"/>
      <c r="K236" s="107"/>
      <c r="L236" s="108"/>
      <c r="M236" s="110"/>
      <c r="N236" s="109"/>
      <c r="O236" s="108"/>
      <c r="P236" s="233"/>
      <c r="Q236" s="239"/>
      <c r="R236" s="19"/>
      <c r="S236" s="20"/>
      <c r="T236" s="9" t="str">
        <f t="shared" si="16"/>
        <v xml:space="preserve"> </v>
      </c>
      <c r="U236" s="18"/>
      <c r="V236" s="21"/>
      <c r="W236" s="22"/>
      <c r="X236" s="197" t="str">
        <f t="shared" si="17"/>
        <v xml:space="preserve"> </v>
      </c>
      <c r="Y236" s="246"/>
      <c r="Z236" s="247"/>
      <c r="AA236" s="20"/>
      <c r="AB236" s="11" t="str">
        <f t="shared" si="18"/>
        <v xml:space="preserve"> </v>
      </c>
      <c r="AC236" s="12" t="str">
        <f t="shared" si="19"/>
        <v xml:space="preserve"> </v>
      </c>
      <c r="AI236" s="14" t="str">
        <f t="shared" si="15"/>
        <v>TC Better Price</v>
      </c>
      <c r="AJ236" s="14" t="str">
        <f>IF(W236=0,"",(#REF!/W236))</f>
        <v/>
      </c>
    </row>
    <row r="237" spans="1:36" ht="20.100000000000001" customHeight="1" x14ac:dyDescent="0.25">
      <c r="A237" s="16"/>
      <c r="B237" s="108"/>
      <c r="C237" s="109"/>
      <c r="D237" s="109"/>
      <c r="E237" s="109"/>
      <c r="F237" s="17"/>
      <c r="G237" s="17"/>
      <c r="H237" s="108"/>
      <c r="I237" s="107"/>
      <c r="J237" s="108"/>
      <c r="K237" s="107"/>
      <c r="L237" s="108"/>
      <c r="M237" s="110"/>
      <c r="N237" s="109"/>
      <c r="O237" s="108"/>
      <c r="P237" s="233"/>
      <c r="Q237" s="239"/>
      <c r="R237" s="19"/>
      <c r="S237" s="20"/>
      <c r="T237" s="9" t="str">
        <f t="shared" si="16"/>
        <v xml:space="preserve"> </v>
      </c>
      <c r="U237" s="18"/>
      <c r="V237" s="21"/>
      <c r="W237" s="22"/>
      <c r="X237" s="197" t="str">
        <f t="shared" si="17"/>
        <v xml:space="preserve"> </v>
      </c>
      <c r="Y237" s="246"/>
      <c r="Z237" s="247"/>
      <c r="AA237" s="20"/>
      <c r="AB237" s="11" t="str">
        <f t="shared" si="18"/>
        <v xml:space="preserve"> </v>
      </c>
      <c r="AC237" s="12" t="str">
        <f t="shared" si="19"/>
        <v xml:space="preserve"> </v>
      </c>
      <c r="AI237" s="14" t="str">
        <f t="shared" si="15"/>
        <v>TC Better Price</v>
      </c>
      <c r="AJ237" s="14" t="str">
        <f>IF(W237=0,"",(#REF!/W237))</f>
        <v/>
      </c>
    </row>
    <row r="238" spans="1:36" ht="20.100000000000001" customHeight="1" x14ac:dyDescent="0.25">
      <c r="A238" s="16"/>
      <c r="B238" s="108"/>
      <c r="C238" s="109"/>
      <c r="D238" s="109"/>
      <c r="E238" s="109"/>
      <c r="F238" s="17"/>
      <c r="G238" s="17"/>
      <c r="H238" s="108"/>
      <c r="I238" s="107"/>
      <c r="J238" s="108"/>
      <c r="K238" s="107"/>
      <c r="L238" s="108"/>
      <c r="M238" s="110"/>
      <c r="N238" s="109"/>
      <c r="O238" s="108"/>
      <c r="P238" s="233"/>
      <c r="Q238" s="239"/>
      <c r="R238" s="19"/>
      <c r="S238" s="20"/>
      <c r="T238" s="9" t="str">
        <f t="shared" si="16"/>
        <v xml:space="preserve"> </v>
      </c>
      <c r="U238" s="18"/>
      <c r="V238" s="21"/>
      <c r="W238" s="22"/>
      <c r="X238" s="197" t="str">
        <f t="shared" si="17"/>
        <v xml:space="preserve"> </v>
      </c>
      <c r="Y238" s="246"/>
      <c r="Z238" s="247"/>
      <c r="AA238" s="20"/>
      <c r="AB238" s="11" t="str">
        <f t="shared" si="18"/>
        <v xml:space="preserve"> </v>
      </c>
      <c r="AC238" s="12" t="str">
        <f t="shared" si="19"/>
        <v xml:space="preserve"> </v>
      </c>
      <c r="AI238" s="14" t="str">
        <f t="shared" si="15"/>
        <v>TC Better Price</v>
      </c>
      <c r="AJ238" s="14" t="str">
        <f>IF(W238=0,"",(#REF!/W238))</f>
        <v/>
      </c>
    </row>
    <row r="239" spans="1:36" ht="20.100000000000001" customHeight="1" x14ac:dyDescent="0.25">
      <c r="A239" s="16"/>
      <c r="B239" s="108"/>
      <c r="C239" s="109"/>
      <c r="D239" s="109"/>
      <c r="E239" s="109"/>
      <c r="F239" s="17"/>
      <c r="G239" s="17"/>
      <c r="H239" s="108"/>
      <c r="I239" s="107"/>
      <c r="J239" s="108"/>
      <c r="K239" s="107"/>
      <c r="L239" s="108"/>
      <c r="M239" s="110"/>
      <c r="N239" s="109"/>
      <c r="O239" s="108"/>
      <c r="P239" s="233"/>
      <c r="Q239" s="239"/>
      <c r="R239" s="19"/>
      <c r="S239" s="20"/>
      <c r="T239" s="9" t="str">
        <f t="shared" si="16"/>
        <v xml:space="preserve"> </v>
      </c>
      <c r="U239" s="18"/>
      <c r="V239" s="21"/>
      <c r="W239" s="22"/>
      <c r="X239" s="197" t="str">
        <f t="shared" si="17"/>
        <v xml:space="preserve"> </v>
      </c>
      <c r="Y239" s="246"/>
      <c r="Z239" s="247"/>
      <c r="AA239" s="20"/>
      <c r="AB239" s="11" t="str">
        <f t="shared" si="18"/>
        <v xml:space="preserve"> </v>
      </c>
      <c r="AC239" s="12" t="str">
        <f t="shared" si="19"/>
        <v xml:space="preserve"> </v>
      </c>
      <c r="AI239" s="14" t="str">
        <f t="shared" si="15"/>
        <v>TC Better Price</v>
      </c>
      <c r="AJ239" s="14" t="str">
        <f>IF(W239=0,"",(#REF!/W239))</f>
        <v/>
      </c>
    </row>
    <row r="240" spans="1:36" ht="20.100000000000001" customHeight="1" x14ac:dyDescent="0.25">
      <c r="A240" s="16"/>
      <c r="B240" s="108"/>
      <c r="C240" s="109"/>
      <c r="D240" s="109"/>
      <c r="E240" s="109"/>
      <c r="F240" s="17"/>
      <c r="G240" s="17"/>
      <c r="H240" s="108"/>
      <c r="I240" s="107"/>
      <c r="J240" s="108"/>
      <c r="K240" s="107"/>
      <c r="L240" s="108"/>
      <c r="M240" s="110"/>
      <c r="N240" s="109"/>
      <c r="O240" s="108"/>
      <c r="P240" s="233"/>
      <c r="Q240" s="239"/>
      <c r="R240" s="19"/>
      <c r="S240" s="20"/>
      <c r="T240" s="9" t="str">
        <f t="shared" si="16"/>
        <v xml:space="preserve"> </v>
      </c>
      <c r="U240" s="18"/>
      <c r="V240" s="21"/>
      <c r="W240" s="22"/>
      <c r="X240" s="197" t="str">
        <f t="shared" si="17"/>
        <v xml:space="preserve"> </v>
      </c>
      <c r="Y240" s="246"/>
      <c r="Z240" s="247"/>
      <c r="AA240" s="20"/>
      <c r="AB240" s="11" t="str">
        <f t="shared" si="18"/>
        <v xml:space="preserve"> </v>
      </c>
      <c r="AC240" s="12" t="str">
        <f t="shared" si="19"/>
        <v xml:space="preserve"> </v>
      </c>
      <c r="AI240" s="14" t="str">
        <f t="shared" si="15"/>
        <v>TC Better Price</v>
      </c>
      <c r="AJ240" s="14" t="str">
        <f>IF(W240=0,"",(#REF!/W240))</f>
        <v/>
      </c>
    </row>
    <row r="241" spans="1:36" ht="20.100000000000001" customHeight="1" x14ac:dyDescent="0.25">
      <c r="A241" s="16"/>
      <c r="B241" s="108"/>
      <c r="C241" s="109"/>
      <c r="D241" s="109"/>
      <c r="E241" s="109"/>
      <c r="F241" s="17"/>
      <c r="G241" s="17"/>
      <c r="H241" s="108"/>
      <c r="I241" s="107"/>
      <c r="J241" s="108"/>
      <c r="K241" s="107"/>
      <c r="L241" s="108"/>
      <c r="M241" s="110"/>
      <c r="N241" s="109"/>
      <c r="O241" s="108"/>
      <c r="P241" s="233"/>
      <c r="Q241" s="239"/>
      <c r="R241" s="19"/>
      <c r="S241" s="20"/>
      <c r="T241" s="9" t="str">
        <f t="shared" si="16"/>
        <v xml:space="preserve"> </v>
      </c>
      <c r="U241" s="18"/>
      <c r="V241" s="21"/>
      <c r="W241" s="22"/>
      <c r="X241" s="197" t="str">
        <f t="shared" si="17"/>
        <v xml:space="preserve"> </v>
      </c>
      <c r="Y241" s="246"/>
      <c r="Z241" s="247"/>
      <c r="AA241" s="20"/>
      <c r="AB241" s="11" t="str">
        <f t="shared" si="18"/>
        <v xml:space="preserve"> </v>
      </c>
      <c r="AC241" s="12" t="str">
        <f t="shared" si="19"/>
        <v xml:space="preserve"> </v>
      </c>
      <c r="AI241" s="14" t="str">
        <f t="shared" si="15"/>
        <v>TC Better Price</v>
      </c>
      <c r="AJ241" s="14" t="str">
        <f>IF(W241=0,"",(#REF!/W241))</f>
        <v/>
      </c>
    </row>
    <row r="242" spans="1:36" ht="20.100000000000001" customHeight="1" x14ac:dyDescent="0.25">
      <c r="A242" s="16"/>
      <c r="B242" s="108"/>
      <c r="C242" s="109"/>
      <c r="D242" s="109"/>
      <c r="E242" s="109"/>
      <c r="F242" s="17"/>
      <c r="G242" s="17"/>
      <c r="H242" s="108"/>
      <c r="I242" s="107"/>
      <c r="J242" s="108"/>
      <c r="K242" s="107"/>
      <c r="L242" s="108"/>
      <c r="M242" s="110"/>
      <c r="N242" s="109"/>
      <c r="O242" s="108"/>
      <c r="P242" s="233"/>
      <c r="Q242" s="239"/>
      <c r="R242" s="19"/>
      <c r="S242" s="20"/>
      <c r="T242" s="9" t="str">
        <f t="shared" si="16"/>
        <v xml:space="preserve"> </v>
      </c>
      <c r="U242" s="18"/>
      <c r="V242" s="21"/>
      <c r="W242" s="22"/>
      <c r="X242" s="197" t="str">
        <f t="shared" si="17"/>
        <v xml:space="preserve"> </v>
      </c>
      <c r="Y242" s="246"/>
      <c r="Z242" s="247"/>
      <c r="AA242" s="20"/>
      <c r="AB242" s="11" t="str">
        <f t="shared" si="18"/>
        <v xml:space="preserve"> </v>
      </c>
      <c r="AC242" s="12" t="str">
        <f t="shared" si="19"/>
        <v xml:space="preserve"> </v>
      </c>
      <c r="AI242" s="14" t="str">
        <f t="shared" si="15"/>
        <v>TC Better Price</v>
      </c>
      <c r="AJ242" s="14" t="str">
        <f>IF(W242=0,"",(#REF!/W242))</f>
        <v/>
      </c>
    </row>
    <row r="243" spans="1:36" ht="20.100000000000001" customHeight="1" x14ac:dyDescent="0.25">
      <c r="A243" s="16"/>
      <c r="B243" s="108"/>
      <c r="C243" s="109"/>
      <c r="D243" s="109"/>
      <c r="E243" s="109"/>
      <c r="F243" s="17"/>
      <c r="G243" s="17"/>
      <c r="H243" s="108"/>
      <c r="I243" s="107"/>
      <c r="J243" s="108"/>
      <c r="K243" s="107"/>
      <c r="L243" s="108"/>
      <c r="M243" s="110"/>
      <c r="N243" s="109"/>
      <c r="O243" s="108"/>
      <c r="P243" s="233"/>
      <c r="Q243" s="239"/>
      <c r="R243" s="19"/>
      <c r="S243" s="20"/>
      <c r="T243" s="9" t="str">
        <f t="shared" si="16"/>
        <v xml:space="preserve"> </v>
      </c>
      <c r="U243" s="18"/>
      <c r="V243" s="21"/>
      <c r="W243" s="22"/>
      <c r="X243" s="197" t="str">
        <f t="shared" si="17"/>
        <v xml:space="preserve"> </v>
      </c>
      <c r="Y243" s="246"/>
      <c r="Z243" s="247"/>
      <c r="AA243" s="20"/>
      <c r="AB243" s="11" t="str">
        <f t="shared" si="18"/>
        <v xml:space="preserve"> </v>
      </c>
      <c r="AC243" s="12" t="str">
        <f t="shared" si="19"/>
        <v xml:space="preserve"> </v>
      </c>
      <c r="AI243" s="14" t="str">
        <f t="shared" si="15"/>
        <v>TC Better Price</v>
      </c>
      <c r="AJ243" s="14" t="str">
        <f>IF(W243=0,"",(#REF!/W243))</f>
        <v/>
      </c>
    </row>
    <row r="244" spans="1:36" ht="20.100000000000001" customHeight="1" x14ac:dyDescent="0.25">
      <c r="A244" s="16"/>
      <c r="B244" s="108"/>
      <c r="C244" s="109"/>
      <c r="D244" s="109"/>
      <c r="E244" s="109"/>
      <c r="F244" s="17"/>
      <c r="G244" s="17"/>
      <c r="H244" s="108"/>
      <c r="I244" s="107"/>
      <c r="J244" s="108"/>
      <c r="K244" s="107"/>
      <c r="L244" s="108"/>
      <c r="M244" s="110"/>
      <c r="N244" s="109"/>
      <c r="O244" s="108"/>
      <c r="P244" s="233"/>
      <c r="Q244" s="239"/>
      <c r="R244" s="19"/>
      <c r="S244" s="20"/>
      <c r="T244" s="9" t="str">
        <f t="shared" si="16"/>
        <v xml:space="preserve"> </v>
      </c>
      <c r="U244" s="18"/>
      <c r="V244" s="21"/>
      <c r="W244" s="22"/>
      <c r="X244" s="197" t="str">
        <f t="shared" si="17"/>
        <v xml:space="preserve"> </v>
      </c>
      <c r="Y244" s="246"/>
      <c r="Z244" s="247"/>
      <c r="AA244" s="20"/>
      <c r="AB244" s="11" t="str">
        <f t="shared" si="18"/>
        <v xml:space="preserve"> </v>
      </c>
      <c r="AC244" s="12" t="str">
        <f t="shared" si="19"/>
        <v xml:space="preserve"> </v>
      </c>
      <c r="AI244" s="14" t="str">
        <f t="shared" si="15"/>
        <v>TC Better Price</v>
      </c>
      <c r="AJ244" s="14" t="str">
        <f>IF(W244=0,"",(#REF!/W244))</f>
        <v/>
      </c>
    </row>
    <row r="245" spans="1:36" ht="20.100000000000001" customHeight="1" x14ac:dyDescent="0.25">
      <c r="A245" s="16"/>
      <c r="B245" s="108"/>
      <c r="C245" s="109"/>
      <c r="D245" s="109"/>
      <c r="E245" s="109"/>
      <c r="F245" s="17"/>
      <c r="G245" s="17"/>
      <c r="H245" s="108"/>
      <c r="I245" s="107"/>
      <c r="J245" s="108"/>
      <c r="K245" s="107"/>
      <c r="L245" s="108"/>
      <c r="M245" s="110"/>
      <c r="N245" s="109"/>
      <c r="O245" s="108"/>
      <c r="P245" s="233"/>
      <c r="Q245" s="239"/>
      <c r="R245" s="19"/>
      <c r="S245" s="20"/>
      <c r="T245" s="9" t="str">
        <f t="shared" si="16"/>
        <v xml:space="preserve"> </v>
      </c>
      <c r="U245" s="18"/>
      <c r="V245" s="21"/>
      <c r="W245" s="22"/>
      <c r="X245" s="197" t="str">
        <f t="shared" si="17"/>
        <v xml:space="preserve"> </v>
      </c>
      <c r="Y245" s="246"/>
      <c r="Z245" s="247"/>
      <c r="AA245" s="20"/>
      <c r="AB245" s="11" t="str">
        <f t="shared" si="18"/>
        <v xml:space="preserve"> </v>
      </c>
      <c r="AC245" s="12" t="str">
        <f t="shared" si="19"/>
        <v xml:space="preserve"> </v>
      </c>
      <c r="AI245" s="14" t="str">
        <f t="shared" si="15"/>
        <v>TC Better Price</v>
      </c>
      <c r="AJ245" s="14" t="str">
        <f>IF(W245=0,"",(#REF!/W245))</f>
        <v/>
      </c>
    </row>
    <row r="246" spans="1:36" ht="20.100000000000001" customHeight="1" x14ac:dyDescent="0.25">
      <c r="A246" s="16"/>
      <c r="B246" s="108"/>
      <c r="C246" s="109"/>
      <c r="D246" s="109"/>
      <c r="E246" s="109"/>
      <c r="F246" s="17"/>
      <c r="G246" s="17"/>
      <c r="H246" s="108"/>
      <c r="I246" s="107"/>
      <c r="J246" s="108"/>
      <c r="K246" s="107"/>
      <c r="L246" s="108"/>
      <c r="M246" s="110"/>
      <c r="N246" s="109"/>
      <c r="O246" s="108"/>
      <c r="P246" s="233"/>
      <c r="Q246" s="239"/>
      <c r="R246" s="19"/>
      <c r="S246" s="20"/>
      <c r="T246" s="9" t="str">
        <f t="shared" si="16"/>
        <v xml:space="preserve"> </v>
      </c>
      <c r="U246" s="18"/>
      <c r="V246" s="21"/>
      <c r="W246" s="22"/>
      <c r="X246" s="197" t="str">
        <f t="shared" si="17"/>
        <v xml:space="preserve"> </v>
      </c>
      <c r="Y246" s="246"/>
      <c r="Z246" s="247"/>
      <c r="AA246" s="20"/>
      <c r="AB246" s="11" t="str">
        <f t="shared" si="18"/>
        <v xml:space="preserve"> </v>
      </c>
      <c r="AC246" s="12" t="str">
        <f t="shared" si="19"/>
        <v xml:space="preserve"> </v>
      </c>
      <c r="AI246" s="14" t="str">
        <f t="shared" si="15"/>
        <v>TC Better Price</v>
      </c>
      <c r="AJ246" s="14" t="str">
        <f>IF(W246=0,"",(#REF!/W246))</f>
        <v/>
      </c>
    </row>
    <row r="247" spans="1:36" ht="20.100000000000001" customHeight="1" x14ac:dyDescent="0.25">
      <c r="A247" s="16"/>
      <c r="B247" s="108"/>
      <c r="C247" s="109"/>
      <c r="D247" s="109"/>
      <c r="E247" s="109"/>
      <c r="F247" s="17"/>
      <c r="G247" s="17"/>
      <c r="H247" s="108"/>
      <c r="I247" s="107"/>
      <c r="J247" s="108"/>
      <c r="K247" s="107"/>
      <c r="L247" s="108"/>
      <c r="M247" s="110"/>
      <c r="N247" s="109"/>
      <c r="O247" s="108"/>
      <c r="P247" s="233"/>
      <c r="Q247" s="239"/>
      <c r="R247" s="19"/>
      <c r="S247" s="20"/>
      <c r="T247" s="9" t="str">
        <f t="shared" si="16"/>
        <v xml:space="preserve"> </v>
      </c>
      <c r="U247" s="18"/>
      <c r="V247" s="21"/>
      <c r="W247" s="22"/>
      <c r="X247" s="197" t="str">
        <f t="shared" si="17"/>
        <v xml:space="preserve"> </v>
      </c>
      <c r="Y247" s="246"/>
      <c r="Z247" s="247"/>
      <c r="AA247" s="20"/>
      <c r="AB247" s="11" t="str">
        <f t="shared" si="18"/>
        <v xml:space="preserve"> </v>
      </c>
      <c r="AC247" s="12" t="str">
        <f t="shared" si="19"/>
        <v xml:space="preserve"> </v>
      </c>
      <c r="AI247" s="14" t="str">
        <f t="shared" si="15"/>
        <v>TC Better Price</v>
      </c>
      <c r="AJ247" s="14" t="str">
        <f>IF(W247=0,"",(#REF!/W247))</f>
        <v/>
      </c>
    </row>
    <row r="248" spans="1:36" ht="20.100000000000001" customHeight="1" x14ac:dyDescent="0.25">
      <c r="A248" s="16"/>
      <c r="B248" s="108"/>
      <c r="C248" s="109"/>
      <c r="D248" s="109"/>
      <c r="E248" s="109"/>
      <c r="F248" s="17"/>
      <c r="G248" s="17"/>
      <c r="H248" s="108"/>
      <c r="I248" s="107"/>
      <c r="J248" s="108"/>
      <c r="K248" s="107"/>
      <c r="L248" s="108"/>
      <c r="M248" s="110"/>
      <c r="N248" s="109"/>
      <c r="O248" s="108"/>
      <c r="P248" s="233"/>
      <c r="Q248" s="239"/>
      <c r="R248" s="19"/>
      <c r="S248" s="20"/>
      <c r="T248" s="9" t="str">
        <f t="shared" si="16"/>
        <v xml:space="preserve"> </v>
      </c>
      <c r="U248" s="18"/>
      <c r="V248" s="21"/>
      <c r="W248" s="22"/>
      <c r="X248" s="197" t="str">
        <f t="shared" si="17"/>
        <v xml:space="preserve"> </v>
      </c>
      <c r="Y248" s="246"/>
      <c r="Z248" s="247"/>
      <c r="AA248" s="20"/>
      <c r="AB248" s="11" t="str">
        <f t="shared" si="18"/>
        <v xml:space="preserve"> </v>
      </c>
      <c r="AC248" s="12" t="str">
        <f t="shared" si="19"/>
        <v xml:space="preserve"> </v>
      </c>
      <c r="AI248" s="14" t="str">
        <f t="shared" si="15"/>
        <v>TC Better Price</v>
      </c>
      <c r="AJ248" s="14" t="str">
        <f>IF(W248=0,"",(#REF!/W248))</f>
        <v/>
      </c>
    </row>
    <row r="249" spans="1:36" ht="20.100000000000001" customHeight="1" x14ac:dyDescent="0.25">
      <c r="A249" s="16"/>
      <c r="B249" s="108"/>
      <c r="C249" s="109"/>
      <c r="D249" s="109"/>
      <c r="E249" s="109"/>
      <c r="F249" s="17"/>
      <c r="G249" s="17"/>
      <c r="H249" s="108"/>
      <c r="I249" s="107"/>
      <c r="J249" s="108"/>
      <c r="K249" s="107"/>
      <c r="L249" s="108"/>
      <c r="M249" s="110"/>
      <c r="N249" s="109"/>
      <c r="O249" s="108"/>
      <c r="P249" s="233"/>
      <c r="Q249" s="239"/>
      <c r="R249" s="19"/>
      <c r="S249" s="20"/>
      <c r="T249" s="9" t="str">
        <f t="shared" si="16"/>
        <v xml:space="preserve"> </v>
      </c>
      <c r="U249" s="18"/>
      <c r="V249" s="21"/>
      <c r="W249" s="22"/>
      <c r="X249" s="197" t="str">
        <f t="shared" si="17"/>
        <v xml:space="preserve"> </v>
      </c>
      <c r="Y249" s="246"/>
      <c r="Z249" s="247"/>
      <c r="AA249" s="20"/>
      <c r="AB249" s="11" t="str">
        <f t="shared" si="18"/>
        <v xml:space="preserve"> </v>
      </c>
      <c r="AC249" s="12" t="str">
        <f t="shared" si="19"/>
        <v xml:space="preserve"> </v>
      </c>
      <c r="AI249" s="14" t="str">
        <f t="shared" si="15"/>
        <v>TC Better Price</v>
      </c>
      <c r="AJ249" s="14" t="str">
        <f>IF(W249=0,"",(#REF!/W249))</f>
        <v/>
      </c>
    </row>
    <row r="250" spans="1:36" ht="20.100000000000001" customHeight="1" x14ac:dyDescent="0.25">
      <c r="A250" s="16"/>
      <c r="B250" s="108"/>
      <c r="C250" s="109"/>
      <c r="D250" s="109"/>
      <c r="E250" s="109"/>
      <c r="F250" s="17"/>
      <c r="G250" s="17"/>
      <c r="H250" s="108"/>
      <c r="I250" s="107"/>
      <c r="J250" s="108"/>
      <c r="K250" s="107"/>
      <c r="L250" s="108"/>
      <c r="M250" s="110"/>
      <c r="N250" s="109"/>
      <c r="O250" s="108"/>
      <c r="P250" s="233"/>
      <c r="Q250" s="239"/>
      <c r="R250" s="19"/>
      <c r="S250" s="20"/>
      <c r="T250" s="9" t="str">
        <f t="shared" si="16"/>
        <v xml:space="preserve"> </v>
      </c>
      <c r="U250" s="18"/>
      <c r="V250" s="21"/>
      <c r="W250" s="22"/>
      <c r="X250" s="197" t="str">
        <f t="shared" si="17"/>
        <v xml:space="preserve"> </v>
      </c>
      <c r="Y250" s="246"/>
      <c r="Z250" s="247"/>
      <c r="AA250" s="20"/>
      <c r="AB250" s="11" t="str">
        <f t="shared" si="18"/>
        <v xml:space="preserve"> </v>
      </c>
      <c r="AC250" s="12" t="str">
        <f t="shared" si="19"/>
        <v xml:space="preserve"> </v>
      </c>
      <c r="AI250" s="14" t="str">
        <f t="shared" si="15"/>
        <v>TC Better Price</v>
      </c>
      <c r="AJ250" s="14" t="str">
        <f>IF(W250=0,"",(#REF!/W250))</f>
        <v/>
      </c>
    </row>
    <row r="251" spans="1:36" ht="20.100000000000001" customHeight="1" x14ac:dyDescent="0.25">
      <c r="A251" s="16"/>
      <c r="B251" s="108"/>
      <c r="C251" s="109"/>
      <c r="D251" s="109"/>
      <c r="E251" s="109"/>
      <c r="F251" s="17"/>
      <c r="G251" s="17"/>
      <c r="H251" s="108"/>
      <c r="I251" s="107"/>
      <c r="J251" s="108"/>
      <c r="K251" s="107"/>
      <c r="L251" s="108"/>
      <c r="M251" s="110"/>
      <c r="N251" s="109"/>
      <c r="O251" s="108"/>
      <c r="P251" s="233"/>
      <c r="Q251" s="239"/>
      <c r="R251" s="19"/>
      <c r="S251" s="20"/>
      <c r="T251" s="9" t="str">
        <f t="shared" si="16"/>
        <v xml:space="preserve"> </v>
      </c>
      <c r="U251" s="18"/>
      <c r="V251" s="21"/>
      <c r="W251" s="22"/>
      <c r="X251" s="197" t="str">
        <f t="shared" si="17"/>
        <v xml:space="preserve"> </v>
      </c>
      <c r="Y251" s="246"/>
      <c r="Z251" s="247"/>
      <c r="AA251" s="20"/>
      <c r="AB251" s="11" t="str">
        <f t="shared" si="18"/>
        <v xml:space="preserve"> </v>
      </c>
      <c r="AC251" s="12" t="str">
        <f t="shared" si="19"/>
        <v xml:space="preserve"> </v>
      </c>
      <c r="AI251" s="14" t="str">
        <f t="shared" si="15"/>
        <v>TC Better Price</v>
      </c>
      <c r="AJ251" s="14" t="str">
        <f>IF(W251=0,"",(#REF!/W251))</f>
        <v/>
      </c>
    </row>
    <row r="252" spans="1:36" ht="20.100000000000001" customHeight="1" x14ac:dyDescent="0.25">
      <c r="A252" s="16"/>
      <c r="B252" s="108"/>
      <c r="C252" s="109"/>
      <c r="D252" s="109"/>
      <c r="E252" s="109"/>
      <c r="F252" s="17"/>
      <c r="G252" s="17"/>
      <c r="H252" s="108"/>
      <c r="I252" s="107"/>
      <c r="J252" s="108"/>
      <c r="K252" s="107"/>
      <c r="L252" s="108"/>
      <c r="M252" s="110"/>
      <c r="N252" s="109"/>
      <c r="O252" s="108"/>
      <c r="P252" s="233"/>
      <c r="Q252" s="239"/>
      <c r="R252" s="19"/>
      <c r="S252" s="20"/>
      <c r="T252" s="9" t="str">
        <f t="shared" si="16"/>
        <v xml:space="preserve"> </v>
      </c>
      <c r="U252" s="18"/>
      <c r="V252" s="21"/>
      <c r="W252" s="22"/>
      <c r="X252" s="197" t="str">
        <f t="shared" si="17"/>
        <v xml:space="preserve"> </v>
      </c>
      <c r="Y252" s="246"/>
      <c r="Z252" s="247"/>
      <c r="AA252" s="20"/>
      <c r="AB252" s="11" t="str">
        <f t="shared" si="18"/>
        <v xml:space="preserve"> </v>
      </c>
      <c r="AC252" s="12" t="str">
        <f t="shared" si="19"/>
        <v xml:space="preserve"> </v>
      </c>
      <c r="AI252" s="14" t="str">
        <f t="shared" si="15"/>
        <v>TC Better Price</v>
      </c>
      <c r="AJ252" s="14" t="str">
        <f>IF(W252=0,"",(#REF!/W252))</f>
        <v/>
      </c>
    </row>
    <row r="253" spans="1:36" ht="20.100000000000001" customHeight="1" x14ac:dyDescent="0.25">
      <c r="A253" s="16"/>
      <c r="B253" s="108"/>
      <c r="C253" s="109"/>
      <c r="D253" s="109"/>
      <c r="E253" s="109"/>
      <c r="F253" s="17"/>
      <c r="G253" s="17"/>
      <c r="H253" s="108"/>
      <c r="I253" s="107"/>
      <c r="J253" s="108"/>
      <c r="K253" s="107"/>
      <c r="L253" s="108"/>
      <c r="M253" s="110"/>
      <c r="N253" s="109"/>
      <c r="O253" s="108"/>
      <c r="P253" s="233"/>
      <c r="Q253" s="239"/>
      <c r="R253" s="19"/>
      <c r="S253" s="20"/>
      <c r="T253" s="9" t="str">
        <f t="shared" si="16"/>
        <v xml:space="preserve"> </v>
      </c>
      <c r="U253" s="18"/>
      <c r="V253" s="21"/>
      <c r="W253" s="22"/>
      <c r="X253" s="197" t="str">
        <f t="shared" si="17"/>
        <v xml:space="preserve"> </v>
      </c>
      <c r="Y253" s="246"/>
      <c r="Z253" s="247"/>
      <c r="AA253" s="20"/>
      <c r="AB253" s="11" t="str">
        <f t="shared" si="18"/>
        <v xml:space="preserve"> </v>
      </c>
      <c r="AC253" s="12" t="str">
        <f t="shared" si="19"/>
        <v xml:space="preserve"> </v>
      </c>
      <c r="AI253" s="14" t="str">
        <f t="shared" si="15"/>
        <v>TC Better Price</v>
      </c>
      <c r="AJ253" s="14" t="str">
        <f>IF(W253=0,"",(#REF!/W253))</f>
        <v/>
      </c>
    </row>
    <row r="254" spans="1:36" ht="20.100000000000001" customHeight="1" x14ac:dyDescent="0.25">
      <c r="A254" s="16"/>
      <c r="B254" s="108"/>
      <c r="C254" s="109"/>
      <c r="D254" s="109"/>
      <c r="E254" s="109"/>
      <c r="F254" s="17"/>
      <c r="G254" s="17"/>
      <c r="H254" s="108"/>
      <c r="I254" s="107"/>
      <c r="J254" s="108"/>
      <c r="K254" s="107"/>
      <c r="L254" s="108"/>
      <c r="M254" s="110"/>
      <c r="N254" s="109"/>
      <c r="O254" s="108"/>
      <c r="P254" s="233"/>
      <c r="Q254" s="239"/>
      <c r="R254" s="19"/>
      <c r="S254" s="20"/>
      <c r="T254" s="9" t="str">
        <f t="shared" si="16"/>
        <v xml:space="preserve"> </v>
      </c>
      <c r="U254" s="18"/>
      <c r="V254" s="21"/>
      <c r="W254" s="22"/>
      <c r="X254" s="197" t="str">
        <f t="shared" si="17"/>
        <v xml:space="preserve"> </v>
      </c>
      <c r="Y254" s="246"/>
      <c r="Z254" s="247"/>
      <c r="AA254" s="20"/>
      <c r="AB254" s="11" t="str">
        <f t="shared" si="18"/>
        <v xml:space="preserve"> </v>
      </c>
      <c r="AC254" s="12" t="str">
        <f t="shared" si="19"/>
        <v xml:space="preserve"> </v>
      </c>
      <c r="AI254" s="14" t="str">
        <f t="shared" si="15"/>
        <v>TC Better Price</v>
      </c>
      <c r="AJ254" s="14" t="str">
        <f>IF(W254=0,"",(#REF!/W254))</f>
        <v/>
      </c>
    </row>
    <row r="255" spans="1:36" ht="20.100000000000001" customHeight="1" x14ac:dyDescent="0.25">
      <c r="A255" s="16"/>
      <c r="B255" s="108"/>
      <c r="C255" s="109"/>
      <c r="D255" s="109"/>
      <c r="E255" s="109"/>
      <c r="F255" s="17"/>
      <c r="G255" s="17"/>
      <c r="H255" s="108"/>
      <c r="I255" s="107"/>
      <c r="J255" s="108"/>
      <c r="K255" s="107"/>
      <c r="L255" s="108"/>
      <c r="M255" s="110"/>
      <c r="N255" s="109"/>
      <c r="O255" s="108"/>
      <c r="P255" s="233"/>
      <c r="Q255" s="239"/>
      <c r="R255" s="19"/>
      <c r="S255" s="20"/>
      <c r="T255" s="9" t="str">
        <f t="shared" si="16"/>
        <v xml:space="preserve"> </v>
      </c>
      <c r="U255" s="18"/>
      <c r="V255" s="21"/>
      <c r="W255" s="22"/>
      <c r="X255" s="197" t="str">
        <f t="shared" si="17"/>
        <v xml:space="preserve"> </v>
      </c>
      <c r="Y255" s="246"/>
      <c r="Z255" s="247"/>
      <c r="AA255" s="20"/>
      <c r="AB255" s="11" t="str">
        <f t="shared" si="18"/>
        <v xml:space="preserve"> </v>
      </c>
      <c r="AC255" s="12" t="str">
        <f t="shared" si="19"/>
        <v xml:space="preserve"> </v>
      </c>
      <c r="AI255" s="14" t="str">
        <f t="shared" si="15"/>
        <v>TC Better Price</v>
      </c>
      <c r="AJ255" s="14" t="str">
        <f>IF(W255=0,"",(#REF!/W255))</f>
        <v/>
      </c>
    </row>
    <row r="256" spans="1:36" ht="20.100000000000001" customHeight="1" x14ac:dyDescent="0.25">
      <c r="A256" s="16"/>
      <c r="B256" s="108"/>
      <c r="C256" s="109"/>
      <c r="D256" s="109"/>
      <c r="E256" s="109"/>
      <c r="F256" s="17"/>
      <c r="G256" s="17"/>
      <c r="H256" s="108"/>
      <c r="I256" s="107"/>
      <c r="J256" s="108"/>
      <c r="K256" s="107"/>
      <c r="L256" s="108"/>
      <c r="M256" s="110"/>
      <c r="N256" s="109"/>
      <c r="O256" s="108"/>
      <c r="P256" s="233"/>
      <c r="Q256" s="239"/>
      <c r="R256" s="19"/>
      <c r="S256" s="20"/>
      <c r="T256" s="9" t="str">
        <f t="shared" si="16"/>
        <v xml:space="preserve"> </v>
      </c>
      <c r="U256" s="18"/>
      <c r="V256" s="21"/>
      <c r="W256" s="22"/>
      <c r="X256" s="197" t="str">
        <f t="shared" si="17"/>
        <v xml:space="preserve"> </v>
      </c>
      <c r="Y256" s="246"/>
      <c r="Z256" s="247"/>
      <c r="AA256" s="20"/>
      <c r="AB256" s="11" t="str">
        <f t="shared" si="18"/>
        <v xml:space="preserve"> </v>
      </c>
      <c r="AC256" s="12" t="str">
        <f t="shared" si="19"/>
        <v xml:space="preserve"> </v>
      </c>
      <c r="AI256" s="14" t="str">
        <f t="shared" si="15"/>
        <v>TC Better Price</v>
      </c>
      <c r="AJ256" s="14" t="str">
        <f>IF(W256=0,"",(#REF!/W256))</f>
        <v/>
      </c>
    </row>
    <row r="257" spans="1:36" ht="20.100000000000001" customHeight="1" x14ac:dyDescent="0.25">
      <c r="A257" s="16"/>
      <c r="B257" s="108"/>
      <c r="C257" s="109"/>
      <c r="D257" s="109"/>
      <c r="E257" s="109"/>
      <c r="F257" s="17"/>
      <c r="G257" s="17"/>
      <c r="H257" s="108"/>
      <c r="I257" s="107"/>
      <c r="J257" s="108"/>
      <c r="K257" s="107"/>
      <c r="L257" s="108"/>
      <c r="M257" s="110"/>
      <c r="N257" s="109"/>
      <c r="O257" s="108"/>
      <c r="P257" s="233"/>
      <c r="Q257" s="239"/>
      <c r="R257" s="19"/>
      <c r="S257" s="20"/>
      <c r="T257" s="9" t="str">
        <f t="shared" si="16"/>
        <v xml:space="preserve"> </v>
      </c>
      <c r="U257" s="18"/>
      <c r="V257" s="21"/>
      <c r="W257" s="22"/>
      <c r="X257" s="197" t="str">
        <f t="shared" si="17"/>
        <v xml:space="preserve"> </v>
      </c>
      <c r="Y257" s="246"/>
      <c r="Z257" s="247"/>
      <c r="AA257" s="20"/>
      <c r="AB257" s="11" t="str">
        <f t="shared" si="18"/>
        <v xml:space="preserve"> </v>
      </c>
      <c r="AC257" s="12" t="str">
        <f t="shared" si="19"/>
        <v xml:space="preserve"> </v>
      </c>
      <c r="AI257" s="14" t="str">
        <f t="shared" si="15"/>
        <v>TC Better Price</v>
      </c>
      <c r="AJ257" s="14" t="str">
        <f>IF(W257=0,"",(#REF!/W257))</f>
        <v/>
      </c>
    </row>
    <row r="258" spans="1:36" ht="20.100000000000001" customHeight="1" x14ac:dyDescent="0.25">
      <c r="A258" s="16"/>
      <c r="B258" s="108"/>
      <c r="C258" s="109"/>
      <c r="D258" s="109"/>
      <c r="E258" s="109"/>
      <c r="F258" s="17"/>
      <c r="G258" s="17"/>
      <c r="H258" s="108"/>
      <c r="I258" s="107"/>
      <c r="J258" s="108"/>
      <c r="K258" s="107"/>
      <c r="L258" s="108"/>
      <c r="M258" s="110"/>
      <c r="N258" s="109"/>
      <c r="O258" s="108"/>
      <c r="P258" s="233"/>
      <c r="Q258" s="239"/>
      <c r="R258" s="19"/>
      <c r="S258" s="20"/>
      <c r="T258" s="9" t="str">
        <f t="shared" si="16"/>
        <v xml:space="preserve"> </v>
      </c>
      <c r="U258" s="18"/>
      <c r="V258" s="21"/>
      <c r="W258" s="22"/>
      <c r="X258" s="197" t="str">
        <f t="shared" si="17"/>
        <v xml:space="preserve"> </v>
      </c>
      <c r="Y258" s="246"/>
      <c r="Z258" s="247"/>
      <c r="AA258" s="20"/>
      <c r="AB258" s="11" t="str">
        <f t="shared" si="18"/>
        <v xml:space="preserve"> </v>
      </c>
      <c r="AC258" s="12" t="str">
        <f t="shared" si="19"/>
        <v xml:space="preserve"> </v>
      </c>
      <c r="AI258" s="14" t="str">
        <f t="shared" si="15"/>
        <v>TC Better Price</v>
      </c>
      <c r="AJ258" s="14" t="str">
        <f>IF(W258=0,"",(#REF!/W258))</f>
        <v/>
      </c>
    </row>
    <row r="259" spans="1:36" ht="20.100000000000001" customHeight="1" x14ac:dyDescent="0.25">
      <c r="A259" s="16"/>
      <c r="B259" s="108"/>
      <c r="C259" s="109"/>
      <c r="D259" s="109"/>
      <c r="E259" s="109"/>
      <c r="F259" s="17"/>
      <c r="G259" s="17"/>
      <c r="H259" s="108"/>
      <c r="I259" s="107"/>
      <c r="J259" s="108"/>
      <c r="K259" s="107"/>
      <c r="L259" s="108"/>
      <c r="M259" s="110"/>
      <c r="N259" s="109"/>
      <c r="O259" s="108"/>
      <c r="P259" s="233"/>
      <c r="Q259" s="239"/>
      <c r="R259" s="19"/>
      <c r="S259" s="20"/>
      <c r="T259" s="9" t="str">
        <f t="shared" si="16"/>
        <v xml:space="preserve"> </v>
      </c>
      <c r="U259" s="18"/>
      <c r="V259" s="21"/>
      <c r="W259" s="22"/>
      <c r="X259" s="197" t="str">
        <f t="shared" si="17"/>
        <v xml:space="preserve"> </v>
      </c>
      <c r="Y259" s="246"/>
      <c r="Z259" s="247"/>
      <c r="AA259" s="20"/>
      <c r="AB259" s="11" t="str">
        <f t="shared" si="18"/>
        <v xml:space="preserve"> </v>
      </c>
      <c r="AC259" s="12" t="str">
        <f t="shared" si="19"/>
        <v xml:space="preserve"> </v>
      </c>
      <c r="AI259" s="14" t="str">
        <f t="shared" ref="AI259:AI300" si="20">IF(W259&lt;=S259,"TC Better Price","MFC Better Price")</f>
        <v>TC Better Price</v>
      </c>
      <c r="AJ259" s="14" t="str">
        <f>IF(W259=0,"",(#REF!/W259))</f>
        <v/>
      </c>
    </row>
    <row r="260" spans="1:36" ht="20.100000000000001" customHeight="1" x14ac:dyDescent="0.25">
      <c r="A260" s="16"/>
      <c r="B260" s="108"/>
      <c r="C260" s="109"/>
      <c r="D260" s="109"/>
      <c r="E260" s="109"/>
      <c r="F260" s="17"/>
      <c r="G260" s="17"/>
      <c r="H260" s="108"/>
      <c r="I260" s="107"/>
      <c r="J260" s="108"/>
      <c r="K260" s="107"/>
      <c r="L260" s="108"/>
      <c r="M260" s="110"/>
      <c r="N260" s="109"/>
      <c r="O260" s="108"/>
      <c r="P260" s="233"/>
      <c r="Q260" s="239"/>
      <c r="R260" s="19"/>
      <c r="S260" s="20"/>
      <c r="T260" s="9" t="str">
        <f t="shared" ref="T260:T323" si="21">IF(ISBLANK(R260)," ",((ROUND(S260,2)-(ROUND(R260,2)))/(ROUND(R260,2))))</f>
        <v xml:space="preserve"> </v>
      </c>
      <c r="U260" s="18"/>
      <c r="V260" s="21"/>
      <c r="W260" s="22"/>
      <c r="X260" s="197" t="str">
        <f t="shared" ref="X260:X323" si="22">IF(ISBLANK(R260)," ",((ROUND(W260,2))-(ROUND(R260,2)))/(ROUND(R260,2)))</f>
        <v xml:space="preserve"> </v>
      </c>
      <c r="Y260" s="246"/>
      <c r="Z260" s="247"/>
      <c r="AA260" s="20"/>
      <c r="AB260" s="11" t="str">
        <f t="shared" ref="AB260:AB323" si="23">IF(ISBLANK(R260)," ",((ROUND(AA260,2))-(ROUND(R260,2)))/(ROUND(R260,2)))</f>
        <v xml:space="preserve"> </v>
      </c>
      <c r="AC260" s="12" t="str">
        <f t="shared" ref="AC260:AC323" si="24">IF(ISBLANK(AA260)," ",(ROUND(AA260,2)/0.995))</f>
        <v xml:space="preserve"> </v>
      </c>
      <c r="AI260" s="14" t="str">
        <f t="shared" si="20"/>
        <v>TC Better Price</v>
      </c>
      <c r="AJ260" s="14" t="str">
        <f>IF(W260=0,"",(#REF!/W260))</f>
        <v/>
      </c>
    </row>
    <row r="261" spans="1:36" ht="20.100000000000001" customHeight="1" x14ac:dyDescent="0.25">
      <c r="A261" s="16"/>
      <c r="B261" s="108"/>
      <c r="C261" s="109"/>
      <c r="D261" s="109"/>
      <c r="E261" s="109"/>
      <c r="F261" s="17"/>
      <c r="G261" s="17"/>
      <c r="H261" s="108"/>
      <c r="I261" s="107"/>
      <c r="J261" s="108"/>
      <c r="K261" s="107"/>
      <c r="L261" s="108"/>
      <c r="M261" s="110"/>
      <c r="N261" s="109"/>
      <c r="O261" s="108"/>
      <c r="P261" s="233"/>
      <c r="Q261" s="239"/>
      <c r="R261" s="19"/>
      <c r="S261" s="20"/>
      <c r="T261" s="9" t="str">
        <f t="shared" si="21"/>
        <v xml:space="preserve"> </v>
      </c>
      <c r="U261" s="18"/>
      <c r="V261" s="21"/>
      <c r="W261" s="22"/>
      <c r="X261" s="197" t="str">
        <f t="shared" si="22"/>
        <v xml:space="preserve"> </v>
      </c>
      <c r="Y261" s="246"/>
      <c r="Z261" s="247"/>
      <c r="AA261" s="20"/>
      <c r="AB261" s="11" t="str">
        <f t="shared" si="23"/>
        <v xml:space="preserve"> </v>
      </c>
      <c r="AC261" s="12" t="str">
        <f t="shared" si="24"/>
        <v xml:space="preserve"> </v>
      </c>
      <c r="AI261" s="14" t="str">
        <f t="shared" si="20"/>
        <v>TC Better Price</v>
      </c>
      <c r="AJ261" s="14" t="str">
        <f>IF(W261=0,"",(#REF!/W261))</f>
        <v/>
      </c>
    </row>
    <row r="262" spans="1:36" ht="20.100000000000001" customHeight="1" x14ac:dyDescent="0.25">
      <c r="A262" s="16"/>
      <c r="B262" s="108"/>
      <c r="C262" s="109"/>
      <c r="D262" s="109"/>
      <c r="E262" s="109"/>
      <c r="F262" s="17"/>
      <c r="G262" s="17"/>
      <c r="H262" s="108"/>
      <c r="I262" s="107"/>
      <c r="J262" s="108"/>
      <c r="K262" s="107"/>
      <c r="L262" s="108"/>
      <c r="M262" s="110"/>
      <c r="N262" s="109"/>
      <c r="O262" s="108"/>
      <c r="P262" s="233"/>
      <c r="Q262" s="239"/>
      <c r="R262" s="19"/>
      <c r="S262" s="20"/>
      <c r="T262" s="9" t="str">
        <f t="shared" si="21"/>
        <v xml:space="preserve"> </v>
      </c>
      <c r="U262" s="18"/>
      <c r="V262" s="21"/>
      <c r="W262" s="22"/>
      <c r="X262" s="197" t="str">
        <f t="shared" si="22"/>
        <v xml:space="preserve"> </v>
      </c>
      <c r="Y262" s="246"/>
      <c r="Z262" s="247"/>
      <c r="AA262" s="20"/>
      <c r="AB262" s="11" t="str">
        <f t="shared" si="23"/>
        <v xml:space="preserve"> </v>
      </c>
      <c r="AC262" s="12" t="str">
        <f t="shared" si="24"/>
        <v xml:space="preserve"> </v>
      </c>
      <c r="AI262" s="14" t="str">
        <f t="shared" si="20"/>
        <v>TC Better Price</v>
      </c>
      <c r="AJ262" s="14" t="str">
        <f>IF(W262=0,"",(#REF!/W262))</f>
        <v/>
      </c>
    </row>
    <row r="263" spans="1:36" ht="20.100000000000001" customHeight="1" x14ac:dyDescent="0.25">
      <c r="A263" s="16"/>
      <c r="B263" s="108"/>
      <c r="C263" s="109"/>
      <c r="D263" s="109"/>
      <c r="E263" s="109"/>
      <c r="F263" s="17"/>
      <c r="G263" s="17"/>
      <c r="H263" s="108"/>
      <c r="I263" s="107"/>
      <c r="J263" s="108"/>
      <c r="K263" s="107"/>
      <c r="L263" s="108"/>
      <c r="M263" s="110"/>
      <c r="N263" s="109"/>
      <c r="O263" s="108"/>
      <c r="P263" s="233"/>
      <c r="Q263" s="239"/>
      <c r="R263" s="19"/>
      <c r="S263" s="20"/>
      <c r="T263" s="9" t="str">
        <f t="shared" si="21"/>
        <v xml:space="preserve"> </v>
      </c>
      <c r="U263" s="18"/>
      <c r="V263" s="21"/>
      <c r="W263" s="22"/>
      <c r="X263" s="197" t="str">
        <f t="shared" si="22"/>
        <v xml:space="preserve"> </v>
      </c>
      <c r="Y263" s="246"/>
      <c r="Z263" s="247"/>
      <c r="AA263" s="20"/>
      <c r="AB263" s="11" t="str">
        <f t="shared" si="23"/>
        <v xml:space="preserve"> </v>
      </c>
      <c r="AC263" s="12" t="str">
        <f t="shared" si="24"/>
        <v xml:space="preserve"> </v>
      </c>
      <c r="AI263" s="14" t="str">
        <f t="shared" si="20"/>
        <v>TC Better Price</v>
      </c>
      <c r="AJ263" s="14" t="str">
        <f>IF(W263=0,"",(#REF!/W263))</f>
        <v/>
      </c>
    </row>
    <row r="264" spans="1:36" ht="20.100000000000001" customHeight="1" x14ac:dyDescent="0.25">
      <c r="A264" s="16"/>
      <c r="B264" s="108"/>
      <c r="C264" s="109"/>
      <c r="D264" s="109"/>
      <c r="E264" s="109"/>
      <c r="F264" s="17"/>
      <c r="G264" s="17"/>
      <c r="H264" s="108"/>
      <c r="I264" s="107"/>
      <c r="J264" s="108"/>
      <c r="K264" s="107"/>
      <c r="L264" s="108"/>
      <c r="M264" s="110"/>
      <c r="N264" s="109"/>
      <c r="O264" s="108"/>
      <c r="P264" s="233"/>
      <c r="Q264" s="239"/>
      <c r="R264" s="19"/>
      <c r="S264" s="20"/>
      <c r="T264" s="9" t="str">
        <f t="shared" si="21"/>
        <v xml:space="preserve"> </v>
      </c>
      <c r="U264" s="18"/>
      <c r="V264" s="21"/>
      <c r="W264" s="22"/>
      <c r="X264" s="197" t="str">
        <f t="shared" si="22"/>
        <v xml:space="preserve"> </v>
      </c>
      <c r="Y264" s="246"/>
      <c r="Z264" s="247"/>
      <c r="AA264" s="20"/>
      <c r="AB264" s="11" t="str">
        <f t="shared" si="23"/>
        <v xml:space="preserve"> </v>
      </c>
      <c r="AC264" s="12" t="str">
        <f t="shared" si="24"/>
        <v xml:space="preserve"> </v>
      </c>
      <c r="AI264" s="14" t="str">
        <f t="shared" si="20"/>
        <v>TC Better Price</v>
      </c>
      <c r="AJ264" s="14" t="str">
        <f>IF(W264=0,"",(#REF!/W264))</f>
        <v/>
      </c>
    </row>
    <row r="265" spans="1:36" ht="20.100000000000001" customHeight="1" x14ac:dyDescent="0.25">
      <c r="A265" s="16"/>
      <c r="B265" s="108"/>
      <c r="C265" s="109"/>
      <c r="D265" s="109"/>
      <c r="E265" s="109"/>
      <c r="F265" s="17"/>
      <c r="G265" s="17"/>
      <c r="H265" s="108"/>
      <c r="I265" s="107"/>
      <c r="J265" s="108"/>
      <c r="K265" s="107"/>
      <c r="L265" s="108"/>
      <c r="M265" s="110"/>
      <c r="N265" s="109"/>
      <c r="O265" s="108"/>
      <c r="P265" s="233"/>
      <c r="Q265" s="239"/>
      <c r="R265" s="19"/>
      <c r="S265" s="20"/>
      <c r="T265" s="9" t="str">
        <f t="shared" si="21"/>
        <v xml:space="preserve"> </v>
      </c>
      <c r="U265" s="18"/>
      <c r="V265" s="21"/>
      <c r="W265" s="22"/>
      <c r="X265" s="197" t="str">
        <f t="shared" si="22"/>
        <v xml:space="preserve"> </v>
      </c>
      <c r="Y265" s="246"/>
      <c r="Z265" s="247"/>
      <c r="AA265" s="20"/>
      <c r="AB265" s="11" t="str">
        <f t="shared" si="23"/>
        <v xml:space="preserve"> </v>
      </c>
      <c r="AC265" s="12" t="str">
        <f t="shared" si="24"/>
        <v xml:space="preserve"> </v>
      </c>
      <c r="AI265" s="14" t="str">
        <f t="shared" si="20"/>
        <v>TC Better Price</v>
      </c>
      <c r="AJ265" s="14" t="str">
        <f>IF(W265=0,"",(#REF!/W265))</f>
        <v/>
      </c>
    </row>
    <row r="266" spans="1:36" ht="20.100000000000001" customHeight="1" x14ac:dyDescent="0.25">
      <c r="A266" s="16"/>
      <c r="B266" s="108"/>
      <c r="C266" s="109"/>
      <c r="D266" s="109"/>
      <c r="E266" s="109"/>
      <c r="F266" s="17"/>
      <c r="G266" s="17"/>
      <c r="H266" s="108"/>
      <c r="I266" s="107"/>
      <c r="J266" s="108"/>
      <c r="K266" s="107"/>
      <c r="L266" s="108"/>
      <c r="M266" s="110"/>
      <c r="N266" s="109"/>
      <c r="O266" s="108"/>
      <c r="P266" s="233"/>
      <c r="Q266" s="239"/>
      <c r="R266" s="19"/>
      <c r="S266" s="20"/>
      <c r="T266" s="9" t="str">
        <f t="shared" si="21"/>
        <v xml:space="preserve"> </v>
      </c>
      <c r="U266" s="18"/>
      <c r="V266" s="21"/>
      <c r="W266" s="22"/>
      <c r="X266" s="197" t="str">
        <f t="shared" si="22"/>
        <v xml:space="preserve"> </v>
      </c>
      <c r="Y266" s="246"/>
      <c r="Z266" s="247"/>
      <c r="AA266" s="20"/>
      <c r="AB266" s="11" t="str">
        <f t="shared" si="23"/>
        <v xml:space="preserve"> </v>
      </c>
      <c r="AC266" s="12" t="str">
        <f t="shared" si="24"/>
        <v xml:space="preserve"> </v>
      </c>
      <c r="AI266" s="14" t="str">
        <f t="shared" si="20"/>
        <v>TC Better Price</v>
      </c>
      <c r="AJ266" s="14" t="str">
        <f>IF(W266=0,"",(#REF!/W266))</f>
        <v/>
      </c>
    </row>
    <row r="267" spans="1:36" ht="20.100000000000001" customHeight="1" x14ac:dyDescent="0.25">
      <c r="A267" s="16"/>
      <c r="B267" s="108"/>
      <c r="C267" s="109"/>
      <c r="D267" s="109"/>
      <c r="E267" s="109"/>
      <c r="F267" s="17"/>
      <c r="G267" s="17"/>
      <c r="H267" s="108"/>
      <c r="I267" s="107"/>
      <c r="J267" s="108"/>
      <c r="K267" s="107"/>
      <c r="L267" s="108"/>
      <c r="M267" s="110"/>
      <c r="N267" s="109"/>
      <c r="O267" s="108"/>
      <c r="P267" s="233"/>
      <c r="Q267" s="239"/>
      <c r="R267" s="19"/>
      <c r="S267" s="20"/>
      <c r="T267" s="9" t="str">
        <f t="shared" si="21"/>
        <v xml:space="preserve"> </v>
      </c>
      <c r="U267" s="18"/>
      <c r="V267" s="21"/>
      <c r="W267" s="22"/>
      <c r="X267" s="197" t="str">
        <f t="shared" si="22"/>
        <v xml:space="preserve"> </v>
      </c>
      <c r="Y267" s="246"/>
      <c r="Z267" s="247"/>
      <c r="AA267" s="20"/>
      <c r="AB267" s="11" t="str">
        <f t="shared" si="23"/>
        <v xml:space="preserve"> </v>
      </c>
      <c r="AC267" s="12" t="str">
        <f t="shared" si="24"/>
        <v xml:space="preserve"> </v>
      </c>
      <c r="AI267" s="14" t="str">
        <f t="shared" si="20"/>
        <v>TC Better Price</v>
      </c>
      <c r="AJ267" s="14" t="str">
        <f>IF(W267=0,"",(#REF!/W267))</f>
        <v/>
      </c>
    </row>
    <row r="268" spans="1:36" ht="20.100000000000001" customHeight="1" x14ac:dyDescent="0.25">
      <c r="A268" s="16"/>
      <c r="B268" s="108"/>
      <c r="C268" s="109"/>
      <c r="D268" s="109"/>
      <c r="E268" s="109"/>
      <c r="F268" s="17"/>
      <c r="G268" s="17"/>
      <c r="H268" s="108"/>
      <c r="I268" s="107"/>
      <c r="J268" s="108"/>
      <c r="K268" s="107"/>
      <c r="L268" s="108"/>
      <c r="M268" s="110"/>
      <c r="N268" s="109"/>
      <c r="O268" s="108"/>
      <c r="P268" s="233"/>
      <c r="Q268" s="239"/>
      <c r="R268" s="19"/>
      <c r="S268" s="20"/>
      <c r="T268" s="9" t="str">
        <f t="shared" si="21"/>
        <v xml:space="preserve"> </v>
      </c>
      <c r="U268" s="18"/>
      <c r="V268" s="21"/>
      <c r="W268" s="22"/>
      <c r="X268" s="197" t="str">
        <f t="shared" si="22"/>
        <v xml:space="preserve"> </v>
      </c>
      <c r="Y268" s="246"/>
      <c r="Z268" s="247"/>
      <c r="AA268" s="20"/>
      <c r="AB268" s="11" t="str">
        <f t="shared" si="23"/>
        <v xml:space="preserve"> </v>
      </c>
      <c r="AC268" s="12" t="str">
        <f t="shared" si="24"/>
        <v xml:space="preserve"> </v>
      </c>
      <c r="AI268" s="14" t="str">
        <f t="shared" si="20"/>
        <v>TC Better Price</v>
      </c>
      <c r="AJ268" s="14" t="str">
        <f>IF(W268=0,"",(#REF!/W268))</f>
        <v/>
      </c>
    </row>
    <row r="269" spans="1:36" ht="20.100000000000001" customHeight="1" x14ac:dyDescent="0.25">
      <c r="A269" s="16"/>
      <c r="B269" s="108"/>
      <c r="C269" s="109"/>
      <c r="D269" s="109"/>
      <c r="E269" s="109"/>
      <c r="F269" s="17"/>
      <c r="G269" s="17"/>
      <c r="H269" s="108"/>
      <c r="I269" s="107"/>
      <c r="J269" s="108"/>
      <c r="K269" s="107"/>
      <c r="L269" s="108"/>
      <c r="M269" s="110"/>
      <c r="N269" s="109"/>
      <c r="O269" s="108"/>
      <c r="P269" s="233"/>
      <c r="Q269" s="239"/>
      <c r="R269" s="19"/>
      <c r="S269" s="20"/>
      <c r="T269" s="9" t="str">
        <f t="shared" si="21"/>
        <v xml:space="preserve"> </v>
      </c>
      <c r="U269" s="18"/>
      <c r="V269" s="21"/>
      <c r="W269" s="22"/>
      <c r="X269" s="197" t="str">
        <f t="shared" si="22"/>
        <v xml:space="preserve"> </v>
      </c>
      <c r="Y269" s="246"/>
      <c r="Z269" s="247"/>
      <c r="AA269" s="20"/>
      <c r="AB269" s="11" t="str">
        <f t="shared" si="23"/>
        <v xml:space="preserve"> </v>
      </c>
      <c r="AC269" s="12" t="str">
        <f t="shared" si="24"/>
        <v xml:space="preserve"> </v>
      </c>
      <c r="AI269" s="14" t="str">
        <f t="shared" si="20"/>
        <v>TC Better Price</v>
      </c>
      <c r="AJ269" s="14" t="str">
        <f>IF(W269=0,"",(#REF!/W269))</f>
        <v/>
      </c>
    </row>
    <row r="270" spans="1:36" ht="20.100000000000001" customHeight="1" x14ac:dyDescent="0.25">
      <c r="A270" s="16"/>
      <c r="B270" s="108"/>
      <c r="C270" s="109"/>
      <c r="D270" s="109"/>
      <c r="E270" s="109"/>
      <c r="F270" s="17"/>
      <c r="G270" s="17"/>
      <c r="H270" s="108"/>
      <c r="I270" s="107"/>
      <c r="J270" s="108"/>
      <c r="K270" s="107"/>
      <c r="L270" s="108"/>
      <c r="M270" s="110"/>
      <c r="N270" s="109"/>
      <c r="O270" s="108"/>
      <c r="P270" s="233"/>
      <c r="Q270" s="239"/>
      <c r="R270" s="19"/>
      <c r="S270" s="20"/>
      <c r="T270" s="9" t="str">
        <f t="shared" si="21"/>
        <v xml:space="preserve"> </v>
      </c>
      <c r="U270" s="18"/>
      <c r="V270" s="21"/>
      <c r="W270" s="22"/>
      <c r="X270" s="197" t="str">
        <f t="shared" si="22"/>
        <v xml:space="preserve"> </v>
      </c>
      <c r="Y270" s="246"/>
      <c r="Z270" s="247"/>
      <c r="AA270" s="20"/>
      <c r="AB270" s="11" t="str">
        <f t="shared" si="23"/>
        <v xml:space="preserve"> </v>
      </c>
      <c r="AC270" s="12" t="str">
        <f t="shared" si="24"/>
        <v xml:space="preserve"> </v>
      </c>
      <c r="AI270" s="14" t="str">
        <f t="shared" si="20"/>
        <v>TC Better Price</v>
      </c>
      <c r="AJ270" s="14" t="str">
        <f>IF(W270=0,"",(#REF!/W270))</f>
        <v/>
      </c>
    </row>
    <row r="271" spans="1:36" ht="20.100000000000001" customHeight="1" x14ac:dyDescent="0.25">
      <c r="A271" s="16"/>
      <c r="B271" s="108"/>
      <c r="C271" s="109"/>
      <c r="D271" s="109"/>
      <c r="E271" s="109"/>
      <c r="F271" s="17"/>
      <c r="G271" s="17"/>
      <c r="H271" s="108"/>
      <c r="I271" s="107"/>
      <c r="J271" s="108"/>
      <c r="K271" s="107"/>
      <c r="L271" s="108"/>
      <c r="M271" s="110"/>
      <c r="N271" s="109"/>
      <c r="O271" s="108"/>
      <c r="P271" s="233"/>
      <c r="Q271" s="239"/>
      <c r="R271" s="19"/>
      <c r="S271" s="20"/>
      <c r="T271" s="9" t="str">
        <f t="shared" si="21"/>
        <v xml:space="preserve"> </v>
      </c>
      <c r="U271" s="18"/>
      <c r="V271" s="21"/>
      <c r="W271" s="22"/>
      <c r="X271" s="197" t="str">
        <f t="shared" si="22"/>
        <v xml:space="preserve"> </v>
      </c>
      <c r="Y271" s="246"/>
      <c r="Z271" s="247"/>
      <c r="AA271" s="20"/>
      <c r="AB271" s="11" t="str">
        <f t="shared" si="23"/>
        <v xml:space="preserve"> </v>
      </c>
      <c r="AC271" s="12" t="str">
        <f t="shared" si="24"/>
        <v xml:space="preserve"> </v>
      </c>
      <c r="AI271" s="14" t="str">
        <f t="shared" si="20"/>
        <v>TC Better Price</v>
      </c>
      <c r="AJ271" s="14" t="str">
        <f>IF(W271=0,"",(#REF!/W271))</f>
        <v/>
      </c>
    </row>
    <row r="272" spans="1:36" ht="20.100000000000001" customHeight="1" x14ac:dyDescent="0.25">
      <c r="A272" s="16"/>
      <c r="B272" s="108"/>
      <c r="C272" s="109"/>
      <c r="D272" s="109"/>
      <c r="E272" s="109"/>
      <c r="F272" s="17"/>
      <c r="G272" s="17"/>
      <c r="H272" s="108"/>
      <c r="I272" s="107"/>
      <c r="J272" s="108"/>
      <c r="K272" s="107"/>
      <c r="L272" s="108"/>
      <c r="M272" s="110"/>
      <c r="N272" s="109"/>
      <c r="O272" s="108"/>
      <c r="P272" s="233"/>
      <c r="Q272" s="239"/>
      <c r="R272" s="19"/>
      <c r="S272" s="20"/>
      <c r="T272" s="9" t="str">
        <f t="shared" si="21"/>
        <v xml:space="preserve"> </v>
      </c>
      <c r="U272" s="18"/>
      <c r="V272" s="21"/>
      <c r="W272" s="22"/>
      <c r="X272" s="197" t="str">
        <f t="shared" si="22"/>
        <v xml:space="preserve"> </v>
      </c>
      <c r="Y272" s="246"/>
      <c r="Z272" s="247"/>
      <c r="AA272" s="20"/>
      <c r="AB272" s="11" t="str">
        <f t="shared" si="23"/>
        <v xml:space="preserve"> </v>
      </c>
      <c r="AC272" s="12" t="str">
        <f t="shared" si="24"/>
        <v xml:space="preserve"> </v>
      </c>
      <c r="AI272" s="14" t="str">
        <f t="shared" si="20"/>
        <v>TC Better Price</v>
      </c>
      <c r="AJ272" s="14" t="str">
        <f>IF(W272=0,"",(#REF!/W272))</f>
        <v/>
      </c>
    </row>
    <row r="273" spans="1:36" ht="20.100000000000001" customHeight="1" x14ac:dyDescent="0.25">
      <c r="A273" s="16"/>
      <c r="B273" s="108"/>
      <c r="C273" s="109"/>
      <c r="D273" s="109"/>
      <c r="E273" s="109"/>
      <c r="F273" s="17"/>
      <c r="G273" s="17"/>
      <c r="H273" s="108"/>
      <c r="I273" s="107"/>
      <c r="J273" s="108"/>
      <c r="K273" s="107"/>
      <c r="L273" s="108"/>
      <c r="M273" s="110"/>
      <c r="N273" s="109"/>
      <c r="O273" s="108"/>
      <c r="P273" s="233"/>
      <c r="Q273" s="239"/>
      <c r="R273" s="19"/>
      <c r="S273" s="20"/>
      <c r="T273" s="9" t="str">
        <f t="shared" si="21"/>
        <v xml:space="preserve"> </v>
      </c>
      <c r="U273" s="18"/>
      <c r="V273" s="21"/>
      <c r="W273" s="22"/>
      <c r="X273" s="197" t="str">
        <f t="shared" si="22"/>
        <v xml:space="preserve"> </v>
      </c>
      <c r="Y273" s="246"/>
      <c r="Z273" s="247"/>
      <c r="AA273" s="20"/>
      <c r="AB273" s="11" t="str">
        <f t="shared" si="23"/>
        <v xml:space="preserve"> </v>
      </c>
      <c r="AC273" s="12" t="str">
        <f t="shared" si="24"/>
        <v xml:space="preserve"> </v>
      </c>
      <c r="AI273" s="14" t="str">
        <f t="shared" si="20"/>
        <v>TC Better Price</v>
      </c>
      <c r="AJ273" s="14" t="str">
        <f>IF(W273=0,"",(#REF!/W273))</f>
        <v/>
      </c>
    </row>
    <row r="274" spans="1:36" ht="20.100000000000001" customHeight="1" x14ac:dyDescent="0.25">
      <c r="A274" s="16"/>
      <c r="B274" s="108"/>
      <c r="C274" s="109"/>
      <c r="D274" s="109"/>
      <c r="E274" s="109"/>
      <c r="F274" s="17"/>
      <c r="G274" s="17"/>
      <c r="H274" s="108"/>
      <c r="I274" s="107"/>
      <c r="J274" s="108"/>
      <c r="K274" s="107"/>
      <c r="L274" s="108"/>
      <c r="M274" s="110"/>
      <c r="N274" s="109"/>
      <c r="O274" s="108"/>
      <c r="P274" s="233"/>
      <c r="Q274" s="239"/>
      <c r="R274" s="19"/>
      <c r="S274" s="20"/>
      <c r="T274" s="9" t="str">
        <f t="shared" si="21"/>
        <v xml:space="preserve"> </v>
      </c>
      <c r="U274" s="18"/>
      <c r="V274" s="21"/>
      <c r="W274" s="22"/>
      <c r="X274" s="197" t="str">
        <f t="shared" si="22"/>
        <v xml:space="preserve"> </v>
      </c>
      <c r="Y274" s="246"/>
      <c r="Z274" s="247"/>
      <c r="AA274" s="20"/>
      <c r="AB274" s="11" t="str">
        <f t="shared" si="23"/>
        <v xml:space="preserve"> </v>
      </c>
      <c r="AC274" s="12" t="str">
        <f t="shared" si="24"/>
        <v xml:space="preserve"> </v>
      </c>
      <c r="AI274" s="14" t="str">
        <f t="shared" si="20"/>
        <v>TC Better Price</v>
      </c>
      <c r="AJ274" s="14" t="str">
        <f>IF(W274=0,"",(#REF!/W274))</f>
        <v/>
      </c>
    </row>
    <row r="275" spans="1:36" ht="20.100000000000001" customHeight="1" x14ac:dyDescent="0.25">
      <c r="A275" s="16"/>
      <c r="B275" s="108"/>
      <c r="C275" s="109"/>
      <c r="D275" s="109"/>
      <c r="E275" s="109"/>
      <c r="F275" s="17"/>
      <c r="G275" s="17"/>
      <c r="H275" s="108"/>
      <c r="I275" s="107"/>
      <c r="J275" s="108"/>
      <c r="K275" s="107"/>
      <c r="L275" s="108"/>
      <c r="M275" s="110"/>
      <c r="N275" s="109"/>
      <c r="O275" s="108"/>
      <c r="P275" s="233"/>
      <c r="Q275" s="239"/>
      <c r="R275" s="19"/>
      <c r="S275" s="20"/>
      <c r="T275" s="9" t="str">
        <f t="shared" si="21"/>
        <v xml:space="preserve"> </v>
      </c>
      <c r="U275" s="18"/>
      <c r="V275" s="21"/>
      <c r="W275" s="22"/>
      <c r="X275" s="197" t="str">
        <f t="shared" si="22"/>
        <v xml:space="preserve"> </v>
      </c>
      <c r="Y275" s="246"/>
      <c r="Z275" s="247"/>
      <c r="AA275" s="20"/>
      <c r="AB275" s="11" t="str">
        <f t="shared" si="23"/>
        <v xml:space="preserve"> </v>
      </c>
      <c r="AC275" s="12" t="str">
        <f t="shared" si="24"/>
        <v xml:space="preserve"> </v>
      </c>
      <c r="AI275" s="14" t="str">
        <f t="shared" si="20"/>
        <v>TC Better Price</v>
      </c>
      <c r="AJ275" s="14" t="str">
        <f>IF(W275=0,"",(#REF!/W275))</f>
        <v/>
      </c>
    </row>
    <row r="276" spans="1:36" ht="20.100000000000001" customHeight="1" x14ac:dyDescent="0.25">
      <c r="A276" s="16"/>
      <c r="B276" s="108"/>
      <c r="C276" s="109"/>
      <c r="D276" s="109"/>
      <c r="E276" s="109"/>
      <c r="F276" s="17"/>
      <c r="G276" s="17"/>
      <c r="H276" s="108"/>
      <c r="I276" s="107"/>
      <c r="J276" s="108"/>
      <c r="K276" s="107"/>
      <c r="L276" s="108"/>
      <c r="M276" s="110"/>
      <c r="N276" s="109"/>
      <c r="O276" s="108"/>
      <c r="P276" s="233"/>
      <c r="Q276" s="239"/>
      <c r="R276" s="19"/>
      <c r="S276" s="20"/>
      <c r="T276" s="9" t="str">
        <f t="shared" si="21"/>
        <v xml:space="preserve"> </v>
      </c>
      <c r="U276" s="18"/>
      <c r="V276" s="21"/>
      <c r="W276" s="22"/>
      <c r="X276" s="197" t="str">
        <f t="shared" si="22"/>
        <v xml:space="preserve"> </v>
      </c>
      <c r="Y276" s="246"/>
      <c r="Z276" s="247"/>
      <c r="AA276" s="20"/>
      <c r="AB276" s="11" t="str">
        <f t="shared" si="23"/>
        <v xml:space="preserve"> </v>
      </c>
      <c r="AC276" s="12" t="str">
        <f t="shared" si="24"/>
        <v xml:space="preserve"> </v>
      </c>
      <c r="AI276" s="14" t="str">
        <f t="shared" si="20"/>
        <v>TC Better Price</v>
      </c>
      <c r="AJ276" s="14" t="str">
        <f>IF(W276=0,"",(#REF!/W276))</f>
        <v/>
      </c>
    </row>
    <row r="277" spans="1:36" ht="20.100000000000001" customHeight="1" x14ac:dyDescent="0.25">
      <c r="A277" s="16"/>
      <c r="B277" s="108"/>
      <c r="C277" s="109"/>
      <c r="D277" s="109"/>
      <c r="E277" s="109"/>
      <c r="F277" s="17"/>
      <c r="G277" s="17"/>
      <c r="H277" s="108"/>
      <c r="I277" s="107"/>
      <c r="J277" s="108"/>
      <c r="K277" s="107"/>
      <c r="L277" s="108"/>
      <c r="M277" s="110"/>
      <c r="N277" s="109"/>
      <c r="O277" s="108"/>
      <c r="P277" s="233"/>
      <c r="Q277" s="239"/>
      <c r="R277" s="19"/>
      <c r="S277" s="20"/>
      <c r="T277" s="9" t="str">
        <f t="shared" si="21"/>
        <v xml:space="preserve"> </v>
      </c>
      <c r="U277" s="18"/>
      <c r="V277" s="21"/>
      <c r="W277" s="22"/>
      <c r="X277" s="197" t="str">
        <f t="shared" si="22"/>
        <v xml:space="preserve"> </v>
      </c>
      <c r="Y277" s="246"/>
      <c r="Z277" s="247"/>
      <c r="AA277" s="20"/>
      <c r="AB277" s="11" t="str">
        <f t="shared" si="23"/>
        <v xml:space="preserve"> </v>
      </c>
      <c r="AC277" s="12" t="str">
        <f t="shared" si="24"/>
        <v xml:space="preserve"> </v>
      </c>
      <c r="AI277" s="14" t="str">
        <f t="shared" si="20"/>
        <v>TC Better Price</v>
      </c>
      <c r="AJ277" s="14" t="str">
        <f>IF(W277=0,"",(#REF!/W277))</f>
        <v/>
      </c>
    </row>
    <row r="278" spans="1:36" ht="20.100000000000001" customHeight="1" x14ac:dyDescent="0.25">
      <c r="A278" s="16"/>
      <c r="B278" s="108"/>
      <c r="C278" s="109"/>
      <c r="D278" s="109"/>
      <c r="E278" s="109"/>
      <c r="F278" s="17"/>
      <c r="G278" s="17"/>
      <c r="H278" s="108"/>
      <c r="I278" s="107"/>
      <c r="J278" s="108"/>
      <c r="K278" s="107"/>
      <c r="L278" s="108"/>
      <c r="M278" s="110"/>
      <c r="N278" s="109"/>
      <c r="O278" s="108"/>
      <c r="P278" s="233"/>
      <c r="Q278" s="239"/>
      <c r="R278" s="19"/>
      <c r="S278" s="20"/>
      <c r="T278" s="9" t="str">
        <f t="shared" si="21"/>
        <v xml:space="preserve"> </v>
      </c>
      <c r="U278" s="18"/>
      <c r="V278" s="21"/>
      <c r="W278" s="22"/>
      <c r="X278" s="197" t="str">
        <f t="shared" si="22"/>
        <v xml:space="preserve"> </v>
      </c>
      <c r="Y278" s="246"/>
      <c r="Z278" s="247"/>
      <c r="AA278" s="20"/>
      <c r="AB278" s="11" t="str">
        <f t="shared" si="23"/>
        <v xml:space="preserve"> </v>
      </c>
      <c r="AC278" s="12" t="str">
        <f t="shared" si="24"/>
        <v xml:space="preserve"> </v>
      </c>
      <c r="AI278" s="14" t="str">
        <f t="shared" si="20"/>
        <v>TC Better Price</v>
      </c>
      <c r="AJ278" s="14" t="str">
        <f>IF(W278=0,"",(#REF!/W278))</f>
        <v/>
      </c>
    </row>
    <row r="279" spans="1:36" ht="20.100000000000001" customHeight="1" x14ac:dyDescent="0.25">
      <c r="A279" s="16"/>
      <c r="B279" s="108"/>
      <c r="C279" s="109"/>
      <c r="D279" s="109"/>
      <c r="E279" s="109"/>
      <c r="F279" s="17"/>
      <c r="G279" s="17"/>
      <c r="H279" s="108"/>
      <c r="I279" s="107"/>
      <c r="J279" s="108"/>
      <c r="K279" s="107"/>
      <c r="L279" s="108"/>
      <c r="M279" s="110"/>
      <c r="N279" s="109"/>
      <c r="O279" s="108"/>
      <c r="P279" s="233"/>
      <c r="Q279" s="239"/>
      <c r="R279" s="19"/>
      <c r="S279" s="20"/>
      <c r="T279" s="9" t="str">
        <f t="shared" si="21"/>
        <v xml:space="preserve"> </v>
      </c>
      <c r="U279" s="18"/>
      <c r="V279" s="21"/>
      <c r="W279" s="22"/>
      <c r="X279" s="197" t="str">
        <f t="shared" si="22"/>
        <v xml:space="preserve"> </v>
      </c>
      <c r="Y279" s="246"/>
      <c r="Z279" s="247"/>
      <c r="AA279" s="20"/>
      <c r="AB279" s="11" t="str">
        <f t="shared" si="23"/>
        <v xml:space="preserve"> </v>
      </c>
      <c r="AC279" s="12" t="str">
        <f t="shared" si="24"/>
        <v xml:space="preserve"> </v>
      </c>
      <c r="AI279" s="14" t="str">
        <f t="shared" si="20"/>
        <v>TC Better Price</v>
      </c>
      <c r="AJ279" s="14" t="str">
        <f>IF(W279=0,"",(#REF!/W279))</f>
        <v/>
      </c>
    </row>
    <row r="280" spans="1:36" ht="20.100000000000001" customHeight="1" x14ac:dyDescent="0.25">
      <c r="A280" s="16"/>
      <c r="B280" s="108"/>
      <c r="C280" s="109"/>
      <c r="D280" s="109"/>
      <c r="E280" s="109"/>
      <c r="F280" s="17"/>
      <c r="G280" s="17"/>
      <c r="H280" s="108"/>
      <c r="I280" s="107"/>
      <c r="J280" s="108"/>
      <c r="K280" s="107"/>
      <c r="L280" s="108"/>
      <c r="M280" s="110"/>
      <c r="N280" s="109"/>
      <c r="O280" s="108"/>
      <c r="P280" s="233"/>
      <c r="Q280" s="239"/>
      <c r="R280" s="19"/>
      <c r="S280" s="20"/>
      <c r="T280" s="9" t="str">
        <f t="shared" si="21"/>
        <v xml:space="preserve"> </v>
      </c>
      <c r="U280" s="18"/>
      <c r="V280" s="21"/>
      <c r="W280" s="22"/>
      <c r="X280" s="197" t="str">
        <f t="shared" si="22"/>
        <v xml:space="preserve"> </v>
      </c>
      <c r="Y280" s="246"/>
      <c r="Z280" s="247"/>
      <c r="AA280" s="20"/>
      <c r="AB280" s="11" t="str">
        <f t="shared" si="23"/>
        <v xml:space="preserve"> </v>
      </c>
      <c r="AC280" s="12" t="str">
        <f t="shared" si="24"/>
        <v xml:space="preserve"> </v>
      </c>
      <c r="AI280" s="14" t="str">
        <f t="shared" si="20"/>
        <v>TC Better Price</v>
      </c>
      <c r="AJ280" s="14" t="str">
        <f>IF(W280=0,"",(#REF!/W280))</f>
        <v/>
      </c>
    </row>
    <row r="281" spans="1:36" ht="20.100000000000001" customHeight="1" x14ac:dyDescent="0.25">
      <c r="A281" s="16"/>
      <c r="B281" s="108"/>
      <c r="C281" s="109"/>
      <c r="D281" s="109"/>
      <c r="E281" s="109"/>
      <c r="F281" s="17"/>
      <c r="G281" s="17"/>
      <c r="H281" s="108"/>
      <c r="I281" s="107"/>
      <c r="J281" s="108"/>
      <c r="K281" s="107"/>
      <c r="L281" s="108"/>
      <c r="M281" s="110"/>
      <c r="N281" s="109"/>
      <c r="O281" s="108"/>
      <c r="P281" s="233"/>
      <c r="Q281" s="239"/>
      <c r="R281" s="19"/>
      <c r="S281" s="20"/>
      <c r="T281" s="9" t="str">
        <f t="shared" si="21"/>
        <v xml:space="preserve"> </v>
      </c>
      <c r="U281" s="18"/>
      <c r="V281" s="21"/>
      <c r="W281" s="22"/>
      <c r="X281" s="197" t="str">
        <f t="shared" si="22"/>
        <v xml:space="preserve"> </v>
      </c>
      <c r="Y281" s="246"/>
      <c r="Z281" s="247"/>
      <c r="AA281" s="20"/>
      <c r="AB281" s="11" t="str">
        <f t="shared" si="23"/>
        <v xml:space="preserve"> </v>
      </c>
      <c r="AC281" s="12" t="str">
        <f t="shared" si="24"/>
        <v xml:space="preserve"> </v>
      </c>
      <c r="AI281" s="14" t="str">
        <f t="shared" si="20"/>
        <v>TC Better Price</v>
      </c>
      <c r="AJ281" s="14" t="str">
        <f>IF(W281=0,"",(#REF!/W281))</f>
        <v/>
      </c>
    </row>
    <row r="282" spans="1:36" ht="20.100000000000001" customHeight="1" x14ac:dyDescent="0.25">
      <c r="A282" s="16"/>
      <c r="B282" s="108"/>
      <c r="C282" s="109"/>
      <c r="D282" s="109"/>
      <c r="E282" s="109"/>
      <c r="F282" s="17"/>
      <c r="G282" s="17"/>
      <c r="H282" s="108"/>
      <c r="I282" s="107"/>
      <c r="J282" s="108"/>
      <c r="K282" s="107"/>
      <c r="L282" s="108"/>
      <c r="M282" s="110"/>
      <c r="N282" s="109"/>
      <c r="O282" s="108"/>
      <c r="P282" s="233"/>
      <c r="Q282" s="239"/>
      <c r="R282" s="19"/>
      <c r="S282" s="20"/>
      <c r="T282" s="9" t="str">
        <f t="shared" si="21"/>
        <v xml:space="preserve"> </v>
      </c>
      <c r="U282" s="18"/>
      <c r="V282" s="21"/>
      <c r="W282" s="22"/>
      <c r="X282" s="197" t="str">
        <f t="shared" si="22"/>
        <v xml:space="preserve"> </v>
      </c>
      <c r="Y282" s="246"/>
      <c r="Z282" s="247"/>
      <c r="AA282" s="20"/>
      <c r="AB282" s="11" t="str">
        <f t="shared" si="23"/>
        <v xml:space="preserve"> </v>
      </c>
      <c r="AC282" s="12" t="str">
        <f t="shared" si="24"/>
        <v xml:space="preserve"> </v>
      </c>
      <c r="AI282" s="14" t="str">
        <f t="shared" si="20"/>
        <v>TC Better Price</v>
      </c>
      <c r="AJ282" s="14" t="str">
        <f>IF(W282=0,"",(#REF!/W282))</f>
        <v/>
      </c>
    </row>
    <row r="283" spans="1:36" ht="20.100000000000001" customHeight="1" x14ac:dyDescent="0.25">
      <c r="A283" s="16"/>
      <c r="B283" s="108"/>
      <c r="C283" s="109"/>
      <c r="D283" s="109"/>
      <c r="E283" s="109"/>
      <c r="F283" s="17"/>
      <c r="G283" s="17"/>
      <c r="H283" s="108"/>
      <c r="I283" s="107"/>
      <c r="J283" s="108"/>
      <c r="K283" s="107"/>
      <c r="L283" s="108"/>
      <c r="M283" s="110"/>
      <c r="N283" s="109"/>
      <c r="O283" s="108"/>
      <c r="P283" s="233"/>
      <c r="Q283" s="239"/>
      <c r="R283" s="19"/>
      <c r="S283" s="20"/>
      <c r="T283" s="9" t="str">
        <f t="shared" si="21"/>
        <v xml:space="preserve"> </v>
      </c>
      <c r="U283" s="18"/>
      <c r="V283" s="21"/>
      <c r="W283" s="22"/>
      <c r="X283" s="197" t="str">
        <f t="shared" si="22"/>
        <v xml:space="preserve"> </v>
      </c>
      <c r="Y283" s="246"/>
      <c r="Z283" s="247"/>
      <c r="AA283" s="20"/>
      <c r="AB283" s="11" t="str">
        <f t="shared" si="23"/>
        <v xml:space="preserve"> </v>
      </c>
      <c r="AC283" s="12" t="str">
        <f t="shared" si="24"/>
        <v xml:space="preserve"> </v>
      </c>
      <c r="AI283" s="14" t="str">
        <f t="shared" si="20"/>
        <v>TC Better Price</v>
      </c>
      <c r="AJ283" s="14" t="str">
        <f>IF(W283=0,"",(#REF!/W283))</f>
        <v/>
      </c>
    </row>
    <row r="284" spans="1:36" ht="20.100000000000001" customHeight="1" x14ac:dyDescent="0.25">
      <c r="A284" s="16"/>
      <c r="B284" s="108"/>
      <c r="C284" s="109"/>
      <c r="D284" s="109"/>
      <c r="E284" s="109"/>
      <c r="F284" s="17"/>
      <c r="G284" s="17"/>
      <c r="H284" s="108"/>
      <c r="I284" s="107"/>
      <c r="J284" s="108"/>
      <c r="K284" s="107"/>
      <c r="L284" s="108"/>
      <c r="M284" s="110"/>
      <c r="N284" s="109"/>
      <c r="O284" s="108"/>
      <c r="P284" s="233"/>
      <c r="Q284" s="239"/>
      <c r="R284" s="19"/>
      <c r="S284" s="20"/>
      <c r="T284" s="9" t="str">
        <f t="shared" si="21"/>
        <v xml:space="preserve"> </v>
      </c>
      <c r="U284" s="18"/>
      <c r="V284" s="21"/>
      <c r="W284" s="22"/>
      <c r="X284" s="197" t="str">
        <f t="shared" si="22"/>
        <v xml:space="preserve"> </v>
      </c>
      <c r="Y284" s="246"/>
      <c r="Z284" s="247"/>
      <c r="AA284" s="20"/>
      <c r="AB284" s="11" t="str">
        <f t="shared" si="23"/>
        <v xml:space="preserve"> </v>
      </c>
      <c r="AC284" s="12" t="str">
        <f t="shared" si="24"/>
        <v xml:space="preserve"> </v>
      </c>
      <c r="AI284" s="14" t="str">
        <f t="shared" si="20"/>
        <v>TC Better Price</v>
      </c>
      <c r="AJ284" s="14" t="str">
        <f>IF(W284=0,"",(#REF!/W284))</f>
        <v/>
      </c>
    </row>
    <row r="285" spans="1:36" ht="20.100000000000001" customHeight="1" x14ac:dyDescent="0.25">
      <c r="A285" s="16"/>
      <c r="B285" s="108"/>
      <c r="C285" s="109"/>
      <c r="D285" s="109"/>
      <c r="E285" s="109"/>
      <c r="F285" s="17"/>
      <c r="G285" s="17"/>
      <c r="H285" s="108"/>
      <c r="I285" s="107"/>
      <c r="J285" s="108"/>
      <c r="K285" s="107"/>
      <c r="L285" s="108"/>
      <c r="M285" s="110"/>
      <c r="N285" s="109"/>
      <c r="O285" s="108"/>
      <c r="P285" s="233"/>
      <c r="Q285" s="239"/>
      <c r="R285" s="19"/>
      <c r="S285" s="20"/>
      <c r="T285" s="9" t="str">
        <f t="shared" si="21"/>
        <v xml:space="preserve"> </v>
      </c>
      <c r="U285" s="18"/>
      <c r="V285" s="21"/>
      <c r="W285" s="22"/>
      <c r="X285" s="197" t="str">
        <f t="shared" si="22"/>
        <v xml:space="preserve"> </v>
      </c>
      <c r="Y285" s="246"/>
      <c r="Z285" s="247"/>
      <c r="AA285" s="20"/>
      <c r="AB285" s="11" t="str">
        <f t="shared" si="23"/>
        <v xml:space="preserve"> </v>
      </c>
      <c r="AC285" s="12" t="str">
        <f t="shared" si="24"/>
        <v xml:space="preserve"> </v>
      </c>
      <c r="AI285" s="14" t="str">
        <f t="shared" si="20"/>
        <v>TC Better Price</v>
      </c>
      <c r="AJ285" s="14" t="str">
        <f>IF(W285=0,"",(#REF!/W285))</f>
        <v/>
      </c>
    </row>
    <row r="286" spans="1:36" ht="20.100000000000001" customHeight="1" x14ac:dyDescent="0.25">
      <c r="A286" s="16"/>
      <c r="B286" s="108"/>
      <c r="C286" s="109"/>
      <c r="D286" s="109"/>
      <c r="E286" s="109"/>
      <c r="F286" s="17"/>
      <c r="G286" s="17"/>
      <c r="H286" s="108"/>
      <c r="I286" s="107"/>
      <c r="J286" s="108"/>
      <c r="K286" s="107"/>
      <c r="L286" s="108"/>
      <c r="M286" s="110"/>
      <c r="N286" s="109"/>
      <c r="O286" s="108"/>
      <c r="P286" s="233"/>
      <c r="Q286" s="239"/>
      <c r="R286" s="19"/>
      <c r="S286" s="20"/>
      <c r="T286" s="9" t="str">
        <f t="shared" si="21"/>
        <v xml:space="preserve"> </v>
      </c>
      <c r="U286" s="18"/>
      <c r="V286" s="21"/>
      <c r="W286" s="22"/>
      <c r="X286" s="197" t="str">
        <f t="shared" si="22"/>
        <v xml:space="preserve"> </v>
      </c>
      <c r="Y286" s="246"/>
      <c r="Z286" s="247"/>
      <c r="AA286" s="20"/>
      <c r="AB286" s="11" t="str">
        <f t="shared" si="23"/>
        <v xml:space="preserve"> </v>
      </c>
      <c r="AC286" s="12" t="str">
        <f t="shared" si="24"/>
        <v xml:space="preserve"> </v>
      </c>
      <c r="AI286" s="14" t="str">
        <f t="shared" si="20"/>
        <v>TC Better Price</v>
      </c>
      <c r="AJ286" s="14" t="str">
        <f>IF(W286=0,"",(#REF!/W286))</f>
        <v/>
      </c>
    </row>
    <row r="287" spans="1:36" ht="20.100000000000001" customHeight="1" x14ac:dyDescent="0.25">
      <c r="A287" s="16"/>
      <c r="B287" s="108"/>
      <c r="C287" s="109"/>
      <c r="D287" s="109"/>
      <c r="E287" s="109"/>
      <c r="F287" s="17"/>
      <c r="G287" s="17"/>
      <c r="H287" s="108"/>
      <c r="I287" s="107"/>
      <c r="J287" s="108"/>
      <c r="K287" s="107"/>
      <c r="L287" s="108"/>
      <c r="M287" s="110"/>
      <c r="N287" s="109"/>
      <c r="O287" s="108"/>
      <c r="P287" s="233"/>
      <c r="Q287" s="239"/>
      <c r="R287" s="19"/>
      <c r="S287" s="20"/>
      <c r="T287" s="9" t="str">
        <f t="shared" si="21"/>
        <v xml:space="preserve"> </v>
      </c>
      <c r="U287" s="18"/>
      <c r="V287" s="21"/>
      <c r="W287" s="22"/>
      <c r="X287" s="197" t="str">
        <f t="shared" si="22"/>
        <v xml:space="preserve"> </v>
      </c>
      <c r="Y287" s="246"/>
      <c r="Z287" s="247"/>
      <c r="AA287" s="20"/>
      <c r="AB287" s="11" t="str">
        <f t="shared" si="23"/>
        <v xml:space="preserve"> </v>
      </c>
      <c r="AC287" s="12" t="str">
        <f t="shared" si="24"/>
        <v xml:space="preserve"> </v>
      </c>
      <c r="AI287" s="14" t="str">
        <f t="shared" si="20"/>
        <v>TC Better Price</v>
      </c>
      <c r="AJ287" s="14" t="str">
        <f>IF(W287=0,"",(#REF!/W287))</f>
        <v/>
      </c>
    </row>
    <row r="288" spans="1:36" ht="20.100000000000001" customHeight="1" x14ac:dyDescent="0.25">
      <c r="A288" s="16"/>
      <c r="B288" s="108"/>
      <c r="C288" s="109"/>
      <c r="D288" s="109"/>
      <c r="E288" s="109"/>
      <c r="F288" s="17"/>
      <c r="G288" s="17"/>
      <c r="H288" s="108"/>
      <c r="I288" s="107"/>
      <c r="J288" s="108"/>
      <c r="K288" s="107"/>
      <c r="L288" s="108"/>
      <c r="M288" s="110"/>
      <c r="N288" s="109"/>
      <c r="O288" s="108"/>
      <c r="P288" s="233"/>
      <c r="Q288" s="239"/>
      <c r="R288" s="19"/>
      <c r="S288" s="20"/>
      <c r="T288" s="9" t="str">
        <f t="shared" si="21"/>
        <v xml:space="preserve"> </v>
      </c>
      <c r="U288" s="18"/>
      <c r="V288" s="21"/>
      <c r="W288" s="22"/>
      <c r="X288" s="197" t="str">
        <f t="shared" si="22"/>
        <v xml:space="preserve"> </v>
      </c>
      <c r="Y288" s="246"/>
      <c r="Z288" s="247"/>
      <c r="AA288" s="20"/>
      <c r="AB288" s="11" t="str">
        <f t="shared" si="23"/>
        <v xml:space="preserve"> </v>
      </c>
      <c r="AC288" s="12" t="str">
        <f t="shared" si="24"/>
        <v xml:space="preserve"> </v>
      </c>
      <c r="AI288" s="14" t="str">
        <f t="shared" si="20"/>
        <v>TC Better Price</v>
      </c>
      <c r="AJ288" s="14" t="str">
        <f>IF(W288=0,"",(#REF!/W288))</f>
        <v/>
      </c>
    </row>
    <row r="289" spans="1:36" ht="20.100000000000001" customHeight="1" x14ac:dyDescent="0.25">
      <c r="A289" s="16"/>
      <c r="B289" s="108"/>
      <c r="C289" s="109"/>
      <c r="D289" s="109"/>
      <c r="E289" s="109"/>
      <c r="F289" s="17"/>
      <c r="G289" s="17"/>
      <c r="H289" s="108"/>
      <c r="I289" s="107"/>
      <c r="J289" s="108"/>
      <c r="K289" s="107"/>
      <c r="L289" s="108"/>
      <c r="M289" s="110"/>
      <c r="N289" s="109"/>
      <c r="O289" s="108"/>
      <c r="P289" s="233"/>
      <c r="Q289" s="239"/>
      <c r="R289" s="19"/>
      <c r="S289" s="20"/>
      <c r="T289" s="9" t="str">
        <f t="shared" si="21"/>
        <v xml:space="preserve"> </v>
      </c>
      <c r="U289" s="18"/>
      <c r="V289" s="21"/>
      <c r="W289" s="22"/>
      <c r="X289" s="197" t="str">
        <f t="shared" si="22"/>
        <v xml:space="preserve"> </v>
      </c>
      <c r="Y289" s="246"/>
      <c r="Z289" s="247"/>
      <c r="AA289" s="20"/>
      <c r="AB289" s="11" t="str">
        <f t="shared" si="23"/>
        <v xml:space="preserve"> </v>
      </c>
      <c r="AC289" s="12" t="str">
        <f t="shared" si="24"/>
        <v xml:space="preserve"> </v>
      </c>
      <c r="AI289" s="14" t="str">
        <f t="shared" si="20"/>
        <v>TC Better Price</v>
      </c>
      <c r="AJ289" s="14" t="str">
        <f>IF(W289=0,"",(#REF!/W289))</f>
        <v/>
      </c>
    </row>
    <row r="290" spans="1:36" ht="20.100000000000001" customHeight="1" x14ac:dyDescent="0.25">
      <c r="A290" s="16"/>
      <c r="B290" s="108"/>
      <c r="C290" s="109"/>
      <c r="D290" s="109"/>
      <c r="E290" s="109"/>
      <c r="F290" s="17"/>
      <c r="G290" s="17"/>
      <c r="H290" s="108"/>
      <c r="I290" s="107"/>
      <c r="J290" s="108"/>
      <c r="K290" s="107"/>
      <c r="L290" s="108"/>
      <c r="M290" s="110"/>
      <c r="N290" s="109"/>
      <c r="O290" s="108"/>
      <c r="P290" s="233"/>
      <c r="Q290" s="239"/>
      <c r="R290" s="19"/>
      <c r="S290" s="20"/>
      <c r="T290" s="9" t="str">
        <f t="shared" si="21"/>
        <v xml:space="preserve"> </v>
      </c>
      <c r="U290" s="18"/>
      <c r="V290" s="21"/>
      <c r="W290" s="22"/>
      <c r="X290" s="197" t="str">
        <f t="shared" si="22"/>
        <v xml:space="preserve"> </v>
      </c>
      <c r="Y290" s="246"/>
      <c r="Z290" s="247"/>
      <c r="AA290" s="20"/>
      <c r="AB290" s="11" t="str">
        <f t="shared" si="23"/>
        <v xml:space="preserve"> </v>
      </c>
      <c r="AC290" s="12" t="str">
        <f t="shared" si="24"/>
        <v xml:space="preserve"> </v>
      </c>
      <c r="AI290" s="14" t="str">
        <f t="shared" si="20"/>
        <v>TC Better Price</v>
      </c>
      <c r="AJ290" s="14" t="str">
        <f>IF(W290=0,"",(#REF!/W290))</f>
        <v/>
      </c>
    </row>
    <row r="291" spans="1:36" ht="20.100000000000001" customHeight="1" x14ac:dyDescent="0.25">
      <c r="A291" s="16"/>
      <c r="B291" s="108"/>
      <c r="C291" s="109"/>
      <c r="D291" s="109"/>
      <c r="E291" s="109"/>
      <c r="F291" s="17"/>
      <c r="G291" s="17"/>
      <c r="H291" s="108"/>
      <c r="I291" s="107"/>
      <c r="J291" s="108"/>
      <c r="K291" s="107"/>
      <c r="L291" s="108"/>
      <c r="M291" s="110"/>
      <c r="N291" s="109"/>
      <c r="O291" s="108"/>
      <c r="P291" s="233"/>
      <c r="Q291" s="239"/>
      <c r="R291" s="19"/>
      <c r="S291" s="20"/>
      <c r="T291" s="9" t="str">
        <f t="shared" si="21"/>
        <v xml:space="preserve"> </v>
      </c>
      <c r="U291" s="18"/>
      <c r="V291" s="21"/>
      <c r="W291" s="22"/>
      <c r="X291" s="197" t="str">
        <f t="shared" si="22"/>
        <v xml:space="preserve"> </v>
      </c>
      <c r="Y291" s="246"/>
      <c r="Z291" s="247"/>
      <c r="AA291" s="20"/>
      <c r="AB291" s="11" t="str">
        <f t="shared" si="23"/>
        <v xml:space="preserve"> </v>
      </c>
      <c r="AC291" s="12" t="str">
        <f t="shared" si="24"/>
        <v xml:space="preserve"> </v>
      </c>
      <c r="AI291" s="14" t="str">
        <f t="shared" si="20"/>
        <v>TC Better Price</v>
      </c>
      <c r="AJ291" s="14" t="str">
        <f>IF(W291=0,"",(#REF!/W291))</f>
        <v/>
      </c>
    </row>
    <row r="292" spans="1:36" ht="20.100000000000001" customHeight="1" x14ac:dyDescent="0.25">
      <c r="A292" s="16"/>
      <c r="B292" s="108"/>
      <c r="C292" s="109"/>
      <c r="D292" s="109"/>
      <c r="E292" s="109"/>
      <c r="F292" s="17"/>
      <c r="G292" s="17"/>
      <c r="H292" s="108"/>
      <c r="I292" s="107"/>
      <c r="J292" s="108"/>
      <c r="K292" s="107"/>
      <c r="L292" s="108"/>
      <c r="M292" s="110"/>
      <c r="N292" s="109"/>
      <c r="O292" s="108"/>
      <c r="P292" s="233"/>
      <c r="Q292" s="239"/>
      <c r="R292" s="19"/>
      <c r="S292" s="20"/>
      <c r="T292" s="9" t="str">
        <f t="shared" si="21"/>
        <v xml:space="preserve"> </v>
      </c>
      <c r="U292" s="18"/>
      <c r="V292" s="21"/>
      <c r="W292" s="22"/>
      <c r="X292" s="197" t="str">
        <f t="shared" si="22"/>
        <v xml:space="preserve"> </v>
      </c>
      <c r="Y292" s="246"/>
      <c r="Z292" s="247"/>
      <c r="AA292" s="20"/>
      <c r="AB292" s="11" t="str">
        <f t="shared" si="23"/>
        <v xml:space="preserve"> </v>
      </c>
      <c r="AC292" s="12" t="str">
        <f t="shared" si="24"/>
        <v xml:space="preserve"> </v>
      </c>
      <c r="AI292" s="14" t="str">
        <f t="shared" si="20"/>
        <v>TC Better Price</v>
      </c>
      <c r="AJ292" s="14" t="str">
        <f>IF(W292=0,"",(#REF!/W292))</f>
        <v/>
      </c>
    </row>
    <row r="293" spans="1:36" ht="20.100000000000001" customHeight="1" x14ac:dyDescent="0.25">
      <c r="A293" s="16"/>
      <c r="B293" s="108"/>
      <c r="C293" s="109"/>
      <c r="D293" s="109"/>
      <c r="E293" s="109"/>
      <c r="F293" s="17"/>
      <c r="G293" s="17"/>
      <c r="H293" s="108"/>
      <c r="I293" s="107"/>
      <c r="J293" s="108"/>
      <c r="K293" s="107"/>
      <c r="L293" s="108"/>
      <c r="M293" s="110"/>
      <c r="N293" s="109"/>
      <c r="O293" s="108"/>
      <c r="P293" s="233"/>
      <c r="Q293" s="239"/>
      <c r="R293" s="19"/>
      <c r="S293" s="20"/>
      <c r="T293" s="9" t="str">
        <f t="shared" si="21"/>
        <v xml:space="preserve"> </v>
      </c>
      <c r="U293" s="18"/>
      <c r="V293" s="21"/>
      <c r="W293" s="22"/>
      <c r="X293" s="197" t="str">
        <f t="shared" si="22"/>
        <v xml:space="preserve"> </v>
      </c>
      <c r="Y293" s="246"/>
      <c r="Z293" s="247"/>
      <c r="AA293" s="20"/>
      <c r="AB293" s="11" t="str">
        <f t="shared" si="23"/>
        <v xml:space="preserve"> </v>
      </c>
      <c r="AC293" s="12" t="str">
        <f t="shared" si="24"/>
        <v xml:space="preserve"> </v>
      </c>
      <c r="AI293" s="14" t="str">
        <f t="shared" si="20"/>
        <v>TC Better Price</v>
      </c>
      <c r="AJ293" s="14" t="str">
        <f>IF(W293=0,"",(#REF!/W293))</f>
        <v/>
      </c>
    </row>
    <row r="294" spans="1:36" ht="20.100000000000001" customHeight="1" x14ac:dyDescent="0.25">
      <c r="A294" s="16"/>
      <c r="B294" s="108"/>
      <c r="C294" s="109"/>
      <c r="D294" s="109"/>
      <c r="E294" s="109"/>
      <c r="F294" s="17"/>
      <c r="G294" s="17"/>
      <c r="H294" s="108"/>
      <c r="I294" s="107"/>
      <c r="J294" s="108"/>
      <c r="K294" s="107"/>
      <c r="L294" s="108"/>
      <c r="M294" s="110"/>
      <c r="N294" s="109"/>
      <c r="O294" s="108"/>
      <c r="P294" s="233"/>
      <c r="Q294" s="239"/>
      <c r="R294" s="19"/>
      <c r="S294" s="20"/>
      <c r="T294" s="9" t="str">
        <f t="shared" si="21"/>
        <v xml:space="preserve"> </v>
      </c>
      <c r="U294" s="18"/>
      <c r="V294" s="21"/>
      <c r="W294" s="22"/>
      <c r="X294" s="197" t="str">
        <f t="shared" si="22"/>
        <v xml:space="preserve"> </v>
      </c>
      <c r="Y294" s="246"/>
      <c r="Z294" s="247"/>
      <c r="AA294" s="20"/>
      <c r="AB294" s="11" t="str">
        <f t="shared" si="23"/>
        <v xml:space="preserve"> </v>
      </c>
      <c r="AC294" s="12" t="str">
        <f t="shared" si="24"/>
        <v xml:space="preserve"> </v>
      </c>
      <c r="AI294" s="14" t="str">
        <f t="shared" si="20"/>
        <v>TC Better Price</v>
      </c>
      <c r="AJ294" s="14" t="str">
        <f>IF(W294=0,"",(#REF!/W294))</f>
        <v/>
      </c>
    </row>
    <row r="295" spans="1:36" ht="20.100000000000001" customHeight="1" x14ac:dyDescent="0.25">
      <c r="A295" s="16"/>
      <c r="B295" s="108"/>
      <c r="C295" s="109"/>
      <c r="D295" s="109"/>
      <c r="E295" s="109"/>
      <c r="F295" s="17"/>
      <c r="G295" s="17"/>
      <c r="H295" s="108"/>
      <c r="I295" s="107"/>
      <c r="J295" s="108"/>
      <c r="K295" s="107"/>
      <c r="L295" s="108"/>
      <c r="M295" s="110"/>
      <c r="N295" s="109"/>
      <c r="O295" s="108"/>
      <c r="P295" s="233"/>
      <c r="Q295" s="239"/>
      <c r="R295" s="19"/>
      <c r="S295" s="20"/>
      <c r="T295" s="9" t="str">
        <f t="shared" si="21"/>
        <v xml:space="preserve"> </v>
      </c>
      <c r="U295" s="18"/>
      <c r="V295" s="21"/>
      <c r="W295" s="22"/>
      <c r="X295" s="197" t="str">
        <f t="shared" si="22"/>
        <v xml:space="preserve"> </v>
      </c>
      <c r="Y295" s="246"/>
      <c r="Z295" s="247"/>
      <c r="AA295" s="20"/>
      <c r="AB295" s="11" t="str">
        <f t="shared" si="23"/>
        <v xml:space="preserve"> </v>
      </c>
      <c r="AC295" s="12" t="str">
        <f t="shared" si="24"/>
        <v xml:space="preserve"> </v>
      </c>
      <c r="AI295" s="14" t="str">
        <f t="shared" si="20"/>
        <v>TC Better Price</v>
      </c>
      <c r="AJ295" s="14" t="str">
        <f>IF(W295=0,"",(#REF!/W295))</f>
        <v/>
      </c>
    </row>
    <row r="296" spans="1:36" ht="20.100000000000001" customHeight="1" x14ac:dyDescent="0.25">
      <c r="A296" s="16"/>
      <c r="B296" s="108"/>
      <c r="C296" s="109"/>
      <c r="D296" s="109"/>
      <c r="E296" s="109"/>
      <c r="F296" s="17"/>
      <c r="G296" s="17"/>
      <c r="H296" s="108"/>
      <c r="I296" s="107"/>
      <c r="J296" s="108"/>
      <c r="K296" s="107"/>
      <c r="L296" s="108"/>
      <c r="M296" s="110"/>
      <c r="N296" s="109"/>
      <c r="O296" s="108"/>
      <c r="P296" s="233"/>
      <c r="Q296" s="239"/>
      <c r="R296" s="19"/>
      <c r="S296" s="20"/>
      <c r="T296" s="9" t="str">
        <f t="shared" si="21"/>
        <v xml:space="preserve"> </v>
      </c>
      <c r="U296" s="18"/>
      <c r="V296" s="21"/>
      <c r="W296" s="22"/>
      <c r="X296" s="197" t="str">
        <f t="shared" si="22"/>
        <v xml:space="preserve"> </v>
      </c>
      <c r="Y296" s="246"/>
      <c r="Z296" s="247"/>
      <c r="AA296" s="20"/>
      <c r="AB296" s="11" t="str">
        <f t="shared" si="23"/>
        <v xml:space="preserve"> </v>
      </c>
      <c r="AC296" s="12" t="str">
        <f t="shared" si="24"/>
        <v xml:space="preserve"> </v>
      </c>
      <c r="AI296" s="14" t="str">
        <f t="shared" si="20"/>
        <v>TC Better Price</v>
      </c>
      <c r="AJ296" s="14" t="str">
        <f>IF(W296=0,"",(#REF!/W296))</f>
        <v/>
      </c>
    </row>
    <row r="297" spans="1:36" ht="20.100000000000001" customHeight="1" x14ac:dyDescent="0.25">
      <c r="A297" s="16"/>
      <c r="B297" s="108"/>
      <c r="C297" s="109"/>
      <c r="D297" s="109"/>
      <c r="E297" s="109"/>
      <c r="F297" s="17"/>
      <c r="G297" s="17"/>
      <c r="H297" s="108"/>
      <c r="I297" s="107"/>
      <c r="J297" s="108"/>
      <c r="K297" s="107"/>
      <c r="L297" s="108"/>
      <c r="M297" s="110"/>
      <c r="N297" s="109"/>
      <c r="O297" s="108"/>
      <c r="P297" s="233"/>
      <c r="Q297" s="239"/>
      <c r="R297" s="19"/>
      <c r="S297" s="20"/>
      <c r="T297" s="9" t="str">
        <f t="shared" si="21"/>
        <v xml:space="preserve"> </v>
      </c>
      <c r="U297" s="18"/>
      <c r="V297" s="21"/>
      <c r="W297" s="22"/>
      <c r="X297" s="197" t="str">
        <f t="shared" si="22"/>
        <v xml:space="preserve"> </v>
      </c>
      <c r="Y297" s="246"/>
      <c r="Z297" s="247"/>
      <c r="AA297" s="20"/>
      <c r="AB297" s="11" t="str">
        <f t="shared" si="23"/>
        <v xml:space="preserve"> </v>
      </c>
      <c r="AC297" s="12" t="str">
        <f t="shared" si="24"/>
        <v xml:space="preserve"> </v>
      </c>
      <c r="AI297" s="14" t="str">
        <f t="shared" si="20"/>
        <v>TC Better Price</v>
      </c>
      <c r="AJ297" s="14" t="str">
        <f>IF(W297=0,"",(#REF!/W297))</f>
        <v/>
      </c>
    </row>
    <row r="298" spans="1:36" ht="20.100000000000001" customHeight="1" x14ac:dyDescent="0.25">
      <c r="A298" s="16"/>
      <c r="B298" s="108"/>
      <c r="C298" s="109"/>
      <c r="D298" s="109"/>
      <c r="E298" s="109"/>
      <c r="F298" s="17"/>
      <c r="G298" s="17"/>
      <c r="H298" s="108"/>
      <c r="I298" s="107"/>
      <c r="J298" s="108"/>
      <c r="K298" s="107"/>
      <c r="L298" s="108"/>
      <c r="M298" s="110"/>
      <c r="N298" s="109"/>
      <c r="O298" s="108"/>
      <c r="P298" s="233"/>
      <c r="Q298" s="239"/>
      <c r="R298" s="19"/>
      <c r="S298" s="20"/>
      <c r="T298" s="9" t="str">
        <f t="shared" si="21"/>
        <v xml:space="preserve"> </v>
      </c>
      <c r="U298" s="18"/>
      <c r="V298" s="21"/>
      <c r="W298" s="22"/>
      <c r="X298" s="197" t="str">
        <f t="shared" si="22"/>
        <v xml:space="preserve"> </v>
      </c>
      <c r="Y298" s="246"/>
      <c r="Z298" s="247"/>
      <c r="AA298" s="20"/>
      <c r="AB298" s="11" t="str">
        <f t="shared" si="23"/>
        <v xml:space="preserve"> </v>
      </c>
      <c r="AC298" s="12" t="str">
        <f t="shared" si="24"/>
        <v xml:space="preserve"> </v>
      </c>
      <c r="AI298" s="14" t="str">
        <f t="shared" si="20"/>
        <v>TC Better Price</v>
      </c>
      <c r="AJ298" s="14" t="str">
        <f>IF(W298=0,"",(#REF!/W298))</f>
        <v/>
      </c>
    </row>
    <row r="299" spans="1:36" ht="20.100000000000001" customHeight="1" x14ac:dyDescent="0.25">
      <c r="A299" s="16"/>
      <c r="B299" s="108"/>
      <c r="C299" s="109"/>
      <c r="D299" s="109"/>
      <c r="E299" s="109"/>
      <c r="F299" s="17"/>
      <c r="G299" s="17"/>
      <c r="H299" s="108"/>
      <c r="I299" s="107"/>
      <c r="J299" s="108"/>
      <c r="K299" s="107"/>
      <c r="L299" s="108"/>
      <c r="M299" s="110"/>
      <c r="N299" s="109"/>
      <c r="O299" s="108"/>
      <c r="P299" s="233"/>
      <c r="Q299" s="239"/>
      <c r="R299" s="19"/>
      <c r="S299" s="20"/>
      <c r="T299" s="9" t="str">
        <f t="shared" si="21"/>
        <v xml:space="preserve"> </v>
      </c>
      <c r="U299" s="18"/>
      <c r="V299" s="21"/>
      <c r="W299" s="22"/>
      <c r="X299" s="197" t="str">
        <f t="shared" si="22"/>
        <v xml:space="preserve"> </v>
      </c>
      <c r="Y299" s="246"/>
      <c r="Z299" s="247"/>
      <c r="AA299" s="20"/>
      <c r="AB299" s="11" t="str">
        <f t="shared" si="23"/>
        <v xml:space="preserve"> </v>
      </c>
      <c r="AC299" s="12" t="str">
        <f t="shared" si="24"/>
        <v xml:space="preserve"> </v>
      </c>
      <c r="AI299" s="14" t="str">
        <f t="shared" si="20"/>
        <v>TC Better Price</v>
      </c>
      <c r="AJ299" s="14" t="str">
        <f>IF(W299=0,"",(#REF!/W299))</f>
        <v/>
      </c>
    </row>
    <row r="300" spans="1:36" ht="20.100000000000001" customHeight="1" x14ac:dyDescent="0.25">
      <c r="A300" s="16"/>
      <c r="B300" s="108"/>
      <c r="C300" s="109"/>
      <c r="D300" s="109"/>
      <c r="E300" s="109"/>
      <c r="F300" s="17"/>
      <c r="G300" s="17"/>
      <c r="H300" s="108"/>
      <c r="I300" s="107"/>
      <c r="J300" s="108"/>
      <c r="K300" s="107"/>
      <c r="L300" s="108"/>
      <c r="M300" s="110"/>
      <c r="N300" s="109"/>
      <c r="O300" s="108"/>
      <c r="P300" s="233"/>
      <c r="Q300" s="239"/>
      <c r="R300" s="19"/>
      <c r="S300" s="20"/>
      <c r="T300" s="9" t="str">
        <f t="shared" si="21"/>
        <v xml:space="preserve"> </v>
      </c>
      <c r="U300" s="18"/>
      <c r="V300" s="21"/>
      <c r="W300" s="22"/>
      <c r="X300" s="197" t="str">
        <f t="shared" si="22"/>
        <v xml:space="preserve"> </v>
      </c>
      <c r="Y300" s="246"/>
      <c r="Z300" s="247"/>
      <c r="AA300" s="20"/>
      <c r="AB300" s="11" t="str">
        <f t="shared" si="23"/>
        <v xml:space="preserve"> </v>
      </c>
      <c r="AC300" s="12" t="str">
        <f t="shared" si="24"/>
        <v xml:space="preserve"> </v>
      </c>
      <c r="AI300" s="14" t="str">
        <f t="shared" si="20"/>
        <v>TC Better Price</v>
      </c>
      <c r="AJ300" s="14" t="str">
        <f>IF(W300=0,"",(#REF!/W300))</f>
        <v/>
      </c>
    </row>
    <row r="301" spans="1:36" ht="20.100000000000001" customHeight="1" x14ac:dyDescent="0.25">
      <c r="A301" s="16"/>
      <c r="B301" s="108"/>
      <c r="C301" s="109"/>
      <c r="D301" s="109"/>
      <c r="E301" s="109"/>
      <c r="F301" s="17"/>
      <c r="G301" s="17"/>
      <c r="H301" s="108"/>
      <c r="I301" s="107"/>
      <c r="J301" s="108"/>
      <c r="K301" s="107"/>
      <c r="L301" s="108"/>
      <c r="M301" s="110"/>
      <c r="N301" s="109"/>
      <c r="O301" s="108"/>
      <c r="P301" s="233"/>
      <c r="Q301" s="239"/>
      <c r="R301" s="19"/>
      <c r="S301" s="20"/>
      <c r="T301" s="9" t="str">
        <f t="shared" si="21"/>
        <v xml:space="preserve"> </v>
      </c>
      <c r="U301" s="18"/>
      <c r="V301" s="21"/>
      <c r="W301" s="22"/>
      <c r="X301" s="197" t="str">
        <f t="shared" si="22"/>
        <v xml:space="preserve"> </v>
      </c>
      <c r="Y301" s="246"/>
      <c r="Z301" s="247"/>
      <c r="AA301" s="20"/>
      <c r="AB301" s="11" t="str">
        <f t="shared" si="23"/>
        <v xml:space="preserve"> </v>
      </c>
      <c r="AC301" s="12" t="str">
        <f t="shared" si="24"/>
        <v xml:space="preserve"> </v>
      </c>
    </row>
    <row r="302" spans="1:36" ht="20.100000000000001" customHeight="1" x14ac:dyDescent="0.25">
      <c r="A302" s="16"/>
      <c r="B302" s="108"/>
      <c r="C302" s="109"/>
      <c r="D302" s="109"/>
      <c r="E302" s="109"/>
      <c r="F302" s="17"/>
      <c r="G302" s="17"/>
      <c r="H302" s="108"/>
      <c r="I302" s="107"/>
      <c r="J302" s="108"/>
      <c r="K302" s="107"/>
      <c r="L302" s="108"/>
      <c r="M302" s="110"/>
      <c r="N302" s="109"/>
      <c r="O302" s="108"/>
      <c r="P302" s="233"/>
      <c r="Q302" s="239"/>
      <c r="R302" s="19"/>
      <c r="S302" s="20"/>
      <c r="T302" s="9" t="str">
        <f t="shared" si="21"/>
        <v xml:space="preserve"> </v>
      </c>
      <c r="U302" s="18"/>
      <c r="V302" s="21"/>
      <c r="W302" s="22"/>
      <c r="X302" s="197" t="str">
        <f t="shared" si="22"/>
        <v xml:space="preserve"> </v>
      </c>
      <c r="Y302" s="246"/>
      <c r="Z302" s="247"/>
      <c r="AA302" s="20"/>
      <c r="AB302" s="11" t="str">
        <f t="shared" si="23"/>
        <v xml:space="preserve"> </v>
      </c>
      <c r="AC302" s="12" t="str">
        <f t="shared" si="24"/>
        <v xml:space="preserve"> </v>
      </c>
    </row>
    <row r="303" spans="1:36" ht="20.100000000000001" customHeight="1" x14ac:dyDescent="0.25">
      <c r="A303" s="16"/>
      <c r="B303" s="108"/>
      <c r="C303" s="109"/>
      <c r="D303" s="109"/>
      <c r="E303" s="109"/>
      <c r="F303" s="17"/>
      <c r="G303" s="17"/>
      <c r="H303" s="108"/>
      <c r="I303" s="107"/>
      <c r="J303" s="108"/>
      <c r="K303" s="107"/>
      <c r="L303" s="108"/>
      <c r="M303" s="110"/>
      <c r="N303" s="109"/>
      <c r="O303" s="108"/>
      <c r="P303" s="233"/>
      <c r="Q303" s="239"/>
      <c r="R303" s="19"/>
      <c r="S303" s="20"/>
      <c r="T303" s="9" t="str">
        <f t="shared" si="21"/>
        <v xml:space="preserve"> </v>
      </c>
      <c r="U303" s="18"/>
      <c r="V303" s="21"/>
      <c r="W303" s="22"/>
      <c r="X303" s="197" t="str">
        <f t="shared" si="22"/>
        <v xml:space="preserve"> </v>
      </c>
      <c r="Y303" s="246"/>
      <c r="Z303" s="247"/>
      <c r="AA303" s="20"/>
      <c r="AB303" s="11" t="str">
        <f t="shared" si="23"/>
        <v xml:space="preserve"> </v>
      </c>
      <c r="AC303" s="12" t="str">
        <f t="shared" si="24"/>
        <v xml:space="preserve"> </v>
      </c>
    </row>
    <row r="304" spans="1:36" ht="20.100000000000001" customHeight="1" x14ac:dyDescent="0.25">
      <c r="A304" s="16"/>
      <c r="B304" s="108"/>
      <c r="C304" s="109"/>
      <c r="D304" s="109"/>
      <c r="E304" s="109"/>
      <c r="F304" s="17"/>
      <c r="G304" s="17"/>
      <c r="H304" s="108"/>
      <c r="I304" s="107"/>
      <c r="J304" s="108"/>
      <c r="K304" s="107"/>
      <c r="L304" s="108"/>
      <c r="M304" s="110"/>
      <c r="N304" s="109"/>
      <c r="O304" s="108"/>
      <c r="P304" s="233"/>
      <c r="Q304" s="239"/>
      <c r="R304" s="19"/>
      <c r="S304" s="20"/>
      <c r="T304" s="9" t="str">
        <f t="shared" si="21"/>
        <v xml:space="preserve"> </v>
      </c>
      <c r="U304" s="18"/>
      <c r="V304" s="21"/>
      <c r="W304" s="22"/>
      <c r="X304" s="197" t="str">
        <f t="shared" si="22"/>
        <v xml:space="preserve"> </v>
      </c>
      <c r="Y304" s="246"/>
      <c r="Z304" s="247"/>
      <c r="AA304" s="20"/>
      <c r="AB304" s="11" t="str">
        <f t="shared" si="23"/>
        <v xml:space="preserve"> </v>
      </c>
      <c r="AC304" s="12" t="str">
        <f t="shared" si="24"/>
        <v xml:space="preserve"> </v>
      </c>
    </row>
    <row r="305" spans="1:29" ht="20.100000000000001" customHeight="1" x14ac:dyDescent="0.25">
      <c r="A305" s="16"/>
      <c r="B305" s="108"/>
      <c r="C305" s="109"/>
      <c r="D305" s="109"/>
      <c r="E305" s="109"/>
      <c r="F305" s="17"/>
      <c r="G305" s="17"/>
      <c r="H305" s="108"/>
      <c r="I305" s="107"/>
      <c r="J305" s="108"/>
      <c r="K305" s="107"/>
      <c r="L305" s="108"/>
      <c r="M305" s="110"/>
      <c r="N305" s="109"/>
      <c r="O305" s="108"/>
      <c r="P305" s="233"/>
      <c r="Q305" s="239"/>
      <c r="R305" s="19"/>
      <c r="S305" s="20"/>
      <c r="T305" s="9" t="str">
        <f t="shared" si="21"/>
        <v xml:space="preserve"> </v>
      </c>
      <c r="U305" s="18"/>
      <c r="V305" s="21"/>
      <c r="W305" s="22"/>
      <c r="X305" s="197" t="str">
        <f t="shared" si="22"/>
        <v xml:space="preserve"> </v>
      </c>
      <c r="Y305" s="246"/>
      <c r="Z305" s="247"/>
      <c r="AA305" s="20"/>
      <c r="AB305" s="11" t="str">
        <f t="shared" si="23"/>
        <v xml:space="preserve"> </v>
      </c>
      <c r="AC305" s="12" t="str">
        <f t="shared" si="24"/>
        <v xml:space="preserve"> </v>
      </c>
    </row>
    <row r="306" spans="1:29" ht="20.100000000000001" customHeight="1" x14ac:dyDescent="0.25">
      <c r="A306" s="16"/>
      <c r="B306" s="108"/>
      <c r="C306" s="109"/>
      <c r="D306" s="109"/>
      <c r="E306" s="109"/>
      <c r="F306" s="17"/>
      <c r="G306" s="17"/>
      <c r="H306" s="108"/>
      <c r="I306" s="107"/>
      <c r="J306" s="108"/>
      <c r="K306" s="107"/>
      <c r="L306" s="108"/>
      <c r="M306" s="110"/>
      <c r="N306" s="109"/>
      <c r="O306" s="108"/>
      <c r="P306" s="233"/>
      <c r="Q306" s="239"/>
      <c r="R306" s="19"/>
      <c r="S306" s="20"/>
      <c r="T306" s="9" t="str">
        <f t="shared" si="21"/>
        <v xml:space="preserve"> </v>
      </c>
      <c r="U306" s="18"/>
      <c r="V306" s="21"/>
      <c r="W306" s="22"/>
      <c r="X306" s="197" t="str">
        <f t="shared" si="22"/>
        <v xml:space="preserve"> </v>
      </c>
      <c r="Y306" s="246"/>
      <c r="Z306" s="247"/>
      <c r="AA306" s="20"/>
      <c r="AB306" s="11" t="str">
        <f t="shared" si="23"/>
        <v xml:space="preserve"> </v>
      </c>
      <c r="AC306" s="12" t="str">
        <f t="shared" si="24"/>
        <v xml:space="preserve"> </v>
      </c>
    </row>
    <row r="307" spans="1:29" ht="20.100000000000001" customHeight="1" x14ac:dyDescent="0.25">
      <c r="A307" s="16"/>
      <c r="B307" s="108"/>
      <c r="C307" s="109"/>
      <c r="D307" s="109"/>
      <c r="E307" s="109"/>
      <c r="F307" s="17"/>
      <c r="G307" s="17"/>
      <c r="H307" s="108"/>
      <c r="I307" s="107"/>
      <c r="J307" s="108"/>
      <c r="K307" s="107"/>
      <c r="L307" s="108"/>
      <c r="M307" s="110"/>
      <c r="N307" s="109"/>
      <c r="O307" s="108"/>
      <c r="P307" s="233"/>
      <c r="Q307" s="239"/>
      <c r="R307" s="19"/>
      <c r="S307" s="20"/>
      <c r="T307" s="9" t="str">
        <f t="shared" si="21"/>
        <v xml:space="preserve"> </v>
      </c>
      <c r="U307" s="18"/>
      <c r="V307" s="21"/>
      <c r="W307" s="22"/>
      <c r="X307" s="197" t="str">
        <f t="shared" si="22"/>
        <v xml:space="preserve"> </v>
      </c>
      <c r="Y307" s="246"/>
      <c r="Z307" s="247"/>
      <c r="AA307" s="20"/>
      <c r="AB307" s="11" t="str">
        <f t="shared" si="23"/>
        <v xml:space="preserve"> </v>
      </c>
      <c r="AC307" s="12" t="str">
        <f t="shared" si="24"/>
        <v xml:space="preserve"> </v>
      </c>
    </row>
    <row r="308" spans="1:29" ht="20.100000000000001" customHeight="1" x14ac:dyDescent="0.25">
      <c r="A308" s="16"/>
      <c r="B308" s="108"/>
      <c r="C308" s="109"/>
      <c r="D308" s="109"/>
      <c r="E308" s="109"/>
      <c r="F308" s="17"/>
      <c r="G308" s="17"/>
      <c r="H308" s="108"/>
      <c r="I308" s="107"/>
      <c r="J308" s="108"/>
      <c r="K308" s="107"/>
      <c r="L308" s="108"/>
      <c r="M308" s="110"/>
      <c r="N308" s="109"/>
      <c r="O308" s="108"/>
      <c r="P308" s="233"/>
      <c r="Q308" s="239"/>
      <c r="R308" s="19"/>
      <c r="S308" s="20"/>
      <c r="T308" s="9" t="str">
        <f t="shared" si="21"/>
        <v xml:space="preserve"> </v>
      </c>
      <c r="U308" s="18"/>
      <c r="V308" s="21"/>
      <c r="W308" s="22"/>
      <c r="X308" s="197" t="str">
        <f t="shared" si="22"/>
        <v xml:space="preserve"> </v>
      </c>
      <c r="Y308" s="246"/>
      <c r="Z308" s="247"/>
      <c r="AA308" s="20"/>
      <c r="AB308" s="11" t="str">
        <f t="shared" si="23"/>
        <v xml:space="preserve"> </v>
      </c>
      <c r="AC308" s="12" t="str">
        <f t="shared" si="24"/>
        <v xml:space="preserve"> </v>
      </c>
    </row>
    <row r="309" spans="1:29" ht="20.100000000000001" customHeight="1" x14ac:dyDescent="0.25">
      <c r="A309" s="16"/>
      <c r="B309" s="108"/>
      <c r="C309" s="109"/>
      <c r="D309" s="109"/>
      <c r="E309" s="109"/>
      <c r="F309" s="17"/>
      <c r="G309" s="17"/>
      <c r="H309" s="108"/>
      <c r="I309" s="107"/>
      <c r="J309" s="108"/>
      <c r="K309" s="107"/>
      <c r="L309" s="108"/>
      <c r="M309" s="110"/>
      <c r="N309" s="109"/>
      <c r="O309" s="108"/>
      <c r="P309" s="233"/>
      <c r="Q309" s="239"/>
      <c r="R309" s="19"/>
      <c r="S309" s="20"/>
      <c r="T309" s="9" t="str">
        <f t="shared" si="21"/>
        <v xml:space="preserve"> </v>
      </c>
      <c r="U309" s="18"/>
      <c r="V309" s="21"/>
      <c r="W309" s="22"/>
      <c r="X309" s="197" t="str">
        <f t="shared" si="22"/>
        <v xml:space="preserve"> </v>
      </c>
      <c r="Y309" s="246"/>
      <c r="Z309" s="247"/>
      <c r="AA309" s="20"/>
      <c r="AB309" s="11" t="str">
        <f t="shared" si="23"/>
        <v xml:space="preserve"> </v>
      </c>
      <c r="AC309" s="12" t="str">
        <f t="shared" si="24"/>
        <v xml:space="preserve"> </v>
      </c>
    </row>
    <row r="310" spans="1:29" ht="20.100000000000001" customHeight="1" x14ac:dyDescent="0.25">
      <c r="A310" s="16"/>
      <c r="B310" s="108"/>
      <c r="C310" s="109"/>
      <c r="D310" s="109"/>
      <c r="E310" s="109"/>
      <c r="F310" s="17"/>
      <c r="G310" s="17"/>
      <c r="H310" s="108"/>
      <c r="I310" s="107"/>
      <c r="J310" s="108"/>
      <c r="K310" s="107"/>
      <c r="L310" s="108"/>
      <c r="M310" s="110"/>
      <c r="N310" s="109"/>
      <c r="O310" s="108"/>
      <c r="P310" s="233"/>
      <c r="Q310" s="239"/>
      <c r="R310" s="19"/>
      <c r="S310" s="20"/>
      <c r="T310" s="9" t="str">
        <f t="shared" si="21"/>
        <v xml:space="preserve"> </v>
      </c>
      <c r="U310" s="18"/>
      <c r="V310" s="21"/>
      <c r="W310" s="22"/>
      <c r="X310" s="197" t="str">
        <f t="shared" si="22"/>
        <v xml:space="preserve"> </v>
      </c>
      <c r="Y310" s="246"/>
      <c r="Z310" s="247"/>
      <c r="AA310" s="20"/>
      <c r="AB310" s="11" t="str">
        <f t="shared" si="23"/>
        <v xml:space="preserve"> </v>
      </c>
      <c r="AC310" s="12" t="str">
        <f t="shared" si="24"/>
        <v xml:space="preserve"> </v>
      </c>
    </row>
    <row r="311" spans="1:29" ht="20.100000000000001" customHeight="1" x14ac:dyDescent="0.25">
      <c r="A311" s="16"/>
      <c r="B311" s="108"/>
      <c r="C311" s="109"/>
      <c r="D311" s="109"/>
      <c r="E311" s="109"/>
      <c r="F311" s="17"/>
      <c r="G311" s="17"/>
      <c r="H311" s="108"/>
      <c r="I311" s="107"/>
      <c r="J311" s="108"/>
      <c r="K311" s="107"/>
      <c r="L311" s="108"/>
      <c r="M311" s="110"/>
      <c r="N311" s="109"/>
      <c r="O311" s="108"/>
      <c r="P311" s="233"/>
      <c r="Q311" s="239"/>
      <c r="R311" s="19"/>
      <c r="S311" s="20"/>
      <c r="T311" s="9" t="str">
        <f t="shared" si="21"/>
        <v xml:space="preserve"> </v>
      </c>
      <c r="U311" s="18"/>
      <c r="V311" s="21"/>
      <c r="W311" s="22"/>
      <c r="X311" s="197" t="str">
        <f t="shared" si="22"/>
        <v xml:space="preserve"> </v>
      </c>
      <c r="Y311" s="246"/>
      <c r="Z311" s="247"/>
      <c r="AA311" s="20"/>
      <c r="AB311" s="11" t="str">
        <f t="shared" si="23"/>
        <v xml:space="preserve"> </v>
      </c>
      <c r="AC311" s="12" t="str">
        <f t="shared" si="24"/>
        <v xml:space="preserve"> </v>
      </c>
    </row>
    <row r="312" spans="1:29" ht="20.100000000000001" customHeight="1" x14ac:dyDescent="0.25">
      <c r="A312" s="16"/>
      <c r="B312" s="108"/>
      <c r="C312" s="109"/>
      <c r="D312" s="109"/>
      <c r="E312" s="109"/>
      <c r="F312" s="17"/>
      <c r="G312" s="17"/>
      <c r="H312" s="108"/>
      <c r="I312" s="107"/>
      <c r="J312" s="108"/>
      <c r="K312" s="107"/>
      <c r="L312" s="108"/>
      <c r="M312" s="110"/>
      <c r="N312" s="109"/>
      <c r="O312" s="108"/>
      <c r="P312" s="233"/>
      <c r="Q312" s="239"/>
      <c r="R312" s="19"/>
      <c r="S312" s="20"/>
      <c r="T312" s="9" t="str">
        <f t="shared" si="21"/>
        <v xml:space="preserve"> </v>
      </c>
      <c r="U312" s="18"/>
      <c r="V312" s="21"/>
      <c r="W312" s="22"/>
      <c r="X312" s="197" t="str">
        <f t="shared" si="22"/>
        <v xml:space="preserve"> </v>
      </c>
      <c r="Y312" s="246"/>
      <c r="Z312" s="247"/>
      <c r="AA312" s="20"/>
      <c r="AB312" s="11" t="str">
        <f t="shared" si="23"/>
        <v xml:space="preserve"> </v>
      </c>
      <c r="AC312" s="12" t="str">
        <f t="shared" si="24"/>
        <v xml:space="preserve"> </v>
      </c>
    </row>
    <row r="313" spans="1:29" ht="20.100000000000001" customHeight="1" x14ac:dyDescent="0.25">
      <c r="A313" s="16"/>
      <c r="B313" s="108"/>
      <c r="C313" s="109"/>
      <c r="D313" s="109"/>
      <c r="E313" s="109"/>
      <c r="F313" s="17"/>
      <c r="G313" s="17"/>
      <c r="H313" s="108"/>
      <c r="I313" s="107"/>
      <c r="J313" s="108"/>
      <c r="K313" s="107"/>
      <c r="L313" s="108"/>
      <c r="M313" s="110"/>
      <c r="N313" s="109"/>
      <c r="O313" s="108"/>
      <c r="P313" s="233"/>
      <c r="Q313" s="239"/>
      <c r="R313" s="19"/>
      <c r="S313" s="20"/>
      <c r="T313" s="9" t="str">
        <f t="shared" si="21"/>
        <v xml:space="preserve"> </v>
      </c>
      <c r="U313" s="18"/>
      <c r="V313" s="21"/>
      <c r="W313" s="22"/>
      <c r="X313" s="197" t="str">
        <f t="shared" si="22"/>
        <v xml:space="preserve"> </v>
      </c>
      <c r="Y313" s="246"/>
      <c r="Z313" s="247"/>
      <c r="AA313" s="20"/>
      <c r="AB313" s="11" t="str">
        <f t="shared" si="23"/>
        <v xml:space="preserve"> </v>
      </c>
      <c r="AC313" s="12" t="str">
        <f t="shared" si="24"/>
        <v xml:space="preserve"> </v>
      </c>
    </row>
    <row r="314" spans="1:29" ht="20.100000000000001" customHeight="1" x14ac:dyDescent="0.25">
      <c r="A314" s="16"/>
      <c r="B314" s="108"/>
      <c r="C314" s="109"/>
      <c r="D314" s="109"/>
      <c r="E314" s="109"/>
      <c r="F314" s="17"/>
      <c r="G314" s="17"/>
      <c r="H314" s="108"/>
      <c r="I314" s="107"/>
      <c r="J314" s="108"/>
      <c r="K314" s="107"/>
      <c r="L314" s="108"/>
      <c r="M314" s="110"/>
      <c r="N314" s="109"/>
      <c r="O314" s="108"/>
      <c r="P314" s="233"/>
      <c r="Q314" s="239"/>
      <c r="R314" s="19"/>
      <c r="S314" s="20"/>
      <c r="T314" s="9" t="str">
        <f t="shared" si="21"/>
        <v xml:space="preserve"> </v>
      </c>
      <c r="U314" s="18"/>
      <c r="V314" s="21"/>
      <c r="W314" s="22"/>
      <c r="X314" s="197" t="str">
        <f t="shared" si="22"/>
        <v xml:space="preserve"> </v>
      </c>
      <c r="Y314" s="246"/>
      <c r="Z314" s="247"/>
      <c r="AA314" s="20"/>
      <c r="AB314" s="11" t="str">
        <f t="shared" si="23"/>
        <v xml:space="preserve"> </v>
      </c>
      <c r="AC314" s="12" t="str">
        <f t="shared" si="24"/>
        <v xml:space="preserve"> </v>
      </c>
    </row>
    <row r="315" spans="1:29" ht="20.100000000000001" customHeight="1" x14ac:dyDescent="0.25">
      <c r="A315" s="16"/>
      <c r="B315" s="108"/>
      <c r="C315" s="109"/>
      <c r="D315" s="109"/>
      <c r="E315" s="109"/>
      <c r="F315" s="17"/>
      <c r="G315" s="17"/>
      <c r="H315" s="108"/>
      <c r="I315" s="107"/>
      <c r="J315" s="108"/>
      <c r="K315" s="107"/>
      <c r="L315" s="108"/>
      <c r="M315" s="110"/>
      <c r="N315" s="109"/>
      <c r="O315" s="108"/>
      <c r="P315" s="233"/>
      <c r="Q315" s="239"/>
      <c r="R315" s="19"/>
      <c r="S315" s="20"/>
      <c r="T315" s="9" t="str">
        <f t="shared" si="21"/>
        <v xml:space="preserve"> </v>
      </c>
      <c r="U315" s="18"/>
      <c r="V315" s="21"/>
      <c r="W315" s="22"/>
      <c r="X315" s="197" t="str">
        <f t="shared" si="22"/>
        <v xml:space="preserve"> </v>
      </c>
      <c r="Y315" s="246"/>
      <c r="Z315" s="247"/>
      <c r="AA315" s="20"/>
      <c r="AB315" s="11" t="str">
        <f t="shared" si="23"/>
        <v xml:space="preserve"> </v>
      </c>
      <c r="AC315" s="12" t="str">
        <f t="shared" si="24"/>
        <v xml:space="preserve"> </v>
      </c>
    </row>
    <row r="316" spans="1:29" ht="20.100000000000001" customHeight="1" x14ac:dyDescent="0.25">
      <c r="A316" s="16"/>
      <c r="B316" s="108"/>
      <c r="C316" s="109"/>
      <c r="D316" s="109"/>
      <c r="E316" s="109"/>
      <c r="F316" s="17"/>
      <c r="G316" s="17"/>
      <c r="H316" s="108"/>
      <c r="I316" s="107"/>
      <c r="J316" s="108"/>
      <c r="K316" s="107"/>
      <c r="L316" s="108"/>
      <c r="M316" s="110"/>
      <c r="N316" s="109"/>
      <c r="O316" s="108"/>
      <c r="P316" s="233"/>
      <c r="Q316" s="239"/>
      <c r="R316" s="19"/>
      <c r="S316" s="20"/>
      <c r="T316" s="9" t="str">
        <f t="shared" si="21"/>
        <v xml:space="preserve"> </v>
      </c>
      <c r="U316" s="18"/>
      <c r="V316" s="21"/>
      <c r="W316" s="22"/>
      <c r="X316" s="197" t="str">
        <f t="shared" si="22"/>
        <v xml:space="preserve"> </v>
      </c>
      <c r="Y316" s="246"/>
      <c r="Z316" s="247"/>
      <c r="AA316" s="20"/>
      <c r="AB316" s="11" t="str">
        <f t="shared" si="23"/>
        <v xml:space="preserve"> </v>
      </c>
      <c r="AC316" s="12" t="str">
        <f t="shared" si="24"/>
        <v xml:space="preserve"> </v>
      </c>
    </row>
    <row r="317" spans="1:29" ht="20.100000000000001" customHeight="1" x14ac:dyDescent="0.25">
      <c r="A317" s="16"/>
      <c r="B317" s="108"/>
      <c r="C317" s="109"/>
      <c r="D317" s="109"/>
      <c r="E317" s="109"/>
      <c r="F317" s="17"/>
      <c r="G317" s="17"/>
      <c r="H317" s="108"/>
      <c r="I317" s="107"/>
      <c r="J317" s="108"/>
      <c r="K317" s="107"/>
      <c r="L317" s="108"/>
      <c r="M317" s="110"/>
      <c r="N317" s="109"/>
      <c r="O317" s="108"/>
      <c r="P317" s="233"/>
      <c r="Q317" s="239"/>
      <c r="R317" s="19"/>
      <c r="S317" s="20"/>
      <c r="T317" s="9" t="str">
        <f t="shared" si="21"/>
        <v xml:space="preserve"> </v>
      </c>
      <c r="U317" s="18"/>
      <c r="V317" s="21"/>
      <c r="W317" s="22"/>
      <c r="X317" s="197" t="str">
        <f t="shared" si="22"/>
        <v xml:space="preserve"> </v>
      </c>
      <c r="Y317" s="246"/>
      <c r="Z317" s="247"/>
      <c r="AA317" s="20"/>
      <c r="AB317" s="11" t="str">
        <f t="shared" si="23"/>
        <v xml:space="preserve"> </v>
      </c>
      <c r="AC317" s="12" t="str">
        <f t="shared" si="24"/>
        <v xml:space="preserve"> </v>
      </c>
    </row>
    <row r="318" spans="1:29" ht="20.100000000000001" customHeight="1" x14ac:dyDescent="0.25">
      <c r="A318" s="16"/>
      <c r="B318" s="108"/>
      <c r="C318" s="109"/>
      <c r="D318" s="109"/>
      <c r="E318" s="109"/>
      <c r="F318" s="17"/>
      <c r="G318" s="17"/>
      <c r="H318" s="108"/>
      <c r="I318" s="107"/>
      <c r="J318" s="108"/>
      <c r="K318" s="107"/>
      <c r="L318" s="108"/>
      <c r="M318" s="110"/>
      <c r="N318" s="109"/>
      <c r="O318" s="108"/>
      <c r="P318" s="233"/>
      <c r="Q318" s="239"/>
      <c r="R318" s="19"/>
      <c r="S318" s="20"/>
      <c r="T318" s="9" t="str">
        <f t="shared" si="21"/>
        <v xml:space="preserve"> </v>
      </c>
      <c r="U318" s="18"/>
      <c r="V318" s="21"/>
      <c r="W318" s="22"/>
      <c r="X318" s="197" t="str">
        <f t="shared" si="22"/>
        <v xml:space="preserve"> </v>
      </c>
      <c r="Y318" s="246"/>
      <c r="Z318" s="247"/>
      <c r="AA318" s="20"/>
      <c r="AB318" s="11" t="str">
        <f t="shared" si="23"/>
        <v xml:space="preserve"> </v>
      </c>
      <c r="AC318" s="12" t="str">
        <f t="shared" si="24"/>
        <v xml:space="preserve"> </v>
      </c>
    </row>
    <row r="319" spans="1:29" ht="20.100000000000001" customHeight="1" x14ac:dyDescent="0.25">
      <c r="A319" s="16"/>
      <c r="B319" s="108"/>
      <c r="C319" s="109"/>
      <c r="D319" s="109"/>
      <c r="E319" s="109"/>
      <c r="F319" s="17"/>
      <c r="G319" s="17"/>
      <c r="H319" s="108"/>
      <c r="I319" s="107"/>
      <c r="J319" s="108"/>
      <c r="K319" s="107"/>
      <c r="L319" s="108"/>
      <c r="M319" s="110"/>
      <c r="N319" s="109"/>
      <c r="O319" s="108"/>
      <c r="P319" s="233"/>
      <c r="Q319" s="239"/>
      <c r="R319" s="19"/>
      <c r="S319" s="20"/>
      <c r="T319" s="9" t="str">
        <f t="shared" si="21"/>
        <v xml:space="preserve"> </v>
      </c>
      <c r="U319" s="18"/>
      <c r="V319" s="21"/>
      <c r="W319" s="22"/>
      <c r="X319" s="197" t="str">
        <f t="shared" si="22"/>
        <v xml:space="preserve"> </v>
      </c>
      <c r="Y319" s="246"/>
      <c r="Z319" s="247"/>
      <c r="AA319" s="20"/>
      <c r="AB319" s="11" t="str">
        <f t="shared" si="23"/>
        <v xml:space="preserve"> </v>
      </c>
      <c r="AC319" s="12" t="str">
        <f t="shared" si="24"/>
        <v xml:space="preserve"> </v>
      </c>
    </row>
    <row r="320" spans="1:29" ht="20.100000000000001" customHeight="1" x14ac:dyDescent="0.25">
      <c r="A320" s="16"/>
      <c r="B320" s="108"/>
      <c r="C320" s="109"/>
      <c r="D320" s="109"/>
      <c r="E320" s="109"/>
      <c r="F320" s="17"/>
      <c r="G320" s="17"/>
      <c r="H320" s="108"/>
      <c r="I320" s="107"/>
      <c r="J320" s="108"/>
      <c r="K320" s="107"/>
      <c r="L320" s="108"/>
      <c r="M320" s="110"/>
      <c r="N320" s="109"/>
      <c r="O320" s="108"/>
      <c r="P320" s="233"/>
      <c r="Q320" s="239"/>
      <c r="R320" s="19"/>
      <c r="S320" s="20"/>
      <c r="T320" s="9" t="str">
        <f t="shared" si="21"/>
        <v xml:space="preserve"> </v>
      </c>
      <c r="U320" s="18"/>
      <c r="V320" s="21"/>
      <c r="W320" s="22"/>
      <c r="X320" s="197" t="str">
        <f t="shared" si="22"/>
        <v xml:space="preserve"> </v>
      </c>
      <c r="Y320" s="246"/>
      <c r="Z320" s="247"/>
      <c r="AA320" s="20"/>
      <c r="AB320" s="11" t="str">
        <f t="shared" si="23"/>
        <v xml:space="preserve"> </v>
      </c>
      <c r="AC320" s="12" t="str">
        <f t="shared" si="24"/>
        <v xml:space="preserve"> </v>
      </c>
    </row>
    <row r="321" spans="1:29" ht="20.100000000000001" customHeight="1" x14ac:dyDescent="0.25">
      <c r="A321" s="16"/>
      <c r="B321" s="108"/>
      <c r="C321" s="109"/>
      <c r="D321" s="109"/>
      <c r="E321" s="109"/>
      <c r="F321" s="17"/>
      <c r="G321" s="17"/>
      <c r="H321" s="108"/>
      <c r="I321" s="107"/>
      <c r="J321" s="108"/>
      <c r="K321" s="107"/>
      <c r="L321" s="108"/>
      <c r="M321" s="110"/>
      <c r="N321" s="109"/>
      <c r="O321" s="108"/>
      <c r="P321" s="233"/>
      <c r="Q321" s="239"/>
      <c r="R321" s="19"/>
      <c r="S321" s="20"/>
      <c r="T321" s="9" t="str">
        <f t="shared" si="21"/>
        <v xml:space="preserve"> </v>
      </c>
      <c r="U321" s="18"/>
      <c r="V321" s="21"/>
      <c r="W321" s="22"/>
      <c r="X321" s="197" t="str">
        <f t="shared" si="22"/>
        <v xml:space="preserve"> </v>
      </c>
      <c r="Y321" s="246"/>
      <c r="Z321" s="247"/>
      <c r="AA321" s="20"/>
      <c r="AB321" s="11" t="str">
        <f t="shared" si="23"/>
        <v xml:space="preserve"> </v>
      </c>
      <c r="AC321" s="12" t="str">
        <f t="shared" si="24"/>
        <v xml:space="preserve"> </v>
      </c>
    </row>
    <row r="322" spans="1:29" ht="20.100000000000001" customHeight="1" x14ac:dyDescent="0.25">
      <c r="A322" s="16"/>
      <c r="B322" s="108"/>
      <c r="C322" s="109"/>
      <c r="D322" s="109"/>
      <c r="E322" s="109"/>
      <c r="F322" s="17"/>
      <c r="G322" s="17"/>
      <c r="H322" s="108"/>
      <c r="I322" s="107"/>
      <c r="J322" s="108"/>
      <c r="K322" s="107"/>
      <c r="L322" s="108"/>
      <c r="M322" s="110"/>
      <c r="N322" s="109"/>
      <c r="O322" s="108"/>
      <c r="P322" s="233"/>
      <c r="Q322" s="239"/>
      <c r="R322" s="19"/>
      <c r="S322" s="20"/>
      <c r="T322" s="9" t="str">
        <f t="shared" si="21"/>
        <v xml:space="preserve"> </v>
      </c>
      <c r="U322" s="18"/>
      <c r="V322" s="21"/>
      <c r="W322" s="22"/>
      <c r="X322" s="197" t="str">
        <f t="shared" si="22"/>
        <v xml:space="preserve"> </v>
      </c>
      <c r="Y322" s="246"/>
      <c r="Z322" s="247"/>
      <c r="AA322" s="20"/>
      <c r="AB322" s="11" t="str">
        <f t="shared" si="23"/>
        <v xml:space="preserve"> </v>
      </c>
      <c r="AC322" s="12" t="str">
        <f t="shared" si="24"/>
        <v xml:space="preserve"> </v>
      </c>
    </row>
    <row r="323" spans="1:29" ht="20.100000000000001" customHeight="1" x14ac:dyDescent="0.25">
      <c r="A323" s="16"/>
      <c r="B323" s="108"/>
      <c r="C323" s="109"/>
      <c r="D323" s="109"/>
      <c r="E323" s="109"/>
      <c r="F323" s="17"/>
      <c r="G323" s="17"/>
      <c r="H323" s="108"/>
      <c r="I323" s="107"/>
      <c r="J323" s="108"/>
      <c r="K323" s="107"/>
      <c r="L323" s="108"/>
      <c r="M323" s="110"/>
      <c r="N323" s="109"/>
      <c r="O323" s="108"/>
      <c r="P323" s="233"/>
      <c r="Q323" s="239"/>
      <c r="R323" s="19"/>
      <c r="S323" s="20"/>
      <c r="T323" s="9" t="str">
        <f t="shared" si="21"/>
        <v xml:space="preserve"> </v>
      </c>
      <c r="U323" s="18"/>
      <c r="V323" s="21"/>
      <c r="W323" s="22"/>
      <c r="X323" s="197" t="str">
        <f t="shared" si="22"/>
        <v xml:space="preserve"> </v>
      </c>
      <c r="Y323" s="246"/>
      <c r="Z323" s="247"/>
      <c r="AA323" s="20"/>
      <c r="AB323" s="11" t="str">
        <f t="shared" si="23"/>
        <v xml:space="preserve"> </v>
      </c>
      <c r="AC323" s="12" t="str">
        <f t="shared" si="24"/>
        <v xml:space="preserve"> </v>
      </c>
    </row>
    <row r="324" spans="1:29" ht="20.100000000000001" customHeight="1" x14ac:dyDescent="0.25">
      <c r="A324" s="16"/>
      <c r="B324" s="108"/>
      <c r="C324" s="109"/>
      <c r="D324" s="109"/>
      <c r="E324" s="109"/>
      <c r="F324" s="17"/>
      <c r="G324" s="17"/>
      <c r="H324" s="108"/>
      <c r="I324" s="107"/>
      <c r="J324" s="108"/>
      <c r="K324" s="107"/>
      <c r="L324" s="108"/>
      <c r="M324" s="110"/>
      <c r="N324" s="109"/>
      <c r="O324" s="108"/>
      <c r="P324" s="233"/>
      <c r="Q324" s="239"/>
      <c r="R324" s="19"/>
      <c r="S324" s="20"/>
      <c r="T324" s="9" t="str">
        <f t="shared" ref="T324:T387" si="25">IF(ISBLANK(R324)," ",((ROUND(S324,2)-(ROUND(R324,2)))/(ROUND(R324,2))))</f>
        <v xml:space="preserve"> </v>
      </c>
      <c r="U324" s="18"/>
      <c r="V324" s="21"/>
      <c r="W324" s="22"/>
      <c r="X324" s="197" t="str">
        <f t="shared" ref="X324:X387" si="26">IF(ISBLANK(R324)," ",((ROUND(W324,2))-(ROUND(R324,2)))/(ROUND(R324,2)))</f>
        <v xml:space="preserve"> </v>
      </c>
      <c r="Y324" s="246"/>
      <c r="Z324" s="247"/>
      <c r="AA324" s="20"/>
      <c r="AB324" s="11" t="str">
        <f t="shared" ref="AB324:AB387" si="27">IF(ISBLANK(R324)," ",((ROUND(AA324,2))-(ROUND(R324,2)))/(ROUND(R324,2)))</f>
        <v xml:space="preserve"> </v>
      </c>
      <c r="AC324" s="12" t="str">
        <f t="shared" ref="AC324:AC387" si="28">IF(ISBLANK(AA324)," ",(ROUND(AA324,2)/0.995))</f>
        <v xml:space="preserve"> </v>
      </c>
    </row>
    <row r="325" spans="1:29" ht="20.100000000000001" customHeight="1" x14ac:dyDescent="0.25">
      <c r="A325" s="16"/>
      <c r="B325" s="108"/>
      <c r="C325" s="109"/>
      <c r="D325" s="109"/>
      <c r="E325" s="109"/>
      <c r="F325" s="17"/>
      <c r="G325" s="17"/>
      <c r="H325" s="108"/>
      <c r="I325" s="107"/>
      <c r="J325" s="108"/>
      <c r="K325" s="107"/>
      <c r="L325" s="108"/>
      <c r="M325" s="110"/>
      <c r="N325" s="109"/>
      <c r="O325" s="108"/>
      <c r="P325" s="233"/>
      <c r="Q325" s="239"/>
      <c r="R325" s="19"/>
      <c r="S325" s="20"/>
      <c r="T325" s="9" t="str">
        <f t="shared" si="25"/>
        <v xml:space="preserve"> </v>
      </c>
      <c r="U325" s="18"/>
      <c r="V325" s="21"/>
      <c r="W325" s="22"/>
      <c r="X325" s="197" t="str">
        <f t="shared" si="26"/>
        <v xml:space="preserve"> </v>
      </c>
      <c r="Y325" s="246"/>
      <c r="Z325" s="247"/>
      <c r="AA325" s="20"/>
      <c r="AB325" s="11" t="str">
        <f t="shared" si="27"/>
        <v xml:space="preserve"> </v>
      </c>
      <c r="AC325" s="12" t="str">
        <f t="shared" si="28"/>
        <v xml:space="preserve"> </v>
      </c>
    </row>
    <row r="326" spans="1:29" ht="20.100000000000001" customHeight="1" x14ac:dyDescent="0.25">
      <c r="A326" s="16"/>
      <c r="B326" s="108"/>
      <c r="C326" s="109"/>
      <c r="D326" s="109"/>
      <c r="E326" s="109"/>
      <c r="F326" s="17"/>
      <c r="G326" s="17"/>
      <c r="H326" s="108"/>
      <c r="I326" s="107"/>
      <c r="J326" s="108"/>
      <c r="K326" s="107"/>
      <c r="L326" s="108"/>
      <c r="M326" s="110"/>
      <c r="N326" s="109"/>
      <c r="O326" s="108"/>
      <c r="P326" s="233"/>
      <c r="Q326" s="239"/>
      <c r="R326" s="19"/>
      <c r="S326" s="20"/>
      <c r="T326" s="9" t="str">
        <f t="shared" si="25"/>
        <v xml:space="preserve"> </v>
      </c>
      <c r="U326" s="18"/>
      <c r="V326" s="21"/>
      <c r="W326" s="22"/>
      <c r="X326" s="197" t="str">
        <f t="shared" si="26"/>
        <v xml:space="preserve"> </v>
      </c>
      <c r="Y326" s="246"/>
      <c r="Z326" s="247"/>
      <c r="AA326" s="20"/>
      <c r="AB326" s="11" t="str">
        <f t="shared" si="27"/>
        <v xml:space="preserve"> </v>
      </c>
      <c r="AC326" s="12" t="str">
        <f t="shared" si="28"/>
        <v xml:space="preserve"> </v>
      </c>
    </row>
    <row r="327" spans="1:29" ht="20.100000000000001" customHeight="1" x14ac:dyDescent="0.25">
      <c r="A327" s="16"/>
      <c r="B327" s="108"/>
      <c r="C327" s="109"/>
      <c r="D327" s="109"/>
      <c r="E327" s="109"/>
      <c r="F327" s="17"/>
      <c r="G327" s="17"/>
      <c r="H327" s="108"/>
      <c r="I327" s="107"/>
      <c r="J327" s="108"/>
      <c r="K327" s="107"/>
      <c r="L327" s="108"/>
      <c r="M327" s="110"/>
      <c r="N327" s="109"/>
      <c r="O327" s="108"/>
      <c r="P327" s="233"/>
      <c r="Q327" s="239"/>
      <c r="R327" s="19"/>
      <c r="S327" s="20"/>
      <c r="T327" s="9" t="str">
        <f t="shared" si="25"/>
        <v xml:space="preserve"> </v>
      </c>
      <c r="U327" s="18"/>
      <c r="V327" s="21"/>
      <c r="W327" s="22"/>
      <c r="X327" s="197" t="str">
        <f t="shared" si="26"/>
        <v xml:space="preserve"> </v>
      </c>
      <c r="Y327" s="246"/>
      <c r="Z327" s="247"/>
      <c r="AA327" s="20"/>
      <c r="AB327" s="11" t="str">
        <f t="shared" si="27"/>
        <v xml:space="preserve"> </v>
      </c>
      <c r="AC327" s="12" t="str">
        <f t="shared" si="28"/>
        <v xml:space="preserve"> </v>
      </c>
    </row>
    <row r="328" spans="1:29" ht="20.100000000000001" customHeight="1" x14ac:dyDescent="0.25">
      <c r="A328" s="16"/>
      <c r="B328" s="108"/>
      <c r="C328" s="109"/>
      <c r="D328" s="109"/>
      <c r="E328" s="109"/>
      <c r="F328" s="17"/>
      <c r="G328" s="17"/>
      <c r="H328" s="108"/>
      <c r="I328" s="107"/>
      <c r="J328" s="108"/>
      <c r="K328" s="107"/>
      <c r="L328" s="108"/>
      <c r="M328" s="110"/>
      <c r="N328" s="109"/>
      <c r="O328" s="108"/>
      <c r="P328" s="233"/>
      <c r="Q328" s="239"/>
      <c r="R328" s="19"/>
      <c r="S328" s="20"/>
      <c r="T328" s="9" t="str">
        <f t="shared" si="25"/>
        <v xml:space="preserve"> </v>
      </c>
      <c r="U328" s="18"/>
      <c r="V328" s="21"/>
      <c r="W328" s="22"/>
      <c r="X328" s="197" t="str">
        <f t="shared" si="26"/>
        <v xml:space="preserve"> </v>
      </c>
      <c r="Y328" s="246"/>
      <c r="Z328" s="247"/>
      <c r="AA328" s="20"/>
      <c r="AB328" s="11" t="str">
        <f t="shared" si="27"/>
        <v xml:space="preserve"> </v>
      </c>
      <c r="AC328" s="12" t="str">
        <f t="shared" si="28"/>
        <v xml:space="preserve"> </v>
      </c>
    </row>
    <row r="329" spans="1:29" ht="20.100000000000001" customHeight="1" x14ac:dyDescent="0.25">
      <c r="A329" s="16"/>
      <c r="B329" s="108"/>
      <c r="C329" s="109"/>
      <c r="D329" s="109"/>
      <c r="E329" s="109"/>
      <c r="F329" s="17"/>
      <c r="G329" s="17"/>
      <c r="H329" s="108"/>
      <c r="I329" s="107"/>
      <c r="J329" s="108"/>
      <c r="K329" s="107"/>
      <c r="L329" s="108"/>
      <c r="M329" s="110"/>
      <c r="N329" s="109"/>
      <c r="O329" s="108"/>
      <c r="P329" s="233"/>
      <c r="Q329" s="239"/>
      <c r="R329" s="19"/>
      <c r="S329" s="20"/>
      <c r="T329" s="9" t="str">
        <f t="shared" si="25"/>
        <v xml:space="preserve"> </v>
      </c>
      <c r="U329" s="18"/>
      <c r="V329" s="21"/>
      <c r="W329" s="22"/>
      <c r="X329" s="197" t="str">
        <f t="shared" si="26"/>
        <v xml:space="preserve"> </v>
      </c>
      <c r="Y329" s="246"/>
      <c r="Z329" s="247"/>
      <c r="AA329" s="20"/>
      <c r="AB329" s="11" t="str">
        <f t="shared" si="27"/>
        <v xml:space="preserve"> </v>
      </c>
      <c r="AC329" s="12" t="str">
        <f t="shared" si="28"/>
        <v xml:space="preserve"> </v>
      </c>
    </row>
    <row r="330" spans="1:29" ht="20.100000000000001" customHeight="1" x14ac:dyDescent="0.25">
      <c r="A330" s="16"/>
      <c r="B330" s="108"/>
      <c r="C330" s="109"/>
      <c r="D330" s="109"/>
      <c r="E330" s="109"/>
      <c r="F330" s="17"/>
      <c r="G330" s="17"/>
      <c r="H330" s="108"/>
      <c r="I330" s="107"/>
      <c r="J330" s="108"/>
      <c r="K330" s="107"/>
      <c r="L330" s="108"/>
      <c r="M330" s="110"/>
      <c r="N330" s="109"/>
      <c r="O330" s="108"/>
      <c r="P330" s="233"/>
      <c r="Q330" s="239"/>
      <c r="R330" s="19"/>
      <c r="S330" s="20"/>
      <c r="T330" s="9" t="str">
        <f t="shared" si="25"/>
        <v xml:space="preserve"> </v>
      </c>
      <c r="U330" s="18"/>
      <c r="V330" s="21"/>
      <c r="W330" s="22"/>
      <c r="X330" s="197" t="str">
        <f t="shared" si="26"/>
        <v xml:space="preserve"> </v>
      </c>
      <c r="Y330" s="246"/>
      <c r="Z330" s="247"/>
      <c r="AA330" s="20"/>
      <c r="AB330" s="11" t="str">
        <f t="shared" si="27"/>
        <v xml:space="preserve"> </v>
      </c>
      <c r="AC330" s="12" t="str">
        <f t="shared" si="28"/>
        <v xml:space="preserve"> </v>
      </c>
    </row>
    <row r="331" spans="1:29" ht="20.100000000000001" customHeight="1" x14ac:dyDescent="0.25">
      <c r="A331" s="16"/>
      <c r="B331" s="108"/>
      <c r="C331" s="109"/>
      <c r="D331" s="109"/>
      <c r="E331" s="109"/>
      <c r="F331" s="17"/>
      <c r="G331" s="17"/>
      <c r="H331" s="108"/>
      <c r="I331" s="107"/>
      <c r="J331" s="108"/>
      <c r="K331" s="107"/>
      <c r="L331" s="108"/>
      <c r="M331" s="110"/>
      <c r="N331" s="109"/>
      <c r="O331" s="108"/>
      <c r="P331" s="233"/>
      <c r="Q331" s="239"/>
      <c r="R331" s="19"/>
      <c r="S331" s="20"/>
      <c r="T331" s="9" t="str">
        <f t="shared" si="25"/>
        <v xml:space="preserve"> </v>
      </c>
      <c r="U331" s="18"/>
      <c r="V331" s="21"/>
      <c r="W331" s="22"/>
      <c r="X331" s="197" t="str">
        <f t="shared" si="26"/>
        <v xml:space="preserve"> </v>
      </c>
      <c r="Y331" s="246"/>
      <c r="Z331" s="247"/>
      <c r="AA331" s="20"/>
      <c r="AB331" s="11" t="str">
        <f t="shared" si="27"/>
        <v xml:space="preserve"> </v>
      </c>
      <c r="AC331" s="12" t="str">
        <f t="shared" si="28"/>
        <v xml:space="preserve"> </v>
      </c>
    </row>
    <row r="332" spans="1:29" ht="20.100000000000001" customHeight="1" x14ac:dyDescent="0.25">
      <c r="A332" s="16"/>
      <c r="B332" s="108"/>
      <c r="C332" s="109"/>
      <c r="D332" s="109"/>
      <c r="E332" s="109"/>
      <c r="F332" s="17"/>
      <c r="G332" s="17"/>
      <c r="H332" s="108"/>
      <c r="I332" s="107"/>
      <c r="J332" s="108"/>
      <c r="K332" s="107"/>
      <c r="L332" s="108"/>
      <c r="M332" s="110"/>
      <c r="N332" s="109"/>
      <c r="O332" s="108"/>
      <c r="P332" s="233"/>
      <c r="Q332" s="239"/>
      <c r="R332" s="19"/>
      <c r="S332" s="20"/>
      <c r="T332" s="9" t="str">
        <f t="shared" si="25"/>
        <v xml:space="preserve"> </v>
      </c>
      <c r="U332" s="18"/>
      <c r="V332" s="21"/>
      <c r="W332" s="22"/>
      <c r="X332" s="197" t="str">
        <f t="shared" si="26"/>
        <v xml:space="preserve"> </v>
      </c>
      <c r="Y332" s="246"/>
      <c r="Z332" s="247"/>
      <c r="AA332" s="20"/>
      <c r="AB332" s="11" t="str">
        <f t="shared" si="27"/>
        <v xml:space="preserve"> </v>
      </c>
      <c r="AC332" s="12" t="str">
        <f t="shared" si="28"/>
        <v xml:space="preserve"> </v>
      </c>
    </row>
    <row r="333" spans="1:29" ht="20.100000000000001" customHeight="1" x14ac:dyDescent="0.25">
      <c r="A333" s="16"/>
      <c r="B333" s="108"/>
      <c r="C333" s="109"/>
      <c r="D333" s="109"/>
      <c r="E333" s="109"/>
      <c r="F333" s="17"/>
      <c r="G333" s="17"/>
      <c r="H333" s="108"/>
      <c r="I333" s="107"/>
      <c r="J333" s="108"/>
      <c r="K333" s="107"/>
      <c r="L333" s="108"/>
      <c r="M333" s="110"/>
      <c r="N333" s="109"/>
      <c r="O333" s="108"/>
      <c r="P333" s="233"/>
      <c r="Q333" s="239"/>
      <c r="R333" s="19"/>
      <c r="S333" s="20"/>
      <c r="T333" s="9" t="str">
        <f t="shared" si="25"/>
        <v xml:space="preserve"> </v>
      </c>
      <c r="U333" s="18"/>
      <c r="V333" s="21"/>
      <c r="W333" s="22"/>
      <c r="X333" s="197" t="str">
        <f t="shared" si="26"/>
        <v xml:space="preserve"> </v>
      </c>
      <c r="Y333" s="246"/>
      <c r="Z333" s="247"/>
      <c r="AA333" s="20"/>
      <c r="AB333" s="11" t="str">
        <f t="shared" si="27"/>
        <v xml:space="preserve"> </v>
      </c>
      <c r="AC333" s="12" t="str">
        <f t="shared" si="28"/>
        <v xml:space="preserve"> </v>
      </c>
    </row>
    <row r="334" spans="1:29" ht="20.100000000000001" customHeight="1" x14ac:dyDescent="0.25">
      <c r="A334" s="16"/>
      <c r="B334" s="108"/>
      <c r="C334" s="109"/>
      <c r="D334" s="109"/>
      <c r="E334" s="109"/>
      <c r="F334" s="17"/>
      <c r="G334" s="17"/>
      <c r="H334" s="108"/>
      <c r="I334" s="107"/>
      <c r="J334" s="108"/>
      <c r="K334" s="107"/>
      <c r="L334" s="108"/>
      <c r="M334" s="110"/>
      <c r="N334" s="109"/>
      <c r="O334" s="108"/>
      <c r="P334" s="233"/>
      <c r="Q334" s="239"/>
      <c r="R334" s="19"/>
      <c r="S334" s="20"/>
      <c r="T334" s="9" t="str">
        <f t="shared" si="25"/>
        <v xml:space="preserve"> </v>
      </c>
      <c r="U334" s="18"/>
      <c r="V334" s="21"/>
      <c r="W334" s="22"/>
      <c r="X334" s="197" t="str">
        <f t="shared" si="26"/>
        <v xml:space="preserve"> </v>
      </c>
      <c r="Y334" s="246"/>
      <c r="Z334" s="247"/>
      <c r="AA334" s="20"/>
      <c r="AB334" s="11" t="str">
        <f t="shared" si="27"/>
        <v xml:space="preserve"> </v>
      </c>
      <c r="AC334" s="12" t="str">
        <f t="shared" si="28"/>
        <v xml:space="preserve"> </v>
      </c>
    </row>
    <row r="335" spans="1:29" ht="20.100000000000001" customHeight="1" x14ac:dyDescent="0.25">
      <c r="A335" s="16"/>
      <c r="B335" s="108"/>
      <c r="C335" s="109"/>
      <c r="D335" s="109"/>
      <c r="E335" s="109"/>
      <c r="F335" s="17"/>
      <c r="G335" s="17"/>
      <c r="H335" s="108"/>
      <c r="I335" s="107"/>
      <c r="J335" s="108"/>
      <c r="K335" s="107"/>
      <c r="L335" s="108"/>
      <c r="M335" s="110"/>
      <c r="N335" s="109"/>
      <c r="O335" s="108"/>
      <c r="P335" s="233"/>
      <c r="Q335" s="239"/>
      <c r="R335" s="19"/>
      <c r="S335" s="20"/>
      <c r="T335" s="9" t="str">
        <f t="shared" si="25"/>
        <v xml:space="preserve"> </v>
      </c>
      <c r="U335" s="18"/>
      <c r="V335" s="21"/>
      <c r="W335" s="22"/>
      <c r="X335" s="197" t="str">
        <f t="shared" si="26"/>
        <v xml:space="preserve"> </v>
      </c>
      <c r="Y335" s="246"/>
      <c r="Z335" s="247"/>
      <c r="AA335" s="20"/>
      <c r="AB335" s="11" t="str">
        <f t="shared" si="27"/>
        <v xml:space="preserve"> </v>
      </c>
      <c r="AC335" s="12" t="str">
        <f t="shared" si="28"/>
        <v xml:space="preserve"> </v>
      </c>
    </row>
    <row r="336" spans="1:29" ht="20.100000000000001" customHeight="1" x14ac:dyDescent="0.25">
      <c r="A336" s="16"/>
      <c r="B336" s="108"/>
      <c r="C336" s="109"/>
      <c r="D336" s="109"/>
      <c r="E336" s="109"/>
      <c r="F336" s="17"/>
      <c r="G336" s="17"/>
      <c r="H336" s="108"/>
      <c r="I336" s="107"/>
      <c r="J336" s="108"/>
      <c r="K336" s="107"/>
      <c r="L336" s="108"/>
      <c r="M336" s="110"/>
      <c r="N336" s="109"/>
      <c r="O336" s="108"/>
      <c r="P336" s="233"/>
      <c r="Q336" s="239"/>
      <c r="R336" s="19"/>
      <c r="S336" s="20"/>
      <c r="T336" s="9" t="str">
        <f t="shared" si="25"/>
        <v xml:space="preserve"> </v>
      </c>
      <c r="U336" s="18"/>
      <c r="V336" s="21"/>
      <c r="W336" s="22"/>
      <c r="X336" s="197" t="str">
        <f t="shared" si="26"/>
        <v xml:space="preserve"> </v>
      </c>
      <c r="Y336" s="246"/>
      <c r="Z336" s="247"/>
      <c r="AA336" s="20"/>
      <c r="AB336" s="11" t="str">
        <f t="shared" si="27"/>
        <v xml:space="preserve"> </v>
      </c>
      <c r="AC336" s="12" t="str">
        <f t="shared" si="28"/>
        <v xml:space="preserve"> </v>
      </c>
    </row>
    <row r="337" spans="1:29" ht="20.100000000000001" customHeight="1" x14ac:dyDescent="0.25">
      <c r="A337" s="16"/>
      <c r="B337" s="108"/>
      <c r="C337" s="109"/>
      <c r="D337" s="109"/>
      <c r="E337" s="109"/>
      <c r="F337" s="17"/>
      <c r="G337" s="17"/>
      <c r="H337" s="108"/>
      <c r="I337" s="107"/>
      <c r="J337" s="108"/>
      <c r="K337" s="107"/>
      <c r="L337" s="108"/>
      <c r="M337" s="110"/>
      <c r="N337" s="109"/>
      <c r="O337" s="108"/>
      <c r="P337" s="233"/>
      <c r="Q337" s="239"/>
      <c r="R337" s="19"/>
      <c r="S337" s="20"/>
      <c r="T337" s="9" t="str">
        <f t="shared" si="25"/>
        <v xml:space="preserve"> </v>
      </c>
      <c r="U337" s="18"/>
      <c r="V337" s="21"/>
      <c r="W337" s="22"/>
      <c r="X337" s="197" t="str">
        <f t="shared" si="26"/>
        <v xml:space="preserve"> </v>
      </c>
      <c r="Y337" s="246"/>
      <c r="Z337" s="247"/>
      <c r="AA337" s="20"/>
      <c r="AB337" s="11" t="str">
        <f t="shared" si="27"/>
        <v xml:space="preserve"> </v>
      </c>
      <c r="AC337" s="12" t="str">
        <f t="shared" si="28"/>
        <v xml:space="preserve"> </v>
      </c>
    </row>
    <row r="338" spans="1:29" ht="20.100000000000001" customHeight="1" x14ac:dyDescent="0.25">
      <c r="A338" s="16"/>
      <c r="B338" s="108"/>
      <c r="C338" s="109"/>
      <c r="D338" s="109"/>
      <c r="E338" s="109"/>
      <c r="F338" s="17"/>
      <c r="G338" s="17"/>
      <c r="H338" s="108"/>
      <c r="I338" s="107"/>
      <c r="J338" s="108"/>
      <c r="K338" s="107"/>
      <c r="L338" s="108"/>
      <c r="M338" s="110"/>
      <c r="N338" s="109"/>
      <c r="O338" s="108"/>
      <c r="P338" s="233"/>
      <c r="Q338" s="239"/>
      <c r="R338" s="19"/>
      <c r="S338" s="20"/>
      <c r="T338" s="9" t="str">
        <f t="shared" si="25"/>
        <v xml:space="preserve"> </v>
      </c>
      <c r="U338" s="18"/>
      <c r="V338" s="21"/>
      <c r="W338" s="22"/>
      <c r="X338" s="197" t="str">
        <f t="shared" si="26"/>
        <v xml:space="preserve"> </v>
      </c>
      <c r="Y338" s="246"/>
      <c r="Z338" s="247"/>
      <c r="AA338" s="20"/>
      <c r="AB338" s="11" t="str">
        <f t="shared" si="27"/>
        <v xml:space="preserve"> </v>
      </c>
      <c r="AC338" s="12" t="str">
        <f t="shared" si="28"/>
        <v xml:space="preserve"> </v>
      </c>
    </row>
    <row r="339" spans="1:29" ht="20.100000000000001" customHeight="1" x14ac:dyDescent="0.25">
      <c r="A339" s="16"/>
      <c r="B339" s="108"/>
      <c r="C339" s="109"/>
      <c r="D339" s="109"/>
      <c r="E339" s="109"/>
      <c r="F339" s="17"/>
      <c r="G339" s="17"/>
      <c r="H339" s="108"/>
      <c r="I339" s="107"/>
      <c r="J339" s="108"/>
      <c r="K339" s="107"/>
      <c r="L339" s="108"/>
      <c r="M339" s="110"/>
      <c r="N339" s="109"/>
      <c r="O339" s="108"/>
      <c r="P339" s="233"/>
      <c r="Q339" s="239"/>
      <c r="R339" s="19"/>
      <c r="S339" s="20"/>
      <c r="T339" s="9" t="str">
        <f t="shared" si="25"/>
        <v xml:space="preserve"> </v>
      </c>
      <c r="U339" s="18"/>
      <c r="V339" s="21"/>
      <c r="W339" s="22"/>
      <c r="X339" s="197" t="str">
        <f t="shared" si="26"/>
        <v xml:space="preserve"> </v>
      </c>
      <c r="Y339" s="246"/>
      <c r="Z339" s="247"/>
      <c r="AA339" s="20"/>
      <c r="AB339" s="11" t="str">
        <f t="shared" si="27"/>
        <v xml:space="preserve"> </v>
      </c>
      <c r="AC339" s="12" t="str">
        <f t="shared" si="28"/>
        <v xml:space="preserve"> </v>
      </c>
    </row>
    <row r="340" spans="1:29" ht="20.100000000000001" customHeight="1" x14ac:dyDescent="0.25">
      <c r="A340" s="16"/>
      <c r="B340" s="108"/>
      <c r="C340" s="109"/>
      <c r="D340" s="109"/>
      <c r="E340" s="109"/>
      <c r="F340" s="17"/>
      <c r="G340" s="17"/>
      <c r="H340" s="108"/>
      <c r="I340" s="107"/>
      <c r="J340" s="108"/>
      <c r="K340" s="107"/>
      <c r="L340" s="108"/>
      <c r="M340" s="110"/>
      <c r="N340" s="109"/>
      <c r="O340" s="108"/>
      <c r="P340" s="233"/>
      <c r="Q340" s="239"/>
      <c r="R340" s="19"/>
      <c r="S340" s="20"/>
      <c r="T340" s="9" t="str">
        <f t="shared" si="25"/>
        <v xml:space="preserve"> </v>
      </c>
      <c r="U340" s="18"/>
      <c r="V340" s="21"/>
      <c r="W340" s="22"/>
      <c r="X340" s="197" t="str">
        <f t="shared" si="26"/>
        <v xml:space="preserve"> </v>
      </c>
      <c r="Y340" s="246"/>
      <c r="Z340" s="247"/>
      <c r="AA340" s="20"/>
      <c r="AB340" s="11" t="str">
        <f t="shared" si="27"/>
        <v xml:space="preserve"> </v>
      </c>
      <c r="AC340" s="12" t="str">
        <f t="shared" si="28"/>
        <v xml:space="preserve"> </v>
      </c>
    </row>
    <row r="341" spans="1:29" ht="20.100000000000001" customHeight="1" x14ac:dyDescent="0.25">
      <c r="A341" s="16"/>
      <c r="B341" s="108"/>
      <c r="C341" s="109"/>
      <c r="D341" s="109"/>
      <c r="E341" s="109"/>
      <c r="F341" s="17"/>
      <c r="G341" s="17"/>
      <c r="H341" s="108"/>
      <c r="I341" s="107"/>
      <c r="J341" s="108"/>
      <c r="K341" s="107"/>
      <c r="L341" s="108"/>
      <c r="M341" s="110"/>
      <c r="N341" s="109"/>
      <c r="O341" s="108"/>
      <c r="P341" s="233"/>
      <c r="Q341" s="239"/>
      <c r="R341" s="19"/>
      <c r="S341" s="20"/>
      <c r="T341" s="9" t="str">
        <f t="shared" si="25"/>
        <v xml:space="preserve"> </v>
      </c>
      <c r="U341" s="18"/>
      <c r="V341" s="21"/>
      <c r="W341" s="22"/>
      <c r="X341" s="197" t="str">
        <f t="shared" si="26"/>
        <v xml:space="preserve"> </v>
      </c>
      <c r="Y341" s="246"/>
      <c r="Z341" s="247"/>
      <c r="AA341" s="20"/>
      <c r="AB341" s="11" t="str">
        <f t="shared" si="27"/>
        <v xml:space="preserve"> </v>
      </c>
      <c r="AC341" s="12" t="str">
        <f t="shared" si="28"/>
        <v xml:space="preserve"> </v>
      </c>
    </row>
    <row r="342" spans="1:29" ht="20.100000000000001" customHeight="1" x14ac:dyDescent="0.25">
      <c r="A342" s="16"/>
      <c r="B342" s="108"/>
      <c r="C342" s="109"/>
      <c r="D342" s="109"/>
      <c r="E342" s="109"/>
      <c r="F342" s="17"/>
      <c r="G342" s="17"/>
      <c r="H342" s="108"/>
      <c r="I342" s="107"/>
      <c r="J342" s="108"/>
      <c r="K342" s="107"/>
      <c r="L342" s="108"/>
      <c r="M342" s="110"/>
      <c r="N342" s="109"/>
      <c r="O342" s="108"/>
      <c r="P342" s="233"/>
      <c r="Q342" s="239"/>
      <c r="R342" s="19"/>
      <c r="S342" s="20"/>
      <c r="T342" s="9" t="str">
        <f t="shared" si="25"/>
        <v xml:space="preserve"> </v>
      </c>
      <c r="U342" s="18"/>
      <c r="V342" s="21"/>
      <c r="W342" s="22"/>
      <c r="X342" s="197" t="str">
        <f t="shared" si="26"/>
        <v xml:space="preserve"> </v>
      </c>
      <c r="Y342" s="246"/>
      <c r="Z342" s="247"/>
      <c r="AA342" s="20"/>
      <c r="AB342" s="11" t="str">
        <f t="shared" si="27"/>
        <v xml:space="preserve"> </v>
      </c>
      <c r="AC342" s="12" t="str">
        <f t="shared" si="28"/>
        <v xml:space="preserve"> </v>
      </c>
    </row>
    <row r="343" spans="1:29" ht="20.100000000000001" customHeight="1" x14ac:dyDescent="0.25">
      <c r="A343" s="16"/>
      <c r="B343" s="108"/>
      <c r="C343" s="109"/>
      <c r="D343" s="109"/>
      <c r="E343" s="109"/>
      <c r="F343" s="17"/>
      <c r="G343" s="17"/>
      <c r="H343" s="108"/>
      <c r="I343" s="107"/>
      <c r="J343" s="108"/>
      <c r="K343" s="107"/>
      <c r="L343" s="108"/>
      <c r="M343" s="110"/>
      <c r="N343" s="109"/>
      <c r="O343" s="108"/>
      <c r="P343" s="233"/>
      <c r="Q343" s="239"/>
      <c r="R343" s="19"/>
      <c r="S343" s="20"/>
      <c r="T343" s="9" t="str">
        <f t="shared" si="25"/>
        <v xml:space="preserve"> </v>
      </c>
      <c r="U343" s="18"/>
      <c r="V343" s="21"/>
      <c r="W343" s="22"/>
      <c r="X343" s="197" t="str">
        <f t="shared" si="26"/>
        <v xml:space="preserve"> </v>
      </c>
      <c r="Y343" s="246"/>
      <c r="Z343" s="247"/>
      <c r="AA343" s="20"/>
      <c r="AB343" s="11" t="str">
        <f t="shared" si="27"/>
        <v xml:space="preserve"> </v>
      </c>
      <c r="AC343" s="12" t="str">
        <f t="shared" si="28"/>
        <v xml:space="preserve"> </v>
      </c>
    </row>
    <row r="344" spans="1:29" ht="20.100000000000001" customHeight="1" x14ac:dyDescent="0.25">
      <c r="A344" s="16"/>
      <c r="B344" s="108"/>
      <c r="C344" s="109"/>
      <c r="D344" s="109"/>
      <c r="E344" s="109"/>
      <c r="F344" s="17"/>
      <c r="G344" s="17"/>
      <c r="H344" s="108"/>
      <c r="I344" s="107"/>
      <c r="J344" s="108"/>
      <c r="K344" s="107"/>
      <c r="L344" s="108"/>
      <c r="M344" s="110"/>
      <c r="N344" s="109"/>
      <c r="O344" s="108"/>
      <c r="P344" s="233"/>
      <c r="Q344" s="239"/>
      <c r="R344" s="19"/>
      <c r="S344" s="20"/>
      <c r="T344" s="9" t="str">
        <f t="shared" si="25"/>
        <v xml:space="preserve"> </v>
      </c>
      <c r="U344" s="18"/>
      <c r="V344" s="21"/>
      <c r="W344" s="22"/>
      <c r="X344" s="197" t="str">
        <f t="shared" si="26"/>
        <v xml:space="preserve"> </v>
      </c>
      <c r="Y344" s="246"/>
      <c r="Z344" s="247"/>
      <c r="AA344" s="20"/>
      <c r="AB344" s="11" t="str">
        <f t="shared" si="27"/>
        <v xml:space="preserve"> </v>
      </c>
      <c r="AC344" s="12" t="str">
        <f t="shared" si="28"/>
        <v xml:space="preserve"> </v>
      </c>
    </row>
    <row r="345" spans="1:29" ht="20.100000000000001" customHeight="1" x14ac:dyDescent="0.25">
      <c r="A345" s="16"/>
      <c r="B345" s="108"/>
      <c r="C345" s="109"/>
      <c r="D345" s="109"/>
      <c r="E345" s="109"/>
      <c r="F345" s="17"/>
      <c r="G345" s="17"/>
      <c r="H345" s="108"/>
      <c r="I345" s="107"/>
      <c r="J345" s="108"/>
      <c r="K345" s="107"/>
      <c r="L345" s="108"/>
      <c r="M345" s="110"/>
      <c r="N345" s="109"/>
      <c r="O345" s="108"/>
      <c r="P345" s="233"/>
      <c r="Q345" s="239"/>
      <c r="R345" s="19"/>
      <c r="S345" s="20"/>
      <c r="T345" s="9" t="str">
        <f t="shared" si="25"/>
        <v xml:space="preserve"> </v>
      </c>
      <c r="U345" s="18"/>
      <c r="V345" s="21"/>
      <c r="W345" s="22"/>
      <c r="X345" s="197" t="str">
        <f t="shared" si="26"/>
        <v xml:space="preserve"> </v>
      </c>
      <c r="Y345" s="246"/>
      <c r="Z345" s="247"/>
      <c r="AA345" s="20"/>
      <c r="AB345" s="11" t="str">
        <f t="shared" si="27"/>
        <v xml:space="preserve"> </v>
      </c>
      <c r="AC345" s="12" t="str">
        <f t="shared" si="28"/>
        <v xml:space="preserve"> </v>
      </c>
    </row>
    <row r="346" spans="1:29" ht="20.100000000000001" customHeight="1" x14ac:dyDescent="0.25">
      <c r="A346" s="16"/>
      <c r="B346" s="108"/>
      <c r="C346" s="109"/>
      <c r="D346" s="109"/>
      <c r="E346" s="109"/>
      <c r="F346" s="17"/>
      <c r="G346" s="17"/>
      <c r="H346" s="108"/>
      <c r="I346" s="107"/>
      <c r="J346" s="108"/>
      <c r="K346" s="107"/>
      <c r="L346" s="108"/>
      <c r="M346" s="110"/>
      <c r="N346" s="109"/>
      <c r="O346" s="108"/>
      <c r="P346" s="233"/>
      <c r="Q346" s="239"/>
      <c r="R346" s="19"/>
      <c r="S346" s="20"/>
      <c r="T346" s="9" t="str">
        <f t="shared" si="25"/>
        <v xml:space="preserve"> </v>
      </c>
      <c r="U346" s="18"/>
      <c r="V346" s="21"/>
      <c r="W346" s="22"/>
      <c r="X346" s="197" t="str">
        <f t="shared" si="26"/>
        <v xml:space="preserve"> </v>
      </c>
      <c r="Y346" s="246"/>
      <c r="Z346" s="247"/>
      <c r="AA346" s="20"/>
      <c r="AB346" s="11" t="str">
        <f t="shared" si="27"/>
        <v xml:space="preserve"> </v>
      </c>
      <c r="AC346" s="12" t="str">
        <f t="shared" si="28"/>
        <v xml:space="preserve"> </v>
      </c>
    </row>
    <row r="347" spans="1:29" ht="20.100000000000001" customHeight="1" x14ac:dyDescent="0.25">
      <c r="A347" s="16"/>
      <c r="B347" s="108"/>
      <c r="C347" s="109"/>
      <c r="D347" s="109"/>
      <c r="E347" s="109"/>
      <c r="F347" s="17"/>
      <c r="G347" s="17"/>
      <c r="H347" s="108"/>
      <c r="I347" s="107"/>
      <c r="J347" s="108"/>
      <c r="K347" s="107"/>
      <c r="L347" s="108"/>
      <c r="M347" s="110"/>
      <c r="N347" s="109"/>
      <c r="O347" s="108"/>
      <c r="P347" s="233"/>
      <c r="Q347" s="239"/>
      <c r="R347" s="19"/>
      <c r="S347" s="20"/>
      <c r="T347" s="9" t="str">
        <f t="shared" si="25"/>
        <v xml:space="preserve"> </v>
      </c>
      <c r="U347" s="18"/>
      <c r="V347" s="21"/>
      <c r="W347" s="22"/>
      <c r="X347" s="197" t="str">
        <f t="shared" si="26"/>
        <v xml:space="preserve"> </v>
      </c>
      <c r="Y347" s="246"/>
      <c r="Z347" s="247"/>
      <c r="AA347" s="20"/>
      <c r="AB347" s="11" t="str">
        <f t="shared" si="27"/>
        <v xml:space="preserve"> </v>
      </c>
      <c r="AC347" s="12" t="str">
        <f t="shared" si="28"/>
        <v xml:space="preserve"> </v>
      </c>
    </row>
    <row r="348" spans="1:29" ht="20.100000000000001" customHeight="1" x14ac:dyDescent="0.25">
      <c r="A348" s="16"/>
      <c r="B348" s="108"/>
      <c r="C348" s="109"/>
      <c r="D348" s="109"/>
      <c r="E348" s="109"/>
      <c r="F348" s="17"/>
      <c r="G348" s="17"/>
      <c r="H348" s="108"/>
      <c r="I348" s="107"/>
      <c r="J348" s="108"/>
      <c r="K348" s="107"/>
      <c r="L348" s="108"/>
      <c r="M348" s="110"/>
      <c r="N348" s="109"/>
      <c r="O348" s="108"/>
      <c r="P348" s="233"/>
      <c r="Q348" s="239"/>
      <c r="R348" s="19"/>
      <c r="S348" s="20"/>
      <c r="T348" s="9" t="str">
        <f t="shared" si="25"/>
        <v xml:space="preserve"> </v>
      </c>
      <c r="U348" s="18"/>
      <c r="V348" s="21"/>
      <c r="W348" s="22"/>
      <c r="X348" s="197" t="str">
        <f t="shared" si="26"/>
        <v xml:space="preserve"> </v>
      </c>
      <c r="Y348" s="246"/>
      <c r="Z348" s="247"/>
      <c r="AA348" s="20"/>
      <c r="AB348" s="11" t="str">
        <f t="shared" si="27"/>
        <v xml:space="preserve"> </v>
      </c>
      <c r="AC348" s="12" t="str">
        <f t="shared" si="28"/>
        <v xml:space="preserve"> </v>
      </c>
    </row>
    <row r="349" spans="1:29" ht="20.100000000000001" customHeight="1" x14ac:dyDescent="0.25">
      <c r="A349" s="16"/>
      <c r="B349" s="108"/>
      <c r="C349" s="109"/>
      <c r="D349" s="109"/>
      <c r="E349" s="109"/>
      <c r="F349" s="17"/>
      <c r="G349" s="17"/>
      <c r="H349" s="108"/>
      <c r="I349" s="107"/>
      <c r="J349" s="108"/>
      <c r="K349" s="107"/>
      <c r="L349" s="108"/>
      <c r="M349" s="110"/>
      <c r="N349" s="109"/>
      <c r="O349" s="108"/>
      <c r="P349" s="233"/>
      <c r="Q349" s="239"/>
      <c r="R349" s="19"/>
      <c r="S349" s="20"/>
      <c r="T349" s="9" t="str">
        <f t="shared" si="25"/>
        <v xml:space="preserve"> </v>
      </c>
      <c r="U349" s="18"/>
      <c r="V349" s="21"/>
      <c r="W349" s="22"/>
      <c r="X349" s="197" t="str">
        <f t="shared" si="26"/>
        <v xml:space="preserve"> </v>
      </c>
      <c r="Y349" s="246"/>
      <c r="Z349" s="247"/>
      <c r="AA349" s="20"/>
      <c r="AB349" s="11" t="str">
        <f t="shared" si="27"/>
        <v xml:space="preserve"> </v>
      </c>
      <c r="AC349" s="12" t="str">
        <f t="shared" si="28"/>
        <v xml:space="preserve"> </v>
      </c>
    </row>
    <row r="350" spans="1:29" ht="20.100000000000001" customHeight="1" x14ac:dyDescent="0.25">
      <c r="A350" s="16"/>
      <c r="B350" s="108"/>
      <c r="C350" s="109"/>
      <c r="D350" s="109"/>
      <c r="E350" s="109"/>
      <c r="F350" s="17"/>
      <c r="G350" s="17"/>
      <c r="H350" s="108"/>
      <c r="I350" s="107"/>
      <c r="J350" s="108"/>
      <c r="K350" s="107"/>
      <c r="L350" s="108"/>
      <c r="M350" s="110"/>
      <c r="N350" s="109"/>
      <c r="O350" s="108"/>
      <c r="P350" s="233"/>
      <c r="Q350" s="239"/>
      <c r="R350" s="19"/>
      <c r="S350" s="20"/>
      <c r="T350" s="9" t="str">
        <f t="shared" si="25"/>
        <v xml:space="preserve"> </v>
      </c>
      <c r="U350" s="18"/>
      <c r="V350" s="21"/>
      <c r="W350" s="22"/>
      <c r="X350" s="197" t="str">
        <f t="shared" si="26"/>
        <v xml:space="preserve"> </v>
      </c>
      <c r="Y350" s="246"/>
      <c r="Z350" s="247"/>
      <c r="AA350" s="20"/>
      <c r="AB350" s="11" t="str">
        <f t="shared" si="27"/>
        <v xml:space="preserve"> </v>
      </c>
      <c r="AC350" s="12" t="str">
        <f t="shared" si="28"/>
        <v xml:space="preserve"> </v>
      </c>
    </row>
    <row r="351" spans="1:29" ht="20.100000000000001" customHeight="1" x14ac:dyDescent="0.25">
      <c r="A351" s="16"/>
      <c r="B351" s="108"/>
      <c r="C351" s="109"/>
      <c r="D351" s="109"/>
      <c r="E351" s="109"/>
      <c r="F351" s="17"/>
      <c r="G351" s="17"/>
      <c r="H351" s="108"/>
      <c r="I351" s="107"/>
      <c r="J351" s="108"/>
      <c r="K351" s="107"/>
      <c r="L351" s="108"/>
      <c r="M351" s="110"/>
      <c r="N351" s="109"/>
      <c r="O351" s="108"/>
      <c r="P351" s="233"/>
      <c r="Q351" s="239"/>
      <c r="R351" s="19"/>
      <c r="S351" s="20"/>
      <c r="T351" s="9" t="str">
        <f t="shared" si="25"/>
        <v xml:space="preserve"> </v>
      </c>
      <c r="U351" s="18"/>
      <c r="V351" s="21"/>
      <c r="W351" s="22"/>
      <c r="X351" s="197" t="str">
        <f t="shared" si="26"/>
        <v xml:space="preserve"> </v>
      </c>
      <c r="Y351" s="246"/>
      <c r="Z351" s="247"/>
      <c r="AA351" s="20"/>
      <c r="AB351" s="11" t="str">
        <f t="shared" si="27"/>
        <v xml:space="preserve"> </v>
      </c>
      <c r="AC351" s="12" t="str">
        <f t="shared" si="28"/>
        <v xml:space="preserve"> </v>
      </c>
    </row>
    <row r="352" spans="1:29" ht="20.100000000000001" customHeight="1" x14ac:dyDescent="0.25">
      <c r="A352" s="16"/>
      <c r="B352" s="108"/>
      <c r="C352" s="109"/>
      <c r="D352" s="109"/>
      <c r="E352" s="109"/>
      <c r="F352" s="17"/>
      <c r="G352" s="17"/>
      <c r="H352" s="108"/>
      <c r="I352" s="107"/>
      <c r="J352" s="108"/>
      <c r="K352" s="107"/>
      <c r="L352" s="108"/>
      <c r="M352" s="110"/>
      <c r="N352" s="109"/>
      <c r="O352" s="108"/>
      <c r="P352" s="233"/>
      <c r="Q352" s="239"/>
      <c r="R352" s="19"/>
      <c r="S352" s="20"/>
      <c r="T352" s="9" t="str">
        <f t="shared" si="25"/>
        <v xml:space="preserve"> </v>
      </c>
      <c r="U352" s="18"/>
      <c r="V352" s="21"/>
      <c r="W352" s="22"/>
      <c r="X352" s="197" t="str">
        <f t="shared" si="26"/>
        <v xml:space="preserve"> </v>
      </c>
      <c r="Y352" s="246"/>
      <c r="Z352" s="247"/>
      <c r="AA352" s="20"/>
      <c r="AB352" s="11" t="str">
        <f t="shared" si="27"/>
        <v xml:space="preserve"> </v>
      </c>
      <c r="AC352" s="12" t="str">
        <f t="shared" si="28"/>
        <v xml:space="preserve"> </v>
      </c>
    </row>
    <row r="353" spans="1:29" ht="20.100000000000001" customHeight="1" x14ac:dyDescent="0.25">
      <c r="A353" s="16"/>
      <c r="B353" s="108"/>
      <c r="C353" s="109"/>
      <c r="D353" s="109"/>
      <c r="E353" s="109"/>
      <c r="F353" s="17"/>
      <c r="G353" s="17"/>
      <c r="H353" s="108"/>
      <c r="I353" s="107"/>
      <c r="J353" s="108"/>
      <c r="K353" s="107"/>
      <c r="L353" s="108"/>
      <c r="M353" s="110"/>
      <c r="N353" s="109"/>
      <c r="O353" s="108"/>
      <c r="P353" s="233"/>
      <c r="Q353" s="239"/>
      <c r="R353" s="19"/>
      <c r="S353" s="20"/>
      <c r="T353" s="9" t="str">
        <f t="shared" si="25"/>
        <v xml:space="preserve"> </v>
      </c>
      <c r="U353" s="18"/>
      <c r="V353" s="21"/>
      <c r="W353" s="22"/>
      <c r="X353" s="197" t="str">
        <f t="shared" si="26"/>
        <v xml:space="preserve"> </v>
      </c>
      <c r="Y353" s="246"/>
      <c r="Z353" s="247"/>
      <c r="AA353" s="20"/>
      <c r="AB353" s="11" t="str">
        <f t="shared" si="27"/>
        <v xml:space="preserve"> </v>
      </c>
      <c r="AC353" s="12" t="str">
        <f t="shared" si="28"/>
        <v xml:space="preserve"> </v>
      </c>
    </row>
    <row r="354" spans="1:29" ht="20.100000000000001" customHeight="1" x14ac:dyDescent="0.25">
      <c r="A354" s="16"/>
      <c r="B354" s="108"/>
      <c r="C354" s="109"/>
      <c r="D354" s="109"/>
      <c r="E354" s="109"/>
      <c r="F354" s="17"/>
      <c r="G354" s="17"/>
      <c r="H354" s="108"/>
      <c r="I354" s="107"/>
      <c r="J354" s="108"/>
      <c r="K354" s="107"/>
      <c r="L354" s="108"/>
      <c r="M354" s="110"/>
      <c r="N354" s="109"/>
      <c r="O354" s="108"/>
      <c r="P354" s="233"/>
      <c r="Q354" s="239"/>
      <c r="R354" s="19"/>
      <c r="S354" s="20"/>
      <c r="T354" s="9" t="str">
        <f t="shared" si="25"/>
        <v xml:space="preserve"> </v>
      </c>
      <c r="U354" s="18"/>
      <c r="V354" s="21"/>
      <c r="W354" s="22"/>
      <c r="X354" s="197" t="str">
        <f t="shared" si="26"/>
        <v xml:space="preserve"> </v>
      </c>
      <c r="Y354" s="246"/>
      <c r="Z354" s="247"/>
      <c r="AA354" s="20"/>
      <c r="AB354" s="11" t="str">
        <f t="shared" si="27"/>
        <v xml:space="preserve"> </v>
      </c>
      <c r="AC354" s="12" t="str">
        <f t="shared" si="28"/>
        <v xml:space="preserve"> </v>
      </c>
    </row>
    <row r="355" spans="1:29" ht="20.100000000000001" customHeight="1" x14ac:dyDescent="0.25">
      <c r="A355" s="16"/>
      <c r="B355" s="108"/>
      <c r="C355" s="109"/>
      <c r="D355" s="109"/>
      <c r="E355" s="109"/>
      <c r="F355" s="17"/>
      <c r="G355" s="17"/>
      <c r="H355" s="108"/>
      <c r="I355" s="107"/>
      <c r="J355" s="108"/>
      <c r="K355" s="107"/>
      <c r="L355" s="108"/>
      <c r="M355" s="110"/>
      <c r="N355" s="109"/>
      <c r="O355" s="108"/>
      <c r="P355" s="233"/>
      <c r="Q355" s="239"/>
      <c r="R355" s="19"/>
      <c r="S355" s="20"/>
      <c r="T355" s="9" t="str">
        <f t="shared" si="25"/>
        <v xml:space="preserve"> </v>
      </c>
      <c r="U355" s="18"/>
      <c r="V355" s="21"/>
      <c r="W355" s="22"/>
      <c r="X355" s="197" t="str">
        <f t="shared" si="26"/>
        <v xml:space="preserve"> </v>
      </c>
      <c r="Y355" s="246"/>
      <c r="Z355" s="247"/>
      <c r="AA355" s="20"/>
      <c r="AB355" s="11" t="str">
        <f t="shared" si="27"/>
        <v xml:space="preserve"> </v>
      </c>
      <c r="AC355" s="12" t="str">
        <f t="shared" si="28"/>
        <v xml:space="preserve"> </v>
      </c>
    </row>
    <row r="356" spans="1:29" ht="20.100000000000001" customHeight="1" x14ac:dyDescent="0.25">
      <c r="A356" s="16"/>
      <c r="B356" s="108"/>
      <c r="C356" s="109"/>
      <c r="D356" s="109"/>
      <c r="E356" s="109"/>
      <c r="F356" s="17"/>
      <c r="G356" s="17"/>
      <c r="H356" s="108"/>
      <c r="I356" s="107"/>
      <c r="J356" s="108"/>
      <c r="K356" s="107"/>
      <c r="L356" s="108"/>
      <c r="M356" s="110"/>
      <c r="N356" s="109"/>
      <c r="O356" s="108"/>
      <c r="P356" s="233"/>
      <c r="Q356" s="239"/>
      <c r="R356" s="19"/>
      <c r="S356" s="20"/>
      <c r="T356" s="9" t="str">
        <f t="shared" si="25"/>
        <v xml:space="preserve"> </v>
      </c>
      <c r="U356" s="18"/>
      <c r="V356" s="21"/>
      <c r="W356" s="22"/>
      <c r="X356" s="197" t="str">
        <f t="shared" si="26"/>
        <v xml:space="preserve"> </v>
      </c>
      <c r="Y356" s="246"/>
      <c r="Z356" s="247"/>
      <c r="AA356" s="20"/>
      <c r="AB356" s="11" t="str">
        <f t="shared" si="27"/>
        <v xml:space="preserve"> </v>
      </c>
      <c r="AC356" s="12" t="str">
        <f t="shared" si="28"/>
        <v xml:space="preserve"> </v>
      </c>
    </row>
    <row r="357" spans="1:29" ht="20.100000000000001" customHeight="1" x14ac:dyDescent="0.25">
      <c r="A357" s="16"/>
      <c r="B357" s="108"/>
      <c r="C357" s="109"/>
      <c r="D357" s="109"/>
      <c r="E357" s="109"/>
      <c r="F357" s="17"/>
      <c r="G357" s="17"/>
      <c r="H357" s="108"/>
      <c r="I357" s="107"/>
      <c r="J357" s="108"/>
      <c r="K357" s="107"/>
      <c r="L357" s="108"/>
      <c r="M357" s="110"/>
      <c r="N357" s="109"/>
      <c r="O357" s="108"/>
      <c r="P357" s="233"/>
      <c r="Q357" s="239"/>
      <c r="R357" s="19"/>
      <c r="S357" s="20"/>
      <c r="T357" s="9" t="str">
        <f t="shared" si="25"/>
        <v xml:space="preserve"> </v>
      </c>
      <c r="U357" s="18"/>
      <c r="V357" s="21"/>
      <c r="W357" s="22"/>
      <c r="X357" s="197" t="str">
        <f t="shared" si="26"/>
        <v xml:space="preserve"> </v>
      </c>
      <c r="Y357" s="246"/>
      <c r="Z357" s="247"/>
      <c r="AA357" s="20"/>
      <c r="AB357" s="11" t="str">
        <f t="shared" si="27"/>
        <v xml:space="preserve"> </v>
      </c>
      <c r="AC357" s="12" t="str">
        <f t="shared" si="28"/>
        <v xml:space="preserve"> </v>
      </c>
    </row>
    <row r="358" spans="1:29" ht="20.100000000000001" customHeight="1" x14ac:dyDescent="0.25">
      <c r="A358" s="16"/>
      <c r="B358" s="108"/>
      <c r="C358" s="109"/>
      <c r="D358" s="109"/>
      <c r="E358" s="109"/>
      <c r="F358" s="17"/>
      <c r="G358" s="17"/>
      <c r="H358" s="108"/>
      <c r="I358" s="107"/>
      <c r="J358" s="108"/>
      <c r="K358" s="107"/>
      <c r="L358" s="108"/>
      <c r="M358" s="110"/>
      <c r="N358" s="109"/>
      <c r="O358" s="108"/>
      <c r="P358" s="233"/>
      <c r="Q358" s="239"/>
      <c r="R358" s="19"/>
      <c r="S358" s="20"/>
      <c r="T358" s="9" t="str">
        <f t="shared" si="25"/>
        <v xml:space="preserve"> </v>
      </c>
      <c r="U358" s="18"/>
      <c r="V358" s="21"/>
      <c r="W358" s="22"/>
      <c r="X358" s="197" t="str">
        <f t="shared" si="26"/>
        <v xml:space="preserve"> </v>
      </c>
      <c r="Y358" s="246"/>
      <c r="Z358" s="247"/>
      <c r="AA358" s="20"/>
      <c r="AB358" s="11" t="str">
        <f t="shared" si="27"/>
        <v xml:space="preserve"> </v>
      </c>
      <c r="AC358" s="12" t="str">
        <f t="shared" si="28"/>
        <v xml:space="preserve"> </v>
      </c>
    </row>
    <row r="359" spans="1:29" ht="20.100000000000001" customHeight="1" x14ac:dyDescent="0.25">
      <c r="A359" s="16"/>
      <c r="B359" s="108"/>
      <c r="C359" s="109"/>
      <c r="D359" s="109"/>
      <c r="E359" s="109"/>
      <c r="F359" s="17"/>
      <c r="G359" s="17"/>
      <c r="H359" s="108"/>
      <c r="I359" s="107"/>
      <c r="J359" s="108"/>
      <c r="K359" s="107"/>
      <c r="L359" s="108"/>
      <c r="M359" s="110"/>
      <c r="N359" s="109"/>
      <c r="O359" s="108"/>
      <c r="P359" s="233"/>
      <c r="Q359" s="239"/>
      <c r="R359" s="19"/>
      <c r="S359" s="20"/>
      <c r="T359" s="9" t="str">
        <f t="shared" si="25"/>
        <v xml:space="preserve"> </v>
      </c>
      <c r="U359" s="18"/>
      <c r="V359" s="21"/>
      <c r="W359" s="22"/>
      <c r="X359" s="197" t="str">
        <f t="shared" si="26"/>
        <v xml:space="preserve"> </v>
      </c>
      <c r="Y359" s="246"/>
      <c r="Z359" s="247"/>
      <c r="AA359" s="20"/>
      <c r="AB359" s="11" t="str">
        <f t="shared" si="27"/>
        <v xml:space="preserve"> </v>
      </c>
      <c r="AC359" s="12" t="str">
        <f t="shared" si="28"/>
        <v xml:space="preserve"> </v>
      </c>
    </row>
    <row r="360" spans="1:29" ht="20.100000000000001" customHeight="1" x14ac:dyDescent="0.25">
      <c r="A360" s="16"/>
      <c r="B360" s="108"/>
      <c r="C360" s="109"/>
      <c r="D360" s="109"/>
      <c r="E360" s="109"/>
      <c r="F360" s="17"/>
      <c r="G360" s="17"/>
      <c r="H360" s="108"/>
      <c r="I360" s="107"/>
      <c r="J360" s="108"/>
      <c r="K360" s="107"/>
      <c r="L360" s="108"/>
      <c r="M360" s="110"/>
      <c r="N360" s="109"/>
      <c r="O360" s="108"/>
      <c r="P360" s="233"/>
      <c r="Q360" s="239"/>
      <c r="R360" s="19"/>
      <c r="S360" s="20"/>
      <c r="T360" s="9" t="str">
        <f t="shared" si="25"/>
        <v xml:space="preserve"> </v>
      </c>
      <c r="U360" s="18"/>
      <c r="V360" s="21"/>
      <c r="W360" s="22"/>
      <c r="X360" s="197" t="str">
        <f t="shared" si="26"/>
        <v xml:space="preserve"> </v>
      </c>
      <c r="Y360" s="246"/>
      <c r="Z360" s="247"/>
      <c r="AA360" s="20"/>
      <c r="AB360" s="11" t="str">
        <f t="shared" si="27"/>
        <v xml:space="preserve"> </v>
      </c>
      <c r="AC360" s="12" t="str">
        <f t="shared" si="28"/>
        <v xml:space="preserve"> </v>
      </c>
    </row>
    <row r="361" spans="1:29" ht="20.100000000000001" customHeight="1" x14ac:dyDescent="0.25">
      <c r="A361" s="16"/>
      <c r="B361" s="108"/>
      <c r="C361" s="109"/>
      <c r="D361" s="109"/>
      <c r="E361" s="109"/>
      <c r="F361" s="17"/>
      <c r="G361" s="17"/>
      <c r="H361" s="108"/>
      <c r="I361" s="107"/>
      <c r="J361" s="108"/>
      <c r="K361" s="107"/>
      <c r="L361" s="108"/>
      <c r="M361" s="110"/>
      <c r="N361" s="109"/>
      <c r="O361" s="108"/>
      <c r="P361" s="233"/>
      <c r="Q361" s="239"/>
      <c r="R361" s="19"/>
      <c r="S361" s="20"/>
      <c r="T361" s="9" t="str">
        <f t="shared" si="25"/>
        <v xml:space="preserve"> </v>
      </c>
      <c r="U361" s="18"/>
      <c r="V361" s="21"/>
      <c r="W361" s="22"/>
      <c r="X361" s="197" t="str">
        <f t="shared" si="26"/>
        <v xml:space="preserve"> </v>
      </c>
      <c r="Y361" s="246"/>
      <c r="Z361" s="247"/>
      <c r="AA361" s="20"/>
      <c r="AB361" s="11" t="str">
        <f t="shared" si="27"/>
        <v xml:space="preserve"> </v>
      </c>
      <c r="AC361" s="12" t="str">
        <f t="shared" si="28"/>
        <v xml:space="preserve"> </v>
      </c>
    </row>
    <row r="362" spans="1:29" ht="20.100000000000001" customHeight="1" x14ac:dyDescent="0.25">
      <c r="A362" s="16"/>
      <c r="B362" s="108"/>
      <c r="C362" s="109"/>
      <c r="D362" s="109"/>
      <c r="E362" s="109"/>
      <c r="F362" s="17"/>
      <c r="G362" s="17"/>
      <c r="H362" s="108"/>
      <c r="I362" s="107"/>
      <c r="J362" s="108"/>
      <c r="K362" s="107"/>
      <c r="L362" s="108"/>
      <c r="M362" s="110"/>
      <c r="N362" s="109"/>
      <c r="O362" s="108"/>
      <c r="P362" s="233"/>
      <c r="Q362" s="239"/>
      <c r="R362" s="19"/>
      <c r="S362" s="20"/>
      <c r="T362" s="9" t="str">
        <f t="shared" si="25"/>
        <v xml:space="preserve"> </v>
      </c>
      <c r="U362" s="18"/>
      <c r="V362" s="21"/>
      <c r="W362" s="22"/>
      <c r="X362" s="197" t="str">
        <f t="shared" si="26"/>
        <v xml:space="preserve"> </v>
      </c>
      <c r="Y362" s="246"/>
      <c r="Z362" s="247"/>
      <c r="AA362" s="20"/>
      <c r="AB362" s="11" t="str">
        <f t="shared" si="27"/>
        <v xml:space="preserve"> </v>
      </c>
      <c r="AC362" s="12" t="str">
        <f t="shared" si="28"/>
        <v xml:space="preserve"> </v>
      </c>
    </row>
    <row r="363" spans="1:29" ht="20.100000000000001" customHeight="1" x14ac:dyDescent="0.25">
      <c r="A363" s="16"/>
      <c r="B363" s="108"/>
      <c r="C363" s="109"/>
      <c r="D363" s="109"/>
      <c r="E363" s="109"/>
      <c r="F363" s="17"/>
      <c r="G363" s="17"/>
      <c r="H363" s="108"/>
      <c r="I363" s="107"/>
      <c r="J363" s="108"/>
      <c r="K363" s="107"/>
      <c r="L363" s="108"/>
      <c r="M363" s="110"/>
      <c r="N363" s="109"/>
      <c r="O363" s="108"/>
      <c r="P363" s="233"/>
      <c r="Q363" s="239"/>
      <c r="R363" s="19"/>
      <c r="S363" s="20"/>
      <c r="T363" s="9" t="str">
        <f t="shared" si="25"/>
        <v xml:space="preserve"> </v>
      </c>
      <c r="U363" s="18"/>
      <c r="V363" s="21"/>
      <c r="W363" s="22"/>
      <c r="X363" s="197" t="str">
        <f t="shared" si="26"/>
        <v xml:space="preserve"> </v>
      </c>
      <c r="Y363" s="246"/>
      <c r="Z363" s="247"/>
      <c r="AA363" s="20"/>
      <c r="AB363" s="11" t="str">
        <f t="shared" si="27"/>
        <v xml:space="preserve"> </v>
      </c>
      <c r="AC363" s="12" t="str">
        <f t="shared" si="28"/>
        <v xml:space="preserve"> </v>
      </c>
    </row>
    <row r="364" spans="1:29" ht="20.100000000000001" customHeight="1" x14ac:dyDescent="0.25">
      <c r="A364" s="16"/>
      <c r="B364" s="108"/>
      <c r="C364" s="109"/>
      <c r="D364" s="109"/>
      <c r="E364" s="109"/>
      <c r="F364" s="17"/>
      <c r="G364" s="17"/>
      <c r="H364" s="108"/>
      <c r="I364" s="107"/>
      <c r="J364" s="108"/>
      <c r="K364" s="107"/>
      <c r="L364" s="108"/>
      <c r="M364" s="110"/>
      <c r="N364" s="109"/>
      <c r="O364" s="108"/>
      <c r="P364" s="233"/>
      <c r="Q364" s="239"/>
      <c r="R364" s="19"/>
      <c r="S364" s="20"/>
      <c r="T364" s="9" t="str">
        <f t="shared" si="25"/>
        <v xml:space="preserve"> </v>
      </c>
      <c r="U364" s="18"/>
      <c r="V364" s="21"/>
      <c r="W364" s="22"/>
      <c r="X364" s="197" t="str">
        <f t="shared" si="26"/>
        <v xml:space="preserve"> </v>
      </c>
      <c r="Y364" s="246"/>
      <c r="Z364" s="247"/>
      <c r="AA364" s="20"/>
      <c r="AB364" s="11" t="str">
        <f t="shared" si="27"/>
        <v xml:space="preserve"> </v>
      </c>
      <c r="AC364" s="12" t="str">
        <f t="shared" si="28"/>
        <v xml:space="preserve"> </v>
      </c>
    </row>
    <row r="365" spans="1:29" ht="20.100000000000001" customHeight="1" x14ac:dyDescent="0.25">
      <c r="A365" s="16"/>
      <c r="B365" s="108"/>
      <c r="C365" s="109"/>
      <c r="D365" s="109"/>
      <c r="E365" s="109"/>
      <c r="F365" s="17"/>
      <c r="G365" s="17"/>
      <c r="H365" s="108"/>
      <c r="I365" s="107"/>
      <c r="J365" s="108"/>
      <c r="K365" s="107"/>
      <c r="L365" s="108"/>
      <c r="M365" s="110"/>
      <c r="N365" s="109"/>
      <c r="O365" s="108"/>
      <c r="P365" s="233"/>
      <c r="Q365" s="239"/>
      <c r="R365" s="19"/>
      <c r="S365" s="20"/>
      <c r="T365" s="9" t="str">
        <f t="shared" si="25"/>
        <v xml:space="preserve"> </v>
      </c>
      <c r="U365" s="18"/>
      <c r="V365" s="21"/>
      <c r="W365" s="22"/>
      <c r="X365" s="197" t="str">
        <f t="shared" si="26"/>
        <v xml:space="preserve"> </v>
      </c>
      <c r="Y365" s="246"/>
      <c r="Z365" s="247"/>
      <c r="AA365" s="20"/>
      <c r="AB365" s="11" t="str">
        <f t="shared" si="27"/>
        <v xml:space="preserve"> </v>
      </c>
      <c r="AC365" s="12" t="str">
        <f t="shared" si="28"/>
        <v xml:space="preserve"> </v>
      </c>
    </row>
    <row r="366" spans="1:29" ht="20.100000000000001" customHeight="1" x14ac:dyDescent="0.25">
      <c r="A366" s="16"/>
      <c r="B366" s="108"/>
      <c r="C366" s="109"/>
      <c r="D366" s="109"/>
      <c r="E366" s="109"/>
      <c r="F366" s="17"/>
      <c r="G366" s="17"/>
      <c r="H366" s="108"/>
      <c r="I366" s="107"/>
      <c r="J366" s="108"/>
      <c r="K366" s="107"/>
      <c r="L366" s="108"/>
      <c r="M366" s="110"/>
      <c r="N366" s="109"/>
      <c r="O366" s="108"/>
      <c r="P366" s="233"/>
      <c r="Q366" s="239"/>
      <c r="R366" s="19"/>
      <c r="S366" s="20"/>
      <c r="T366" s="9" t="str">
        <f t="shared" si="25"/>
        <v xml:space="preserve"> </v>
      </c>
      <c r="U366" s="18"/>
      <c r="V366" s="21"/>
      <c r="W366" s="22"/>
      <c r="X366" s="197" t="str">
        <f t="shared" si="26"/>
        <v xml:space="preserve"> </v>
      </c>
      <c r="Y366" s="246"/>
      <c r="Z366" s="247"/>
      <c r="AA366" s="20"/>
      <c r="AB366" s="11" t="str">
        <f t="shared" si="27"/>
        <v xml:space="preserve"> </v>
      </c>
      <c r="AC366" s="12" t="str">
        <f t="shared" si="28"/>
        <v xml:space="preserve"> </v>
      </c>
    </row>
    <row r="367" spans="1:29" ht="20.100000000000001" customHeight="1" x14ac:dyDescent="0.25">
      <c r="A367" s="16"/>
      <c r="B367" s="108"/>
      <c r="C367" s="109"/>
      <c r="D367" s="109"/>
      <c r="E367" s="109"/>
      <c r="F367" s="17"/>
      <c r="G367" s="17"/>
      <c r="H367" s="108"/>
      <c r="I367" s="107"/>
      <c r="J367" s="108"/>
      <c r="K367" s="107"/>
      <c r="L367" s="108"/>
      <c r="M367" s="110"/>
      <c r="N367" s="109"/>
      <c r="O367" s="108"/>
      <c r="P367" s="233"/>
      <c r="Q367" s="239"/>
      <c r="R367" s="19"/>
      <c r="S367" s="20"/>
      <c r="T367" s="9" t="str">
        <f t="shared" si="25"/>
        <v xml:space="preserve"> </v>
      </c>
      <c r="U367" s="18"/>
      <c r="V367" s="21"/>
      <c r="W367" s="22"/>
      <c r="X367" s="197" t="str">
        <f t="shared" si="26"/>
        <v xml:space="preserve"> </v>
      </c>
      <c r="Y367" s="246"/>
      <c r="Z367" s="247"/>
      <c r="AA367" s="20"/>
      <c r="AB367" s="11" t="str">
        <f t="shared" si="27"/>
        <v xml:space="preserve"> </v>
      </c>
      <c r="AC367" s="12" t="str">
        <f t="shared" si="28"/>
        <v xml:space="preserve"> </v>
      </c>
    </row>
    <row r="368" spans="1:29" ht="20.100000000000001" customHeight="1" x14ac:dyDescent="0.25">
      <c r="A368" s="16"/>
      <c r="B368" s="108"/>
      <c r="C368" s="109"/>
      <c r="D368" s="109"/>
      <c r="E368" s="109"/>
      <c r="F368" s="17"/>
      <c r="G368" s="17"/>
      <c r="H368" s="108"/>
      <c r="I368" s="107"/>
      <c r="J368" s="108"/>
      <c r="K368" s="107"/>
      <c r="L368" s="108"/>
      <c r="M368" s="110"/>
      <c r="N368" s="109"/>
      <c r="O368" s="108"/>
      <c r="P368" s="233"/>
      <c r="Q368" s="239"/>
      <c r="R368" s="19"/>
      <c r="S368" s="20"/>
      <c r="T368" s="9" t="str">
        <f t="shared" si="25"/>
        <v xml:space="preserve"> </v>
      </c>
      <c r="U368" s="18"/>
      <c r="V368" s="21"/>
      <c r="W368" s="22"/>
      <c r="X368" s="197" t="str">
        <f t="shared" si="26"/>
        <v xml:space="preserve"> </v>
      </c>
      <c r="Y368" s="246"/>
      <c r="Z368" s="247"/>
      <c r="AA368" s="20"/>
      <c r="AB368" s="11" t="str">
        <f t="shared" si="27"/>
        <v xml:space="preserve"> </v>
      </c>
      <c r="AC368" s="12" t="str">
        <f t="shared" si="28"/>
        <v xml:space="preserve"> </v>
      </c>
    </row>
    <row r="369" spans="1:29" ht="20.100000000000001" customHeight="1" x14ac:dyDescent="0.25">
      <c r="A369" s="16"/>
      <c r="B369" s="108"/>
      <c r="C369" s="109"/>
      <c r="D369" s="109"/>
      <c r="E369" s="109"/>
      <c r="F369" s="17"/>
      <c r="G369" s="17"/>
      <c r="H369" s="108"/>
      <c r="I369" s="107"/>
      <c r="J369" s="108"/>
      <c r="K369" s="107"/>
      <c r="L369" s="108"/>
      <c r="M369" s="110"/>
      <c r="N369" s="109"/>
      <c r="O369" s="108"/>
      <c r="P369" s="233"/>
      <c r="Q369" s="239"/>
      <c r="R369" s="19"/>
      <c r="S369" s="20"/>
      <c r="T369" s="9" t="str">
        <f t="shared" si="25"/>
        <v xml:space="preserve"> </v>
      </c>
      <c r="U369" s="18"/>
      <c r="V369" s="21"/>
      <c r="W369" s="22"/>
      <c r="X369" s="197" t="str">
        <f t="shared" si="26"/>
        <v xml:space="preserve"> </v>
      </c>
      <c r="Y369" s="246"/>
      <c r="Z369" s="247"/>
      <c r="AA369" s="20"/>
      <c r="AB369" s="11" t="str">
        <f t="shared" si="27"/>
        <v xml:space="preserve"> </v>
      </c>
      <c r="AC369" s="12" t="str">
        <f t="shared" si="28"/>
        <v xml:space="preserve"> </v>
      </c>
    </row>
    <row r="370" spans="1:29" ht="20.100000000000001" customHeight="1" x14ac:dyDescent="0.25">
      <c r="A370" s="16"/>
      <c r="B370" s="108"/>
      <c r="C370" s="109"/>
      <c r="D370" s="109"/>
      <c r="E370" s="109"/>
      <c r="F370" s="17"/>
      <c r="G370" s="17"/>
      <c r="H370" s="108"/>
      <c r="I370" s="107"/>
      <c r="J370" s="108"/>
      <c r="K370" s="107"/>
      <c r="L370" s="108"/>
      <c r="M370" s="110"/>
      <c r="N370" s="109"/>
      <c r="O370" s="108"/>
      <c r="P370" s="233"/>
      <c r="Q370" s="239"/>
      <c r="R370" s="19"/>
      <c r="S370" s="20"/>
      <c r="T370" s="9" t="str">
        <f t="shared" si="25"/>
        <v xml:space="preserve"> </v>
      </c>
      <c r="U370" s="18"/>
      <c r="V370" s="21"/>
      <c r="W370" s="22"/>
      <c r="X370" s="197" t="str">
        <f t="shared" si="26"/>
        <v xml:space="preserve"> </v>
      </c>
      <c r="Y370" s="246"/>
      <c r="Z370" s="247"/>
      <c r="AA370" s="20"/>
      <c r="AB370" s="11" t="str">
        <f t="shared" si="27"/>
        <v xml:space="preserve"> </v>
      </c>
      <c r="AC370" s="12" t="str">
        <f t="shared" si="28"/>
        <v xml:space="preserve"> </v>
      </c>
    </row>
    <row r="371" spans="1:29" ht="20.100000000000001" customHeight="1" x14ac:dyDescent="0.25">
      <c r="A371" s="16"/>
      <c r="B371" s="108"/>
      <c r="C371" s="109"/>
      <c r="D371" s="109"/>
      <c r="E371" s="109"/>
      <c r="F371" s="17"/>
      <c r="G371" s="17"/>
      <c r="H371" s="108"/>
      <c r="I371" s="107"/>
      <c r="J371" s="108"/>
      <c r="K371" s="107"/>
      <c r="L371" s="108"/>
      <c r="M371" s="110"/>
      <c r="N371" s="109"/>
      <c r="O371" s="108"/>
      <c r="P371" s="233"/>
      <c r="Q371" s="239"/>
      <c r="R371" s="19"/>
      <c r="S371" s="20"/>
      <c r="T371" s="9" t="str">
        <f t="shared" si="25"/>
        <v xml:space="preserve"> </v>
      </c>
      <c r="U371" s="18"/>
      <c r="V371" s="21"/>
      <c r="W371" s="22"/>
      <c r="X371" s="197" t="str">
        <f t="shared" si="26"/>
        <v xml:space="preserve"> </v>
      </c>
      <c r="Y371" s="246"/>
      <c r="Z371" s="247"/>
      <c r="AA371" s="20"/>
      <c r="AB371" s="11" t="str">
        <f t="shared" si="27"/>
        <v xml:space="preserve"> </v>
      </c>
      <c r="AC371" s="12" t="str">
        <f t="shared" si="28"/>
        <v xml:space="preserve"> </v>
      </c>
    </row>
    <row r="372" spans="1:29" ht="20.100000000000001" customHeight="1" x14ac:dyDescent="0.25">
      <c r="A372" s="16"/>
      <c r="B372" s="108"/>
      <c r="C372" s="109"/>
      <c r="D372" s="109"/>
      <c r="E372" s="109"/>
      <c r="F372" s="17"/>
      <c r="G372" s="17"/>
      <c r="H372" s="108"/>
      <c r="I372" s="107"/>
      <c r="J372" s="108"/>
      <c r="K372" s="107"/>
      <c r="L372" s="108"/>
      <c r="M372" s="110"/>
      <c r="N372" s="109"/>
      <c r="O372" s="108"/>
      <c r="P372" s="233"/>
      <c r="Q372" s="239"/>
      <c r="R372" s="19"/>
      <c r="S372" s="20"/>
      <c r="T372" s="9" t="str">
        <f t="shared" si="25"/>
        <v xml:space="preserve"> </v>
      </c>
      <c r="U372" s="18"/>
      <c r="V372" s="21"/>
      <c r="W372" s="22"/>
      <c r="X372" s="197" t="str">
        <f t="shared" si="26"/>
        <v xml:space="preserve"> </v>
      </c>
      <c r="Y372" s="246"/>
      <c r="Z372" s="247"/>
      <c r="AA372" s="20"/>
      <c r="AB372" s="11" t="str">
        <f t="shared" si="27"/>
        <v xml:space="preserve"> </v>
      </c>
      <c r="AC372" s="12" t="str">
        <f t="shared" si="28"/>
        <v xml:space="preserve"> </v>
      </c>
    </row>
    <row r="373" spans="1:29" ht="20.100000000000001" customHeight="1" x14ac:dyDescent="0.25">
      <c r="A373" s="16"/>
      <c r="B373" s="108"/>
      <c r="C373" s="109"/>
      <c r="D373" s="109"/>
      <c r="E373" s="109"/>
      <c r="F373" s="17"/>
      <c r="G373" s="17"/>
      <c r="H373" s="108"/>
      <c r="I373" s="107"/>
      <c r="J373" s="108"/>
      <c r="K373" s="107"/>
      <c r="L373" s="108"/>
      <c r="M373" s="110"/>
      <c r="N373" s="109"/>
      <c r="O373" s="108"/>
      <c r="P373" s="233"/>
      <c r="Q373" s="239"/>
      <c r="R373" s="19"/>
      <c r="S373" s="20"/>
      <c r="T373" s="9" t="str">
        <f t="shared" si="25"/>
        <v xml:space="preserve"> </v>
      </c>
      <c r="U373" s="18"/>
      <c r="V373" s="21"/>
      <c r="W373" s="22"/>
      <c r="X373" s="197" t="str">
        <f t="shared" si="26"/>
        <v xml:space="preserve"> </v>
      </c>
      <c r="Y373" s="246"/>
      <c r="Z373" s="247"/>
      <c r="AA373" s="20"/>
      <c r="AB373" s="11" t="str">
        <f t="shared" si="27"/>
        <v xml:space="preserve"> </v>
      </c>
      <c r="AC373" s="12" t="str">
        <f t="shared" si="28"/>
        <v xml:space="preserve"> </v>
      </c>
    </row>
    <row r="374" spans="1:29" ht="20.100000000000001" customHeight="1" x14ac:dyDescent="0.25">
      <c r="A374" s="16"/>
      <c r="B374" s="108"/>
      <c r="C374" s="109"/>
      <c r="D374" s="109"/>
      <c r="E374" s="109"/>
      <c r="F374" s="17"/>
      <c r="G374" s="17"/>
      <c r="H374" s="108"/>
      <c r="I374" s="107"/>
      <c r="J374" s="108"/>
      <c r="K374" s="107"/>
      <c r="L374" s="108"/>
      <c r="M374" s="110"/>
      <c r="N374" s="109"/>
      <c r="O374" s="108"/>
      <c r="P374" s="233"/>
      <c r="Q374" s="239"/>
      <c r="R374" s="19"/>
      <c r="S374" s="20"/>
      <c r="T374" s="9" t="str">
        <f t="shared" si="25"/>
        <v xml:space="preserve"> </v>
      </c>
      <c r="U374" s="18"/>
      <c r="V374" s="21"/>
      <c r="W374" s="22"/>
      <c r="X374" s="197" t="str">
        <f t="shared" si="26"/>
        <v xml:space="preserve"> </v>
      </c>
      <c r="Y374" s="246"/>
      <c r="Z374" s="247"/>
      <c r="AA374" s="20"/>
      <c r="AB374" s="11" t="str">
        <f t="shared" si="27"/>
        <v xml:space="preserve"> </v>
      </c>
      <c r="AC374" s="12" t="str">
        <f t="shared" si="28"/>
        <v xml:space="preserve"> </v>
      </c>
    </row>
    <row r="375" spans="1:29" ht="20.100000000000001" customHeight="1" x14ac:dyDescent="0.25">
      <c r="A375" s="16"/>
      <c r="B375" s="108"/>
      <c r="C375" s="109"/>
      <c r="D375" s="109"/>
      <c r="E375" s="109"/>
      <c r="F375" s="17"/>
      <c r="G375" s="17"/>
      <c r="H375" s="108"/>
      <c r="I375" s="107"/>
      <c r="J375" s="108"/>
      <c r="K375" s="107"/>
      <c r="L375" s="108"/>
      <c r="M375" s="110"/>
      <c r="N375" s="109"/>
      <c r="O375" s="108"/>
      <c r="P375" s="233"/>
      <c r="Q375" s="239"/>
      <c r="R375" s="19"/>
      <c r="S375" s="20"/>
      <c r="T375" s="9" t="str">
        <f t="shared" si="25"/>
        <v xml:space="preserve"> </v>
      </c>
      <c r="U375" s="18"/>
      <c r="V375" s="21"/>
      <c r="W375" s="22"/>
      <c r="X375" s="197" t="str">
        <f t="shared" si="26"/>
        <v xml:space="preserve"> </v>
      </c>
      <c r="Y375" s="246"/>
      <c r="Z375" s="247"/>
      <c r="AA375" s="20"/>
      <c r="AB375" s="11" t="str">
        <f t="shared" si="27"/>
        <v xml:space="preserve"> </v>
      </c>
      <c r="AC375" s="12" t="str">
        <f t="shared" si="28"/>
        <v xml:space="preserve"> </v>
      </c>
    </row>
    <row r="376" spans="1:29" ht="20.100000000000001" customHeight="1" x14ac:dyDescent="0.25">
      <c r="A376" s="16"/>
      <c r="B376" s="108"/>
      <c r="C376" s="109"/>
      <c r="D376" s="109"/>
      <c r="E376" s="109"/>
      <c r="F376" s="17"/>
      <c r="G376" s="17"/>
      <c r="H376" s="108"/>
      <c r="I376" s="107"/>
      <c r="J376" s="108"/>
      <c r="K376" s="107"/>
      <c r="L376" s="108"/>
      <c r="M376" s="110"/>
      <c r="N376" s="109"/>
      <c r="O376" s="108"/>
      <c r="P376" s="233"/>
      <c r="Q376" s="239"/>
      <c r="R376" s="19"/>
      <c r="S376" s="20"/>
      <c r="T376" s="9" t="str">
        <f t="shared" si="25"/>
        <v xml:space="preserve"> </v>
      </c>
      <c r="U376" s="18"/>
      <c r="V376" s="21"/>
      <c r="W376" s="22"/>
      <c r="X376" s="197" t="str">
        <f t="shared" si="26"/>
        <v xml:space="preserve"> </v>
      </c>
      <c r="Y376" s="246"/>
      <c r="Z376" s="247"/>
      <c r="AA376" s="20"/>
      <c r="AB376" s="11" t="str">
        <f t="shared" si="27"/>
        <v xml:space="preserve"> </v>
      </c>
      <c r="AC376" s="12" t="str">
        <f t="shared" si="28"/>
        <v xml:space="preserve"> </v>
      </c>
    </row>
    <row r="377" spans="1:29" ht="20.100000000000001" customHeight="1" x14ac:dyDescent="0.25">
      <c r="A377" s="16"/>
      <c r="B377" s="108"/>
      <c r="C377" s="109"/>
      <c r="D377" s="109"/>
      <c r="E377" s="109"/>
      <c r="F377" s="17"/>
      <c r="G377" s="17"/>
      <c r="H377" s="108"/>
      <c r="I377" s="107"/>
      <c r="J377" s="108"/>
      <c r="K377" s="107"/>
      <c r="L377" s="108"/>
      <c r="M377" s="110"/>
      <c r="N377" s="109"/>
      <c r="O377" s="108"/>
      <c r="P377" s="233"/>
      <c r="Q377" s="239"/>
      <c r="R377" s="19"/>
      <c r="S377" s="20"/>
      <c r="T377" s="9" t="str">
        <f t="shared" si="25"/>
        <v xml:space="preserve"> </v>
      </c>
      <c r="U377" s="18"/>
      <c r="V377" s="21"/>
      <c r="W377" s="22"/>
      <c r="X377" s="197" t="str">
        <f t="shared" si="26"/>
        <v xml:space="preserve"> </v>
      </c>
      <c r="Y377" s="246"/>
      <c r="Z377" s="247"/>
      <c r="AA377" s="20"/>
      <c r="AB377" s="11" t="str">
        <f t="shared" si="27"/>
        <v xml:space="preserve"> </v>
      </c>
      <c r="AC377" s="12" t="str">
        <f t="shared" si="28"/>
        <v xml:space="preserve"> </v>
      </c>
    </row>
    <row r="378" spans="1:29" ht="20.100000000000001" customHeight="1" x14ac:dyDescent="0.25">
      <c r="A378" s="16"/>
      <c r="B378" s="108"/>
      <c r="C378" s="109"/>
      <c r="D378" s="109"/>
      <c r="E378" s="109"/>
      <c r="F378" s="17"/>
      <c r="G378" s="17"/>
      <c r="H378" s="108"/>
      <c r="I378" s="107"/>
      <c r="J378" s="108"/>
      <c r="K378" s="107"/>
      <c r="L378" s="108"/>
      <c r="M378" s="110"/>
      <c r="N378" s="109"/>
      <c r="O378" s="108"/>
      <c r="P378" s="233"/>
      <c r="Q378" s="239"/>
      <c r="R378" s="19"/>
      <c r="S378" s="20"/>
      <c r="T378" s="9" t="str">
        <f t="shared" si="25"/>
        <v xml:space="preserve"> </v>
      </c>
      <c r="U378" s="18"/>
      <c r="V378" s="21"/>
      <c r="W378" s="22"/>
      <c r="X378" s="197" t="str">
        <f t="shared" si="26"/>
        <v xml:space="preserve"> </v>
      </c>
      <c r="Y378" s="246"/>
      <c r="Z378" s="247"/>
      <c r="AA378" s="20"/>
      <c r="AB378" s="11" t="str">
        <f t="shared" si="27"/>
        <v xml:space="preserve"> </v>
      </c>
      <c r="AC378" s="12" t="str">
        <f t="shared" si="28"/>
        <v xml:space="preserve"> </v>
      </c>
    </row>
    <row r="379" spans="1:29" ht="20.100000000000001" customHeight="1" x14ac:dyDescent="0.25">
      <c r="A379" s="16"/>
      <c r="B379" s="108"/>
      <c r="C379" s="109"/>
      <c r="D379" s="109"/>
      <c r="E379" s="109"/>
      <c r="F379" s="17"/>
      <c r="G379" s="17"/>
      <c r="H379" s="108"/>
      <c r="I379" s="107"/>
      <c r="J379" s="108"/>
      <c r="K379" s="107"/>
      <c r="L379" s="108"/>
      <c r="M379" s="110"/>
      <c r="N379" s="109"/>
      <c r="O379" s="108"/>
      <c r="P379" s="233"/>
      <c r="Q379" s="239"/>
      <c r="R379" s="19"/>
      <c r="S379" s="20"/>
      <c r="T379" s="9" t="str">
        <f t="shared" si="25"/>
        <v xml:space="preserve"> </v>
      </c>
      <c r="U379" s="18"/>
      <c r="V379" s="21"/>
      <c r="W379" s="22"/>
      <c r="X379" s="197" t="str">
        <f t="shared" si="26"/>
        <v xml:space="preserve"> </v>
      </c>
      <c r="Y379" s="246"/>
      <c r="Z379" s="247"/>
      <c r="AA379" s="20"/>
      <c r="AB379" s="11" t="str">
        <f t="shared" si="27"/>
        <v xml:space="preserve"> </v>
      </c>
      <c r="AC379" s="12" t="str">
        <f t="shared" si="28"/>
        <v xml:space="preserve"> </v>
      </c>
    </row>
    <row r="380" spans="1:29" ht="20.100000000000001" customHeight="1" x14ac:dyDescent="0.25">
      <c r="A380" s="16"/>
      <c r="B380" s="108"/>
      <c r="C380" s="109"/>
      <c r="D380" s="109"/>
      <c r="E380" s="109"/>
      <c r="F380" s="17"/>
      <c r="G380" s="17"/>
      <c r="H380" s="108"/>
      <c r="I380" s="107"/>
      <c r="J380" s="108"/>
      <c r="K380" s="107"/>
      <c r="L380" s="108"/>
      <c r="M380" s="110"/>
      <c r="N380" s="109"/>
      <c r="O380" s="108"/>
      <c r="P380" s="233"/>
      <c r="Q380" s="239"/>
      <c r="R380" s="19"/>
      <c r="S380" s="20"/>
      <c r="T380" s="9" t="str">
        <f t="shared" si="25"/>
        <v xml:space="preserve"> </v>
      </c>
      <c r="U380" s="18"/>
      <c r="V380" s="21"/>
      <c r="W380" s="22"/>
      <c r="X380" s="197" t="str">
        <f t="shared" si="26"/>
        <v xml:space="preserve"> </v>
      </c>
      <c r="Y380" s="246"/>
      <c r="Z380" s="247"/>
      <c r="AA380" s="20"/>
      <c r="AB380" s="11" t="str">
        <f t="shared" si="27"/>
        <v xml:space="preserve"> </v>
      </c>
      <c r="AC380" s="12" t="str">
        <f t="shared" si="28"/>
        <v xml:space="preserve"> </v>
      </c>
    </row>
    <row r="381" spans="1:29" ht="20.100000000000001" customHeight="1" x14ac:dyDescent="0.25">
      <c r="A381" s="16"/>
      <c r="B381" s="108"/>
      <c r="C381" s="109"/>
      <c r="D381" s="109"/>
      <c r="E381" s="109"/>
      <c r="F381" s="17"/>
      <c r="G381" s="17"/>
      <c r="H381" s="108"/>
      <c r="I381" s="107"/>
      <c r="J381" s="108"/>
      <c r="K381" s="107"/>
      <c r="L381" s="108"/>
      <c r="M381" s="110"/>
      <c r="N381" s="109"/>
      <c r="O381" s="108"/>
      <c r="P381" s="233"/>
      <c r="Q381" s="239"/>
      <c r="R381" s="19"/>
      <c r="S381" s="20"/>
      <c r="T381" s="9" t="str">
        <f t="shared" si="25"/>
        <v xml:space="preserve"> </v>
      </c>
      <c r="U381" s="18"/>
      <c r="V381" s="21"/>
      <c r="W381" s="22"/>
      <c r="X381" s="197" t="str">
        <f t="shared" si="26"/>
        <v xml:space="preserve"> </v>
      </c>
      <c r="Y381" s="246"/>
      <c r="Z381" s="247"/>
      <c r="AA381" s="20"/>
      <c r="AB381" s="11" t="str">
        <f t="shared" si="27"/>
        <v xml:space="preserve"> </v>
      </c>
      <c r="AC381" s="12" t="str">
        <f t="shared" si="28"/>
        <v xml:space="preserve"> </v>
      </c>
    </row>
    <row r="382" spans="1:29" ht="20.100000000000001" customHeight="1" x14ac:dyDescent="0.25">
      <c r="A382" s="16"/>
      <c r="B382" s="108"/>
      <c r="C382" s="109"/>
      <c r="D382" s="109"/>
      <c r="E382" s="109"/>
      <c r="F382" s="17"/>
      <c r="G382" s="17"/>
      <c r="H382" s="108"/>
      <c r="I382" s="107"/>
      <c r="J382" s="108"/>
      <c r="K382" s="107"/>
      <c r="L382" s="108"/>
      <c r="M382" s="110"/>
      <c r="N382" s="109"/>
      <c r="O382" s="108"/>
      <c r="P382" s="233"/>
      <c r="Q382" s="239"/>
      <c r="R382" s="19"/>
      <c r="S382" s="20"/>
      <c r="T382" s="9" t="str">
        <f t="shared" si="25"/>
        <v xml:space="preserve"> </v>
      </c>
      <c r="U382" s="18"/>
      <c r="V382" s="21"/>
      <c r="W382" s="22"/>
      <c r="X382" s="197" t="str">
        <f t="shared" si="26"/>
        <v xml:space="preserve"> </v>
      </c>
      <c r="Y382" s="246"/>
      <c r="Z382" s="247"/>
      <c r="AA382" s="20"/>
      <c r="AB382" s="11" t="str">
        <f t="shared" si="27"/>
        <v xml:space="preserve"> </v>
      </c>
      <c r="AC382" s="12" t="str">
        <f t="shared" si="28"/>
        <v xml:space="preserve"> </v>
      </c>
    </row>
    <row r="383" spans="1:29" ht="20.100000000000001" customHeight="1" x14ac:dyDescent="0.25">
      <c r="A383" s="16"/>
      <c r="B383" s="108"/>
      <c r="C383" s="109"/>
      <c r="D383" s="109"/>
      <c r="E383" s="109"/>
      <c r="F383" s="17"/>
      <c r="G383" s="17"/>
      <c r="H383" s="108"/>
      <c r="I383" s="107"/>
      <c r="J383" s="108"/>
      <c r="K383" s="107"/>
      <c r="L383" s="108"/>
      <c r="M383" s="110"/>
      <c r="N383" s="109"/>
      <c r="O383" s="108"/>
      <c r="P383" s="233"/>
      <c r="Q383" s="239"/>
      <c r="R383" s="19"/>
      <c r="S383" s="20"/>
      <c r="T383" s="9" t="str">
        <f t="shared" si="25"/>
        <v xml:space="preserve"> </v>
      </c>
      <c r="U383" s="18"/>
      <c r="V383" s="21"/>
      <c r="W383" s="22"/>
      <c r="X383" s="197" t="str">
        <f t="shared" si="26"/>
        <v xml:space="preserve"> </v>
      </c>
      <c r="Y383" s="246"/>
      <c r="Z383" s="247"/>
      <c r="AA383" s="20"/>
      <c r="AB383" s="11" t="str">
        <f t="shared" si="27"/>
        <v xml:space="preserve"> </v>
      </c>
      <c r="AC383" s="12" t="str">
        <f t="shared" si="28"/>
        <v xml:space="preserve"> </v>
      </c>
    </row>
    <row r="384" spans="1:29" ht="20.100000000000001" customHeight="1" x14ac:dyDescent="0.25">
      <c r="A384" s="16"/>
      <c r="B384" s="108"/>
      <c r="C384" s="109"/>
      <c r="D384" s="109"/>
      <c r="E384" s="109"/>
      <c r="F384" s="17"/>
      <c r="G384" s="17"/>
      <c r="H384" s="108"/>
      <c r="I384" s="107"/>
      <c r="J384" s="108"/>
      <c r="K384" s="107"/>
      <c r="L384" s="108"/>
      <c r="M384" s="110"/>
      <c r="N384" s="109"/>
      <c r="O384" s="108"/>
      <c r="P384" s="233"/>
      <c r="Q384" s="239"/>
      <c r="R384" s="19"/>
      <c r="S384" s="20"/>
      <c r="T384" s="9" t="str">
        <f t="shared" si="25"/>
        <v xml:space="preserve"> </v>
      </c>
      <c r="U384" s="18"/>
      <c r="V384" s="21"/>
      <c r="W384" s="22"/>
      <c r="X384" s="197" t="str">
        <f t="shared" si="26"/>
        <v xml:space="preserve"> </v>
      </c>
      <c r="Y384" s="246"/>
      <c r="Z384" s="247"/>
      <c r="AA384" s="20"/>
      <c r="AB384" s="11" t="str">
        <f t="shared" si="27"/>
        <v xml:space="preserve"> </v>
      </c>
      <c r="AC384" s="12" t="str">
        <f t="shared" si="28"/>
        <v xml:space="preserve"> </v>
      </c>
    </row>
    <row r="385" spans="1:29" ht="20.100000000000001" customHeight="1" x14ac:dyDescent="0.25">
      <c r="A385" s="16"/>
      <c r="B385" s="108"/>
      <c r="C385" s="109"/>
      <c r="D385" s="109"/>
      <c r="E385" s="109"/>
      <c r="F385" s="17"/>
      <c r="G385" s="17"/>
      <c r="H385" s="108"/>
      <c r="I385" s="107"/>
      <c r="J385" s="108"/>
      <c r="K385" s="107"/>
      <c r="L385" s="108"/>
      <c r="M385" s="110"/>
      <c r="N385" s="109"/>
      <c r="O385" s="108"/>
      <c r="P385" s="233"/>
      <c r="Q385" s="239"/>
      <c r="R385" s="19"/>
      <c r="S385" s="20"/>
      <c r="T385" s="9" t="str">
        <f t="shared" si="25"/>
        <v xml:space="preserve"> </v>
      </c>
      <c r="U385" s="18"/>
      <c r="V385" s="21"/>
      <c r="W385" s="22"/>
      <c r="X385" s="197" t="str">
        <f t="shared" si="26"/>
        <v xml:space="preserve"> </v>
      </c>
      <c r="Y385" s="246"/>
      <c r="Z385" s="247"/>
      <c r="AA385" s="20"/>
      <c r="AB385" s="11" t="str">
        <f t="shared" si="27"/>
        <v xml:space="preserve"> </v>
      </c>
      <c r="AC385" s="12" t="str">
        <f t="shared" si="28"/>
        <v xml:space="preserve"> </v>
      </c>
    </row>
    <row r="386" spans="1:29" ht="20.100000000000001" customHeight="1" x14ac:dyDescent="0.25">
      <c r="A386" s="16"/>
      <c r="B386" s="108"/>
      <c r="C386" s="109"/>
      <c r="D386" s="109"/>
      <c r="E386" s="109"/>
      <c r="F386" s="17"/>
      <c r="G386" s="17"/>
      <c r="H386" s="108"/>
      <c r="I386" s="107"/>
      <c r="J386" s="108"/>
      <c r="K386" s="107"/>
      <c r="L386" s="108"/>
      <c r="M386" s="110"/>
      <c r="N386" s="109"/>
      <c r="O386" s="108"/>
      <c r="P386" s="233"/>
      <c r="Q386" s="239"/>
      <c r="R386" s="19"/>
      <c r="S386" s="20"/>
      <c r="T386" s="9" t="str">
        <f t="shared" si="25"/>
        <v xml:space="preserve"> </v>
      </c>
      <c r="U386" s="18"/>
      <c r="V386" s="21"/>
      <c r="W386" s="22"/>
      <c r="X386" s="197" t="str">
        <f t="shared" si="26"/>
        <v xml:space="preserve"> </v>
      </c>
      <c r="Y386" s="246"/>
      <c r="Z386" s="247"/>
      <c r="AA386" s="20"/>
      <c r="AB386" s="11" t="str">
        <f t="shared" si="27"/>
        <v xml:space="preserve"> </v>
      </c>
      <c r="AC386" s="12" t="str">
        <f t="shared" si="28"/>
        <v xml:space="preserve"> </v>
      </c>
    </row>
    <row r="387" spans="1:29" ht="20.100000000000001" customHeight="1" x14ac:dyDescent="0.25">
      <c r="A387" s="16"/>
      <c r="B387" s="108"/>
      <c r="C387" s="109"/>
      <c r="D387" s="109"/>
      <c r="E387" s="109"/>
      <c r="F387" s="17"/>
      <c r="G387" s="17"/>
      <c r="H387" s="108"/>
      <c r="I387" s="107"/>
      <c r="J387" s="108"/>
      <c r="K387" s="107"/>
      <c r="L387" s="108"/>
      <c r="M387" s="110"/>
      <c r="N387" s="109"/>
      <c r="O387" s="108"/>
      <c r="P387" s="233"/>
      <c r="Q387" s="239"/>
      <c r="R387" s="19"/>
      <c r="S387" s="20"/>
      <c r="T387" s="9" t="str">
        <f t="shared" si="25"/>
        <v xml:space="preserve"> </v>
      </c>
      <c r="U387" s="18"/>
      <c r="V387" s="21"/>
      <c r="W387" s="22"/>
      <c r="X387" s="197" t="str">
        <f t="shared" si="26"/>
        <v xml:space="preserve"> </v>
      </c>
      <c r="Y387" s="246"/>
      <c r="Z387" s="247"/>
      <c r="AA387" s="20"/>
      <c r="AB387" s="11" t="str">
        <f t="shared" si="27"/>
        <v xml:space="preserve"> </v>
      </c>
      <c r="AC387" s="12" t="str">
        <f t="shared" si="28"/>
        <v xml:space="preserve"> </v>
      </c>
    </row>
    <row r="388" spans="1:29" ht="20.100000000000001" customHeight="1" x14ac:dyDescent="0.25">
      <c r="A388" s="16"/>
      <c r="B388" s="108"/>
      <c r="C388" s="109"/>
      <c r="D388" s="109"/>
      <c r="E388" s="109"/>
      <c r="F388" s="17"/>
      <c r="G388" s="17"/>
      <c r="H388" s="108"/>
      <c r="I388" s="107"/>
      <c r="J388" s="108"/>
      <c r="K388" s="107"/>
      <c r="L388" s="108"/>
      <c r="M388" s="110"/>
      <c r="N388" s="109"/>
      <c r="O388" s="108"/>
      <c r="P388" s="233"/>
      <c r="Q388" s="239"/>
      <c r="R388" s="19"/>
      <c r="S388" s="20"/>
      <c r="T388" s="9" t="str">
        <f t="shared" ref="T388:T451" si="29">IF(ISBLANK(R388)," ",((ROUND(S388,2)-(ROUND(R388,2)))/(ROUND(R388,2))))</f>
        <v xml:space="preserve"> </v>
      </c>
      <c r="U388" s="18"/>
      <c r="V388" s="21"/>
      <c r="W388" s="22"/>
      <c r="X388" s="197" t="str">
        <f t="shared" ref="X388:X451" si="30">IF(ISBLANK(R388)," ",((ROUND(W388,2))-(ROUND(R388,2)))/(ROUND(R388,2)))</f>
        <v xml:space="preserve"> </v>
      </c>
      <c r="Y388" s="246"/>
      <c r="Z388" s="247"/>
      <c r="AA388" s="20"/>
      <c r="AB388" s="11" t="str">
        <f t="shared" ref="AB388:AB451" si="31">IF(ISBLANK(R388)," ",((ROUND(AA388,2))-(ROUND(R388,2)))/(ROUND(R388,2)))</f>
        <v xml:space="preserve"> </v>
      </c>
      <c r="AC388" s="12" t="str">
        <f t="shared" ref="AC388:AC451" si="32">IF(ISBLANK(AA388)," ",(ROUND(AA388,2)/0.995))</f>
        <v xml:space="preserve"> </v>
      </c>
    </row>
    <row r="389" spans="1:29" ht="20.100000000000001" customHeight="1" x14ac:dyDescent="0.25">
      <c r="A389" s="16"/>
      <c r="B389" s="108"/>
      <c r="C389" s="109"/>
      <c r="D389" s="109"/>
      <c r="E389" s="109"/>
      <c r="F389" s="17"/>
      <c r="G389" s="17"/>
      <c r="H389" s="108"/>
      <c r="I389" s="107"/>
      <c r="J389" s="108"/>
      <c r="K389" s="107"/>
      <c r="L389" s="108"/>
      <c r="M389" s="110"/>
      <c r="N389" s="109"/>
      <c r="O389" s="108"/>
      <c r="P389" s="233"/>
      <c r="Q389" s="239"/>
      <c r="R389" s="19"/>
      <c r="S389" s="20"/>
      <c r="T389" s="9" t="str">
        <f t="shared" si="29"/>
        <v xml:space="preserve"> </v>
      </c>
      <c r="U389" s="18"/>
      <c r="V389" s="21"/>
      <c r="W389" s="22"/>
      <c r="X389" s="197" t="str">
        <f t="shared" si="30"/>
        <v xml:space="preserve"> </v>
      </c>
      <c r="Y389" s="246"/>
      <c r="Z389" s="247"/>
      <c r="AA389" s="20"/>
      <c r="AB389" s="11" t="str">
        <f t="shared" si="31"/>
        <v xml:space="preserve"> </v>
      </c>
      <c r="AC389" s="12" t="str">
        <f t="shared" si="32"/>
        <v xml:space="preserve"> </v>
      </c>
    </row>
    <row r="390" spans="1:29" ht="20.100000000000001" customHeight="1" x14ac:dyDescent="0.25">
      <c r="A390" s="16"/>
      <c r="B390" s="108"/>
      <c r="C390" s="109"/>
      <c r="D390" s="109"/>
      <c r="E390" s="109"/>
      <c r="F390" s="17"/>
      <c r="G390" s="17"/>
      <c r="H390" s="108"/>
      <c r="I390" s="107"/>
      <c r="J390" s="108"/>
      <c r="K390" s="107"/>
      <c r="L390" s="108"/>
      <c r="M390" s="110"/>
      <c r="N390" s="109"/>
      <c r="O390" s="108"/>
      <c r="P390" s="233"/>
      <c r="Q390" s="239"/>
      <c r="R390" s="19"/>
      <c r="S390" s="20"/>
      <c r="T390" s="9" t="str">
        <f t="shared" si="29"/>
        <v xml:space="preserve"> </v>
      </c>
      <c r="U390" s="18"/>
      <c r="V390" s="21"/>
      <c r="W390" s="22"/>
      <c r="X390" s="197" t="str">
        <f t="shared" si="30"/>
        <v xml:space="preserve"> </v>
      </c>
      <c r="Y390" s="246"/>
      <c r="Z390" s="247"/>
      <c r="AA390" s="20"/>
      <c r="AB390" s="11" t="str">
        <f t="shared" si="31"/>
        <v xml:space="preserve"> </v>
      </c>
      <c r="AC390" s="12" t="str">
        <f t="shared" si="32"/>
        <v xml:space="preserve"> </v>
      </c>
    </row>
    <row r="391" spans="1:29" ht="20.100000000000001" customHeight="1" x14ac:dyDescent="0.25">
      <c r="A391" s="16"/>
      <c r="B391" s="108"/>
      <c r="C391" s="109"/>
      <c r="D391" s="109"/>
      <c r="E391" s="109"/>
      <c r="F391" s="17"/>
      <c r="G391" s="17"/>
      <c r="H391" s="108"/>
      <c r="I391" s="107"/>
      <c r="J391" s="108"/>
      <c r="K391" s="107"/>
      <c r="L391" s="108"/>
      <c r="M391" s="110"/>
      <c r="N391" s="109"/>
      <c r="O391" s="108"/>
      <c r="P391" s="233"/>
      <c r="Q391" s="239"/>
      <c r="R391" s="19"/>
      <c r="S391" s="20"/>
      <c r="T391" s="9" t="str">
        <f t="shared" si="29"/>
        <v xml:space="preserve"> </v>
      </c>
      <c r="U391" s="18"/>
      <c r="V391" s="21"/>
      <c r="W391" s="22"/>
      <c r="X391" s="197" t="str">
        <f t="shared" si="30"/>
        <v xml:space="preserve"> </v>
      </c>
      <c r="Y391" s="246"/>
      <c r="Z391" s="247"/>
      <c r="AA391" s="20"/>
      <c r="AB391" s="11" t="str">
        <f t="shared" si="31"/>
        <v xml:space="preserve"> </v>
      </c>
      <c r="AC391" s="12" t="str">
        <f t="shared" si="32"/>
        <v xml:space="preserve"> </v>
      </c>
    </row>
    <row r="392" spans="1:29" ht="20.100000000000001" customHeight="1" x14ac:dyDescent="0.25">
      <c r="A392" s="16"/>
      <c r="B392" s="108"/>
      <c r="C392" s="109"/>
      <c r="D392" s="109"/>
      <c r="E392" s="109"/>
      <c r="F392" s="17"/>
      <c r="G392" s="17"/>
      <c r="H392" s="108"/>
      <c r="I392" s="107"/>
      <c r="J392" s="108"/>
      <c r="K392" s="107"/>
      <c r="L392" s="108"/>
      <c r="M392" s="110"/>
      <c r="N392" s="109"/>
      <c r="O392" s="108"/>
      <c r="P392" s="233"/>
      <c r="Q392" s="239"/>
      <c r="R392" s="19"/>
      <c r="S392" s="20"/>
      <c r="T392" s="9" t="str">
        <f t="shared" si="29"/>
        <v xml:space="preserve"> </v>
      </c>
      <c r="U392" s="18"/>
      <c r="V392" s="21"/>
      <c r="W392" s="22"/>
      <c r="X392" s="197" t="str">
        <f t="shared" si="30"/>
        <v xml:space="preserve"> </v>
      </c>
      <c r="Y392" s="246"/>
      <c r="Z392" s="247"/>
      <c r="AA392" s="20"/>
      <c r="AB392" s="11" t="str">
        <f t="shared" si="31"/>
        <v xml:space="preserve"> </v>
      </c>
      <c r="AC392" s="12" t="str">
        <f t="shared" si="32"/>
        <v xml:space="preserve"> </v>
      </c>
    </row>
    <row r="393" spans="1:29" ht="20.100000000000001" customHeight="1" x14ac:dyDescent="0.25">
      <c r="A393" s="16"/>
      <c r="B393" s="108"/>
      <c r="C393" s="109"/>
      <c r="D393" s="109"/>
      <c r="E393" s="109"/>
      <c r="F393" s="17"/>
      <c r="G393" s="17"/>
      <c r="H393" s="108"/>
      <c r="I393" s="107"/>
      <c r="J393" s="108"/>
      <c r="K393" s="107"/>
      <c r="L393" s="108"/>
      <c r="M393" s="110"/>
      <c r="N393" s="109"/>
      <c r="O393" s="108"/>
      <c r="P393" s="233"/>
      <c r="Q393" s="239"/>
      <c r="R393" s="19"/>
      <c r="S393" s="20"/>
      <c r="T393" s="9" t="str">
        <f t="shared" si="29"/>
        <v xml:space="preserve"> </v>
      </c>
      <c r="U393" s="18"/>
      <c r="V393" s="21"/>
      <c r="W393" s="22"/>
      <c r="X393" s="197" t="str">
        <f t="shared" si="30"/>
        <v xml:space="preserve"> </v>
      </c>
      <c r="Y393" s="246"/>
      <c r="Z393" s="247"/>
      <c r="AA393" s="20"/>
      <c r="AB393" s="11" t="str">
        <f t="shared" si="31"/>
        <v xml:space="preserve"> </v>
      </c>
      <c r="AC393" s="12" t="str">
        <f t="shared" si="32"/>
        <v xml:space="preserve"> </v>
      </c>
    </row>
    <row r="394" spans="1:29" ht="20.100000000000001" customHeight="1" x14ac:dyDescent="0.25">
      <c r="A394" s="16"/>
      <c r="B394" s="108"/>
      <c r="C394" s="109"/>
      <c r="D394" s="109"/>
      <c r="E394" s="109"/>
      <c r="F394" s="17"/>
      <c r="G394" s="17"/>
      <c r="H394" s="108"/>
      <c r="I394" s="107"/>
      <c r="J394" s="108"/>
      <c r="K394" s="107"/>
      <c r="L394" s="108"/>
      <c r="M394" s="110"/>
      <c r="N394" s="109"/>
      <c r="O394" s="108"/>
      <c r="P394" s="233"/>
      <c r="Q394" s="239"/>
      <c r="R394" s="19"/>
      <c r="S394" s="20"/>
      <c r="T394" s="9" t="str">
        <f t="shared" si="29"/>
        <v xml:space="preserve"> </v>
      </c>
      <c r="U394" s="18"/>
      <c r="V394" s="21"/>
      <c r="W394" s="22"/>
      <c r="X394" s="197" t="str">
        <f t="shared" si="30"/>
        <v xml:space="preserve"> </v>
      </c>
      <c r="Y394" s="246"/>
      <c r="Z394" s="247"/>
      <c r="AA394" s="20"/>
      <c r="AB394" s="11" t="str">
        <f t="shared" si="31"/>
        <v xml:space="preserve"> </v>
      </c>
      <c r="AC394" s="12" t="str">
        <f t="shared" si="32"/>
        <v xml:space="preserve"> </v>
      </c>
    </row>
    <row r="395" spans="1:29" ht="20.100000000000001" customHeight="1" x14ac:dyDescent="0.25">
      <c r="A395" s="16"/>
      <c r="B395" s="108"/>
      <c r="C395" s="109"/>
      <c r="D395" s="109"/>
      <c r="E395" s="109"/>
      <c r="F395" s="17"/>
      <c r="G395" s="17"/>
      <c r="H395" s="108"/>
      <c r="I395" s="107"/>
      <c r="J395" s="108"/>
      <c r="K395" s="107"/>
      <c r="L395" s="108"/>
      <c r="M395" s="110"/>
      <c r="N395" s="109"/>
      <c r="O395" s="108"/>
      <c r="P395" s="233"/>
      <c r="Q395" s="239"/>
      <c r="R395" s="19"/>
      <c r="S395" s="20"/>
      <c r="T395" s="9" t="str">
        <f t="shared" si="29"/>
        <v xml:space="preserve"> </v>
      </c>
      <c r="U395" s="18"/>
      <c r="V395" s="21"/>
      <c r="W395" s="22"/>
      <c r="X395" s="197" t="str">
        <f t="shared" si="30"/>
        <v xml:space="preserve"> </v>
      </c>
      <c r="Y395" s="246"/>
      <c r="Z395" s="247"/>
      <c r="AA395" s="20"/>
      <c r="AB395" s="11" t="str">
        <f t="shared" si="31"/>
        <v xml:space="preserve"> </v>
      </c>
      <c r="AC395" s="12" t="str">
        <f t="shared" si="32"/>
        <v xml:space="preserve"> </v>
      </c>
    </row>
    <row r="396" spans="1:29" ht="20.100000000000001" customHeight="1" x14ac:dyDescent="0.25">
      <c r="A396" s="16"/>
      <c r="B396" s="108"/>
      <c r="C396" s="109"/>
      <c r="D396" s="109"/>
      <c r="E396" s="109"/>
      <c r="F396" s="17"/>
      <c r="G396" s="17"/>
      <c r="H396" s="108"/>
      <c r="I396" s="107"/>
      <c r="J396" s="108"/>
      <c r="K396" s="107"/>
      <c r="L396" s="108"/>
      <c r="M396" s="110"/>
      <c r="N396" s="109"/>
      <c r="O396" s="108"/>
      <c r="P396" s="233"/>
      <c r="Q396" s="239"/>
      <c r="R396" s="19"/>
      <c r="S396" s="20"/>
      <c r="T396" s="9" t="str">
        <f t="shared" si="29"/>
        <v xml:space="preserve"> </v>
      </c>
      <c r="U396" s="18"/>
      <c r="V396" s="21"/>
      <c r="W396" s="22"/>
      <c r="X396" s="197" t="str">
        <f t="shared" si="30"/>
        <v xml:space="preserve"> </v>
      </c>
      <c r="Y396" s="246"/>
      <c r="Z396" s="247"/>
      <c r="AA396" s="20"/>
      <c r="AB396" s="11" t="str">
        <f t="shared" si="31"/>
        <v xml:space="preserve"> </v>
      </c>
      <c r="AC396" s="12" t="str">
        <f t="shared" si="32"/>
        <v xml:space="preserve"> </v>
      </c>
    </row>
    <row r="397" spans="1:29" ht="20.100000000000001" customHeight="1" x14ac:dyDescent="0.25">
      <c r="A397" s="16"/>
      <c r="B397" s="108"/>
      <c r="C397" s="109"/>
      <c r="D397" s="109"/>
      <c r="E397" s="109"/>
      <c r="F397" s="17"/>
      <c r="G397" s="17"/>
      <c r="H397" s="108"/>
      <c r="I397" s="107"/>
      <c r="J397" s="108"/>
      <c r="K397" s="107"/>
      <c r="L397" s="108"/>
      <c r="M397" s="110"/>
      <c r="N397" s="109"/>
      <c r="O397" s="108"/>
      <c r="P397" s="233"/>
      <c r="Q397" s="239"/>
      <c r="R397" s="19"/>
      <c r="S397" s="20"/>
      <c r="T397" s="9" t="str">
        <f t="shared" si="29"/>
        <v xml:space="preserve"> </v>
      </c>
      <c r="U397" s="18"/>
      <c r="V397" s="21"/>
      <c r="W397" s="22"/>
      <c r="X397" s="197" t="str">
        <f t="shared" si="30"/>
        <v xml:space="preserve"> </v>
      </c>
      <c r="Y397" s="246"/>
      <c r="Z397" s="247"/>
      <c r="AA397" s="20"/>
      <c r="AB397" s="11" t="str">
        <f t="shared" si="31"/>
        <v xml:space="preserve"> </v>
      </c>
      <c r="AC397" s="12" t="str">
        <f t="shared" si="32"/>
        <v xml:space="preserve"> </v>
      </c>
    </row>
    <row r="398" spans="1:29" ht="20.100000000000001" customHeight="1" x14ac:dyDescent="0.25">
      <c r="A398" s="16"/>
      <c r="B398" s="108"/>
      <c r="C398" s="109"/>
      <c r="D398" s="109"/>
      <c r="E398" s="109"/>
      <c r="F398" s="17"/>
      <c r="G398" s="17"/>
      <c r="H398" s="108"/>
      <c r="I398" s="107"/>
      <c r="J398" s="108"/>
      <c r="K398" s="107"/>
      <c r="L398" s="108"/>
      <c r="M398" s="110"/>
      <c r="N398" s="109"/>
      <c r="O398" s="108"/>
      <c r="P398" s="233"/>
      <c r="Q398" s="239"/>
      <c r="R398" s="19"/>
      <c r="S398" s="20"/>
      <c r="T398" s="9" t="str">
        <f t="shared" si="29"/>
        <v xml:space="preserve"> </v>
      </c>
      <c r="U398" s="18"/>
      <c r="V398" s="21"/>
      <c r="W398" s="22"/>
      <c r="X398" s="197" t="str">
        <f t="shared" si="30"/>
        <v xml:space="preserve"> </v>
      </c>
      <c r="Y398" s="246"/>
      <c r="Z398" s="247"/>
      <c r="AA398" s="20"/>
      <c r="AB398" s="11" t="str">
        <f t="shared" si="31"/>
        <v xml:space="preserve"> </v>
      </c>
      <c r="AC398" s="12" t="str">
        <f t="shared" si="32"/>
        <v xml:space="preserve"> </v>
      </c>
    </row>
    <row r="399" spans="1:29" ht="20.100000000000001" customHeight="1" x14ac:dyDescent="0.25">
      <c r="A399" s="16"/>
      <c r="B399" s="108"/>
      <c r="C399" s="109"/>
      <c r="D399" s="109"/>
      <c r="E399" s="109"/>
      <c r="F399" s="17"/>
      <c r="G399" s="17"/>
      <c r="H399" s="108"/>
      <c r="I399" s="107"/>
      <c r="J399" s="108"/>
      <c r="K399" s="107"/>
      <c r="L399" s="108"/>
      <c r="M399" s="110"/>
      <c r="N399" s="109"/>
      <c r="O399" s="108"/>
      <c r="P399" s="233"/>
      <c r="Q399" s="239"/>
      <c r="R399" s="19"/>
      <c r="S399" s="20"/>
      <c r="T399" s="9" t="str">
        <f t="shared" si="29"/>
        <v xml:space="preserve"> </v>
      </c>
      <c r="U399" s="18"/>
      <c r="V399" s="21"/>
      <c r="W399" s="22"/>
      <c r="X399" s="197" t="str">
        <f t="shared" si="30"/>
        <v xml:space="preserve"> </v>
      </c>
      <c r="Y399" s="246"/>
      <c r="Z399" s="247"/>
      <c r="AA399" s="20"/>
      <c r="AB399" s="11" t="str">
        <f t="shared" si="31"/>
        <v xml:space="preserve"> </v>
      </c>
      <c r="AC399" s="12" t="str">
        <f t="shared" si="32"/>
        <v xml:space="preserve"> </v>
      </c>
    </row>
    <row r="400" spans="1:29" ht="20.100000000000001" customHeight="1" x14ac:dyDescent="0.25">
      <c r="A400" s="16"/>
      <c r="B400" s="108"/>
      <c r="C400" s="109"/>
      <c r="D400" s="109"/>
      <c r="E400" s="109"/>
      <c r="F400" s="17"/>
      <c r="G400" s="17"/>
      <c r="H400" s="108"/>
      <c r="I400" s="107"/>
      <c r="J400" s="108"/>
      <c r="K400" s="107"/>
      <c r="L400" s="108"/>
      <c r="M400" s="110"/>
      <c r="N400" s="109"/>
      <c r="O400" s="108"/>
      <c r="P400" s="233"/>
      <c r="Q400" s="239"/>
      <c r="R400" s="19"/>
      <c r="S400" s="20"/>
      <c r="T400" s="9" t="str">
        <f t="shared" si="29"/>
        <v xml:space="preserve"> </v>
      </c>
      <c r="U400" s="18"/>
      <c r="V400" s="21"/>
      <c r="W400" s="22"/>
      <c r="X400" s="197" t="str">
        <f t="shared" si="30"/>
        <v xml:space="preserve"> </v>
      </c>
      <c r="Y400" s="246"/>
      <c r="Z400" s="247"/>
      <c r="AA400" s="20"/>
      <c r="AB400" s="11" t="str">
        <f t="shared" si="31"/>
        <v xml:space="preserve"> </v>
      </c>
      <c r="AC400" s="12" t="str">
        <f t="shared" si="32"/>
        <v xml:space="preserve"> </v>
      </c>
    </row>
    <row r="401" spans="1:29" ht="20.100000000000001" customHeight="1" x14ac:dyDescent="0.25">
      <c r="A401" s="16"/>
      <c r="B401" s="108"/>
      <c r="C401" s="109"/>
      <c r="D401" s="109"/>
      <c r="E401" s="109"/>
      <c r="F401" s="17"/>
      <c r="G401" s="17"/>
      <c r="H401" s="108"/>
      <c r="I401" s="107"/>
      <c r="J401" s="108"/>
      <c r="K401" s="107"/>
      <c r="L401" s="108"/>
      <c r="M401" s="110"/>
      <c r="N401" s="109"/>
      <c r="O401" s="108"/>
      <c r="P401" s="233"/>
      <c r="Q401" s="239"/>
      <c r="R401" s="19"/>
      <c r="S401" s="20"/>
      <c r="T401" s="9" t="str">
        <f t="shared" si="29"/>
        <v xml:space="preserve"> </v>
      </c>
      <c r="U401" s="18"/>
      <c r="V401" s="21"/>
      <c r="W401" s="22"/>
      <c r="X401" s="197" t="str">
        <f t="shared" si="30"/>
        <v xml:space="preserve"> </v>
      </c>
      <c r="Y401" s="246"/>
      <c r="Z401" s="247"/>
      <c r="AA401" s="20"/>
      <c r="AB401" s="11" t="str">
        <f t="shared" si="31"/>
        <v xml:space="preserve"> </v>
      </c>
      <c r="AC401" s="12" t="str">
        <f t="shared" si="32"/>
        <v xml:space="preserve"> </v>
      </c>
    </row>
    <row r="402" spans="1:29" ht="20.100000000000001" customHeight="1" x14ac:dyDescent="0.25">
      <c r="A402" s="16"/>
      <c r="B402" s="108"/>
      <c r="C402" s="109"/>
      <c r="D402" s="109"/>
      <c r="E402" s="109"/>
      <c r="F402" s="17"/>
      <c r="G402" s="17"/>
      <c r="H402" s="108"/>
      <c r="I402" s="107"/>
      <c r="J402" s="108"/>
      <c r="K402" s="107"/>
      <c r="L402" s="108"/>
      <c r="M402" s="110"/>
      <c r="N402" s="109"/>
      <c r="O402" s="108"/>
      <c r="P402" s="233"/>
      <c r="Q402" s="239"/>
      <c r="R402" s="19"/>
      <c r="S402" s="20"/>
      <c r="T402" s="9" t="str">
        <f t="shared" si="29"/>
        <v xml:space="preserve"> </v>
      </c>
      <c r="U402" s="18"/>
      <c r="V402" s="21"/>
      <c r="W402" s="22"/>
      <c r="X402" s="197" t="str">
        <f t="shared" si="30"/>
        <v xml:space="preserve"> </v>
      </c>
      <c r="Y402" s="246"/>
      <c r="Z402" s="247"/>
      <c r="AA402" s="20"/>
      <c r="AB402" s="11" t="str">
        <f t="shared" si="31"/>
        <v xml:space="preserve"> </v>
      </c>
      <c r="AC402" s="12" t="str">
        <f t="shared" si="32"/>
        <v xml:space="preserve"> </v>
      </c>
    </row>
    <row r="403" spans="1:29" ht="20.100000000000001" customHeight="1" x14ac:dyDescent="0.25">
      <c r="A403" s="16"/>
      <c r="B403" s="108"/>
      <c r="C403" s="109"/>
      <c r="D403" s="109"/>
      <c r="E403" s="109"/>
      <c r="F403" s="17"/>
      <c r="G403" s="17"/>
      <c r="H403" s="108"/>
      <c r="I403" s="107"/>
      <c r="J403" s="108"/>
      <c r="K403" s="107"/>
      <c r="L403" s="108"/>
      <c r="M403" s="110"/>
      <c r="N403" s="109"/>
      <c r="O403" s="108"/>
      <c r="P403" s="233"/>
      <c r="Q403" s="239"/>
      <c r="R403" s="19"/>
      <c r="S403" s="20"/>
      <c r="T403" s="9" t="str">
        <f t="shared" si="29"/>
        <v xml:space="preserve"> </v>
      </c>
      <c r="U403" s="18"/>
      <c r="V403" s="21"/>
      <c r="W403" s="22"/>
      <c r="X403" s="197" t="str">
        <f t="shared" si="30"/>
        <v xml:space="preserve"> </v>
      </c>
      <c r="Y403" s="246"/>
      <c r="Z403" s="247"/>
      <c r="AA403" s="20"/>
      <c r="AB403" s="11" t="str">
        <f t="shared" si="31"/>
        <v xml:space="preserve"> </v>
      </c>
      <c r="AC403" s="12" t="str">
        <f t="shared" si="32"/>
        <v xml:space="preserve"> </v>
      </c>
    </row>
    <row r="404" spans="1:29" ht="20.100000000000001" customHeight="1" x14ac:dyDescent="0.25">
      <c r="A404" s="16"/>
      <c r="B404" s="108"/>
      <c r="C404" s="109"/>
      <c r="D404" s="109"/>
      <c r="E404" s="109"/>
      <c r="F404" s="17"/>
      <c r="G404" s="17"/>
      <c r="H404" s="108"/>
      <c r="I404" s="107"/>
      <c r="J404" s="108"/>
      <c r="K404" s="107"/>
      <c r="L404" s="108"/>
      <c r="M404" s="110"/>
      <c r="N404" s="109"/>
      <c r="O404" s="108"/>
      <c r="P404" s="233"/>
      <c r="Q404" s="239"/>
      <c r="R404" s="19"/>
      <c r="S404" s="20"/>
      <c r="T404" s="9" t="str">
        <f t="shared" si="29"/>
        <v xml:space="preserve"> </v>
      </c>
      <c r="U404" s="18"/>
      <c r="V404" s="21"/>
      <c r="W404" s="22"/>
      <c r="X404" s="197" t="str">
        <f t="shared" si="30"/>
        <v xml:space="preserve"> </v>
      </c>
      <c r="Y404" s="246"/>
      <c r="Z404" s="247"/>
      <c r="AA404" s="20"/>
      <c r="AB404" s="11" t="str">
        <f t="shared" si="31"/>
        <v xml:space="preserve"> </v>
      </c>
      <c r="AC404" s="12" t="str">
        <f t="shared" si="32"/>
        <v xml:space="preserve"> </v>
      </c>
    </row>
    <row r="405" spans="1:29" ht="20.100000000000001" customHeight="1" x14ac:dyDescent="0.25">
      <c r="A405" s="16"/>
      <c r="B405" s="108"/>
      <c r="C405" s="109"/>
      <c r="D405" s="109"/>
      <c r="E405" s="109"/>
      <c r="F405" s="17"/>
      <c r="G405" s="17"/>
      <c r="H405" s="108"/>
      <c r="I405" s="107"/>
      <c r="J405" s="108"/>
      <c r="K405" s="107"/>
      <c r="L405" s="108"/>
      <c r="M405" s="110"/>
      <c r="N405" s="109"/>
      <c r="O405" s="108"/>
      <c r="P405" s="233"/>
      <c r="Q405" s="239"/>
      <c r="R405" s="19"/>
      <c r="S405" s="20"/>
      <c r="T405" s="9" t="str">
        <f t="shared" si="29"/>
        <v xml:space="preserve"> </v>
      </c>
      <c r="U405" s="18"/>
      <c r="V405" s="21"/>
      <c r="W405" s="22"/>
      <c r="X405" s="197" t="str">
        <f t="shared" si="30"/>
        <v xml:space="preserve"> </v>
      </c>
      <c r="Y405" s="246"/>
      <c r="Z405" s="247"/>
      <c r="AA405" s="20"/>
      <c r="AB405" s="11" t="str">
        <f t="shared" si="31"/>
        <v xml:space="preserve"> </v>
      </c>
      <c r="AC405" s="12" t="str">
        <f t="shared" si="32"/>
        <v xml:space="preserve"> </v>
      </c>
    </row>
    <row r="406" spans="1:29" ht="20.100000000000001" customHeight="1" x14ac:dyDescent="0.25">
      <c r="A406" s="16"/>
      <c r="B406" s="108"/>
      <c r="C406" s="109"/>
      <c r="D406" s="109"/>
      <c r="E406" s="109"/>
      <c r="F406" s="17"/>
      <c r="G406" s="17"/>
      <c r="H406" s="108"/>
      <c r="I406" s="107"/>
      <c r="J406" s="108"/>
      <c r="K406" s="107"/>
      <c r="L406" s="108"/>
      <c r="M406" s="110"/>
      <c r="N406" s="109"/>
      <c r="O406" s="108"/>
      <c r="P406" s="233"/>
      <c r="Q406" s="239"/>
      <c r="R406" s="19"/>
      <c r="S406" s="20"/>
      <c r="T406" s="9" t="str">
        <f t="shared" si="29"/>
        <v xml:space="preserve"> </v>
      </c>
      <c r="U406" s="18"/>
      <c r="V406" s="21"/>
      <c r="W406" s="22"/>
      <c r="X406" s="197" t="str">
        <f t="shared" si="30"/>
        <v xml:space="preserve"> </v>
      </c>
      <c r="Y406" s="246"/>
      <c r="Z406" s="247"/>
      <c r="AA406" s="20"/>
      <c r="AB406" s="11" t="str">
        <f t="shared" si="31"/>
        <v xml:space="preserve"> </v>
      </c>
      <c r="AC406" s="12" t="str">
        <f t="shared" si="32"/>
        <v xml:space="preserve"> </v>
      </c>
    </row>
    <row r="407" spans="1:29" ht="20.100000000000001" customHeight="1" x14ac:dyDescent="0.25">
      <c r="A407" s="16"/>
      <c r="B407" s="108"/>
      <c r="C407" s="109"/>
      <c r="D407" s="109"/>
      <c r="E407" s="109"/>
      <c r="F407" s="17"/>
      <c r="G407" s="17"/>
      <c r="H407" s="108"/>
      <c r="I407" s="107"/>
      <c r="J407" s="108"/>
      <c r="K407" s="107"/>
      <c r="L407" s="108"/>
      <c r="M407" s="110"/>
      <c r="N407" s="109"/>
      <c r="O407" s="108"/>
      <c r="P407" s="233"/>
      <c r="Q407" s="239"/>
      <c r="R407" s="19"/>
      <c r="S407" s="20"/>
      <c r="T407" s="9" t="str">
        <f t="shared" si="29"/>
        <v xml:space="preserve"> </v>
      </c>
      <c r="U407" s="18"/>
      <c r="V407" s="21"/>
      <c r="W407" s="22"/>
      <c r="X407" s="197" t="str">
        <f t="shared" si="30"/>
        <v xml:space="preserve"> </v>
      </c>
      <c r="Y407" s="246"/>
      <c r="Z407" s="247"/>
      <c r="AA407" s="20"/>
      <c r="AB407" s="11" t="str">
        <f t="shared" si="31"/>
        <v xml:space="preserve"> </v>
      </c>
      <c r="AC407" s="12" t="str">
        <f t="shared" si="32"/>
        <v xml:space="preserve"> </v>
      </c>
    </row>
    <row r="408" spans="1:29" ht="20.100000000000001" customHeight="1" x14ac:dyDescent="0.25">
      <c r="A408" s="16"/>
      <c r="B408" s="108"/>
      <c r="C408" s="109"/>
      <c r="D408" s="109"/>
      <c r="E408" s="109"/>
      <c r="F408" s="17"/>
      <c r="G408" s="17"/>
      <c r="H408" s="108"/>
      <c r="I408" s="107"/>
      <c r="J408" s="108"/>
      <c r="K408" s="107"/>
      <c r="L408" s="108"/>
      <c r="M408" s="110"/>
      <c r="N408" s="109"/>
      <c r="O408" s="108"/>
      <c r="P408" s="233"/>
      <c r="Q408" s="239"/>
      <c r="R408" s="19"/>
      <c r="S408" s="20"/>
      <c r="T408" s="9" t="str">
        <f t="shared" si="29"/>
        <v xml:space="preserve"> </v>
      </c>
      <c r="U408" s="18"/>
      <c r="V408" s="21"/>
      <c r="W408" s="22"/>
      <c r="X408" s="197" t="str">
        <f t="shared" si="30"/>
        <v xml:space="preserve"> </v>
      </c>
      <c r="Y408" s="246"/>
      <c r="Z408" s="247"/>
      <c r="AA408" s="20"/>
      <c r="AB408" s="11" t="str">
        <f t="shared" si="31"/>
        <v xml:space="preserve"> </v>
      </c>
      <c r="AC408" s="12" t="str">
        <f t="shared" si="32"/>
        <v xml:space="preserve"> </v>
      </c>
    </row>
    <row r="409" spans="1:29" ht="20.100000000000001" customHeight="1" x14ac:dyDescent="0.25">
      <c r="A409" s="16"/>
      <c r="B409" s="108"/>
      <c r="C409" s="109"/>
      <c r="D409" s="109"/>
      <c r="E409" s="109"/>
      <c r="F409" s="17"/>
      <c r="G409" s="17"/>
      <c r="H409" s="108"/>
      <c r="I409" s="107"/>
      <c r="J409" s="108"/>
      <c r="K409" s="107"/>
      <c r="L409" s="108"/>
      <c r="M409" s="110"/>
      <c r="N409" s="109"/>
      <c r="O409" s="108"/>
      <c r="P409" s="233"/>
      <c r="Q409" s="239"/>
      <c r="R409" s="19"/>
      <c r="S409" s="20"/>
      <c r="T409" s="9" t="str">
        <f t="shared" si="29"/>
        <v xml:space="preserve"> </v>
      </c>
      <c r="U409" s="18"/>
      <c r="V409" s="21"/>
      <c r="W409" s="22"/>
      <c r="X409" s="197" t="str">
        <f t="shared" si="30"/>
        <v xml:space="preserve"> </v>
      </c>
      <c r="Y409" s="246"/>
      <c r="Z409" s="247"/>
      <c r="AA409" s="20"/>
      <c r="AB409" s="11" t="str">
        <f t="shared" si="31"/>
        <v xml:space="preserve"> </v>
      </c>
      <c r="AC409" s="12" t="str">
        <f t="shared" si="32"/>
        <v xml:space="preserve"> </v>
      </c>
    </row>
    <row r="410" spans="1:29" ht="20.100000000000001" customHeight="1" x14ac:dyDescent="0.25">
      <c r="A410" s="16"/>
      <c r="B410" s="108"/>
      <c r="C410" s="109"/>
      <c r="D410" s="109"/>
      <c r="E410" s="109"/>
      <c r="F410" s="17"/>
      <c r="G410" s="17"/>
      <c r="H410" s="108"/>
      <c r="I410" s="107"/>
      <c r="J410" s="108"/>
      <c r="K410" s="107"/>
      <c r="L410" s="108"/>
      <c r="M410" s="110"/>
      <c r="N410" s="109"/>
      <c r="O410" s="108"/>
      <c r="P410" s="233"/>
      <c r="Q410" s="239"/>
      <c r="R410" s="19"/>
      <c r="S410" s="20"/>
      <c r="T410" s="9" t="str">
        <f t="shared" si="29"/>
        <v xml:space="preserve"> </v>
      </c>
      <c r="U410" s="18"/>
      <c r="V410" s="21"/>
      <c r="W410" s="22"/>
      <c r="X410" s="197" t="str">
        <f t="shared" si="30"/>
        <v xml:space="preserve"> </v>
      </c>
      <c r="Y410" s="246"/>
      <c r="Z410" s="247"/>
      <c r="AA410" s="20"/>
      <c r="AB410" s="11" t="str">
        <f t="shared" si="31"/>
        <v xml:space="preserve"> </v>
      </c>
      <c r="AC410" s="12" t="str">
        <f t="shared" si="32"/>
        <v xml:space="preserve"> </v>
      </c>
    </row>
    <row r="411" spans="1:29" ht="20.100000000000001" customHeight="1" x14ac:dyDescent="0.25">
      <c r="A411" s="16"/>
      <c r="B411" s="108"/>
      <c r="C411" s="109"/>
      <c r="D411" s="109"/>
      <c r="E411" s="109"/>
      <c r="F411" s="17"/>
      <c r="G411" s="17"/>
      <c r="H411" s="108"/>
      <c r="I411" s="107"/>
      <c r="J411" s="108"/>
      <c r="K411" s="107"/>
      <c r="L411" s="108"/>
      <c r="M411" s="110"/>
      <c r="N411" s="109"/>
      <c r="O411" s="108"/>
      <c r="P411" s="233"/>
      <c r="Q411" s="239"/>
      <c r="R411" s="19"/>
      <c r="S411" s="20"/>
      <c r="T411" s="9" t="str">
        <f t="shared" si="29"/>
        <v xml:space="preserve"> </v>
      </c>
      <c r="U411" s="18"/>
      <c r="V411" s="21"/>
      <c r="W411" s="22"/>
      <c r="X411" s="197" t="str">
        <f t="shared" si="30"/>
        <v xml:space="preserve"> </v>
      </c>
      <c r="Y411" s="246"/>
      <c r="Z411" s="247"/>
      <c r="AA411" s="20"/>
      <c r="AB411" s="11" t="str">
        <f t="shared" si="31"/>
        <v xml:space="preserve"> </v>
      </c>
      <c r="AC411" s="12" t="str">
        <f t="shared" si="32"/>
        <v xml:space="preserve"> </v>
      </c>
    </row>
    <row r="412" spans="1:29" ht="20.100000000000001" customHeight="1" x14ac:dyDescent="0.25">
      <c r="A412" s="16"/>
      <c r="B412" s="108"/>
      <c r="C412" s="109"/>
      <c r="D412" s="109"/>
      <c r="E412" s="109"/>
      <c r="F412" s="17"/>
      <c r="G412" s="17"/>
      <c r="H412" s="108"/>
      <c r="I412" s="107"/>
      <c r="J412" s="108"/>
      <c r="K412" s="107"/>
      <c r="L412" s="108"/>
      <c r="M412" s="110"/>
      <c r="N412" s="109"/>
      <c r="O412" s="108"/>
      <c r="P412" s="233"/>
      <c r="Q412" s="239"/>
      <c r="R412" s="19"/>
      <c r="S412" s="20"/>
      <c r="T412" s="9" t="str">
        <f t="shared" si="29"/>
        <v xml:space="preserve"> </v>
      </c>
      <c r="U412" s="18"/>
      <c r="V412" s="21"/>
      <c r="W412" s="22"/>
      <c r="X412" s="197" t="str">
        <f t="shared" si="30"/>
        <v xml:space="preserve"> </v>
      </c>
      <c r="Y412" s="246"/>
      <c r="Z412" s="247"/>
      <c r="AA412" s="20"/>
      <c r="AB412" s="11" t="str">
        <f t="shared" si="31"/>
        <v xml:space="preserve"> </v>
      </c>
      <c r="AC412" s="12" t="str">
        <f t="shared" si="32"/>
        <v xml:space="preserve"> </v>
      </c>
    </row>
    <row r="413" spans="1:29" ht="20.100000000000001" customHeight="1" x14ac:dyDescent="0.25">
      <c r="A413" s="16"/>
      <c r="B413" s="108"/>
      <c r="C413" s="109"/>
      <c r="D413" s="109"/>
      <c r="E413" s="109"/>
      <c r="F413" s="17"/>
      <c r="G413" s="17"/>
      <c r="H413" s="108"/>
      <c r="I413" s="107"/>
      <c r="J413" s="108"/>
      <c r="K413" s="107"/>
      <c r="L413" s="108"/>
      <c r="M413" s="110"/>
      <c r="N413" s="109"/>
      <c r="O413" s="108"/>
      <c r="P413" s="233"/>
      <c r="Q413" s="239"/>
      <c r="R413" s="19"/>
      <c r="S413" s="20"/>
      <c r="T413" s="9" t="str">
        <f t="shared" si="29"/>
        <v xml:space="preserve"> </v>
      </c>
      <c r="U413" s="18"/>
      <c r="V413" s="21"/>
      <c r="W413" s="22"/>
      <c r="X413" s="197" t="str">
        <f t="shared" si="30"/>
        <v xml:space="preserve"> </v>
      </c>
      <c r="Y413" s="246"/>
      <c r="Z413" s="247"/>
      <c r="AA413" s="20"/>
      <c r="AB413" s="11" t="str">
        <f t="shared" si="31"/>
        <v xml:space="preserve"> </v>
      </c>
      <c r="AC413" s="12" t="str">
        <f t="shared" si="32"/>
        <v xml:space="preserve"> </v>
      </c>
    </row>
    <row r="414" spans="1:29" ht="20.100000000000001" customHeight="1" x14ac:dyDescent="0.25">
      <c r="A414" s="16"/>
      <c r="B414" s="108"/>
      <c r="C414" s="109"/>
      <c r="D414" s="109"/>
      <c r="E414" s="109"/>
      <c r="F414" s="17"/>
      <c r="G414" s="17"/>
      <c r="H414" s="108"/>
      <c r="I414" s="107"/>
      <c r="J414" s="108"/>
      <c r="K414" s="107"/>
      <c r="L414" s="108"/>
      <c r="M414" s="110"/>
      <c r="N414" s="109"/>
      <c r="O414" s="108"/>
      <c r="P414" s="233"/>
      <c r="Q414" s="239"/>
      <c r="R414" s="19"/>
      <c r="S414" s="20"/>
      <c r="T414" s="9" t="str">
        <f t="shared" si="29"/>
        <v xml:space="preserve"> </v>
      </c>
      <c r="U414" s="18"/>
      <c r="V414" s="21"/>
      <c r="W414" s="22"/>
      <c r="X414" s="197" t="str">
        <f t="shared" si="30"/>
        <v xml:space="preserve"> </v>
      </c>
      <c r="Y414" s="246"/>
      <c r="Z414" s="247"/>
      <c r="AA414" s="20"/>
      <c r="AB414" s="11" t="str">
        <f t="shared" si="31"/>
        <v xml:space="preserve"> </v>
      </c>
      <c r="AC414" s="12" t="str">
        <f t="shared" si="32"/>
        <v xml:space="preserve"> </v>
      </c>
    </row>
    <row r="415" spans="1:29" ht="20.100000000000001" customHeight="1" x14ac:dyDescent="0.25">
      <c r="A415" s="16"/>
      <c r="B415" s="108"/>
      <c r="C415" s="109"/>
      <c r="D415" s="109"/>
      <c r="E415" s="109"/>
      <c r="F415" s="17"/>
      <c r="G415" s="17"/>
      <c r="H415" s="108"/>
      <c r="I415" s="107"/>
      <c r="J415" s="108"/>
      <c r="K415" s="107"/>
      <c r="L415" s="108"/>
      <c r="M415" s="110"/>
      <c r="N415" s="109"/>
      <c r="O415" s="108"/>
      <c r="P415" s="233"/>
      <c r="Q415" s="239"/>
      <c r="R415" s="19"/>
      <c r="S415" s="20"/>
      <c r="T415" s="9" t="str">
        <f t="shared" si="29"/>
        <v xml:space="preserve"> </v>
      </c>
      <c r="U415" s="18"/>
      <c r="V415" s="21"/>
      <c r="W415" s="22"/>
      <c r="X415" s="197" t="str">
        <f t="shared" si="30"/>
        <v xml:space="preserve"> </v>
      </c>
      <c r="Y415" s="246"/>
      <c r="Z415" s="247"/>
      <c r="AA415" s="20"/>
      <c r="AB415" s="11" t="str">
        <f t="shared" si="31"/>
        <v xml:space="preserve"> </v>
      </c>
      <c r="AC415" s="12" t="str">
        <f t="shared" si="32"/>
        <v xml:space="preserve"> </v>
      </c>
    </row>
    <row r="416" spans="1:29" ht="20.100000000000001" customHeight="1" x14ac:dyDescent="0.25">
      <c r="A416" s="16"/>
      <c r="B416" s="108"/>
      <c r="C416" s="109"/>
      <c r="D416" s="109"/>
      <c r="E416" s="109"/>
      <c r="F416" s="17"/>
      <c r="G416" s="17"/>
      <c r="H416" s="108"/>
      <c r="I416" s="107"/>
      <c r="J416" s="108"/>
      <c r="K416" s="107"/>
      <c r="L416" s="108"/>
      <c r="M416" s="110"/>
      <c r="N416" s="109"/>
      <c r="O416" s="108"/>
      <c r="P416" s="233"/>
      <c r="Q416" s="239"/>
      <c r="R416" s="19"/>
      <c r="S416" s="20"/>
      <c r="T416" s="9" t="str">
        <f t="shared" si="29"/>
        <v xml:space="preserve"> </v>
      </c>
      <c r="U416" s="18"/>
      <c r="V416" s="21"/>
      <c r="W416" s="22"/>
      <c r="X416" s="197" t="str">
        <f t="shared" si="30"/>
        <v xml:space="preserve"> </v>
      </c>
      <c r="Y416" s="246"/>
      <c r="Z416" s="247"/>
      <c r="AA416" s="20"/>
      <c r="AB416" s="11" t="str">
        <f t="shared" si="31"/>
        <v xml:space="preserve"> </v>
      </c>
      <c r="AC416" s="12" t="str">
        <f t="shared" si="32"/>
        <v xml:space="preserve"> </v>
      </c>
    </row>
    <row r="417" spans="1:29" ht="20.100000000000001" customHeight="1" x14ac:dyDescent="0.25">
      <c r="A417" s="16"/>
      <c r="B417" s="108"/>
      <c r="C417" s="109"/>
      <c r="D417" s="109"/>
      <c r="E417" s="109"/>
      <c r="F417" s="17"/>
      <c r="G417" s="17"/>
      <c r="H417" s="108"/>
      <c r="I417" s="107"/>
      <c r="J417" s="108"/>
      <c r="K417" s="107"/>
      <c r="L417" s="108"/>
      <c r="M417" s="110"/>
      <c r="N417" s="109"/>
      <c r="O417" s="108"/>
      <c r="P417" s="233"/>
      <c r="Q417" s="239"/>
      <c r="R417" s="19"/>
      <c r="S417" s="20"/>
      <c r="T417" s="9" t="str">
        <f t="shared" si="29"/>
        <v xml:space="preserve"> </v>
      </c>
      <c r="U417" s="18"/>
      <c r="V417" s="21"/>
      <c r="W417" s="22"/>
      <c r="X417" s="197" t="str">
        <f t="shared" si="30"/>
        <v xml:space="preserve"> </v>
      </c>
      <c r="Y417" s="246"/>
      <c r="Z417" s="247"/>
      <c r="AA417" s="20"/>
      <c r="AB417" s="11" t="str">
        <f t="shared" si="31"/>
        <v xml:space="preserve"> </v>
      </c>
      <c r="AC417" s="12" t="str">
        <f t="shared" si="32"/>
        <v xml:space="preserve"> </v>
      </c>
    </row>
    <row r="418" spans="1:29" ht="20.100000000000001" customHeight="1" x14ac:dyDescent="0.25">
      <c r="A418" s="16"/>
      <c r="B418" s="108"/>
      <c r="C418" s="109"/>
      <c r="D418" s="109"/>
      <c r="E418" s="109"/>
      <c r="F418" s="17"/>
      <c r="G418" s="17"/>
      <c r="H418" s="108"/>
      <c r="I418" s="107"/>
      <c r="J418" s="108"/>
      <c r="K418" s="107"/>
      <c r="L418" s="108"/>
      <c r="M418" s="110"/>
      <c r="N418" s="109"/>
      <c r="O418" s="108"/>
      <c r="P418" s="233"/>
      <c r="Q418" s="239"/>
      <c r="R418" s="19"/>
      <c r="S418" s="20"/>
      <c r="T418" s="9" t="str">
        <f t="shared" si="29"/>
        <v xml:space="preserve"> </v>
      </c>
      <c r="U418" s="18"/>
      <c r="V418" s="21"/>
      <c r="W418" s="22"/>
      <c r="X418" s="197" t="str">
        <f t="shared" si="30"/>
        <v xml:space="preserve"> </v>
      </c>
      <c r="Y418" s="246"/>
      <c r="Z418" s="247"/>
      <c r="AA418" s="20"/>
      <c r="AB418" s="11" t="str">
        <f t="shared" si="31"/>
        <v xml:space="preserve"> </v>
      </c>
      <c r="AC418" s="12" t="str">
        <f t="shared" si="32"/>
        <v xml:space="preserve"> </v>
      </c>
    </row>
    <row r="419" spans="1:29" ht="20.100000000000001" customHeight="1" x14ac:dyDescent="0.25">
      <c r="A419" s="16"/>
      <c r="B419" s="108"/>
      <c r="C419" s="109"/>
      <c r="D419" s="109"/>
      <c r="E419" s="109"/>
      <c r="F419" s="17"/>
      <c r="G419" s="17"/>
      <c r="H419" s="108"/>
      <c r="I419" s="107"/>
      <c r="J419" s="108"/>
      <c r="K419" s="107"/>
      <c r="L419" s="108"/>
      <c r="M419" s="110"/>
      <c r="N419" s="109"/>
      <c r="O419" s="108"/>
      <c r="P419" s="233"/>
      <c r="Q419" s="239"/>
      <c r="R419" s="19"/>
      <c r="S419" s="20"/>
      <c r="T419" s="9" t="str">
        <f t="shared" si="29"/>
        <v xml:space="preserve"> </v>
      </c>
      <c r="U419" s="18"/>
      <c r="V419" s="21"/>
      <c r="W419" s="22"/>
      <c r="X419" s="197" t="str">
        <f t="shared" si="30"/>
        <v xml:space="preserve"> </v>
      </c>
      <c r="Y419" s="246"/>
      <c r="Z419" s="247"/>
      <c r="AA419" s="20"/>
      <c r="AB419" s="11" t="str">
        <f t="shared" si="31"/>
        <v xml:space="preserve"> </v>
      </c>
      <c r="AC419" s="12" t="str">
        <f t="shared" si="32"/>
        <v xml:space="preserve"> </v>
      </c>
    </row>
    <row r="420" spans="1:29" ht="20.100000000000001" customHeight="1" x14ac:dyDescent="0.25">
      <c r="A420" s="16"/>
      <c r="B420" s="108"/>
      <c r="C420" s="109"/>
      <c r="D420" s="109"/>
      <c r="E420" s="109"/>
      <c r="F420" s="17"/>
      <c r="G420" s="17"/>
      <c r="H420" s="108"/>
      <c r="I420" s="107"/>
      <c r="J420" s="108"/>
      <c r="K420" s="107"/>
      <c r="L420" s="108"/>
      <c r="M420" s="110"/>
      <c r="N420" s="109"/>
      <c r="O420" s="108"/>
      <c r="P420" s="233"/>
      <c r="Q420" s="239"/>
      <c r="R420" s="19"/>
      <c r="S420" s="20"/>
      <c r="T420" s="9" t="str">
        <f t="shared" si="29"/>
        <v xml:space="preserve"> </v>
      </c>
      <c r="U420" s="18"/>
      <c r="V420" s="21"/>
      <c r="W420" s="22"/>
      <c r="X420" s="197" t="str">
        <f t="shared" si="30"/>
        <v xml:space="preserve"> </v>
      </c>
      <c r="Y420" s="246"/>
      <c r="Z420" s="247"/>
      <c r="AA420" s="20"/>
      <c r="AB420" s="11" t="str">
        <f t="shared" si="31"/>
        <v xml:space="preserve"> </v>
      </c>
      <c r="AC420" s="12" t="str">
        <f t="shared" si="32"/>
        <v xml:space="preserve"> </v>
      </c>
    </row>
    <row r="421" spans="1:29" ht="20.100000000000001" customHeight="1" x14ac:dyDescent="0.25">
      <c r="A421" s="16"/>
      <c r="B421" s="108"/>
      <c r="C421" s="109"/>
      <c r="D421" s="109"/>
      <c r="E421" s="109"/>
      <c r="F421" s="17"/>
      <c r="G421" s="17"/>
      <c r="H421" s="108"/>
      <c r="I421" s="107"/>
      <c r="J421" s="108"/>
      <c r="K421" s="107"/>
      <c r="L421" s="108"/>
      <c r="M421" s="110"/>
      <c r="N421" s="109"/>
      <c r="O421" s="108"/>
      <c r="P421" s="233"/>
      <c r="Q421" s="239"/>
      <c r="R421" s="19"/>
      <c r="S421" s="20"/>
      <c r="T421" s="9" t="str">
        <f t="shared" si="29"/>
        <v xml:space="preserve"> </v>
      </c>
      <c r="U421" s="18"/>
      <c r="V421" s="21"/>
      <c r="W421" s="22"/>
      <c r="X421" s="197" t="str">
        <f t="shared" si="30"/>
        <v xml:space="preserve"> </v>
      </c>
      <c r="Y421" s="246"/>
      <c r="Z421" s="247"/>
      <c r="AA421" s="20"/>
      <c r="AB421" s="11" t="str">
        <f t="shared" si="31"/>
        <v xml:space="preserve"> </v>
      </c>
      <c r="AC421" s="12" t="str">
        <f t="shared" si="32"/>
        <v xml:space="preserve"> </v>
      </c>
    </row>
    <row r="422" spans="1:29" ht="20.100000000000001" customHeight="1" x14ac:dyDescent="0.25">
      <c r="A422" s="16"/>
      <c r="B422" s="108"/>
      <c r="C422" s="109"/>
      <c r="D422" s="109"/>
      <c r="E422" s="109"/>
      <c r="F422" s="17"/>
      <c r="G422" s="17"/>
      <c r="H422" s="108"/>
      <c r="I422" s="107"/>
      <c r="J422" s="108"/>
      <c r="K422" s="107"/>
      <c r="L422" s="108"/>
      <c r="M422" s="110"/>
      <c r="N422" s="109"/>
      <c r="O422" s="108"/>
      <c r="P422" s="233"/>
      <c r="Q422" s="239"/>
      <c r="R422" s="19"/>
      <c r="S422" s="20"/>
      <c r="T422" s="9" t="str">
        <f t="shared" si="29"/>
        <v xml:space="preserve"> </v>
      </c>
      <c r="U422" s="18"/>
      <c r="V422" s="21"/>
      <c r="W422" s="22"/>
      <c r="X422" s="197" t="str">
        <f t="shared" si="30"/>
        <v xml:space="preserve"> </v>
      </c>
      <c r="Y422" s="246"/>
      <c r="Z422" s="247"/>
      <c r="AA422" s="20"/>
      <c r="AB422" s="11" t="str">
        <f t="shared" si="31"/>
        <v xml:space="preserve"> </v>
      </c>
      <c r="AC422" s="12" t="str">
        <f t="shared" si="32"/>
        <v xml:space="preserve"> </v>
      </c>
    </row>
    <row r="423" spans="1:29" ht="20.100000000000001" customHeight="1" x14ac:dyDescent="0.25">
      <c r="A423" s="16"/>
      <c r="B423" s="108"/>
      <c r="C423" s="109"/>
      <c r="D423" s="109"/>
      <c r="E423" s="109"/>
      <c r="F423" s="17"/>
      <c r="G423" s="17"/>
      <c r="H423" s="108"/>
      <c r="I423" s="107"/>
      <c r="J423" s="108"/>
      <c r="K423" s="107"/>
      <c r="L423" s="108"/>
      <c r="M423" s="110"/>
      <c r="N423" s="109"/>
      <c r="O423" s="108"/>
      <c r="P423" s="233"/>
      <c r="Q423" s="239"/>
      <c r="R423" s="19"/>
      <c r="S423" s="20"/>
      <c r="T423" s="9" t="str">
        <f t="shared" si="29"/>
        <v xml:space="preserve"> </v>
      </c>
      <c r="U423" s="18"/>
      <c r="V423" s="21"/>
      <c r="W423" s="22"/>
      <c r="X423" s="197" t="str">
        <f t="shared" si="30"/>
        <v xml:space="preserve"> </v>
      </c>
      <c r="Y423" s="246"/>
      <c r="Z423" s="247"/>
      <c r="AA423" s="20"/>
      <c r="AB423" s="11" t="str">
        <f t="shared" si="31"/>
        <v xml:space="preserve"> </v>
      </c>
      <c r="AC423" s="12" t="str">
        <f t="shared" si="32"/>
        <v xml:space="preserve"> </v>
      </c>
    </row>
    <row r="424" spans="1:29" ht="20.100000000000001" customHeight="1" x14ac:dyDescent="0.25">
      <c r="A424" s="16"/>
      <c r="B424" s="108"/>
      <c r="C424" s="109"/>
      <c r="D424" s="109"/>
      <c r="E424" s="109"/>
      <c r="F424" s="17"/>
      <c r="G424" s="17"/>
      <c r="H424" s="108"/>
      <c r="I424" s="107"/>
      <c r="J424" s="108"/>
      <c r="K424" s="107"/>
      <c r="L424" s="108"/>
      <c r="M424" s="110"/>
      <c r="N424" s="109"/>
      <c r="O424" s="108"/>
      <c r="P424" s="233"/>
      <c r="Q424" s="239"/>
      <c r="R424" s="19"/>
      <c r="S424" s="20"/>
      <c r="T424" s="9" t="str">
        <f t="shared" si="29"/>
        <v xml:space="preserve"> </v>
      </c>
      <c r="U424" s="18"/>
      <c r="V424" s="21"/>
      <c r="W424" s="22"/>
      <c r="X424" s="197" t="str">
        <f t="shared" si="30"/>
        <v xml:space="preserve"> </v>
      </c>
      <c r="Y424" s="246"/>
      <c r="Z424" s="247"/>
      <c r="AA424" s="20"/>
      <c r="AB424" s="11" t="str">
        <f t="shared" si="31"/>
        <v xml:space="preserve"> </v>
      </c>
      <c r="AC424" s="12" t="str">
        <f t="shared" si="32"/>
        <v xml:space="preserve"> </v>
      </c>
    </row>
    <row r="425" spans="1:29" ht="20.100000000000001" customHeight="1" x14ac:dyDescent="0.25">
      <c r="A425" s="16"/>
      <c r="B425" s="108"/>
      <c r="C425" s="109"/>
      <c r="D425" s="109"/>
      <c r="E425" s="109"/>
      <c r="F425" s="17"/>
      <c r="G425" s="17"/>
      <c r="H425" s="108"/>
      <c r="I425" s="107"/>
      <c r="J425" s="108"/>
      <c r="K425" s="107"/>
      <c r="L425" s="108"/>
      <c r="M425" s="110"/>
      <c r="N425" s="109"/>
      <c r="O425" s="108"/>
      <c r="P425" s="233"/>
      <c r="Q425" s="239"/>
      <c r="R425" s="19"/>
      <c r="S425" s="20"/>
      <c r="T425" s="9" t="str">
        <f t="shared" si="29"/>
        <v xml:space="preserve"> </v>
      </c>
      <c r="U425" s="18"/>
      <c r="V425" s="21"/>
      <c r="W425" s="22"/>
      <c r="X425" s="197" t="str">
        <f t="shared" si="30"/>
        <v xml:space="preserve"> </v>
      </c>
      <c r="Y425" s="246"/>
      <c r="Z425" s="247"/>
      <c r="AA425" s="20"/>
      <c r="AB425" s="11" t="str">
        <f t="shared" si="31"/>
        <v xml:space="preserve"> </v>
      </c>
      <c r="AC425" s="12" t="str">
        <f t="shared" si="32"/>
        <v xml:space="preserve"> </v>
      </c>
    </row>
    <row r="426" spans="1:29" ht="20.100000000000001" customHeight="1" x14ac:dyDescent="0.25">
      <c r="A426" s="16"/>
      <c r="B426" s="108"/>
      <c r="C426" s="109"/>
      <c r="D426" s="109"/>
      <c r="E426" s="109"/>
      <c r="F426" s="17"/>
      <c r="G426" s="17"/>
      <c r="H426" s="108"/>
      <c r="I426" s="107"/>
      <c r="J426" s="108"/>
      <c r="K426" s="107"/>
      <c r="L426" s="108"/>
      <c r="M426" s="110"/>
      <c r="N426" s="109"/>
      <c r="O426" s="108"/>
      <c r="P426" s="233"/>
      <c r="Q426" s="239"/>
      <c r="R426" s="19"/>
      <c r="S426" s="20"/>
      <c r="T426" s="9" t="str">
        <f t="shared" si="29"/>
        <v xml:space="preserve"> </v>
      </c>
      <c r="U426" s="18"/>
      <c r="V426" s="21"/>
      <c r="W426" s="22"/>
      <c r="X426" s="197" t="str">
        <f t="shared" si="30"/>
        <v xml:space="preserve"> </v>
      </c>
      <c r="Y426" s="246"/>
      <c r="Z426" s="247"/>
      <c r="AA426" s="20"/>
      <c r="AB426" s="11" t="str">
        <f t="shared" si="31"/>
        <v xml:space="preserve"> </v>
      </c>
      <c r="AC426" s="12" t="str">
        <f t="shared" si="32"/>
        <v xml:space="preserve"> </v>
      </c>
    </row>
    <row r="427" spans="1:29" ht="20.100000000000001" customHeight="1" x14ac:dyDescent="0.25">
      <c r="A427" s="16"/>
      <c r="B427" s="108"/>
      <c r="C427" s="109"/>
      <c r="D427" s="109"/>
      <c r="E427" s="109"/>
      <c r="F427" s="17"/>
      <c r="G427" s="17"/>
      <c r="H427" s="108"/>
      <c r="I427" s="107"/>
      <c r="J427" s="108"/>
      <c r="K427" s="107"/>
      <c r="L427" s="108"/>
      <c r="M427" s="110"/>
      <c r="N427" s="109"/>
      <c r="O427" s="108"/>
      <c r="P427" s="233"/>
      <c r="Q427" s="239"/>
      <c r="R427" s="19"/>
      <c r="S427" s="20"/>
      <c r="T427" s="9" t="str">
        <f t="shared" si="29"/>
        <v xml:space="preserve"> </v>
      </c>
      <c r="U427" s="18"/>
      <c r="V427" s="21"/>
      <c r="W427" s="22"/>
      <c r="X427" s="197" t="str">
        <f t="shared" si="30"/>
        <v xml:space="preserve"> </v>
      </c>
      <c r="Y427" s="246"/>
      <c r="Z427" s="247"/>
      <c r="AA427" s="20"/>
      <c r="AB427" s="11" t="str">
        <f t="shared" si="31"/>
        <v xml:space="preserve"> </v>
      </c>
      <c r="AC427" s="12" t="str">
        <f t="shared" si="32"/>
        <v xml:space="preserve"> </v>
      </c>
    </row>
    <row r="428" spans="1:29" ht="20.100000000000001" customHeight="1" x14ac:dyDescent="0.25">
      <c r="A428" s="16"/>
      <c r="B428" s="108"/>
      <c r="C428" s="109"/>
      <c r="D428" s="109"/>
      <c r="E428" s="109"/>
      <c r="F428" s="17"/>
      <c r="G428" s="17"/>
      <c r="H428" s="108"/>
      <c r="I428" s="107"/>
      <c r="J428" s="108"/>
      <c r="K428" s="107"/>
      <c r="L428" s="108"/>
      <c r="M428" s="110"/>
      <c r="N428" s="109"/>
      <c r="O428" s="108"/>
      <c r="P428" s="233"/>
      <c r="Q428" s="239"/>
      <c r="R428" s="19"/>
      <c r="S428" s="20"/>
      <c r="T428" s="9" t="str">
        <f t="shared" si="29"/>
        <v xml:space="preserve"> </v>
      </c>
      <c r="U428" s="18"/>
      <c r="V428" s="21"/>
      <c r="W428" s="22"/>
      <c r="X428" s="197" t="str">
        <f t="shared" si="30"/>
        <v xml:space="preserve"> </v>
      </c>
      <c r="Y428" s="246"/>
      <c r="Z428" s="247"/>
      <c r="AA428" s="20"/>
      <c r="AB428" s="11" t="str">
        <f t="shared" si="31"/>
        <v xml:space="preserve"> </v>
      </c>
      <c r="AC428" s="12" t="str">
        <f t="shared" si="32"/>
        <v xml:space="preserve"> </v>
      </c>
    </row>
    <row r="429" spans="1:29" ht="20.100000000000001" customHeight="1" x14ac:dyDescent="0.25">
      <c r="A429" s="16"/>
      <c r="B429" s="108"/>
      <c r="C429" s="109"/>
      <c r="D429" s="109"/>
      <c r="E429" s="109"/>
      <c r="F429" s="17"/>
      <c r="G429" s="17"/>
      <c r="H429" s="108"/>
      <c r="I429" s="107"/>
      <c r="J429" s="108"/>
      <c r="K429" s="107"/>
      <c r="L429" s="108"/>
      <c r="M429" s="110"/>
      <c r="N429" s="109"/>
      <c r="O429" s="108"/>
      <c r="P429" s="233"/>
      <c r="Q429" s="239"/>
      <c r="R429" s="19"/>
      <c r="S429" s="20"/>
      <c r="T429" s="9" t="str">
        <f t="shared" si="29"/>
        <v xml:space="preserve"> </v>
      </c>
      <c r="U429" s="18"/>
      <c r="V429" s="21"/>
      <c r="W429" s="22"/>
      <c r="X429" s="197" t="str">
        <f t="shared" si="30"/>
        <v xml:space="preserve"> </v>
      </c>
      <c r="Y429" s="246"/>
      <c r="Z429" s="247"/>
      <c r="AA429" s="20"/>
      <c r="AB429" s="11" t="str">
        <f t="shared" si="31"/>
        <v xml:space="preserve"> </v>
      </c>
      <c r="AC429" s="12" t="str">
        <f t="shared" si="32"/>
        <v xml:space="preserve"> </v>
      </c>
    </row>
    <row r="430" spans="1:29" ht="20.100000000000001" customHeight="1" x14ac:dyDescent="0.25">
      <c r="A430" s="16"/>
      <c r="B430" s="108"/>
      <c r="C430" s="109"/>
      <c r="D430" s="109"/>
      <c r="E430" s="109"/>
      <c r="F430" s="17"/>
      <c r="G430" s="17"/>
      <c r="H430" s="108"/>
      <c r="I430" s="107"/>
      <c r="J430" s="108"/>
      <c r="K430" s="107"/>
      <c r="L430" s="108"/>
      <c r="M430" s="110"/>
      <c r="N430" s="109"/>
      <c r="O430" s="108"/>
      <c r="P430" s="233"/>
      <c r="Q430" s="239"/>
      <c r="R430" s="19"/>
      <c r="S430" s="20"/>
      <c r="T430" s="9" t="str">
        <f t="shared" si="29"/>
        <v xml:space="preserve"> </v>
      </c>
      <c r="U430" s="18"/>
      <c r="V430" s="21"/>
      <c r="W430" s="22"/>
      <c r="X430" s="197" t="str">
        <f t="shared" si="30"/>
        <v xml:space="preserve"> </v>
      </c>
      <c r="Y430" s="246"/>
      <c r="Z430" s="247"/>
      <c r="AA430" s="20"/>
      <c r="AB430" s="11" t="str">
        <f t="shared" si="31"/>
        <v xml:space="preserve"> </v>
      </c>
      <c r="AC430" s="12" t="str">
        <f t="shared" si="32"/>
        <v xml:space="preserve"> </v>
      </c>
    </row>
    <row r="431" spans="1:29" ht="20.100000000000001" customHeight="1" x14ac:dyDescent="0.25">
      <c r="A431" s="16"/>
      <c r="B431" s="108"/>
      <c r="C431" s="109"/>
      <c r="D431" s="109"/>
      <c r="E431" s="109"/>
      <c r="F431" s="17"/>
      <c r="G431" s="17"/>
      <c r="H431" s="108"/>
      <c r="I431" s="107"/>
      <c r="J431" s="108"/>
      <c r="K431" s="107"/>
      <c r="L431" s="108"/>
      <c r="M431" s="110"/>
      <c r="N431" s="109"/>
      <c r="O431" s="108"/>
      <c r="P431" s="233"/>
      <c r="Q431" s="239"/>
      <c r="R431" s="19"/>
      <c r="S431" s="20"/>
      <c r="T431" s="9" t="str">
        <f t="shared" si="29"/>
        <v xml:space="preserve"> </v>
      </c>
      <c r="U431" s="18"/>
      <c r="V431" s="21"/>
      <c r="W431" s="22"/>
      <c r="X431" s="197" t="str">
        <f t="shared" si="30"/>
        <v xml:space="preserve"> </v>
      </c>
      <c r="Y431" s="246"/>
      <c r="Z431" s="247"/>
      <c r="AA431" s="20"/>
      <c r="AB431" s="11" t="str">
        <f t="shared" si="31"/>
        <v xml:space="preserve"> </v>
      </c>
      <c r="AC431" s="12" t="str">
        <f t="shared" si="32"/>
        <v xml:space="preserve"> </v>
      </c>
    </row>
    <row r="432" spans="1:29" ht="20.100000000000001" customHeight="1" x14ac:dyDescent="0.25">
      <c r="A432" s="16"/>
      <c r="B432" s="108"/>
      <c r="C432" s="109"/>
      <c r="D432" s="109"/>
      <c r="E432" s="109"/>
      <c r="F432" s="17"/>
      <c r="G432" s="17"/>
      <c r="H432" s="108"/>
      <c r="I432" s="107"/>
      <c r="J432" s="108"/>
      <c r="K432" s="107"/>
      <c r="L432" s="108"/>
      <c r="M432" s="110"/>
      <c r="N432" s="109"/>
      <c r="O432" s="108"/>
      <c r="P432" s="233"/>
      <c r="Q432" s="239"/>
      <c r="R432" s="19"/>
      <c r="S432" s="20"/>
      <c r="T432" s="9" t="str">
        <f t="shared" si="29"/>
        <v xml:space="preserve"> </v>
      </c>
      <c r="U432" s="18"/>
      <c r="V432" s="21"/>
      <c r="W432" s="22"/>
      <c r="X432" s="197" t="str">
        <f t="shared" si="30"/>
        <v xml:space="preserve"> </v>
      </c>
      <c r="Y432" s="246"/>
      <c r="Z432" s="247"/>
      <c r="AA432" s="20"/>
      <c r="AB432" s="11" t="str">
        <f t="shared" si="31"/>
        <v xml:space="preserve"> </v>
      </c>
      <c r="AC432" s="12" t="str">
        <f t="shared" si="32"/>
        <v xml:space="preserve"> </v>
      </c>
    </row>
    <row r="433" spans="1:29" ht="20.100000000000001" customHeight="1" x14ac:dyDescent="0.25">
      <c r="A433" s="16"/>
      <c r="B433" s="108"/>
      <c r="C433" s="109"/>
      <c r="D433" s="109"/>
      <c r="E433" s="109"/>
      <c r="F433" s="17"/>
      <c r="G433" s="17"/>
      <c r="H433" s="108"/>
      <c r="I433" s="107"/>
      <c r="J433" s="108"/>
      <c r="K433" s="107"/>
      <c r="L433" s="108"/>
      <c r="M433" s="110"/>
      <c r="N433" s="109"/>
      <c r="O433" s="108"/>
      <c r="P433" s="233"/>
      <c r="Q433" s="239"/>
      <c r="R433" s="19"/>
      <c r="S433" s="20"/>
      <c r="T433" s="9" t="str">
        <f t="shared" si="29"/>
        <v xml:space="preserve"> </v>
      </c>
      <c r="U433" s="18"/>
      <c r="V433" s="21"/>
      <c r="W433" s="22"/>
      <c r="X433" s="197" t="str">
        <f t="shared" si="30"/>
        <v xml:space="preserve"> </v>
      </c>
      <c r="Y433" s="246"/>
      <c r="Z433" s="247"/>
      <c r="AA433" s="20"/>
      <c r="AB433" s="11" t="str">
        <f t="shared" si="31"/>
        <v xml:space="preserve"> </v>
      </c>
      <c r="AC433" s="12" t="str">
        <f t="shared" si="32"/>
        <v xml:space="preserve"> </v>
      </c>
    </row>
    <row r="434" spans="1:29" ht="20.100000000000001" customHeight="1" x14ac:dyDescent="0.25">
      <c r="A434" s="16"/>
      <c r="B434" s="108"/>
      <c r="C434" s="109"/>
      <c r="D434" s="109"/>
      <c r="E434" s="109"/>
      <c r="F434" s="17"/>
      <c r="G434" s="17"/>
      <c r="H434" s="108"/>
      <c r="I434" s="107"/>
      <c r="J434" s="108"/>
      <c r="K434" s="107"/>
      <c r="L434" s="108"/>
      <c r="M434" s="110"/>
      <c r="N434" s="109"/>
      <c r="O434" s="108"/>
      <c r="P434" s="233"/>
      <c r="Q434" s="239"/>
      <c r="R434" s="19"/>
      <c r="S434" s="20"/>
      <c r="T434" s="9" t="str">
        <f t="shared" si="29"/>
        <v xml:space="preserve"> </v>
      </c>
      <c r="U434" s="18"/>
      <c r="V434" s="21"/>
      <c r="W434" s="22"/>
      <c r="X434" s="197" t="str">
        <f t="shared" si="30"/>
        <v xml:space="preserve"> </v>
      </c>
      <c r="Y434" s="246"/>
      <c r="Z434" s="247"/>
      <c r="AA434" s="20"/>
      <c r="AB434" s="11" t="str">
        <f t="shared" si="31"/>
        <v xml:space="preserve"> </v>
      </c>
      <c r="AC434" s="12" t="str">
        <f t="shared" si="32"/>
        <v xml:space="preserve"> </v>
      </c>
    </row>
    <row r="435" spans="1:29" ht="20.100000000000001" customHeight="1" x14ac:dyDescent="0.25">
      <c r="A435" s="16"/>
      <c r="B435" s="108"/>
      <c r="C435" s="109"/>
      <c r="D435" s="109"/>
      <c r="E435" s="109"/>
      <c r="F435" s="17"/>
      <c r="G435" s="17"/>
      <c r="H435" s="108"/>
      <c r="I435" s="107"/>
      <c r="J435" s="108"/>
      <c r="K435" s="107"/>
      <c r="L435" s="108"/>
      <c r="M435" s="110"/>
      <c r="N435" s="109"/>
      <c r="O435" s="108"/>
      <c r="P435" s="233"/>
      <c r="Q435" s="239"/>
      <c r="R435" s="19"/>
      <c r="S435" s="20"/>
      <c r="T435" s="9" t="str">
        <f t="shared" si="29"/>
        <v xml:space="preserve"> </v>
      </c>
      <c r="U435" s="18"/>
      <c r="V435" s="21"/>
      <c r="W435" s="22"/>
      <c r="X435" s="197" t="str">
        <f t="shared" si="30"/>
        <v xml:space="preserve"> </v>
      </c>
      <c r="Y435" s="246"/>
      <c r="Z435" s="247"/>
      <c r="AA435" s="20"/>
      <c r="AB435" s="11" t="str">
        <f t="shared" si="31"/>
        <v xml:space="preserve"> </v>
      </c>
      <c r="AC435" s="12" t="str">
        <f t="shared" si="32"/>
        <v xml:space="preserve"> </v>
      </c>
    </row>
    <row r="436" spans="1:29" ht="20.100000000000001" customHeight="1" x14ac:dyDescent="0.25">
      <c r="A436" s="16"/>
      <c r="B436" s="108"/>
      <c r="C436" s="109"/>
      <c r="D436" s="109"/>
      <c r="E436" s="109"/>
      <c r="F436" s="17"/>
      <c r="G436" s="17"/>
      <c r="H436" s="108"/>
      <c r="I436" s="107"/>
      <c r="J436" s="108"/>
      <c r="K436" s="107"/>
      <c r="L436" s="108"/>
      <c r="M436" s="110"/>
      <c r="N436" s="109"/>
      <c r="O436" s="108"/>
      <c r="P436" s="233"/>
      <c r="Q436" s="239"/>
      <c r="R436" s="19"/>
      <c r="S436" s="20"/>
      <c r="T436" s="9" t="str">
        <f t="shared" si="29"/>
        <v xml:space="preserve"> </v>
      </c>
      <c r="U436" s="18"/>
      <c r="V436" s="21"/>
      <c r="W436" s="22"/>
      <c r="X436" s="197" t="str">
        <f t="shared" si="30"/>
        <v xml:space="preserve"> </v>
      </c>
      <c r="Y436" s="246"/>
      <c r="Z436" s="247"/>
      <c r="AA436" s="20"/>
      <c r="AB436" s="11" t="str">
        <f t="shared" si="31"/>
        <v xml:space="preserve"> </v>
      </c>
      <c r="AC436" s="12" t="str">
        <f t="shared" si="32"/>
        <v xml:space="preserve"> </v>
      </c>
    </row>
    <row r="437" spans="1:29" ht="20.100000000000001" customHeight="1" x14ac:dyDescent="0.25">
      <c r="A437" s="16"/>
      <c r="B437" s="108"/>
      <c r="C437" s="109"/>
      <c r="D437" s="109"/>
      <c r="E437" s="109"/>
      <c r="F437" s="17"/>
      <c r="G437" s="17"/>
      <c r="H437" s="108"/>
      <c r="I437" s="107"/>
      <c r="J437" s="108"/>
      <c r="K437" s="107"/>
      <c r="L437" s="108"/>
      <c r="M437" s="110"/>
      <c r="N437" s="109"/>
      <c r="O437" s="108"/>
      <c r="P437" s="233"/>
      <c r="Q437" s="239"/>
      <c r="R437" s="19"/>
      <c r="S437" s="20"/>
      <c r="T437" s="9" t="str">
        <f t="shared" si="29"/>
        <v xml:space="preserve"> </v>
      </c>
      <c r="U437" s="18"/>
      <c r="V437" s="21"/>
      <c r="W437" s="22"/>
      <c r="X437" s="197" t="str">
        <f t="shared" si="30"/>
        <v xml:space="preserve"> </v>
      </c>
      <c r="Y437" s="246"/>
      <c r="Z437" s="247"/>
      <c r="AA437" s="20"/>
      <c r="AB437" s="11" t="str">
        <f t="shared" si="31"/>
        <v xml:space="preserve"> </v>
      </c>
      <c r="AC437" s="12" t="str">
        <f t="shared" si="32"/>
        <v xml:space="preserve"> </v>
      </c>
    </row>
    <row r="438" spans="1:29" ht="20.100000000000001" customHeight="1" x14ac:dyDescent="0.25">
      <c r="A438" s="16"/>
      <c r="B438" s="108"/>
      <c r="C438" s="109"/>
      <c r="D438" s="109"/>
      <c r="E438" s="109"/>
      <c r="F438" s="17"/>
      <c r="G438" s="17"/>
      <c r="H438" s="108"/>
      <c r="I438" s="107"/>
      <c r="J438" s="108"/>
      <c r="K438" s="107"/>
      <c r="L438" s="108"/>
      <c r="M438" s="110"/>
      <c r="N438" s="109"/>
      <c r="O438" s="108"/>
      <c r="P438" s="233"/>
      <c r="Q438" s="239"/>
      <c r="R438" s="19"/>
      <c r="S438" s="20"/>
      <c r="T438" s="9" t="str">
        <f t="shared" si="29"/>
        <v xml:space="preserve"> </v>
      </c>
      <c r="U438" s="18"/>
      <c r="V438" s="21"/>
      <c r="W438" s="22"/>
      <c r="X438" s="197" t="str">
        <f t="shared" si="30"/>
        <v xml:space="preserve"> </v>
      </c>
      <c r="Y438" s="246"/>
      <c r="Z438" s="247"/>
      <c r="AA438" s="20"/>
      <c r="AB438" s="11" t="str">
        <f t="shared" si="31"/>
        <v xml:space="preserve"> </v>
      </c>
      <c r="AC438" s="12" t="str">
        <f t="shared" si="32"/>
        <v xml:space="preserve"> </v>
      </c>
    </row>
    <row r="439" spans="1:29" ht="20.100000000000001" customHeight="1" x14ac:dyDescent="0.25">
      <c r="A439" s="16"/>
      <c r="B439" s="108"/>
      <c r="C439" s="109"/>
      <c r="D439" s="109"/>
      <c r="E439" s="109"/>
      <c r="F439" s="17"/>
      <c r="G439" s="17"/>
      <c r="H439" s="108"/>
      <c r="I439" s="107"/>
      <c r="J439" s="108"/>
      <c r="K439" s="107"/>
      <c r="L439" s="108"/>
      <c r="M439" s="110"/>
      <c r="N439" s="109"/>
      <c r="O439" s="108"/>
      <c r="P439" s="233"/>
      <c r="Q439" s="239"/>
      <c r="R439" s="19"/>
      <c r="S439" s="20"/>
      <c r="T439" s="9" t="str">
        <f t="shared" si="29"/>
        <v xml:space="preserve"> </v>
      </c>
      <c r="U439" s="18"/>
      <c r="V439" s="21"/>
      <c r="W439" s="22"/>
      <c r="X439" s="197" t="str">
        <f t="shared" si="30"/>
        <v xml:space="preserve"> </v>
      </c>
      <c r="Y439" s="246"/>
      <c r="Z439" s="247"/>
      <c r="AA439" s="20"/>
      <c r="AB439" s="11" t="str">
        <f t="shared" si="31"/>
        <v xml:space="preserve"> </v>
      </c>
      <c r="AC439" s="12" t="str">
        <f t="shared" si="32"/>
        <v xml:space="preserve"> </v>
      </c>
    </row>
    <row r="440" spans="1:29" ht="20.100000000000001" customHeight="1" x14ac:dyDescent="0.25">
      <c r="A440" s="16"/>
      <c r="B440" s="108"/>
      <c r="C440" s="109"/>
      <c r="D440" s="109"/>
      <c r="E440" s="109"/>
      <c r="F440" s="17"/>
      <c r="G440" s="17"/>
      <c r="H440" s="108"/>
      <c r="I440" s="107"/>
      <c r="J440" s="108"/>
      <c r="K440" s="107"/>
      <c r="L440" s="108"/>
      <c r="M440" s="110"/>
      <c r="N440" s="109"/>
      <c r="O440" s="108"/>
      <c r="P440" s="233"/>
      <c r="Q440" s="239"/>
      <c r="R440" s="19"/>
      <c r="S440" s="20"/>
      <c r="T440" s="9" t="str">
        <f t="shared" si="29"/>
        <v xml:space="preserve"> </v>
      </c>
      <c r="U440" s="18"/>
      <c r="V440" s="21"/>
      <c r="W440" s="22"/>
      <c r="X440" s="197" t="str">
        <f t="shared" si="30"/>
        <v xml:space="preserve"> </v>
      </c>
      <c r="Y440" s="246"/>
      <c r="Z440" s="247"/>
      <c r="AA440" s="20"/>
      <c r="AB440" s="11" t="str">
        <f t="shared" si="31"/>
        <v xml:space="preserve"> </v>
      </c>
      <c r="AC440" s="12" t="str">
        <f t="shared" si="32"/>
        <v xml:space="preserve"> </v>
      </c>
    </row>
    <row r="441" spans="1:29" ht="20.100000000000001" customHeight="1" x14ac:dyDescent="0.25">
      <c r="A441" s="16"/>
      <c r="B441" s="108"/>
      <c r="C441" s="109"/>
      <c r="D441" s="109"/>
      <c r="E441" s="109"/>
      <c r="F441" s="17"/>
      <c r="G441" s="17"/>
      <c r="H441" s="108"/>
      <c r="I441" s="107"/>
      <c r="J441" s="108"/>
      <c r="K441" s="107"/>
      <c r="L441" s="108"/>
      <c r="M441" s="110"/>
      <c r="N441" s="109"/>
      <c r="O441" s="108"/>
      <c r="P441" s="233"/>
      <c r="Q441" s="239"/>
      <c r="R441" s="19"/>
      <c r="S441" s="20"/>
      <c r="T441" s="9" t="str">
        <f t="shared" si="29"/>
        <v xml:space="preserve"> </v>
      </c>
      <c r="U441" s="18"/>
      <c r="V441" s="21"/>
      <c r="W441" s="22"/>
      <c r="X441" s="197" t="str">
        <f t="shared" si="30"/>
        <v xml:space="preserve"> </v>
      </c>
      <c r="Y441" s="246"/>
      <c r="Z441" s="247"/>
      <c r="AA441" s="20"/>
      <c r="AB441" s="11" t="str">
        <f t="shared" si="31"/>
        <v xml:space="preserve"> </v>
      </c>
      <c r="AC441" s="12" t="str">
        <f t="shared" si="32"/>
        <v xml:space="preserve"> </v>
      </c>
    </row>
    <row r="442" spans="1:29" ht="20.100000000000001" customHeight="1" x14ac:dyDescent="0.25">
      <c r="A442" s="16"/>
      <c r="B442" s="108"/>
      <c r="C442" s="109"/>
      <c r="D442" s="109"/>
      <c r="E442" s="109"/>
      <c r="F442" s="17"/>
      <c r="G442" s="17"/>
      <c r="H442" s="108"/>
      <c r="I442" s="107"/>
      <c r="J442" s="108"/>
      <c r="K442" s="107"/>
      <c r="L442" s="108"/>
      <c r="M442" s="110"/>
      <c r="N442" s="109"/>
      <c r="O442" s="108"/>
      <c r="P442" s="233"/>
      <c r="Q442" s="239"/>
      <c r="R442" s="19"/>
      <c r="S442" s="20"/>
      <c r="T442" s="9" t="str">
        <f t="shared" si="29"/>
        <v xml:space="preserve"> </v>
      </c>
      <c r="U442" s="18"/>
      <c r="V442" s="21"/>
      <c r="W442" s="22"/>
      <c r="X442" s="197" t="str">
        <f t="shared" si="30"/>
        <v xml:space="preserve"> </v>
      </c>
      <c r="Y442" s="246"/>
      <c r="Z442" s="247"/>
      <c r="AA442" s="20"/>
      <c r="AB442" s="11" t="str">
        <f t="shared" si="31"/>
        <v xml:space="preserve"> </v>
      </c>
      <c r="AC442" s="12" t="str">
        <f t="shared" si="32"/>
        <v xml:space="preserve"> </v>
      </c>
    </row>
    <row r="443" spans="1:29" ht="20.100000000000001" customHeight="1" x14ac:dyDescent="0.25">
      <c r="A443" s="16"/>
      <c r="B443" s="108"/>
      <c r="C443" s="109"/>
      <c r="D443" s="109"/>
      <c r="E443" s="109"/>
      <c r="F443" s="17"/>
      <c r="G443" s="17"/>
      <c r="H443" s="108"/>
      <c r="I443" s="107"/>
      <c r="J443" s="108"/>
      <c r="K443" s="107"/>
      <c r="L443" s="108"/>
      <c r="M443" s="110"/>
      <c r="N443" s="109"/>
      <c r="O443" s="108"/>
      <c r="P443" s="233"/>
      <c r="Q443" s="239"/>
      <c r="R443" s="19"/>
      <c r="S443" s="20"/>
      <c r="T443" s="9" t="str">
        <f t="shared" si="29"/>
        <v xml:space="preserve"> </v>
      </c>
      <c r="U443" s="18"/>
      <c r="V443" s="21"/>
      <c r="W443" s="22"/>
      <c r="X443" s="197" t="str">
        <f t="shared" si="30"/>
        <v xml:space="preserve"> </v>
      </c>
      <c r="Y443" s="246"/>
      <c r="Z443" s="247"/>
      <c r="AA443" s="20"/>
      <c r="AB443" s="11" t="str">
        <f t="shared" si="31"/>
        <v xml:space="preserve"> </v>
      </c>
      <c r="AC443" s="12" t="str">
        <f t="shared" si="32"/>
        <v xml:space="preserve"> </v>
      </c>
    </row>
    <row r="444" spans="1:29" ht="20.100000000000001" customHeight="1" x14ac:dyDescent="0.25">
      <c r="A444" s="16"/>
      <c r="B444" s="108"/>
      <c r="C444" s="109"/>
      <c r="D444" s="109"/>
      <c r="E444" s="109"/>
      <c r="F444" s="17"/>
      <c r="G444" s="17"/>
      <c r="H444" s="108"/>
      <c r="I444" s="107"/>
      <c r="J444" s="108"/>
      <c r="K444" s="107"/>
      <c r="L444" s="108"/>
      <c r="M444" s="110"/>
      <c r="N444" s="109"/>
      <c r="O444" s="108"/>
      <c r="P444" s="233"/>
      <c r="Q444" s="239"/>
      <c r="R444" s="19"/>
      <c r="S444" s="20"/>
      <c r="T444" s="9" t="str">
        <f t="shared" si="29"/>
        <v xml:space="preserve"> </v>
      </c>
      <c r="U444" s="18"/>
      <c r="V444" s="21"/>
      <c r="W444" s="22"/>
      <c r="X444" s="197" t="str">
        <f t="shared" si="30"/>
        <v xml:space="preserve"> </v>
      </c>
      <c r="Y444" s="246"/>
      <c r="Z444" s="247"/>
      <c r="AA444" s="20"/>
      <c r="AB444" s="11" t="str">
        <f t="shared" si="31"/>
        <v xml:space="preserve"> </v>
      </c>
      <c r="AC444" s="12" t="str">
        <f t="shared" si="32"/>
        <v xml:space="preserve"> </v>
      </c>
    </row>
    <row r="445" spans="1:29" ht="20.100000000000001" customHeight="1" x14ac:dyDescent="0.25">
      <c r="A445" s="16"/>
      <c r="B445" s="108"/>
      <c r="C445" s="109"/>
      <c r="D445" s="109"/>
      <c r="E445" s="109"/>
      <c r="F445" s="17"/>
      <c r="G445" s="17"/>
      <c r="H445" s="108"/>
      <c r="I445" s="107"/>
      <c r="J445" s="108"/>
      <c r="K445" s="107"/>
      <c r="L445" s="108"/>
      <c r="M445" s="110"/>
      <c r="N445" s="109"/>
      <c r="O445" s="108"/>
      <c r="P445" s="233"/>
      <c r="Q445" s="239"/>
      <c r="R445" s="19"/>
      <c r="S445" s="20"/>
      <c r="T445" s="9" t="str">
        <f t="shared" si="29"/>
        <v xml:space="preserve"> </v>
      </c>
      <c r="U445" s="18"/>
      <c r="V445" s="21"/>
      <c r="W445" s="22"/>
      <c r="X445" s="197" t="str">
        <f t="shared" si="30"/>
        <v xml:space="preserve"> </v>
      </c>
      <c r="Y445" s="246"/>
      <c r="Z445" s="247"/>
      <c r="AA445" s="20"/>
      <c r="AB445" s="11" t="str">
        <f t="shared" si="31"/>
        <v xml:space="preserve"> </v>
      </c>
      <c r="AC445" s="12" t="str">
        <f t="shared" si="32"/>
        <v xml:space="preserve"> </v>
      </c>
    </row>
    <row r="446" spans="1:29" ht="20.100000000000001" customHeight="1" x14ac:dyDescent="0.25">
      <c r="A446" s="16"/>
      <c r="B446" s="108"/>
      <c r="C446" s="109"/>
      <c r="D446" s="109"/>
      <c r="E446" s="109"/>
      <c r="F446" s="17"/>
      <c r="G446" s="17"/>
      <c r="H446" s="108"/>
      <c r="I446" s="107"/>
      <c r="J446" s="108"/>
      <c r="K446" s="107"/>
      <c r="L446" s="108"/>
      <c r="M446" s="110"/>
      <c r="N446" s="109"/>
      <c r="O446" s="108"/>
      <c r="P446" s="233"/>
      <c r="Q446" s="239"/>
      <c r="R446" s="19"/>
      <c r="S446" s="20"/>
      <c r="T446" s="9" t="str">
        <f t="shared" si="29"/>
        <v xml:space="preserve"> </v>
      </c>
      <c r="U446" s="18"/>
      <c r="V446" s="21"/>
      <c r="W446" s="22"/>
      <c r="X446" s="197" t="str">
        <f t="shared" si="30"/>
        <v xml:space="preserve"> </v>
      </c>
      <c r="Y446" s="246"/>
      <c r="Z446" s="247"/>
      <c r="AA446" s="20"/>
      <c r="AB446" s="11" t="str">
        <f t="shared" si="31"/>
        <v xml:space="preserve"> </v>
      </c>
      <c r="AC446" s="12" t="str">
        <f t="shared" si="32"/>
        <v xml:space="preserve"> </v>
      </c>
    </row>
    <row r="447" spans="1:29" ht="20.100000000000001" customHeight="1" x14ac:dyDescent="0.25">
      <c r="A447" s="16"/>
      <c r="B447" s="108"/>
      <c r="C447" s="109"/>
      <c r="D447" s="109"/>
      <c r="E447" s="109"/>
      <c r="F447" s="17"/>
      <c r="G447" s="17"/>
      <c r="H447" s="108"/>
      <c r="I447" s="107"/>
      <c r="J447" s="108"/>
      <c r="K447" s="107"/>
      <c r="L447" s="108"/>
      <c r="M447" s="110"/>
      <c r="N447" s="109"/>
      <c r="O447" s="108"/>
      <c r="P447" s="233"/>
      <c r="Q447" s="239"/>
      <c r="R447" s="19"/>
      <c r="S447" s="20"/>
      <c r="T447" s="9" t="str">
        <f t="shared" si="29"/>
        <v xml:space="preserve"> </v>
      </c>
      <c r="U447" s="18"/>
      <c r="V447" s="21"/>
      <c r="W447" s="22"/>
      <c r="X447" s="197" t="str">
        <f t="shared" si="30"/>
        <v xml:space="preserve"> </v>
      </c>
      <c r="Y447" s="246"/>
      <c r="Z447" s="247"/>
      <c r="AA447" s="20"/>
      <c r="AB447" s="11" t="str">
        <f t="shared" si="31"/>
        <v xml:space="preserve"> </v>
      </c>
      <c r="AC447" s="12" t="str">
        <f t="shared" si="32"/>
        <v xml:space="preserve"> </v>
      </c>
    </row>
    <row r="448" spans="1:29" ht="20.100000000000001" customHeight="1" x14ac:dyDescent="0.25">
      <c r="A448" s="16"/>
      <c r="B448" s="108"/>
      <c r="C448" s="109"/>
      <c r="D448" s="109"/>
      <c r="E448" s="109"/>
      <c r="F448" s="17"/>
      <c r="G448" s="17"/>
      <c r="H448" s="108"/>
      <c r="I448" s="107"/>
      <c r="J448" s="108"/>
      <c r="K448" s="107"/>
      <c r="L448" s="108"/>
      <c r="M448" s="110"/>
      <c r="N448" s="109"/>
      <c r="O448" s="108"/>
      <c r="P448" s="233"/>
      <c r="Q448" s="239"/>
      <c r="R448" s="19"/>
      <c r="S448" s="20"/>
      <c r="T448" s="9" t="str">
        <f t="shared" si="29"/>
        <v xml:space="preserve"> </v>
      </c>
      <c r="U448" s="18"/>
      <c r="V448" s="21"/>
      <c r="W448" s="22"/>
      <c r="X448" s="197" t="str">
        <f t="shared" si="30"/>
        <v xml:space="preserve"> </v>
      </c>
      <c r="Y448" s="246"/>
      <c r="Z448" s="247"/>
      <c r="AA448" s="20"/>
      <c r="AB448" s="11" t="str">
        <f t="shared" si="31"/>
        <v xml:space="preserve"> </v>
      </c>
      <c r="AC448" s="12" t="str">
        <f t="shared" si="32"/>
        <v xml:space="preserve"> </v>
      </c>
    </row>
    <row r="449" spans="1:29" ht="20.100000000000001" customHeight="1" x14ac:dyDescent="0.25">
      <c r="A449" s="16"/>
      <c r="B449" s="108"/>
      <c r="C449" s="109"/>
      <c r="D449" s="109"/>
      <c r="E449" s="109"/>
      <c r="F449" s="17"/>
      <c r="G449" s="17"/>
      <c r="H449" s="108"/>
      <c r="I449" s="107"/>
      <c r="J449" s="108"/>
      <c r="K449" s="107"/>
      <c r="L449" s="108"/>
      <c r="M449" s="110"/>
      <c r="N449" s="109"/>
      <c r="O449" s="108"/>
      <c r="P449" s="233"/>
      <c r="Q449" s="239"/>
      <c r="R449" s="19"/>
      <c r="S449" s="20"/>
      <c r="T449" s="9" t="str">
        <f t="shared" si="29"/>
        <v xml:space="preserve"> </v>
      </c>
      <c r="U449" s="18"/>
      <c r="V449" s="21"/>
      <c r="W449" s="22"/>
      <c r="X449" s="197" t="str">
        <f t="shared" si="30"/>
        <v xml:space="preserve"> </v>
      </c>
      <c r="Y449" s="246"/>
      <c r="Z449" s="247"/>
      <c r="AA449" s="20"/>
      <c r="AB449" s="11" t="str">
        <f t="shared" si="31"/>
        <v xml:space="preserve"> </v>
      </c>
      <c r="AC449" s="12" t="str">
        <f t="shared" si="32"/>
        <v xml:space="preserve"> </v>
      </c>
    </row>
    <row r="450" spans="1:29" ht="20.100000000000001" customHeight="1" x14ac:dyDescent="0.25">
      <c r="A450" s="16"/>
      <c r="B450" s="108"/>
      <c r="C450" s="109"/>
      <c r="D450" s="109"/>
      <c r="E450" s="109"/>
      <c r="F450" s="17"/>
      <c r="G450" s="17"/>
      <c r="H450" s="108"/>
      <c r="I450" s="107"/>
      <c r="J450" s="108"/>
      <c r="K450" s="107"/>
      <c r="L450" s="108"/>
      <c r="M450" s="110"/>
      <c r="N450" s="109"/>
      <c r="O450" s="108"/>
      <c r="P450" s="233"/>
      <c r="Q450" s="239"/>
      <c r="R450" s="19"/>
      <c r="S450" s="20"/>
      <c r="T450" s="9" t="str">
        <f t="shared" si="29"/>
        <v xml:space="preserve"> </v>
      </c>
      <c r="U450" s="18"/>
      <c r="V450" s="21"/>
      <c r="W450" s="22"/>
      <c r="X450" s="197" t="str">
        <f t="shared" si="30"/>
        <v xml:space="preserve"> </v>
      </c>
      <c r="Y450" s="246"/>
      <c r="Z450" s="247"/>
      <c r="AA450" s="20"/>
      <c r="AB450" s="11" t="str">
        <f t="shared" si="31"/>
        <v xml:space="preserve"> </v>
      </c>
      <c r="AC450" s="12" t="str">
        <f t="shared" si="32"/>
        <v xml:space="preserve"> </v>
      </c>
    </row>
    <row r="451" spans="1:29" ht="20.100000000000001" customHeight="1" x14ac:dyDescent="0.25">
      <c r="A451" s="16"/>
      <c r="B451" s="108"/>
      <c r="C451" s="109"/>
      <c r="D451" s="109"/>
      <c r="E451" s="109"/>
      <c r="F451" s="17"/>
      <c r="G451" s="17"/>
      <c r="H451" s="108"/>
      <c r="I451" s="107"/>
      <c r="J451" s="108"/>
      <c r="K451" s="107"/>
      <c r="L451" s="108"/>
      <c r="M451" s="110"/>
      <c r="N451" s="109"/>
      <c r="O451" s="108"/>
      <c r="P451" s="233"/>
      <c r="Q451" s="239"/>
      <c r="R451" s="19"/>
      <c r="S451" s="20"/>
      <c r="T451" s="9" t="str">
        <f t="shared" si="29"/>
        <v xml:space="preserve"> </v>
      </c>
      <c r="U451" s="18"/>
      <c r="V451" s="21"/>
      <c r="W451" s="22"/>
      <c r="X451" s="197" t="str">
        <f t="shared" si="30"/>
        <v xml:space="preserve"> </v>
      </c>
      <c r="Y451" s="246"/>
      <c r="Z451" s="247"/>
      <c r="AA451" s="20"/>
      <c r="AB451" s="11" t="str">
        <f t="shared" si="31"/>
        <v xml:space="preserve"> </v>
      </c>
      <c r="AC451" s="12" t="str">
        <f t="shared" si="32"/>
        <v xml:space="preserve"> </v>
      </c>
    </row>
    <row r="452" spans="1:29" ht="20.100000000000001" customHeight="1" x14ac:dyDescent="0.25">
      <c r="A452" s="16"/>
      <c r="B452" s="108"/>
      <c r="C452" s="109"/>
      <c r="D452" s="109"/>
      <c r="E452" s="109"/>
      <c r="F452" s="17"/>
      <c r="G452" s="17"/>
      <c r="H452" s="108"/>
      <c r="I452" s="107"/>
      <c r="J452" s="108"/>
      <c r="K452" s="107"/>
      <c r="L452" s="108"/>
      <c r="M452" s="110"/>
      <c r="N452" s="109"/>
      <c r="O452" s="108"/>
      <c r="P452" s="233"/>
      <c r="Q452" s="239"/>
      <c r="R452" s="19"/>
      <c r="S452" s="20"/>
      <c r="T452" s="9" t="str">
        <f t="shared" ref="T452:T515" si="33">IF(ISBLANK(R452)," ",((ROUND(S452,2)-(ROUND(R452,2)))/(ROUND(R452,2))))</f>
        <v xml:space="preserve"> </v>
      </c>
      <c r="U452" s="18"/>
      <c r="V452" s="21"/>
      <c r="W452" s="22"/>
      <c r="X452" s="197" t="str">
        <f t="shared" ref="X452:X515" si="34">IF(ISBLANK(R452)," ",((ROUND(W452,2))-(ROUND(R452,2)))/(ROUND(R452,2)))</f>
        <v xml:space="preserve"> </v>
      </c>
      <c r="Y452" s="246"/>
      <c r="Z452" s="247"/>
      <c r="AA452" s="20"/>
      <c r="AB452" s="11" t="str">
        <f t="shared" ref="AB452:AB515" si="35">IF(ISBLANK(R452)," ",((ROUND(AA452,2))-(ROUND(R452,2)))/(ROUND(R452,2)))</f>
        <v xml:space="preserve"> </v>
      </c>
      <c r="AC452" s="12" t="str">
        <f t="shared" ref="AC452:AC515" si="36">IF(ISBLANK(AA452)," ",(ROUND(AA452,2)/0.995))</f>
        <v xml:space="preserve"> </v>
      </c>
    </row>
    <row r="453" spans="1:29" ht="20.100000000000001" customHeight="1" x14ac:dyDescent="0.25">
      <c r="A453" s="16"/>
      <c r="B453" s="108"/>
      <c r="C453" s="109"/>
      <c r="D453" s="109"/>
      <c r="E453" s="109"/>
      <c r="F453" s="17"/>
      <c r="G453" s="17"/>
      <c r="H453" s="108"/>
      <c r="I453" s="107"/>
      <c r="J453" s="108"/>
      <c r="K453" s="107"/>
      <c r="L453" s="108"/>
      <c r="M453" s="110"/>
      <c r="N453" s="109"/>
      <c r="O453" s="108"/>
      <c r="P453" s="233"/>
      <c r="Q453" s="239"/>
      <c r="R453" s="19"/>
      <c r="S453" s="20"/>
      <c r="T453" s="9" t="str">
        <f t="shared" si="33"/>
        <v xml:space="preserve"> </v>
      </c>
      <c r="U453" s="18"/>
      <c r="V453" s="21"/>
      <c r="W453" s="22"/>
      <c r="X453" s="197" t="str">
        <f t="shared" si="34"/>
        <v xml:space="preserve"> </v>
      </c>
      <c r="Y453" s="246"/>
      <c r="Z453" s="247"/>
      <c r="AA453" s="20"/>
      <c r="AB453" s="11" t="str">
        <f t="shared" si="35"/>
        <v xml:space="preserve"> </v>
      </c>
      <c r="AC453" s="12" t="str">
        <f t="shared" si="36"/>
        <v xml:space="preserve"> </v>
      </c>
    </row>
    <row r="454" spans="1:29" ht="20.100000000000001" customHeight="1" x14ac:dyDescent="0.25">
      <c r="A454" s="16"/>
      <c r="B454" s="108"/>
      <c r="C454" s="109"/>
      <c r="D454" s="109"/>
      <c r="E454" s="109"/>
      <c r="F454" s="17"/>
      <c r="G454" s="17"/>
      <c r="H454" s="108"/>
      <c r="I454" s="107"/>
      <c r="J454" s="108"/>
      <c r="K454" s="107"/>
      <c r="L454" s="108"/>
      <c r="M454" s="110"/>
      <c r="N454" s="109"/>
      <c r="O454" s="108"/>
      <c r="P454" s="233"/>
      <c r="Q454" s="239"/>
      <c r="R454" s="19"/>
      <c r="S454" s="20"/>
      <c r="T454" s="9" t="str">
        <f t="shared" si="33"/>
        <v xml:space="preserve"> </v>
      </c>
      <c r="U454" s="18"/>
      <c r="V454" s="21"/>
      <c r="W454" s="22"/>
      <c r="X454" s="197" t="str">
        <f t="shared" si="34"/>
        <v xml:space="preserve"> </v>
      </c>
      <c r="Y454" s="246"/>
      <c r="Z454" s="247"/>
      <c r="AA454" s="20"/>
      <c r="AB454" s="11" t="str">
        <f t="shared" si="35"/>
        <v xml:space="preserve"> </v>
      </c>
      <c r="AC454" s="12" t="str">
        <f t="shared" si="36"/>
        <v xml:space="preserve"> </v>
      </c>
    </row>
    <row r="455" spans="1:29" ht="20.100000000000001" customHeight="1" x14ac:dyDescent="0.25">
      <c r="A455" s="16"/>
      <c r="B455" s="108"/>
      <c r="C455" s="109"/>
      <c r="D455" s="109"/>
      <c r="E455" s="109"/>
      <c r="F455" s="17"/>
      <c r="G455" s="17"/>
      <c r="H455" s="108"/>
      <c r="I455" s="107"/>
      <c r="J455" s="108"/>
      <c r="K455" s="107"/>
      <c r="L455" s="108"/>
      <c r="M455" s="110"/>
      <c r="N455" s="109"/>
      <c r="O455" s="108"/>
      <c r="P455" s="233"/>
      <c r="Q455" s="239"/>
      <c r="R455" s="19"/>
      <c r="S455" s="20"/>
      <c r="T455" s="9" t="str">
        <f t="shared" si="33"/>
        <v xml:space="preserve"> </v>
      </c>
      <c r="U455" s="18"/>
      <c r="V455" s="21"/>
      <c r="W455" s="22"/>
      <c r="X455" s="197" t="str">
        <f t="shared" si="34"/>
        <v xml:space="preserve"> </v>
      </c>
      <c r="Y455" s="246"/>
      <c r="Z455" s="247"/>
      <c r="AA455" s="20"/>
      <c r="AB455" s="11" t="str">
        <f t="shared" si="35"/>
        <v xml:space="preserve"> </v>
      </c>
      <c r="AC455" s="12" t="str">
        <f t="shared" si="36"/>
        <v xml:space="preserve"> </v>
      </c>
    </row>
    <row r="456" spans="1:29" ht="20.100000000000001" customHeight="1" x14ac:dyDescent="0.25">
      <c r="A456" s="16"/>
      <c r="B456" s="108"/>
      <c r="C456" s="109"/>
      <c r="D456" s="109"/>
      <c r="E456" s="109"/>
      <c r="F456" s="17"/>
      <c r="G456" s="17"/>
      <c r="H456" s="108"/>
      <c r="I456" s="107"/>
      <c r="J456" s="108"/>
      <c r="K456" s="107"/>
      <c r="L456" s="108"/>
      <c r="M456" s="110"/>
      <c r="N456" s="109"/>
      <c r="O456" s="108"/>
      <c r="P456" s="233"/>
      <c r="Q456" s="239"/>
      <c r="R456" s="19"/>
      <c r="S456" s="20"/>
      <c r="T456" s="9" t="str">
        <f t="shared" si="33"/>
        <v xml:space="preserve"> </v>
      </c>
      <c r="U456" s="18"/>
      <c r="V456" s="21"/>
      <c r="W456" s="22"/>
      <c r="X456" s="197" t="str">
        <f t="shared" si="34"/>
        <v xml:space="preserve"> </v>
      </c>
      <c r="Y456" s="246"/>
      <c r="Z456" s="247"/>
      <c r="AA456" s="20"/>
      <c r="AB456" s="11" t="str">
        <f t="shared" si="35"/>
        <v xml:space="preserve"> </v>
      </c>
      <c r="AC456" s="12" t="str">
        <f t="shared" si="36"/>
        <v xml:space="preserve"> </v>
      </c>
    </row>
    <row r="457" spans="1:29" ht="20.100000000000001" customHeight="1" x14ac:dyDescent="0.25">
      <c r="A457" s="16"/>
      <c r="B457" s="108"/>
      <c r="C457" s="109"/>
      <c r="D457" s="109"/>
      <c r="E457" s="109"/>
      <c r="F457" s="17"/>
      <c r="G457" s="17"/>
      <c r="H457" s="108"/>
      <c r="I457" s="107"/>
      <c r="J457" s="108"/>
      <c r="K457" s="107"/>
      <c r="L457" s="108"/>
      <c r="M457" s="110"/>
      <c r="N457" s="109"/>
      <c r="O457" s="108"/>
      <c r="P457" s="233"/>
      <c r="Q457" s="239"/>
      <c r="R457" s="19"/>
      <c r="S457" s="20"/>
      <c r="T457" s="9" t="str">
        <f t="shared" si="33"/>
        <v xml:space="preserve"> </v>
      </c>
      <c r="U457" s="18"/>
      <c r="V457" s="21"/>
      <c r="W457" s="22"/>
      <c r="X457" s="197" t="str">
        <f t="shared" si="34"/>
        <v xml:space="preserve"> </v>
      </c>
      <c r="Y457" s="246"/>
      <c r="Z457" s="247"/>
      <c r="AA457" s="20"/>
      <c r="AB457" s="11" t="str">
        <f t="shared" si="35"/>
        <v xml:space="preserve"> </v>
      </c>
      <c r="AC457" s="12" t="str">
        <f t="shared" si="36"/>
        <v xml:space="preserve"> </v>
      </c>
    </row>
    <row r="458" spans="1:29" ht="20.100000000000001" customHeight="1" x14ac:dyDescent="0.25">
      <c r="A458" s="16"/>
      <c r="B458" s="108"/>
      <c r="C458" s="109"/>
      <c r="D458" s="109"/>
      <c r="E458" s="109"/>
      <c r="F458" s="17"/>
      <c r="G458" s="17"/>
      <c r="H458" s="108"/>
      <c r="I458" s="107"/>
      <c r="J458" s="108"/>
      <c r="K458" s="107"/>
      <c r="L458" s="108"/>
      <c r="M458" s="110"/>
      <c r="N458" s="109"/>
      <c r="O458" s="108"/>
      <c r="P458" s="233"/>
      <c r="Q458" s="239"/>
      <c r="R458" s="19"/>
      <c r="S458" s="20"/>
      <c r="T458" s="9" t="str">
        <f t="shared" si="33"/>
        <v xml:space="preserve"> </v>
      </c>
      <c r="U458" s="18"/>
      <c r="V458" s="21"/>
      <c r="W458" s="22"/>
      <c r="X458" s="197" t="str">
        <f t="shared" si="34"/>
        <v xml:space="preserve"> </v>
      </c>
      <c r="Y458" s="246"/>
      <c r="Z458" s="247"/>
      <c r="AA458" s="20"/>
      <c r="AB458" s="11" t="str">
        <f t="shared" si="35"/>
        <v xml:space="preserve"> </v>
      </c>
      <c r="AC458" s="12" t="str">
        <f t="shared" si="36"/>
        <v xml:space="preserve"> </v>
      </c>
    </row>
    <row r="459" spans="1:29" ht="20.100000000000001" customHeight="1" x14ac:dyDescent="0.25">
      <c r="A459" s="16"/>
      <c r="B459" s="108"/>
      <c r="C459" s="109"/>
      <c r="D459" s="109"/>
      <c r="E459" s="109"/>
      <c r="F459" s="17"/>
      <c r="G459" s="17"/>
      <c r="H459" s="108"/>
      <c r="I459" s="107"/>
      <c r="J459" s="108"/>
      <c r="K459" s="107"/>
      <c r="L459" s="108"/>
      <c r="M459" s="110"/>
      <c r="N459" s="109"/>
      <c r="O459" s="108"/>
      <c r="P459" s="233"/>
      <c r="Q459" s="239"/>
      <c r="R459" s="19"/>
      <c r="S459" s="20"/>
      <c r="T459" s="9" t="str">
        <f t="shared" si="33"/>
        <v xml:space="preserve"> </v>
      </c>
      <c r="U459" s="18"/>
      <c r="V459" s="21"/>
      <c r="W459" s="22"/>
      <c r="X459" s="197" t="str">
        <f t="shared" si="34"/>
        <v xml:space="preserve"> </v>
      </c>
      <c r="Y459" s="246"/>
      <c r="Z459" s="247"/>
      <c r="AA459" s="20"/>
      <c r="AB459" s="11" t="str">
        <f t="shared" si="35"/>
        <v xml:space="preserve"> </v>
      </c>
      <c r="AC459" s="12" t="str">
        <f t="shared" si="36"/>
        <v xml:space="preserve"> </v>
      </c>
    </row>
    <row r="460" spans="1:29" ht="20.100000000000001" customHeight="1" x14ac:dyDescent="0.25">
      <c r="A460" s="16"/>
      <c r="B460" s="108"/>
      <c r="C460" s="109"/>
      <c r="D460" s="109"/>
      <c r="E460" s="109"/>
      <c r="F460" s="17"/>
      <c r="G460" s="17"/>
      <c r="H460" s="108"/>
      <c r="I460" s="107"/>
      <c r="J460" s="108"/>
      <c r="K460" s="107"/>
      <c r="L460" s="108"/>
      <c r="M460" s="110"/>
      <c r="N460" s="109"/>
      <c r="O460" s="108"/>
      <c r="P460" s="233"/>
      <c r="Q460" s="239"/>
      <c r="R460" s="19"/>
      <c r="S460" s="20"/>
      <c r="T460" s="9" t="str">
        <f t="shared" si="33"/>
        <v xml:space="preserve"> </v>
      </c>
      <c r="U460" s="18"/>
      <c r="V460" s="21"/>
      <c r="W460" s="22"/>
      <c r="X460" s="197" t="str">
        <f t="shared" si="34"/>
        <v xml:space="preserve"> </v>
      </c>
      <c r="Y460" s="246"/>
      <c r="Z460" s="247"/>
      <c r="AA460" s="20"/>
      <c r="AB460" s="11" t="str">
        <f t="shared" si="35"/>
        <v xml:space="preserve"> </v>
      </c>
      <c r="AC460" s="12" t="str">
        <f t="shared" si="36"/>
        <v xml:space="preserve"> </v>
      </c>
    </row>
    <row r="461" spans="1:29" ht="20.100000000000001" customHeight="1" x14ac:dyDescent="0.25">
      <c r="A461" s="16"/>
      <c r="B461" s="108"/>
      <c r="C461" s="109"/>
      <c r="D461" s="109"/>
      <c r="E461" s="109"/>
      <c r="F461" s="17"/>
      <c r="G461" s="17"/>
      <c r="H461" s="108"/>
      <c r="I461" s="107"/>
      <c r="J461" s="108"/>
      <c r="K461" s="107"/>
      <c r="L461" s="108"/>
      <c r="M461" s="110"/>
      <c r="N461" s="109"/>
      <c r="O461" s="108"/>
      <c r="P461" s="233"/>
      <c r="Q461" s="239"/>
      <c r="R461" s="19"/>
      <c r="S461" s="20"/>
      <c r="T461" s="9" t="str">
        <f t="shared" si="33"/>
        <v xml:space="preserve"> </v>
      </c>
      <c r="U461" s="18"/>
      <c r="V461" s="21"/>
      <c r="W461" s="22"/>
      <c r="X461" s="197" t="str">
        <f t="shared" si="34"/>
        <v xml:space="preserve"> </v>
      </c>
      <c r="Y461" s="246"/>
      <c r="Z461" s="247"/>
      <c r="AA461" s="20"/>
      <c r="AB461" s="11" t="str">
        <f t="shared" si="35"/>
        <v xml:space="preserve"> </v>
      </c>
      <c r="AC461" s="12" t="str">
        <f t="shared" si="36"/>
        <v xml:space="preserve"> </v>
      </c>
    </row>
    <row r="462" spans="1:29" ht="20.100000000000001" customHeight="1" x14ac:dyDescent="0.25">
      <c r="A462" s="16"/>
      <c r="B462" s="108"/>
      <c r="C462" s="109"/>
      <c r="D462" s="109"/>
      <c r="E462" s="109"/>
      <c r="F462" s="17"/>
      <c r="G462" s="17"/>
      <c r="H462" s="108"/>
      <c r="I462" s="107"/>
      <c r="J462" s="108"/>
      <c r="K462" s="107"/>
      <c r="L462" s="108"/>
      <c r="M462" s="110"/>
      <c r="N462" s="109"/>
      <c r="O462" s="108"/>
      <c r="P462" s="233"/>
      <c r="Q462" s="239"/>
      <c r="R462" s="19"/>
      <c r="S462" s="20"/>
      <c r="T462" s="9" t="str">
        <f t="shared" si="33"/>
        <v xml:space="preserve"> </v>
      </c>
      <c r="U462" s="18"/>
      <c r="V462" s="21"/>
      <c r="W462" s="22"/>
      <c r="X462" s="197" t="str">
        <f t="shared" si="34"/>
        <v xml:space="preserve"> </v>
      </c>
      <c r="Y462" s="246"/>
      <c r="Z462" s="247"/>
      <c r="AA462" s="20"/>
      <c r="AB462" s="11" t="str">
        <f t="shared" si="35"/>
        <v xml:space="preserve"> </v>
      </c>
      <c r="AC462" s="12" t="str">
        <f t="shared" si="36"/>
        <v xml:space="preserve"> </v>
      </c>
    </row>
    <row r="463" spans="1:29" ht="20.100000000000001" customHeight="1" x14ac:dyDescent="0.25">
      <c r="A463" s="16"/>
      <c r="B463" s="108"/>
      <c r="C463" s="109"/>
      <c r="D463" s="109"/>
      <c r="E463" s="109"/>
      <c r="F463" s="17"/>
      <c r="G463" s="17"/>
      <c r="H463" s="108"/>
      <c r="I463" s="107"/>
      <c r="J463" s="108"/>
      <c r="K463" s="107"/>
      <c r="L463" s="108"/>
      <c r="M463" s="110"/>
      <c r="N463" s="109"/>
      <c r="O463" s="108"/>
      <c r="P463" s="233"/>
      <c r="Q463" s="239"/>
      <c r="R463" s="19"/>
      <c r="S463" s="20"/>
      <c r="T463" s="9" t="str">
        <f t="shared" si="33"/>
        <v xml:space="preserve"> </v>
      </c>
      <c r="U463" s="18"/>
      <c r="V463" s="21"/>
      <c r="W463" s="22"/>
      <c r="X463" s="197" t="str">
        <f t="shared" si="34"/>
        <v xml:space="preserve"> </v>
      </c>
      <c r="Y463" s="246"/>
      <c r="Z463" s="247"/>
      <c r="AA463" s="20"/>
      <c r="AB463" s="11" t="str">
        <f t="shared" si="35"/>
        <v xml:space="preserve"> </v>
      </c>
      <c r="AC463" s="12" t="str">
        <f t="shared" si="36"/>
        <v xml:space="preserve"> </v>
      </c>
    </row>
    <row r="464" spans="1:29" ht="20.100000000000001" customHeight="1" x14ac:dyDescent="0.25">
      <c r="A464" s="16"/>
      <c r="B464" s="108"/>
      <c r="C464" s="109"/>
      <c r="D464" s="109"/>
      <c r="E464" s="109"/>
      <c r="F464" s="17"/>
      <c r="G464" s="17"/>
      <c r="H464" s="108"/>
      <c r="I464" s="107"/>
      <c r="J464" s="108"/>
      <c r="K464" s="107"/>
      <c r="L464" s="108"/>
      <c r="M464" s="110"/>
      <c r="N464" s="109"/>
      <c r="O464" s="108"/>
      <c r="P464" s="233"/>
      <c r="Q464" s="239"/>
      <c r="R464" s="19"/>
      <c r="S464" s="20"/>
      <c r="T464" s="9" t="str">
        <f t="shared" si="33"/>
        <v xml:space="preserve"> </v>
      </c>
      <c r="U464" s="18"/>
      <c r="V464" s="21"/>
      <c r="W464" s="22"/>
      <c r="X464" s="197" t="str">
        <f t="shared" si="34"/>
        <v xml:space="preserve"> </v>
      </c>
      <c r="Y464" s="246"/>
      <c r="Z464" s="247"/>
      <c r="AA464" s="20"/>
      <c r="AB464" s="11" t="str">
        <f t="shared" si="35"/>
        <v xml:space="preserve"> </v>
      </c>
      <c r="AC464" s="12" t="str">
        <f t="shared" si="36"/>
        <v xml:space="preserve"> </v>
      </c>
    </row>
    <row r="465" spans="1:29" ht="20.100000000000001" customHeight="1" x14ac:dyDescent="0.25">
      <c r="A465" s="16"/>
      <c r="B465" s="108"/>
      <c r="C465" s="109"/>
      <c r="D465" s="109"/>
      <c r="E465" s="109"/>
      <c r="F465" s="17"/>
      <c r="G465" s="17"/>
      <c r="H465" s="108"/>
      <c r="I465" s="107"/>
      <c r="J465" s="108"/>
      <c r="K465" s="107"/>
      <c r="L465" s="108"/>
      <c r="M465" s="110"/>
      <c r="N465" s="109"/>
      <c r="O465" s="108"/>
      <c r="P465" s="233"/>
      <c r="Q465" s="239"/>
      <c r="R465" s="19"/>
      <c r="S465" s="20"/>
      <c r="T465" s="9" t="str">
        <f t="shared" si="33"/>
        <v xml:space="preserve"> </v>
      </c>
      <c r="U465" s="18"/>
      <c r="V465" s="21"/>
      <c r="W465" s="22"/>
      <c r="X465" s="197" t="str">
        <f t="shared" si="34"/>
        <v xml:space="preserve"> </v>
      </c>
      <c r="Y465" s="246"/>
      <c r="Z465" s="247"/>
      <c r="AA465" s="20"/>
      <c r="AB465" s="11" t="str">
        <f t="shared" si="35"/>
        <v xml:space="preserve"> </v>
      </c>
      <c r="AC465" s="12" t="str">
        <f t="shared" si="36"/>
        <v xml:space="preserve"> </v>
      </c>
    </row>
    <row r="466" spans="1:29" ht="20.100000000000001" customHeight="1" x14ac:dyDescent="0.25">
      <c r="A466" s="16"/>
      <c r="B466" s="108"/>
      <c r="C466" s="109"/>
      <c r="D466" s="109"/>
      <c r="E466" s="109"/>
      <c r="F466" s="17"/>
      <c r="G466" s="17"/>
      <c r="H466" s="108"/>
      <c r="I466" s="107"/>
      <c r="J466" s="108"/>
      <c r="K466" s="107"/>
      <c r="L466" s="108"/>
      <c r="M466" s="110"/>
      <c r="N466" s="109"/>
      <c r="O466" s="108"/>
      <c r="P466" s="233"/>
      <c r="Q466" s="239"/>
      <c r="R466" s="19"/>
      <c r="S466" s="20"/>
      <c r="T466" s="9" t="str">
        <f t="shared" si="33"/>
        <v xml:space="preserve"> </v>
      </c>
      <c r="U466" s="18"/>
      <c r="V466" s="21"/>
      <c r="W466" s="22"/>
      <c r="X466" s="197" t="str">
        <f t="shared" si="34"/>
        <v xml:space="preserve"> </v>
      </c>
      <c r="Y466" s="246"/>
      <c r="Z466" s="247"/>
      <c r="AA466" s="20"/>
      <c r="AB466" s="11" t="str">
        <f t="shared" si="35"/>
        <v xml:space="preserve"> </v>
      </c>
      <c r="AC466" s="12" t="str">
        <f t="shared" si="36"/>
        <v xml:space="preserve"> </v>
      </c>
    </row>
    <row r="467" spans="1:29" ht="20.100000000000001" customHeight="1" x14ac:dyDescent="0.25">
      <c r="A467" s="16"/>
      <c r="B467" s="108"/>
      <c r="C467" s="109"/>
      <c r="D467" s="109"/>
      <c r="E467" s="109"/>
      <c r="F467" s="17"/>
      <c r="G467" s="17"/>
      <c r="H467" s="108"/>
      <c r="I467" s="107"/>
      <c r="J467" s="108"/>
      <c r="K467" s="107"/>
      <c r="L467" s="108"/>
      <c r="M467" s="110"/>
      <c r="N467" s="109"/>
      <c r="O467" s="108"/>
      <c r="P467" s="233"/>
      <c r="Q467" s="239"/>
      <c r="R467" s="19"/>
      <c r="S467" s="20"/>
      <c r="T467" s="9" t="str">
        <f t="shared" si="33"/>
        <v xml:space="preserve"> </v>
      </c>
      <c r="U467" s="18"/>
      <c r="V467" s="21"/>
      <c r="W467" s="22"/>
      <c r="X467" s="197" t="str">
        <f t="shared" si="34"/>
        <v xml:space="preserve"> </v>
      </c>
      <c r="Y467" s="246"/>
      <c r="Z467" s="247"/>
      <c r="AA467" s="20"/>
      <c r="AB467" s="11" t="str">
        <f t="shared" si="35"/>
        <v xml:space="preserve"> </v>
      </c>
      <c r="AC467" s="12" t="str">
        <f t="shared" si="36"/>
        <v xml:space="preserve"> </v>
      </c>
    </row>
    <row r="468" spans="1:29" ht="20.100000000000001" customHeight="1" x14ac:dyDescent="0.25">
      <c r="A468" s="16"/>
      <c r="B468" s="108"/>
      <c r="C468" s="109"/>
      <c r="D468" s="109"/>
      <c r="E468" s="109"/>
      <c r="F468" s="17"/>
      <c r="G468" s="17"/>
      <c r="H468" s="108"/>
      <c r="I468" s="107"/>
      <c r="J468" s="108"/>
      <c r="K468" s="107"/>
      <c r="L468" s="108"/>
      <c r="M468" s="110"/>
      <c r="N468" s="109"/>
      <c r="O468" s="108"/>
      <c r="P468" s="233"/>
      <c r="Q468" s="239"/>
      <c r="R468" s="19"/>
      <c r="S468" s="20"/>
      <c r="T468" s="9" t="str">
        <f t="shared" si="33"/>
        <v xml:space="preserve"> </v>
      </c>
      <c r="U468" s="18"/>
      <c r="V468" s="21"/>
      <c r="W468" s="22"/>
      <c r="X468" s="197" t="str">
        <f t="shared" si="34"/>
        <v xml:space="preserve"> </v>
      </c>
      <c r="Y468" s="246"/>
      <c r="Z468" s="247"/>
      <c r="AA468" s="20"/>
      <c r="AB468" s="11" t="str">
        <f t="shared" si="35"/>
        <v xml:space="preserve"> </v>
      </c>
      <c r="AC468" s="12" t="str">
        <f t="shared" si="36"/>
        <v xml:space="preserve"> </v>
      </c>
    </row>
    <row r="469" spans="1:29" ht="20.100000000000001" customHeight="1" x14ac:dyDescent="0.25">
      <c r="A469" s="16"/>
      <c r="B469" s="108"/>
      <c r="C469" s="109"/>
      <c r="D469" s="109"/>
      <c r="E469" s="109"/>
      <c r="F469" s="17"/>
      <c r="G469" s="17"/>
      <c r="H469" s="108"/>
      <c r="I469" s="107"/>
      <c r="J469" s="108"/>
      <c r="K469" s="107"/>
      <c r="L469" s="108"/>
      <c r="M469" s="110"/>
      <c r="N469" s="109"/>
      <c r="O469" s="108"/>
      <c r="P469" s="233"/>
      <c r="Q469" s="239"/>
      <c r="R469" s="19"/>
      <c r="S469" s="20"/>
      <c r="T469" s="9" t="str">
        <f t="shared" si="33"/>
        <v xml:space="preserve"> </v>
      </c>
      <c r="U469" s="18"/>
      <c r="V469" s="21"/>
      <c r="W469" s="22"/>
      <c r="X469" s="197" t="str">
        <f t="shared" si="34"/>
        <v xml:space="preserve"> </v>
      </c>
      <c r="Y469" s="246"/>
      <c r="Z469" s="247"/>
      <c r="AA469" s="20"/>
      <c r="AB469" s="11" t="str">
        <f t="shared" si="35"/>
        <v xml:space="preserve"> </v>
      </c>
      <c r="AC469" s="12" t="str">
        <f t="shared" si="36"/>
        <v xml:space="preserve"> </v>
      </c>
    </row>
    <row r="470" spans="1:29" ht="20.100000000000001" customHeight="1" x14ac:dyDescent="0.25">
      <c r="A470" s="16"/>
      <c r="B470" s="108"/>
      <c r="C470" s="109"/>
      <c r="D470" s="109"/>
      <c r="E470" s="109"/>
      <c r="F470" s="17"/>
      <c r="G470" s="17"/>
      <c r="H470" s="108"/>
      <c r="I470" s="107"/>
      <c r="J470" s="108"/>
      <c r="K470" s="107"/>
      <c r="L470" s="108"/>
      <c r="M470" s="110"/>
      <c r="N470" s="109"/>
      <c r="O470" s="108"/>
      <c r="P470" s="233"/>
      <c r="Q470" s="239"/>
      <c r="R470" s="19"/>
      <c r="S470" s="20"/>
      <c r="T470" s="9" t="str">
        <f t="shared" si="33"/>
        <v xml:space="preserve"> </v>
      </c>
      <c r="U470" s="18"/>
      <c r="V470" s="21"/>
      <c r="W470" s="22"/>
      <c r="X470" s="197" t="str">
        <f t="shared" si="34"/>
        <v xml:space="preserve"> </v>
      </c>
      <c r="Y470" s="246"/>
      <c r="Z470" s="247"/>
      <c r="AA470" s="20"/>
      <c r="AB470" s="11" t="str">
        <f t="shared" si="35"/>
        <v xml:space="preserve"> </v>
      </c>
      <c r="AC470" s="12" t="str">
        <f t="shared" si="36"/>
        <v xml:space="preserve"> </v>
      </c>
    </row>
    <row r="471" spans="1:29" ht="20.100000000000001" customHeight="1" x14ac:dyDescent="0.25">
      <c r="A471" s="16"/>
      <c r="B471" s="108"/>
      <c r="C471" s="109"/>
      <c r="D471" s="109"/>
      <c r="E471" s="109"/>
      <c r="F471" s="17"/>
      <c r="G471" s="17"/>
      <c r="H471" s="108"/>
      <c r="I471" s="107"/>
      <c r="J471" s="108"/>
      <c r="K471" s="107"/>
      <c r="L471" s="108"/>
      <c r="M471" s="110"/>
      <c r="N471" s="109"/>
      <c r="O471" s="108"/>
      <c r="P471" s="233"/>
      <c r="Q471" s="239"/>
      <c r="R471" s="19"/>
      <c r="S471" s="20"/>
      <c r="T471" s="9" t="str">
        <f t="shared" si="33"/>
        <v xml:space="preserve"> </v>
      </c>
      <c r="U471" s="18"/>
      <c r="V471" s="21"/>
      <c r="W471" s="22"/>
      <c r="X471" s="197" t="str">
        <f t="shared" si="34"/>
        <v xml:space="preserve"> </v>
      </c>
      <c r="Y471" s="246"/>
      <c r="Z471" s="247"/>
      <c r="AA471" s="20"/>
      <c r="AB471" s="11" t="str">
        <f t="shared" si="35"/>
        <v xml:space="preserve"> </v>
      </c>
      <c r="AC471" s="12" t="str">
        <f t="shared" si="36"/>
        <v xml:space="preserve"> </v>
      </c>
    </row>
    <row r="472" spans="1:29" ht="20.100000000000001" customHeight="1" x14ac:dyDescent="0.25">
      <c r="A472" s="16"/>
      <c r="B472" s="108"/>
      <c r="C472" s="109"/>
      <c r="D472" s="109"/>
      <c r="E472" s="109"/>
      <c r="F472" s="17"/>
      <c r="G472" s="17"/>
      <c r="H472" s="108"/>
      <c r="I472" s="107"/>
      <c r="J472" s="108"/>
      <c r="K472" s="107"/>
      <c r="L472" s="108"/>
      <c r="M472" s="110"/>
      <c r="N472" s="109"/>
      <c r="O472" s="108"/>
      <c r="P472" s="233"/>
      <c r="Q472" s="239"/>
      <c r="R472" s="19"/>
      <c r="S472" s="20"/>
      <c r="T472" s="9" t="str">
        <f t="shared" si="33"/>
        <v xml:space="preserve"> </v>
      </c>
      <c r="U472" s="18"/>
      <c r="V472" s="21"/>
      <c r="W472" s="22"/>
      <c r="X472" s="197" t="str">
        <f t="shared" si="34"/>
        <v xml:space="preserve"> </v>
      </c>
      <c r="Y472" s="246"/>
      <c r="Z472" s="247"/>
      <c r="AA472" s="20"/>
      <c r="AB472" s="11" t="str">
        <f t="shared" si="35"/>
        <v xml:space="preserve"> </v>
      </c>
      <c r="AC472" s="12" t="str">
        <f t="shared" si="36"/>
        <v xml:space="preserve"> </v>
      </c>
    </row>
    <row r="473" spans="1:29" ht="20.100000000000001" customHeight="1" x14ac:dyDescent="0.25">
      <c r="A473" s="16"/>
      <c r="B473" s="108"/>
      <c r="C473" s="109"/>
      <c r="D473" s="109"/>
      <c r="E473" s="109"/>
      <c r="F473" s="17"/>
      <c r="G473" s="17"/>
      <c r="H473" s="108"/>
      <c r="I473" s="107"/>
      <c r="J473" s="108"/>
      <c r="K473" s="107"/>
      <c r="L473" s="108"/>
      <c r="M473" s="110"/>
      <c r="N473" s="109"/>
      <c r="O473" s="108"/>
      <c r="P473" s="233"/>
      <c r="Q473" s="239"/>
      <c r="R473" s="19"/>
      <c r="S473" s="20"/>
      <c r="T473" s="9" t="str">
        <f t="shared" si="33"/>
        <v xml:space="preserve"> </v>
      </c>
      <c r="U473" s="18"/>
      <c r="V473" s="21"/>
      <c r="W473" s="22"/>
      <c r="X473" s="197" t="str">
        <f t="shared" si="34"/>
        <v xml:space="preserve"> </v>
      </c>
      <c r="Y473" s="246"/>
      <c r="Z473" s="247"/>
      <c r="AA473" s="20"/>
      <c r="AB473" s="11" t="str">
        <f t="shared" si="35"/>
        <v xml:space="preserve"> </v>
      </c>
      <c r="AC473" s="12" t="str">
        <f t="shared" si="36"/>
        <v xml:space="preserve"> </v>
      </c>
    </row>
    <row r="474" spans="1:29" ht="20.100000000000001" customHeight="1" x14ac:dyDescent="0.25">
      <c r="A474" s="16"/>
      <c r="B474" s="108"/>
      <c r="C474" s="109"/>
      <c r="D474" s="109"/>
      <c r="E474" s="109"/>
      <c r="F474" s="17"/>
      <c r="G474" s="17"/>
      <c r="H474" s="108"/>
      <c r="I474" s="107"/>
      <c r="J474" s="108"/>
      <c r="K474" s="107"/>
      <c r="L474" s="108"/>
      <c r="M474" s="110"/>
      <c r="N474" s="109"/>
      <c r="O474" s="108"/>
      <c r="P474" s="233"/>
      <c r="Q474" s="239"/>
      <c r="R474" s="19"/>
      <c r="S474" s="20"/>
      <c r="T474" s="9" t="str">
        <f t="shared" si="33"/>
        <v xml:space="preserve"> </v>
      </c>
      <c r="U474" s="18"/>
      <c r="V474" s="21"/>
      <c r="W474" s="22"/>
      <c r="X474" s="197" t="str">
        <f t="shared" si="34"/>
        <v xml:space="preserve"> </v>
      </c>
      <c r="Y474" s="246"/>
      <c r="Z474" s="247"/>
      <c r="AA474" s="20"/>
      <c r="AB474" s="11" t="str">
        <f t="shared" si="35"/>
        <v xml:space="preserve"> </v>
      </c>
      <c r="AC474" s="12" t="str">
        <f t="shared" si="36"/>
        <v xml:space="preserve"> </v>
      </c>
    </row>
    <row r="475" spans="1:29" ht="20.100000000000001" customHeight="1" x14ac:dyDescent="0.25">
      <c r="A475" s="16"/>
      <c r="B475" s="108"/>
      <c r="C475" s="109"/>
      <c r="D475" s="109"/>
      <c r="E475" s="109"/>
      <c r="F475" s="17"/>
      <c r="G475" s="17"/>
      <c r="H475" s="108"/>
      <c r="I475" s="107"/>
      <c r="J475" s="108"/>
      <c r="K475" s="107"/>
      <c r="L475" s="108"/>
      <c r="M475" s="110"/>
      <c r="N475" s="109"/>
      <c r="O475" s="108"/>
      <c r="P475" s="233"/>
      <c r="Q475" s="239"/>
      <c r="R475" s="19"/>
      <c r="S475" s="20"/>
      <c r="T475" s="9" t="str">
        <f t="shared" si="33"/>
        <v xml:space="preserve"> </v>
      </c>
      <c r="U475" s="18"/>
      <c r="V475" s="21"/>
      <c r="W475" s="22"/>
      <c r="X475" s="197" t="str">
        <f t="shared" si="34"/>
        <v xml:space="preserve"> </v>
      </c>
      <c r="Y475" s="246"/>
      <c r="Z475" s="247"/>
      <c r="AA475" s="20"/>
      <c r="AB475" s="11" t="str">
        <f t="shared" si="35"/>
        <v xml:space="preserve"> </v>
      </c>
      <c r="AC475" s="12" t="str">
        <f t="shared" si="36"/>
        <v xml:space="preserve"> </v>
      </c>
    </row>
    <row r="476" spans="1:29" ht="20.100000000000001" customHeight="1" x14ac:dyDescent="0.25">
      <c r="A476" s="16"/>
      <c r="B476" s="108"/>
      <c r="C476" s="109"/>
      <c r="D476" s="109"/>
      <c r="E476" s="109"/>
      <c r="F476" s="17"/>
      <c r="G476" s="17"/>
      <c r="H476" s="108"/>
      <c r="I476" s="107"/>
      <c r="J476" s="108"/>
      <c r="K476" s="107"/>
      <c r="L476" s="108"/>
      <c r="M476" s="110"/>
      <c r="N476" s="109"/>
      <c r="O476" s="108"/>
      <c r="P476" s="233"/>
      <c r="Q476" s="239"/>
      <c r="R476" s="19"/>
      <c r="S476" s="20"/>
      <c r="T476" s="9" t="str">
        <f t="shared" si="33"/>
        <v xml:space="preserve"> </v>
      </c>
      <c r="U476" s="18"/>
      <c r="V476" s="21"/>
      <c r="W476" s="22"/>
      <c r="X476" s="197" t="str">
        <f t="shared" si="34"/>
        <v xml:space="preserve"> </v>
      </c>
      <c r="Y476" s="246"/>
      <c r="Z476" s="247"/>
      <c r="AA476" s="20"/>
      <c r="AB476" s="11" t="str">
        <f t="shared" si="35"/>
        <v xml:space="preserve"> </v>
      </c>
      <c r="AC476" s="12" t="str">
        <f t="shared" si="36"/>
        <v xml:space="preserve"> </v>
      </c>
    </row>
    <row r="477" spans="1:29" ht="20.100000000000001" customHeight="1" x14ac:dyDescent="0.25">
      <c r="A477" s="16"/>
      <c r="B477" s="108"/>
      <c r="C477" s="109"/>
      <c r="D477" s="109"/>
      <c r="E477" s="109"/>
      <c r="F477" s="17"/>
      <c r="G477" s="17"/>
      <c r="H477" s="108"/>
      <c r="I477" s="107"/>
      <c r="J477" s="108"/>
      <c r="K477" s="107"/>
      <c r="L477" s="108"/>
      <c r="M477" s="110"/>
      <c r="N477" s="109"/>
      <c r="O477" s="108"/>
      <c r="P477" s="233"/>
      <c r="Q477" s="239"/>
      <c r="R477" s="19"/>
      <c r="S477" s="20"/>
      <c r="T477" s="9" t="str">
        <f t="shared" si="33"/>
        <v xml:space="preserve"> </v>
      </c>
      <c r="U477" s="18"/>
      <c r="V477" s="21"/>
      <c r="W477" s="22"/>
      <c r="X477" s="197" t="str">
        <f t="shared" si="34"/>
        <v xml:space="preserve"> </v>
      </c>
      <c r="Y477" s="246"/>
      <c r="Z477" s="247"/>
      <c r="AA477" s="20"/>
      <c r="AB477" s="11" t="str">
        <f t="shared" si="35"/>
        <v xml:space="preserve"> </v>
      </c>
      <c r="AC477" s="12" t="str">
        <f t="shared" si="36"/>
        <v xml:space="preserve"> </v>
      </c>
    </row>
    <row r="478" spans="1:29" ht="20.100000000000001" customHeight="1" x14ac:dyDescent="0.25">
      <c r="A478" s="16"/>
      <c r="B478" s="108"/>
      <c r="C478" s="109"/>
      <c r="D478" s="109"/>
      <c r="E478" s="109"/>
      <c r="F478" s="17"/>
      <c r="G478" s="17"/>
      <c r="H478" s="108"/>
      <c r="I478" s="107"/>
      <c r="J478" s="108"/>
      <c r="K478" s="107"/>
      <c r="L478" s="108"/>
      <c r="M478" s="110"/>
      <c r="N478" s="109"/>
      <c r="O478" s="108"/>
      <c r="P478" s="233"/>
      <c r="Q478" s="239"/>
      <c r="R478" s="19"/>
      <c r="S478" s="20"/>
      <c r="T478" s="9" t="str">
        <f t="shared" si="33"/>
        <v xml:space="preserve"> </v>
      </c>
      <c r="U478" s="18"/>
      <c r="V478" s="21"/>
      <c r="W478" s="22"/>
      <c r="X478" s="197" t="str">
        <f t="shared" si="34"/>
        <v xml:space="preserve"> </v>
      </c>
      <c r="Y478" s="246"/>
      <c r="Z478" s="247"/>
      <c r="AA478" s="20"/>
      <c r="AB478" s="11" t="str">
        <f t="shared" si="35"/>
        <v xml:space="preserve"> </v>
      </c>
      <c r="AC478" s="12" t="str">
        <f t="shared" si="36"/>
        <v xml:space="preserve"> </v>
      </c>
    </row>
    <row r="479" spans="1:29" ht="20.100000000000001" customHeight="1" x14ac:dyDescent="0.25">
      <c r="A479" s="16"/>
      <c r="B479" s="108"/>
      <c r="C479" s="109"/>
      <c r="D479" s="109"/>
      <c r="E479" s="109"/>
      <c r="F479" s="17"/>
      <c r="G479" s="17"/>
      <c r="H479" s="108"/>
      <c r="I479" s="107"/>
      <c r="J479" s="108"/>
      <c r="K479" s="107"/>
      <c r="L479" s="108"/>
      <c r="M479" s="110"/>
      <c r="N479" s="109"/>
      <c r="O479" s="108"/>
      <c r="P479" s="233"/>
      <c r="Q479" s="239"/>
      <c r="R479" s="19"/>
      <c r="S479" s="20"/>
      <c r="T479" s="9" t="str">
        <f t="shared" si="33"/>
        <v xml:space="preserve"> </v>
      </c>
      <c r="U479" s="18"/>
      <c r="V479" s="21"/>
      <c r="W479" s="22"/>
      <c r="X479" s="197" t="str">
        <f t="shared" si="34"/>
        <v xml:space="preserve"> </v>
      </c>
      <c r="Y479" s="246"/>
      <c r="Z479" s="247"/>
      <c r="AA479" s="20"/>
      <c r="AB479" s="11" t="str">
        <f t="shared" si="35"/>
        <v xml:space="preserve"> </v>
      </c>
      <c r="AC479" s="12" t="str">
        <f t="shared" si="36"/>
        <v xml:space="preserve"> </v>
      </c>
    </row>
    <row r="480" spans="1:29" ht="20.100000000000001" customHeight="1" x14ac:dyDescent="0.25">
      <c r="A480" s="16"/>
      <c r="B480" s="108"/>
      <c r="C480" s="109"/>
      <c r="D480" s="109"/>
      <c r="E480" s="109"/>
      <c r="F480" s="17"/>
      <c r="G480" s="17"/>
      <c r="H480" s="108"/>
      <c r="I480" s="107"/>
      <c r="J480" s="108"/>
      <c r="K480" s="107"/>
      <c r="L480" s="108"/>
      <c r="M480" s="110"/>
      <c r="N480" s="109"/>
      <c r="O480" s="108"/>
      <c r="P480" s="233"/>
      <c r="Q480" s="239"/>
      <c r="R480" s="19"/>
      <c r="S480" s="20"/>
      <c r="T480" s="9" t="str">
        <f t="shared" si="33"/>
        <v xml:space="preserve"> </v>
      </c>
      <c r="U480" s="18"/>
      <c r="V480" s="21"/>
      <c r="W480" s="22"/>
      <c r="X480" s="197" t="str">
        <f t="shared" si="34"/>
        <v xml:space="preserve"> </v>
      </c>
      <c r="Y480" s="246"/>
      <c r="Z480" s="247"/>
      <c r="AA480" s="20"/>
      <c r="AB480" s="11" t="str">
        <f t="shared" si="35"/>
        <v xml:space="preserve"> </v>
      </c>
      <c r="AC480" s="12" t="str">
        <f t="shared" si="36"/>
        <v xml:space="preserve"> </v>
      </c>
    </row>
    <row r="481" spans="1:29" ht="20.100000000000001" customHeight="1" x14ac:dyDescent="0.25">
      <c r="A481" s="16"/>
      <c r="B481" s="108"/>
      <c r="C481" s="109"/>
      <c r="D481" s="109"/>
      <c r="E481" s="109"/>
      <c r="F481" s="17"/>
      <c r="G481" s="17"/>
      <c r="H481" s="108"/>
      <c r="I481" s="107"/>
      <c r="J481" s="108"/>
      <c r="K481" s="107"/>
      <c r="L481" s="108"/>
      <c r="M481" s="110"/>
      <c r="N481" s="109"/>
      <c r="O481" s="108"/>
      <c r="P481" s="233"/>
      <c r="Q481" s="239"/>
      <c r="R481" s="19"/>
      <c r="S481" s="20"/>
      <c r="T481" s="9" t="str">
        <f t="shared" si="33"/>
        <v xml:space="preserve"> </v>
      </c>
      <c r="U481" s="18"/>
      <c r="V481" s="21"/>
      <c r="W481" s="22"/>
      <c r="X481" s="197" t="str">
        <f t="shared" si="34"/>
        <v xml:space="preserve"> </v>
      </c>
      <c r="Y481" s="246"/>
      <c r="Z481" s="247"/>
      <c r="AA481" s="20"/>
      <c r="AB481" s="11" t="str">
        <f t="shared" si="35"/>
        <v xml:space="preserve"> </v>
      </c>
      <c r="AC481" s="12" t="str">
        <f t="shared" si="36"/>
        <v xml:space="preserve"> </v>
      </c>
    </row>
    <row r="482" spans="1:29" ht="20.100000000000001" customHeight="1" x14ac:dyDescent="0.25">
      <c r="A482" s="16"/>
      <c r="B482" s="108"/>
      <c r="C482" s="109"/>
      <c r="D482" s="109"/>
      <c r="E482" s="109"/>
      <c r="F482" s="17"/>
      <c r="G482" s="17"/>
      <c r="H482" s="108"/>
      <c r="I482" s="107"/>
      <c r="J482" s="108"/>
      <c r="K482" s="107"/>
      <c r="L482" s="108"/>
      <c r="M482" s="110"/>
      <c r="N482" s="109"/>
      <c r="O482" s="108"/>
      <c r="P482" s="233"/>
      <c r="Q482" s="239"/>
      <c r="R482" s="19"/>
      <c r="S482" s="20"/>
      <c r="T482" s="9" t="str">
        <f t="shared" si="33"/>
        <v xml:space="preserve"> </v>
      </c>
      <c r="U482" s="18"/>
      <c r="V482" s="21"/>
      <c r="W482" s="22"/>
      <c r="X482" s="197" t="str">
        <f t="shared" si="34"/>
        <v xml:space="preserve"> </v>
      </c>
      <c r="Y482" s="246"/>
      <c r="Z482" s="247"/>
      <c r="AA482" s="20"/>
      <c r="AB482" s="11" t="str">
        <f t="shared" si="35"/>
        <v xml:space="preserve"> </v>
      </c>
      <c r="AC482" s="12" t="str">
        <f t="shared" si="36"/>
        <v xml:space="preserve"> </v>
      </c>
    </row>
    <row r="483" spans="1:29" ht="20.100000000000001" customHeight="1" x14ac:dyDescent="0.25">
      <c r="A483" s="16"/>
      <c r="B483" s="108"/>
      <c r="C483" s="109"/>
      <c r="D483" s="109"/>
      <c r="E483" s="109"/>
      <c r="F483" s="17"/>
      <c r="G483" s="17"/>
      <c r="H483" s="108"/>
      <c r="I483" s="107"/>
      <c r="J483" s="108"/>
      <c r="K483" s="107"/>
      <c r="L483" s="108"/>
      <c r="M483" s="110"/>
      <c r="N483" s="109"/>
      <c r="O483" s="108"/>
      <c r="P483" s="233"/>
      <c r="Q483" s="239"/>
      <c r="R483" s="19"/>
      <c r="S483" s="20"/>
      <c r="T483" s="9" t="str">
        <f t="shared" si="33"/>
        <v xml:space="preserve"> </v>
      </c>
      <c r="U483" s="18"/>
      <c r="V483" s="21"/>
      <c r="W483" s="22"/>
      <c r="X483" s="197" t="str">
        <f t="shared" si="34"/>
        <v xml:space="preserve"> </v>
      </c>
      <c r="Y483" s="246"/>
      <c r="Z483" s="247"/>
      <c r="AA483" s="20"/>
      <c r="AB483" s="11" t="str">
        <f t="shared" si="35"/>
        <v xml:space="preserve"> </v>
      </c>
      <c r="AC483" s="12" t="str">
        <f t="shared" si="36"/>
        <v xml:space="preserve"> </v>
      </c>
    </row>
    <row r="484" spans="1:29" ht="20.100000000000001" customHeight="1" x14ac:dyDescent="0.25">
      <c r="A484" s="16"/>
      <c r="B484" s="108"/>
      <c r="C484" s="109"/>
      <c r="D484" s="109"/>
      <c r="E484" s="109"/>
      <c r="F484" s="17"/>
      <c r="G484" s="17"/>
      <c r="H484" s="108"/>
      <c r="I484" s="107"/>
      <c r="J484" s="108"/>
      <c r="K484" s="107"/>
      <c r="L484" s="108"/>
      <c r="M484" s="110"/>
      <c r="N484" s="109"/>
      <c r="O484" s="108"/>
      <c r="P484" s="233"/>
      <c r="Q484" s="239"/>
      <c r="R484" s="19"/>
      <c r="S484" s="20"/>
      <c r="T484" s="9" t="str">
        <f t="shared" si="33"/>
        <v xml:space="preserve"> </v>
      </c>
      <c r="U484" s="18"/>
      <c r="V484" s="21"/>
      <c r="W484" s="22"/>
      <c r="X484" s="197" t="str">
        <f t="shared" si="34"/>
        <v xml:space="preserve"> </v>
      </c>
      <c r="Y484" s="246"/>
      <c r="Z484" s="247"/>
      <c r="AA484" s="20"/>
      <c r="AB484" s="11" t="str">
        <f t="shared" si="35"/>
        <v xml:space="preserve"> </v>
      </c>
      <c r="AC484" s="12" t="str">
        <f t="shared" si="36"/>
        <v xml:space="preserve"> </v>
      </c>
    </row>
    <row r="485" spans="1:29" ht="20.100000000000001" customHeight="1" x14ac:dyDescent="0.25">
      <c r="A485" s="16"/>
      <c r="B485" s="108"/>
      <c r="C485" s="109"/>
      <c r="D485" s="109"/>
      <c r="E485" s="109"/>
      <c r="F485" s="17"/>
      <c r="G485" s="17"/>
      <c r="H485" s="108"/>
      <c r="I485" s="107"/>
      <c r="J485" s="108"/>
      <c r="K485" s="107"/>
      <c r="L485" s="108"/>
      <c r="M485" s="110"/>
      <c r="N485" s="109"/>
      <c r="O485" s="108"/>
      <c r="P485" s="233"/>
      <c r="Q485" s="239"/>
      <c r="R485" s="19"/>
      <c r="S485" s="20"/>
      <c r="T485" s="9" t="str">
        <f t="shared" si="33"/>
        <v xml:space="preserve"> </v>
      </c>
      <c r="U485" s="18"/>
      <c r="V485" s="21"/>
      <c r="W485" s="22"/>
      <c r="X485" s="197" t="str">
        <f t="shared" si="34"/>
        <v xml:space="preserve"> </v>
      </c>
      <c r="Y485" s="246"/>
      <c r="Z485" s="247"/>
      <c r="AA485" s="20"/>
      <c r="AB485" s="11" t="str">
        <f t="shared" si="35"/>
        <v xml:space="preserve"> </v>
      </c>
      <c r="AC485" s="12" t="str">
        <f t="shared" si="36"/>
        <v xml:space="preserve"> </v>
      </c>
    </row>
    <row r="486" spans="1:29" ht="20.100000000000001" customHeight="1" x14ac:dyDescent="0.25">
      <c r="A486" s="16"/>
      <c r="B486" s="108"/>
      <c r="C486" s="109"/>
      <c r="D486" s="109"/>
      <c r="E486" s="109"/>
      <c r="F486" s="17"/>
      <c r="G486" s="17"/>
      <c r="H486" s="108"/>
      <c r="I486" s="107"/>
      <c r="J486" s="108"/>
      <c r="K486" s="107"/>
      <c r="L486" s="108"/>
      <c r="M486" s="110"/>
      <c r="N486" s="109"/>
      <c r="O486" s="108"/>
      <c r="P486" s="233"/>
      <c r="Q486" s="239"/>
      <c r="R486" s="19"/>
      <c r="S486" s="20"/>
      <c r="T486" s="9" t="str">
        <f t="shared" si="33"/>
        <v xml:space="preserve"> </v>
      </c>
      <c r="U486" s="18"/>
      <c r="V486" s="21"/>
      <c r="W486" s="22"/>
      <c r="X486" s="197" t="str">
        <f t="shared" si="34"/>
        <v xml:space="preserve"> </v>
      </c>
      <c r="Y486" s="246"/>
      <c r="Z486" s="247"/>
      <c r="AA486" s="20"/>
      <c r="AB486" s="11" t="str">
        <f t="shared" si="35"/>
        <v xml:space="preserve"> </v>
      </c>
      <c r="AC486" s="12" t="str">
        <f t="shared" si="36"/>
        <v xml:space="preserve"> </v>
      </c>
    </row>
    <row r="487" spans="1:29" ht="20.100000000000001" customHeight="1" x14ac:dyDescent="0.25">
      <c r="A487" s="16"/>
      <c r="B487" s="108"/>
      <c r="C487" s="109"/>
      <c r="D487" s="109"/>
      <c r="E487" s="109"/>
      <c r="F487" s="17"/>
      <c r="G487" s="17"/>
      <c r="H487" s="108"/>
      <c r="I487" s="107"/>
      <c r="J487" s="108"/>
      <c r="K487" s="107"/>
      <c r="L487" s="108"/>
      <c r="M487" s="110"/>
      <c r="N487" s="109"/>
      <c r="O487" s="108"/>
      <c r="P487" s="233"/>
      <c r="Q487" s="239"/>
      <c r="R487" s="19"/>
      <c r="S487" s="20"/>
      <c r="T487" s="9" t="str">
        <f t="shared" si="33"/>
        <v xml:space="preserve"> </v>
      </c>
      <c r="U487" s="18"/>
      <c r="V487" s="21"/>
      <c r="W487" s="22"/>
      <c r="X487" s="197" t="str">
        <f t="shared" si="34"/>
        <v xml:space="preserve"> </v>
      </c>
      <c r="Y487" s="246"/>
      <c r="Z487" s="247"/>
      <c r="AA487" s="20"/>
      <c r="AB487" s="11" t="str">
        <f t="shared" si="35"/>
        <v xml:space="preserve"> </v>
      </c>
      <c r="AC487" s="12" t="str">
        <f t="shared" si="36"/>
        <v xml:space="preserve"> </v>
      </c>
    </row>
    <row r="488" spans="1:29" ht="20.100000000000001" customHeight="1" x14ac:dyDescent="0.25">
      <c r="A488" s="16"/>
      <c r="B488" s="108"/>
      <c r="C488" s="109"/>
      <c r="D488" s="109"/>
      <c r="E488" s="109"/>
      <c r="F488" s="17"/>
      <c r="G488" s="17"/>
      <c r="H488" s="108"/>
      <c r="I488" s="107"/>
      <c r="J488" s="108"/>
      <c r="K488" s="107"/>
      <c r="L488" s="108"/>
      <c r="M488" s="110"/>
      <c r="N488" s="109"/>
      <c r="O488" s="108"/>
      <c r="P488" s="233"/>
      <c r="Q488" s="239"/>
      <c r="R488" s="19"/>
      <c r="S488" s="20"/>
      <c r="T488" s="9" t="str">
        <f t="shared" si="33"/>
        <v xml:space="preserve"> </v>
      </c>
      <c r="U488" s="18"/>
      <c r="V488" s="21"/>
      <c r="W488" s="22"/>
      <c r="X488" s="197" t="str">
        <f t="shared" si="34"/>
        <v xml:space="preserve"> </v>
      </c>
      <c r="Y488" s="246"/>
      <c r="Z488" s="247"/>
      <c r="AA488" s="20"/>
      <c r="AB488" s="11" t="str">
        <f t="shared" si="35"/>
        <v xml:space="preserve"> </v>
      </c>
      <c r="AC488" s="12" t="str">
        <f t="shared" si="36"/>
        <v xml:space="preserve"> </v>
      </c>
    </row>
    <row r="489" spans="1:29" ht="20.100000000000001" customHeight="1" x14ac:dyDescent="0.25">
      <c r="A489" s="16"/>
      <c r="B489" s="108"/>
      <c r="C489" s="109"/>
      <c r="D489" s="109"/>
      <c r="E489" s="109"/>
      <c r="F489" s="17"/>
      <c r="G489" s="17"/>
      <c r="H489" s="108"/>
      <c r="I489" s="107"/>
      <c r="J489" s="108"/>
      <c r="K489" s="107"/>
      <c r="L489" s="108"/>
      <c r="M489" s="110"/>
      <c r="N489" s="109"/>
      <c r="O489" s="108"/>
      <c r="P489" s="233"/>
      <c r="Q489" s="239"/>
      <c r="R489" s="19"/>
      <c r="S489" s="20"/>
      <c r="T489" s="9" t="str">
        <f t="shared" si="33"/>
        <v xml:space="preserve"> </v>
      </c>
      <c r="U489" s="18"/>
      <c r="V489" s="21"/>
      <c r="W489" s="22"/>
      <c r="X489" s="197" t="str">
        <f t="shared" si="34"/>
        <v xml:space="preserve"> </v>
      </c>
      <c r="Y489" s="246"/>
      <c r="Z489" s="247"/>
      <c r="AA489" s="20"/>
      <c r="AB489" s="11" t="str">
        <f t="shared" si="35"/>
        <v xml:space="preserve"> </v>
      </c>
      <c r="AC489" s="12" t="str">
        <f t="shared" si="36"/>
        <v xml:space="preserve"> </v>
      </c>
    </row>
    <row r="490" spans="1:29" ht="20.100000000000001" customHeight="1" x14ac:dyDescent="0.25">
      <c r="A490" s="16"/>
      <c r="B490" s="108"/>
      <c r="C490" s="109"/>
      <c r="D490" s="109"/>
      <c r="E490" s="109"/>
      <c r="F490" s="17"/>
      <c r="G490" s="17"/>
      <c r="H490" s="108"/>
      <c r="I490" s="107"/>
      <c r="J490" s="108"/>
      <c r="K490" s="107"/>
      <c r="L490" s="108"/>
      <c r="M490" s="110"/>
      <c r="N490" s="109"/>
      <c r="O490" s="108"/>
      <c r="P490" s="233"/>
      <c r="Q490" s="239"/>
      <c r="R490" s="19"/>
      <c r="S490" s="20"/>
      <c r="T490" s="9" t="str">
        <f t="shared" si="33"/>
        <v xml:space="preserve"> </v>
      </c>
      <c r="U490" s="18"/>
      <c r="V490" s="21"/>
      <c r="W490" s="22"/>
      <c r="X490" s="197" t="str">
        <f t="shared" si="34"/>
        <v xml:space="preserve"> </v>
      </c>
      <c r="Y490" s="246"/>
      <c r="Z490" s="247"/>
      <c r="AA490" s="20"/>
      <c r="AB490" s="11" t="str">
        <f t="shared" si="35"/>
        <v xml:space="preserve"> </v>
      </c>
      <c r="AC490" s="12" t="str">
        <f t="shared" si="36"/>
        <v xml:space="preserve"> </v>
      </c>
    </row>
    <row r="491" spans="1:29" ht="20.100000000000001" customHeight="1" x14ac:dyDescent="0.25">
      <c r="A491" s="16"/>
      <c r="B491" s="108"/>
      <c r="C491" s="109"/>
      <c r="D491" s="109"/>
      <c r="E491" s="109"/>
      <c r="F491" s="17"/>
      <c r="G491" s="17"/>
      <c r="H491" s="108"/>
      <c r="I491" s="107"/>
      <c r="J491" s="108"/>
      <c r="K491" s="107"/>
      <c r="L491" s="108"/>
      <c r="M491" s="110"/>
      <c r="N491" s="109"/>
      <c r="O491" s="108"/>
      <c r="P491" s="233"/>
      <c r="Q491" s="239"/>
      <c r="R491" s="19"/>
      <c r="S491" s="20"/>
      <c r="T491" s="9" t="str">
        <f t="shared" si="33"/>
        <v xml:space="preserve"> </v>
      </c>
      <c r="U491" s="18"/>
      <c r="V491" s="21"/>
      <c r="W491" s="22"/>
      <c r="X491" s="197" t="str">
        <f t="shared" si="34"/>
        <v xml:space="preserve"> </v>
      </c>
      <c r="Y491" s="246"/>
      <c r="Z491" s="247"/>
      <c r="AA491" s="20"/>
      <c r="AB491" s="11" t="str">
        <f t="shared" si="35"/>
        <v xml:space="preserve"> </v>
      </c>
      <c r="AC491" s="12" t="str">
        <f t="shared" si="36"/>
        <v xml:space="preserve"> </v>
      </c>
    </row>
    <row r="492" spans="1:29" ht="20.100000000000001" customHeight="1" x14ac:dyDescent="0.25">
      <c r="A492" s="16"/>
      <c r="B492" s="108"/>
      <c r="C492" s="109"/>
      <c r="D492" s="109"/>
      <c r="E492" s="109"/>
      <c r="F492" s="17"/>
      <c r="G492" s="17"/>
      <c r="H492" s="108"/>
      <c r="I492" s="107"/>
      <c r="J492" s="108"/>
      <c r="K492" s="107"/>
      <c r="L492" s="108"/>
      <c r="M492" s="110"/>
      <c r="N492" s="109"/>
      <c r="O492" s="108"/>
      <c r="P492" s="233"/>
      <c r="Q492" s="239"/>
      <c r="R492" s="19"/>
      <c r="S492" s="20"/>
      <c r="T492" s="9" t="str">
        <f t="shared" si="33"/>
        <v xml:space="preserve"> </v>
      </c>
      <c r="U492" s="18"/>
      <c r="V492" s="21"/>
      <c r="W492" s="22"/>
      <c r="X492" s="197" t="str">
        <f t="shared" si="34"/>
        <v xml:space="preserve"> </v>
      </c>
      <c r="Y492" s="246"/>
      <c r="Z492" s="247"/>
      <c r="AA492" s="20"/>
      <c r="AB492" s="11" t="str">
        <f t="shared" si="35"/>
        <v xml:space="preserve"> </v>
      </c>
      <c r="AC492" s="12" t="str">
        <f t="shared" si="36"/>
        <v xml:space="preserve"> </v>
      </c>
    </row>
    <row r="493" spans="1:29" ht="20.100000000000001" customHeight="1" x14ac:dyDescent="0.25">
      <c r="A493" s="16"/>
      <c r="B493" s="108"/>
      <c r="C493" s="109"/>
      <c r="D493" s="109"/>
      <c r="E493" s="109"/>
      <c r="F493" s="17"/>
      <c r="G493" s="17"/>
      <c r="H493" s="108"/>
      <c r="I493" s="107"/>
      <c r="J493" s="108"/>
      <c r="K493" s="107"/>
      <c r="L493" s="108"/>
      <c r="M493" s="110"/>
      <c r="N493" s="109"/>
      <c r="O493" s="108"/>
      <c r="P493" s="233"/>
      <c r="Q493" s="239"/>
      <c r="R493" s="19"/>
      <c r="S493" s="20"/>
      <c r="T493" s="9" t="str">
        <f t="shared" si="33"/>
        <v xml:space="preserve"> </v>
      </c>
      <c r="U493" s="18"/>
      <c r="V493" s="21"/>
      <c r="W493" s="22"/>
      <c r="X493" s="197" t="str">
        <f t="shared" si="34"/>
        <v xml:space="preserve"> </v>
      </c>
      <c r="Y493" s="246"/>
      <c r="Z493" s="247"/>
      <c r="AA493" s="20"/>
      <c r="AB493" s="11" t="str">
        <f t="shared" si="35"/>
        <v xml:space="preserve"> </v>
      </c>
      <c r="AC493" s="12" t="str">
        <f t="shared" si="36"/>
        <v xml:space="preserve"> </v>
      </c>
    </row>
    <row r="494" spans="1:29" ht="20.100000000000001" customHeight="1" x14ac:dyDescent="0.25">
      <c r="A494" s="16"/>
      <c r="B494" s="108"/>
      <c r="C494" s="109"/>
      <c r="D494" s="109"/>
      <c r="E494" s="109"/>
      <c r="F494" s="17"/>
      <c r="G494" s="17"/>
      <c r="H494" s="108"/>
      <c r="I494" s="107"/>
      <c r="J494" s="108"/>
      <c r="K494" s="107"/>
      <c r="L494" s="108"/>
      <c r="M494" s="110"/>
      <c r="N494" s="109"/>
      <c r="O494" s="108"/>
      <c r="P494" s="233"/>
      <c r="Q494" s="239"/>
      <c r="R494" s="19"/>
      <c r="S494" s="20"/>
      <c r="T494" s="9" t="str">
        <f t="shared" si="33"/>
        <v xml:space="preserve"> </v>
      </c>
      <c r="U494" s="18"/>
      <c r="V494" s="21"/>
      <c r="W494" s="22"/>
      <c r="X494" s="197" t="str">
        <f t="shared" si="34"/>
        <v xml:space="preserve"> </v>
      </c>
      <c r="Y494" s="246"/>
      <c r="Z494" s="247"/>
      <c r="AA494" s="20"/>
      <c r="AB494" s="11" t="str">
        <f t="shared" si="35"/>
        <v xml:space="preserve"> </v>
      </c>
      <c r="AC494" s="12" t="str">
        <f t="shared" si="36"/>
        <v xml:space="preserve"> </v>
      </c>
    </row>
    <row r="495" spans="1:29" ht="20.100000000000001" customHeight="1" x14ac:dyDescent="0.25">
      <c r="A495" s="16"/>
      <c r="B495" s="108"/>
      <c r="C495" s="109"/>
      <c r="D495" s="109"/>
      <c r="E495" s="109"/>
      <c r="F495" s="17"/>
      <c r="G495" s="17"/>
      <c r="H495" s="108"/>
      <c r="I495" s="107"/>
      <c r="J495" s="108"/>
      <c r="K495" s="107"/>
      <c r="L495" s="108"/>
      <c r="M495" s="110"/>
      <c r="N495" s="109"/>
      <c r="O495" s="108"/>
      <c r="P495" s="233"/>
      <c r="Q495" s="239"/>
      <c r="R495" s="19"/>
      <c r="S495" s="20"/>
      <c r="T495" s="9" t="str">
        <f t="shared" si="33"/>
        <v xml:space="preserve"> </v>
      </c>
      <c r="U495" s="18"/>
      <c r="V495" s="21"/>
      <c r="W495" s="22"/>
      <c r="X495" s="197" t="str">
        <f t="shared" si="34"/>
        <v xml:space="preserve"> </v>
      </c>
      <c r="Y495" s="246"/>
      <c r="Z495" s="247"/>
      <c r="AA495" s="20"/>
      <c r="AB495" s="11" t="str">
        <f t="shared" si="35"/>
        <v xml:space="preserve"> </v>
      </c>
      <c r="AC495" s="12" t="str">
        <f t="shared" si="36"/>
        <v xml:space="preserve"> </v>
      </c>
    </row>
    <row r="496" spans="1:29" ht="20.100000000000001" customHeight="1" x14ac:dyDescent="0.25">
      <c r="A496" s="16"/>
      <c r="B496" s="108"/>
      <c r="C496" s="109"/>
      <c r="D496" s="109"/>
      <c r="E496" s="109"/>
      <c r="F496" s="17"/>
      <c r="G496" s="17"/>
      <c r="H496" s="108"/>
      <c r="I496" s="107"/>
      <c r="J496" s="108"/>
      <c r="K496" s="107"/>
      <c r="L496" s="108"/>
      <c r="M496" s="110"/>
      <c r="N496" s="109"/>
      <c r="O496" s="108"/>
      <c r="P496" s="233"/>
      <c r="Q496" s="239"/>
      <c r="R496" s="19"/>
      <c r="S496" s="20"/>
      <c r="T496" s="9" t="str">
        <f t="shared" si="33"/>
        <v xml:space="preserve"> </v>
      </c>
      <c r="U496" s="18"/>
      <c r="V496" s="21"/>
      <c r="W496" s="22"/>
      <c r="X496" s="197" t="str">
        <f t="shared" si="34"/>
        <v xml:space="preserve"> </v>
      </c>
      <c r="Y496" s="246"/>
      <c r="Z496" s="247"/>
      <c r="AA496" s="20"/>
      <c r="AB496" s="11" t="str">
        <f t="shared" si="35"/>
        <v xml:space="preserve"> </v>
      </c>
      <c r="AC496" s="12" t="str">
        <f t="shared" si="36"/>
        <v xml:space="preserve"> </v>
      </c>
    </row>
    <row r="497" spans="1:29" ht="20.100000000000001" customHeight="1" x14ac:dyDescent="0.25">
      <c r="A497" s="16"/>
      <c r="B497" s="108"/>
      <c r="C497" s="109"/>
      <c r="D497" s="109"/>
      <c r="E497" s="109"/>
      <c r="F497" s="17"/>
      <c r="G497" s="17"/>
      <c r="H497" s="108"/>
      <c r="I497" s="107"/>
      <c r="J497" s="108"/>
      <c r="K497" s="107"/>
      <c r="L497" s="108"/>
      <c r="M497" s="110"/>
      <c r="N497" s="109"/>
      <c r="O497" s="108"/>
      <c r="P497" s="233"/>
      <c r="Q497" s="239"/>
      <c r="R497" s="19"/>
      <c r="S497" s="20"/>
      <c r="T497" s="9" t="str">
        <f t="shared" si="33"/>
        <v xml:space="preserve"> </v>
      </c>
      <c r="U497" s="18"/>
      <c r="V497" s="21"/>
      <c r="W497" s="22"/>
      <c r="X497" s="197" t="str">
        <f t="shared" si="34"/>
        <v xml:space="preserve"> </v>
      </c>
      <c r="Y497" s="246"/>
      <c r="Z497" s="247"/>
      <c r="AA497" s="20"/>
      <c r="AB497" s="11" t="str">
        <f t="shared" si="35"/>
        <v xml:space="preserve"> </v>
      </c>
      <c r="AC497" s="12" t="str">
        <f t="shared" si="36"/>
        <v xml:space="preserve"> </v>
      </c>
    </row>
    <row r="498" spans="1:29" ht="20.100000000000001" customHeight="1" x14ac:dyDescent="0.25">
      <c r="A498" s="16"/>
      <c r="B498" s="108"/>
      <c r="C498" s="109"/>
      <c r="D498" s="109"/>
      <c r="E498" s="109"/>
      <c r="F498" s="17"/>
      <c r="G498" s="17"/>
      <c r="H498" s="108"/>
      <c r="I498" s="107"/>
      <c r="J498" s="108"/>
      <c r="K498" s="107"/>
      <c r="L498" s="108"/>
      <c r="M498" s="110"/>
      <c r="N498" s="109"/>
      <c r="O498" s="108"/>
      <c r="P498" s="233"/>
      <c r="Q498" s="239"/>
      <c r="R498" s="19"/>
      <c r="S498" s="20"/>
      <c r="T498" s="9" t="str">
        <f t="shared" si="33"/>
        <v xml:space="preserve"> </v>
      </c>
      <c r="U498" s="18"/>
      <c r="V498" s="21"/>
      <c r="W498" s="22"/>
      <c r="X498" s="197" t="str">
        <f t="shared" si="34"/>
        <v xml:space="preserve"> </v>
      </c>
      <c r="Y498" s="246"/>
      <c r="Z498" s="247"/>
      <c r="AA498" s="20"/>
      <c r="AB498" s="11" t="str">
        <f t="shared" si="35"/>
        <v xml:space="preserve"> </v>
      </c>
      <c r="AC498" s="12" t="str">
        <f t="shared" si="36"/>
        <v xml:space="preserve"> </v>
      </c>
    </row>
    <row r="499" spans="1:29" ht="20.100000000000001" customHeight="1" x14ac:dyDescent="0.25">
      <c r="A499" s="16"/>
      <c r="B499" s="108"/>
      <c r="C499" s="109"/>
      <c r="D499" s="109"/>
      <c r="E499" s="109"/>
      <c r="F499" s="17"/>
      <c r="G499" s="17"/>
      <c r="H499" s="108"/>
      <c r="I499" s="107"/>
      <c r="J499" s="108"/>
      <c r="K499" s="107"/>
      <c r="L499" s="108"/>
      <c r="M499" s="110"/>
      <c r="N499" s="109"/>
      <c r="O499" s="108"/>
      <c r="P499" s="233"/>
      <c r="Q499" s="239"/>
      <c r="R499" s="19"/>
      <c r="S499" s="20"/>
      <c r="T499" s="9" t="str">
        <f t="shared" si="33"/>
        <v xml:space="preserve"> </v>
      </c>
      <c r="U499" s="18"/>
      <c r="V499" s="21"/>
      <c r="W499" s="22"/>
      <c r="X499" s="197" t="str">
        <f t="shared" si="34"/>
        <v xml:space="preserve"> </v>
      </c>
      <c r="Y499" s="246"/>
      <c r="Z499" s="247"/>
      <c r="AA499" s="20"/>
      <c r="AB499" s="11" t="str">
        <f t="shared" si="35"/>
        <v xml:space="preserve"> </v>
      </c>
      <c r="AC499" s="12" t="str">
        <f t="shared" si="36"/>
        <v xml:space="preserve"> </v>
      </c>
    </row>
    <row r="500" spans="1:29" ht="20.100000000000001" customHeight="1" x14ac:dyDescent="0.25">
      <c r="A500" s="16"/>
      <c r="B500" s="108"/>
      <c r="C500" s="109"/>
      <c r="D500" s="109"/>
      <c r="E500" s="109"/>
      <c r="F500" s="17"/>
      <c r="G500" s="17"/>
      <c r="H500" s="108"/>
      <c r="I500" s="107"/>
      <c r="J500" s="108"/>
      <c r="K500" s="107"/>
      <c r="L500" s="108"/>
      <c r="M500" s="110"/>
      <c r="N500" s="109"/>
      <c r="O500" s="108"/>
      <c r="P500" s="233"/>
      <c r="Q500" s="239"/>
      <c r="R500" s="19"/>
      <c r="S500" s="20"/>
      <c r="T500" s="9" t="str">
        <f t="shared" si="33"/>
        <v xml:space="preserve"> </v>
      </c>
      <c r="U500" s="18"/>
      <c r="V500" s="21"/>
      <c r="W500" s="22"/>
      <c r="X500" s="197" t="str">
        <f t="shared" si="34"/>
        <v xml:space="preserve"> </v>
      </c>
      <c r="Y500" s="246"/>
      <c r="Z500" s="247"/>
      <c r="AA500" s="20"/>
      <c r="AB500" s="11" t="str">
        <f t="shared" si="35"/>
        <v xml:space="preserve"> </v>
      </c>
      <c r="AC500" s="12" t="str">
        <f t="shared" si="36"/>
        <v xml:space="preserve"> </v>
      </c>
    </row>
    <row r="501" spans="1:29" ht="20.100000000000001" customHeight="1" x14ac:dyDescent="0.25">
      <c r="A501" s="16"/>
      <c r="B501" s="108"/>
      <c r="C501" s="109"/>
      <c r="D501" s="109"/>
      <c r="E501" s="109"/>
      <c r="F501" s="17"/>
      <c r="G501" s="17"/>
      <c r="H501" s="108"/>
      <c r="I501" s="107"/>
      <c r="J501" s="108"/>
      <c r="K501" s="107"/>
      <c r="L501" s="108"/>
      <c r="M501" s="110"/>
      <c r="N501" s="109"/>
      <c r="O501" s="108"/>
      <c r="P501" s="233"/>
      <c r="Q501" s="239"/>
      <c r="R501" s="19"/>
      <c r="S501" s="20"/>
      <c r="T501" s="9" t="str">
        <f t="shared" si="33"/>
        <v xml:space="preserve"> </v>
      </c>
      <c r="U501" s="18"/>
      <c r="V501" s="21"/>
      <c r="W501" s="22"/>
      <c r="X501" s="197" t="str">
        <f t="shared" si="34"/>
        <v xml:space="preserve"> </v>
      </c>
      <c r="Y501" s="246"/>
      <c r="Z501" s="247"/>
      <c r="AA501" s="20"/>
      <c r="AB501" s="11" t="str">
        <f t="shared" si="35"/>
        <v xml:space="preserve"> </v>
      </c>
      <c r="AC501" s="12" t="str">
        <f t="shared" si="36"/>
        <v xml:space="preserve"> </v>
      </c>
    </row>
    <row r="502" spans="1:29" ht="20.100000000000001" customHeight="1" x14ac:dyDescent="0.25">
      <c r="A502" s="16"/>
      <c r="B502" s="108"/>
      <c r="C502" s="109"/>
      <c r="D502" s="109"/>
      <c r="E502" s="109"/>
      <c r="F502" s="17"/>
      <c r="G502" s="17"/>
      <c r="H502" s="108"/>
      <c r="I502" s="107"/>
      <c r="J502" s="108"/>
      <c r="K502" s="107"/>
      <c r="L502" s="108"/>
      <c r="M502" s="110"/>
      <c r="N502" s="109"/>
      <c r="O502" s="108"/>
      <c r="P502" s="233"/>
      <c r="Q502" s="239"/>
      <c r="R502" s="19"/>
      <c r="S502" s="20"/>
      <c r="T502" s="9" t="str">
        <f t="shared" si="33"/>
        <v xml:space="preserve"> </v>
      </c>
      <c r="U502" s="18"/>
      <c r="V502" s="21"/>
      <c r="W502" s="22"/>
      <c r="X502" s="197" t="str">
        <f t="shared" si="34"/>
        <v xml:space="preserve"> </v>
      </c>
      <c r="Y502" s="246"/>
      <c r="Z502" s="247"/>
      <c r="AA502" s="20"/>
      <c r="AB502" s="11" t="str">
        <f t="shared" si="35"/>
        <v xml:space="preserve"> </v>
      </c>
      <c r="AC502" s="12" t="str">
        <f t="shared" si="36"/>
        <v xml:space="preserve"> </v>
      </c>
    </row>
    <row r="503" spans="1:29" ht="20.100000000000001" customHeight="1" x14ac:dyDescent="0.25">
      <c r="A503" s="16"/>
      <c r="B503" s="108"/>
      <c r="C503" s="109"/>
      <c r="D503" s="109"/>
      <c r="E503" s="109"/>
      <c r="F503" s="17"/>
      <c r="G503" s="17"/>
      <c r="H503" s="108"/>
      <c r="I503" s="107"/>
      <c r="J503" s="108"/>
      <c r="K503" s="107"/>
      <c r="L503" s="108"/>
      <c r="M503" s="110"/>
      <c r="N503" s="109"/>
      <c r="O503" s="108"/>
      <c r="P503" s="233"/>
      <c r="Q503" s="239"/>
      <c r="R503" s="19"/>
      <c r="S503" s="20"/>
      <c r="T503" s="9" t="str">
        <f t="shared" si="33"/>
        <v xml:space="preserve"> </v>
      </c>
      <c r="U503" s="18"/>
      <c r="V503" s="21"/>
      <c r="W503" s="22"/>
      <c r="X503" s="197" t="str">
        <f t="shared" si="34"/>
        <v xml:space="preserve"> </v>
      </c>
      <c r="Y503" s="246"/>
      <c r="Z503" s="247"/>
      <c r="AA503" s="20"/>
      <c r="AB503" s="11" t="str">
        <f t="shared" si="35"/>
        <v xml:space="preserve"> </v>
      </c>
      <c r="AC503" s="12" t="str">
        <f t="shared" si="36"/>
        <v xml:space="preserve"> </v>
      </c>
    </row>
    <row r="504" spans="1:29" ht="20.100000000000001" customHeight="1" x14ac:dyDescent="0.25">
      <c r="A504" s="16"/>
      <c r="B504" s="108"/>
      <c r="C504" s="109"/>
      <c r="D504" s="109"/>
      <c r="E504" s="109"/>
      <c r="F504" s="17"/>
      <c r="G504" s="17"/>
      <c r="H504" s="108"/>
      <c r="I504" s="107"/>
      <c r="J504" s="108"/>
      <c r="K504" s="107"/>
      <c r="L504" s="108"/>
      <c r="M504" s="110"/>
      <c r="N504" s="109"/>
      <c r="O504" s="108"/>
      <c r="P504" s="233"/>
      <c r="Q504" s="239"/>
      <c r="R504" s="19"/>
      <c r="S504" s="20"/>
      <c r="T504" s="9" t="str">
        <f t="shared" si="33"/>
        <v xml:space="preserve"> </v>
      </c>
      <c r="U504" s="18"/>
      <c r="V504" s="21"/>
      <c r="W504" s="22"/>
      <c r="X504" s="197" t="str">
        <f t="shared" si="34"/>
        <v xml:space="preserve"> </v>
      </c>
      <c r="Y504" s="246"/>
      <c r="Z504" s="247"/>
      <c r="AA504" s="20"/>
      <c r="AB504" s="11" t="str">
        <f t="shared" si="35"/>
        <v xml:space="preserve"> </v>
      </c>
      <c r="AC504" s="12" t="str">
        <f t="shared" si="36"/>
        <v xml:space="preserve"> </v>
      </c>
    </row>
    <row r="505" spans="1:29" ht="20.100000000000001" customHeight="1" x14ac:dyDescent="0.25">
      <c r="A505" s="16"/>
      <c r="B505" s="108"/>
      <c r="C505" s="109"/>
      <c r="D505" s="109"/>
      <c r="E505" s="109"/>
      <c r="F505" s="17"/>
      <c r="G505" s="17"/>
      <c r="H505" s="108"/>
      <c r="I505" s="107"/>
      <c r="J505" s="108"/>
      <c r="K505" s="107"/>
      <c r="L505" s="108"/>
      <c r="M505" s="110"/>
      <c r="N505" s="109"/>
      <c r="O505" s="108"/>
      <c r="P505" s="233"/>
      <c r="Q505" s="239"/>
      <c r="R505" s="19"/>
      <c r="S505" s="20"/>
      <c r="T505" s="9" t="str">
        <f t="shared" si="33"/>
        <v xml:space="preserve"> </v>
      </c>
      <c r="U505" s="18"/>
      <c r="V505" s="21"/>
      <c r="W505" s="22"/>
      <c r="X505" s="197" t="str">
        <f t="shared" si="34"/>
        <v xml:space="preserve"> </v>
      </c>
      <c r="Y505" s="246"/>
      <c r="Z505" s="247"/>
      <c r="AA505" s="20"/>
      <c r="AB505" s="11" t="str">
        <f t="shared" si="35"/>
        <v xml:space="preserve"> </v>
      </c>
      <c r="AC505" s="12" t="str">
        <f t="shared" si="36"/>
        <v xml:space="preserve"> </v>
      </c>
    </row>
    <row r="506" spans="1:29" ht="20.100000000000001" customHeight="1" x14ac:dyDescent="0.25">
      <c r="A506" s="16"/>
      <c r="B506" s="108"/>
      <c r="C506" s="109"/>
      <c r="D506" s="109"/>
      <c r="E506" s="109"/>
      <c r="F506" s="17"/>
      <c r="G506" s="17"/>
      <c r="H506" s="108"/>
      <c r="I506" s="107"/>
      <c r="J506" s="108"/>
      <c r="K506" s="107"/>
      <c r="L506" s="108"/>
      <c r="M506" s="110"/>
      <c r="N506" s="109"/>
      <c r="O506" s="108"/>
      <c r="P506" s="233"/>
      <c r="Q506" s="239"/>
      <c r="R506" s="19"/>
      <c r="S506" s="20"/>
      <c r="T506" s="9" t="str">
        <f t="shared" si="33"/>
        <v xml:space="preserve"> </v>
      </c>
      <c r="U506" s="18"/>
      <c r="V506" s="21"/>
      <c r="W506" s="22"/>
      <c r="X506" s="197" t="str">
        <f t="shared" si="34"/>
        <v xml:space="preserve"> </v>
      </c>
      <c r="Y506" s="246"/>
      <c r="Z506" s="247"/>
      <c r="AA506" s="20"/>
      <c r="AB506" s="11" t="str">
        <f t="shared" si="35"/>
        <v xml:space="preserve"> </v>
      </c>
      <c r="AC506" s="12" t="str">
        <f t="shared" si="36"/>
        <v xml:space="preserve"> </v>
      </c>
    </row>
    <row r="507" spans="1:29" ht="20.100000000000001" customHeight="1" x14ac:dyDescent="0.25">
      <c r="A507" s="16"/>
      <c r="B507" s="108"/>
      <c r="C507" s="109"/>
      <c r="D507" s="109"/>
      <c r="E507" s="109"/>
      <c r="F507" s="17"/>
      <c r="G507" s="17"/>
      <c r="H507" s="108"/>
      <c r="I507" s="107"/>
      <c r="J507" s="108"/>
      <c r="K507" s="107"/>
      <c r="L507" s="108"/>
      <c r="M507" s="110"/>
      <c r="N507" s="109"/>
      <c r="O507" s="108"/>
      <c r="P507" s="233"/>
      <c r="Q507" s="239"/>
      <c r="R507" s="19"/>
      <c r="S507" s="20"/>
      <c r="T507" s="9" t="str">
        <f t="shared" si="33"/>
        <v xml:space="preserve"> </v>
      </c>
      <c r="U507" s="18"/>
      <c r="V507" s="21"/>
      <c r="W507" s="22"/>
      <c r="X507" s="197" t="str">
        <f t="shared" si="34"/>
        <v xml:space="preserve"> </v>
      </c>
      <c r="Y507" s="246"/>
      <c r="Z507" s="247"/>
      <c r="AA507" s="20"/>
      <c r="AB507" s="11" t="str">
        <f t="shared" si="35"/>
        <v xml:space="preserve"> </v>
      </c>
      <c r="AC507" s="12" t="str">
        <f t="shared" si="36"/>
        <v xml:space="preserve"> </v>
      </c>
    </row>
    <row r="508" spans="1:29" ht="20.100000000000001" customHeight="1" x14ac:dyDescent="0.25">
      <c r="A508" s="16"/>
      <c r="B508" s="108"/>
      <c r="C508" s="109"/>
      <c r="D508" s="109"/>
      <c r="E508" s="109"/>
      <c r="F508" s="17"/>
      <c r="G508" s="17"/>
      <c r="H508" s="108"/>
      <c r="I508" s="107"/>
      <c r="J508" s="108"/>
      <c r="K508" s="107"/>
      <c r="L508" s="108"/>
      <c r="M508" s="110"/>
      <c r="N508" s="109"/>
      <c r="O508" s="108"/>
      <c r="P508" s="233"/>
      <c r="Q508" s="239"/>
      <c r="R508" s="19"/>
      <c r="S508" s="20"/>
      <c r="T508" s="9" t="str">
        <f t="shared" si="33"/>
        <v xml:space="preserve"> </v>
      </c>
      <c r="U508" s="18"/>
      <c r="V508" s="21"/>
      <c r="W508" s="22"/>
      <c r="X508" s="197" t="str">
        <f t="shared" si="34"/>
        <v xml:space="preserve"> </v>
      </c>
      <c r="Y508" s="246"/>
      <c r="Z508" s="247"/>
      <c r="AA508" s="20"/>
      <c r="AB508" s="11" t="str">
        <f t="shared" si="35"/>
        <v xml:space="preserve"> </v>
      </c>
      <c r="AC508" s="12" t="str">
        <f t="shared" si="36"/>
        <v xml:space="preserve"> </v>
      </c>
    </row>
    <row r="509" spans="1:29" ht="20.100000000000001" customHeight="1" x14ac:dyDescent="0.25">
      <c r="A509" s="16"/>
      <c r="B509" s="108"/>
      <c r="C509" s="109"/>
      <c r="D509" s="109"/>
      <c r="E509" s="109"/>
      <c r="F509" s="17"/>
      <c r="G509" s="17"/>
      <c r="H509" s="108"/>
      <c r="I509" s="107"/>
      <c r="J509" s="108"/>
      <c r="K509" s="107"/>
      <c r="L509" s="108"/>
      <c r="M509" s="110"/>
      <c r="N509" s="109"/>
      <c r="O509" s="108"/>
      <c r="P509" s="233"/>
      <c r="Q509" s="239"/>
      <c r="R509" s="19"/>
      <c r="S509" s="20"/>
      <c r="T509" s="9" t="str">
        <f t="shared" si="33"/>
        <v xml:space="preserve"> </v>
      </c>
      <c r="U509" s="18"/>
      <c r="V509" s="21"/>
      <c r="W509" s="22"/>
      <c r="X509" s="197" t="str">
        <f t="shared" si="34"/>
        <v xml:space="preserve"> </v>
      </c>
      <c r="Y509" s="246"/>
      <c r="Z509" s="247"/>
      <c r="AA509" s="20"/>
      <c r="AB509" s="11" t="str">
        <f t="shared" si="35"/>
        <v xml:space="preserve"> </v>
      </c>
      <c r="AC509" s="12" t="str">
        <f t="shared" si="36"/>
        <v xml:space="preserve"> </v>
      </c>
    </row>
    <row r="510" spans="1:29" ht="20.100000000000001" customHeight="1" x14ac:dyDescent="0.25">
      <c r="A510" s="16"/>
      <c r="B510" s="108"/>
      <c r="C510" s="109"/>
      <c r="D510" s="109"/>
      <c r="E510" s="109"/>
      <c r="F510" s="17"/>
      <c r="G510" s="17"/>
      <c r="H510" s="108"/>
      <c r="I510" s="107"/>
      <c r="J510" s="108"/>
      <c r="K510" s="107"/>
      <c r="L510" s="108"/>
      <c r="M510" s="110"/>
      <c r="N510" s="109"/>
      <c r="O510" s="108"/>
      <c r="P510" s="233"/>
      <c r="Q510" s="239"/>
      <c r="R510" s="19"/>
      <c r="S510" s="20"/>
      <c r="T510" s="9" t="str">
        <f t="shared" si="33"/>
        <v xml:space="preserve"> </v>
      </c>
      <c r="U510" s="18"/>
      <c r="V510" s="21"/>
      <c r="W510" s="22"/>
      <c r="X510" s="197" t="str">
        <f t="shared" si="34"/>
        <v xml:space="preserve"> </v>
      </c>
      <c r="Y510" s="246"/>
      <c r="Z510" s="247"/>
      <c r="AA510" s="20"/>
      <c r="AB510" s="11" t="str">
        <f t="shared" si="35"/>
        <v xml:space="preserve"> </v>
      </c>
      <c r="AC510" s="12" t="str">
        <f t="shared" si="36"/>
        <v xml:space="preserve"> </v>
      </c>
    </row>
    <row r="511" spans="1:29" ht="20.100000000000001" customHeight="1" x14ac:dyDescent="0.25">
      <c r="A511" s="16"/>
      <c r="B511" s="108"/>
      <c r="C511" s="109"/>
      <c r="D511" s="109"/>
      <c r="E511" s="109"/>
      <c r="F511" s="17"/>
      <c r="G511" s="17"/>
      <c r="H511" s="108"/>
      <c r="I511" s="107"/>
      <c r="J511" s="108"/>
      <c r="K511" s="107"/>
      <c r="L511" s="108"/>
      <c r="M511" s="110"/>
      <c r="N511" s="109"/>
      <c r="O511" s="108"/>
      <c r="P511" s="233"/>
      <c r="Q511" s="239"/>
      <c r="R511" s="19"/>
      <c r="S511" s="20"/>
      <c r="T511" s="9" t="str">
        <f t="shared" si="33"/>
        <v xml:space="preserve"> </v>
      </c>
      <c r="U511" s="18"/>
      <c r="V511" s="21"/>
      <c r="W511" s="22"/>
      <c r="X511" s="197" t="str">
        <f t="shared" si="34"/>
        <v xml:space="preserve"> </v>
      </c>
      <c r="Y511" s="246"/>
      <c r="Z511" s="247"/>
      <c r="AA511" s="20"/>
      <c r="AB511" s="11" t="str">
        <f t="shared" si="35"/>
        <v xml:space="preserve"> </v>
      </c>
      <c r="AC511" s="12" t="str">
        <f t="shared" si="36"/>
        <v xml:space="preserve"> </v>
      </c>
    </row>
    <row r="512" spans="1:29" ht="20.100000000000001" customHeight="1" x14ac:dyDescent="0.25">
      <c r="A512" s="16"/>
      <c r="B512" s="108"/>
      <c r="C512" s="109"/>
      <c r="D512" s="109"/>
      <c r="E512" s="109"/>
      <c r="F512" s="17"/>
      <c r="G512" s="17"/>
      <c r="H512" s="108"/>
      <c r="I512" s="107"/>
      <c r="J512" s="108"/>
      <c r="K512" s="107"/>
      <c r="L512" s="108"/>
      <c r="M512" s="110"/>
      <c r="N512" s="109"/>
      <c r="O512" s="108"/>
      <c r="P512" s="233"/>
      <c r="Q512" s="239"/>
      <c r="R512" s="19"/>
      <c r="S512" s="20"/>
      <c r="T512" s="9" t="str">
        <f t="shared" si="33"/>
        <v xml:space="preserve"> </v>
      </c>
      <c r="U512" s="18"/>
      <c r="V512" s="21"/>
      <c r="W512" s="22"/>
      <c r="X512" s="197" t="str">
        <f t="shared" si="34"/>
        <v xml:space="preserve"> </v>
      </c>
      <c r="Y512" s="246"/>
      <c r="Z512" s="247"/>
      <c r="AA512" s="20"/>
      <c r="AB512" s="11" t="str">
        <f t="shared" si="35"/>
        <v xml:space="preserve"> </v>
      </c>
      <c r="AC512" s="12" t="str">
        <f t="shared" si="36"/>
        <v xml:space="preserve"> </v>
      </c>
    </row>
    <row r="513" spans="1:29" ht="20.100000000000001" customHeight="1" x14ac:dyDescent="0.25">
      <c r="A513" s="16"/>
      <c r="B513" s="108"/>
      <c r="C513" s="109"/>
      <c r="D513" s="109"/>
      <c r="E513" s="109"/>
      <c r="F513" s="17"/>
      <c r="G513" s="17"/>
      <c r="H513" s="108"/>
      <c r="I513" s="107"/>
      <c r="J513" s="108"/>
      <c r="K513" s="107"/>
      <c r="L513" s="108"/>
      <c r="M513" s="110"/>
      <c r="N513" s="109"/>
      <c r="O513" s="108"/>
      <c r="P513" s="233"/>
      <c r="Q513" s="239"/>
      <c r="R513" s="19"/>
      <c r="S513" s="20"/>
      <c r="T513" s="9" t="str">
        <f t="shared" si="33"/>
        <v xml:space="preserve"> </v>
      </c>
      <c r="U513" s="18"/>
      <c r="V513" s="21"/>
      <c r="W513" s="22"/>
      <c r="X513" s="197" t="str">
        <f t="shared" si="34"/>
        <v xml:space="preserve"> </v>
      </c>
      <c r="Y513" s="246"/>
      <c r="Z513" s="247"/>
      <c r="AA513" s="20"/>
      <c r="AB513" s="11" t="str">
        <f t="shared" si="35"/>
        <v xml:space="preserve"> </v>
      </c>
      <c r="AC513" s="12" t="str">
        <f t="shared" si="36"/>
        <v xml:space="preserve"> </v>
      </c>
    </row>
    <row r="514" spans="1:29" ht="20.100000000000001" customHeight="1" x14ac:dyDescent="0.25">
      <c r="A514" s="16"/>
      <c r="B514" s="108"/>
      <c r="C514" s="109"/>
      <c r="D514" s="109"/>
      <c r="E514" s="109"/>
      <c r="F514" s="17"/>
      <c r="G514" s="17"/>
      <c r="H514" s="108"/>
      <c r="I514" s="107"/>
      <c r="J514" s="108"/>
      <c r="K514" s="107"/>
      <c r="L514" s="108"/>
      <c r="M514" s="110"/>
      <c r="N514" s="109"/>
      <c r="O514" s="108"/>
      <c r="P514" s="233"/>
      <c r="Q514" s="239"/>
      <c r="R514" s="19"/>
      <c r="S514" s="20"/>
      <c r="T514" s="9" t="str">
        <f t="shared" si="33"/>
        <v xml:space="preserve"> </v>
      </c>
      <c r="U514" s="18"/>
      <c r="V514" s="21"/>
      <c r="W514" s="22"/>
      <c r="X514" s="197" t="str">
        <f t="shared" si="34"/>
        <v xml:space="preserve"> </v>
      </c>
      <c r="Y514" s="246"/>
      <c r="Z514" s="247"/>
      <c r="AA514" s="20"/>
      <c r="AB514" s="11" t="str">
        <f t="shared" si="35"/>
        <v xml:space="preserve"> </v>
      </c>
      <c r="AC514" s="12" t="str">
        <f t="shared" si="36"/>
        <v xml:space="preserve"> </v>
      </c>
    </row>
    <row r="515" spans="1:29" ht="20.100000000000001" customHeight="1" x14ac:dyDescent="0.25">
      <c r="A515" s="16"/>
      <c r="B515" s="108"/>
      <c r="C515" s="109"/>
      <c r="D515" s="109"/>
      <c r="E515" s="109"/>
      <c r="F515" s="17"/>
      <c r="G515" s="17"/>
      <c r="H515" s="108"/>
      <c r="I515" s="107"/>
      <c r="J515" s="108"/>
      <c r="K515" s="107"/>
      <c r="L515" s="108"/>
      <c r="M515" s="110"/>
      <c r="N515" s="109"/>
      <c r="O515" s="108"/>
      <c r="P515" s="233"/>
      <c r="Q515" s="239"/>
      <c r="R515" s="19"/>
      <c r="S515" s="20"/>
      <c r="T515" s="9" t="str">
        <f t="shared" si="33"/>
        <v xml:space="preserve"> </v>
      </c>
      <c r="U515" s="18"/>
      <c r="V515" s="21"/>
      <c r="W515" s="22"/>
      <c r="X515" s="197" t="str">
        <f t="shared" si="34"/>
        <v xml:space="preserve"> </v>
      </c>
      <c r="Y515" s="246"/>
      <c r="Z515" s="247"/>
      <c r="AA515" s="20"/>
      <c r="AB515" s="11" t="str">
        <f t="shared" si="35"/>
        <v xml:space="preserve"> </v>
      </c>
      <c r="AC515" s="12" t="str">
        <f t="shared" si="36"/>
        <v xml:space="preserve"> </v>
      </c>
    </row>
    <row r="516" spans="1:29" ht="20.100000000000001" customHeight="1" x14ac:dyDescent="0.25">
      <c r="A516" s="16"/>
      <c r="B516" s="108"/>
      <c r="C516" s="109"/>
      <c r="D516" s="109"/>
      <c r="E516" s="109"/>
      <c r="F516" s="17"/>
      <c r="G516" s="17"/>
      <c r="H516" s="108"/>
      <c r="I516" s="107"/>
      <c r="J516" s="108"/>
      <c r="K516" s="107"/>
      <c r="L516" s="108"/>
      <c r="M516" s="110"/>
      <c r="N516" s="109"/>
      <c r="O516" s="108"/>
      <c r="P516" s="233"/>
      <c r="Q516" s="239"/>
      <c r="R516" s="19"/>
      <c r="S516" s="20"/>
      <c r="T516" s="9" t="str">
        <f t="shared" ref="T516:T579" si="37">IF(ISBLANK(R516)," ",((ROUND(S516,2)-(ROUND(R516,2)))/(ROUND(R516,2))))</f>
        <v xml:space="preserve"> </v>
      </c>
      <c r="U516" s="18"/>
      <c r="V516" s="21"/>
      <c r="W516" s="22"/>
      <c r="X516" s="197" t="str">
        <f t="shared" ref="X516:X579" si="38">IF(ISBLANK(R516)," ",((ROUND(W516,2))-(ROUND(R516,2)))/(ROUND(R516,2)))</f>
        <v xml:space="preserve"> </v>
      </c>
      <c r="Y516" s="246"/>
      <c r="Z516" s="247"/>
      <c r="AA516" s="20"/>
      <c r="AB516" s="11" t="str">
        <f t="shared" ref="AB516:AB579" si="39">IF(ISBLANK(R516)," ",((ROUND(AA516,2))-(ROUND(R516,2)))/(ROUND(R516,2)))</f>
        <v xml:space="preserve"> </v>
      </c>
      <c r="AC516" s="12" t="str">
        <f t="shared" ref="AC516:AC579" si="40">IF(ISBLANK(AA516)," ",(ROUND(AA516,2)/0.995))</f>
        <v xml:space="preserve"> </v>
      </c>
    </row>
    <row r="517" spans="1:29" ht="20.100000000000001" customHeight="1" x14ac:dyDescent="0.25">
      <c r="A517" s="16"/>
      <c r="B517" s="108"/>
      <c r="C517" s="109"/>
      <c r="D517" s="109"/>
      <c r="E517" s="109"/>
      <c r="F517" s="17"/>
      <c r="G517" s="17"/>
      <c r="H517" s="108"/>
      <c r="I517" s="107"/>
      <c r="J517" s="108"/>
      <c r="K517" s="107"/>
      <c r="L517" s="108"/>
      <c r="M517" s="110"/>
      <c r="N517" s="109"/>
      <c r="O517" s="108"/>
      <c r="P517" s="233"/>
      <c r="Q517" s="239"/>
      <c r="R517" s="19"/>
      <c r="S517" s="20"/>
      <c r="T517" s="9" t="str">
        <f t="shared" si="37"/>
        <v xml:space="preserve"> </v>
      </c>
      <c r="U517" s="18"/>
      <c r="V517" s="21"/>
      <c r="W517" s="22"/>
      <c r="X517" s="197" t="str">
        <f t="shared" si="38"/>
        <v xml:space="preserve"> </v>
      </c>
      <c r="Y517" s="246"/>
      <c r="Z517" s="247"/>
      <c r="AA517" s="20"/>
      <c r="AB517" s="11" t="str">
        <f t="shared" si="39"/>
        <v xml:space="preserve"> </v>
      </c>
      <c r="AC517" s="12" t="str">
        <f t="shared" si="40"/>
        <v xml:space="preserve"> </v>
      </c>
    </row>
    <row r="518" spans="1:29" ht="20.100000000000001" customHeight="1" x14ac:dyDescent="0.25">
      <c r="A518" s="16"/>
      <c r="B518" s="108"/>
      <c r="C518" s="109"/>
      <c r="D518" s="109"/>
      <c r="E518" s="109"/>
      <c r="F518" s="17"/>
      <c r="G518" s="17"/>
      <c r="H518" s="108"/>
      <c r="I518" s="107"/>
      <c r="J518" s="108"/>
      <c r="K518" s="107"/>
      <c r="L518" s="108"/>
      <c r="M518" s="110"/>
      <c r="N518" s="109"/>
      <c r="O518" s="108"/>
      <c r="P518" s="233"/>
      <c r="Q518" s="239"/>
      <c r="R518" s="19"/>
      <c r="S518" s="20"/>
      <c r="T518" s="9" t="str">
        <f t="shared" si="37"/>
        <v xml:space="preserve"> </v>
      </c>
      <c r="U518" s="18"/>
      <c r="V518" s="21"/>
      <c r="W518" s="22"/>
      <c r="X518" s="197" t="str">
        <f t="shared" si="38"/>
        <v xml:space="preserve"> </v>
      </c>
      <c r="Y518" s="246"/>
      <c r="Z518" s="247"/>
      <c r="AA518" s="20"/>
      <c r="AB518" s="11" t="str">
        <f t="shared" si="39"/>
        <v xml:space="preserve"> </v>
      </c>
      <c r="AC518" s="12" t="str">
        <f t="shared" si="40"/>
        <v xml:space="preserve"> </v>
      </c>
    </row>
    <row r="519" spans="1:29" ht="20.100000000000001" customHeight="1" x14ac:dyDescent="0.25">
      <c r="A519" s="16"/>
      <c r="B519" s="108"/>
      <c r="C519" s="109"/>
      <c r="D519" s="109"/>
      <c r="E519" s="109"/>
      <c r="F519" s="17"/>
      <c r="G519" s="17"/>
      <c r="H519" s="108"/>
      <c r="I519" s="107"/>
      <c r="J519" s="108"/>
      <c r="K519" s="107"/>
      <c r="L519" s="108"/>
      <c r="M519" s="110"/>
      <c r="N519" s="109"/>
      <c r="O519" s="108"/>
      <c r="P519" s="233"/>
      <c r="Q519" s="239"/>
      <c r="R519" s="19"/>
      <c r="S519" s="20"/>
      <c r="T519" s="9" t="str">
        <f t="shared" si="37"/>
        <v xml:space="preserve"> </v>
      </c>
      <c r="U519" s="18"/>
      <c r="V519" s="21"/>
      <c r="W519" s="22"/>
      <c r="X519" s="197" t="str">
        <f t="shared" si="38"/>
        <v xml:space="preserve"> </v>
      </c>
      <c r="Y519" s="246"/>
      <c r="Z519" s="247"/>
      <c r="AA519" s="20"/>
      <c r="AB519" s="11" t="str">
        <f t="shared" si="39"/>
        <v xml:space="preserve"> </v>
      </c>
      <c r="AC519" s="12" t="str">
        <f t="shared" si="40"/>
        <v xml:space="preserve"> </v>
      </c>
    </row>
    <row r="520" spans="1:29" ht="20.100000000000001" customHeight="1" x14ac:dyDescent="0.25">
      <c r="A520" s="16"/>
      <c r="B520" s="108"/>
      <c r="C520" s="109"/>
      <c r="D520" s="109"/>
      <c r="E520" s="109"/>
      <c r="F520" s="17"/>
      <c r="G520" s="17"/>
      <c r="H520" s="108"/>
      <c r="I520" s="107"/>
      <c r="J520" s="108"/>
      <c r="K520" s="107"/>
      <c r="L520" s="108"/>
      <c r="M520" s="110"/>
      <c r="N520" s="109"/>
      <c r="O520" s="108"/>
      <c r="P520" s="233"/>
      <c r="Q520" s="239"/>
      <c r="R520" s="19"/>
      <c r="S520" s="20"/>
      <c r="T520" s="9" t="str">
        <f t="shared" si="37"/>
        <v xml:space="preserve"> </v>
      </c>
      <c r="U520" s="18"/>
      <c r="V520" s="21"/>
      <c r="W520" s="22"/>
      <c r="X520" s="197" t="str">
        <f t="shared" si="38"/>
        <v xml:space="preserve"> </v>
      </c>
      <c r="Y520" s="246"/>
      <c r="Z520" s="247"/>
      <c r="AA520" s="20"/>
      <c r="AB520" s="11" t="str">
        <f t="shared" si="39"/>
        <v xml:space="preserve"> </v>
      </c>
      <c r="AC520" s="12" t="str">
        <f t="shared" si="40"/>
        <v xml:space="preserve"> </v>
      </c>
    </row>
    <row r="521" spans="1:29" ht="20.100000000000001" customHeight="1" x14ac:dyDescent="0.25">
      <c r="A521" s="16"/>
      <c r="B521" s="108"/>
      <c r="C521" s="109"/>
      <c r="D521" s="109"/>
      <c r="E521" s="109"/>
      <c r="F521" s="17"/>
      <c r="G521" s="17"/>
      <c r="H521" s="108"/>
      <c r="I521" s="107"/>
      <c r="J521" s="108"/>
      <c r="K521" s="107"/>
      <c r="L521" s="108"/>
      <c r="M521" s="110"/>
      <c r="N521" s="109"/>
      <c r="O521" s="108"/>
      <c r="P521" s="233"/>
      <c r="Q521" s="239"/>
      <c r="R521" s="19"/>
      <c r="S521" s="20"/>
      <c r="T521" s="9" t="str">
        <f t="shared" si="37"/>
        <v xml:space="preserve"> </v>
      </c>
      <c r="U521" s="18"/>
      <c r="V521" s="21"/>
      <c r="W521" s="22"/>
      <c r="X521" s="197" t="str">
        <f t="shared" si="38"/>
        <v xml:space="preserve"> </v>
      </c>
      <c r="Y521" s="246"/>
      <c r="Z521" s="247"/>
      <c r="AA521" s="20"/>
      <c r="AB521" s="11" t="str">
        <f t="shared" si="39"/>
        <v xml:space="preserve"> </v>
      </c>
      <c r="AC521" s="12" t="str">
        <f t="shared" si="40"/>
        <v xml:space="preserve"> </v>
      </c>
    </row>
    <row r="522" spans="1:29" ht="20.100000000000001" customHeight="1" x14ac:dyDescent="0.25">
      <c r="A522" s="16"/>
      <c r="B522" s="108"/>
      <c r="C522" s="109"/>
      <c r="D522" s="109"/>
      <c r="E522" s="109"/>
      <c r="F522" s="17"/>
      <c r="G522" s="17"/>
      <c r="H522" s="108"/>
      <c r="I522" s="107"/>
      <c r="J522" s="108"/>
      <c r="K522" s="107"/>
      <c r="L522" s="108"/>
      <c r="M522" s="110"/>
      <c r="N522" s="109"/>
      <c r="O522" s="108"/>
      <c r="P522" s="233"/>
      <c r="Q522" s="239"/>
      <c r="R522" s="19"/>
      <c r="S522" s="20"/>
      <c r="T522" s="9" t="str">
        <f t="shared" si="37"/>
        <v xml:space="preserve"> </v>
      </c>
      <c r="U522" s="18"/>
      <c r="V522" s="21"/>
      <c r="W522" s="22"/>
      <c r="X522" s="197" t="str">
        <f t="shared" si="38"/>
        <v xml:space="preserve"> </v>
      </c>
      <c r="Y522" s="246"/>
      <c r="Z522" s="247"/>
      <c r="AA522" s="20"/>
      <c r="AB522" s="11" t="str">
        <f t="shared" si="39"/>
        <v xml:space="preserve"> </v>
      </c>
      <c r="AC522" s="12" t="str">
        <f t="shared" si="40"/>
        <v xml:space="preserve"> </v>
      </c>
    </row>
    <row r="523" spans="1:29" ht="20.100000000000001" customHeight="1" x14ac:dyDescent="0.25">
      <c r="A523" s="16"/>
      <c r="B523" s="108"/>
      <c r="C523" s="109"/>
      <c r="D523" s="109"/>
      <c r="E523" s="109"/>
      <c r="F523" s="17"/>
      <c r="G523" s="17"/>
      <c r="H523" s="108"/>
      <c r="I523" s="107"/>
      <c r="J523" s="108"/>
      <c r="K523" s="107"/>
      <c r="L523" s="108"/>
      <c r="M523" s="110"/>
      <c r="N523" s="109"/>
      <c r="O523" s="108"/>
      <c r="P523" s="233"/>
      <c r="Q523" s="239"/>
      <c r="R523" s="19"/>
      <c r="S523" s="20"/>
      <c r="T523" s="9" t="str">
        <f t="shared" si="37"/>
        <v xml:space="preserve"> </v>
      </c>
      <c r="U523" s="18"/>
      <c r="V523" s="21"/>
      <c r="W523" s="22"/>
      <c r="X523" s="197" t="str">
        <f t="shared" si="38"/>
        <v xml:space="preserve"> </v>
      </c>
      <c r="Y523" s="246"/>
      <c r="Z523" s="247"/>
      <c r="AA523" s="20"/>
      <c r="AB523" s="11" t="str">
        <f t="shared" si="39"/>
        <v xml:space="preserve"> </v>
      </c>
      <c r="AC523" s="12" t="str">
        <f t="shared" si="40"/>
        <v xml:space="preserve"> </v>
      </c>
    </row>
    <row r="524" spans="1:29" ht="20.100000000000001" customHeight="1" x14ac:dyDescent="0.25">
      <c r="A524" s="16"/>
      <c r="B524" s="108"/>
      <c r="C524" s="109"/>
      <c r="D524" s="109"/>
      <c r="E524" s="109"/>
      <c r="F524" s="17"/>
      <c r="G524" s="17"/>
      <c r="H524" s="108"/>
      <c r="I524" s="107"/>
      <c r="J524" s="108"/>
      <c r="K524" s="107"/>
      <c r="L524" s="108"/>
      <c r="M524" s="110"/>
      <c r="N524" s="109"/>
      <c r="O524" s="108"/>
      <c r="P524" s="233"/>
      <c r="Q524" s="239"/>
      <c r="R524" s="19"/>
      <c r="S524" s="20"/>
      <c r="T524" s="9" t="str">
        <f t="shared" si="37"/>
        <v xml:space="preserve"> </v>
      </c>
      <c r="U524" s="18"/>
      <c r="V524" s="21"/>
      <c r="W524" s="22"/>
      <c r="X524" s="197" t="str">
        <f t="shared" si="38"/>
        <v xml:space="preserve"> </v>
      </c>
      <c r="Y524" s="246"/>
      <c r="Z524" s="247"/>
      <c r="AA524" s="20"/>
      <c r="AB524" s="11" t="str">
        <f t="shared" si="39"/>
        <v xml:space="preserve"> </v>
      </c>
      <c r="AC524" s="12" t="str">
        <f t="shared" si="40"/>
        <v xml:space="preserve"> </v>
      </c>
    </row>
    <row r="525" spans="1:29" ht="20.100000000000001" customHeight="1" x14ac:dyDescent="0.25">
      <c r="A525" s="16"/>
      <c r="B525" s="108"/>
      <c r="C525" s="109"/>
      <c r="D525" s="109"/>
      <c r="E525" s="109"/>
      <c r="F525" s="17"/>
      <c r="G525" s="17"/>
      <c r="H525" s="108"/>
      <c r="I525" s="107"/>
      <c r="J525" s="108"/>
      <c r="K525" s="107"/>
      <c r="L525" s="108"/>
      <c r="M525" s="110"/>
      <c r="N525" s="109"/>
      <c r="O525" s="108"/>
      <c r="P525" s="233"/>
      <c r="Q525" s="239"/>
      <c r="R525" s="19"/>
      <c r="S525" s="20"/>
      <c r="T525" s="9" t="str">
        <f t="shared" si="37"/>
        <v xml:space="preserve"> </v>
      </c>
      <c r="U525" s="18"/>
      <c r="V525" s="21"/>
      <c r="W525" s="22"/>
      <c r="X525" s="197" t="str">
        <f t="shared" si="38"/>
        <v xml:space="preserve"> </v>
      </c>
      <c r="Y525" s="246"/>
      <c r="Z525" s="247"/>
      <c r="AA525" s="20"/>
      <c r="AB525" s="11" t="str">
        <f t="shared" si="39"/>
        <v xml:space="preserve"> </v>
      </c>
      <c r="AC525" s="12" t="str">
        <f t="shared" si="40"/>
        <v xml:space="preserve"> </v>
      </c>
    </row>
    <row r="526" spans="1:29" ht="20.100000000000001" customHeight="1" x14ac:dyDescent="0.25">
      <c r="A526" s="16"/>
      <c r="B526" s="108"/>
      <c r="C526" s="109"/>
      <c r="D526" s="109"/>
      <c r="E526" s="109"/>
      <c r="F526" s="17"/>
      <c r="G526" s="17"/>
      <c r="H526" s="108"/>
      <c r="I526" s="107"/>
      <c r="J526" s="108"/>
      <c r="K526" s="107"/>
      <c r="L526" s="108"/>
      <c r="M526" s="110"/>
      <c r="N526" s="109"/>
      <c r="O526" s="108"/>
      <c r="P526" s="233"/>
      <c r="Q526" s="239"/>
      <c r="R526" s="19"/>
      <c r="S526" s="20"/>
      <c r="T526" s="9" t="str">
        <f t="shared" si="37"/>
        <v xml:space="preserve"> </v>
      </c>
      <c r="U526" s="18"/>
      <c r="V526" s="21"/>
      <c r="W526" s="22"/>
      <c r="X526" s="197" t="str">
        <f t="shared" si="38"/>
        <v xml:space="preserve"> </v>
      </c>
      <c r="Y526" s="246"/>
      <c r="Z526" s="247"/>
      <c r="AA526" s="20"/>
      <c r="AB526" s="11" t="str">
        <f t="shared" si="39"/>
        <v xml:space="preserve"> </v>
      </c>
      <c r="AC526" s="12" t="str">
        <f t="shared" si="40"/>
        <v xml:space="preserve"> </v>
      </c>
    </row>
    <row r="527" spans="1:29" ht="20.100000000000001" customHeight="1" x14ac:dyDescent="0.25">
      <c r="A527" s="16"/>
      <c r="B527" s="108"/>
      <c r="C527" s="109"/>
      <c r="D527" s="109"/>
      <c r="E527" s="109"/>
      <c r="F527" s="17"/>
      <c r="G527" s="17"/>
      <c r="H527" s="108"/>
      <c r="I527" s="107"/>
      <c r="J527" s="108"/>
      <c r="K527" s="107"/>
      <c r="L527" s="108"/>
      <c r="M527" s="110"/>
      <c r="N527" s="109"/>
      <c r="O527" s="108"/>
      <c r="P527" s="233"/>
      <c r="Q527" s="239"/>
      <c r="R527" s="19"/>
      <c r="S527" s="20"/>
      <c r="T527" s="9" t="str">
        <f t="shared" si="37"/>
        <v xml:space="preserve"> </v>
      </c>
      <c r="U527" s="18"/>
      <c r="V527" s="21"/>
      <c r="W527" s="22"/>
      <c r="X527" s="197" t="str">
        <f t="shared" si="38"/>
        <v xml:space="preserve"> </v>
      </c>
      <c r="Y527" s="246"/>
      <c r="Z527" s="247"/>
      <c r="AA527" s="20"/>
      <c r="AB527" s="11" t="str">
        <f t="shared" si="39"/>
        <v xml:space="preserve"> </v>
      </c>
      <c r="AC527" s="12" t="str">
        <f t="shared" si="40"/>
        <v xml:space="preserve"> </v>
      </c>
    </row>
    <row r="528" spans="1:29" ht="20.100000000000001" customHeight="1" x14ac:dyDescent="0.25">
      <c r="A528" s="16"/>
      <c r="B528" s="108"/>
      <c r="C528" s="109"/>
      <c r="D528" s="109"/>
      <c r="E528" s="109"/>
      <c r="F528" s="17"/>
      <c r="G528" s="17"/>
      <c r="H528" s="108"/>
      <c r="I528" s="107"/>
      <c r="J528" s="108"/>
      <c r="K528" s="107"/>
      <c r="L528" s="108"/>
      <c r="M528" s="110"/>
      <c r="N528" s="109"/>
      <c r="O528" s="108"/>
      <c r="P528" s="233"/>
      <c r="Q528" s="239"/>
      <c r="R528" s="19"/>
      <c r="S528" s="20"/>
      <c r="T528" s="9" t="str">
        <f t="shared" si="37"/>
        <v xml:space="preserve"> </v>
      </c>
      <c r="U528" s="18"/>
      <c r="V528" s="21"/>
      <c r="W528" s="22"/>
      <c r="X528" s="197" t="str">
        <f t="shared" si="38"/>
        <v xml:space="preserve"> </v>
      </c>
      <c r="Y528" s="246"/>
      <c r="Z528" s="247"/>
      <c r="AA528" s="20"/>
      <c r="AB528" s="11" t="str">
        <f t="shared" si="39"/>
        <v xml:space="preserve"> </v>
      </c>
      <c r="AC528" s="12" t="str">
        <f t="shared" si="40"/>
        <v xml:space="preserve"> </v>
      </c>
    </row>
    <row r="529" spans="1:29" ht="20.100000000000001" customHeight="1" x14ac:dyDescent="0.25">
      <c r="A529" s="16"/>
      <c r="B529" s="108"/>
      <c r="C529" s="109"/>
      <c r="D529" s="109"/>
      <c r="E529" s="109"/>
      <c r="F529" s="17"/>
      <c r="G529" s="17"/>
      <c r="H529" s="108"/>
      <c r="I529" s="107"/>
      <c r="J529" s="108"/>
      <c r="K529" s="107"/>
      <c r="L529" s="108"/>
      <c r="M529" s="110"/>
      <c r="N529" s="109"/>
      <c r="O529" s="108"/>
      <c r="P529" s="233"/>
      <c r="Q529" s="239"/>
      <c r="R529" s="19"/>
      <c r="S529" s="20"/>
      <c r="T529" s="9" t="str">
        <f t="shared" si="37"/>
        <v xml:space="preserve"> </v>
      </c>
      <c r="U529" s="18"/>
      <c r="V529" s="21"/>
      <c r="W529" s="22"/>
      <c r="X529" s="197" t="str">
        <f t="shared" si="38"/>
        <v xml:space="preserve"> </v>
      </c>
      <c r="Y529" s="246"/>
      <c r="Z529" s="247"/>
      <c r="AA529" s="20"/>
      <c r="AB529" s="11" t="str">
        <f t="shared" si="39"/>
        <v xml:space="preserve"> </v>
      </c>
      <c r="AC529" s="12" t="str">
        <f t="shared" si="40"/>
        <v xml:space="preserve"> </v>
      </c>
    </row>
    <row r="530" spans="1:29" ht="20.100000000000001" customHeight="1" x14ac:dyDescent="0.25">
      <c r="A530" s="16"/>
      <c r="B530" s="108"/>
      <c r="C530" s="109"/>
      <c r="D530" s="109"/>
      <c r="E530" s="109"/>
      <c r="F530" s="17"/>
      <c r="G530" s="17"/>
      <c r="H530" s="108"/>
      <c r="I530" s="107"/>
      <c r="J530" s="108"/>
      <c r="K530" s="107"/>
      <c r="L530" s="108"/>
      <c r="M530" s="110"/>
      <c r="N530" s="109"/>
      <c r="O530" s="108"/>
      <c r="P530" s="233"/>
      <c r="Q530" s="239"/>
      <c r="R530" s="19"/>
      <c r="S530" s="20"/>
      <c r="T530" s="9" t="str">
        <f t="shared" si="37"/>
        <v xml:space="preserve"> </v>
      </c>
      <c r="U530" s="18"/>
      <c r="V530" s="21"/>
      <c r="W530" s="22"/>
      <c r="X530" s="197" t="str">
        <f t="shared" si="38"/>
        <v xml:space="preserve"> </v>
      </c>
      <c r="Y530" s="246"/>
      <c r="Z530" s="247"/>
      <c r="AA530" s="20"/>
      <c r="AB530" s="11" t="str">
        <f t="shared" si="39"/>
        <v xml:space="preserve"> </v>
      </c>
      <c r="AC530" s="12" t="str">
        <f t="shared" si="40"/>
        <v xml:space="preserve"> </v>
      </c>
    </row>
    <row r="531" spans="1:29" ht="20.100000000000001" customHeight="1" x14ac:dyDescent="0.25">
      <c r="A531" s="16"/>
      <c r="B531" s="108"/>
      <c r="C531" s="109"/>
      <c r="D531" s="109"/>
      <c r="E531" s="109"/>
      <c r="F531" s="17"/>
      <c r="G531" s="17"/>
      <c r="H531" s="108"/>
      <c r="I531" s="107"/>
      <c r="J531" s="108"/>
      <c r="K531" s="107"/>
      <c r="L531" s="108"/>
      <c r="M531" s="110"/>
      <c r="N531" s="109"/>
      <c r="O531" s="108"/>
      <c r="P531" s="233"/>
      <c r="Q531" s="239"/>
      <c r="R531" s="19"/>
      <c r="S531" s="20"/>
      <c r="T531" s="9" t="str">
        <f t="shared" si="37"/>
        <v xml:space="preserve"> </v>
      </c>
      <c r="U531" s="18"/>
      <c r="V531" s="21"/>
      <c r="W531" s="22"/>
      <c r="X531" s="197" t="str">
        <f t="shared" si="38"/>
        <v xml:space="preserve"> </v>
      </c>
      <c r="Y531" s="246"/>
      <c r="Z531" s="247"/>
      <c r="AA531" s="20"/>
      <c r="AB531" s="11" t="str">
        <f t="shared" si="39"/>
        <v xml:space="preserve"> </v>
      </c>
      <c r="AC531" s="12" t="str">
        <f t="shared" si="40"/>
        <v xml:space="preserve"> </v>
      </c>
    </row>
    <row r="532" spans="1:29" ht="20.100000000000001" customHeight="1" x14ac:dyDescent="0.25">
      <c r="A532" s="16"/>
      <c r="B532" s="108"/>
      <c r="C532" s="109"/>
      <c r="D532" s="109"/>
      <c r="E532" s="109"/>
      <c r="F532" s="17"/>
      <c r="G532" s="17"/>
      <c r="H532" s="108"/>
      <c r="I532" s="107"/>
      <c r="J532" s="108"/>
      <c r="K532" s="107"/>
      <c r="L532" s="108"/>
      <c r="M532" s="110"/>
      <c r="N532" s="109"/>
      <c r="O532" s="108"/>
      <c r="P532" s="233"/>
      <c r="Q532" s="239"/>
      <c r="R532" s="19"/>
      <c r="S532" s="20"/>
      <c r="T532" s="9" t="str">
        <f t="shared" si="37"/>
        <v xml:space="preserve"> </v>
      </c>
      <c r="U532" s="18"/>
      <c r="V532" s="21"/>
      <c r="W532" s="22"/>
      <c r="X532" s="197" t="str">
        <f t="shared" si="38"/>
        <v xml:space="preserve"> </v>
      </c>
      <c r="Y532" s="246"/>
      <c r="Z532" s="247"/>
      <c r="AA532" s="20"/>
      <c r="AB532" s="11" t="str">
        <f t="shared" si="39"/>
        <v xml:space="preserve"> </v>
      </c>
      <c r="AC532" s="12" t="str">
        <f t="shared" si="40"/>
        <v xml:space="preserve"> </v>
      </c>
    </row>
    <row r="533" spans="1:29" ht="20.100000000000001" customHeight="1" x14ac:dyDescent="0.25">
      <c r="A533" s="16"/>
      <c r="B533" s="108"/>
      <c r="C533" s="109"/>
      <c r="D533" s="109"/>
      <c r="E533" s="109"/>
      <c r="F533" s="17"/>
      <c r="G533" s="17"/>
      <c r="H533" s="108"/>
      <c r="I533" s="107"/>
      <c r="J533" s="108"/>
      <c r="K533" s="107"/>
      <c r="L533" s="108"/>
      <c r="M533" s="110"/>
      <c r="N533" s="109"/>
      <c r="O533" s="108"/>
      <c r="P533" s="233"/>
      <c r="Q533" s="239"/>
      <c r="R533" s="19"/>
      <c r="S533" s="20"/>
      <c r="T533" s="9" t="str">
        <f t="shared" si="37"/>
        <v xml:space="preserve"> </v>
      </c>
      <c r="U533" s="18"/>
      <c r="V533" s="21"/>
      <c r="W533" s="22"/>
      <c r="X533" s="197" t="str">
        <f t="shared" si="38"/>
        <v xml:space="preserve"> </v>
      </c>
      <c r="Y533" s="246"/>
      <c r="Z533" s="247"/>
      <c r="AA533" s="20"/>
      <c r="AB533" s="11" t="str">
        <f t="shared" si="39"/>
        <v xml:space="preserve"> </v>
      </c>
      <c r="AC533" s="12" t="str">
        <f t="shared" si="40"/>
        <v xml:space="preserve"> </v>
      </c>
    </row>
    <row r="534" spans="1:29" ht="20.100000000000001" customHeight="1" x14ac:dyDescent="0.25">
      <c r="A534" s="16"/>
      <c r="B534" s="108"/>
      <c r="C534" s="109"/>
      <c r="D534" s="109"/>
      <c r="E534" s="109"/>
      <c r="F534" s="17"/>
      <c r="G534" s="17"/>
      <c r="H534" s="108"/>
      <c r="I534" s="107"/>
      <c r="J534" s="108"/>
      <c r="K534" s="107"/>
      <c r="L534" s="108"/>
      <c r="M534" s="110"/>
      <c r="N534" s="109"/>
      <c r="O534" s="108"/>
      <c r="P534" s="233"/>
      <c r="Q534" s="239"/>
      <c r="R534" s="19"/>
      <c r="S534" s="20"/>
      <c r="T534" s="9" t="str">
        <f t="shared" si="37"/>
        <v xml:space="preserve"> </v>
      </c>
      <c r="U534" s="18"/>
      <c r="V534" s="21"/>
      <c r="W534" s="22"/>
      <c r="X534" s="197" t="str">
        <f t="shared" si="38"/>
        <v xml:space="preserve"> </v>
      </c>
      <c r="Y534" s="246"/>
      <c r="Z534" s="247"/>
      <c r="AA534" s="20"/>
      <c r="AB534" s="11" t="str">
        <f t="shared" si="39"/>
        <v xml:space="preserve"> </v>
      </c>
      <c r="AC534" s="12" t="str">
        <f t="shared" si="40"/>
        <v xml:space="preserve"> </v>
      </c>
    </row>
    <row r="535" spans="1:29" ht="20.100000000000001" customHeight="1" x14ac:dyDescent="0.25">
      <c r="A535" s="16"/>
      <c r="B535" s="108"/>
      <c r="C535" s="109"/>
      <c r="D535" s="109"/>
      <c r="E535" s="109"/>
      <c r="F535" s="17"/>
      <c r="G535" s="17"/>
      <c r="H535" s="108"/>
      <c r="I535" s="107"/>
      <c r="J535" s="108"/>
      <c r="K535" s="107"/>
      <c r="L535" s="108"/>
      <c r="M535" s="110"/>
      <c r="N535" s="109"/>
      <c r="O535" s="108"/>
      <c r="P535" s="233"/>
      <c r="Q535" s="239"/>
      <c r="R535" s="19"/>
      <c r="S535" s="20"/>
      <c r="T535" s="9" t="str">
        <f t="shared" si="37"/>
        <v xml:space="preserve"> </v>
      </c>
      <c r="U535" s="18"/>
      <c r="V535" s="21"/>
      <c r="W535" s="22"/>
      <c r="X535" s="197" t="str">
        <f t="shared" si="38"/>
        <v xml:space="preserve"> </v>
      </c>
      <c r="Y535" s="246"/>
      <c r="Z535" s="247"/>
      <c r="AA535" s="20"/>
      <c r="AB535" s="11" t="str">
        <f t="shared" si="39"/>
        <v xml:space="preserve"> </v>
      </c>
      <c r="AC535" s="12" t="str">
        <f t="shared" si="40"/>
        <v xml:space="preserve"> </v>
      </c>
    </row>
    <row r="536" spans="1:29" ht="20.100000000000001" customHeight="1" x14ac:dyDescent="0.25">
      <c r="A536" s="16"/>
      <c r="B536" s="108"/>
      <c r="C536" s="109"/>
      <c r="D536" s="109"/>
      <c r="E536" s="109"/>
      <c r="F536" s="17"/>
      <c r="G536" s="17"/>
      <c r="H536" s="108"/>
      <c r="I536" s="107"/>
      <c r="J536" s="108"/>
      <c r="K536" s="107"/>
      <c r="L536" s="108"/>
      <c r="M536" s="110"/>
      <c r="N536" s="109"/>
      <c r="O536" s="108"/>
      <c r="P536" s="233"/>
      <c r="Q536" s="239"/>
      <c r="R536" s="19"/>
      <c r="S536" s="20"/>
      <c r="T536" s="9" t="str">
        <f t="shared" si="37"/>
        <v xml:space="preserve"> </v>
      </c>
      <c r="U536" s="18"/>
      <c r="V536" s="21"/>
      <c r="W536" s="22"/>
      <c r="X536" s="197" t="str">
        <f t="shared" si="38"/>
        <v xml:space="preserve"> </v>
      </c>
      <c r="Y536" s="246"/>
      <c r="Z536" s="247"/>
      <c r="AA536" s="20"/>
      <c r="AB536" s="11" t="str">
        <f t="shared" si="39"/>
        <v xml:space="preserve"> </v>
      </c>
      <c r="AC536" s="12" t="str">
        <f t="shared" si="40"/>
        <v xml:space="preserve"> </v>
      </c>
    </row>
    <row r="537" spans="1:29" ht="20.100000000000001" customHeight="1" x14ac:dyDescent="0.25">
      <c r="A537" s="16"/>
      <c r="B537" s="108"/>
      <c r="C537" s="109"/>
      <c r="D537" s="109"/>
      <c r="E537" s="109"/>
      <c r="F537" s="17"/>
      <c r="G537" s="17"/>
      <c r="H537" s="108"/>
      <c r="I537" s="107"/>
      <c r="J537" s="108"/>
      <c r="K537" s="107"/>
      <c r="L537" s="108"/>
      <c r="M537" s="110"/>
      <c r="N537" s="109"/>
      <c r="O537" s="108"/>
      <c r="P537" s="233"/>
      <c r="Q537" s="239"/>
      <c r="R537" s="19"/>
      <c r="S537" s="20"/>
      <c r="T537" s="9" t="str">
        <f t="shared" si="37"/>
        <v xml:space="preserve"> </v>
      </c>
      <c r="U537" s="18"/>
      <c r="V537" s="21"/>
      <c r="W537" s="22"/>
      <c r="X537" s="197" t="str">
        <f t="shared" si="38"/>
        <v xml:space="preserve"> </v>
      </c>
      <c r="Y537" s="246"/>
      <c r="Z537" s="247"/>
      <c r="AA537" s="20"/>
      <c r="AB537" s="11" t="str">
        <f t="shared" si="39"/>
        <v xml:space="preserve"> </v>
      </c>
      <c r="AC537" s="12" t="str">
        <f t="shared" si="40"/>
        <v xml:space="preserve"> </v>
      </c>
    </row>
    <row r="538" spans="1:29" ht="20.100000000000001" customHeight="1" x14ac:dyDescent="0.25">
      <c r="A538" s="16"/>
      <c r="B538" s="108"/>
      <c r="C538" s="109"/>
      <c r="D538" s="109"/>
      <c r="E538" s="109"/>
      <c r="F538" s="17"/>
      <c r="G538" s="17"/>
      <c r="H538" s="108"/>
      <c r="I538" s="107"/>
      <c r="J538" s="108"/>
      <c r="K538" s="107"/>
      <c r="L538" s="108"/>
      <c r="M538" s="110"/>
      <c r="N538" s="109"/>
      <c r="O538" s="108"/>
      <c r="P538" s="233"/>
      <c r="Q538" s="239"/>
      <c r="R538" s="19"/>
      <c r="S538" s="20"/>
      <c r="T538" s="9" t="str">
        <f t="shared" si="37"/>
        <v xml:space="preserve"> </v>
      </c>
      <c r="U538" s="18"/>
      <c r="V538" s="21"/>
      <c r="W538" s="22"/>
      <c r="X538" s="197" t="str">
        <f t="shared" si="38"/>
        <v xml:space="preserve"> </v>
      </c>
      <c r="Y538" s="246"/>
      <c r="Z538" s="247"/>
      <c r="AA538" s="20"/>
      <c r="AB538" s="11" t="str">
        <f t="shared" si="39"/>
        <v xml:space="preserve"> </v>
      </c>
      <c r="AC538" s="12" t="str">
        <f t="shared" si="40"/>
        <v xml:space="preserve"> </v>
      </c>
    </row>
    <row r="539" spans="1:29" ht="20.100000000000001" customHeight="1" x14ac:dyDescent="0.25">
      <c r="A539" s="16"/>
      <c r="B539" s="108"/>
      <c r="C539" s="109"/>
      <c r="D539" s="109"/>
      <c r="E539" s="109"/>
      <c r="F539" s="17"/>
      <c r="G539" s="17"/>
      <c r="H539" s="108"/>
      <c r="I539" s="107"/>
      <c r="J539" s="108"/>
      <c r="K539" s="107"/>
      <c r="L539" s="108"/>
      <c r="M539" s="110"/>
      <c r="N539" s="109"/>
      <c r="O539" s="108"/>
      <c r="P539" s="233"/>
      <c r="Q539" s="239"/>
      <c r="R539" s="19"/>
      <c r="S539" s="20"/>
      <c r="T539" s="9" t="str">
        <f t="shared" si="37"/>
        <v xml:space="preserve"> </v>
      </c>
      <c r="U539" s="18"/>
      <c r="V539" s="21"/>
      <c r="W539" s="22"/>
      <c r="X539" s="197" t="str">
        <f t="shared" si="38"/>
        <v xml:space="preserve"> </v>
      </c>
      <c r="Y539" s="246"/>
      <c r="Z539" s="247"/>
      <c r="AA539" s="20"/>
      <c r="AB539" s="11" t="str">
        <f t="shared" si="39"/>
        <v xml:space="preserve"> </v>
      </c>
      <c r="AC539" s="12" t="str">
        <f t="shared" si="40"/>
        <v xml:space="preserve"> </v>
      </c>
    </row>
    <row r="540" spans="1:29" ht="20.100000000000001" customHeight="1" x14ac:dyDescent="0.25">
      <c r="A540" s="16"/>
      <c r="B540" s="108"/>
      <c r="C540" s="109"/>
      <c r="D540" s="109"/>
      <c r="E540" s="109"/>
      <c r="F540" s="17"/>
      <c r="G540" s="17"/>
      <c r="H540" s="108"/>
      <c r="I540" s="107"/>
      <c r="J540" s="108"/>
      <c r="K540" s="107"/>
      <c r="L540" s="108"/>
      <c r="M540" s="110"/>
      <c r="N540" s="109"/>
      <c r="O540" s="108"/>
      <c r="P540" s="233"/>
      <c r="Q540" s="239"/>
      <c r="R540" s="19"/>
      <c r="S540" s="20"/>
      <c r="T540" s="9" t="str">
        <f t="shared" si="37"/>
        <v xml:space="preserve"> </v>
      </c>
      <c r="U540" s="18"/>
      <c r="V540" s="21"/>
      <c r="W540" s="22"/>
      <c r="X540" s="197" t="str">
        <f t="shared" si="38"/>
        <v xml:space="preserve"> </v>
      </c>
      <c r="Y540" s="246"/>
      <c r="Z540" s="247"/>
      <c r="AA540" s="20"/>
      <c r="AB540" s="11" t="str">
        <f t="shared" si="39"/>
        <v xml:space="preserve"> </v>
      </c>
      <c r="AC540" s="12" t="str">
        <f t="shared" si="40"/>
        <v xml:space="preserve"> </v>
      </c>
    </row>
    <row r="541" spans="1:29" ht="20.100000000000001" customHeight="1" x14ac:dyDescent="0.25">
      <c r="A541" s="16"/>
      <c r="B541" s="108"/>
      <c r="C541" s="109"/>
      <c r="D541" s="109"/>
      <c r="E541" s="109"/>
      <c r="F541" s="17"/>
      <c r="G541" s="17"/>
      <c r="H541" s="108"/>
      <c r="I541" s="107"/>
      <c r="J541" s="108"/>
      <c r="K541" s="107"/>
      <c r="L541" s="108"/>
      <c r="M541" s="110"/>
      <c r="N541" s="109"/>
      <c r="O541" s="108"/>
      <c r="P541" s="233"/>
      <c r="Q541" s="239"/>
      <c r="R541" s="19"/>
      <c r="S541" s="20"/>
      <c r="T541" s="9" t="str">
        <f t="shared" si="37"/>
        <v xml:space="preserve"> </v>
      </c>
      <c r="U541" s="18"/>
      <c r="V541" s="21"/>
      <c r="W541" s="22"/>
      <c r="X541" s="197" t="str">
        <f t="shared" si="38"/>
        <v xml:space="preserve"> </v>
      </c>
      <c r="Y541" s="246"/>
      <c r="Z541" s="247"/>
      <c r="AA541" s="20"/>
      <c r="AB541" s="11" t="str">
        <f t="shared" si="39"/>
        <v xml:space="preserve"> </v>
      </c>
      <c r="AC541" s="12" t="str">
        <f t="shared" si="40"/>
        <v xml:space="preserve"> </v>
      </c>
    </row>
    <row r="542" spans="1:29" ht="20.100000000000001" customHeight="1" x14ac:dyDescent="0.25">
      <c r="A542" s="16"/>
      <c r="B542" s="108"/>
      <c r="C542" s="109"/>
      <c r="D542" s="109"/>
      <c r="E542" s="109"/>
      <c r="F542" s="17"/>
      <c r="G542" s="17"/>
      <c r="H542" s="108"/>
      <c r="I542" s="107"/>
      <c r="J542" s="108"/>
      <c r="K542" s="107"/>
      <c r="L542" s="108"/>
      <c r="M542" s="110"/>
      <c r="N542" s="109"/>
      <c r="O542" s="108"/>
      <c r="P542" s="233"/>
      <c r="Q542" s="239"/>
      <c r="R542" s="19"/>
      <c r="S542" s="20"/>
      <c r="T542" s="9" t="str">
        <f t="shared" si="37"/>
        <v xml:space="preserve"> </v>
      </c>
      <c r="U542" s="18"/>
      <c r="V542" s="21"/>
      <c r="W542" s="22"/>
      <c r="X542" s="197" t="str">
        <f t="shared" si="38"/>
        <v xml:space="preserve"> </v>
      </c>
      <c r="Y542" s="246"/>
      <c r="Z542" s="247"/>
      <c r="AA542" s="20"/>
      <c r="AB542" s="11" t="str">
        <f t="shared" si="39"/>
        <v xml:space="preserve"> </v>
      </c>
      <c r="AC542" s="12" t="str">
        <f t="shared" si="40"/>
        <v xml:space="preserve"> </v>
      </c>
    </row>
    <row r="543" spans="1:29" ht="20.100000000000001" customHeight="1" x14ac:dyDescent="0.25">
      <c r="A543" s="16"/>
      <c r="B543" s="108"/>
      <c r="C543" s="109"/>
      <c r="D543" s="109"/>
      <c r="E543" s="109"/>
      <c r="F543" s="17"/>
      <c r="G543" s="17"/>
      <c r="H543" s="108"/>
      <c r="I543" s="107"/>
      <c r="J543" s="108"/>
      <c r="K543" s="107"/>
      <c r="L543" s="108"/>
      <c r="M543" s="110"/>
      <c r="N543" s="109"/>
      <c r="O543" s="108"/>
      <c r="P543" s="233"/>
      <c r="Q543" s="239"/>
      <c r="R543" s="19"/>
      <c r="S543" s="20"/>
      <c r="T543" s="9" t="str">
        <f t="shared" si="37"/>
        <v xml:space="preserve"> </v>
      </c>
      <c r="U543" s="18"/>
      <c r="V543" s="21"/>
      <c r="W543" s="22"/>
      <c r="X543" s="197" t="str">
        <f t="shared" si="38"/>
        <v xml:space="preserve"> </v>
      </c>
      <c r="Y543" s="246"/>
      <c r="Z543" s="247"/>
      <c r="AA543" s="20"/>
      <c r="AB543" s="11" t="str">
        <f t="shared" si="39"/>
        <v xml:space="preserve"> </v>
      </c>
      <c r="AC543" s="12" t="str">
        <f t="shared" si="40"/>
        <v xml:space="preserve"> </v>
      </c>
    </row>
    <row r="544" spans="1:29" ht="20.100000000000001" customHeight="1" x14ac:dyDescent="0.25">
      <c r="A544" s="16"/>
      <c r="B544" s="108"/>
      <c r="C544" s="109"/>
      <c r="D544" s="109"/>
      <c r="E544" s="109"/>
      <c r="F544" s="17"/>
      <c r="G544" s="17"/>
      <c r="H544" s="108"/>
      <c r="I544" s="107"/>
      <c r="J544" s="108"/>
      <c r="K544" s="107"/>
      <c r="L544" s="108"/>
      <c r="M544" s="110"/>
      <c r="N544" s="109"/>
      <c r="O544" s="108"/>
      <c r="P544" s="233"/>
      <c r="Q544" s="239"/>
      <c r="R544" s="19"/>
      <c r="S544" s="20"/>
      <c r="T544" s="9" t="str">
        <f t="shared" si="37"/>
        <v xml:space="preserve"> </v>
      </c>
      <c r="U544" s="18"/>
      <c r="V544" s="21"/>
      <c r="W544" s="22"/>
      <c r="X544" s="197" t="str">
        <f t="shared" si="38"/>
        <v xml:space="preserve"> </v>
      </c>
      <c r="Y544" s="246"/>
      <c r="Z544" s="247"/>
      <c r="AA544" s="20"/>
      <c r="AB544" s="11" t="str">
        <f t="shared" si="39"/>
        <v xml:space="preserve"> </v>
      </c>
      <c r="AC544" s="12" t="str">
        <f t="shared" si="40"/>
        <v xml:space="preserve"> </v>
      </c>
    </row>
    <row r="545" spans="1:29" ht="20.100000000000001" customHeight="1" x14ac:dyDescent="0.25">
      <c r="A545" s="16"/>
      <c r="B545" s="108"/>
      <c r="C545" s="109"/>
      <c r="D545" s="109"/>
      <c r="E545" s="109"/>
      <c r="F545" s="17"/>
      <c r="G545" s="17"/>
      <c r="H545" s="108"/>
      <c r="I545" s="107"/>
      <c r="J545" s="108"/>
      <c r="K545" s="107"/>
      <c r="L545" s="108"/>
      <c r="M545" s="110"/>
      <c r="N545" s="109"/>
      <c r="O545" s="108"/>
      <c r="P545" s="233"/>
      <c r="Q545" s="239"/>
      <c r="R545" s="19"/>
      <c r="S545" s="20"/>
      <c r="T545" s="9" t="str">
        <f t="shared" si="37"/>
        <v xml:space="preserve"> </v>
      </c>
      <c r="U545" s="18"/>
      <c r="V545" s="21"/>
      <c r="W545" s="22"/>
      <c r="X545" s="197" t="str">
        <f t="shared" si="38"/>
        <v xml:space="preserve"> </v>
      </c>
      <c r="Y545" s="246"/>
      <c r="Z545" s="247"/>
      <c r="AA545" s="20"/>
      <c r="AB545" s="11" t="str">
        <f t="shared" si="39"/>
        <v xml:space="preserve"> </v>
      </c>
      <c r="AC545" s="12" t="str">
        <f t="shared" si="40"/>
        <v xml:space="preserve"> </v>
      </c>
    </row>
    <row r="546" spans="1:29" ht="20.100000000000001" customHeight="1" x14ac:dyDescent="0.25">
      <c r="A546" s="16"/>
      <c r="B546" s="108"/>
      <c r="C546" s="109"/>
      <c r="D546" s="109"/>
      <c r="E546" s="109"/>
      <c r="F546" s="17"/>
      <c r="G546" s="17"/>
      <c r="H546" s="108"/>
      <c r="I546" s="107"/>
      <c r="J546" s="108"/>
      <c r="K546" s="107"/>
      <c r="L546" s="108"/>
      <c r="M546" s="110"/>
      <c r="N546" s="109"/>
      <c r="O546" s="108"/>
      <c r="P546" s="233"/>
      <c r="Q546" s="239"/>
      <c r="R546" s="19"/>
      <c r="S546" s="20"/>
      <c r="T546" s="9" t="str">
        <f t="shared" si="37"/>
        <v xml:space="preserve"> </v>
      </c>
      <c r="U546" s="18"/>
      <c r="V546" s="21"/>
      <c r="W546" s="22"/>
      <c r="X546" s="197" t="str">
        <f t="shared" si="38"/>
        <v xml:space="preserve"> </v>
      </c>
      <c r="Y546" s="246"/>
      <c r="Z546" s="247"/>
      <c r="AA546" s="20"/>
      <c r="AB546" s="11" t="str">
        <f t="shared" si="39"/>
        <v xml:space="preserve"> </v>
      </c>
      <c r="AC546" s="12" t="str">
        <f t="shared" si="40"/>
        <v xml:space="preserve"> </v>
      </c>
    </row>
    <row r="547" spans="1:29" ht="20.100000000000001" customHeight="1" x14ac:dyDescent="0.25">
      <c r="A547" s="16"/>
      <c r="B547" s="108"/>
      <c r="C547" s="109"/>
      <c r="D547" s="109"/>
      <c r="E547" s="109"/>
      <c r="F547" s="17"/>
      <c r="G547" s="17"/>
      <c r="H547" s="108"/>
      <c r="I547" s="107"/>
      <c r="J547" s="108"/>
      <c r="K547" s="107"/>
      <c r="L547" s="108"/>
      <c r="M547" s="110"/>
      <c r="N547" s="109"/>
      <c r="O547" s="108"/>
      <c r="P547" s="233"/>
      <c r="Q547" s="239"/>
      <c r="R547" s="19"/>
      <c r="S547" s="20"/>
      <c r="T547" s="9" t="str">
        <f t="shared" si="37"/>
        <v xml:space="preserve"> </v>
      </c>
      <c r="U547" s="18"/>
      <c r="V547" s="21"/>
      <c r="W547" s="22"/>
      <c r="X547" s="197" t="str">
        <f t="shared" si="38"/>
        <v xml:space="preserve"> </v>
      </c>
      <c r="Y547" s="246"/>
      <c r="Z547" s="247"/>
      <c r="AA547" s="20"/>
      <c r="AB547" s="11" t="str">
        <f t="shared" si="39"/>
        <v xml:space="preserve"> </v>
      </c>
      <c r="AC547" s="12" t="str">
        <f t="shared" si="40"/>
        <v xml:space="preserve"> </v>
      </c>
    </row>
    <row r="548" spans="1:29" ht="20.100000000000001" customHeight="1" x14ac:dyDescent="0.25">
      <c r="A548" s="16"/>
      <c r="B548" s="108"/>
      <c r="C548" s="109"/>
      <c r="D548" s="109"/>
      <c r="E548" s="109"/>
      <c r="F548" s="17"/>
      <c r="G548" s="17"/>
      <c r="H548" s="108"/>
      <c r="I548" s="107"/>
      <c r="J548" s="108"/>
      <c r="K548" s="107"/>
      <c r="L548" s="108"/>
      <c r="M548" s="110"/>
      <c r="N548" s="109"/>
      <c r="O548" s="108"/>
      <c r="P548" s="233"/>
      <c r="Q548" s="239"/>
      <c r="R548" s="19"/>
      <c r="S548" s="20"/>
      <c r="T548" s="9" t="str">
        <f t="shared" si="37"/>
        <v xml:space="preserve"> </v>
      </c>
      <c r="U548" s="18"/>
      <c r="V548" s="21"/>
      <c r="W548" s="22"/>
      <c r="X548" s="197" t="str">
        <f t="shared" si="38"/>
        <v xml:space="preserve"> </v>
      </c>
      <c r="Y548" s="246"/>
      <c r="Z548" s="247"/>
      <c r="AA548" s="20"/>
      <c r="AB548" s="11" t="str">
        <f t="shared" si="39"/>
        <v xml:space="preserve"> </v>
      </c>
      <c r="AC548" s="12" t="str">
        <f t="shared" si="40"/>
        <v xml:space="preserve"> </v>
      </c>
    </row>
    <row r="549" spans="1:29" ht="20.100000000000001" customHeight="1" x14ac:dyDescent="0.25">
      <c r="A549" s="16"/>
      <c r="B549" s="108"/>
      <c r="C549" s="109"/>
      <c r="D549" s="109"/>
      <c r="E549" s="109"/>
      <c r="F549" s="17"/>
      <c r="G549" s="17"/>
      <c r="H549" s="108"/>
      <c r="I549" s="107"/>
      <c r="J549" s="108"/>
      <c r="K549" s="107"/>
      <c r="L549" s="108"/>
      <c r="M549" s="110"/>
      <c r="N549" s="109"/>
      <c r="O549" s="108"/>
      <c r="P549" s="233"/>
      <c r="Q549" s="239"/>
      <c r="R549" s="19"/>
      <c r="S549" s="20"/>
      <c r="T549" s="9" t="str">
        <f t="shared" si="37"/>
        <v xml:space="preserve"> </v>
      </c>
      <c r="U549" s="18"/>
      <c r="V549" s="21"/>
      <c r="W549" s="22"/>
      <c r="X549" s="197" t="str">
        <f t="shared" si="38"/>
        <v xml:space="preserve"> </v>
      </c>
      <c r="Y549" s="246"/>
      <c r="Z549" s="247"/>
      <c r="AA549" s="20"/>
      <c r="AB549" s="11" t="str">
        <f t="shared" si="39"/>
        <v xml:space="preserve"> </v>
      </c>
      <c r="AC549" s="12" t="str">
        <f t="shared" si="40"/>
        <v xml:space="preserve"> </v>
      </c>
    </row>
    <row r="550" spans="1:29" ht="20.100000000000001" customHeight="1" x14ac:dyDescent="0.25">
      <c r="A550" s="16"/>
      <c r="B550" s="108"/>
      <c r="C550" s="109"/>
      <c r="D550" s="109"/>
      <c r="E550" s="109"/>
      <c r="F550" s="17"/>
      <c r="G550" s="17"/>
      <c r="H550" s="108"/>
      <c r="I550" s="107"/>
      <c r="J550" s="108"/>
      <c r="K550" s="107"/>
      <c r="L550" s="108"/>
      <c r="M550" s="110"/>
      <c r="N550" s="109"/>
      <c r="O550" s="108"/>
      <c r="P550" s="233"/>
      <c r="Q550" s="239"/>
      <c r="R550" s="19"/>
      <c r="S550" s="20"/>
      <c r="T550" s="9" t="str">
        <f t="shared" si="37"/>
        <v xml:space="preserve"> </v>
      </c>
      <c r="U550" s="18"/>
      <c r="V550" s="21"/>
      <c r="W550" s="22"/>
      <c r="X550" s="197" t="str">
        <f t="shared" si="38"/>
        <v xml:space="preserve"> </v>
      </c>
      <c r="Y550" s="246"/>
      <c r="Z550" s="247"/>
      <c r="AA550" s="20"/>
      <c r="AB550" s="11" t="str">
        <f t="shared" si="39"/>
        <v xml:space="preserve"> </v>
      </c>
      <c r="AC550" s="12" t="str">
        <f t="shared" si="40"/>
        <v xml:space="preserve"> </v>
      </c>
    </row>
    <row r="551" spans="1:29" ht="20.100000000000001" customHeight="1" x14ac:dyDescent="0.25">
      <c r="A551" s="16"/>
      <c r="B551" s="108"/>
      <c r="C551" s="109"/>
      <c r="D551" s="109"/>
      <c r="E551" s="109"/>
      <c r="F551" s="17"/>
      <c r="G551" s="17"/>
      <c r="H551" s="108"/>
      <c r="I551" s="107"/>
      <c r="J551" s="108"/>
      <c r="K551" s="107"/>
      <c r="L551" s="108"/>
      <c r="M551" s="110"/>
      <c r="N551" s="109"/>
      <c r="O551" s="108"/>
      <c r="P551" s="233"/>
      <c r="Q551" s="239"/>
      <c r="R551" s="19"/>
      <c r="S551" s="20"/>
      <c r="T551" s="9" t="str">
        <f t="shared" si="37"/>
        <v xml:space="preserve"> </v>
      </c>
      <c r="U551" s="18"/>
      <c r="V551" s="21"/>
      <c r="W551" s="22"/>
      <c r="X551" s="197" t="str">
        <f t="shared" si="38"/>
        <v xml:space="preserve"> </v>
      </c>
      <c r="Y551" s="246"/>
      <c r="Z551" s="247"/>
      <c r="AA551" s="20"/>
      <c r="AB551" s="11" t="str">
        <f t="shared" si="39"/>
        <v xml:space="preserve"> </v>
      </c>
      <c r="AC551" s="12" t="str">
        <f t="shared" si="40"/>
        <v xml:space="preserve"> </v>
      </c>
    </row>
    <row r="552" spans="1:29" ht="20.100000000000001" customHeight="1" x14ac:dyDescent="0.25">
      <c r="A552" s="16"/>
      <c r="B552" s="108"/>
      <c r="C552" s="109"/>
      <c r="D552" s="109"/>
      <c r="E552" s="109"/>
      <c r="F552" s="17"/>
      <c r="G552" s="17"/>
      <c r="H552" s="108"/>
      <c r="I552" s="107"/>
      <c r="J552" s="108"/>
      <c r="K552" s="107"/>
      <c r="L552" s="108"/>
      <c r="M552" s="110"/>
      <c r="N552" s="109"/>
      <c r="O552" s="108"/>
      <c r="P552" s="233"/>
      <c r="Q552" s="239"/>
      <c r="R552" s="19"/>
      <c r="S552" s="20"/>
      <c r="T552" s="9" t="str">
        <f t="shared" si="37"/>
        <v xml:space="preserve"> </v>
      </c>
      <c r="U552" s="18"/>
      <c r="V552" s="21"/>
      <c r="W552" s="22"/>
      <c r="X552" s="197" t="str">
        <f t="shared" si="38"/>
        <v xml:space="preserve"> </v>
      </c>
      <c r="Y552" s="246"/>
      <c r="Z552" s="247"/>
      <c r="AA552" s="20"/>
      <c r="AB552" s="11" t="str">
        <f t="shared" si="39"/>
        <v xml:space="preserve"> </v>
      </c>
      <c r="AC552" s="12" t="str">
        <f t="shared" si="40"/>
        <v xml:space="preserve"> </v>
      </c>
    </row>
    <row r="553" spans="1:29" ht="20.100000000000001" customHeight="1" x14ac:dyDescent="0.25">
      <c r="A553" s="16"/>
      <c r="B553" s="108"/>
      <c r="C553" s="109"/>
      <c r="D553" s="109"/>
      <c r="E553" s="109"/>
      <c r="F553" s="17"/>
      <c r="G553" s="17"/>
      <c r="H553" s="108"/>
      <c r="I553" s="107"/>
      <c r="J553" s="108"/>
      <c r="K553" s="107"/>
      <c r="L553" s="108"/>
      <c r="M553" s="110"/>
      <c r="N553" s="109"/>
      <c r="O553" s="108"/>
      <c r="P553" s="233"/>
      <c r="Q553" s="239"/>
      <c r="R553" s="19"/>
      <c r="S553" s="20"/>
      <c r="T553" s="9" t="str">
        <f t="shared" si="37"/>
        <v xml:space="preserve"> </v>
      </c>
      <c r="U553" s="18"/>
      <c r="V553" s="21"/>
      <c r="W553" s="22"/>
      <c r="X553" s="197" t="str">
        <f t="shared" si="38"/>
        <v xml:space="preserve"> </v>
      </c>
      <c r="Y553" s="246"/>
      <c r="Z553" s="247"/>
      <c r="AA553" s="20"/>
      <c r="AB553" s="11" t="str">
        <f t="shared" si="39"/>
        <v xml:space="preserve"> </v>
      </c>
      <c r="AC553" s="12" t="str">
        <f t="shared" si="40"/>
        <v xml:space="preserve"> </v>
      </c>
    </row>
    <row r="554" spans="1:29" ht="20.100000000000001" customHeight="1" x14ac:dyDescent="0.25">
      <c r="A554" s="16"/>
      <c r="B554" s="108"/>
      <c r="C554" s="109"/>
      <c r="D554" s="109"/>
      <c r="E554" s="109"/>
      <c r="F554" s="17"/>
      <c r="G554" s="17"/>
      <c r="H554" s="108"/>
      <c r="I554" s="107"/>
      <c r="J554" s="108"/>
      <c r="K554" s="107"/>
      <c r="L554" s="108"/>
      <c r="M554" s="110"/>
      <c r="N554" s="109"/>
      <c r="O554" s="108"/>
      <c r="P554" s="233"/>
      <c r="Q554" s="239"/>
      <c r="R554" s="19"/>
      <c r="S554" s="20"/>
      <c r="T554" s="9" t="str">
        <f t="shared" si="37"/>
        <v xml:space="preserve"> </v>
      </c>
      <c r="U554" s="18"/>
      <c r="V554" s="21"/>
      <c r="W554" s="22"/>
      <c r="X554" s="197" t="str">
        <f t="shared" si="38"/>
        <v xml:space="preserve"> </v>
      </c>
      <c r="Y554" s="246"/>
      <c r="Z554" s="247"/>
      <c r="AA554" s="20"/>
      <c r="AB554" s="11" t="str">
        <f t="shared" si="39"/>
        <v xml:space="preserve"> </v>
      </c>
      <c r="AC554" s="12" t="str">
        <f t="shared" si="40"/>
        <v xml:space="preserve"> </v>
      </c>
    </row>
    <row r="555" spans="1:29" ht="20.100000000000001" customHeight="1" x14ac:dyDescent="0.25">
      <c r="A555" s="16"/>
      <c r="B555" s="108"/>
      <c r="C555" s="109"/>
      <c r="D555" s="109"/>
      <c r="E555" s="109"/>
      <c r="F555" s="17"/>
      <c r="G555" s="17"/>
      <c r="H555" s="108"/>
      <c r="I555" s="107"/>
      <c r="J555" s="108"/>
      <c r="K555" s="107"/>
      <c r="L555" s="108"/>
      <c r="M555" s="110"/>
      <c r="N555" s="109"/>
      <c r="O555" s="108"/>
      <c r="P555" s="233"/>
      <c r="Q555" s="239"/>
      <c r="R555" s="19"/>
      <c r="S555" s="20"/>
      <c r="T555" s="9" t="str">
        <f t="shared" si="37"/>
        <v xml:space="preserve"> </v>
      </c>
      <c r="U555" s="18"/>
      <c r="V555" s="21"/>
      <c r="W555" s="22"/>
      <c r="X555" s="197" t="str">
        <f t="shared" si="38"/>
        <v xml:space="preserve"> </v>
      </c>
      <c r="Y555" s="246"/>
      <c r="Z555" s="247"/>
      <c r="AA555" s="20"/>
      <c r="AB555" s="11" t="str">
        <f t="shared" si="39"/>
        <v xml:space="preserve"> </v>
      </c>
      <c r="AC555" s="12" t="str">
        <f t="shared" si="40"/>
        <v xml:space="preserve"> </v>
      </c>
    </row>
    <row r="556" spans="1:29" ht="20.100000000000001" customHeight="1" x14ac:dyDescent="0.25">
      <c r="A556" s="16"/>
      <c r="B556" s="108"/>
      <c r="C556" s="109"/>
      <c r="D556" s="109"/>
      <c r="E556" s="109"/>
      <c r="F556" s="17"/>
      <c r="G556" s="17"/>
      <c r="H556" s="108"/>
      <c r="I556" s="107"/>
      <c r="J556" s="108"/>
      <c r="K556" s="107"/>
      <c r="L556" s="108"/>
      <c r="M556" s="110"/>
      <c r="N556" s="109"/>
      <c r="O556" s="108"/>
      <c r="P556" s="233"/>
      <c r="Q556" s="239"/>
      <c r="R556" s="19"/>
      <c r="S556" s="20"/>
      <c r="T556" s="9" t="str">
        <f t="shared" si="37"/>
        <v xml:space="preserve"> </v>
      </c>
      <c r="U556" s="18"/>
      <c r="V556" s="21"/>
      <c r="W556" s="22"/>
      <c r="X556" s="197" t="str">
        <f t="shared" si="38"/>
        <v xml:space="preserve"> </v>
      </c>
      <c r="Y556" s="246"/>
      <c r="Z556" s="247"/>
      <c r="AA556" s="20"/>
      <c r="AB556" s="11" t="str">
        <f t="shared" si="39"/>
        <v xml:space="preserve"> </v>
      </c>
      <c r="AC556" s="12" t="str">
        <f t="shared" si="40"/>
        <v xml:space="preserve"> </v>
      </c>
    </row>
    <row r="557" spans="1:29" ht="20.100000000000001" customHeight="1" x14ac:dyDescent="0.25">
      <c r="A557" s="16"/>
      <c r="B557" s="108"/>
      <c r="C557" s="109"/>
      <c r="D557" s="109"/>
      <c r="E557" s="109"/>
      <c r="F557" s="17"/>
      <c r="G557" s="17"/>
      <c r="H557" s="108"/>
      <c r="I557" s="107"/>
      <c r="J557" s="108"/>
      <c r="K557" s="107"/>
      <c r="L557" s="108"/>
      <c r="M557" s="110"/>
      <c r="N557" s="109"/>
      <c r="O557" s="108"/>
      <c r="P557" s="233"/>
      <c r="Q557" s="239"/>
      <c r="R557" s="19"/>
      <c r="S557" s="20"/>
      <c r="T557" s="9" t="str">
        <f t="shared" si="37"/>
        <v xml:space="preserve"> </v>
      </c>
      <c r="U557" s="18"/>
      <c r="V557" s="21"/>
      <c r="W557" s="22"/>
      <c r="X557" s="197" t="str">
        <f t="shared" si="38"/>
        <v xml:space="preserve"> </v>
      </c>
      <c r="Y557" s="246"/>
      <c r="Z557" s="247"/>
      <c r="AA557" s="20"/>
      <c r="AB557" s="11" t="str">
        <f t="shared" si="39"/>
        <v xml:space="preserve"> </v>
      </c>
      <c r="AC557" s="12" t="str">
        <f t="shared" si="40"/>
        <v xml:space="preserve"> </v>
      </c>
    </row>
    <row r="558" spans="1:29" ht="20.100000000000001" customHeight="1" x14ac:dyDescent="0.25">
      <c r="A558" s="16"/>
      <c r="B558" s="108"/>
      <c r="C558" s="109"/>
      <c r="D558" s="109"/>
      <c r="E558" s="109"/>
      <c r="F558" s="17"/>
      <c r="G558" s="17"/>
      <c r="H558" s="108"/>
      <c r="I558" s="107"/>
      <c r="J558" s="108"/>
      <c r="K558" s="107"/>
      <c r="L558" s="108"/>
      <c r="M558" s="110"/>
      <c r="N558" s="109"/>
      <c r="O558" s="108"/>
      <c r="P558" s="233"/>
      <c r="Q558" s="239"/>
      <c r="R558" s="19"/>
      <c r="S558" s="20"/>
      <c r="T558" s="9" t="str">
        <f t="shared" si="37"/>
        <v xml:space="preserve"> </v>
      </c>
      <c r="U558" s="18"/>
      <c r="V558" s="21"/>
      <c r="W558" s="22"/>
      <c r="X558" s="197" t="str">
        <f t="shared" si="38"/>
        <v xml:space="preserve"> </v>
      </c>
      <c r="Y558" s="246"/>
      <c r="Z558" s="247"/>
      <c r="AA558" s="20"/>
      <c r="AB558" s="11" t="str">
        <f t="shared" si="39"/>
        <v xml:space="preserve"> </v>
      </c>
      <c r="AC558" s="12" t="str">
        <f t="shared" si="40"/>
        <v xml:space="preserve"> </v>
      </c>
    </row>
    <row r="559" spans="1:29" ht="20.100000000000001" customHeight="1" x14ac:dyDescent="0.25">
      <c r="A559" s="16"/>
      <c r="B559" s="108"/>
      <c r="C559" s="109"/>
      <c r="D559" s="109"/>
      <c r="E559" s="109"/>
      <c r="F559" s="17"/>
      <c r="G559" s="17"/>
      <c r="H559" s="108"/>
      <c r="I559" s="107"/>
      <c r="J559" s="108"/>
      <c r="K559" s="107"/>
      <c r="L559" s="108"/>
      <c r="M559" s="110"/>
      <c r="N559" s="109"/>
      <c r="O559" s="108"/>
      <c r="P559" s="233"/>
      <c r="Q559" s="239"/>
      <c r="R559" s="19"/>
      <c r="S559" s="20"/>
      <c r="T559" s="9" t="str">
        <f t="shared" si="37"/>
        <v xml:space="preserve"> </v>
      </c>
      <c r="U559" s="18"/>
      <c r="V559" s="21"/>
      <c r="W559" s="22"/>
      <c r="X559" s="197" t="str">
        <f t="shared" si="38"/>
        <v xml:space="preserve"> </v>
      </c>
      <c r="Y559" s="246"/>
      <c r="Z559" s="247"/>
      <c r="AA559" s="20"/>
      <c r="AB559" s="11" t="str">
        <f t="shared" si="39"/>
        <v xml:space="preserve"> </v>
      </c>
      <c r="AC559" s="12" t="str">
        <f t="shared" si="40"/>
        <v xml:space="preserve"> </v>
      </c>
    </row>
    <row r="560" spans="1:29" ht="20.100000000000001" customHeight="1" x14ac:dyDescent="0.25">
      <c r="A560" s="16"/>
      <c r="B560" s="108"/>
      <c r="C560" s="109"/>
      <c r="D560" s="109"/>
      <c r="E560" s="109"/>
      <c r="F560" s="17"/>
      <c r="G560" s="17"/>
      <c r="H560" s="108"/>
      <c r="I560" s="107"/>
      <c r="J560" s="108"/>
      <c r="K560" s="107"/>
      <c r="L560" s="108"/>
      <c r="M560" s="110"/>
      <c r="N560" s="109"/>
      <c r="O560" s="108"/>
      <c r="P560" s="233"/>
      <c r="Q560" s="239"/>
      <c r="R560" s="19"/>
      <c r="S560" s="20"/>
      <c r="T560" s="9" t="str">
        <f t="shared" si="37"/>
        <v xml:space="preserve"> </v>
      </c>
      <c r="U560" s="18"/>
      <c r="V560" s="21"/>
      <c r="W560" s="22"/>
      <c r="X560" s="197" t="str">
        <f t="shared" si="38"/>
        <v xml:space="preserve"> </v>
      </c>
      <c r="Y560" s="246"/>
      <c r="Z560" s="247"/>
      <c r="AA560" s="20"/>
      <c r="AB560" s="11" t="str">
        <f t="shared" si="39"/>
        <v xml:space="preserve"> </v>
      </c>
      <c r="AC560" s="12" t="str">
        <f t="shared" si="40"/>
        <v xml:space="preserve"> </v>
      </c>
    </row>
    <row r="561" spans="1:29" ht="20.100000000000001" customHeight="1" x14ac:dyDescent="0.25">
      <c r="A561" s="16"/>
      <c r="B561" s="108"/>
      <c r="C561" s="109"/>
      <c r="D561" s="109"/>
      <c r="E561" s="109"/>
      <c r="F561" s="17"/>
      <c r="G561" s="17"/>
      <c r="H561" s="108"/>
      <c r="I561" s="107"/>
      <c r="J561" s="108"/>
      <c r="K561" s="107"/>
      <c r="L561" s="108"/>
      <c r="M561" s="110"/>
      <c r="N561" s="109"/>
      <c r="O561" s="108"/>
      <c r="P561" s="233"/>
      <c r="Q561" s="239"/>
      <c r="R561" s="19"/>
      <c r="S561" s="20"/>
      <c r="T561" s="9" t="str">
        <f t="shared" si="37"/>
        <v xml:space="preserve"> </v>
      </c>
      <c r="U561" s="18"/>
      <c r="V561" s="21"/>
      <c r="W561" s="22"/>
      <c r="X561" s="197" t="str">
        <f t="shared" si="38"/>
        <v xml:space="preserve"> </v>
      </c>
      <c r="Y561" s="246"/>
      <c r="Z561" s="247"/>
      <c r="AA561" s="20"/>
      <c r="AB561" s="11" t="str">
        <f t="shared" si="39"/>
        <v xml:space="preserve"> </v>
      </c>
      <c r="AC561" s="12" t="str">
        <f t="shared" si="40"/>
        <v xml:space="preserve"> </v>
      </c>
    </row>
    <row r="562" spans="1:29" ht="20.100000000000001" customHeight="1" x14ac:dyDescent="0.25">
      <c r="A562" s="16"/>
      <c r="B562" s="108"/>
      <c r="C562" s="109"/>
      <c r="D562" s="109"/>
      <c r="E562" s="109"/>
      <c r="F562" s="17"/>
      <c r="G562" s="17"/>
      <c r="H562" s="108"/>
      <c r="I562" s="107"/>
      <c r="J562" s="108"/>
      <c r="K562" s="107"/>
      <c r="L562" s="108"/>
      <c r="M562" s="110"/>
      <c r="N562" s="109"/>
      <c r="O562" s="108"/>
      <c r="P562" s="233"/>
      <c r="Q562" s="239"/>
      <c r="R562" s="19"/>
      <c r="S562" s="20"/>
      <c r="T562" s="9" t="str">
        <f t="shared" si="37"/>
        <v xml:space="preserve"> </v>
      </c>
      <c r="U562" s="18"/>
      <c r="V562" s="21"/>
      <c r="W562" s="22"/>
      <c r="X562" s="197" t="str">
        <f t="shared" si="38"/>
        <v xml:space="preserve"> </v>
      </c>
      <c r="Y562" s="246"/>
      <c r="Z562" s="247"/>
      <c r="AA562" s="20"/>
      <c r="AB562" s="11" t="str">
        <f t="shared" si="39"/>
        <v xml:space="preserve"> </v>
      </c>
      <c r="AC562" s="12" t="str">
        <f t="shared" si="40"/>
        <v xml:space="preserve"> </v>
      </c>
    </row>
    <row r="563" spans="1:29" ht="20.100000000000001" customHeight="1" x14ac:dyDescent="0.25">
      <c r="A563" s="16"/>
      <c r="B563" s="108"/>
      <c r="C563" s="109"/>
      <c r="D563" s="109"/>
      <c r="E563" s="109"/>
      <c r="F563" s="17"/>
      <c r="G563" s="17"/>
      <c r="H563" s="108"/>
      <c r="I563" s="107"/>
      <c r="J563" s="108"/>
      <c r="K563" s="107"/>
      <c r="L563" s="108"/>
      <c r="M563" s="110"/>
      <c r="N563" s="109"/>
      <c r="O563" s="108"/>
      <c r="P563" s="233"/>
      <c r="Q563" s="239"/>
      <c r="R563" s="19"/>
      <c r="S563" s="20"/>
      <c r="T563" s="9" t="str">
        <f t="shared" si="37"/>
        <v xml:space="preserve"> </v>
      </c>
      <c r="U563" s="18"/>
      <c r="V563" s="21"/>
      <c r="W563" s="22"/>
      <c r="X563" s="197" t="str">
        <f t="shared" si="38"/>
        <v xml:space="preserve"> </v>
      </c>
      <c r="Y563" s="246"/>
      <c r="Z563" s="247"/>
      <c r="AA563" s="20"/>
      <c r="AB563" s="11" t="str">
        <f t="shared" si="39"/>
        <v xml:space="preserve"> </v>
      </c>
      <c r="AC563" s="12" t="str">
        <f t="shared" si="40"/>
        <v xml:space="preserve"> </v>
      </c>
    </row>
    <row r="564" spans="1:29" ht="20.100000000000001" customHeight="1" x14ac:dyDescent="0.25">
      <c r="A564" s="16"/>
      <c r="B564" s="108"/>
      <c r="C564" s="109"/>
      <c r="D564" s="109"/>
      <c r="E564" s="109"/>
      <c r="F564" s="17"/>
      <c r="G564" s="17"/>
      <c r="H564" s="108"/>
      <c r="I564" s="107"/>
      <c r="J564" s="108"/>
      <c r="K564" s="107"/>
      <c r="L564" s="108"/>
      <c r="M564" s="110"/>
      <c r="N564" s="109"/>
      <c r="O564" s="108"/>
      <c r="P564" s="233"/>
      <c r="Q564" s="239"/>
      <c r="R564" s="19"/>
      <c r="S564" s="20"/>
      <c r="T564" s="9" t="str">
        <f t="shared" si="37"/>
        <v xml:space="preserve"> </v>
      </c>
      <c r="U564" s="18"/>
      <c r="V564" s="21"/>
      <c r="W564" s="22"/>
      <c r="X564" s="197" t="str">
        <f t="shared" si="38"/>
        <v xml:space="preserve"> </v>
      </c>
      <c r="Y564" s="246"/>
      <c r="Z564" s="247"/>
      <c r="AA564" s="20"/>
      <c r="AB564" s="11" t="str">
        <f t="shared" si="39"/>
        <v xml:space="preserve"> </v>
      </c>
      <c r="AC564" s="12" t="str">
        <f t="shared" si="40"/>
        <v xml:space="preserve"> </v>
      </c>
    </row>
    <row r="565" spans="1:29" ht="20.100000000000001" customHeight="1" x14ac:dyDescent="0.25">
      <c r="A565" s="16"/>
      <c r="B565" s="108"/>
      <c r="C565" s="109"/>
      <c r="D565" s="109"/>
      <c r="E565" s="109"/>
      <c r="F565" s="17"/>
      <c r="G565" s="17"/>
      <c r="H565" s="108"/>
      <c r="I565" s="107"/>
      <c r="J565" s="108"/>
      <c r="K565" s="107"/>
      <c r="L565" s="108"/>
      <c r="M565" s="110"/>
      <c r="N565" s="109"/>
      <c r="O565" s="108"/>
      <c r="P565" s="233"/>
      <c r="Q565" s="239"/>
      <c r="R565" s="19"/>
      <c r="S565" s="20"/>
      <c r="T565" s="9" t="str">
        <f t="shared" si="37"/>
        <v xml:space="preserve"> </v>
      </c>
      <c r="U565" s="18"/>
      <c r="V565" s="21"/>
      <c r="W565" s="22"/>
      <c r="X565" s="197" t="str">
        <f t="shared" si="38"/>
        <v xml:space="preserve"> </v>
      </c>
      <c r="Y565" s="246"/>
      <c r="Z565" s="247"/>
      <c r="AA565" s="20"/>
      <c r="AB565" s="11" t="str">
        <f t="shared" si="39"/>
        <v xml:space="preserve"> </v>
      </c>
      <c r="AC565" s="12" t="str">
        <f t="shared" si="40"/>
        <v xml:space="preserve"> </v>
      </c>
    </row>
    <row r="566" spans="1:29" ht="20.100000000000001" customHeight="1" x14ac:dyDescent="0.25">
      <c r="A566" s="16"/>
      <c r="B566" s="108"/>
      <c r="C566" s="109"/>
      <c r="D566" s="109"/>
      <c r="E566" s="109"/>
      <c r="F566" s="17"/>
      <c r="G566" s="17"/>
      <c r="H566" s="108"/>
      <c r="I566" s="107"/>
      <c r="J566" s="108"/>
      <c r="K566" s="107"/>
      <c r="L566" s="108"/>
      <c r="M566" s="110"/>
      <c r="N566" s="109"/>
      <c r="O566" s="108"/>
      <c r="P566" s="233"/>
      <c r="Q566" s="239"/>
      <c r="R566" s="19"/>
      <c r="S566" s="20"/>
      <c r="T566" s="9" t="str">
        <f t="shared" si="37"/>
        <v xml:space="preserve"> </v>
      </c>
      <c r="U566" s="18"/>
      <c r="V566" s="21"/>
      <c r="W566" s="22"/>
      <c r="X566" s="197" t="str">
        <f t="shared" si="38"/>
        <v xml:space="preserve"> </v>
      </c>
      <c r="Y566" s="246"/>
      <c r="Z566" s="247"/>
      <c r="AA566" s="20"/>
      <c r="AB566" s="11" t="str">
        <f t="shared" si="39"/>
        <v xml:space="preserve"> </v>
      </c>
      <c r="AC566" s="12" t="str">
        <f t="shared" si="40"/>
        <v xml:space="preserve"> </v>
      </c>
    </row>
    <row r="567" spans="1:29" ht="20.100000000000001" customHeight="1" x14ac:dyDescent="0.25">
      <c r="A567" s="16"/>
      <c r="B567" s="108"/>
      <c r="C567" s="109"/>
      <c r="D567" s="109"/>
      <c r="E567" s="109"/>
      <c r="F567" s="17"/>
      <c r="G567" s="17"/>
      <c r="H567" s="108"/>
      <c r="I567" s="107"/>
      <c r="J567" s="108"/>
      <c r="K567" s="107"/>
      <c r="L567" s="108"/>
      <c r="M567" s="110"/>
      <c r="N567" s="109"/>
      <c r="O567" s="108"/>
      <c r="P567" s="233"/>
      <c r="Q567" s="239"/>
      <c r="R567" s="19"/>
      <c r="S567" s="20"/>
      <c r="T567" s="9" t="str">
        <f t="shared" si="37"/>
        <v xml:space="preserve"> </v>
      </c>
      <c r="U567" s="18"/>
      <c r="V567" s="21"/>
      <c r="W567" s="22"/>
      <c r="X567" s="197" t="str">
        <f t="shared" si="38"/>
        <v xml:space="preserve"> </v>
      </c>
      <c r="Y567" s="246"/>
      <c r="Z567" s="247"/>
      <c r="AA567" s="20"/>
      <c r="AB567" s="11" t="str">
        <f t="shared" si="39"/>
        <v xml:space="preserve"> </v>
      </c>
      <c r="AC567" s="12" t="str">
        <f t="shared" si="40"/>
        <v xml:space="preserve"> </v>
      </c>
    </row>
    <row r="568" spans="1:29" ht="20.100000000000001" customHeight="1" x14ac:dyDescent="0.25">
      <c r="A568" s="16"/>
      <c r="B568" s="108"/>
      <c r="C568" s="109"/>
      <c r="D568" s="109"/>
      <c r="E568" s="109"/>
      <c r="F568" s="17"/>
      <c r="G568" s="17"/>
      <c r="H568" s="108"/>
      <c r="I568" s="107"/>
      <c r="J568" s="108"/>
      <c r="K568" s="107"/>
      <c r="L568" s="108"/>
      <c r="M568" s="110"/>
      <c r="N568" s="109"/>
      <c r="O568" s="108"/>
      <c r="P568" s="233"/>
      <c r="Q568" s="239"/>
      <c r="R568" s="19"/>
      <c r="S568" s="20"/>
      <c r="T568" s="9" t="str">
        <f t="shared" si="37"/>
        <v xml:space="preserve"> </v>
      </c>
      <c r="U568" s="18"/>
      <c r="V568" s="21"/>
      <c r="W568" s="22"/>
      <c r="X568" s="197" t="str">
        <f t="shared" si="38"/>
        <v xml:space="preserve"> </v>
      </c>
      <c r="Y568" s="246"/>
      <c r="Z568" s="247"/>
      <c r="AA568" s="20"/>
      <c r="AB568" s="11" t="str">
        <f t="shared" si="39"/>
        <v xml:space="preserve"> </v>
      </c>
      <c r="AC568" s="12" t="str">
        <f t="shared" si="40"/>
        <v xml:space="preserve"> </v>
      </c>
    </row>
    <row r="569" spans="1:29" ht="20.100000000000001" customHeight="1" x14ac:dyDescent="0.25">
      <c r="A569" s="16"/>
      <c r="B569" s="108"/>
      <c r="C569" s="109"/>
      <c r="D569" s="109"/>
      <c r="E569" s="109"/>
      <c r="F569" s="17"/>
      <c r="G569" s="17"/>
      <c r="H569" s="108"/>
      <c r="I569" s="107"/>
      <c r="J569" s="108"/>
      <c r="K569" s="107"/>
      <c r="L569" s="108"/>
      <c r="M569" s="110"/>
      <c r="N569" s="109"/>
      <c r="O569" s="108"/>
      <c r="P569" s="233"/>
      <c r="Q569" s="239"/>
      <c r="R569" s="19"/>
      <c r="S569" s="20"/>
      <c r="T569" s="9" t="str">
        <f t="shared" si="37"/>
        <v xml:space="preserve"> </v>
      </c>
      <c r="U569" s="18"/>
      <c r="V569" s="21"/>
      <c r="W569" s="22"/>
      <c r="X569" s="197" t="str">
        <f t="shared" si="38"/>
        <v xml:space="preserve"> </v>
      </c>
      <c r="Y569" s="246"/>
      <c r="Z569" s="247"/>
      <c r="AA569" s="20"/>
      <c r="AB569" s="11" t="str">
        <f t="shared" si="39"/>
        <v xml:space="preserve"> </v>
      </c>
      <c r="AC569" s="12" t="str">
        <f t="shared" si="40"/>
        <v xml:space="preserve"> </v>
      </c>
    </row>
    <row r="570" spans="1:29" ht="20.100000000000001" customHeight="1" x14ac:dyDescent="0.25">
      <c r="A570" s="16"/>
      <c r="B570" s="108"/>
      <c r="C570" s="109"/>
      <c r="D570" s="109"/>
      <c r="E570" s="109"/>
      <c r="F570" s="17"/>
      <c r="G570" s="17"/>
      <c r="H570" s="108"/>
      <c r="I570" s="107"/>
      <c r="J570" s="108"/>
      <c r="K570" s="107"/>
      <c r="L570" s="108"/>
      <c r="M570" s="110"/>
      <c r="N570" s="109"/>
      <c r="O570" s="108"/>
      <c r="P570" s="233"/>
      <c r="Q570" s="239"/>
      <c r="R570" s="19"/>
      <c r="S570" s="20"/>
      <c r="T570" s="9" t="str">
        <f t="shared" si="37"/>
        <v xml:space="preserve"> </v>
      </c>
      <c r="U570" s="18"/>
      <c r="V570" s="21"/>
      <c r="W570" s="22"/>
      <c r="X570" s="197" t="str">
        <f t="shared" si="38"/>
        <v xml:space="preserve"> </v>
      </c>
      <c r="Y570" s="246"/>
      <c r="Z570" s="247"/>
      <c r="AA570" s="20"/>
      <c r="AB570" s="11" t="str">
        <f t="shared" si="39"/>
        <v xml:space="preserve"> </v>
      </c>
      <c r="AC570" s="12" t="str">
        <f t="shared" si="40"/>
        <v xml:space="preserve"> </v>
      </c>
    </row>
    <row r="571" spans="1:29" ht="20.100000000000001" customHeight="1" x14ac:dyDescent="0.25">
      <c r="A571" s="16"/>
      <c r="B571" s="108"/>
      <c r="C571" s="109"/>
      <c r="D571" s="109"/>
      <c r="E571" s="109"/>
      <c r="F571" s="17"/>
      <c r="G571" s="17"/>
      <c r="H571" s="108"/>
      <c r="I571" s="107"/>
      <c r="J571" s="108"/>
      <c r="K571" s="107"/>
      <c r="L571" s="108"/>
      <c r="M571" s="110"/>
      <c r="N571" s="109"/>
      <c r="O571" s="108"/>
      <c r="P571" s="233"/>
      <c r="Q571" s="239"/>
      <c r="R571" s="19"/>
      <c r="S571" s="20"/>
      <c r="T571" s="9" t="str">
        <f t="shared" si="37"/>
        <v xml:space="preserve"> </v>
      </c>
      <c r="U571" s="18"/>
      <c r="V571" s="21"/>
      <c r="W571" s="22"/>
      <c r="X571" s="197" t="str">
        <f t="shared" si="38"/>
        <v xml:space="preserve"> </v>
      </c>
      <c r="Y571" s="246"/>
      <c r="Z571" s="247"/>
      <c r="AA571" s="20"/>
      <c r="AB571" s="11" t="str">
        <f t="shared" si="39"/>
        <v xml:space="preserve"> </v>
      </c>
      <c r="AC571" s="12" t="str">
        <f t="shared" si="40"/>
        <v xml:space="preserve"> </v>
      </c>
    </row>
    <row r="572" spans="1:29" ht="20.100000000000001" customHeight="1" x14ac:dyDescent="0.25">
      <c r="A572" s="16"/>
      <c r="B572" s="108"/>
      <c r="C572" s="109"/>
      <c r="D572" s="109"/>
      <c r="E572" s="109"/>
      <c r="F572" s="17"/>
      <c r="G572" s="17"/>
      <c r="H572" s="108"/>
      <c r="I572" s="107"/>
      <c r="J572" s="108"/>
      <c r="K572" s="107"/>
      <c r="L572" s="108"/>
      <c r="M572" s="110"/>
      <c r="N572" s="109"/>
      <c r="O572" s="108"/>
      <c r="P572" s="233"/>
      <c r="Q572" s="239"/>
      <c r="R572" s="19"/>
      <c r="S572" s="20"/>
      <c r="T572" s="9" t="str">
        <f t="shared" si="37"/>
        <v xml:space="preserve"> </v>
      </c>
      <c r="U572" s="18"/>
      <c r="V572" s="21"/>
      <c r="W572" s="22"/>
      <c r="X572" s="197" t="str">
        <f t="shared" si="38"/>
        <v xml:space="preserve"> </v>
      </c>
      <c r="Y572" s="246"/>
      <c r="Z572" s="247"/>
      <c r="AA572" s="20"/>
      <c r="AB572" s="11" t="str">
        <f t="shared" si="39"/>
        <v xml:space="preserve"> </v>
      </c>
      <c r="AC572" s="12" t="str">
        <f t="shared" si="40"/>
        <v xml:space="preserve"> </v>
      </c>
    </row>
    <row r="573" spans="1:29" ht="20.100000000000001" customHeight="1" x14ac:dyDescent="0.25">
      <c r="A573" s="16"/>
      <c r="B573" s="108"/>
      <c r="C573" s="109"/>
      <c r="D573" s="109"/>
      <c r="E573" s="109"/>
      <c r="F573" s="17"/>
      <c r="G573" s="17"/>
      <c r="H573" s="108"/>
      <c r="I573" s="107"/>
      <c r="J573" s="108"/>
      <c r="K573" s="107"/>
      <c r="L573" s="108"/>
      <c r="M573" s="110"/>
      <c r="N573" s="109"/>
      <c r="O573" s="108"/>
      <c r="P573" s="233"/>
      <c r="Q573" s="239"/>
      <c r="R573" s="19"/>
      <c r="S573" s="20"/>
      <c r="T573" s="9" t="str">
        <f t="shared" si="37"/>
        <v xml:space="preserve"> </v>
      </c>
      <c r="U573" s="18"/>
      <c r="V573" s="21"/>
      <c r="W573" s="22"/>
      <c r="X573" s="197" t="str">
        <f t="shared" si="38"/>
        <v xml:space="preserve"> </v>
      </c>
      <c r="Y573" s="246"/>
      <c r="Z573" s="247"/>
      <c r="AA573" s="20"/>
      <c r="AB573" s="11" t="str">
        <f t="shared" si="39"/>
        <v xml:space="preserve"> </v>
      </c>
      <c r="AC573" s="12" t="str">
        <f t="shared" si="40"/>
        <v xml:space="preserve"> </v>
      </c>
    </row>
    <row r="574" spans="1:29" ht="20.100000000000001" customHeight="1" x14ac:dyDescent="0.25">
      <c r="A574" s="16"/>
      <c r="B574" s="108"/>
      <c r="C574" s="109"/>
      <c r="D574" s="109"/>
      <c r="E574" s="109"/>
      <c r="F574" s="17"/>
      <c r="G574" s="17"/>
      <c r="H574" s="108"/>
      <c r="I574" s="107"/>
      <c r="J574" s="108"/>
      <c r="K574" s="107"/>
      <c r="L574" s="108"/>
      <c r="M574" s="110"/>
      <c r="N574" s="109"/>
      <c r="O574" s="108"/>
      <c r="P574" s="233"/>
      <c r="Q574" s="239"/>
      <c r="R574" s="19"/>
      <c r="S574" s="20"/>
      <c r="T574" s="9" t="str">
        <f t="shared" si="37"/>
        <v xml:space="preserve"> </v>
      </c>
      <c r="U574" s="18"/>
      <c r="V574" s="21"/>
      <c r="W574" s="22"/>
      <c r="X574" s="197" t="str">
        <f t="shared" si="38"/>
        <v xml:space="preserve"> </v>
      </c>
      <c r="Y574" s="246"/>
      <c r="Z574" s="247"/>
      <c r="AA574" s="20"/>
      <c r="AB574" s="11" t="str">
        <f t="shared" si="39"/>
        <v xml:space="preserve"> </v>
      </c>
      <c r="AC574" s="12" t="str">
        <f t="shared" si="40"/>
        <v xml:space="preserve"> </v>
      </c>
    </row>
    <row r="575" spans="1:29" ht="20.100000000000001" customHeight="1" x14ac:dyDescent="0.25">
      <c r="A575" s="16"/>
      <c r="B575" s="108"/>
      <c r="C575" s="109"/>
      <c r="D575" s="109"/>
      <c r="E575" s="109"/>
      <c r="F575" s="17"/>
      <c r="G575" s="17"/>
      <c r="H575" s="108"/>
      <c r="I575" s="107"/>
      <c r="J575" s="108"/>
      <c r="K575" s="107"/>
      <c r="L575" s="108"/>
      <c r="M575" s="110"/>
      <c r="N575" s="109"/>
      <c r="O575" s="108"/>
      <c r="P575" s="233"/>
      <c r="Q575" s="239"/>
      <c r="R575" s="19"/>
      <c r="S575" s="20"/>
      <c r="T575" s="9" t="str">
        <f t="shared" si="37"/>
        <v xml:space="preserve"> </v>
      </c>
      <c r="U575" s="18"/>
      <c r="V575" s="21"/>
      <c r="W575" s="22"/>
      <c r="X575" s="197" t="str">
        <f t="shared" si="38"/>
        <v xml:space="preserve"> </v>
      </c>
      <c r="Y575" s="246"/>
      <c r="Z575" s="247"/>
      <c r="AA575" s="20"/>
      <c r="AB575" s="11" t="str">
        <f t="shared" si="39"/>
        <v xml:space="preserve"> </v>
      </c>
      <c r="AC575" s="12" t="str">
        <f t="shared" si="40"/>
        <v xml:space="preserve"> </v>
      </c>
    </row>
    <row r="576" spans="1:29" ht="20.100000000000001" customHeight="1" x14ac:dyDescent="0.25">
      <c r="A576" s="16"/>
      <c r="B576" s="108"/>
      <c r="C576" s="109"/>
      <c r="D576" s="109"/>
      <c r="E576" s="109"/>
      <c r="F576" s="17"/>
      <c r="G576" s="17"/>
      <c r="H576" s="108"/>
      <c r="I576" s="107"/>
      <c r="J576" s="108"/>
      <c r="K576" s="107"/>
      <c r="L576" s="108"/>
      <c r="M576" s="110"/>
      <c r="N576" s="109"/>
      <c r="O576" s="108"/>
      <c r="P576" s="233"/>
      <c r="Q576" s="239"/>
      <c r="R576" s="19"/>
      <c r="S576" s="20"/>
      <c r="T576" s="9" t="str">
        <f t="shared" si="37"/>
        <v xml:space="preserve"> </v>
      </c>
      <c r="U576" s="18"/>
      <c r="V576" s="21"/>
      <c r="W576" s="22"/>
      <c r="X576" s="197" t="str">
        <f t="shared" si="38"/>
        <v xml:space="preserve"> </v>
      </c>
      <c r="Y576" s="246"/>
      <c r="Z576" s="247"/>
      <c r="AA576" s="20"/>
      <c r="AB576" s="11" t="str">
        <f t="shared" si="39"/>
        <v xml:space="preserve"> </v>
      </c>
      <c r="AC576" s="12" t="str">
        <f t="shared" si="40"/>
        <v xml:space="preserve"> </v>
      </c>
    </row>
    <row r="577" spans="1:29" ht="20.100000000000001" customHeight="1" x14ac:dyDescent="0.25">
      <c r="A577" s="16"/>
      <c r="B577" s="108"/>
      <c r="C577" s="109"/>
      <c r="D577" s="109"/>
      <c r="E577" s="109"/>
      <c r="F577" s="17"/>
      <c r="G577" s="17"/>
      <c r="H577" s="108"/>
      <c r="I577" s="107"/>
      <c r="J577" s="108"/>
      <c r="K577" s="107"/>
      <c r="L577" s="108"/>
      <c r="M577" s="110"/>
      <c r="N577" s="109"/>
      <c r="O577" s="108"/>
      <c r="P577" s="233"/>
      <c r="Q577" s="239"/>
      <c r="R577" s="19"/>
      <c r="S577" s="20"/>
      <c r="T577" s="9" t="str">
        <f t="shared" si="37"/>
        <v xml:space="preserve"> </v>
      </c>
      <c r="U577" s="18"/>
      <c r="V577" s="21"/>
      <c r="W577" s="22"/>
      <c r="X577" s="197" t="str">
        <f t="shared" si="38"/>
        <v xml:space="preserve"> </v>
      </c>
      <c r="Y577" s="246"/>
      <c r="Z577" s="247"/>
      <c r="AA577" s="20"/>
      <c r="AB577" s="11" t="str">
        <f t="shared" si="39"/>
        <v xml:space="preserve"> </v>
      </c>
      <c r="AC577" s="12" t="str">
        <f t="shared" si="40"/>
        <v xml:space="preserve"> </v>
      </c>
    </row>
    <row r="578" spans="1:29" ht="20.100000000000001" customHeight="1" x14ac:dyDescent="0.25">
      <c r="A578" s="16"/>
      <c r="B578" s="108"/>
      <c r="C578" s="109"/>
      <c r="D578" s="109"/>
      <c r="E578" s="109"/>
      <c r="F578" s="17"/>
      <c r="G578" s="17"/>
      <c r="H578" s="108"/>
      <c r="I578" s="107"/>
      <c r="J578" s="108"/>
      <c r="K578" s="107"/>
      <c r="L578" s="108"/>
      <c r="M578" s="110"/>
      <c r="N578" s="109"/>
      <c r="O578" s="108"/>
      <c r="P578" s="233"/>
      <c r="Q578" s="239"/>
      <c r="R578" s="19"/>
      <c r="S578" s="20"/>
      <c r="T578" s="9" t="str">
        <f t="shared" si="37"/>
        <v xml:space="preserve"> </v>
      </c>
      <c r="U578" s="18"/>
      <c r="V578" s="21"/>
      <c r="W578" s="22"/>
      <c r="X578" s="197" t="str">
        <f t="shared" si="38"/>
        <v xml:space="preserve"> </v>
      </c>
      <c r="Y578" s="246"/>
      <c r="Z578" s="247"/>
      <c r="AA578" s="20"/>
      <c r="AB578" s="11" t="str">
        <f t="shared" si="39"/>
        <v xml:space="preserve"> </v>
      </c>
      <c r="AC578" s="12" t="str">
        <f t="shared" si="40"/>
        <v xml:space="preserve"> </v>
      </c>
    </row>
    <row r="579" spans="1:29" ht="20.100000000000001" customHeight="1" x14ac:dyDescent="0.25">
      <c r="A579" s="16"/>
      <c r="B579" s="108"/>
      <c r="C579" s="109"/>
      <c r="D579" s="109"/>
      <c r="E579" s="109"/>
      <c r="F579" s="17"/>
      <c r="G579" s="17"/>
      <c r="H579" s="108"/>
      <c r="I579" s="107"/>
      <c r="J579" s="108"/>
      <c r="K579" s="107"/>
      <c r="L579" s="108"/>
      <c r="M579" s="110"/>
      <c r="N579" s="109"/>
      <c r="O579" s="108"/>
      <c r="P579" s="233"/>
      <c r="Q579" s="239"/>
      <c r="R579" s="19"/>
      <c r="S579" s="20"/>
      <c r="T579" s="9" t="str">
        <f t="shared" si="37"/>
        <v xml:space="preserve"> </v>
      </c>
      <c r="U579" s="18"/>
      <c r="V579" s="21"/>
      <c r="W579" s="22"/>
      <c r="X579" s="197" t="str">
        <f t="shared" si="38"/>
        <v xml:space="preserve"> </v>
      </c>
      <c r="Y579" s="246"/>
      <c r="Z579" s="247"/>
      <c r="AA579" s="20"/>
      <c r="AB579" s="11" t="str">
        <f t="shared" si="39"/>
        <v xml:space="preserve"> </v>
      </c>
      <c r="AC579" s="12" t="str">
        <f t="shared" si="40"/>
        <v xml:space="preserve"> </v>
      </c>
    </row>
    <row r="580" spans="1:29" ht="20.100000000000001" customHeight="1" x14ac:dyDescent="0.25">
      <c r="A580" s="16"/>
      <c r="B580" s="108"/>
      <c r="C580" s="109"/>
      <c r="D580" s="109"/>
      <c r="E580" s="109"/>
      <c r="F580" s="17"/>
      <c r="G580" s="17"/>
      <c r="H580" s="108"/>
      <c r="I580" s="107"/>
      <c r="J580" s="108"/>
      <c r="K580" s="107"/>
      <c r="L580" s="108"/>
      <c r="M580" s="110"/>
      <c r="N580" s="109"/>
      <c r="O580" s="108"/>
      <c r="P580" s="233"/>
      <c r="Q580" s="239"/>
      <c r="R580" s="19"/>
      <c r="S580" s="20"/>
      <c r="T580" s="9" t="str">
        <f t="shared" ref="T580:T643" si="41">IF(ISBLANK(R580)," ",((ROUND(S580,2)-(ROUND(R580,2)))/(ROUND(R580,2))))</f>
        <v xml:space="preserve"> </v>
      </c>
      <c r="U580" s="18"/>
      <c r="V580" s="21"/>
      <c r="W580" s="22"/>
      <c r="X580" s="197" t="str">
        <f t="shared" ref="X580:X643" si="42">IF(ISBLANK(R580)," ",((ROUND(W580,2))-(ROUND(R580,2)))/(ROUND(R580,2)))</f>
        <v xml:space="preserve"> </v>
      </c>
      <c r="Y580" s="246"/>
      <c r="Z580" s="247"/>
      <c r="AA580" s="20"/>
      <c r="AB580" s="11" t="str">
        <f t="shared" ref="AB580:AB643" si="43">IF(ISBLANK(R580)," ",((ROUND(AA580,2))-(ROUND(R580,2)))/(ROUND(R580,2)))</f>
        <v xml:space="preserve"> </v>
      </c>
      <c r="AC580" s="12" t="str">
        <f t="shared" ref="AC580:AC643" si="44">IF(ISBLANK(AA580)," ",(ROUND(AA580,2)/0.995))</f>
        <v xml:space="preserve"> </v>
      </c>
    </row>
    <row r="581" spans="1:29" ht="20.100000000000001" customHeight="1" x14ac:dyDescent="0.25">
      <c r="A581" s="16"/>
      <c r="B581" s="108"/>
      <c r="C581" s="109"/>
      <c r="D581" s="109"/>
      <c r="E581" s="109"/>
      <c r="F581" s="17"/>
      <c r="G581" s="17"/>
      <c r="H581" s="108"/>
      <c r="I581" s="107"/>
      <c r="J581" s="108"/>
      <c r="K581" s="107"/>
      <c r="L581" s="108"/>
      <c r="M581" s="110"/>
      <c r="N581" s="109"/>
      <c r="O581" s="108"/>
      <c r="P581" s="233"/>
      <c r="Q581" s="239"/>
      <c r="R581" s="19"/>
      <c r="S581" s="20"/>
      <c r="T581" s="9" t="str">
        <f t="shared" si="41"/>
        <v xml:space="preserve"> </v>
      </c>
      <c r="U581" s="18"/>
      <c r="V581" s="21"/>
      <c r="W581" s="22"/>
      <c r="X581" s="197" t="str">
        <f t="shared" si="42"/>
        <v xml:space="preserve"> </v>
      </c>
      <c r="Y581" s="246"/>
      <c r="Z581" s="247"/>
      <c r="AA581" s="20"/>
      <c r="AB581" s="11" t="str">
        <f t="shared" si="43"/>
        <v xml:space="preserve"> </v>
      </c>
      <c r="AC581" s="12" t="str">
        <f t="shared" si="44"/>
        <v xml:space="preserve"> </v>
      </c>
    </row>
    <row r="582" spans="1:29" ht="20.100000000000001" customHeight="1" x14ac:dyDescent="0.25">
      <c r="A582" s="16"/>
      <c r="B582" s="108"/>
      <c r="C582" s="109"/>
      <c r="D582" s="109"/>
      <c r="E582" s="109"/>
      <c r="F582" s="17"/>
      <c r="G582" s="17"/>
      <c r="H582" s="108"/>
      <c r="I582" s="107"/>
      <c r="J582" s="108"/>
      <c r="K582" s="107"/>
      <c r="L582" s="108"/>
      <c r="M582" s="110"/>
      <c r="N582" s="109"/>
      <c r="O582" s="108"/>
      <c r="P582" s="233"/>
      <c r="Q582" s="239"/>
      <c r="R582" s="19"/>
      <c r="S582" s="20"/>
      <c r="T582" s="9" t="str">
        <f t="shared" si="41"/>
        <v xml:space="preserve"> </v>
      </c>
      <c r="U582" s="18"/>
      <c r="V582" s="21"/>
      <c r="W582" s="22"/>
      <c r="X582" s="197" t="str">
        <f t="shared" si="42"/>
        <v xml:space="preserve"> </v>
      </c>
      <c r="Y582" s="246"/>
      <c r="Z582" s="247"/>
      <c r="AA582" s="20"/>
      <c r="AB582" s="11" t="str">
        <f t="shared" si="43"/>
        <v xml:space="preserve"> </v>
      </c>
      <c r="AC582" s="12" t="str">
        <f t="shared" si="44"/>
        <v xml:space="preserve"> </v>
      </c>
    </row>
    <row r="583" spans="1:29" ht="20.100000000000001" customHeight="1" x14ac:dyDescent="0.25">
      <c r="A583" s="16"/>
      <c r="B583" s="108"/>
      <c r="C583" s="109"/>
      <c r="D583" s="109"/>
      <c r="E583" s="109"/>
      <c r="F583" s="17"/>
      <c r="G583" s="17"/>
      <c r="H583" s="108"/>
      <c r="I583" s="107"/>
      <c r="J583" s="108"/>
      <c r="K583" s="107"/>
      <c r="L583" s="108"/>
      <c r="M583" s="110"/>
      <c r="N583" s="109"/>
      <c r="O583" s="108"/>
      <c r="P583" s="233"/>
      <c r="Q583" s="239"/>
      <c r="R583" s="19"/>
      <c r="S583" s="20"/>
      <c r="T583" s="9" t="str">
        <f t="shared" si="41"/>
        <v xml:space="preserve"> </v>
      </c>
      <c r="U583" s="18"/>
      <c r="V583" s="21"/>
      <c r="W583" s="22"/>
      <c r="X583" s="197" t="str">
        <f t="shared" si="42"/>
        <v xml:space="preserve"> </v>
      </c>
      <c r="Y583" s="246"/>
      <c r="Z583" s="247"/>
      <c r="AA583" s="20"/>
      <c r="AB583" s="11" t="str">
        <f t="shared" si="43"/>
        <v xml:space="preserve"> </v>
      </c>
      <c r="AC583" s="12" t="str">
        <f t="shared" si="44"/>
        <v xml:space="preserve"> </v>
      </c>
    </row>
    <row r="584" spans="1:29" ht="20.100000000000001" customHeight="1" x14ac:dyDescent="0.25">
      <c r="A584" s="16"/>
      <c r="B584" s="108"/>
      <c r="C584" s="109"/>
      <c r="D584" s="109"/>
      <c r="E584" s="109"/>
      <c r="F584" s="17"/>
      <c r="G584" s="17"/>
      <c r="H584" s="108"/>
      <c r="I584" s="107"/>
      <c r="J584" s="108"/>
      <c r="K584" s="107"/>
      <c r="L584" s="108"/>
      <c r="M584" s="110"/>
      <c r="N584" s="109"/>
      <c r="O584" s="108"/>
      <c r="P584" s="233"/>
      <c r="Q584" s="239"/>
      <c r="R584" s="19"/>
      <c r="S584" s="20"/>
      <c r="T584" s="9" t="str">
        <f t="shared" si="41"/>
        <v xml:space="preserve"> </v>
      </c>
      <c r="U584" s="18"/>
      <c r="V584" s="21"/>
      <c r="W584" s="22"/>
      <c r="X584" s="197" t="str">
        <f t="shared" si="42"/>
        <v xml:space="preserve"> </v>
      </c>
      <c r="Y584" s="246"/>
      <c r="Z584" s="247"/>
      <c r="AA584" s="20"/>
      <c r="AB584" s="11" t="str">
        <f t="shared" si="43"/>
        <v xml:space="preserve"> </v>
      </c>
      <c r="AC584" s="12" t="str">
        <f t="shared" si="44"/>
        <v xml:space="preserve"> </v>
      </c>
    </row>
    <row r="585" spans="1:29" ht="20.100000000000001" customHeight="1" x14ac:dyDescent="0.25">
      <c r="A585" s="16"/>
      <c r="B585" s="108"/>
      <c r="C585" s="109"/>
      <c r="D585" s="109"/>
      <c r="E585" s="109"/>
      <c r="F585" s="17"/>
      <c r="G585" s="17"/>
      <c r="H585" s="108"/>
      <c r="I585" s="107"/>
      <c r="J585" s="108"/>
      <c r="K585" s="107"/>
      <c r="L585" s="108"/>
      <c r="M585" s="110"/>
      <c r="N585" s="109"/>
      <c r="O585" s="108"/>
      <c r="P585" s="233"/>
      <c r="Q585" s="239"/>
      <c r="R585" s="19"/>
      <c r="S585" s="20"/>
      <c r="T585" s="9" t="str">
        <f t="shared" si="41"/>
        <v xml:space="preserve"> </v>
      </c>
      <c r="U585" s="18"/>
      <c r="V585" s="21"/>
      <c r="W585" s="22"/>
      <c r="X585" s="197" t="str">
        <f t="shared" si="42"/>
        <v xml:space="preserve"> </v>
      </c>
      <c r="Y585" s="246"/>
      <c r="Z585" s="247"/>
      <c r="AA585" s="20"/>
      <c r="AB585" s="11" t="str">
        <f t="shared" si="43"/>
        <v xml:space="preserve"> </v>
      </c>
      <c r="AC585" s="12" t="str">
        <f t="shared" si="44"/>
        <v xml:space="preserve"> </v>
      </c>
    </row>
    <row r="586" spans="1:29" ht="20.100000000000001" customHeight="1" x14ac:dyDescent="0.25">
      <c r="A586" s="16"/>
      <c r="B586" s="108"/>
      <c r="C586" s="109"/>
      <c r="D586" s="109"/>
      <c r="E586" s="109"/>
      <c r="F586" s="17"/>
      <c r="G586" s="17"/>
      <c r="H586" s="108"/>
      <c r="I586" s="107"/>
      <c r="J586" s="108"/>
      <c r="K586" s="107"/>
      <c r="L586" s="108"/>
      <c r="M586" s="110"/>
      <c r="N586" s="109"/>
      <c r="O586" s="108"/>
      <c r="P586" s="233"/>
      <c r="Q586" s="239"/>
      <c r="R586" s="19"/>
      <c r="S586" s="20"/>
      <c r="T586" s="9" t="str">
        <f t="shared" si="41"/>
        <v xml:space="preserve"> </v>
      </c>
      <c r="U586" s="18"/>
      <c r="V586" s="21"/>
      <c r="W586" s="22"/>
      <c r="X586" s="197" t="str">
        <f t="shared" si="42"/>
        <v xml:space="preserve"> </v>
      </c>
      <c r="Y586" s="246"/>
      <c r="Z586" s="247"/>
      <c r="AA586" s="20"/>
      <c r="AB586" s="11" t="str">
        <f t="shared" si="43"/>
        <v xml:space="preserve"> </v>
      </c>
      <c r="AC586" s="12" t="str">
        <f t="shared" si="44"/>
        <v xml:space="preserve"> </v>
      </c>
    </row>
    <row r="587" spans="1:29" ht="20.100000000000001" customHeight="1" x14ac:dyDescent="0.25">
      <c r="A587" s="16"/>
      <c r="B587" s="108"/>
      <c r="C587" s="109"/>
      <c r="D587" s="109"/>
      <c r="E587" s="109"/>
      <c r="F587" s="17"/>
      <c r="G587" s="17"/>
      <c r="H587" s="108"/>
      <c r="I587" s="107"/>
      <c r="J587" s="108"/>
      <c r="K587" s="107"/>
      <c r="L587" s="108"/>
      <c r="M587" s="110"/>
      <c r="N587" s="109"/>
      <c r="O587" s="108"/>
      <c r="P587" s="233"/>
      <c r="Q587" s="239"/>
      <c r="R587" s="19"/>
      <c r="S587" s="20"/>
      <c r="T587" s="9" t="str">
        <f t="shared" si="41"/>
        <v xml:space="preserve"> </v>
      </c>
      <c r="U587" s="18"/>
      <c r="V587" s="21"/>
      <c r="W587" s="22"/>
      <c r="X587" s="197" t="str">
        <f t="shared" si="42"/>
        <v xml:space="preserve"> </v>
      </c>
      <c r="Y587" s="246"/>
      <c r="Z587" s="247"/>
      <c r="AA587" s="20"/>
      <c r="AB587" s="11" t="str">
        <f t="shared" si="43"/>
        <v xml:space="preserve"> </v>
      </c>
      <c r="AC587" s="12" t="str">
        <f t="shared" si="44"/>
        <v xml:space="preserve"> </v>
      </c>
    </row>
    <row r="588" spans="1:29" ht="20.100000000000001" customHeight="1" x14ac:dyDescent="0.25">
      <c r="A588" s="16"/>
      <c r="B588" s="108"/>
      <c r="C588" s="109"/>
      <c r="D588" s="109"/>
      <c r="E588" s="109"/>
      <c r="F588" s="17"/>
      <c r="G588" s="17"/>
      <c r="H588" s="108"/>
      <c r="I588" s="107"/>
      <c r="J588" s="108"/>
      <c r="K588" s="107"/>
      <c r="L588" s="108"/>
      <c r="M588" s="110"/>
      <c r="N588" s="109"/>
      <c r="O588" s="108"/>
      <c r="P588" s="233"/>
      <c r="Q588" s="239"/>
      <c r="R588" s="19"/>
      <c r="S588" s="20"/>
      <c r="T588" s="9" t="str">
        <f t="shared" si="41"/>
        <v xml:space="preserve"> </v>
      </c>
      <c r="U588" s="18"/>
      <c r="V588" s="21"/>
      <c r="W588" s="22"/>
      <c r="X588" s="197" t="str">
        <f t="shared" si="42"/>
        <v xml:space="preserve"> </v>
      </c>
      <c r="Y588" s="246"/>
      <c r="Z588" s="247"/>
      <c r="AA588" s="20"/>
      <c r="AB588" s="11" t="str">
        <f t="shared" si="43"/>
        <v xml:space="preserve"> </v>
      </c>
      <c r="AC588" s="12" t="str">
        <f t="shared" si="44"/>
        <v xml:space="preserve"> </v>
      </c>
    </row>
    <row r="589" spans="1:29" ht="20.100000000000001" customHeight="1" x14ac:dyDescent="0.25">
      <c r="A589" s="16"/>
      <c r="B589" s="108"/>
      <c r="C589" s="109"/>
      <c r="D589" s="109"/>
      <c r="E589" s="109"/>
      <c r="F589" s="17"/>
      <c r="G589" s="17"/>
      <c r="H589" s="108"/>
      <c r="I589" s="107"/>
      <c r="J589" s="108"/>
      <c r="K589" s="107"/>
      <c r="L589" s="108"/>
      <c r="M589" s="110"/>
      <c r="N589" s="109"/>
      <c r="O589" s="108"/>
      <c r="P589" s="233"/>
      <c r="Q589" s="239"/>
      <c r="R589" s="19"/>
      <c r="S589" s="20"/>
      <c r="T589" s="9" t="str">
        <f t="shared" si="41"/>
        <v xml:space="preserve"> </v>
      </c>
      <c r="U589" s="18"/>
      <c r="V589" s="21"/>
      <c r="W589" s="22"/>
      <c r="X589" s="197" t="str">
        <f t="shared" si="42"/>
        <v xml:space="preserve"> </v>
      </c>
      <c r="Y589" s="246"/>
      <c r="Z589" s="247"/>
      <c r="AA589" s="20"/>
      <c r="AB589" s="11" t="str">
        <f t="shared" si="43"/>
        <v xml:space="preserve"> </v>
      </c>
      <c r="AC589" s="12" t="str">
        <f t="shared" si="44"/>
        <v xml:space="preserve"> </v>
      </c>
    </row>
    <row r="590" spans="1:29" ht="20.100000000000001" customHeight="1" x14ac:dyDescent="0.25">
      <c r="A590" s="16"/>
      <c r="B590" s="108"/>
      <c r="C590" s="109"/>
      <c r="D590" s="109"/>
      <c r="E590" s="109"/>
      <c r="F590" s="17"/>
      <c r="G590" s="17"/>
      <c r="H590" s="108"/>
      <c r="I590" s="107"/>
      <c r="J590" s="108"/>
      <c r="K590" s="107"/>
      <c r="L590" s="108"/>
      <c r="M590" s="110"/>
      <c r="N590" s="109"/>
      <c r="O590" s="108"/>
      <c r="P590" s="233"/>
      <c r="Q590" s="239"/>
      <c r="R590" s="19"/>
      <c r="S590" s="20"/>
      <c r="T590" s="9" t="str">
        <f t="shared" si="41"/>
        <v xml:space="preserve"> </v>
      </c>
      <c r="U590" s="18"/>
      <c r="V590" s="21"/>
      <c r="W590" s="22"/>
      <c r="X590" s="197" t="str">
        <f t="shared" si="42"/>
        <v xml:space="preserve"> </v>
      </c>
      <c r="Y590" s="246"/>
      <c r="Z590" s="247"/>
      <c r="AA590" s="20"/>
      <c r="AB590" s="11" t="str">
        <f t="shared" si="43"/>
        <v xml:space="preserve"> </v>
      </c>
      <c r="AC590" s="12" t="str">
        <f t="shared" si="44"/>
        <v xml:space="preserve"> </v>
      </c>
    </row>
    <row r="591" spans="1:29" ht="20.100000000000001" customHeight="1" x14ac:dyDescent="0.25">
      <c r="A591" s="16"/>
      <c r="B591" s="108"/>
      <c r="C591" s="109"/>
      <c r="D591" s="109"/>
      <c r="E591" s="109"/>
      <c r="F591" s="17"/>
      <c r="G591" s="17"/>
      <c r="H591" s="108"/>
      <c r="I591" s="107"/>
      <c r="J591" s="108"/>
      <c r="K591" s="107"/>
      <c r="L591" s="108"/>
      <c r="M591" s="110"/>
      <c r="N591" s="109"/>
      <c r="O591" s="108"/>
      <c r="P591" s="233"/>
      <c r="Q591" s="239"/>
      <c r="R591" s="19"/>
      <c r="S591" s="20"/>
      <c r="T591" s="9" t="str">
        <f t="shared" si="41"/>
        <v xml:space="preserve"> </v>
      </c>
      <c r="U591" s="18"/>
      <c r="V591" s="21"/>
      <c r="W591" s="22"/>
      <c r="X591" s="197" t="str">
        <f t="shared" si="42"/>
        <v xml:space="preserve"> </v>
      </c>
      <c r="Y591" s="246"/>
      <c r="Z591" s="247"/>
      <c r="AA591" s="20"/>
      <c r="AB591" s="11" t="str">
        <f t="shared" si="43"/>
        <v xml:space="preserve"> </v>
      </c>
      <c r="AC591" s="12" t="str">
        <f t="shared" si="44"/>
        <v xml:space="preserve"> </v>
      </c>
    </row>
    <row r="592" spans="1:29" ht="20.100000000000001" customHeight="1" x14ac:dyDescent="0.25">
      <c r="A592" s="16"/>
      <c r="B592" s="108"/>
      <c r="C592" s="109"/>
      <c r="D592" s="109"/>
      <c r="E592" s="109"/>
      <c r="F592" s="17"/>
      <c r="G592" s="17"/>
      <c r="H592" s="108"/>
      <c r="I592" s="107"/>
      <c r="J592" s="108"/>
      <c r="K592" s="107"/>
      <c r="L592" s="108"/>
      <c r="M592" s="110"/>
      <c r="N592" s="109"/>
      <c r="O592" s="108"/>
      <c r="P592" s="233"/>
      <c r="Q592" s="239"/>
      <c r="R592" s="19"/>
      <c r="S592" s="20"/>
      <c r="T592" s="9" t="str">
        <f t="shared" si="41"/>
        <v xml:space="preserve"> </v>
      </c>
      <c r="U592" s="18"/>
      <c r="V592" s="21"/>
      <c r="W592" s="22"/>
      <c r="X592" s="197" t="str">
        <f t="shared" si="42"/>
        <v xml:space="preserve"> </v>
      </c>
      <c r="Y592" s="246"/>
      <c r="Z592" s="247"/>
      <c r="AA592" s="20"/>
      <c r="AB592" s="11" t="str">
        <f t="shared" si="43"/>
        <v xml:space="preserve"> </v>
      </c>
      <c r="AC592" s="12" t="str">
        <f t="shared" si="44"/>
        <v xml:space="preserve"> </v>
      </c>
    </row>
    <row r="593" spans="1:29" ht="20.100000000000001" customHeight="1" x14ac:dyDescent="0.25">
      <c r="A593" s="16"/>
      <c r="B593" s="108"/>
      <c r="C593" s="109"/>
      <c r="D593" s="109"/>
      <c r="E593" s="109"/>
      <c r="F593" s="17"/>
      <c r="G593" s="17"/>
      <c r="H593" s="108"/>
      <c r="I593" s="107"/>
      <c r="J593" s="108"/>
      <c r="K593" s="107"/>
      <c r="L593" s="108"/>
      <c r="M593" s="110"/>
      <c r="N593" s="109"/>
      <c r="O593" s="108"/>
      <c r="P593" s="233"/>
      <c r="Q593" s="239"/>
      <c r="R593" s="19"/>
      <c r="S593" s="20"/>
      <c r="T593" s="9" t="str">
        <f t="shared" si="41"/>
        <v xml:space="preserve"> </v>
      </c>
      <c r="U593" s="18"/>
      <c r="V593" s="21"/>
      <c r="W593" s="22"/>
      <c r="X593" s="197" t="str">
        <f t="shared" si="42"/>
        <v xml:space="preserve"> </v>
      </c>
      <c r="Y593" s="246"/>
      <c r="Z593" s="247"/>
      <c r="AA593" s="20"/>
      <c r="AB593" s="11" t="str">
        <f t="shared" si="43"/>
        <v xml:space="preserve"> </v>
      </c>
      <c r="AC593" s="12" t="str">
        <f t="shared" si="44"/>
        <v xml:space="preserve"> </v>
      </c>
    </row>
    <row r="594" spans="1:29" ht="20.100000000000001" customHeight="1" x14ac:dyDescent="0.25">
      <c r="A594" s="16"/>
      <c r="B594" s="108"/>
      <c r="C594" s="109"/>
      <c r="D594" s="109"/>
      <c r="E594" s="109"/>
      <c r="F594" s="17"/>
      <c r="G594" s="17"/>
      <c r="H594" s="108"/>
      <c r="I594" s="107"/>
      <c r="J594" s="108"/>
      <c r="K594" s="107"/>
      <c r="L594" s="108"/>
      <c r="M594" s="110"/>
      <c r="N594" s="109"/>
      <c r="O594" s="108"/>
      <c r="P594" s="233"/>
      <c r="Q594" s="239"/>
      <c r="R594" s="19"/>
      <c r="S594" s="20"/>
      <c r="T594" s="9" t="str">
        <f t="shared" si="41"/>
        <v xml:space="preserve"> </v>
      </c>
      <c r="U594" s="18"/>
      <c r="V594" s="21"/>
      <c r="W594" s="22"/>
      <c r="X594" s="197" t="str">
        <f t="shared" si="42"/>
        <v xml:space="preserve"> </v>
      </c>
      <c r="Y594" s="246"/>
      <c r="Z594" s="247"/>
      <c r="AA594" s="20"/>
      <c r="AB594" s="11" t="str">
        <f t="shared" si="43"/>
        <v xml:space="preserve"> </v>
      </c>
      <c r="AC594" s="12" t="str">
        <f t="shared" si="44"/>
        <v xml:space="preserve"> </v>
      </c>
    </row>
    <row r="595" spans="1:29" ht="20.100000000000001" customHeight="1" x14ac:dyDescent="0.25">
      <c r="A595" s="16"/>
      <c r="B595" s="108"/>
      <c r="C595" s="109"/>
      <c r="D595" s="109"/>
      <c r="E595" s="109"/>
      <c r="F595" s="17"/>
      <c r="G595" s="17"/>
      <c r="H595" s="108"/>
      <c r="I595" s="107"/>
      <c r="J595" s="108"/>
      <c r="K595" s="107"/>
      <c r="L595" s="108"/>
      <c r="M595" s="110"/>
      <c r="N595" s="109"/>
      <c r="O595" s="108"/>
      <c r="P595" s="233"/>
      <c r="Q595" s="239"/>
      <c r="R595" s="19"/>
      <c r="S595" s="20"/>
      <c r="T595" s="9" t="str">
        <f t="shared" si="41"/>
        <v xml:space="preserve"> </v>
      </c>
      <c r="U595" s="18"/>
      <c r="V595" s="21"/>
      <c r="W595" s="22"/>
      <c r="X595" s="197" t="str">
        <f t="shared" si="42"/>
        <v xml:space="preserve"> </v>
      </c>
      <c r="Y595" s="246"/>
      <c r="Z595" s="247"/>
      <c r="AA595" s="20"/>
      <c r="AB595" s="11" t="str">
        <f t="shared" si="43"/>
        <v xml:space="preserve"> </v>
      </c>
      <c r="AC595" s="12" t="str">
        <f t="shared" si="44"/>
        <v xml:space="preserve"> </v>
      </c>
    </row>
    <row r="596" spans="1:29" ht="20.100000000000001" customHeight="1" x14ac:dyDescent="0.25">
      <c r="A596" s="16"/>
      <c r="B596" s="108"/>
      <c r="C596" s="109"/>
      <c r="D596" s="109"/>
      <c r="E596" s="109"/>
      <c r="F596" s="17"/>
      <c r="G596" s="17"/>
      <c r="H596" s="108"/>
      <c r="I596" s="107"/>
      <c r="J596" s="108"/>
      <c r="K596" s="107"/>
      <c r="L596" s="108"/>
      <c r="M596" s="110"/>
      <c r="N596" s="109"/>
      <c r="O596" s="108"/>
      <c r="P596" s="233"/>
      <c r="Q596" s="239"/>
      <c r="R596" s="19"/>
      <c r="S596" s="20"/>
      <c r="T596" s="9" t="str">
        <f t="shared" si="41"/>
        <v xml:space="preserve"> </v>
      </c>
      <c r="U596" s="18"/>
      <c r="V596" s="21"/>
      <c r="W596" s="22"/>
      <c r="X596" s="197" t="str">
        <f t="shared" si="42"/>
        <v xml:space="preserve"> </v>
      </c>
      <c r="Y596" s="246"/>
      <c r="Z596" s="247"/>
      <c r="AA596" s="20"/>
      <c r="AB596" s="11" t="str">
        <f t="shared" si="43"/>
        <v xml:space="preserve"> </v>
      </c>
      <c r="AC596" s="12" t="str">
        <f t="shared" si="44"/>
        <v xml:space="preserve"> </v>
      </c>
    </row>
    <row r="597" spans="1:29" ht="20.100000000000001" customHeight="1" x14ac:dyDescent="0.25">
      <c r="A597" s="16"/>
      <c r="B597" s="108"/>
      <c r="C597" s="109"/>
      <c r="D597" s="109"/>
      <c r="E597" s="109"/>
      <c r="F597" s="17"/>
      <c r="G597" s="17"/>
      <c r="H597" s="108"/>
      <c r="I597" s="107"/>
      <c r="J597" s="108"/>
      <c r="K597" s="107"/>
      <c r="L597" s="108"/>
      <c r="M597" s="110"/>
      <c r="N597" s="109"/>
      <c r="O597" s="108"/>
      <c r="P597" s="233"/>
      <c r="Q597" s="239"/>
      <c r="R597" s="19"/>
      <c r="S597" s="20"/>
      <c r="T597" s="9" t="str">
        <f t="shared" si="41"/>
        <v xml:space="preserve"> </v>
      </c>
      <c r="U597" s="18"/>
      <c r="V597" s="21"/>
      <c r="W597" s="22"/>
      <c r="X597" s="197" t="str">
        <f t="shared" si="42"/>
        <v xml:space="preserve"> </v>
      </c>
      <c r="Y597" s="246"/>
      <c r="Z597" s="247"/>
      <c r="AA597" s="20"/>
      <c r="AB597" s="11" t="str">
        <f t="shared" si="43"/>
        <v xml:space="preserve"> </v>
      </c>
      <c r="AC597" s="12" t="str">
        <f t="shared" si="44"/>
        <v xml:space="preserve"> </v>
      </c>
    </row>
    <row r="598" spans="1:29" ht="20.100000000000001" customHeight="1" x14ac:dyDescent="0.25">
      <c r="A598" s="16"/>
      <c r="B598" s="108"/>
      <c r="C598" s="109"/>
      <c r="D598" s="109"/>
      <c r="E598" s="109"/>
      <c r="F598" s="17"/>
      <c r="G598" s="17"/>
      <c r="H598" s="108"/>
      <c r="I598" s="107"/>
      <c r="J598" s="108"/>
      <c r="K598" s="107"/>
      <c r="L598" s="108"/>
      <c r="M598" s="110"/>
      <c r="N598" s="109"/>
      <c r="O598" s="108"/>
      <c r="P598" s="233"/>
      <c r="Q598" s="239"/>
      <c r="R598" s="19"/>
      <c r="S598" s="20"/>
      <c r="T598" s="9" t="str">
        <f t="shared" si="41"/>
        <v xml:space="preserve"> </v>
      </c>
      <c r="U598" s="18"/>
      <c r="V598" s="21"/>
      <c r="W598" s="22"/>
      <c r="X598" s="197" t="str">
        <f t="shared" si="42"/>
        <v xml:space="preserve"> </v>
      </c>
      <c r="Y598" s="246"/>
      <c r="Z598" s="247"/>
      <c r="AA598" s="20"/>
      <c r="AB598" s="11" t="str">
        <f t="shared" si="43"/>
        <v xml:space="preserve"> </v>
      </c>
      <c r="AC598" s="12" t="str">
        <f t="shared" si="44"/>
        <v xml:space="preserve"> </v>
      </c>
    </row>
    <row r="599" spans="1:29" ht="20.100000000000001" customHeight="1" x14ac:dyDescent="0.25">
      <c r="A599" s="16"/>
      <c r="B599" s="108"/>
      <c r="C599" s="109"/>
      <c r="D599" s="109"/>
      <c r="E599" s="109"/>
      <c r="F599" s="17"/>
      <c r="G599" s="17"/>
      <c r="H599" s="108"/>
      <c r="I599" s="107"/>
      <c r="J599" s="108"/>
      <c r="K599" s="107"/>
      <c r="L599" s="108"/>
      <c r="M599" s="110"/>
      <c r="N599" s="109"/>
      <c r="O599" s="108"/>
      <c r="P599" s="233"/>
      <c r="Q599" s="239"/>
      <c r="R599" s="19"/>
      <c r="S599" s="20"/>
      <c r="T599" s="9" t="str">
        <f t="shared" si="41"/>
        <v xml:space="preserve"> </v>
      </c>
      <c r="U599" s="18"/>
      <c r="V599" s="21"/>
      <c r="W599" s="22"/>
      <c r="X599" s="197" t="str">
        <f t="shared" si="42"/>
        <v xml:space="preserve"> </v>
      </c>
      <c r="Y599" s="246"/>
      <c r="Z599" s="247"/>
      <c r="AA599" s="20"/>
      <c r="AB599" s="11" t="str">
        <f t="shared" si="43"/>
        <v xml:space="preserve"> </v>
      </c>
      <c r="AC599" s="12" t="str">
        <f t="shared" si="44"/>
        <v xml:space="preserve"> </v>
      </c>
    </row>
    <row r="600" spans="1:29" ht="20.100000000000001" customHeight="1" x14ac:dyDescent="0.25">
      <c r="A600" s="16"/>
      <c r="B600" s="108"/>
      <c r="C600" s="109"/>
      <c r="D600" s="109"/>
      <c r="E600" s="109"/>
      <c r="F600" s="17"/>
      <c r="G600" s="17"/>
      <c r="H600" s="108"/>
      <c r="I600" s="107"/>
      <c r="J600" s="108"/>
      <c r="K600" s="107"/>
      <c r="L600" s="108"/>
      <c r="M600" s="110"/>
      <c r="N600" s="109"/>
      <c r="O600" s="108"/>
      <c r="P600" s="233"/>
      <c r="Q600" s="239"/>
      <c r="R600" s="19"/>
      <c r="S600" s="20"/>
      <c r="T600" s="9" t="str">
        <f t="shared" si="41"/>
        <v xml:space="preserve"> </v>
      </c>
      <c r="U600" s="18"/>
      <c r="V600" s="21"/>
      <c r="W600" s="22"/>
      <c r="X600" s="197" t="str">
        <f t="shared" si="42"/>
        <v xml:space="preserve"> </v>
      </c>
      <c r="Y600" s="246"/>
      <c r="Z600" s="247"/>
      <c r="AA600" s="20"/>
      <c r="AB600" s="11" t="str">
        <f t="shared" si="43"/>
        <v xml:space="preserve"> </v>
      </c>
      <c r="AC600" s="12" t="str">
        <f t="shared" si="44"/>
        <v xml:space="preserve"> </v>
      </c>
    </row>
    <row r="601" spans="1:29" ht="20.100000000000001" customHeight="1" x14ac:dyDescent="0.25">
      <c r="A601" s="16"/>
      <c r="B601" s="108"/>
      <c r="C601" s="109"/>
      <c r="D601" s="109"/>
      <c r="E601" s="109"/>
      <c r="F601" s="17"/>
      <c r="G601" s="17"/>
      <c r="H601" s="108"/>
      <c r="I601" s="107"/>
      <c r="J601" s="108"/>
      <c r="K601" s="107"/>
      <c r="L601" s="108"/>
      <c r="M601" s="110"/>
      <c r="N601" s="109"/>
      <c r="O601" s="108"/>
      <c r="P601" s="233"/>
      <c r="Q601" s="239"/>
      <c r="R601" s="19"/>
      <c r="S601" s="20"/>
      <c r="T601" s="9" t="str">
        <f t="shared" si="41"/>
        <v xml:space="preserve"> </v>
      </c>
      <c r="U601" s="18"/>
      <c r="V601" s="21"/>
      <c r="W601" s="22"/>
      <c r="X601" s="197" t="str">
        <f t="shared" si="42"/>
        <v xml:space="preserve"> </v>
      </c>
      <c r="Y601" s="246"/>
      <c r="Z601" s="247"/>
      <c r="AA601" s="20"/>
      <c r="AB601" s="11" t="str">
        <f t="shared" si="43"/>
        <v xml:space="preserve"> </v>
      </c>
      <c r="AC601" s="12" t="str">
        <f t="shared" si="44"/>
        <v xml:space="preserve"> </v>
      </c>
    </row>
    <row r="602" spans="1:29" ht="20.100000000000001" customHeight="1" x14ac:dyDescent="0.25">
      <c r="A602" s="16"/>
      <c r="B602" s="108"/>
      <c r="C602" s="109"/>
      <c r="D602" s="109"/>
      <c r="E602" s="109"/>
      <c r="F602" s="17"/>
      <c r="G602" s="17"/>
      <c r="H602" s="108"/>
      <c r="I602" s="107"/>
      <c r="J602" s="108"/>
      <c r="K602" s="107"/>
      <c r="L602" s="108"/>
      <c r="M602" s="110"/>
      <c r="N602" s="109"/>
      <c r="O602" s="108"/>
      <c r="P602" s="233"/>
      <c r="Q602" s="239"/>
      <c r="R602" s="19"/>
      <c r="S602" s="20"/>
      <c r="T602" s="9" t="str">
        <f t="shared" si="41"/>
        <v xml:space="preserve"> </v>
      </c>
      <c r="U602" s="18"/>
      <c r="V602" s="21"/>
      <c r="W602" s="22"/>
      <c r="X602" s="197" t="str">
        <f t="shared" si="42"/>
        <v xml:space="preserve"> </v>
      </c>
      <c r="Y602" s="246"/>
      <c r="Z602" s="247"/>
      <c r="AA602" s="20"/>
      <c r="AB602" s="11" t="str">
        <f t="shared" si="43"/>
        <v xml:space="preserve"> </v>
      </c>
      <c r="AC602" s="12" t="str">
        <f t="shared" si="44"/>
        <v xml:space="preserve"> </v>
      </c>
    </row>
    <row r="603" spans="1:29" ht="20.100000000000001" customHeight="1" x14ac:dyDescent="0.25">
      <c r="A603" s="16"/>
      <c r="B603" s="108"/>
      <c r="C603" s="109"/>
      <c r="D603" s="109"/>
      <c r="E603" s="109"/>
      <c r="F603" s="17"/>
      <c r="G603" s="17"/>
      <c r="H603" s="108"/>
      <c r="I603" s="107"/>
      <c r="J603" s="108"/>
      <c r="K603" s="107"/>
      <c r="L603" s="108"/>
      <c r="M603" s="110"/>
      <c r="N603" s="109"/>
      <c r="O603" s="108"/>
      <c r="P603" s="233"/>
      <c r="Q603" s="239"/>
      <c r="R603" s="19"/>
      <c r="S603" s="20"/>
      <c r="T603" s="9" t="str">
        <f t="shared" si="41"/>
        <v xml:space="preserve"> </v>
      </c>
      <c r="U603" s="18"/>
      <c r="V603" s="21"/>
      <c r="W603" s="22"/>
      <c r="X603" s="197" t="str">
        <f t="shared" si="42"/>
        <v xml:space="preserve"> </v>
      </c>
      <c r="Y603" s="246"/>
      <c r="Z603" s="247"/>
      <c r="AA603" s="20"/>
      <c r="AB603" s="11" t="str">
        <f t="shared" si="43"/>
        <v xml:space="preserve"> </v>
      </c>
      <c r="AC603" s="12" t="str">
        <f t="shared" si="44"/>
        <v xml:space="preserve"> </v>
      </c>
    </row>
    <row r="604" spans="1:29" ht="20.100000000000001" customHeight="1" x14ac:dyDescent="0.25">
      <c r="A604" s="16"/>
      <c r="B604" s="108"/>
      <c r="C604" s="109"/>
      <c r="D604" s="109"/>
      <c r="E604" s="109"/>
      <c r="F604" s="17"/>
      <c r="G604" s="17"/>
      <c r="H604" s="108"/>
      <c r="I604" s="107"/>
      <c r="J604" s="108"/>
      <c r="K604" s="107"/>
      <c r="L604" s="108"/>
      <c r="M604" s="110"/>
      <c r="N604" s="109"/>
      <c r="O604" s="108"/>
      <c r="P604" s="233"/>
      <c r="Q604" s="239"/>
      <c r="R604" s="19"/>
      <c r="S604" s="20"/>
      <c r="T604" s="9" t="str">
        <f t="shared" si="41"/>
        <v xml:space="preserve"> </v>
      </c>
      <c r="U604" s="18"/>
      <c r="V604" s="21"/>
      <c r="W604" s="22"/>
      <c r="X604" s="197" t="str">
        <f t="shared" si="42"/>
        <v xml:space="preserve"> </v>
      </c>
      <c r="Y604" s="246"/>
      <c r="Z604" s="247"/>
      <c r="AA604" s="20"/>
      <c r="AB604" s="11" t="str">
        <f t="shared" si="43"/>
        <v xml:space="preserve"> </v>
      </c>
      <c r="AC604" s="12" t="str">
        <f t="shared" si="44"/>
        <v xml:space="preserve"> </v>
      </c>
    </row>
    <row r="605" spans="1:29" ht="20.100000000000001" customHeight="1" x14ac:dyDescent="0.25">
      <c r="A605" s="16"/>
      <c r="B605" s="108"/>
      <c r="C605" s="109"/>
      <c r="D605" s="109"/>
      <c r="E605" s="109"/>
      <c r="F605" s="17"/>
      <c r="G605" s="17"/>
      <c r="H605" s="108"/>
      <c r="I605" s="107"/>
      <c r="J605" s="108"/>
      <c r="K605" s="107"/>
      <c r="L605" s="108"/>
      <c r="M605" s="110"/>
      <c r="N605" s="109"/>
      <c r="O605" s="108"/>
      <c r="P605" s="233"/>
      <c r="Q605" s="239"/>
      <c r="R605" s="19"/>
      <c r="S605" s="20"/>
      <c r="T605" s="9" t="str">
        <f t="shared" si="41"/>
        <v xml:space="preserve"> </v>
      </c>
      <c r="U605" s="18"/>
      <c r="V605" s="21"/>
      <c r="W605" s="22"/>
      <c r="X605" s="197" t="str">
        <f t="shared" si="42"/>
        <v xml:space="preserve"> </v>
      </c>
      <c r="Y605" s="246"/>
      <c r="Z605" s="247"/>
      <c r="AA605" s="20"/>
      <c r="AB605" s="11" t="str">
        <f t="shared" si="43"/>
        <v xml:space="preserve"> </v>
      </c>
      <c r="AC605" s="12" t="str">
        <f t="shared" si="44"/>
        <v xml:space="preserve"> </v>
      </c>
    </row>
    <row r="606" spans="1:29" ht="20.100000000000001" customHeight="1" x14ac:dyDescent="0.25">
      <c r="A606" s="16"/>
      <c r="B606" s="108"/>
      <c r="C606" s="109"/>
      <c r="D606" s="109"/>
      <c r="E606" s="109"/>
      <c r="F606" s="17"/>
      <c r="G606" s="17"/>
      <c r="H606" s="108"/>
      <c r="I606" s="107"/>
      <c r="J606" s="108"/>
      <c r="K606" s="107"/>
      <c r="L606" s="108"/>
      <c r="M606" s="110"/>
      <c r="N606" s="109"/>
      <c r="O606" s="108"/>
      <c r="P606" s="233"/>
      <c r="Q606" s="239"/>
      <c r="R606" s="19"/>
      <c r="S606" s="20"/>
      <c r="T606" s="9" t="str">
        <f t="shared" si="41"/>
        <v xml:space="preserve"> </v>
      </c>
      <c r="U606" s="18"/>
      <c r="V606" s="21"/>
      <c r="W606" s="22"/>
      <c r="X606" s="197" t="str">
        <f t="shared" si="42"/>
        <v xml:space="preserve"> </v>
      </c>
      <c r="Y606" s="246"/>
      <c r="Z606" s="247"/>
      <c r="AA606" s="20"/>
      <c r="AB606" s="11" t="str">
        <f t="shared" si="43"/>
        <v xml:space="preserve"> </v>
      </c>
      <c r="AC606" s="12" t="str">
        <f t="shared" si="44"/>
        <v xml:space="preserve"> </v>
      </c>
    </row>
    <row r="607" spans="1:29" ht="20.100000000000001" customHeight="1" x14ac:dyDescent="0.25">
      <c r="A607" s="16"/>
      <c r="B607" s="108"/>
      <c r="C607" s="109"/>
      <c r="D607" s="109"/>
      <c r="E607" s="109"/>
      <c r="F607" s="17"/>
      <c r="G607" s="17"/>
      <c r="H607" s="108"/>
      <c r="I607" s="107"/>
      <c r="J607" s="108"/>
      <c r="K607" s="107"/>
      <c r="L607" s="108"/>
      <c r="M607" s="110"/>
      <c r="N607" s="109"/>
      <c r="O607" s="108"/>
      <c r="P607" s="233"/>
      <c r="Q607" s="239"/>
      <c r="R607" s="19"/>
      <c r="S607" s="20"/>
      <c r="T607" s="9" t="str">
        <f t="shared" si="41"/>
        <v xml:space="preserve"> </v>
      </c>
      <c r="U607" s="18"/>
      <c r="V607" s="21"/>
      <c r="W607" s="22"/>
      <c r="X607" s="197" t="str">
        <f t="shared" si="42"/>
        <v xml:space="preserve"> </v>
      </c>
      <c r="Y607" s="246"/>
      <c r="Z607" s="247"/>
      <c r="AA607" s="20"/>
      <c r="AB607" s="11" t="str">
        <f t="shared" si="43"/>
        <v xml:space="preserve"> </v>
      </c>
      <c r="AC607" s="12" t="str">
        <f t="shared" si="44"/>
        <v xml:space="preserve"> </v>
      </c>
    </row>
    <row r="608" spans="1:29" ht="20.100000000000001" customHeight="1" x14ac:dyDescent="0.25">
      <c r="A608" s="16"/>
      <c r="B608" s="108"/>
      <c r="C608" s="109"/>
      <c r="D608" s="109"/>
      <c r="E608" s="109"/>
      <c r="F608" s="17"/>
      <c r="G608" s="17"/>
      <c r="H608" s="108"/>
      <c r="I608" s="107"/>
      <c r="J608" s="108"/>
      <c r="K608" s="107"/>
      <c r="L608" s="108"/>
      <c r="M608" s="110"/>
      <c r="N608" s="109"/>
      <c r="O608" s="108"/>
      <c r="P608" s="233"/>
      <c r="Q608" s="239"/>
      <c r="R608" s="19"/>
      <c r="S608" s="20"/>
      <c r="T608" s="9" t="str">
        <f t="shared" si="41"/>
        <v xml:space="preserve"> </v>
      </c>
      <c r="U608" s="18"/>
      <c r="V608" s="21"/>
      <c r="W608" s="22"/>
      <c r="X608" s="197" t="str">
        <f t="shared" si="42"/>
        <v xml:space="preserve"> </v>
      </c>
      <c r="Y608" s="246"/>
      <c r="Z608" s="247"/>
      <c r="AA608" s="20"/>
      <c r="AB608" s="11" t="str">
        <f t="shared" si="43"/>
        <v xml:space="preserve"> </v>
      </c>
      <c r="AC608" s="12" t="str">
        <f t="shared" si="44"/>
        <v xml:space="preserve"> </v>
      </c>
    </row>
    <row r="609" spans="1:29" ht="20.100000000000001" customHeight="1" x14ac:dyDescent="0.25">
      <c r="A609" s="16"/>
      <c r="B609" s="108"/>
      <c r="C609" s="109"/>
      <c r="D609" s="109"/>
      <c r="E609" s="109"/>
      <c r="F609" s="17"/>
      <c r="G609" s="17"/>
      <c r="H609" s="108"/>
      <c r="I609" s="107"/>
      <c r="J609" s="108"/>
      <c r="K609" s="107"/>
      <c r="L609" s="108"/>
      <c r="M609" s="110"/>
      <c r="N609" s="109"/>
      <c r="O609" s="108"/>
      <c r="P609" s="233"/>
      <c r="Q609" s="239"/>
      <c r="R609" s="19"/>
      <c r="S609" s="20"/>
      <c r="T609" s="9" t="str">
        <f t="shared" si="41"/>
        <v xml:space="preserve"> </v>
      </c>
      <c r="U609" s="18"/>
      <c r="V609" s="21"/>
      <c r="W609" s="22"/>
      <c r="X609" s="197" t="str">
        <f t="shared" si="42"/>
        <v xml:space="preserve"> </v>
      </c>
      <c r="Y609" s="246"/>
      <c r="Z609" s="247"/>
      <c r="AA609" s="20"/>
      <c r="AB609" s="11" t="str">
        <f t="shared" si="43"/>
        <v xml:space="preserve"> </v>
      </c>
      <c r="AC609" s="12" t="str">
        <f t="shared" si="44"/>
        <v xml:space="preserve"> </v>
      </c>
    </row>
    <row r="610" spans="1:29" ht="20.100000000000001" customHeight="1" x14ac:dyDescent="0.25">
      <c r="A610" s="16"/>
      <c r="B610" s="108"/>
      <c r="C610" s="109"/>
      <c r="D610" s="109"/>
      <c r="E610" s="109"/>
      <c r="F610" s="17"/>
      <c r="G610" s="17"/>
      <c r="H610" s="108"/>
      <c r="I610" s="107"/>
      <c r="J610" s="108"/>
      <c r="K610" s="107"/>
      <c r="L610" s="108"/>
      <c r="M610" s="110"/>
      <c r="N610" s="109"/>
      <c r="O610" s="108"/>
      <c r="P610" s="233"/>
      <c r="Q610" s="239"/>
      <c r="R610" s="19"/>
      <c r="S610" s="20"/>
      <c r="T610" s="9" t="str">
        <f t="shared" si="41"/>
        <v xml:space="preserve"> </v>
      </c>
      <c r="U610" s="18"/>
      <c r="V610" s="21"/>
      <c r="W610" s="22"/>
      <c r="X610" s="197" t="str">
        <f t="shared" si="42"/>
        <v xml:space="preserve"> </v>
      </c>
      <c r="Y610" s="246"/>
      <c r="Z610" s="247"/>
      <c r="AA610" s="20"/>
      <c r="AB610" s="11" t="str">
        <f t="shared" si="43"/>
        <v xml:space="preserve"> </v>
      </c>
      <c r="AC610" s="12" t="str">
        <f t="shared" si="44"/>
        <v xml:space="preserve"> </v>
      </c>
    </row>
    <row r="611" spans="1:29" ht="20.100000000000001" customHeight="1" x14ac:dyDescent="0.25">
      <c r="A611" s="16"/>
      <c r="B611" s="108"/>
      <c r="C611" s="109"/>
      <c r="D611" s="109"/>
      <c r="E611" s="109"/>
      <c r="F611" s="17"/>
      <c r="G611" s="17"/>
      <c r="H611" s="108"/>
      <c r="I611" s="107"/>
      <c r="J611" s="108"/>
      <c r="K611" s="107"/>
      <c r="L611" s="108"/>
      <c r="M611" s="110"/>
      <c r="N611" s="109"/>
      <c r="O611" s="108"/>
      <c r="P611" s="233"/>
      <c r="Q611" s="239"/>
      <c r="R611" s="19"/>
      <c r="S611" s="20"/>
      <c r="T611" s="9" t="str">
        <f t="shared" si="41"/>
        <v xml:space="preserve"> </v>
      </c>
      <c r="U611" s="18"/>
      <c r="V611" s="21"/>
      <c r="W611" s="22"/>
      <c r="X611" s="197" t="str">
        <f t="shared" si="42"/>
        <v xml:space="preserve"> </v>
      </c>
      <c r="Y611" s="246"/>
      <c r="Z611" s="247"/>
      <c r="AA611" s="20"/>
      <c r="AB611" s="11" t="str">
        <f t="shared" si="43"/>
        <v xml:space="preserve"> </v>
      </c>
      <c r="AC611" s="12" t="str">
        <f t="shared" si="44"/>
        <v xml:space="preserve"> </v>
      </c>
    </row>
    <row r="612" spans="1:29" ht="20.100000000000001" customHeight="1" x14ac:dyDescent="0.25">
      <c r="A612" s="16"/>
      <c r="B612" s="108"/>
      <c r="C612" s="109"/>
      <c r="D612" s="109"/>
      <c r="E612" s="109"/>
      <c r="F612" s="17"/>
      <c r="G612" s="17"/>
      <c r="H612" s="108"/>
      <c r="I612" s="107"/>
      <c r="J612" s="108"/>
      <c r="K612" s="107"/>
      <c r="L612" s="108"/>
      <c r="M612" s="110"/>
      <c r="N612" s="109"/>
      <c r="O612" s="108"/>
      <c r="P612" s="233"/>
      <c r="Q612" s="239"/>
      <c r="R612" s="19"/>
      <c r="S612" s="20"/>
      <c r="T612" s="9" t="str">
        <f t="shared" si="41"/>
        <v xml:space="preserve"> </v>
      </c>
      <c r="U612" s="18"/>
      <c r="V612" s="21"/>
      <c r="W612" s="22"/>
      <c r="X612" s="197" t="str">
        <f t="shared" si="42"/>
        <v xml:space="preserve"> </v>
      </c>
      <c r="Y612" s="246"/>
      <c r="Z612" s="247"/>
      <c r="AA612" s="20"/>
      <c r="AB612" s="11" t="str">
        <f t="shared" si="43"/>
        <v xml:space="preserve"> </v>
      </c>
      <c r="AC612" s="12" t="str">
        <f t="shared" si="44"/>
        <v xml:space="preserve"> </v>
      </c>
    </row>
    <row r="613" spans="1:29" ht="20.100000000000001" customHeight="1" x14ac:dyDescent="0.25">
      <c r="A613" s="16"/>
      <c r="B613" s="108"/>
      <c r="C613" s="109"/>
      <c r="D613" s="109"/>
      <c r="E613" s="109"/>
      <c r="F613" s="17"/>
      <c r="G613" s="17"/>
      <c r="H613" s="108"/>
      <c r="I613" s="107"/>
      <c r="J613" s="108"/>
      <c r="K613" s="107"/>
      <c r="L613" s="108"/>
      <c r="M613" s="110"/>
      <c r="N613" s="109"/>
      <c r="O613" s="108"/>
      <c r="P613" s="233"/>
      <c r="Q613" s="239"/>
      <c r="R613" s="19"/>
      <c r="S613" s="20"/>
      <c r="T613" s="9" t="str">
        <f t="shared" si="41"/>
        <v xml:space="preserve"> </v>
      </c>
      <c r="U613" s="18"/>
      <c r="V613" s="21"/>
      <c r="W613" s="22"/>
      <c r="X613" s="197" t="str">
        <f t="shared" si="42"/>
        <v xml:space="preserve"> </v>
      </c>
      <c r="Y613" s="246"/>
      <c r="Z613" s="247"/>
      <c r="AA613" s="20"/>
      <c r="AB613" s="11" t="str">
        <f t="shared" si="43"/>
        <v xml:space="preserve"> </v>
      </c>
      <c r="AC613" s="12" t="str">
        <f t="shared" si="44"/>
        <v xml:space="preserve"> </v>
      </c>
    </row>
    <row r="614" spans="1:29" ht="20.100000000000001" customHeight="1" x14ac:dyDescent="0.25">
      <c r="A614" s="16"/>
      <c r="B614" s="108"/>
      <c r="C614" s="109"/>
      <c r="D614" s="109"/>
      <c r="E614" s="109"/>
      <c r="F614" s="17"/>
      <c r="G614" s="17"/>
      <c r="H614" s="108"/>
      <c r="I614" s="107"/>
      <c r="J614" s="108"/>
      <c r="K614" s="107"/>
      <c r="L614" s="108"/>
      <c r="M614" s="110"/>
      <c r="N614" s="109"/>
      <c r="O614" s="108"/>
      <c r="P614" s="233"/>
      <c r="Q614" s="239"/>
      <c r="R614" s="19"/>
      <c r="S614" s="20"/>
      <c r="T614" s="9" t="str">
        <f t="shared" si="41"/>
        <v xml:space="preserve"> </v>
      </c>
      <c r="U614" s="18"/>
      <c r="V614" s="21"/>
      <c r="W614" s="22"/>
      <c r="X614" s="197" t="str">
        <f t="shared" si="42"/>
        <v xml:space="preserve"> </v>
      </c>
      <c r="Y614" s="246"/>
      <c r="Z614" s="247"/>
      <c r="AA614" s="20"/>
      <c r="AB614" s="11" t="str">
        <f t="shared" si="43"/>
        <v xml:space="preserve"> </v>
      </c>
      <c r="AC614" s="12" t="str">
        <f t="shared" si="44"/>
        <v xml:space="preserve"> </v>
      </c>
    </row>
    <row r="615" spans="1:29" ht="20.100000000000001" customHeight="1" x14ac:dyDescent="0.25">
      <c r="A615" s="16"/>
      <c r="B615" s="108"/>
      <c r="C615" s="109"/>
      <c r="D615" s="109"/>
      <c r="E615" s="109"/>
      <c r="F615" s="17"/>
      <c r="G615" s="17"/>
      <c r="H615" s="108"/>
      <c r="I615" s="107"/>
      <c r="J615" s="108"/>
      <c r="K615" s="107"/>
      <c r="L615" s="108"/>
      <c r="M615" s="110"/>
      <c r="N615" s="109"/>
      <c r="O615" s="108"/>
      <c r="P615" s="233"/>
      <c r="Q615" s="239"/>
      <c r="R615" s="19"/>
      <c r="S615" s="20"/>
      <c r="T615" s="9" t="str">
        <f t="shared" si="41"/>
        <v xml:space="preserve"> </v>
      </c>
      <c r="U615" s="18"/>
      <c r="V615" s="21"/>
      <c r="W615" s="22"/>
      <c r="X615" s="197" t="str">
        <f t="shared" si="42"/>
        <v xml:space="preserve"> </v>
      </c>
      <c r="Y615" s="246"/>
      <c r="Z615" s="247"/>
      <c r="AA615" s="20"/>
      <c r="AB615" s="11" t="str">
        <f t="shared" si="43"/>
        <v xml:space="preserve"> </v>
      </c>
      <c r="AC615" s="12" t="str">
        <f t="shared" si="44"/>
        <v xml:space="preserve"> </v>
      </c>
    </row>
    <row r="616" spans="1:29" ht="20.100000000000001" customHeight="1" x14ac:dyDescent="0.25">
      <c r="A616" s="16"/>
      <c r="B616" s="108"/>
      <c r="C616" s="109"/>
      <c r="D616" s="109"/>
      <c r="E616" s="109"/>
      <c r="F616" s="17"/>
      <c r="G616" s="17"/>
      <c r="H616" s="108"/>
      <c r="I616" s="107"/>
      <c r="J616" s="108"/>
      <c r="K616" s="107"/>
      <c r="L616" s="108"/>
      <c r="M616" s="110"/>
      <c r="N616" s="109"/>
      <c r="O616" s="108"/>
      <c r="P616" s="233"/>
      <c r="Q616" s="239"/>
      <c r="R616" s="19"/>
      <c r="S616" s="20"/>
      <c r="T616" s="9" t="str">
        <f t="shared" si="41"/>
        <v xml:space="preserve"> </v>
      </c>
      <c r="U616" s="18"/>
      <c r="V616" s="21"/>
      <c r="W616" s="22"/>
      <c r="X616" s="197" t="str">
        <f t="shared" si="42"/>
        <v xml:space="preserve"> </v>
      </c>
      <c r="Y616" s="246"/>
      <c r="Z616" s="247"/>
      <c r="AA616" s="20"/>
      <c r="AB616" s="11" t="str">
        <f t="shared" si="43"/>
        <v xml:space="preserve"> </v>
      </c>
      <c r="AC616" s="12" t="str">
        <f t="shared" si="44"/>
        <v xml:space="preserve"> </v>
      </c>
    </row>
    <row r="617" spans="1:29" ht="20.100000000000001" customHeight="1" x14ac:dyDescent="0.25">
      <c r="A617" s="16"/>
      <c r="B617" s="108"/>
      <c r="C617" s="109"/>
      <c r="D617" s="109"/>
      <c r="E617" s="109"/>
      <c r="F617" s="17"/>
      <c r="G617" s="17"/>
      <c r="H617" s="108"/>
      <c r="I617" s="107"/>
      <c r="J617" s="108"/>
      <c r="K617" s="107"/>
      <c r="L617" s="108"/>
      <c r="M617" s="110"/>
      <c r="N617" s="109"/>
      <c r="O617" s="108"/>
      <c r="P617" s="233"/>
      <c r="Q617" s="239"/>
      <c r="R617" s="19"/>
      <c r="S617" s="20"/>
      <c r="T617" s="9" t="str">
        <f t="shared" si="41"/>
        <v xml:space="preserve"> </v>
      </c>
      <c r="U617" s="18"/>
      <c r="V617" s="21"/>
      <c r="W617" s="22"/>
      <c r="X617" s="197" t="str">
        <f t="shared" si="42"/>
        <v xml:space="preserve"> </v>
      </c>
      <c r="Y617" s="246"/>
      <c r="Z617" s="247"/>
      <c r="AA617" s="20"/>
      <c r="AB617" s="11" t="str">
        <f t="shared" si="43"/>
        <v xml:space="preserve"> </v>
      </c>
      <c r="AC617" s="12" t="str">
        <f t="shared" si="44"/>
        <v xml:space="preserve"> </v>
      </c>
    </row>
    <row r="618" spans="1:29" ht="20.100000000000001" customHeight="1" x14ac:dyDescent="0.25">
      <c r="A618" s="16"/>
      <c r="B618" s="108"/>
      <c r="C618" s="109"/>
      <c r="D618" s="109"/>
      <c r="E618" s="109"/>
      <c r="F618" s="17"/>
      <c r="G618" s="17"/>
      <c r="H618" s="108"/>
      <c r="I618" s="107"/>
      <c r="J618" s="108"/>
      <c r="K618" s="107"/>
      <c r="L618" s="108"/>
      <c r="M618" s="110"/>
      <c r="N618" s="109"/>
      <c r="O618" s="108"/>
      <c r="P618" s="233"/>
      <c r="Q618" s="239"/>
      <c r="R618" s="19"/>
      <c r="S618" s="20"/>
      <c r="T618" s="9" t="str">
        <f t="shared" si="41"/>
        <v xml:space="preserve"> </v>
      </c>
      <c r="U618" s="18"/>
      <c r="V618" s="21"/>
      <c r="W618" s="22"/>
      <c r="X618" s="197" t="str">
        <f t="shared" si="42"/>
        <v xml:space="preserve"> </v>
      </c>
      <c r="Y618" s="246"/>
      <c r="Z618" s="247"/>
      <c r="AA618" s="20"/>
      <c r="AB618" s="11" t="str">
        <f t="shared" si="43"/>
        <v xml:space="preserve"> </v>
      </c>
      <c r="AC618" s="12" t="str">
        <f t="shared" si="44"/>
        <v xml:space="preserve"> </v>
      </c>
    </row>
    <row r="619" spans="1:29" ht="20.100000000000001" customHeight="1" x14ac:dyDescent="0.25">
      <c r="A619" s="16"/>
      <c r="B619" s="108"/>
      <c r="C619" s="109"/>
      <c r="D619" s="109"/>
      <c r="E619" s="109"/>
      <c r="F619" s="17"/>
      <c r="G619" s="17"/>
      <c r="H619" s="108"/>
      <c r="I619" s="107"/>
      <c r="J619" s="108"/>
      <c r="K619" s="107"/>
      <c r="L619" s="108"/>
      <c r="M619" s="110"/>
      <c r="N619" s="109"/>
      <c r="O619" s="108"/>
      <c r="P619" s="233"/>
      <c r="Q619" s="239"/>
      <c r="R619" s="19"/>
      <c r="S619" s="20"/>
      <c r="T619" s="9" t="str">
        <f t="shared" si="41"/>
        <v xml:space="preserve"> </v>
      </c>
      <c r="U619" s="18"/>
      <c r="V619" s="21"/>
      <c r="W619" s="22"/>
      <c r="X619" s="197" t="str">
        <f t="shared" si="42"/>
        <v xml:space="preserve"> </v>
      </c>
      <c r="Y619" s="246"/>
      <c r="Z619" s="247"/>
      <c r="AA619" s="20"/>
      <c r="AB619" s="11" t="str">
        <f t="shared" si="43"/>
        <v xml:space="preserve"> </v>
      </c>
      <c r="AC619" s="12" t="str">
        <f t="shared" si="44"/>
        <v xml:space="preserve"> </v>
      </c>
    </row>
    <row r="620" spans="1:29" ht="20.100000000000001" customHeight="1" x14ac:dyDescent="0.25">
      <c r="A620" s="16"/>
      <c r="B620" s="108"/>
      <c r="C620" s="109"/>
      <c r="D620" s="109"/>
      <c r="E620" s="109"/>
      <c r="F620" s="17"/>
      <c r="G620" s="17"/>
      <c r="H620" s="108"/>
      <c r="I620" s="107"/>
      <c r="J620" s="108"/>
      <c r="K620" s="107"/>
      <c r="L620" s="108"/>
      <c r="M620" s="110"/>
      <c r="N620" s="109"/>
      <c r="O620" s="108"/>
      <c r="P620" s="233"/>
      <c r="Q620" s="239"/>
      <c r="R620" s="19"/>
      <c r="S620" s="20"/>
      <c r="T620" s="9" t="str">
        <f t="shared" si="41"/>
        <v xml:space="preserve"> </v>
      </c>
      <c r="U620" s="18"/>
      <c r="V620" s="21"/>
      <c r="W620" s="22"/>
      <c r="X620" s="197" t="str">
        <f t="shared" si="42"/>
        <v xml:space="preserve"> </v>
      </c>
      <c r="Y620" s="246"/>
      <c r="Z620" s="247"/>
      <c r="AA620" s="20"/>
      <c r="AB620" s="11" t="str">
        <f t="shared" si="43"/>
        <v xml:space="preserve"> </v>
      </c>
      <c r="AC620" s="12" t="str">
        <f t="shared" si="44"/>
        <v xml:space="preserve"> </v>
      </c>
    </row>
    <row r="621" spans="1:29" ht="20.100000000000001" customHeight="1" x14ac:dyDescent="0.25">
      <c r="A621" s="16"/>
      <c r="B621" s="108"/>
      <c r="C621" s="109"/>
      <c r="D621" s="109"/>
      <c r="E621" s="109"/>
      <c r="F621" s="17"/>
      <c r="G621" s="17"/>
      <c r="H621" s="108"/>
      <c r="I621" s="107"/>
      <c r="J621" s="108"/>
      <c r="K621" s="107"/>
      <c r="L621" s="108"/>
      <c r="M621" s="110"/>
      <c r="N621" s="109"/>
      <c r="O621" s="108"/>
      <c r="P621" s="233"/>
      <c r="Q621" s="239"/>
      <c r="R621" s="19"/>
      <c r="S621" s="20"/>
      <c r="T621" s="9" t="str">
        <f t="shared" si="41"/>
        <v xml:space="preserve"> </v>
      </c>
      <c r="U621" s="18"/>
      <c r="V621" s="21"/>
      <c r="W621" s="22"/>
      <c r="X621" s="197" t="str">
        <f t="shared" si="42"/>
        <v xml:space="preserve"> </v>
      </c>
      <c r="Y621" s="246"/>
      <c r="Z621" s="247"/>
      <c r="AA621" s="20"/>
      <c r="AB621" s="11" t="str">
        <f t="shared" si="43"/>
        <v xml:space="preserve"> </v>
      </c>
      <c r="AC621" s="12" t="str">
        <f t="shared" si="44"/>
        <v xml:space="preserve"> </v>
      </c>
    </row>
    <row r="622" spans="1:29" ht="20.100000000000001" customHeight="1" x14ac:dyDescent="0.25">
      <c r="A622" s="16"/>
      <c r="B622" s="108"/>
      <c r="C622" s="109"/>
      <c r="D622" s="109"/>
      <c r="E622" s="109"/>
      <c r="F622" s="17"/>
      <c r="G622" s="17"/>
      <c r="H622" s="108"/>
      <c r="I622" s="107"/>
      <c r="J622" s="108"/>
      <c r="K622" s="107"/>
      <c r="L622" s="108"/>
      <c r="M622" s="110"/>
      <c r="N622" s="109"/>
      <c r="O622" s="108"/>
      <c r="P622" s="233"/>
      <c r="Q622" s="239"/>
      <c r="R622" s="19"/>
      <c r="S622" s="20"/>
      <c r="T622" s="9" t="str">
        <f t="shared" si="41"/>
        <v xml:space="preserve"> </v>
      </c>
      <c r="U622" s="18"/>
      <c r="V622" s="21"/>
      <c r="W622" s="22"/>
      <c r="X622" s="197" t="str">
        <f t="shared" si="42"/>
        <v xml:space="preserve"> </v>
      </c>
      <c r="Y622" s="246"/>
      <c r="Z622" s="247"/>
      <c r="AA622" s="20"/>
      <c r="AB622" s="11" t="str">
        <f t="shared" si="43"/>
        <v xml:space="preserve"> </v>
      </c>
      <c r="AC622" s="12" t="str">
        <f t="shared" si="44"/>
        <v xml:space="preserve"> </v>
      </c>
    </row>
    <row r="623" spans="1:29" ht="20.100000000000001" customHeight="1" x14ac:dyDescent="0.25">
      <c r="A623" s="16"/>
      <c r="B623" s="108"/>
      <c r="C623" s="109"/>
      <c r="D623" s="109"/>
      <c r="E623" s="109"/>
      <c r="F623" s="17"/>
      <c r="G623" s="17"/>
      <c r="H623" s="108"/>
      <c r="I623" s="107"/>
      <c r="J623" s="108"/>
      <c r="K623" s="107"/>
      <c r="L623" s="108"/>
      <c r="M623" s="110"/>
      <c r="N623" s="109"/>
      <c r="O623" s="108"/>
      <c r="P623" s="233"/>
      <c r="Q623" s="239"/>
      <c r="R623" s="19"/>
      <c r="S623" s="20"/>
      <c r="T623" s="9" t="str">
        <f t="shared" si="41"/>
        <v xml:space="preserve"> </v>
      </c>
      <c r="U623" s="18"/>
      <c r="V623" s="21"/>
      <c r="W623" s="22"/>
      <c r="X623" s="197" t="str">
        <f t="shared" si="42"/>
        <v xml:space="preserve"> </v>
      </c>
      <c r="Y623" s="246"/>
      <c r="Z623" s="247"/>
      <c r="AA623" s="20"/>
      <c r="AB623" s="11" t="str">
        <f t="shared" si="43"/>
        <v xml:space="preserve"> </v>
      </c>
      <c r="AC623" s="12" t="str">
        <f t="shared" si="44"/>
        <v xml:space="preserve"> </v>
      </c>
    </row>
    <row r="624" spans="1:29" ht="20.100000000000001" customHeight="1" x14ac:dyDescent="0.25">
      <c r="A624" s="16"/>
      <c r="B624" s="108"/>
      <c r="C624" s="109"/>
      <c r="D624" s="109"/>
      <c r="E624" s="109"/>
      <c r="F624" s="17"/>
      <c r="G624" s="17"/>
      <c r="H624" s="108"/>
      <c r="I624" s="107"/>
      <c r="J624" s="108"/>
      <c r="K624" s="107"/>
      <c r="L624" s="108"/>
      <c r="M624" s="110"/>
      <c r="N624" s="109"/>
      <c r="O624" s="108"/>
      <c r="P624" s="233"/>
      <c r="Q624" s="239"/>
      <c r="R624" s="19"/>
      <c r="S624" s="20"/>
      <c r="T624" s="9" t="str">
        <f t="shared" si="41"/>
        <v xml:space="preserve"> </v>
      </c>
      <c r="U624" s="18"/>
      <c r="V624" s="21"/>
      <c r="W624" s="22"/>
      <c r="X624" s="197" t="str">
        <f t="shared" si="42"/>
        <v xml:space="preserve"> </v>
      </c>
      <c r="Y624" s="246"/>
      <c r="Z624" s="247"/>
      <c r="AA624" s="20"/>
      <c r="AB624" s="11" t="str">
        <f t="shared" si="43"/>
        <v xml:space="preserve"> </v>
      </c>
      <c r="AC624" s="12" t="str">
        <f t="shared" si="44"/>
        <v xml:space="preserve"> </v>
      </c>
    </row>
    <row r="625" spans="1:29" ht="20.100000000000001" customHeight="1" x14ac:dyDescent="0.25">
      <c r="A625" s="16"/>
      <c r="B625" s="108"/>
      <c r="C625" s="109"/>
      <c r="D625" s="109"/>
      <c r="E625" s="109"/>
      <c r="F625" s="17"/>
      <c r="G625" s="17"/>
      <c r="H625" s="108"/>
      <c r="I625" s="107"/>
      <c r="J625" s="108"/>
      <c r="K625" s="107"/>
      <c r="L625" s="108"/>
      <c r="M625" s="110"/>
      <c r="N625" s="109"/>
      <c r="O625" s="108"/>
      <c r="P625" s="233"/>
      <c r="Q625" s="239"/>
      <c r="R625" s="19"/>
      <c r="S625" s="20"/>
      <c r="T625" s="9" t="str">
        <f t="shared" si="41"/>
        <v xml:space="preserve"> </v>
      </c>
      <c r="U625" s="18"/>
      <c r="V625" s="21"/>
      <c r="W625" s="22"/>
      <c r="X625" s="197" t="str">
        <f t="shared" si="42"/>
        <v xml:space="preserve"> </v>
      </c>
      <c r="Y625" s="246"/>
      <c r="Z625" s="247"/>
      <c r="AA625" s="20"/>
      <c r="AB625" s="11" t="str">
        <f t="shared" si="43"/>
        <v xml:space="preserve"> </v>
      </c>
      <c r="AC625" s="12" t="str">
        <f t="shared" si="44"/>
        <v xml:space="preserve"> </v>
      </c>
    </row>
    <row r="626" spans="1:29" ht="20.100000000000001" customHeight="1" x14ac:dyDescent="0.25">
      <c r="A626" s="16"/>
      <c r="B626" s="108"/>
      <c r="C626" s="109"/>
      <c r="D626" s="109"/>
      <c r="E626" s="109"/>
      <c r="F626" s="17"/>
      <c r="G626" s="17"/>
      <c r="H626" s="108"/>
      <c r="I626" s="107"/>
      <c r="J626" s="108"/>
      <c r="K626" s="107"/>
      <c r="L626" s="108"/>
      <c r="M626" s="110"/>
      <c r="N626" s="109"/>
      <c r="O626" s="108"/>
      <c r="P626" s="233"/>
      <c r="Q626" s="239"/>
      <c r="R626" s="19"/>
      <c r="S626" s="20"/>
      <c r="T626" s="9" t="str">
        <f t="shared" si="41"/>
        <v xml:space="preserve"> </v>
      </c>
      <c r="U626" s="18"/>
      <c r="V626" s="21"/>
      <c r="W626" s="22"/>
      <c r="X626" s="197" t="str">
        <f t="shared" si="42"/>
        <v xml:space="preserve"> </v>
      </c>
      <c r="Y626" s="246"/>
      <c r="Z626" s="247"/>
      <c r="AA626" s="20"/>
      <c r="AB626" s="11" t="str">
        <f t="shared" si="43"/>
        <v xml:space="preserve"> </v>
      </c>
      <c r="AC626" s="12" t="str">
        <f t="shared" si="44"/>
        <v xml:space="preserve"> </v>
      </c>
    </row>
    <row r="627" spans="1:29" ht="20.100000000000001" customHeight="1" x14ac:dyDescent="0.25">
      <c r="A627" s="16"/>
      <c r="B627" s="108"/>
      <c r="C627" s="109"/>
      <c r="D627" s="109"/>
      <c r="E627" s="109"/>
      <c r="F627" s="17"/>
      <c r="G627" s="17"/>
      <c r="H627" s="108"/>
      <c r="I627" s="107"/>
      <c r="J627" s="108"/>
      <c r="K627" s="107"/>
      <c r="L627" s="108"/>
      <c r="M627" s="110"/>
      <c r="N627" s="109"/>
      <c r="O627" s="108"/>
      <c r="P627" s="233"/>
      <c r="Q627" s="239"/>
      <c r="R627" s="19"/>
      <c r="S627" s="20"/>
      <c r="T627" s="9" t="str">
        <f t="shared" si="41"/>
        <v xml:space="preserve"> </v>
      </c>
      <c r="U627" s="18"/>
      <c r="V627" s="21"/>
      <c r="W627" s="22"/>
      <c r="X627" s="197" t="str">
        <f t="shared" si="42"/>
        <v xml:space="preserve"> </v>
      </c>
      <c r="Y627" s="246"/>
      <c r="Z627" s="247"/>
      <c r="AA627" s="20"/>
      <c r="AB627" s="11" t="str">
        <f t="shared" si="43"/>
        <v xml:space="preserve"> </v>
      </c>
      <c r="AC627" s="12" t="str">
        <f t="shared" si="44"/>
        <v xml:space="preserve"> </v>
      </c>
    </row>
    <row r="628" spans="1:29" ht="20.100000000000001" customHeight="1" x14ac:dyDescent="0.25">
      <c r="A628" s="16"/>
      <c r="B628" s="108"/>
      <c r="C628" s="109"/>
      <c r="D628" s="109"/>
      <c r="E628" s="109"/>
      <c r="F628" s="17"/>
      <c r="G628" s="17"/>
      <c r="H628" s="108"/>
      <c r="I628" s="107"/>
      <c r="J628" s="108"/>
      <c r="K628" s="107"/>
      <c r="L628" s="108"/>
      <c r="M628" s="110"/>
      <c r="N628" s="109"/>
      <c r="O628" s="108"/>
      <c r="P628" s="233"/>
      <c r="Q628" s="239"/>
      <c r="R628" s="19"/>
      <c r="S628" s="20"/>
      <c r="T628" s="9" t="str">
        <f t="shared" si="41"/>
        <v xml:space="preserve"> </v>
      </c>
      <c r="U628" s="18"/>
      <c r="V628" s="21"/>
      <c r="W628" s="22"/>
      <c r="X628" s="197" t="str">
        <f t="shared" si="42"/>
        <v xml:space="preserve"> </v>
      </c>
      <c r="Y628" s="246"/>
      <c r="Z628" s="247"/>
      <c r="AA628" s="20"/>
      <c r="AB628" s="11" t="str">
        <f t="shared" si="43"/>
        <v xml:space="preserve"> </v>
      </c>
      <c r="AC628" s="12" t="str">
        <f t="shared" si="44"/>
        <v xml:space="preserve"> </v>
      </c>
    </row>
    <row r="629" spans="1:29" ht="20.100000000000001" customHeight="1" x14ac:dyDescent="0.25">
      <c r="A629" s="16"/>
      <c r="B629" s="108"/>
      <c r="C629" s="109"/>
      <c r="D629" s="109"/>
      <c r="E629" s="109"/>
      <c r="F629" s="17"/>
      <c r="G629" s="17"/>
      <c r="H629" s="108"/>
      <c r="I629" s="107"/>
      <c r="J629" s="108"/>
      <c r="K629" s="107"/>
      <c r="L629" s="108"/>
      <c r="M629" s="110"/>
      <c r="N629" s="109"/>
      <c r="O629" s="108"/>
      <c r="P629" s="233"/>
      <c r="Q629" s="239"/>
      <c r="R629" s="19"/>
      <c r="S629" s="20"/>
      <c r="T629" s="9" t="str">
        <f t="shared" si="41"/>
        <v xml:space="preserve"> </v>
      </c>
      <c r="U629" s="18"/>
      <c r="V629" s="21"/>
      <c r="W629" s="22"/>
      <c r="X629" s="197" t="str">
        <f t="shared" si="42"/>
        <v xml:space="preserve"> </v>
      </c>
      <c r="Y629" s="246"/>
      <c r="Z629" s="247"/>
      <c r="AA629" s="20"/>
      <c r="AB629" s="11" t="str">
        <f t="shared" si="43"/>
        <v xml:space="preserve"> </v>
      </c>
      <c r="AC629" s="12" t="str">
        <f t="shared" si="44"/>
        <v xml:space="preserve"> </v>
      </c>
    </row>
    <row r="630" spans="1:29" ht="20.100000000000001" customHeight="1" x14ac:dyDescent="0.25">
      <c r="A630" s="16"/>
      <c r="B630" s="108"/>
      <c r="C630" s="109"/>
      <c r="D630" s="109"/>
      <c r="E630" s="109"/>
      <c r="F630" s="17"/>
      <c r="G630" s="17"/>
      <c r="H630" s="108"/>
      <c r="I630" s="107"/>
      <c r="J630" s="108"/>
      <c r="K630" s="107"/>
      <c r="L630" s="108"/>
      <c r="M630" s="110"/>
      <c r="N630" s="109"/>
      <c r="O630" s="108"/>
      <c r="P630" s="233"/>
      <c r="Q630" s="239"/>
      <c r="R630" s="19"/>
      <c r="S630" s="20"/>
      <c r="T630" s="9" t="str">
        <f t="shared" si="41"/>
        <v xml:space="preserve"> </v>
      </c>
      <c r="U630" s="18"/>
      <c r="V630" s="21"/>
      <c r="W630" s="22"/>
      <c r="X630" s="197" t="str">
        <f t="shared" si="42"/>
        <v xml:space="preserve"> </v>
      </c>
      <c r="Y630" s="246"/>
      <c r="Z630" s="247"/>
      <c r="AA630" s="20"/>
      <c r="AB630" s="11" t="str">
        <f t="shared" si="43"/>
        <v xml:space="preserve"> </v>
      </c>
      <c r="AC630" s="12" t="str">
        <f t="shared" si="44"/>
        <v xml:space="preserve"> </v>
      </c>
    </row>
    <row r="631" spans="1:29" ht="20.100000000000001" customHeight="1" x14ac:dyDescent="0.25">
      <c r="A631" s="16"/>
      <c r="B631" s="108"/>
      <c r="C631" s="109"/>
      <c r="D631" s="109"/>
      <c r="E631" s="109"/>
      <c r="F631" s="17"/>
      <c r="G631" s="17"/>
      <c r="H631" s="108"/>
      <c r="I631" s="107"/>
      <c r="J631" s="108"/>
      <c r="K631" s="107"/>
      <c r="L631" s="108"/>
      <c r="M631" s="110"/>
      <c r="N631" s="109"/>
      <c r="O631" s="108"/>
      <c r="P631" s="233"/>
      <c r="Q631" s="239"/>
      <c r="R631" s="19"/>
      <c r="S631" s="20"/>
      <c r="T631" s="9" t="str">
        <f t="shared" si="41"/>
        <v xml:space="preserve"> </v>
      </c>
      <c r="U631" s="18"/>
      <c r="V631" s="21"/>
      <c r="W631" s="22"/>
      <c r="X631" s="197" t="str">
        <f t="shared" si="42"/>
        <v xml:space="preserve"> </v>
      </c>
      <c r="Y631" s="246"/>
      <c r="Z631" s="247"/>
      <c r="AA631" s="20"/>
      <c r="AB631" s="11" t="str">
        <f t="shared" si="43"/>
        <v xml:space="preserve"> </v>
      </c>
      <c r="AC631" s="12" t="str">
        <f t="shared" si="44"/>
        <v xml:space="preserve"> </v>
      </c>
    </row>
    <row r="632" spans="1:29" ht="20.100000000000001" customHeight="1" x14ac:dyDescent="0.25">
      <c r="A632" s="16"/>
      <c r="B632" s="108"/>
      <c r="C632" s="109"/>
      <c r="D632" s="109"/>
      <c r="E632" s="109"/>
      <c r="F632" s="17"/>
      <c r="G632" s="17"/>
      <c r="H632" s="108"/>
      <c r="I632" s="107"/>
      <c r="J632" s="108"/>
      <c r="K632" s="107"/>
      <c r="L632" s="108"/>
      <c r="M632" s="110"/>
      <c r="N632" s="109"/>
      <c r="O632" s="108"/>
      <c r="P632" s="233"/>
      <c r="Q632" s="239"/>
      <c r="R632" s="19"/>
      <c r="S632" s="20"/>
      <c r="T632" s="9" t="str">
        <f t="shared" si="41"/>
        <v xml:space="preserve"> </v>
      </c>
      <c r="U632" s="18"/>
      <c r="V632" s="21"/>
      <c r="W632" s="22"/>
      <c r="X632" s="197" t="str">
        <f t="shared" si="42"/>
        <v xml:space="preserve"> </v>
      </c>
      <c r="Y632" s="246"/>
      <c r="Z632" s="247"/>
      <c r="AA632" s="20"/>
      <c r="AB632" s="11" t="str">
        <f t="shared" si="43"/>
        <v xml:space="preserve"> </v>
      </c>
      <c r="AC632" s="12" t="str">
        <f t="shared" si="44"/>
        <v xml:space="preserve"> </v>
      </c>
    </row>
    <row r="633" spans="1:29" ht="20.100000000000001" customHeight="1" x14ac:dyDescent="0.25">
      <c r="A633" s="16"/>
      <c r="B633" s="108"/>
      <c r="C633" s="109"/>
      <c r="D633" s="109"/>
      <c r="E633" s="109"/>
      <c r="F633" s="17"/>
      <c r="G633" s="17"/>
      <c r="H633" s="108"/>
      <c r="I633" s="107"/>
      <c r="J633" s="108"/>
      <c r="K633" s="107"/>
      <c r="L633" s="108"/>
      <c r="M633" s="110"/>
      <c r="N633" s="109"/>
      <c r="O633" s="108"/>
      <c r="P633" s="233"/>
      <c r="Q633" s="239"/>
      <c r="R633" s="19"/>
      <c r="S633" s="20"/>
      <c r="T633" s="9" t="str">
        <f t="shared" si="41"/>
        <v xml:space="preserve"> </v>
      </c>
      <c r="U633" s="18"/>
      <c r="V633" s="21"/>
      <c r="W633" s="22"/>
      <c r="X633" s="197" t="str">
        <f t="shared" si="42"/>
        <v xml:space="preserve"> </v>
      </c>
      <c r="Y633" s="246"/>
      <c r="Z633" s="247"/>
      <c r="AA633" s="20"/>
      <c r="AB633" s="11" t="str">
        <f t="shared" si="43"/>
        <v xml:space="preserve"> </v>
      </c>
      <c r="AC633" s="12" t="str">
        <f t="shared" si="44"/>
        <v xml:space="preserve"> </v>
      </c>
    </row>
    <row r="634" spans="1:29" ht="20.100000000000001" customHeight="1" x14ac:dyDescent="0.25">
      <c r="A634" s="16"/>
      <c r="B634" s="108"/>
      <c r="C634" s="109"/>
      <c r="D634" s="109"/>
      <c r="E634" s="109"/>
      <c r="F634" s="17"/>
      <c r="G634" s="17"/>
      <c r="H634" s="108"/>
      <c r="I634" s="107"/>
      <c r="J634" s="108"/>
      <c r="K634" s="107"/>
      <c r="L634" s="108"/>
      <c r="M634" s="110"/>
      <c r="N634" s="109"/>
      <c r="O634" s="108"/>
      <c r="P634" s="233"/>
      <c r="Q634" s="239"/>
      <c r="R634" s="19"/>
      <c r="S634" s="20"/>
      <c r="T634" s="9" t="str">
        <f t="shared" si="41"/>
        <v xml:space="preserve"> </v>
      </c>
      <c r="U634" s="18"/>
      <c r="V634" s="21"/>
      <c r="W634" s="22"/>
      <c r="X634" s="197" t="str">
        <f t="shared" si="42"/>
        <v xml:space="preserve"> </v>
      </c>
      <c r="Y634" s="246"/>
      <c r="Z634" s="247"/>
      <c r="AA634" s="20"/>
      <c r="AB634" s="11" t="str">
        <f t="shared" si="43"/>
        <v xml:space="preserve"> </v>
      </c>
      <c r="AC634" s="12" t="str">
        <f t="shared" si="44"/>
        <v xml:space="preserve"> </v>
      </c>
    </row>
    <row r="635" spans="1:29" ht="20.100000000000001" customHeight="1" x14ac:dyDescent="0.25">
      <c r="A635" s="16"/>
      <c r="B635" s="108"/>
      <c r="C635" s="109"/>
      <c r="D635" s="109"/>
      <c r="E635" s="109"/>
      <c r="F635" s="17"/>
      <c r="G635" s="17"/>
      <c r="H635" s="108"/>
      <c r="I635" s="107"/>
      <c r="J635" s="108"/>
      <c r="K635" s="107"/>
      <c r="L635" s="108"/>
      <c r="M635" s="110"/>
      <c r="N635" s="109"/>
      <c r="O635" s="108"/>
      <c r="P635" s="233"/>
      <c r="Q635" s="239"/>
      <c r="R635" s="19"/>
      <c r="S635" s="20"/>
      <c r="T635" s="9" t="str">
        <f t="shared" si="41"/>
        <v xml:space="preserve"> </v>
      </c>
      <c r="U635" s="18"/>
      <c r="V635" s="21"/>
      <c r="W635" s="22"/>
      <c r="X635" s="197" t="str">
        <f t="shared" si="42"/>
        <v xml:space="preserve"> </v>
      </c>
      <c r="Y635" s="246"/>
      <c r="Z635" s="247"/>
      <c r="AA635" s="20"/>
      <c r="AB635" s="11" t="str">
        <f t="shared" si="43"/>
        <v xml:space="preserve"> </v>
      </c>
      <c r="AC635" s="12" t="str">
        <f t="shared" si="44"/>
        <v xml:space="preserve"> </v>
      </c>
    </row>
    <row r="636" spans="1:29" ht="20.100000000000001" customHeight="1" x14ac:dyDescent="0.25">
      <c r="A636" s="16"/>
      <c r="B636" s="108"/>
      <c r="C636" s="109"/>
      <c r="D636" s="109"/>
      <c r="E636" s="109"/>
      <c r="F636" s="17"/>
      <c r="G636" s="17"/>
      <c r="H636" s="108"/>
      <c r="I636" s="107"/>
      <c r="J636" s="108"/>
      <c r="K636" s="107"/>
      <c r="L636" s="108"/>
      <c r="M636" s="110"/>
      <c r="N636" s="109"/>
      <c r="O636" s="108"/>
      <c r="P636" s="233"/>
      <c r="Q636" s="239"/>
      <c r="R636" s="19"/>
      <c r="S636" s="20"/>
      <c r="T636" s="9" t="str">
        <f t="shared" si="41"/>
        <v xml:space="preserve"> </v>
      </c>
      <c r="U636" s="18"/>
      <c r="V636" s="21"/>
      <c r="W636" s="22"/>
      <c r="X636" s="197" t="str">
        <f t="shared" si="42"/>
        <v xml:space="preserve"> </v>
      </c>
      <c r="Y636" s="246"/>
      <c r="Z636" s="247"/>
      <c r="AA636" s="20"/>
      <c r="AB636" s="11" t="str">
        <f t="shared" si="43"/>
        <v xml:space="preserve"> </v>
      </c>
      <c r="AC636" s="12" t="str">
        <f t="shared" si="44"/>
        <v xml:space="preserve"> </v>
      </c>
    </row>
    <row r="637" spans="1:29" ht="20.100000000000001" customHeight="1" x14ac:dyDescent="0.25">
      <c r="A637" s="16"/>
      <c r="B637" s="108"/>
      <c r="C637" s="109"/>
      <c r="D637" s="109"/>
      <c r="E637" s="109"/>
      <c r="F637" s="17"/>
      <c r="G637" s="17"/>
      <c r="H637" s="108"/>
      <c r="I637" s="107"/>
      <c r="J637" s="108"/>
      <c r="K637" s="107"/>
      <c r="L637" s="108"/>
      <c r="M637" s="110"/>
      <c r="N637" s="109"/>
      <c r="O637" s="108"/>
      <c r="P637" s="233"/>
      <c r="Q637" s="239"/>
      <c r="R637" s="19"/>
      <c r="S637" s="20"/>
      <c r="T637" s="9" t="str">
        <f t="shared" si="41"/>
        <v xml:space="preserve"> </v>
      </c>
      <c r="U637" s="18"/>
      <c r="V637" s="21"/>
      <c r="W637" s="22"/>
      <c r="X637" s="197" t="str">
        <f t="shared" si="42"/>
        <v xml:space="preserve"> </v>
      </c>
      <c r="Y637" s="246"/>
      <c r="Z637" s="247"/>
      <c r="AA637" s="20"/>
      <c r="AB637" s="11" t="str">
        <f t="shared" si="43"/>
        <v xml:space="preserve"> </v>
      </c>
      <c r="AC637" s="12" t="str">
        <f t="shared" si="44"/>
        <v xml:space="preserve"> </v>
      </c>
    </row>
    <row r="638" spans="1:29" ht="20.100000000000001" customHeight="1" x14ac:dyDescent="0.25">
      <c r="A638" s="16"/>
      <c r="B638" s="108"/>
      <c r="C638" s="109"/>
      <c r="D638" s="109"/>
      <c r="E638" s="109"/>
      <c r="F638" s="17"/>
      <c r="G638" s="17"/>
      <c r="H638" s="108"/>
      <c r="I638" s="107"/>
      <c r="J638" s="108"/>
      <c r="K638" s="107"/>
      <c r="L638" s="108"/>
      <c r="M638" s="110"/>
      <c r="N638" s="109"/>
      <c r="O638" s="108"/>
      <c r="P638" s="233"/>
      <c r="Q638" s="239"/>
      <c r="R638" s="19"/>
      <c r="S638" s="20"/>
      <c r="T638" s="9" t="str">
        <f t="shared" si="41"/>
        <v xml:space="preserve"> </v>
      </c>
      <c r="U638" s="18"/>
      <c r="V638" s="21"/>
      <c r="W638" s="22"/>
      <c r="X638" s="197" t="str">
        <f t="shared" si="42"/>
        <v xml:space="preserve"> </v>
      </c>
      <c r="Y638" s="246"/>
      <c r="Z638" s="247"/>
      <c r="AA638" s="20"/>
      <c r="AB638" s="11" t="str">
        <f t="shared" si="43"/>
        <v xml:space="preserve"> </v>
      </c>
      <c r="AC638" s="12" t="str">
        <f t="shared" si="44"/>
        <v xml:space="preserve"> </v>
      </c>
    </row>
    <row r="639" spans="1:29" ht="20.100000000000001" customHeight="1" x14ac:dyDescent="0.25">
      <c r="A639" s="16"/>
      <c r="B639" s="108"/>
      <c r="C639" s="109"/>
      <c r="D639" s="109"/>
      <c r="E639" s="109"/>
      <c r="F639" s="17"/>
      <c r="G639" s="17"/>
      <c r="H639" s="108"/>
      <c r="I639" s="107"/>
      <c r="J639" s="108"/>
      <c r="K639" s="107"/>
      <c r="L639" s="108"/>
      <c r="M639" s="110"/>
      <c r="N639" s="109"/>
      <c r="O639" s="108"/>
      <c r="P639" s="233"/>
      <c r="Q639" s="239"/>
      <c r="R639" s="19"/>
      <c r="S639" s="20"/>
      <c r="T639" s="9" t="str">
        <f t="shared" si="41"/>
        <v xml:space="preserve"> </v>
      </c>
      <c r="U639" s="18"/>
      <c r="V639" s="21"/>
      <c r="W639" s="22"/>
      <c r="X639" s="197" t="str">
        <f t="shared" si="42"/>
        <v xml:space="preserve"> </v>
      </c>
      <c r="Y639" s="246"/>
      <c r="Z639" s="247"/>
      <c r="AA639" s="20"/>
      <c r="AB639" s="11" t="str">
        <f t="shared" si="43"/>
        <v xml:space="preserve"> </v>
      </c>
      <c r="AC639" s="12" t="str">
        <f t="shared" si="44"/>
        <v xml:space="preserve"> </v>
      </c>
    </row>
    <row r="640" spans="1:29" ht="20.100000000000001" customHeight="1" x14ac:dyDescent="0.25">
      <c r="A640" s="16"/>
      <c r="B640" s="108"/>
      <c r="C640" s="109"/>
      <c r="D640" s="109"/>
      <c r="E640" s="109"/>
      <c r="F640" s="17"/>
      <c r="G640" s="17"/>
      <c r="H640" s="108"/>
      <c r="I640" s="107"/>
      <c r="J640" s="108"/>
      <c r="K640" s="107"/>
      <c r="L640" s="108"/>
      <c r="M640" s="110"/>
      <c r="N640" s="109"/>
      <c r="O640" s="108"/>
      <c r="P640" s="233"/>
      <c r="Q640" s="239"/>
      <c r="R640" s="19"/>
      <c r="S640" s="20"/>
      <c r="T640" s="9" t="str">
        <f t="shared" si="41"/>
        <v xml:space="preserve"> </v>
      </c>
      <c r="U640" s="18"/>
      <c r="V640" s="21"/>
      <c r="W640" s="22"/>
      <c r="X640" s="197" t="str">
        <f t="shared" si="42"/>
        <v xml:space="preserve"> </v>
      </c>
      <c r="Y640" s="246"/>
      <c r="Z640" s="247"/>
      <c r="AA640" s="20"/>
      <c r="AB640" s="11" t="str">
        <f t="shared" si="43"/>
        <v xml:space="preserve"> </v>
      </c>
      <c r="AC640" s="12" t="str">
        <f t="shared" si="44"/>
        <v xml:space="preserve"> </v>
      </c>
    </row>
    <row r="641" spans="1:29" ht="20.100000000000001" customHeight="1" x14ac:dyDescent="0.25">
      <c r="A641" s="16"/>
      <c r="B641" s="108"/>
      <c r="C641" s="109"/>
      <c r="D641" s="109"/>
      <c r="E641" s="109"/>
      <c r="F641" s="17"/>
      <c r="G641" s="17"/>
      <c r="H641" s="108"/>
      <c r="I641" s="107"/>
      <c r="J641" s="108"/>
      <c r="K641" s="107"/>
      <c r="L641" s="108"/>
      <c r="M641" s="110"/>
      <c r="N641" s="109"/>
      <c r="O641" s="108"/>
      <c r="P641" s="233"/>
      <c r="Q641" s="239"/>
      <c r="R641" s="19"/>
      <c r="S641" s="20"/>
      <c r="T641" s="9" t="str">
        <f t="shared" si="41"/>
        <v xml:space="preserve"> </v>
      </c>
      <c r="U641" s="18"/>
      <c r="V641" s="21"/>
      <c r="W641" s="22"/>
      <c r="X641" s="197" t="str">
        <f t="shared" si="42"/>
        <v xml:space="preserve"> </v>
      </c>
      <c r="Y641" s="246"/>
      <c r="Z641" s="247"/>
      <c r="AA641" s="20"/>
      <c r="AB641" s="11" t="str">
        <f t="shared" si="43"/>
        <v xml:space="preserve"> </v>
      </c>
      <c r="AC641" s="12" t="str">
        <f t="shared" si="44"/>
        <v xml:space="preserve"> </v>
      </c>
    </row>
    <row r="642" spans="1:29" ht="20.100000000000001" customHeight="1" x14ac:dyDescent="0.25">
      <c r="A642" s="16"/>
      <c r="B642" s="108"/>
      <c r="C642" s="109"/>
      <c r="D642" s="109"/>
      <c r="E642" s="109"/>
      <c r="F642" s="17"/>
      <c r="G642" s="17"/>
      <c r="H642" s="108"/>
      <c r="I642" s="107"/>
      <c r="J642" s="108"/>
      <c r="K642" s="107"/>
      <c r="L642" s="108"/>
      <c r="M642" s="110"/>
      <c r="N642" s="109"/>
      <c r="O642" s="108"/>
      <c r="P642" s="233"/>
      <c r="Q642" s="239"/>
      <c r="R642" s="19"/>
      <c r="S642" s="20"/>
      <c r="T642" s="9" t="str">
        <f t="shared" si="41"/>
        <v xml:space="preserve"> </v>
      </c>
      <c r="U642" s="18"/>
      <c r="V642" s="21"/>
      <c r="W642" s="22"/>
      <c r="X642" s="197" t="str">
        <f t="shared" si="42"/>
        <v xml:space="preserve"> </v>
      </c>
      <c r="Y642" s="246"/>
      <c r="Z642" s="247"/>
      <c r="AA642" s="20"/>
      <c r="AB642" s="11" t="str">
        <f t="shared" si="43"/>
        <v xml:space="preserve"> </v>
      </c>
      <c r="AC642" s="12" t="str">
        <f t="shared" si="44"/>
        <v xml:space="preserve"> </v>
      </c>
    </row>
    <row r="643" spans="1:29" ht="20.100000000000001" customHeight="1" x14ac:dyDescent="0.25">
      <c r="A643" s="16"/>
      <c r="B643" s="108"/>
      <c r="C643" s="109"/>
      <c r="D643" s="109"/>
      <c r="E643" s="109"/>
      <c r="F643" s="17"/>
      <c r="G643" s="17"/>
      <c r="H643" s="108"/>
      <c r="I643" s="107"/>
      <c r="J643" s="108"/>
      <c r="K643" s="107"/>
      <c r="L643" s="108"/>
      <c r="M643" s="110"/>
      <c r="N643" s="109"/>
      <c r="O643" s="108"/>
      <c r="P643" s="233"/>
      <c r="Q643" s="239"/>
      <c r="R643" s="19"/>
      <c r="S643" s="20"/>
      <c r="T643" s="9" t="str">
        <f t="shared" si="41"/>
        <v xml:space="preserve"> </v>
      </c>
      <c r="U643" s="18"/>
      <c r="V643" s="21"/>
      <c r="W643" s="22"/>
      <c r="X643" s="197" t="str">
        <f t="shared" si="42"/>
        <v xml:space="preserve"> </v>
      </c>
      <c r="Y643" s="246"/>
      <c r="Z643" s="247"/>
      <c r="AA643" s="20"/>
      <c r="AB643" s="11" t="str">
        <f t="shared" si="43"/>
        <v xml:space="preserve"> </v>
      </c>
      <c r="AC643" s="12" t="str">
        <f t="shared" si="44"/>
        <v xml:space="preserve"> </v>
      </c>
    </row>
    <row r="644" spans="1:29" ht="20.100000000000001" customHeight="1" x14ac:dyDescent="0.25">
      <c r="A644" s="16"/>
      <c r="B644" s="108"/>
      <c r="C644" s="109"/>
      <c r="D644" s="109"/>
      <c r="E644" s="109"/>
      <c r="F644" s="17"/>
      <c r="G644" s="17"/>
      <c r="H644" s="108"/>
      <c r="I644" s="107"/>
      <c r="J644" s="108"/>
      <c r="K644" s="107"/>
      <c r="L644" s="108"/>
      <c r="M644" s="110"/>
      <c r="N644" s="109"/>
      <c r="O644" s="108"/>
      <c r="P644" s="233"/>
      <c r="Q644" s="239"/>
      <c r="R644" s="19"/>
      <c r="S644" s="20"/>
      <c r="T644" s="9" t="str">
        <f t="shared" ref="T644:T707" si="45">IF(ISBLANK(R644)," ",((ROUND(S644,2)-(ROUND(R644,2)))/(ROUND(R644,2))))</f>
        <v xml:space="preserve"> </v>
      </c>
      <c r="U644" s="18"/>
      <c r="V644" s="21"/>
      <c r="W644" s="22"/>
      <c r="X644" s="197" t="str">
        <f t="shared" ref="X644:X707" si="46">IF(ISBLANK(R644)," ",((ROUND(W644,2))-(ROUND(R644,2)))/(ROUND(R644,2)))</f>
        <v xml:space="preserve"> </v>
      </c>
      <c r="Y644" s="246"/>
      <c r="Z644" s="247"/>
      <c r="AA644" s="20"/>
      <c r="AB644" s="11" t="str">
        <f t="shared" ref="AB644:AB707" si="47">IF(ISBLANK(R644)," ",((ROUND(AA644,2))-(ROUND(R644,2)))/(ROUND(R644,2)))</f>
        <v xml:space="preserve"> </v>
      </c>
      <c r="AC644" s="12" t="str">
        <f t="shared" ref="AC644:AC707" si="48">IF(ISBLANK(AA644)," ",(ROUND(AA644,2)/0.995))</f>
        <v xml:space="preserve"> </v>
      </c>
    </row>
    <row r="645" spans="1:29" ht="20.100000000000001" customHeight="1" x14ac:dyDescent="0.25">
      <c r="A645" s="16"/>
      <c r="B645" s="108"/>
      <c r="C645" s="109"/>
      <c r="D645" s="109"/>
      <c r="E645" s="109"/>
      <c r="F645" s="17"/>
      <c r="G645" s="17"/>
      <c r="H645" s="108"/>
      <c r="I645" s="107"/>
      <c r="J645" s="108"/>
      <c r="K645" s="107"/>
      <c r="L645" s="108"/>
      <c r="M645" s="110"/>
      <c r="N645" s="109"/>
      <c r="O645" s="108"/>
      <c r="P645" s="233"/>
      <c r="Q645" s="239"/>
      <c r="R645" s="19"/>
      <c r="S645" s="20"/>
      <c r="T645" s="9" t="str">
        <f t="shared" si="45"/>
        <v xml:space="preserve"> </v>
      </c>
      <c r="U645" s="18"/>
      <c r="V645" s="21"/>
      <c r="W645" s="22"/>
      <c r="X645" s="197" t="str">
        <f t="shared" si="46"/>
        <v xml:space="preserve"> </v>
      </c>
      <c r="Y645" s="246"/>
      <c r="Z645" s="247"/>
      <c r="AA645" s="20"/>
      <c r="AB645" s="11" t="str">
        <f t="shared" si="47"/>
        <v xml:space="preserve"> </v>
      </c>
      <c r="AC645" s="12" t="str">
        <f t="shared" si="48"/>
        <v xml:space="preserve"> </v>
      </c>
    </row>
    <row r="646" spans="1:29" ht="20.100000000000001" customHeight="1" x14ac:dyDescent="0.25">
      <c r="A646" s="16"/>
      <c r="B646" s="108"/>
      <c r="C646" s="109"/>
      <c r="D646" s="109"/>
      <c r="E646" s="109"/>
      <c r="F646" s="17"/>
      <c r="G646" s="17"/>
      <c r="H646" s="108"/>
      <c r="I646" s="107"/>
      <c r="J646" s="108"/>
      <c r="K646" s="107"/>
      <c r="L646" s="108"/>
      <c r="M646" s="110"/>
      <c r="N646" s="109"/>
      <c r="O646" s="108"/>
      <c r="P646" s="233"/>
      <c r="Q646" s="239"/>
      <c r="R646" s="19"/>
      <c r="S646" s="20"/>
      <c r="T646" s="9" t="str">
        <f t="shared" si="45"/>
        <v xml:space="preserve"> </v>
      </c>
      <c r="U646" s="18"/>
      <c r="V646" s="21"/>
      <c r="W646" s="22"/>
      <c r="X646" s="197" t="str">
        <f t="shared" si="46"/>
        <v xml:space="preserve"> </v>
      </c>
      <c r="Y646" s="246"/>
      <c r="Z646" s="247"/>
      <c r="AA646" s="20"/>
      <c r="AB646" s="11" t="str">
        <f t="shared" si="47"/>
        <v xml:space="preserve"> </v>
      </c>
      <c r="AC646" s="12" t="str">
        <f t="shared" si="48"/>
        <v xml:space="preserve"> </v>
      </c>
    </row>
    <row r="647" spans="1:29" ht="20.100000000000001" customHeight="1" x14ac:dyDescent="0.25">
      <c r="A647" s="16"/>
      <c r="B647" s="108"/>
      <c r="C647" s="109"/>
      <c r="D647" s="109"/>
      <c r="E647" s="109"/>
      <c r="F647" s="17"/>
      <c r="G647" s="17"/>
      <c r="H647" s="108"/>
      <c r="I647" s="107"/>
      <c r="J647" s="108"/>
      <c r="K647" s="107"/>
      <c r="L647" s="108"/>
      <c r="M647" s="110"/>
      <c r="N647" s="109"/>
      <c r="O647" s="108"/>
      <c r="P647" s="233"/>
      <c r="Q647" s="239"/>
      <c r="R647" s="19"/>
      <c r="S647" s="20"/>
      <c r="T647" s="9" t="str">
        <f t="shared" si="45"/>
        <v xml:space="preserve"> </v>
      </c>
      <c r="U647" s="18"/>
      <c r="V647" s="21"/>
      <c r="W647" s="22"/>
      <c r="X647" s="197" t="str">
        <f t="shared" si="46"/>
        <v xml:space="preserve"> </v>
      </c>
      <c r="Y647" s="246"/>
      <c r="Z647" s="247"/>
      <c r="AA647" s="20"/>
      <c r="AB647" s="11" t="str">
        <f t="shared" si="47"/>
        <v xml:space="preserve"> </v>
      </c>
      <c r="AC647" s="12" t="str">
        <f t="shared" si="48"/>
        <v xml:space="preserve"> </v>
      </c>
    </row>
    <row r="648" spans="1:29" ht="20.100000000000001" customHeight="1" x14ac:dyDescent="0.25">
      <c r="A648" s="16"/>
      <c r="B648" s="108"/>
      <c r="C648" s="109"/>
      <c r="D648" s="109"/>
      <c r="E648" s="109"/>
      <c r="F648" s="17"/>
      <c r="G648" s="17"/>
      <c r="H648" s="108"/>
      <c r="I648" s="107"/>
      <c r="J648" s="108"/>
      <c r="K648" s="107"/>
      <c r="L648" s="108"/>
      <c r="M648" s="110"/>
      <c r="N648" s="109"/>
      <c r="O648" s="108"/>
      <c r="P648" s="233"/>
      <c r="Q648" s="239"/>
      <c r="R648" s="19"/>
      <c r="S648" s="20"/>
      <c r="T648" s="9" t="str">
        <f t="shared" si="45"/>
        <v xml:space="preserve"> </v>
      </c>
      <c r="U648" s="18"/>
      <c r="V648" s="21"/>
      <c r="W648" s="22"/>
      <c r="X648" s="197" t="str">
        <f t="shared" si="46"/>
        <v xml:space="preserve"> </v>
      </c>
      <c r="Y648" s="246"/>
      <c r="Z648" s="247"/>
      <c r="AA648" s="20"/>
      <c r="AB648" s="11" t="str">
        <f t="shared" si="47"/>
        <v xml:space="preserve"> </v>
      </c>
      <c r="AC648" s="12" t="str">
        <f t="shared" si="48"/>
        <v xml:space="preserve"> </v>
      </c>
    </row>
    <row r="649" spans="1:29" ht="20.100000000000001" customHeight="1" x14ac:dyDescent="0.25">
      <c r="A649" s="16"/>
      <c r="B649" s="108"/>
      <c r="C649" s="109"/>
      <c r="D649" s="109"/>
      <c r="E649" s="109"/>
      <c r="F649" s="17"/>
      <c r="G649" s="17"/>
      <c r="H649" s="108"/>
      <c r="I649" s="107"/>
      <c r="J649" s="108"/>
      <c r="K649" s="107"/>
      <c r="L649" s="108"/>
      <c r="M649" s="110"/>
      <c r="N649" s="109"/>
      <c r="O649" s="108"/>
      <c r="P649" s="233"/>
      <c r="Q649" s="239"/>
      <c r="R649" s="19"/>
      <c r="S649" s="20"/>
      <c r="T649" s="9" t="str">
        <f t="shared" si="45"/>
        <v xml:space="preserve"> </v>
      </c>
      <c r="U649" s="18"/>
      <c r="V649" s="21"/>
      <c r="W649" s="22"/>
      <c r="X649" s="197" t="str">
        <f t="shared" si="46"/>
        <v xml:space="preserve"> </v>
      </c>
      <c r="Y649" s="246"/>
      <c r="Z649" s="247"/>
      <c r="AA649" s="20"/>
      <c r="AB649" s="11" t="str">
        <f t="shared" si="47"/>
        <v xml:space="preserve"> </v>
      </c>
      <c r="AC649" s="12" t="str">
        <f t="shared" si="48"/>
        <v xml:space="preserve"> </v>
      </c>
    </row>
    <row r="650" spans="1:29" ht="20.100000000000001" customHeight="1" x14ac:dyDescent="0.25">
      <c r="A650" s="16"/>
      <c r="B650" s="108"/>
      <c r="C650" s="109"/>
      <c r="D650" s="109"/>
      <c r="E650" s="109"/>
      <c r="F650" s="17"/>
      <c r="G650" s="17"/>
      <c r="H650" s="108"/>
      <c r="I650" s="107"/>
      <c r="J650" s="108"/>
      <c r="K650" s="107"/>
      <c r="L650" s="108"/>
      <c r="M650" s="110"/>
      <c r="N650" s="109"/>
      <c r="O650" s="108"/>
      <c r="P650" s="233"/>
      <c r="Q650" s="239"/>
      <c r="R650" s="19"/>
      <c r="S650" s="20"/>
      <c r="T650" s="9" t="str">
        <f t="shared" si="45"/>
        <v xml:space="preserve"> </v>
      </c>
      <c r="U650" s="18"/>
      <c r="V650" s="21"/>
      <c r="W650" s="22"/>
      <c r="X650" s="197" t="str">
        <f t="shared" si="46"/>
        <v xml:space="preserve"> </v>
      </c>
      <c r="Y650" s="246"/>
      <c r="Z650" s="247"/>
      <c r="AA650" s="20"/>
      <c r="AB650" s="11" t="str">
        <f t="shared" si="47"/>
        <v xml:space="preserve"> </v>
      </c>
      <c r="AC650" s="12" t="str">
        <f t="shared" si="48"/>
        <v xml:space="preserve"> </v>
      </c>
    </row>
    <row r="651" spans="1:29" ht="20.100000000000001" customHeight="1" x14ac:dyDescent="0.25">
      <c r="A651" s="16"/>
      <c r="B651" s="108"/>
      <c r="C651" s="109"/>
      <c r="D651" s="109"/>
      <c r="E651" s="109"/>
      <c r="F651" s="17"/>
      <c r="G651" s="17"/>
      <c r="H651" s="108"/>
      <c r="I651" s="107"/>
      <c r="J651" s="108"/>
      <c r="K651" s="107"/>
      <c r="L651" s="108"/>
      <c r="M651" s="110"/>
      <c r="N651" s="109"/>
      <c r="O651" s="108"/>
      <c r="P651" s="233"/>
      <c r="Q651" s="239"/>
      <c r="R651" s="19"/>
      <c r="S651" s="20"/>
      <c r="T651" s="9" t="str">
        <f t="shared" si="45"/>
        <v xml:space="preserve"> </v>
      </c>
      <c r="U651" s="18"/>
      <c r="V651" s="21"/>
      <c r="W651" s="22"/>
      <c r="X651" s="197" t="str">
        <f t="shared" si="46"/>
        <v xml:space="preserve"> </v>
      </c>
      <c r="Y651" s="246"/>
      <c r="Z651" s="247"/>
      <c r="AA651" s="20"/>
      <c r="AB651" s="11" t="str">
        <f t="shared" si="47"/>
        <v xml:space="preserve"> </v>
      </c>
      <c r="AC651" s="12" t="str">
        <f t="shared" si="48"/>
        <v xml:space="preserve"> </v>
      </c>
    </row>
    <row r="652" spans="1:29" ht="20.100000000000001" customHeight="1" x14ac:dyDescent="0.25">
      <c r="A652" s="16"/>
      <c r="B652" s="108"/>
      <c r="C652" s="109"/>
      <c r="D652" s="109"/>
      <c r="E652" s="109"/>
      <c r="F652" s="17"/>
      <c r="G652" s="17"/>
      <c r="H652" s="108"/>
      <c r="I652" s="107"/>
      <c r="J652" s="108"/>
      <c r="K652" s="107"/>
      <c r="L652" s="108"/>
      <c r="M652" s="110"/>
      <c r="N652" s="109"/>
      <c r="O652" s="108"/>
      <c r="P652" s="233"/>
      <c r="Q652" s="239"/>
      <c r="R652" s="19"/>
      <c r="S652" s="20"/>
      <c r="T652" s="9" t="str">
        <f t="shared" si="45"/>
        <v xml:space="preserve"> </v>
      </c>
      <c r="U652" s="18"/>
      <c r="V652" s="21"/>
      <c r="W652" s="22"/>
      <c r="X652" s="197" t="str">
        <f t="shared" si="46"/>
        <v xml:space="preserve"> </v>
      </c>
      <c r="Y652" s="246"/>
      <c r="Z652" s="247"/>
      <c r="AA652" s="20"/>
      <c r="AB652" s="11" t="str">
        <f t="shared" si="47"/>
        <v xml:space="preserve"> </v>
      </c>
      <c r="AC652" s="12" t="str">
        <f t="shared" si="48"/>
        <v xml:space="preserve"> </v>
      </c>
    </row>
    <row r="653" spans="1:29" ht="20.100000000000001" customHeight="1" x14ac:dyDescent="0.25">
      <c r="A653" s="16"/>
      <c r="B653" s="108"/>
      <c r="C653" s="109"/>
      <c r="D653" s="109"/>
      <c r="E653" s="109"/>
      <c r="F653" s="17"/>
      <c r="G653" s="17"/>
      <c r="H653" s="108"/>
      <c r="I653" s="107"/>
      <c r="J653" s="108"/>
      <c r="K653" s="107"/>
      <c r="L653" s="108"/>
      <c r="M653" s="110"/>
      <c r="N653" s="109"/>
      <c r="O653" s="108"/>
      <c r="P653" s="233"/>
      <c r="Q653" s="239"/>
      <c r="R653" s="19"/>
      <c r="S653" s="20"/>
      <c r="T653" s="9" t="str">
        <f t="shared" si="45"/>
        <v xml:space="preserve"> </v>
      </c>
      <c r="U653" s="18"/>
      <c r="V653" s="21"/>
      <c r="W653" s="22"/>
      <c r="X653" s="197" t="str">
        <f t="shared" si="46"/>
        <v xml:space="preserve"> </v>
      </c>
      <c r="Y653" s="246"/>
      <c r="Z653" s="247"/>
      <c r="AA653" s="20"/>
      <c r="AB653" s="11" t="str">
        <f t="shared" si="47"/>
        <v xml:space="preserve"> </v>
      </c>
      <c r="AC653" s="12" t="str">
        <f t="shared" si="48"/>
        <v xml:space="preserve"> </v>
      </c>
    </row>
    <row r="654" spans="1:29" ht="20.100000000000001" customHeight="1" x14ac:dyDescent="0.25">
      <c r="A654" s="16"/>
      <c r="B654" s="108"/>
      <c r="C654" s="109"/>
      <c r="D654" s="109"/>
      <c r="E654" s="109"/>
      <c r="F654" s="17"/>
      <c r="G654" s="17"/>
      <c r="H654" s="108"/>
      <c r="I654" s="107"/>
      <c r="J654" s="108"/>
      <c r="K654" s="107"/>
      <c r="L654" s="108"/>
      <c r="M654" s="110"/>
      <c r="N654" s="109"/>
      <c r="O654" s="108"/>
      <c r="P654" s="233"/>
      <c r="Q654" s="239"/>
      <c r="R654" s="19"/>
      <c r="S654" s="20"/>
      <c r="T654" s="9" t="str">
        <f t="shared" si="45"/>
        <v xml:space="preserve"> </v>
      </c>
      <c r="U654" s="18"/>
      <c r="V654" s="21"/>
      <c r="W654" s="22"/>
      <c r="X654" s="197" t="str">
        <f t="shared" si="46"/>
        <v xml:space="preserve"> </v>
      </c>
      <c r="Y654" s="246"/>
      <c r="Z654" s="247"/>
      <c r="AA654" s="20"/>
      <c r="AB654" s="11" t="str">
        <f t="shared" si="47"/>
        <v xml:space="preserve"> </v>
      </c>
      <c r="AC654" s="12" t="str">
        <f t="shared" si="48"/>
        <v xml:space="preserve"> </v>
      </c>
    </row>
    <row r="655" spans="1:29" ht="20.100000000000001" customHeight="1" x14ac:dyDescent="0.25">
      <c r="A655" s="16"/>
      <c r="B655" s="108"/>
      <c r="C655" s="109"/>
      <c r="D655" s="109"/>
      <c r="E655" s="109"/>
      <c r="F655" s="17"/>
      <c r="G655" s="17"/>
      <c r="H655" s="108"/>
      <c r="I655" s="107"/>
      <c r="J655" s="108"/>
      <c r="K655" s="107"/>
      <c r="L655" s="108"/>
      <c r="M655" s="110"/>
      <c r="N655" s="109"/>
      <c r="O655" s="108"/>
      <c r="P655" s="233"/>
      <c r="Q655" s="239"/>
      <c r="R655" s="19"/>
      <c r="S655" s="20"/>
      <c r="T655" s="9" t="str">
        <f t="shared" si="45"/>
        <v xml:space="preserve"> </v>
      </c>
      <c r="U655" s="18"/>
      <c r="V655" s="21"/>
      <c r="W655" s="22"/>
      <c r="X655" s="197" t="str">
        <f t="shared" si="46"/>
        <v xml:space="preserve"> </v>
      </c>
      <c r="Y655" s="246"/>
      <c r="Z655" s="247"/>
      <c r="AA655" s="20"/>
      <c r="AB655" s="11" t="str">
        <f t="shared" si="47"/>
        <v xml:space="preserve"> </v>
      </c>
      <c r="AC655" s="12" t="str">
        <f t="shared" si="48"/>
        <v xml:space="preserve"> </v>
      </c>
    </row>
    <row r="656" spans="1:29" ht="20.100000000000001" customHeight="1" x14ac:dyDescent="0.25">
      <c r="A656" s="16"/>
      <c r="B656" s="108"/>
      <c r="C656" s="109"/>
      <c r="D656" s="109"/>
      <c r="E656" s="109"/>
      <c r="F656" s="17"/>
      <c r="G656" s="17"/>
      <c r="H656" s="108"/>
      <c r="I656" s="107"/>
      <c r="J656" s="108"/>
      <c r="K656" s="107"/>
      <c r="L656" s="108"/>
      <c r="M656" s="110"/>
      <c r="N656" s="109"/>
      <c r="O656" s="108"/>
      <c r="P656" s="233"/>
      <c r="Q656" s="239"/>
      <c r="R656" s="19"/>
      <c r="S656" s="20"/>
      <c r="T656" s="9" t="str">
        <f t="shared" si="45"/>
        <v xml:space="preserve"> </v>
      </c>
      <c r="U656" s="18"/>
      <c r="V656" s="21"/>
      <c r="W656" s="22"/>
      <c r="X656" s="197" t="str">
        <f t="shared" si="46"/>
        <v xml:space="preserve"> </v>
      </c>
      <c r="Y656" s="246"/>
      <c r="Z656" s="247"/>
      <c r="AA656" s="20"/>
      <c r="AB656" s="11" t="str">
        <f t="shared" si="47"/>
        <v xml:space="preserve"> </v>
      </c>
      <c r="AC656" s="12" t="str">
        <f t="shared" si="48"/>
        <v xml:space="preserve"> </v>
      </c>
    </row>
    <row r="657" spans="1:29" ht="20.100000000000001" customHeight="1" x14ac:dyDescent="0.25">
      <c r="A657" s="16"/>
      <c r="B657" s="108"/>
      <c r="C657" s="109"/>
      <c r="D657" s="109"/>
      <c r="E657" s="109"/>
      <c r="F657" s="17"/>
      <c r="G657" s="17"/>
      <c r="H657" s="108"/>
      <c r="I657" s="107"/>
      <c r="J657" s="108"/>
      <c r="K657" s="107"/>
      <c r="L657" s="108"/>
      <c r="M657" s="110"/>
      <c r="N657" s="109"/>
      <c r="O657" s="108"/>
      <c r="P657" s="233"/>
      <c r="Q657" s="239"/>
      <c r="R657" s="19"/>
      <c r="S657" s="20"/>
      <c r="T657" s="9" t="str">
        <f t="shared" si="45"/>
        <v xml:space="preserve"> </v>
      </c>
      <c r="U657" s="18"/>
      <c r="V657" s="21"/>
      <c r="W657" s="22"/>
      <c r="X657" s="197" t="str">
        <f t="shared" si="46"/>
        <v xml:space="preserve"> </v>
      </c>
      <c r="Y657" s="246"/>
      <c r="Z657" s="247"/>
      <c r="AA657" s="20"/>
      <c r="AB657" s="11" t="str">
        <f t="shared" si="47"/>
        <v xml:space="preserve"> </v>
      </c>
      <c r="AC657" s="12" t="str">
        <f t="shared" si="48"/>
        <v xml:space="preserve"> </v>
      </c>
    </row>
    <row r="658" spans="1:29" ht="20.100000000000001" customHeight="1" x14ac:dyDescent="0.25">
      <c r="A658" s="16"/>
      <c r="B658" s="108"/>
      <c r="C658" s="109"/>
      <c r="D658" s="109"/>
      <c r="E658" s="109"/>
      <c r="F658" s="17"/>
      <c r="G658" s="17"/>
      <c r="H658" s="108"/>
      <c r="I658" s="107"/>
      <c r="J658" s="108"/>
      <c r="K658" s="107"/>
      <c r="L658" s="108"/>
      <c r="M658" s="110"/>
      <c r="N658" s="109"/>
      <c r="O658" s="108"/>
      <c r="P658" s="233"/>
      <c r="Q658" s="239"/>
      <c r="R658" s="19"/>
      <c r="S658" s="20"/>
      <c r="T658" s="9" t="str">
        <f t="shared" si="45"/>
        <v xml:space="preserve"> </v>
      </c>
      <c r="U658" s="18"/>
      <c r="V658" s="21"/>
      <c r="W658" s="22"/>
      <c r="X658" s="197" t="str">
        <f t="shared" si="46"/>
        <v xml:space="preserve"> </v>
      </c>
      <c r="Y658" s="246"/>
      <c r="Z658" s="247"/>
      <c r="AA658" s="20"/>
      <c r="AB658" s="11" t="str">
        <f t="shared" si="47"/>
        <v xml:space="preserve"> </v>
      </c>
      <c r="AC658" s="12" t="str">
        <f t="shared" si="48"/>
        <v xml:space="preserve"> </v>
      </c>
    </row>
    <row r="659" spans="1:29" ht="20.100000000000001" customHeight="1" x14ac:dyDescent="0.25">
      <c r="A659" s="16"/>
      <c r="B659" s="108"/>
      <c r="C659" s="109"/>
      <c r="D659" s="109"/>
      <c r="E659" s="109"/>
      <c r="F659" s="17"/>
      <c r="G659" s="17"/>
      <c r="H659" s="108"/>
      <c r="I659" s="107"/>
      <c r="J659" s="108"/>
      <c r="K659" s="107"/>
      <c r="L659" s="108"/>
      <c r="M659" s="110"/>
      <c r="N659" s="109"/>
      <c r="O659" s="108"/>
      <c r="P659" s="233"/>
      <c r="Q659" s="239"/>
      <c r="R659" s="19"/>
      <c r="S659" s="20"/>
      <c r="T659" s="9" t="str">
        <f t="shared" si="45"/>
        <v xml:space="preserve"> </v>
      </c>
      <c r="U659" s="18"/>
      <c r="V659" s="21"/>
      <c r="W659" s="22"/>
      <c r="X659" s="197" t="str">
        <f t="shared" si="46"/>
        <v xml:space="preserve"> </v>
      </c>
      <c r="Y659" s="246"/>
      <c r="Z659" s="247"/>
      <c r="AA659" s="20"/>
      <c r="AB659" s="11" t="str">
        <f t="shared" si="47"/>
        <v xml:space="preserve"> </v>
      </c>
      <c r="AC659" s="12" t="str">
        <f t="shared" si="48"/>
        <v xml:space="preserve"> </v>
      </c>
    </row>
    <row r="660" spans="1:29" ht="20.100000000000001" customHeight="1" x14ac:dyDescent="0.25">
      <c r="A660" s="16"/>
      <c r="B660" s="108"/>
      <c r="C660" s="109"/>
      <c r="D660" s="109"/>
      <c r="E660" s="109"/>
      <c r="F660" s="17"/>
      <c r="G660" s="17"/>
      <c r="H660" s="108"/>
      <c r="I660" s="107"/>
      <c r="J660" s="108"/>
      <c r="K660" s="107"/>
      <c r="L660" s="108"/>
      <c r="M660" s="110"/>
      <c r="N660" s="109"/>
      <c r="O660" s="108"/>
      <c r="P660" s="233"/>
      <c r="Q660" s="239"/>
      <c r="R660" s="19"/>
      <c r="S660" s="20"/>
      <c r="T660" s="9" t="str">
        <f t="shared" si="45"/>
        <v xml:space="preserve"> </v>
      </c>
      <c r="U660" s="18"/>
      <c r="V660" s="21"/>
      <c r="W660" s="22"/>
      <c r="X660" s="197" t="str">
        <f t="shared" si="46"/>
        <v xml:space="preserve"> </v>
      </c>
      <c r="Y660" s="246"/>
      <c r="Z660" s="247"/>
      <c r="AA660" s="20"/>
      <c r="AB660" s="11" t="str">
        <f t="shared" si="47"/>
        <v xml:space="preserve"> </v>
      </c>
      <c r="AC660" s="12" t="str">
        <f t="shared" si="48"/>
        <v xml:space="preserve"> </v>
      </c>
    </row>
    <row r="661" spans="1:29" ht="20.100000000000001" customHeight="1" x14ac:dyDescent="0.25">
      <c r="A661" s="16"/>
      <c r="B661" s="108"/>
      <c r="C661" s="109"/>
      <c r="D661" s="109"/>
      <c r="E661" s="109"/>
      <c r="F661" s="17"/>
      <c r="G661" s="17"/>
      <c r="H661" s="108"/>
      <c r="I661" s="107"/>
      <c r="J661" s="108"/>
      <c r="K661" s="107"/>
      <c r="L661" s="108"/>
      <c r="M661" s="110"/>
      <c r="N661" s="109"/>
      <c r="O661" s="108"/>
      <c r="P661" s="233"/>
      <c r="Q661" s="239"/>
      <c r="R661" s="19"/>
      <c r="S661" s="20"/>
      <c r="T661" s="9" t="str">
        <f t="shared" si="45"/>
        <v xml:space="preserve"> </v>
      </c>
      <c r="U661" s="18"/>
      <c r="V661" s="21"/>
      <c r="W661" s="22"/>
      <c r="X661" s="197" t="str">
        <f t="shared" si="46"/>
        <v xml:space="preserve"> </v>
      </c>
      <c r="Y661" s="246"/>
      <c r="Z661" s="247"/>
      <c r="AA661" s="20"/>
      <c r="AB661" s="11" t="str">
        <f t="shared" si="47"/>
        <v xml:space="preserve"> </v>
      </c>
      <c r="AC661" s="12" t="str">
        <f t="shared" si="48"/>
        <v xml:space="preserve"> </v>
      </c>
    </row>
    <row r="662" spans="1:29" ht="20.100000000000001" customHeight="1" x14ac:dyDescent="0.25">
      <c r="A662" s="16"/>
      <c r="B662" s="108"/>
      <c r="C662" s="109"/>
      <c r="D662" s="109"/>
      <c r="E662" s="109"/>
      <c r="F662" s="17"/>
      <c r="G662" s="17"/>
      <c r="H662" s="108"/>
      <c r="I662" s="107"/>
      <c r="J662" s="108"/>
      <c r="K662" s="107"/>
      <c r="L662" s="108"/>
      <c r="M662" s="110"/>
      <c r="N662" s="109"/>
      <c r="O662" s="108"/>
      <c r="P662" s="233"/>
      <c r="Q662" s="239"/>
      <c r="R662" s="19"/>
      <c r="S662" s="20"/>
      <c r="T662" s="9" t="str">
        <f t="shared" si="45"/>
        <v xml:space="preserve"> </v>
      </c>
      <c r="U662" s="18"/>
      <c r="V662" s="21"/>
      <c r="W662" s="22"/>
      <c r="X662" s="197" t="str">
        <f t="shared" si="46"/>
        <v xml:space="preserve"> </v>
      </c>
      <c r="Y662" s="246"/>
      <c r="Z662" s="247"/>
      <c r="AA662" s="20"/>
      <c r="AB662" s="11" t="str">
        <f t="shared" si="47"/>
        <v xml:space="preserve"> </v>
      </c>
      <c r="AC662" s="12" t="str">
        <f t="shared" si="48"/>
        <v xml:space="preserve"> </v>
      </c>
    </row>
    <row r="663" spans="1:29" ht="20.100000000000001" customHeight="1" x14ac:dyDescent="0.25">
      <c r="A663" s="16"/>
      <c r="B663" s="108"/>
      <c r="C663" s="109"/>
      <c r="D663" s="109"/>
      <c r="E663" s="109"/>
      <c r="F663" s="17"/>
      <c r="G663" s="17"/>
      <c r="H663" s="108"/>
      <c r="I663" s="107"/>
      <c r="J663" s="108"/>
      <c r="K663" s="107"/>
      <c r="L663" s="108"/>
      <c r="M663" s="110"/>
      <c r="N663" s="109"/>
      <c r="O663" s="108"/>
      <c r="P663" s="233"/>
      <c r="Q663" s="239"/>
      <c r="R663" s="19"/>
      <c r="S663" s="20"/>
      <c r="T663" s="9" t="str">
        <f t="shared" si="45"/>
        <v xml:space="preserve"> </v>
      </c>
      <c r="U663" s="18"/>
      <c r="V663" s="21"/>
      <c r="W663" s="22"/>
      <c r="X663" s="197" t="str">
        <f t="shared" si="46"/>
        <v xml:space="preserve"> </v>
      </c>
      <c r="Y663" s="246"/>
      <c r="Z663" s="247"/>
      <c r="AA663" s="20"/>
      <c r="AB663" s="11" t="str">
        <f t="shared" si="47"/>
        <v xml:space="preserve"> </v>
      </c>
      <c r="AC663" s="12" t="str">
        <f t="shared" si="48"/>
        <v xml:space="preserve"> </v>
      </c>
    </row>
    <row r="664" spans="1:29" ht="20.100000000000001" customHeight="1" x14ac:dyDescent="0.25">
      <c r="A664" s="16"/>
      <c r="B664" s="108"/>
      <c r="C664" s="109"/>
      <c r="D664" s="109"/>
      <c r="E664" s="109"/>
      <c r="F664" s="17"/>
      <c r="G664" s="17"/>
      <c r="H664" s="108"/>
      <c r="I664" s="107"/>
      <c r="J664" s="108"/>
      <c r="K664" s="107"/>
      <c r="L664" s="108"/>
      <c r="M664" s="110"/>
      <c r="N664" s="109"/>
      <c r="O664" s="108"/>
      <c r="P664" s="233"/>
      <c r="Q664" s="239"/>
      <c r="R664" s="19"/>
      <c r="S664" s="20"/>
      <c r="T664" s="9" t="str">
        <f t="shared" si="45"/>
        <v xml:space="preserve"> </v>
      </c>
      <c r="U664" s="18"/>
      <c r="V664" s="21"/>
      <c r="W664" s="22"/>
      <c r="X664" s="197" t="str">
        <f t="shared" si="46"/>
        <v xml:space="preserve"> </v>
      </c>
      <c r="Y664" s="246"/>
      <c r="Z664" s="247"/>
      <c r="AA664" s="20"/>
      <c r="AB664" s="11" t="str">
        <f t="shared" si="47"/>
        <v xml:space="preserve"> </v>
      </c>
      <c r="AC664" s="12" t="str">
        <f t="shared" si="48"/>
        <v xml:space="preserve"> </v>
      </c>
    </row>
    <row r="665" spans="1:29" ht="20.100000000000001" customHeight="1" x14ac:dyDescent="0.25">
      <c r="A665" s="16"/>
      <c r="B665" s="108"/>
      <c r="C665" s="109"/>
      <c r="D665" s="109"/>
      <c r="E665" s="109"/>
      <c r="F665" s="17"/>
      <c r="G665" s="17"/>
      <c r="H665" s="108"/>
      <c r="I665" s="107"/>
      <c r="J665" s="108"/>
      <c r="K665" s="107"/>
      <c r="L665" s="108"/>
      <c r="M665" s="110"/>
      <c r="N665" s="109"/>
      <c r="O665" s="108"/>
      <c r="P665" s="233"/>
      <c r="Q665" s="239"/>
      <c r="R665" s="19"/>
      <c r="S665" s="20"/>
      <c r="T665" s="9" t="str">
        <f t="shared" si="45"/>
        <v xml:space="preserve"> </v>
      </c>
      <c r="U665" s="18"/>
      <c r="V665" s="21"/>
      <c r="W665" s="22"/>
      <c r="X665" s="197" t="str">
        <f t="shared" si="46"/>
        <v xml:space="preserve"> </v>
      </c>
      <c r="Y665" s="246"/>
      <c r="Z665" s="247"/>
      <c r="AA665" s="20"/>
      <c r="AB665" s="11" t="str">
        <f t="shared" si="47"/>
        <v xml:space="preserve"> </v>
      </c>
      <c r="AC665" s="12" t="str">
        <f t="shared" si="48"/>
        <v xml:space="preserve"> </v>
      </c>
    </row>
    <row r="666" spans="1:29" ht="20.100000000000001" customHeight="1" x14ac:dyDescent="0.25">
      <c r="A666" s="16"/>
      <c r="B666" s="108"/>
      <c r="C666" s="109"/>
      <c r="D666" s="109"/>
      <c r="E666" s="109"/>
      <c r="F666" s="17"/>
      <c r="G666" s="17"/>
      <c r="H666" s="108"/>
      <c r="I666" s="107"/>
      <c r="J666" s="108"/>
      <c r="K666" s="107"/>
      <c r="L666" s="108"/>
      <c r="M666" s="110"/>
      <c r="N666" s="109"/>
      <c r="O666" s="108"/>
      <c r="P666" s="233"/>
      <c r="Q666" s="239"/>
      <c r="R666" s="19"/>
      <c r="S666" s="20"/>
      <c r="T666" s="9" t="str">
        <f t="shared" si="45"/>
        <v xml:space="preserve"> </v>
      </c>
      <c r="U666" s="18"/>
      <c r="V666" s="21"/>
      <c r="W666" s="22"/>
      <c r="X666" s="197" t="str">
        <f t="shared" si="46"/>
        <v xml:space="preserve"> </v>
      </c>
      <c r="Y666" s="246"/>
      <c r="Z666" s="247"/>
      <c r="AA666" s="20"/>
      <c r="AB666" s="11" t="str">
        <f t="shared" si="47"/>
        <v xml:space="preserve"> </v>
      </c>
      <c r="AC666" s="12" t="str">
        <f t="shared" si="48"/>
        <v xml:space="preserve"> </v>
      </c>
    </row>
    <row r="667" spans="1:29" ht="20.100000000000001" customHeight="1" x14ac:dyDescent="0.25">
      <c r="A667" s="16"/>
      <c r="B667" s="108"/>
      <c r="C667" s="109"/>
      <c r="D667" s="109"/>
      <c r="E667" s="109"/>
      <c r="F667" s="17"/>
      <c r="G667" s="17"/>
      <c r="H667" s="108"/>
      <c r="I667" s="107"/>
      <c r="J667" s="108"/>
      <c r="K667" s="107"/>
      <c r="L667" s="108"/>
      <c r="M667" s="110"/>
      <c r="N667" s="109"/>
      <c r="O667" s="108"/>
      <c r="P667" s="233"/>
      <c r="Q667" s="239"/>
      <c r="R667" s="19"/>
      <c r="S667" s="20"/>
      <c r="T667" s="9" t="str">
        <f t="shared" si="45"/>
        <v xml:space="preserve"> </v>
      </c>
      <c r="U667" s="18"/>
      <c r="V667" s="21"/>
      <c r="W667" s="22"/>
      <c r="X667" s="197" t="str">
        <f t="shared" si="46"/>
        <v xml:space="preserve"> </v>
      </c>
      <c r="Y667" s="246"/>
      <c r="Z667" s="247"/>
      <c r="AA667" s="20"/>
      <c r="AB667" s="11" t="str">
        <f t="shared" si="47"/>
        <v xml:space="preserve"> </v>
      </c>
      <c r="AC667" s="12" t="str">
        <f t="shared" si="48"/>
        <v xml:space="preserve"> </v>
      </c>
    </row>
    <row r="668" spans="1:29" ht="20.100000000000001" customHeight="1" x14ac:dyDescent="0.25">
      <c r="A668" s="16"/>
      <c r="B668" s="108"/>
      <c r="C668" s="109"/>
      <c r="D668" s="109"/>
      <c r="E668" s="109"/>
      <c r="F668" s="17"/>
      <c r="G668" s="17"/>
      <c r="H668" s="108"/>
      <c r="I668" s="107"/>
      <c r="J668" s="108"/>
      <c r="K668" s="107"/>
      <c r="L668" s="108"/>
      <c r="M668" s="110"/>
      <c r="N668" s="109"/>
      <c r="O668" s="108"/>
      <c r="P668" s="233"/>
      <c r="Q668" s="239"/>
      <c r="R668" s="19"/>
      <c r="S668" s="20"/>
      <c r="T668" s="9" t="str">
        <f t="shared" si="45"/>
        <v xml:space="preserve"> </v>
      </c>
      <c r="U668" s="18"/>
      <c r="V668" s="21"/>
      <c r="W668" s="22"/>
      <c r="X668" s="197" t="str">
        <f t="shared" si="46"/>
        <v xml:space="preserve"> </v>
      </c>
      <c r="Y668" s="246"/>
      <c r="Z668" s="247"/>
      <c r="AA668" s="20"/>
      <c r="AB668" s="11" t="str">
        <f t="shared" si="47"/>
        <v xml:space="preserve"> </v>
      </c>
      <c r="AC668" s="12" t="str">
        <f t="shared" si="48"/>
        <v xml:space="preserve"> </v>
      </c>
    </row>
    <row r="669" spans="1:29" ht="20.100000000000001" customHeight="1" x14ac:dyDescent="0.25">
      <c r="A669" s="16"/>
      <c r="B669" s="108"/>
      <c r="C669" s="109"/>
      <c r="D669" s="109"/>
      <c r="E669" s="109"/>
      <c r="F669" s="17"/>
      <c r="G669" s="17"/>
      <c r="H669" s="108"/>
      <c r="I669" s="107"/>
      <c r="J669" s="108"/>
      <c r="K669" s="107"/>
      <c r="L669" s="108"/>
      <c r="M669" s="110"/>
      <c r="N669" s="109"/>
      <c r="O669" s="108"/>
      <c r="P669" s="233"/>
      <c r="Q669" s="239"/>
      <c r="R669" s="19"/>
      <c r="S669" s="20"/>
      <c r="T669" s="9" t="str">
        <f t="shared" si="45"/>
        <v xml:space="preserve"> </v>
      </c>
      <c r="U669" s="18"/>
      <c r="V669" s="21"/>
      <c r="W669" s="22"/>
      <c r="X669" s="197" t="str">
        <f t="shared" si="46"/>
        <v xml:space="preserve"> </v>
      </c>
      <c r="Y669" s="246"/>
      <c r="Z669" s="247"/>
      <c r="AA669" s="20"/>
      <c r="AB669" s="11" t="str">
        <f t="shared" si="47"/>
        <v xml:space="preserve"> </v>
      </c>
      <c r="AC669" s="12" t="str">
        <f t="shared" si="48"/>
        <v xml:space="preserve"> </v>
      </c>
    </row>
    <row r="670" spans="1:29" ht="20.100000000000001" customHeight="1" x14ac:dyDescent="0.25">
      <c r="A670" s="16"/>
      <c r="B670" s="108"/>
      <c r="C670" s="109"/>
      <c r="D670" s="109"/>
      <c r="E670" s="109"/>
      <c r="F670" s="17"/>
      <c r="G670" s="17"/>
      <c r="H670" s="108"/>
      <c r="I670" s="107"/>
      <c r="J670" s="108"/>
      <c r="K670" s="107"/>
      <c r="L670" s="108"/>
      <c r="M670" s="110"/>
      <c r="N670" s="109"/>
      <c r="O670" s="108"/>
      <c r="P670" s="233"/>
      <c r="Q670" s="239"/>
      <c r="R670" s="19"/>
      <c r="S670" s="20"/>
      <c r="T670" s="9" t="str">
        <f t="shared" si="45"/>
        <v xml:space="preserve"> </v>
      </c>
      <c r="U670" s="18"/>
      <c r="V670" s="21"/>
      <c r="W670" s="22"/>
      <c r="X670" s="197" t="str">
        <f t="shared" si="46"/>
        <v xml:space="preserve"> </v>
      </c>
      <c r="Y670" s="246"/>
      <c r="Z670" s="247"/>
      <c r="AA670" s="20"/>
      <c r="AB670" s="11" t="str">
        <f t="shared" si="47"/>
        <v xml:space="preserve"> </v>
      </c>
      <c r="AC670" s="12" t="str">
        <f t="shared" si="48"/>
        <v xml:space="preserve"> </v>
      </c>
    </row>
    <row r="671" spans="1:29" ht="20.100000000000001" customHeight="1" x14ac:dyDescent="0.25">
      <c r="A671" s="16"/>
      <c r="B671" s="108"/>
      <c r="C671" s="109"/>
      <c r="D671" s="109"/>
      <c r="E671" s="109"/>
      <c r="F671" s="17"/>
      <c r="G671" s="17"/>
      <c r="H671" s="108"/>
      <c r="I671" s="107"/>
      <c r="J671" s="108"/>
      <c r="K671" s="107"/>
      <c r="L671" s="108"/>
      <c r="M671" s="110"/>
      <c r="N671" s="109"/>
      <c r="O671" s="108"/>
      <c r="P671" s="233"/>
      <c r="Q671" s="239"/>
      <c r="R671" s="19"/>
      <c r="S671" s="20"/>
      <c r="T671" s="9" t="str">
        <f t="shared" si="45"/>
        <v xml:space="preserve"> </v>
      </c>
      <c r="U671" s="18"/>
      <c r="V671" s="21"/>
      <c r="W671" s="22"/>
      <c r="X671" s="197" t="str">
        <f t="shared" si="46"/>
        <v xml:space="preserve"> </v>
      </c>
      <c r="Y671" s="246"/>
      <c r="Z671" s="247"/>
      <c r="AA671" s="20"/>
      <c r="AB671" s="11" t="str">
        <f t="shared" si="47"/>
        <v xml:space="preserve"> </v>
      </c>
      <c r="AC671" s="12" t="str">
        <f t="shared" si="48"/>
        <v xml:space="preserve"> </v>
      </c>
    </row>
    <row r="672" spans="1:29" ht="20.100000000000001" customHeight="1" x14ac:dyDescent="0.25">
      <c r="A672" s="16"/>
      <c r="B672" s="108"/>
      <c r="C672" s="109"/>
      <c r="D672" s="109"/>
      <c r="E672" s="109"/>
      <c r="F672" s="17"/>
      <c r="G672" s="17"/>
      <c r="H672" s="108"/>
      <c r="I672" s="107"/>
      <c r="J672" s="108"/>
      <c r="K672" s="107"/>
      <c r="L672" s="108"/>
      <c r="M672" s="110"/>
      <c r="N672" s="109"/>
      <c r="O672" s="108"/>
      <c r="P672" s="233"/>
      <c r="Q672" s="239"/>
      <c r="R672" s="19"/>
      <c r="S672" s="20"/>
      <c r="T672" s="9" t="str">
        <f t="shared" si="45"/>
        <v xml:space="preserve"> </v>
      </c>
      <c r="U672" s="18"/>
      <c r="V672" s="21"/>
      <c r="W672" s="22"/>
      <c r="X672" s="197" t="str">
        <f t="shared" si="46"/>
        <v xml:space="preserve"> </v>
      </c>
      <c r="Y672" s="246"/>
      <c r="Z672" s="247"/>
      <c r="AA672" s="20"/>
      <c r="AB672" s="11" t="str">
        <f t="shared" si="47"/>
        <v xml:space="preserve"> </v>
      </c>
      <c r="AC672" s="12" t="str">
        <f t="shared" si="48"/>
        <v xml:space="preserve"> </v>
      </c>
    </row>
    <row r="673" spans="1:29" ht="20.100000000000001" customHeight="1" x14ac:dyDescent="0.25">
      <c r="A673" s="16"/>
      <c r="B673" s="108"/>
      <c r="C673" s="109"/>
      <c r="D673" s="109"/>
      <c r="E673" s="109"/>
      <c r="F673" s="17"/>
      <c r="G673" s="17"/>
      <c r="H673" s="108"/>
      <c r="I673" s="107"/>
      <c r="J673" s="108"/>
      <c r="K673" s="107"/>
      <c r="L673" s="108"/>
      <c r="M673" s="110"/>
      <c r="N673" s="109"/>
      <c r="O673" s="108"/>
      <c r="P673" s="233"/>
      <c r="Q673" s="239"/>
      <c r="R673" s="19"/>
      <c r="S673" s="20"/>
      <c r="T673" s="9" t="str">
        <f t="shared" si="45"/>
        <v xml:space="preserve"> </v>
      </c>
      <c r="U673" s="18"/>
      <c r="V673" s="21"/>
      <c r="W673" s="22"/>
      <c r="X673" s="197" t="str">
        <f t="shared" si="46"/>
        <v xml:space="preserve"> </v>
      </c>
      <c r="Y673" s="246"/>
      <c r="Z673" s="247"/>
      <c r="AA673" s="20"/>
      <c r="AB673" s="11" t="str">
        <f t="shared" si="47"/>
        <v xml:space="preserve"> </v>
      </c>
      <c r="AC673" s="12" t="str">
        <f t="shared" si="48"/>
        <v xml:space="preserve"> </v>
      </c>
    </row>
    <row r="674" spans="1:29" ht="20.100000000000001" customHeight="1" x14ac:dyDescent="0.25">
      <c r="A674" s="16"/>
      <c r="B674" s="108"/>
      <c r="C674" s="109"/>
      <c r="D674" s="109"/>
      <c r="E674" s="109"/>
      <c r="F674" s="17"/>
      <c r="G674" s="17"/>
      <c r="H674" s="108"/>
      <c r="I674" s="107"/>
      <c r="J674" s="108"/>
      <c r="K674" s="107"/>
      <c r="L674" s="108"/>
      <c r="M674" s="110"/>
      <c r="N674" s="109"/>
      <c r="O674" s="108"/>
      <c r="P674" s="233"/>
      <c r="Q674" s="239"/>
      <c r="R674" s="19"/>
      <c r="S674" s="20"/>
      <c r="T674" s="9" t="str">
        <f t="shared" si="45"/>
        <v xml:space="preserve"> </v>
      </c>
      <c r="U674" s="18"/>
      <c r="V674" s="21"/>
      <c r="W674" s="22"/>
      <c r="X674" s="197" t="str">
        <f t="shared" si="46"/>
        <v xml:space="preserve"> </v>
      </c>
      <c r="Y674" s="246"/>
      <c r="Z674" s="247"/>
      <c r="AA674" s="20"/>
      <c r="AB674" s="11" t="str">
        <f t="shared" si="47"/>
        <v xml:space="preserve"> </v>
      </c>
      <c r="AC674" s="12" t="str">
        <f t="shared" si="48"/>
        <v xml:space="preserve"> </v>
      </c>
    </row>
    <row r="675" spans="1:29" ht="20.100000000000001" customHeight="1" x14ac:dyDescent="0.25">
      <c r="A675" s="16"/>
      <c r="B675" s="108"/>
      <c r="C675" s="109"/>
      <c r="D675" s="109"/>
      <c r="E675" s="109"/>
      <c r="F675" s="17"/>
      <c r="G675" s="17"/>
      <c r="H675" s="108"/>
      <c r="I675" s="107"/>
      <c r="J675" s="108"/>
      <c r="K675" s="107"/>
      <c r="L675" s="108"/>
      <c r="M675" s="110"/>
      <c r="N675" s="109"/>
      <c r="O675" s="108"/>
      <c r="P675" s="233"/>
      <c r="Q675" s="239"/>
      <c r="R675" s="19"/>
      <c r="S675" s="20"/>
      <c r="T675" s="9" t="str">
        <f t="shared" si="45"/>
        <v xml:space="preserve"> </v>
      </c>
      <c r="U675" s="18"/>
      <c r="V675" s="21"/>
      <c r="W675" s="22"/>
      <c r="X675" s="197" t="str">
        <f t="shared" si="46"/>
        <v xml:space="preserve"> </v>
      </c>
      <c r="Y675" s="246"/>
      <c r="Z675" s="247"/>
      <c r="AA675" s="20"/>
      <c r="AB675" s="11" t="str">
        <f t="shared" si="47"/>
        <v xml:space="preserve"> </v>
      </c>
      <c r="AC675" s="12" t="str">
        <f t="shared" si="48"/>
        <v xml:space="preserve"> </v>
      </c>
    </row>
    <row r="676" spans="1:29" ht="20.100000000000001" customHeight="1" x14ac:dyDescent="0.25">
      <c r="A676" s="16"/>
      <c r="B676" s="108"/>
      <c r="C676" s="109"/>
      <c r="D676" s="109"/>
      <c r="E676" s="109"/>
      <c r="F676" s="17"/>
      <c r="G676" s="17"/>
      <c r="H676" s="108"/>
      <c r="I676" s="107"/>
      <c r="J676" s="108"/>
      <c r="K676" s="107"/>
      <c r="L676" s="108"/>
      <c r="M676" s="110"/>
      <c r="N676" s="109"/>
      <c r="O676" s="108"/>
      <c r="P676" s="233"/>
      <c r="Q676" s="239"/>
      <c r="R676" s="19"/>
      <c r="S676" s="20"/>
      <c r="T676" s="9" t="str">
        <f t="shared" si="45"/>
        <v xml:space="preserve"> </v>
      </c>
      <c r="U676" s="18"/>
      <c r="V676" s="21"/>
      <c r="W676" s="22"/>
      <c r="X676" s="197" t="str">
        <f t="shared" si="46"/>
        <v xml:space="preserve"> </v>
      </c>
      <c r="Y676" s="246"/>
      <c r="Z676" s="247"/>
      <c r="AA676" s="20"/>
      <c r="AB676" s="11" t="str">
        <f t="shared" si="47"/>
        <v xml:space="preserve"> </v>
      </c>
      <c r="AC676" s="12" t="str">
        <f t="shared" si="48"/>
        <v xml:space="preserve"> </v>
      </c>
    </row>
    <row r="677" spans="1:29" ht="20.100000000000001" customHeight="1" x14ac:dyDescent="0.25">
      <c r="A677" s="16"/>
      <c r="B677" s="108"/>
      <c r="C677" s="109"/>
      <c r="D677" s="109"/>
      <c r="E677" s="109"/>
      <c r="F677" s="17"/>
      <c r="G677" s="17"/>
      <c r="H677" s="108"/>
      <c r="I677" s="107"/>
      <c r="J677" s="108"/>
      <c r="K677" s="107"/>
      <c r="L677" s="108"/>
      <c r="M677" s="110"/>
      <c r="N677" s="109"/>
      <c r="O677" s="108"/>
      <c r="P677" s="233"/>
      <c r="Q677" s="239"/>
      <c r="R677" s="19"/>
      <c r="S677" s="20"/>
      <c r="T677" s="9" t="str">
        <f t="shared" si="45"/>
        <v xml:space="preserve"> </v>
      </c>
      <c r="U677" s="18"/>
      <c r="V677" s="21"/>
      <c r="W677" s="22"/>
      <c r="X677" s="197" t="str">
        <f t="shared" si="46"/>
        <v xml:space="preserve"> </v>
      </c>
      <c r="Y677" s="246"/>
      <c r="Z677" s="247"/>
      <c r="AA677" s="20"/>
      <c r="AB677" s="11" t="str">
        <f t="shared" si="47"/>
        <v xml:space="preserve"> </v>
      </c>
      <c r="AC677" s="12" t="str">
        <f t="shared" si="48"/>
        <v xml:space="preserve"> </v>
      </c>
    </row>
    <row r="678" spans="1:29" ht="20.100000000000001" customHeight="1" x14ac:dyDescent="0.25">
      <c r="A678" s="16"/>
      <c r="B678" s="108"/>
      <c r="C678" s="109"/>
      <c r="D678" s="109"/>
      <c r="E678" s="109"/>
      <c r="F678" s="17"/>
      <c r="G678" s="17"/>
      <c r="H678" s="108"/>
      <c r="I678" s="107"/>
      <c r="J678" s="108"/>
      <c r="K678" s="107"/>
      <c r="L678" s="108"/>
      <c r="M678" s="110"/>
      <c r="N678" s="109"/>
      <c r="O678" s="108"/>
      <c r="P678" s="233"/>
      <c r="Q678" s="239"/>
      <c r="R678" s="19"/>
      <c r="S678" s="20"/>
      <c r="T678" s="9" t="str">
        <f t="shared" si="45"/>
        <v xml:space="preserve"> </v>
      </c>
      <c r="U678" s="18"/>
      <c r="V678" s="21"/>
      <c r="W678" s="22"/>
      <c r="X678" s="197" t="str">
        <f t="shared" si="46"/>
        <v xml:space="preserve"> </v>
      </c>
      <c r="Y678" s="246"/>
      <c r="Z678" s="247"/>
      <c r="AA678" s="20"/>
      <c r="AB678" s="11" t="str">
        <f t="shared" si="47"/>
        <v xml:space="preserve"> </v>
      </c>
      <c r="AC678" s="12" t="str">
        <f t="shared" si="48"/>
        <v xml:space="preserve"> </v>
      </c>
    </row>
    <row r="679" spans="1:29" ht="20.100000000000001" customHeight="1" x14ac:dyDescent="0.25">
      <c r="A679" s="16"/>
      <c r="B679" s="108"/>
      <c r="C679" s="109"/>
      <c r="D679" s="109"/>
      <c r="E679" s="109"/>
      <c r="F679" s="17"/>
      <c r="G679" s="17"/>
      <c r="H679" s="108"/>
      <c r="I679" s="107"/>
      <c r="J679" s="108"/>
      <c r="K679" s="107"/>
      <c r="L679" s="108"/>
      <c r="M679" s="110"/>
      <c r="N679" s="109"/>
      <c r="O679" s="108"/>
      <c r="P679" s="233"/>
      <c r="Q679" s="239"/>
      <c r="R679" s="19"/>
      <c r="S679" s="20"/>
      <c r="T679" s="9" t="str">
        <f t="shared" si="45"/>
        <v xml:space="preserve"> </v>
      </c>
      <c r="U679" s="18"/>
      <c r="V679" s="21"/>
      <c r="W679" s="22"/>
      <c r="X679" s="197" t="str">
        <f t="shared" si="46"/>
        <v xml:space="preserve"> </v>
      </c>
      <c r="Y679" s="246"/>
      <c r="Z679" s="247"/>
      <c r="AA679" s="20"/>
      <c r="AB679" s="11" t="str">
        <f t="shared" si="47"/>
        <v xml:space="preserve"> </v>
      </c>
      <c r="AC679" s="12" t="str">
        <f t="shared" si="48"/>
        <v xml:space="preserve"> </v>
      </c>
    </row>
    <row r="680" spans="1:29" ht="20.100000000000001" customHeight="1" x14ac:dyDescent="0.25">
      <c r="A680" s="16"/>
      <c r="B680" s="108"/>
      <c r="C680" s="109"/>
      <c r="D680" s="109"/>
      <c r="E680" s="109"/>
      <c r="F680" s="17"/>
      <c r="G680" s="17"/>
      <c r="H680" s="108"/>
      <c r="I680" s="107"/>
      <c r="J680" s="108"/>
      <c r="K680" s="107"/>
      <c r="L680" s="108"/>
      <c r="M680" s="110"/>
      <c r="N680" s="109"/>
      <c r="O680" s="108"/>
      <c r="P680" s="233"/>
      <c r="Q680" s="239"/>
      <c r="R680" s="19"/>
      <c r="S680" s="20"/>
      <c r="T680" s="9" t="str">
        <f t="shared" si="45"/>
        <v xml:space="preserve"> </v>
      </c>
      <c r="U680" s="18"/>
      <c r="V680" s="21"/>
      <c r="W680" s="22"/>
      <c r="X680" s="197" t="str">
        <f t="shared" si="46"/>
        <v xml:space="preserve"> </v>
      </c>
      <c r="Y680" s="246"/>
      <c r="Z680" s="247"/>
      <c r="AA680" s="20"/>
      <c r="AB680" s="11" t="str">
        <f t="shared" si="47"/>
        <v xml:space="preserve"> </v>
      </c>
      <c r="AC680" s="12" t="str">
        <f t="shared" si="48"/>
        <v xml:space="preserve"> </v>
      </c>
    </row>
    <row r="681" spans="1:29" ht="20.100000000000001" customHeight="1" x14ac:dyDescent="0.25">
      <c r="A681" s="16"/>
      <c r="B681" s="108"/>
      <c r="C681" s="109"/>
      <c r="D681" s="109"/>
      <c r="E681" s="109"/>
      <c r="F681" s="17"/>
      <c r="G681" s="17"/>
      <c r="H681" s="108"/>
      <c r="I681" s="107"/>
      <c r="J681" s="108"/>
      <c r="K681" s="107"/>
      <c r="L681" s="108"/>
      <c r="M681" s="110"/>
      <c r="N681" s="109"/>
      <c r="O681" s="108"/>
      <c r="P681" s="233"/>
      <c r="Q681" s="239"/>
      <c r="R681" s="19"/>
      <c r="S681" s="20"/>
      <c r="T681" s="9" t="str">
        <f t="shared" si="45"/>
        <v xml:space="preserve"> </v>
      </c>
      <c r="U681" s="18"/>
      <c r="V681" s="21"/>
      <c r="W681" s="22"/>
      <c r="X681" s="197" t="str">
        <f t="shared" si="46"/>
        <v xml:space="preserve"> </v>
      </c>
      <c r="Y681" s="246"/>
      <c r="Z681" s="247"/>
      <c r="AA681" s="20"/>
      <c r="AB681" s="11" t="str">
        <f t="shared" si="47"/>
        <v xml:space="preserve"> </v>
      </c>
      <c r="AC681" s="12" t="str">
        <f t="shared" si="48"/>
        <v xml:space="preserve"> </v>
      </c>
    </row>
    <row r="682" spans="1:29" ht="20.100000000000001" customHeight="1" x14ac:dyDescent="0.25">
      <c r="A682" s="16"/>
      <c r="B682" s="108"/>
      <c r="C682" s="109"/>
      <c r="D682" s="109"/>
      <c r="E682" s="109"/>
      <c r="F682" s="17"/>
      <c r="G682" s="17"/>
      <c r="H682" s="108"/>
      <c r="I682" s="107"/>
      <c r="J682" s="108"/>
      <c r="K682" s="107"/>
      <c r="L682" s="108"/>
      <c r="M682" s="110"/>
      <c r="N682" s="109"/>
      <c r="O682" s="108"/>
      <c r="P682" s="233"/>
      <c r="Q682" s="239"/>
      <c r="R682" s="19"/>
      <c r="S682" s="20"/>
      <c r="T682" s="9" t="str">
        <f t="shared" si="45"/>
        <v xml:space="preserve"> </v>
      </c>
      <c r="U682" s="18"/>
      <c r="V682" s="21"/>
      <c r="W682" s="22"/>
      <c r="X682" s="197" t="str">
        <f t="shared" si="46"/>
        <v xml:space="preserve"> </v>
      </c>
      <c r="Y682" s="246"/>
      <c r="Z682" s="247"/>
      <c r="AA682" s="20"/>
      <c r="AB682" s="11" t="str">
        <f t="shared" si="47"/>
        <v xml:space="preserve"> </v>
      </c>
      <c r="AC682" s="12" t="str">
        <f t="shared" si="48"/>
        <v xml:space="preserve"> </v>
      </c>
    </row>
    <row r="683" spans="1:29" ht="20.100000000000001" customHeight="1" x14ac:dyDescent="0.25">
      <c r="A683" s="16"/>
      <c r="B683" s="108"/>
      <c r="C683" s="109"/>
      <c r="D683" s="109"/>
      <c r="E683" s="109"/>
      <c r="F683" s="17"/>
      <c r="G683" s="17"/>
      <c r="H683" s="108"/>
      <c r="I683" s="107"/>
      <c r="J683" s="108"/>
      <c r="K683" s="107"/>
      <c r="L683" s="108"/>
      <c r="M683" s="110"/>
      <c r="N683" s="109"/>
      <c r="O683" s="108"/>
      <c r="P683" s="233"/>
      <c r="Q683" s="239"/>
      <c r="R683" s="19"/>
      <c r="S683" s="20"/>
      <c r="T683" s="9" t="str">
        <f t="shared" si="45"/>
        <v xml:space="preserve"> </v>
      </c>
      <c r="U683" s="18"/>
      <c r="V683" s="21"/>
      <c r="W683" s="22"/>
      <c r="X683" s="197" t="str">
        <f t="shared" si="46"/>
        <v xml:space="preserve"> </v>
      </c>
      <c r="Y683" s="246"/>
      <c r="Z683" s="247"/>
      <c r="AA683" s="20"/>
      <c r="AB683" s="11" t="str">
        <f t="shared" si="47"/>
        <v xml:space="preserve"> </v>
      </c>
      <c r="AC683" s="12" t="str">
        <f t="shared" si="48"/>
        <v xml:space="preserve"> </v>
      </c>
    </row>
    <row r="684" spans="1:29" ht="20.100000000000001" customHeight="1" x14ac:dyDescent="0.25">
      <c r="A684" s="16"/>
      <c r="B684" s="108"/>
      <c r="C684" s="109"/>
      <c r="D684" s="109"/>
      <c r="E684" s="109"/>
      <c r="F684" s="17"/>
      <c r="G684" s="17"/>
      <c r="H684" s="108"/>
      <c r="I684" s="107"/>
      <c r="J684" s="108"/>
      <c r="K684" s="107"/>
      <c r="L684" s="108"/>
      <c r="M684" s="110"/>
      <c r="N684" s="109"/>
      <c r="O684" s="108"/>
      <c r="P684" s="233"/>
      <c r="Q684" s="239"/>
      <c r="R684" s="19"/>
      <c r="S684" s="20"/>
      <c r="T684" s="9" t="str">
        <f t="shared" si="45"/>
        <v xml:space="preserve"> </v>
      </c>
      <c r="U684" s="18"/>
      <c r="V684" s="21"/>
      <c r="W684" s="22"/>
      <c r="X684" s="197" t="str">
        <f t="shared" si="46"/>
        <v xml:space="preserve"> </v>
      </c>
      <c r="Y684" s="246"/>
      <c r="Z684" s="247"/>
      <c r="AA684" s="20"/>
      <c r="AB684" s="11" t="str">
        <f t="shared" si="47"/>
        <v xml:space="preserve"> </v>
      </c>
      <c r="AC684" s="12" t="str">
        <f t="shared" si="48"/>
        <v xml:space="preserve"> </v>
      </c>
    </row>
    <row r="685" spans="1:29" ht="20.100000000000001" customHeight="1" x14ac:dyDescent="0.25">
      <c r="A685" s="16"/>
      <c r="B685" s="108"/>
      <c r="C685" s="109"/>
      <c r="D685" s="109"/>
      <c r="E685" s="109"/>
      <c r="F685" s="17"/>
      <c r="G685" s="17"/>
      <c r="H685" s="108"/>
      <c r="I685" s="107"/>
      <c r="J685" s="108"/>
      <c r="K685" s="107"/>
      <c r="L685" s="108"/>
      <c r="M685" s="110"/>
      <c r="N685" s="109"/>
      <c r="O685" s="108"/>
      <c r="P685" s="233"/>
      <c r="Q685" s="239"/>
      <c r="R685" s="19"/>
      <c r="S685" s="20"/>
      <c r="T685" s="9" t="str">
        <f t="shared" si="45"/>
        <v xml:space="preserve"> </v>
      </c>
      <c r="U685" s="18"/>
      <c r="V685" s="21"/>
      <c r="W685" s="22"/>
      <c r="X685" s="197" t="str">
        <f t="shared" si="46"/>
        <v xml:space="preserve"> </v>
      </c>
      <c r="Y685" s="246"/>
      <c r="Z685" s="247"/>
      <c r="AA685" s="20"/>
      <c r="AB685" s="11" t="str">
        <f t="shared" si="47"/>
        <v xml:space="preserve"> </v>
      </c>
      <c r="AC685" s="12" t="str">
        <f t="shared" si="48"/>
        <v xml:space="preserve"> </v>
      </c>
    </row>
    <row r="686" spans="1:29" ht="20.100000000000001" customHeight="1" x14ac:dyDescent="0.25">
      <c r="A686" s="16"/>
      <c r="B686" s="108"/>
      <c r="C686" s="109"/>
      <c r="D686" s="109"/>
      <c r="E686" s="109"/>
      <c r="F686" s="17"/>
      <c r="G686" s="17"/>
      <c r="H686" s="108"/>
      <c r="I686" s="107"/>
      <c r="J686" s="108"/>
      <c r="K686" s="107"/>
      <c r="L686" s="108"/>
      <c r="M686" s="110"/>
      <c r="N686" s="109"/>
      <c r="O686" s="108"/>
      <c r="P686" s="233"/>
      <c r="Q686" s="239"/>
      <c r="R686" s="19"/>
      <c r="S686" s="20"/>
      <c r="T686" s="9" t="str">
        <f t="shared" si="45"/>
        <v xml:space="preserve"> </v>
      </c>
      <c r="U686" s="18"/>
      <c r="V686" s="21"/>
      <c r="W686" s="22"/>
      <c r="X686" s="197" t="str">
        <f t="shared" si="46"/>
        <v xml:space="preserve"> </v>
      </c>
      <c r="Y686" s="246"/>
      <c r="Z686" s="247"/>
      <c r="AA686" s="20"/>
      <c r="AB686" s="11" t="str">
        <f t="shared" si="47"/>
        <v xml:space="preserve"> </v>
      </c>
      <c r="AC686" s="12" t="str">
        <f t="shared" si="48"/>
        <v xml:space="preserve"> </v>
      </c>
    </row>
    <row r="687" spans="1:29" ht="20.100000000000001" customHeight="1" x14ac:dyDescent="0.25">
      <c r="A687" s="16"/>
      <c r="B687" s="108"/>
      <c r="C687" s="109"/>
      <c r="D687" s="109"/>
      <c r="E687" s="109"/>
      <c r="F687" s="17"/>
      <c r="G687" s="17"/>
      <c r="H687" s="108"/>
      <c r="I687" s="107"/>
      <c r="J687" s="108"/>
      <c r="K687" s="107"/>
      <c r="L687" s="108"/>
      <c r="M687" s="110"/>
      <c r="N687" s="109"/>
      <c r="O687" s="108"/>
      <c r="P687" s="233"/>
      <c r="Q687" s="239"/>
      <c r="R687" s="19"/>
      <c r="S687" s="20"/>
      <c r="T687" s="9" t="str">
        <f t="shared" si="45"/>
        <v xml:space="preserve"> </v>
      </c>
      <c r="U687" s="18"/>
      <c r="V687" s="21"/>
      <c r="W687" s="22"/>
      <c r="X687" s="197" t="str">
        <f t="shared" si="46"/>
        <v xml:space="preserve"> </v>
      </c>
      <c r="Y687" s="246"/>
      <c r="Z687" s="247"/>
      <c r="AA687" s="20"/>
      <c r="AB687" s="11" t="str">
        <f t="shared" si="47"/>
        <v xml:space="preserve"> </v>
      </c>
      <c r="AC687" s="12" t="str">
        <f t="shared" si="48"/>
        <v xml:space="preserve"> </v>
      </c>
    </row>
    <row r="688" spans="1:29" ht="20.100000000000001" customHeight="1" x14ac:dyDescent="0.25">
      <c r="A688" s="16"/>
      <c r="B688" s="108"/>
      <c r="C688" s="109"/>
      <c r="D688" s="109"/>
      <c r="E688" s="109"/>
      <c r="F688" s="17"/>
      <c r="G688" s="17"/>
      <c r="H688" s="108"/>
      <c r="I688" s="107"/>
      <c r="J688" s="108"/>
      <c r="K688" s="107"/>
      <c r="L688" s="108"/>
      <c r="M688" s="110"/>
      <c r="N688" s="109"/>
      <c r="O688" s="108"/>
      <c r="P688" s="233"/>
      <c r="Q688" s="239"/>
      <c r="R688" s="19"/>
      <c r="S688" s="20"/>
      <c r="T688" s="9" t="str">
        <f t="shared" si="45"/>
        <v xml:space="preserve"> </v>
      </c>
      <c r="U688" s="18"/>
      <c r="V688" s="21"/>
      <c r="W688" s="22"/>
      <c r="X688" s="197" t="str">
        <f t="shared" si="46"/>
        <v xml:space="preserve"> </v>
      </c>
      <c r="Y688" s="246"/>
      <c r="Z688" s="247"/>
      <c r="AA688" s="20"/>
      <c r="AB688" s="11" t="str">
        <f t="shared" si="47"/>
        <v xml:space="preserve"> </v>
      </c>
      <c r="AC688" s="12" t="str">
        <f t="shared" si="48"/>
        <v xml:space="preserve"> </v>
      </c>
    </row>
    <row r="689" spans="1:29" ht="20.100000000000001" customHeight="1" x14ac:dyDescent="0.25">
      <c r="A689" s="16"/>
      <c r="B689" s="108"/>
      <c r="C689" s="109"/>
      <c r="D689" s="109"/>
      <c r="E689" s="109"/>
      <c r="F689" s="17"/>
      <c r="G689" s="17"/>
      <c r="H689" s="108"/>
      <c r="I689" s="107"/>
      <c r="J689" s="108"/>
      <c r="K689" s="107"/>
      <c r="L689" s="108"/>
      <c r="M689" s="110"/>
      <c r="N689" s="109"/>
      <c r="O689" s="108"/>
      <c r="P689" s="233"/>
      <c r="Q689" s="239"/>
      <c r="R689" s="19"/>
      <c r="S689" s="20"/>
      <c r="T689" s="9" t="str">
        <f t="shared" si="45"/>
        <v xml:space="preserve"> </v>
      </c>
      <c r="U689" s="18"/>
      <c r="V689" s="21"/>
      <c r="W689" s="22"/>
      <c r="X689" s="197" t="str">
        <f t="shared" si="46"/>
        <v xml:space="preserve"> </v>
      </c>
      <c r="Y689" s="246"/>
      <c r="Z689" s="247"/>
      <c r="AA689" s="20"/>
      <c r="AB689" s="11" t="str">
        <f t="shared" si="47"/>
        <v xml:space="preserve"> </v>
      </c>
      <c r="AC689" s="12" t="str">
        <f t="shared" si="48"/>
        <v xml:space="preserve"> </v>
      </c>
    </row>
    <row r="690" spans="1:29" ht="20.100000000000001" customHeight="1" x14ac:dyDescent="0.25">
      <c r="A690" s="16"/>
      <c r="B690" s="108"/>
      <c r="C690" s="109"/>
      <c r="D690" s="109"/>
      <c r="E690" s="109"/>
      <c r="F690" s="17"/>
      <c r="G690" s="17"/>
      <c r="H690" s="108"/>
      <c r="I690" s="107"/>
      <c r="J690" s="108"/>
      <c r="K690" s="107"/>
      <c r="L690" s="108"/>
      <c r="M690" s="110"/>
      <c r="N690" s="109"/>
      <c r="O690" s="108"/>
      <c r="P690" s="233"/>
      <c r="Q690" s="239"/>
      <c r="R690" s="19"/>
      <c r="S690" s="20"/>
      <c r="T690" s="9" t="str">
        <f t="shared" si="45"/>
        <v xml:space="preserve"> </v>
      </c>
      <c r="U690" s="18"/>
      <c r="V690" s="21"/>
      <c r="W690" s="22"/>
      <c r="X690" s="197" t="str">
        <f t="shared" si="46"/>
        <v xml:space="preserve"> </v>
      </c>
      <c r="Y690" s="246"/>
      <c r="Z690" s="247"/>
      <c r="AA690" s="20"/>
      <c r="AB690" s="11" t="str">
        <f t="shared" si="47"/>
        <v xml:space="preserve"> </v>
      </c>
      <c r="AC690" s="12" t="str">
        <f t="shared" si="48"/>
        <v xml:space="preserve"> </v>
      </c>
    </row>
    <row r="691" spans="1:29" ht="20.100000000000001" customHeight="1" x14ac:dyDescent="0.25">
      <c r="A691" s="16"/>
      <c r="B691" s="108"/>
      <c r="C691" s="109"/>
      <c r="D691" s="109"/>
      <c r="E691" s="109"/>
      <c r="F691" s="17"/>
      <c r="G691" s="17"/>
      <c r="H691" s="108"/>
      <c r="I691" s="107"/>
      <c r="J691" s="108"/>
      <c r="K691" s="107"/>
      <c r="L691" s="108"/>
      <c r="M691" s="110"/>
      <c r="N691" s="109"/>
      <c r="O691" s="108"/>
      <c r="P691" s="233"/>
      <c r="Q691" s="239"/>
      <c r="R691" s="19"/>
      <c r="S691" s="20"/>
      <c r="T691" s="9" t="str">
        <f t="shared" si="45"/>
        <v xml:space="preserve"> </v>
      </c>
      <c r="U691" s="18"/>
      <c r="V691" s="21"/>
      <c r="W691" s="22"/>
      <c r="X691" s="197" t="str">
        <f t="shared" si="46"/>
        <v xml:space="preserve"> </v>
      </c>
      <c r="Y691" s="246"/>
      <c r="Z691" s="247"/>
      <c r="AA691" s="20"/>
      <c r="AB691" s="11" t="str">
        <f t="shared" si="47"/>
        <v xml:space="preserve"> </v>
      </c>
      <c r="AC691" s="12" t="str">
        <f t="shared" si="48"/>
        <v xml:space="preserve"> </v>
      </c>
    </row>
    <row r="692" spans="1:29" ht="20.100000000000001" customHeight="1" x14ac:dyDescent="0.25">
      <c r="A692" s="16"/>
      <c r="B692" s="108"/>
      <c r="C692" s="109"/>
      <c r="D692" s="109"/>
      <c r="E692" s="109"/>
      <c r="F692" s="17"/>
      <c r="G692" s="17"/>
      <c r="H692" s="108"/>
      <c r="I692" s="107"/>
      <c r="J692" s="108"/>
      <c r="K692" s="107"/>
      <c r="L692" s="108"/>
      <c r="M692" s="110"/>
      <c r="N692" s="109"/>
      <c r="O692" s="108"/>
      <c r="P692" s="233"/>
      <c r="Q692" s="239"/>
      <c r="R692" s="19"/>
      <c r="S692" s="20"/>
      <c r="T692" s="9" t="str">
        <f t="shared" si="45"/>
        <v xml:space="preserve"> </v>
      </c>
      <c r="U692" s="18"/>
      <c r="V692" s="21"/>
      <c r="W692" s="22"/>
      <c r="X692" s="197" t="str">
        <f t="shared" si="46"/>
        <v xml:space="preserve"> </v>
      </c>
      <c r="Y692" s="246"/>
      <c r="Z692" s="247"/>
      <c r="AA692" s="20"/>
      <c r="AB692" s="11" t="str">
        <f t="shared" si="47"/>
        <v xml:space="preserve"> </v>
      </c>
      <c r="AC692" s="12" t="str">
        <f t="shared" si="48"/>
        <v xml:space="preserve"> </v>
      </c>
    </row>
    <row r="693" spans="1:29" ht="20.100000000000001" customHeight="1" x14ac:dyDescent="0.25">
      <c r="A693" s="16"/>
      <c r="B693" s="108"/>
      <c r="C693" s="109"/>
      <c r="D693" s="109"/>
      <c r="E693" s="109"/>
      <c r="F693" s="17"/>
      <c r="G693" s="17"/>
      <c r="H693" s="108"/>
      <c r="I693" s="107"/>
      <c r="J693" s="108"/>
      <c r="K693" s="107"/>
      <c r="L693" s="108"/>
      <c r="M693" s="110"/>
      <c r="N693" s="109"/>
      <c r="O693" s="108"/>
      <c r="P693" s="233"/>
      <c r="Q693" s="239"/>
      <c r="R693" s="19"/>
      <c r="S693" s="20"/>
      <c r="T693" s="9" t="str">
        <f t="shared" si="45"/>
        <v xml:space="preserve"> </v>
      </c>
      <c r="U693" s="18"/>
      <c r="V693" s="21"/>
      <c r="W693" s="22"/>
      <c r="X693" s="197" t="str">
        <f t="shared" si="46"/>
        <v xml:space="preserve"> </v>
      </c>
      <c r="Y693" s="246"/>
      <c r="Z693" s="247"/>
      <c r="AA693" s="20"/>
      <c r="AB693" s="11" t="str">
        <f t="shared" si="47"/>
        <v xml:space="preserve"> </v>
      </c>
      <c r="AC693" s="12" t="str">
        <f t="shared" si="48"/>
        <v xml:space="preserve"> </v>
      </c>
    </row>
    <row r="694" spans="1:29" ht="20.100000000000001" customHeight="1" x14ac:dyDescent="0.25">
      <c r="A694" s="16"/>
      <c r="B694" s="108"/>
      <c r="C694" s="109"/>
      <c r="D694" s="109"/>
      <c r="E694" s="109"/>
      <c r="F694" s="17"/>
      <c r="G694" s="17"/>
      <c r="H694" s="108"/>
      <c r="I694" s="107"/>
      <c r="J694" s="108"/>
      <c r="K694" s="107"/>
      <c r="L694" s="108"/>
      <c r="M694" s="110"/>
      <c r="N694" s="109"/>
      <c r="O694" s="108"/>
      <c r="P694" s="233"/>
      <c r="Q694" s="239"/>
      <c r="R694" s="19"/>
      <c r="S694" s="20"/>
      <c r="T694" s="9" t="str">
        <f t="shared" si="45"/>
        <v xml:space="preserve"> </v>
      </c>
      <c r="U694" s="18"/>
      <c r="V694" s="21"/>
      <c r="W694" s="22"/>
      <c r="X694" s="197" t="str">
        <f t="shared" si="46"/>
        <v xml:space="preserve"> </v>
      </c>
      <c r="Y694" s="246"/>
      <c r="Z694" s="247"/>
      <c r="AA694" s="20"/>
      <c r="AB694" s="11" t="str">
        <f t="shared" si="47"/>
        <v xml:space="preserve"> </v>
      </c>
      <c r="AC694" s="12" t="str">
        <f t="shared" si="48"/>
        <v xml:space="preserve"> </v>
      </c>
    </row>
    <row r="695" spans="1:29" ht="20.100000000000001" customHeight="1" x14ac:dyDescent="0.25">
      <c r="A695" s="16"/>
      <c r="B695" s="108"/>
      <c r="C695" s="109"/>
      <c r="D695" s="109"/>
      <c r="E695" s="109"/>
      <c r="F695" s="17"/>
      <c r="G695" s="17"/>
      <c r="H695" s="108"/>
      <c r="I695" s="107"/>
      <c r="J695" s="108"/>
      <c r="K695" s="107"/>
      <c r="L695" s="108"/>
      <c r="M695" s="110"/>
      <c r="N695" s="109"/>
      <c r="O695" s="108"/>
      <c r="P695" s="233"/>
      <c r="Q695" s="239"/>
      <c r="R695" s="19"/>
      <c r="S695" s="20"/>
      <c r="T695" s="9" t="str">
        <f t="shared" si="45"/>
        <v xml:space="preserve"> </v>
      </c>
      <c r="U695" s="18"/>
      <c r="V695" s="21"/>
      <c r="W695" s="22"/>
      <c r="X695" s="197" t="str">
        <f t="shared" si="46"/>
        <v xml:space="preserve"> </v>
      </c>
      <c r="Y695" s="246"/>
      <c r="Z695" s="247"/>
      <c r="AA695" s="20"/>
      <c r="AB695" s="11" t="str">
        <f t="shared" si="47"/>
        <v xml:space="preserve"> </v>
      </c>
      <c r="AC695" s="12" t="str">
        <f t="shared" si="48"/>
        <v xml:space="preserve"> </v>
      </c>
    </row>
    <row r="696" spans="1:29" ht="20.100000000000001" customHeight="1" x14ac:dyDescent="0.25">
      <c r="A696" s="16"/>
      <c r="B696" s="108"/>
      <c r="C696" s="109"/>
      <c r="D696" s="109"/>
      <c r="E696" s="109"/>
      <c r="F696" s="17"/>
      <c r="G696" s="17"/>
      <c r="H696" s="108"/>
      <c r="I696" s="107"/>
      <c r="J696" s="108"/>
      <c r="K696" s="107"/>
      <c r="L696" s="108"/>
      <c r="M696" s="110"/>
      <c r="N696" s="109"/>
      <c r="O696" s="108"/>
      <c r="P696" s="233"/>
      <c r="Q696" s="239"/>
      <c r="R696" s="19"/>
      <c r="S696" s="20"/>
      <c r="T696" s="9" t="str">
        <f t="shared" si="45"/>
        <v xml:space="preserve"> </v>
      </c>
      <c r="U696" s="18"/>
      <c r="V696" s="21"/>
      <c r="W696" s="22"/>
      <c r="X696" s="197" t="str">
        <f t="shared" si="46"/>
        <v xml:space="preserve"> </v>
      </c>
      <c r="Y696" s="246"/>
      <c r="Z696" s="247"/>
      <c r="AA696" s="20"/>
      <c r="AB696" s="11" t="str">
        <f t="shared" si="47"/>
        <v xml:space="preserve"> </v>
      </c>
      <c r="AC696" s="12" t="str">
        <f t="shared" si="48"/>
        <v xml:space="preserve"> </v>
      </c>
    </row>
    <row r="697" spans="1:29" ht="20.100000000000001" customHeight="1" x14ac:dyDescent="0.25">
      <c r="A697" s="16"/>
      <c r="B697" s="108"/>
      <c r="C697" s="109"/>
      <c r="D697" s="109"/>
      <c r="E697" s="109"/>
      <c r="F697" s="17"/>
      <c r="G697" s="17"/>
      <c r="H697" s="108"/>
      <c r="I697" s="107"/>
      <c r="J697" s="108"/>
      <c r="K697" s="107"/>
      <c r="L697" s="108"/>
      <c r="M697" s="110"/>
      <c r="N697" s="109"/>
      <c r="O697" s="108"/>
      <c r="P697" s="233"/>
      <c r="Q697" s="239"/>
      <c r="R697" s="19"/>
      <c r="S697" s="20"/>
      <c r="T697" s="9" t="str">
        <f t="shared" si="45"/>
        <v xml:space="preserve"> </v>
      </c>
      <c r="U697" s="18"/>
      <c r="V697" s="21"/>
      <c r="W697" s="22"/>
      <c r="X697" s="197" t="str">
        <f t="shared" si="46"/>
        <v xml:space="preserve"> </v>
      </c>
      <c r="Y697" s="246"/>
      <c r="Z697" s="247"/>
      <c r="AA697" s="20"/>
      <c r="AB697" s="11" t="str">
        <f t="shared" si="47"/>
        <v xml:space="preserve"> </v>
      </c>
      <c r="AC697" s="12" t="str">
        <f t="shared" si="48"/>
        <v xml:space="preserve"> </v>
      </c>
    </row>
    <row r="698" spans="1:29" ht="20.100000000000001" customHeight="1" x14ac:dyDescent="0.25">
      <c r="A698" s="16"/>
      <c r="B698" s="108"/>
      <c r="C698" s="109"/>
      <c r="D698" s="109"/>
      <c r="E698" s="109"/>
      <c r="F698" s="17"/>
      <c r="G698" s="17"/>
      <c r="H698" s="108"/>
      <c r="I698" s="107"/>
      <c r="J698" s="108"/>
      <c r="K698" s="107"/>
      <c r="L698" s="108"/>
      <c r="M698" s="110"/>
      <c r="N698" s="109"/>
      <c r="O698" s="108"/>
      <c r="P698" s="233"/>
      <c r="Q698" s="239"/>
      <c r="R698" s="19"/>
      <c r="S698" s="20"/>
      <c r="T698" s="9" t="str">
        <f t="shared" si="45"/>
        <v xml:space="preserve"> </v>
      </c>
      <c r="U698" s="18"/>
      <c r="V698" s="21"/>
      <c r="W698" s="22"/>
      <c r="X698" s="197" t="str">
        <f t="shared" si="46"/>
        <v xml:space="preserve"> </v>
      </c>
      <c r="Y698" s="246"/>
      <c r="Z698" s="247"/>
      <c r="AA698" s="20"/>
      <c r="AB698" s="11" t="str">
        <f t="shared" si="47"/>
        <v xml:space="preserve"> </v>
      </c>
      <c r="AC698" s="12" t="str">
        <f t="shared" si="48"/>
        <v xml:space="preserve"> </v>
      </c>
    </row>
    <row r="699" spans="1:29" ht="20.100000000000001" customHeight="1" x14ac:dyDescent="0.25">
      <c r="A699" s="16"/>
      <c r="B699" s="108"/>
      <c r="C699" s="109"/>
      <c r="D699" s="109"/>
      <c r="E699" s="109"/>
      <c r="F699" s="17"/>
      <c r="G699" s="17"/>
      <c r="H699" s="108"/>
      <c r="I699" s="107"/>
      <c r="J699" s="108"/>
      <c r="K699" s="107"/>
      <c r="L699" s="108"/>
      <c r="M699" s="110"/>
      <c r="N699" s="109"/>
      <c r="O699" s="108"/>
      <c r="P699" s="233"/>
      <c r="Q699" s="239"/>
      <c r="R699" s="19"/>
      <c r="S699" s="20"/>
      <c r="T699" s="9" t="str">
        <f t="shared" si="45"/>
        <v xml:space="preserve"> </v>
      </c>
      <c r="U699" s="18"/>
      <c r="V699" s="21"/>
      <c r="W699" s="22"/>
      <c r="X699" s="197" t="str">
        <f t="shared" si="46"/>
        <v xml:space="preserve"> </v>
      </c>
      <c r="Y699" s="246"/>
      <c r="Z699" s="247"/>
      <c r="AA699" s="20"/>
      <c r="AB699" s="11" t="str">
        <f t="shared" si="47"/>
        <v xml:space="preserve"> </v>
      </c>
      <c r="AC699" s="12" t="str">
        <f t="shared" si="48"/>
        <v xml:space="preserve"> </v>
      </c>
    </row>
    <row r="700" spans="1:29" ht="20.100000000000001" customHeight="1" x14ac:dyDescent="0.25">
      <c r="A700" s="16"/>
      <c r="B700" s="108"/>
      <c r="C700" s="109"/>
      <c r="D700" s="109"/>
      <c r="E700" s="109"/>
      <c r="F700" s="17"/>
      <c r="G700" s="17"/>
      <c r="H700" s="108"/>
      <c r="I700" s="107"/>
      <c r="J700" s="108"/>
      <c r="K700" s="107"/>
      <c r="L700" s="108"/>
      <c r="M700" s="110"/>
      <c r="N700" s="109"/>
      <c r="O700" s="108"/>
      <c r="P700" s="233"/>
      <c r="Q700" s="239"/>
      <c r="R700" s="19"/>
      <c r="S700" s="20"/>
      <c r="T700" s="9" t="str">
        <f t="shared" si="45"/>
        <v xml:space="preserve"> </v>
      </c>
      <c r="U700" s="18"/>
      <c r="V700" s="21"/>
      <c r="W700" s="22"/>
      <c r="X700" s="197" t="str">
        <f t="shared" si="46"/>
        <v xml:space="preserve"> </v>
      </c>
      <c r="Y700" s="246"/>
      <c r="Z700" s="247"/>
      <c r="AA700" s="20"/>
      <c r="AB700" s="11" t="str">
        <f t="shared" si="47"/>
        <v xml:space="preserve"> </v>
      </c>
      <c r="AC700" s="12" t="str">
        <f t="shared" si="48"/>
        <v xml:space="preserve"> </v>
      </c>
    </row>
    <row r="701" spans="1:29" ht="20.100000000000001" customHeight="1" x14ac:dyDescent="0.25">
      <c r="A701" s="16"/>
      <c r="B701" s="108"/>
      <c r="C701" s="109"/>
      <c r="D701" s="109"/>
      <c r="E701" s="109"/>
      <c r="F701" s="17"/>
      <c r="G701" s="17"/>
      <c r="H701" s="108"/>
      <c r="I701" s="107"/>
      <c r="J701" s="108"/>
      <c r="K701" s="107"/>
      <c r="L701" s="108"/>
      <c r="M701" s="110"/>
      <c r="N701" s="109"/>
      <c r="O701" s="108"/>
      <c r="P701" s="233"/>
      <c r="Q701" s="239"/>
      <c r="R701" s="19"/>
      <c r="S701" s="20"/>
      <c r="T701" s="9" t="str">
        <f t="shared" si="45"/>
        <v xml:space="preserve"> </v>
      </c>
      <c r="U701" s="18"/>
      <c r="V701" s="21"/>
      <c r="W701" s="22"/>
      <c r="X701" s="197" t="str">
        <f t="shared" si="46"/>
        <v xml:space="preserve"> </v>
      </c>
      <c r="Y701" s="246"/>
      <c r="Z701" s="247"/>
      <c r="AA701" s="20"/>
      <c r="AB701" s="11" t="str">
        <f t="shared" si="47"/>
        <v xml:space="preserve"> </v>
      </c>
      <c r="AC701" s="12" t="str">
        <f t="shared" si="48"/>
        <v xml:space="preserve"> </v>
      </c>
    </row>
    <row r="702" spans="1:29" ht="20.100000000000001" customHeight="1" x14ac:dyDescent="0.25">
      <c r="A702" s="16"/>
      <c r="B702" s="108"/>
      <c r="C702" s="109"/>
      <c r="D702" s="109"/>
      <c r="E702" s="109"/>
      <c r="F702" s="17"/>
      <c r="G702" s="17"/>
      <c r="H702" s="108"/>
      <c r="I702" s="107"/>
      <c r="J702" s="108"/>
      <c r="K702" s="107"/>
      <c r="L702" s="108"/>
      <c r="M702" s="110"/>
      <c r="N702" s="109"/>
      <c r="O702" s="108"/>
      <c r="P702" s="233"/>
      <c r="Q702" s="239"/>
      <c r="R702" s="19"/>
      <c r="S702" s="20"/>
      <c r="T702" s="9" t="str">
        <f t="shared" si="45"/>
        <v xml:space="preserve"> </v>
      </c>
      <c r="U702" s="18"/>
      <c r="V702" s="21"/>
      <c r="W702" s="22"/>
      <c r="X702" s="197" t="str">
        <f t="shared" si="46"/>
        <v xml:space="preserve"> </v>
      </c>
      <c r="Y702" s="246"/>
      <c r="Z702" s="247"/>
      <c r="AA702" s="20"/>
      <c r="AB702" s="11" t="str">
        <f t="shared" si="47"/>
        <v xml:space="preserve"> </v>
      </c>
      <c r="AC702" s="12" t="str">
        <f t="shared" si="48"/>
        <v xml:space="preserve"> </v>
      </c>
    </row>
    <row r="703" spans="1:29" ht="20.100000000000001" customHeight="1" x14ac:dyDescent="0.25">
      <c r="A703" s="16"/>
      <c r="B703" s="108"/>
      <c r="C703" s="109"/>
      <c r="D703" s="109"/>
      <c r="E703" s="109"/>
      <c r="F703" s="17"/>
      <c r="G703" s="17"/>
      <c r="H703" s="108"/>
      <c r="I703" s="107"/>
      <c r="J703" s="108"/>
      <c r="K703" s="107"/>
      <c r="L703" s="108"/>
      <c r="M703" s="110"/>
      <c r="N703" s="109"/>
      <c r="O703" s="108"/>
      <c r="P703" s="233"/>
      <c r="Q703" s="239"/>
      <c r="R703" s="19"/>
      <c r="S703" s="20"/>
      <c r="T703" s="9" t="str">
        <f t="shared" si="45"/>
        <v xml:space="preserve"> </v>
      </c>
      <c r="U703" s="18"/>
      <c r="V703" s="21"/>
      <c r="W703" s="22"/>
      <c r="X703" s="197" t="str">
        <f t="shared" si="46"/>
        <v xml:space="preserve"> </v>
      </c>
      <c r="Y703" s="246"/>
      <c r="Z703" s="247"/>
      <c r="AA703" s="20"/>
      <c r="AB703" s="11" t="str">
        <f t="shared" si="47"/>
        <v xml:space="preserve"> </v>
      </c>
      <c r="AC703" s="12" t="str">
        <f t="shared" si="48"/>
        <v xml:space="preserve"> </v>
      </c>
    </row>
    <row r="704" spans="1:29" ht="20.100000000000001" customHeight="1" x14ac:dyDescent="0.25">
      <c r="A704" s="16"/>
      <c r="B704" s="108"/>
      <c r="C704" s="109"/>
      <c r="D704" s="109"/>
      <c r="E704" s="109"/>
      <c r="F704" s="17"/>
      <c r="G704" s="17"/>
      <c r="H704" s="108"/>
      <c r="I704" s="107"/>
      <c r="J704" s="108"/>
      <c r="K704" s="107"/>
      <c r="L704" s="108"/>
      <c r="M704" s="110"/>
      <c r="N704" s="109"/>
      <c r="O704" s="108"/>
      <c r="P704" s="233"/>
      <c r="Q704" s="239"/>
      <c r="R704" s="19"/>
      <c r="S704" s="20"/>
      <c r="T704" s="9" t="str">
        <f t="shared" si="45"/>
        <v xml:space="preserve"> </v>
      </c>
      <c r="U704" s="18"/>
      <c r="V704" s="21"/>
      <c r="W704" s="22"/>
      <c r="X704" s="197" t="str">
        <f t="shared" si="46"/>
        <v xml:space="preserve"> </v>
      </c>
      <c r="Y704" s="246"/>
      <c r="Z704" s="247"/>
      <c r="AA704" s="20"/>
      <c r="AB704" s="11" t="str">
        <f t="shared" si="47"/>
        <v xml:space="preserve"> </v>
      </c>
      <c r="AC704" s="12" t="str">
        <f t="shared" si="48"/>
        <v xml:space="preserve"> </v>
      </c>
    </row>
    <row r="705" spans="1:29" ht="20.100000000000001" customHeight="1" x14ac:dyDescent="0.25">
      <c r="A705" s="16"/>
      <c r="B705" s="108"/>
      <c r="C705" s="109"/>
      <c r="D705" s="109"/>
      <c r="E705" s="109"/>
      <c r="F705" s="17"/>
      <c r="G705" s="17"/>
      <c r="H705" s="108"/>
      <c r="I705" s="107"/>
      <c r="J705" s="108"/>
      <c r="K705" s="107"/>
      <c r="L705" s="108"/>
      <c r="M705" s="110"/>
      <c r="N705" s="109"/>
      <c r="O705" s="108"/>
      <c r="P705" s="233"/>
      <c r="Q705" s="239"/>
      <c r="R705" s="19"/>
      <c r="S705" s="20"/>
      <c r="T705" s="9" t="str">
        <f t="shared" si="45"/>
        <v xml:space="preserve"> </v>
      </c>
      <c r="U705" s="18"/>
      <c r="V705" s="21"/>
      <c r="W705" s="22"/>
      <c r="X705" s="197" t="str">
        <f t="shared" si="46"/>
        <v xml:space="preserve"> </v>
      </c>
      <c r="Y705" s="246"/>
      <c r="Z705" s="247"/>
      <c r="AA705" s="20"/>
      <c r="AB705" s="11" t="str">
        <f t="shared" si="47"/>
        <v xml:space="preserve"> </v>
      </c>
      <c r="AC705" s="12" t="str">
        <f t="shared" si="48"/>
        <v xml:space="preserve"> </v>
      </c>
    </row>
    <row r="706" spans="1:29" ht="20.100000000000001" customHeight="1" x14ac:dyDescent="0.25">
      <c r="A706" s="16"/>
      <c r="B706" s="108"/>
      <c r="C706" s="109"/>
      <c r="D706" s="109"/>
      <c r="E706" s="109"/>
      <c r="F706" s="17"/>
      <c r="G706" s="17"/>
      <c r="H706" s="108"/>
      <c r="I706" s="107"/>
      <c r="J706" s="108"/>
      <c r="K706" s="107"/>
      <c r="L706" s="108"/>
      <c r="M706" s="110"/>
      <c r="N706" s="109"/>
      <c r="O706" s="108"/>
      <c r="P706" s="233"/>
      <c r="Q706" s="239"/>
      <c r="R706" s="19"/>
      <c r="S706" s="20"/>
      <c r="T706" s="9" t="str">
        <f t="shared" si="45"/>
        <v xml:space="preserve"> </v>
      </c>
      <c r="U706" s="18"/>
      <c r="V706" s="21"/>
      <c r="W706" s="22"/>
      <c r="X706" s="197" t="str">
        <f t="shared" si="46"/>
        <v xml:space="preserve"> </v>
      </c>
      <c r="Y706" s="246"/>
      <c r="Z706" s="247"/>
      <c r="AA706" s="20"/>
      <c r="AB706" s="11" t="str">
        <f t="shared" si="47"/>
        <v xml:space="preserve"> </v>
      </c>
      <c r="AC706" s="12" t="str">
        <f t="shared" si="48"/>
        <v xml:space="preserve"> </v>
      </c>
    </row>
    <row r="707" spans="1:29" ht="20.100000000000001" customHeight="1" x14ac:dyDescent="0.25">
      <c r="A707" s="16"/>
      <c r="B707" s="108"/>
      <c r="C707" s="109"/>
      <c r="D707" s="109"/>
      <c r="E707" s="109"/>
      <c r="F707" s="17"/>
      <c r="G707" s="17"/>
      <c r="H707" s="108"/>
      <c r="I707" s="107"/>
      <c r="J707" s="108"/>
      <c r="K707" s="107"/>
      <c r="L707" s="108"/>
      <c r="M707" s="110"/>
      <c r="N707" s="109"/>
      <c r="O707" s="108"/>
      <c r="P707" s="233"/>
      <c r="Q707" s="239"/>
      <c r="R707" s="19"/>
      <c r="S707" s="20"/>
      <c r="T707" s="9" t="str">
        <f t="shared" si="45"/>
        <v xml:space="preserve"> </v>
      </c>
      <c r="U707" s="18"/>
      <c r="V707" s="21"/>
      <c r="W707" s="22"/>
      <c r="X707" s="197" t="str">
        <f t="shared" si="46"/>
        <v xml:space="preserve"> </v>
      </c>
      <c r="Y707" s="246"/>
      <c r="Z707" s="247"/>
      <c r="AA707" s="20"/>
      <c r="AB707" s="11" t="str">
        <f t="shared" si="47"/>
        <v xml:space="preserve"> </v>
      </c>
      <c r="AC707" s="12" t="str">
        <f t="shared" si="48"/>
        <v xml:space="preserve"> </v>
      </c>
    </row>
    <row r="708" spans="1:29" ht="20.100000000000001" customHeight="1" x14ac:dyDescent="0.25">
      <c r="A708" s="16"/>
      <c r="B708" s="108"/>
      <c r="C708" s="109"/>
      <c r="D708" s="109"/>
      <c r="E708" s="109"/>
      <c r="F708" s="17"/>
      <c r="G708" s="17"/>
      <c r="H708" s="108"/>
      <c r="I708" s="107"/>
      <c r="J708" s="108"/>
      <c r="K708" s="107"/>
      <c r="L708" s="108"/>
      <c r="M708" s="110"/>
      <c r="N708" s="109"/>
      <c r="O708" s="108"/>
      <c r="P708" s="233"/>
      <c r="Q708" s="239"/>
      <c r="R708" s="19"/>
      <c r="S708" s="20"/>
      <c r="T708" s="9" t="str">
        <f t="shared" ref="T708:T771" si="49">IF(ISBLANK(R708)," ",((ROUND(S708,2)-(ROUND(R708,2)))/(ROUND(R708,2))))</f>
        <v xml:space="preserve"> </v>
      </c>
      <c r="U708" s="18"/>
      <c r="V708" s="21"/>
      <c r="W708" s="22"/>
      <c r="X708" s="197" t="str">
        <f t="shared" ref="X708:X771" si="50">IF(ISBLANK(R708)," ",((ROUND(W708,2))-(ROUND(R708,2)))/(ROUND(R708,2)))</f>
        <v xml:space="preserve"> </v>
      </c>
      <c r="Y708" s="246"/>
      <c r="Z708" s="247"/>
      <c r="AA708" s="20"/>
      <c r="AB708" s="11" t="str">
        <f t="shared" ref="AB708:AB771" si="51">IF(ISBLANK(R708)," ",((ROUND(AA708,2))-(ROUND(R708,2)))/(ROUND(R708,2)))</f>
        <v xml:space="preserve"> </v>
      </c>
      <c r="AC708" s="12" t="str">
        <f t="shared" ref="AC708:AC771" si="52">IF(ISBLANK(AA708)," ",(ROUND(AA708,2)/0.995))</f>
        <v xml:space="preserve"> </v>
      </c>
    </row>
    <row r="709" spans="1:29" ht="20.100000000000001" customHeight="1" x14ac:dyDescent="0.25">
      <c r="A709" s="16"/>
      <c r="B709" s="108"/>
      <c r="C709" s="109"/>
      <c r="D709" s="109"/>
      <c r="E709" s="109"/>
      <c r="F709" s="17"/>
      <c r="G709" s="17"/>
      <c r="H709" s="108"/>
      <c r="I709" s="107"/>
      <c r="J709" s="108"/>
      <c r="K709" s="107"/>
      <c r="L709" s="108"/>
      <c r="M709" s="110"/>
      <c r="N709" s="109"/>
      <c r="O709" s="108"/>
      <c r="P709" s="233"/>
      <c r="Q709" s="239"/>
      <c r="R709" s="19"/>
      <c r="S709" s="20"/>
      <c r="T709" s="9" t="str">
        <f t="shared" si="49"/>
        <v xml:space="preserve"> </v>
      </c>
      <c r="U709" s="18"/>
      <c r="V709" s="21"/>
      <c r="W709" s="22"/>
      <c r="X709" s="197" t="str">
        <f t="shared" si="50"/>
        <v xml:space="preserve"> </v>
      </c>
      <c r="Y709" s="246"/>
      <c r="Z709" s="247"/>
      <c r="AA709" s="20"/>
      <c r="AB709" s="11" t="str">
        <f t="shared" si="51"/>
        <v xml:space="preserve"> </v>
      </c>
      <c r="AC709" s="12" t="str">
        <f t="shared" si="52"/>
        <v xml:space="preserve"> </v>
      </c>
    </row>
    <row r="710" spans="1:29" ht="20.100000000000001" customHeight="1" x14ac:dyDescent="0.25">
      <c r="A710" s="16"/>
      <c r="B710" s="108"/>
      <c r="C710" s="109"/>
      <c r="D710" s="109"/>
      <c r="E710" s="109"/>
      <c r="F710" s="17"/>
      <c r="G710" s="17"/>
      <c r="H710" s="108"/>
      <c r="I710" s="107"/>
      <c r="J710" s="108"/>
      <c r="K710" s="107"/>
      <c r="L710" s="108"/>
      <c r="M710" s="110"/>
      <c r="N710" s="109"/>
      <c r="O710" s="108"/>
      <c r="P710" s="233"/>
      <c r="Q710" s="239"/>
      <c r="R710" s="19"/>
      <c r="S710" s="20"/>
      <c r="T710" s="9" t="str">
        <f t="shared" si="49"/>
        <v xml:space="preserve"> </v>
      </c>
      <c r="U710" s="18"/>
      <c r="V710" s="21"/>
      <c r="W710" s="22"/>
      <c r="X710" s="197" t="str">
        <f t="shared" si="50"/>
        <v xml:space="preserve"> </v>
      </c>
      <c r="Y710" s="246"/>
      <c r="Z710" s="247"/>
      <c r="AA710" s="20"/>
      <c r="AB710" s="11" t="str">
        <f t="shared" si="51"/>
        <v xml:space="preserve"> </v>
      </c>
      <c r="AC710" s="12" t="str">
        <f t="shared" si="52"/>
        <v xml:space="preserve"> </v>
      </c>
    </row>
    <row r="711" spans="1:29" ht="20.100000000000001" customHeight="1" x14ac:dyDescent="0.25">
      <c r="A711" s="16"/>
      <c r="B711" s="108"/>
      <c r="C711" s="109"/>
      <c r="D711" s="109"/>
      <c r="E711" s="109"/>
      <c r="F711" s="17"/>
      <c r="G711" s="17"/>
      <c r="H711" s="108"/>
      <c r="I711" s="107"/>
      <c r="J711" s="108"/>
      <c r="K711" s="107"/>
      <c r="L711" s="108"/>
      <c r="M711" s="110"/>
      <c r="N711" s="109"/>
      <c r="O711" s="108"/>
      <c r="P711" s="233"/>
      <c r="Q711" s="239"/>
      <c r="R711" s="19"/>
      <c r="S711" s="20"/>
      <c r="T711" s="9" t="str">
        <f t="shared" si="49"/>
        <v xml:space="preserve"> </v>
      </c>
      <c r="U711" s="18"/>
      <c r="V711" s="21"/>
      <c r="W711" s="22"/>
      <c r="X711" s="197" t="str">
        <f t="shared" si="50"/>
        <v xml:space="preserve"> </v>
      </c>
      <c r="Y711" s="246"/>
      <c r="Z711" s="247"/>
      <c r="AA711" s="20"/>
      <c r="AB711" s="11" t="str">
        <f t="shared" si="51"/>
        <v xml:space="preserve"> </v>
      </c>
      <c r="AC711" s="12" t="str">
        <f t="shared" si="52"/>
        <v xml:space="preserve"> </v>
      </c>
    </row>
    <row r="712" spans="1:29" ht="20.100000000000001" customHeight="1" x14ac:dyDescent="0.25">
      <c r="A712" s="16"/>
      <c r="B712" s="108"/>
      <c r="C712" s="109"/>
      <c r="D712" s="109"/>
      <c r="E712" s="109"/>
      <c r="F712" s="17"/>
      <c r="G712" s="17"/>
      <c r="H712" s="108"/>
      <c r="I712" s="107"/>
      <c r="J712" s="108"/>
      <c r="K712" s="107"/>
      <c r="L712" s="108"/>
      <c r="M712" s="110"/>
      <c r="N712" s="109"/>
      <c r="O712" s="108"/>
      <c r="P712" s="233"/>
      <c r="Q712" s="239"/>
      <c r="R712" s="19"/>
      <c r="S712" s="20"/>
      <c r="T712" s="9" t="str">
        <f t="shared" si="49"/>
        <v xml:space="preserve"> </v>
      </c>
      <c r="U712" s="18"/>
      <c r="V712" s="21"/>
      <c r="W712" s="22"/>
      <c r="X712" s="197" t="str">
        <f t="shared" si="50"/>
        <v xml:space="preserve"> </v>
      </c>
      <c r="Y712" s="246"/>
      <c r="Z712" s="247"/>
      <c r="AA712" s="20"/>
      <c r="AB712" s="11" t="str">
        <f t="shared" si="51"/>
        <v xml:space="preserve"> </v>
      </c>
      <c r="AC712" s="12" t="str">
        <f t="shared" si="52"/>
        <v xml:space="preserve"> </v>
      </c>
    </row>
    <row r="713" spans="1:29" ht="20.100000000000001" customHeight="1" x14ac:dyDescent="0.25">
      <c r="A713" s="16"/>
      <c r="B713" s="108"/>
      <c r="C713" s="109"/>
      <c r="D713" s="109"/>
      <c r="E713" s="109"/>
      <c r="F713" s="17"/>
      <c r="G713" s="17"/>
      <c r="H713" s="108"/>
      <c r="I713" s="107"/>
      <c r="J713" s="108"/>
      <c r="K713" s="107"/>
      <c r="L713" s="108"/>
      <c r="M713" s="110"/>
      <c r="N713" s="109"/>
      <c r="O713" s="108"/>
      <c r="P713" s="233"/>
      <c r="Q713" s="239"/>
      <c r="R713" s="19"/>
      <c r="S713" s="20"/>
      <c r="T713" s="9" t="str">
        <f t="shared" si="49"/>
        <v xml:space="preserve"> </v>
      </c>
      <c r="U713" s="18"/>
      <c r="V713" s="21"/>
      <c r="W713" s="22"/>
      <c r="X713" s="197" t="str">
        <f t="shared" si="50"/>
        <v xml:space="preserve"> </v>
      </c>
      <c r="Y713" s="246"/>
      <c r="Z713" s="247"/>
      <c r="AA713" s="20"/>
      <c r="AB713" s="11" t="str">
        <f t="shared" si="51"/>
        <v xml:space="preserve"> </v>
      </c>
      <c r="AC713" s="12" t="str">
        <f t="shared" si="52"/>
        <v xml:space="preserve"> </v>
      </c>
    </row>
    <row r="714" spans="1:29" ht="20.100000000000001" customHeight="1" x14ac:dyDescent="0.25">
      <c r="A714" s="16"/>
      <c r="B714" s="108"/>
      <c r="C714" s="109"/>
      <c r="D714" s="109"/>
      <c r="E714" s="109"/>
      <c r="F714" s="17"/>
      <c r="G714" s="17"/>
      <c r="H714" s="108"/>
      <c r="I714" s="107"/>
      <c r="J714" s="108"/>
      <c r="K714" s="107"/>
      <c r="L714" s="108"/>
      <c r="M714" s="110"/>
      <c r="N714" s="109"/>
      <c r="O714" s="108"/>
      <c r="P714" s="233"/>
      <c r="Q714" s="239"/>
      <c r="R714" s="19"/>
      <c r="S714" s="20"/>
      <c r="T714" s="9" t="str">
        <f t="shared" si="49"/>
        <v xml:space="preserve"> </v>
      </c>
      <c r="U714" s="18"/>
      <c r="V714" s="21"/>
      <c r="W714" s="22"/>
      <c r="X714" s="197" t="str">
        <f t="shared" si="50"/>
        <v xml:space="preserve"> </v>
      </c>
      <c r="Y714" s="246"/>
      <c r="Z714" s="247"/>
      <c r="AA714" s="20"/>
      <c r="AB714" s="11" t="str">
        <f t="shared" si="51"/>
        <v xml:space="preserve"> </v>
      </c>
      <c r="AC714" s="12" t="str">
        <f t="shared" si="52"/>
        <v xml:space="preserve"> </v>
      </c>
    </row>
    <row r="715" spans="1:29" ht="20.100000000000001" customHeight="1" x14ac:dyDescent="0.25">
      <c r="A715" s="16"/>
      <c r="B715" s="108"/>
      <c r="C715" s="109"/>
      <c r="D715" s="109"/>
      <c r="E715" s="109"/>
      <c r="F715" s="17"/>
      <c r="G715" s="17"/>
      <c r="H715" s="108"/>
      <c r="I715" s="107"/>
      <c r="J715" s="108"/>
      <c r="K715" s="107"/>
      <c r="L715" s="108"/>
      <c r="M715" s="110"/>
      <c r="N715" s="109"/>
      <c r="O715" s="108"/>
      <c r="P715" s="233"/>
      <c r="Q715" s="239"/>
      <c r="R715" s="19"/>
      <c r="S715" s="20"/>
      <c r="T715" s="9" t="str">
        <f t="shared" si="49"/>
        <v xml:space="preserve"> </v>
      </c>
      <c r="U715" s="18"/>
      <c r="V715" s="21"/>
      <c r="W715" s="22"/>
      <c r="X715" s="197" t="str">
        <f t="shared" si="50"/>
        <v xml:space="preserve"> </v>
      </c>
      <c r="Y715" s="246"/>
      <c r="Z715" s="247"/>
      <c r="AA715" s="20"/>
      <c r="AB715" s="11" t="str">
        <f t="shared" si="51"/>
        <v xml:space="preserve"> </v>
      </c>
      <c r="AC715" s="12" t="str">
        <f t="shared" si="52"/>
        <v xml:space="preserve"> </v>
      </c>
    </row>
    <row r="716" spans="1:29" ht="20.100000000000001" customHeight="1" x14ac:dyDescent="0.25">
      <c r="A716" s="16"/>
      <c r="B716" s="108"/>
      <c r="C716" s="109"/>
      <c r="D716" s="109"/>
      <c r="E716" s="109"/>
      <c r="F716" s="17"/>
      <c r="G716" s="17"/>
      <c r="H716" s="108"/>
      <c r="I716" s="107"/>
      <c r="J716" s="108"/>
      <c r="K716" s="107"/>
      <c r="L716" s="108"/>
      <c r="M716" s="110"/>
      <c r="N716" s="109"/>
      <c r="O716" s="108"/>
      <c r="P716" s="233"/>
      <c r="Q716" s="239"/>
      <c r="R716" s="19"/>
      <c r="S716" s="20"/>
      <c r="T716" s="9" t="str">
        <f t="shared" si="49"/>
        <v xml:space="preserve"> </v>
      </c>
      <c r="U716" s="18"/>
      <c r="V716" s="21"/>
      <c r="W716" s="22"/>
      <c r="X716" s="197" t="str">
        <f t="shared" si="50"/>
        <v xml:space="preserve"> </v>
      </c>
      <c r="Y716" s="246"/>
      <c r="Z716" s="247"/>
      <c r="AA716" s="20"/>
      <c r="AB716" s="11" t="str">
        <f t="shared" si="51"/>
        <v xml:space="preserve"> </v>
      </c>
      <c r="AC716" s="12" t="str">
        <f t="shared" si="52"/>
        <v xml:space="preserve"> </v>
      </c>
    </row>
    <row r="717" spans="1:29" ht="20.100000000000001" customHeight="1" x14ac:dyDescent="0.25">
      <c r="A717" s="16"/>
      <c r="B717" s="108"/>
      <c r="C717" s="109"/>
      <c r="D717" s="109"/>
      <c r="E717" s="109"/>
      <c r="F717" s="17"/>
      <c r="G717" s="17"/>
      <c r="H717" s="108"/>
      <c r="I717" s="107"/>
      <c r="J717" s="108"/>
      <c r="K717" s="107"/>
      <c r="L717" s="108"/>
      <c r="M717" s="110"/>
      <c r="N717" s="109"/>
      <c r="O717" s="108"/>
      <c r="P717" s="233"/>
      <c r="Q717" s="239"/>
      <c r="R717" s="19"/>
      <c r="S717" s="20"/>
      <c r="T717" s="9" t="str">
        <f t="shared" si="49"/>
        <v xml:space="preserve"> </v>
      </c>
      <c r="U717" s="18"/>
      <c r="V717" s="21"/>
      <c r="W717" s="22"/>
      <c r="X717" s="197" t="str">
        <f t="shared" si="50"/>
        <v xml:space="preserve"> </v>
      </c>
      <c r="Y717" s="246"/>
      <c r="Z717" s="247"/>
      <c r="AA717" s="20"/>
      <c r="AB717" s="11" t="str">
        <f t="shared" si="51"/>
        <v xml:space="preserve"> </v>
      </c>
      <c r="AC717" s="12" t="str">
        <f t="shared" si="52"/>
        <v xml:space="preserve"> </v>
      </c>
    </row>
    <row r="718" spans="1:29" ht="20.100000000000001" customHeight="1" x14ac:dyDescent="0.25">
      <c r="A718" s="16"/>
      <c r="B718" s="108"/>
      <c r="C718" s="109"/>
      <c r="D718" s="109"/>
      <c r="E718" s="109"/>
      <c r="F718" s="17"/>
      <c r="G718" s="17"/>
      <c r="H718" s="108"/>
      <c r="I718" s="107"/>
      <c r="J718" s="108"/>
      <c r="K718" s="107"/>
      <c r="L718" s="108"/>
      <c r="M718" s="110"/>
      <c r="N718" s="109"/>
      <c r="O718" s="108"/>
      <c r="P718" s="233"/>
      <c r="Q718" s="239"/>
      <c r="R718" s="19"/>
      <c r="S718" s="20"/>
      <c r="T718" s="9" t="str">
        <f t="shared" si="49"/>
        <v xml:space="preserve"> </v>
      </c>
      <c r="U718" s="18"/>
      <c r="V718" s="21"/>
      <c r="W718" s="22"/>
      <c r="X718" s="197" t="str">
        <f t="shared" si="50"/>
        <v xml:space="preserve"> </v>
      </c>
      <c r="Y718" s="246"/>
      <c r="Z718" s="247"/>
      <c r="AA718" s="20"/>
      <c r="AB718" s="11" t="str">
        <f t="shared" si="51"/>
        <v xml:space="preserve"> </v>
      </c>
      <c r="AC718" s="12" t="str">
        <f t="shared" si="52"/>
        <v xml:space="preserve"> </v>
      </c>
    </row>
    <row r="719" spans="1:29" ht="20.100000000000001" customHeight="1" x14ac:dyDescent="0.25">
      <c r="A719" s="16"/>
      <c r="B719" s="108"/>
      <c r="C719" s="109"/>
      <c r="D719" s="109"/>
      <c r="E719" s="109"/>
      <c r="F719" s="17"/>
      <c r="G719" s="17"/>
      <c r="H719" s="108"/>
      <c r="I719" s="107"/>
      <c r="J719" s="108"/>
      <c r="K719" s="107"/>
      <c r="L719" s="108"/>
      <c r="M719" s="110"/>
      <c r="N719" s="109"/>
      <c r="O719" s="108"/>
      <c r="P719" s="233"/>
      <c r="Q719" s="239"/>
      <c r="R719" s="19"/>
      <c r="S719" s="20"/>
      <c r="T719" s="9" t="str">
        <f t="shared" si="49"/>
        <v xml:space="preserve"> </v>
      </c>
      <c r="U719" s="18"/>
      <c r="V719" s="21"/>
      <c r="W719" s="22"/>
      <c r="X719" s="197" t="str">
        <f t="shared" si="50"/>
        <v xml:space="preserve"> </v>
      </c>
      <c r="Y719" s="246"/>
      <c r="Z719" s="247"/>
      <c r="AA719" s="20"/>
      <c r="AB719" s="11" t="str">
        <f t="shared" si="51"/>
        <v xml:space="preserve"> </v>
      </c>
      <c r="AC719" s="12" t="str">
        <f t="shared" si="52"/>
        <v xml:space="preserve"> </v>
      </c>
    </row>
    <row r="720" spans="1:29" ht="20.100000000000001" customHeight="1" x14ac:dyDescent="0.25">
      <c r="A720" s="16"/>
      <c r="B720" s="108"/>
      <c r="C720" s="109"/>
      <c r="D720" s="109"/>
      <c r="E720" s="109"/>
      <c r="F720" s="17"/>
      <c r="G720" s="17"/>
      <c r="H720" s="108"/>
      <c r="I720" s="107"/>
      <c r="J720" s="108"/>
      <c r="K720" s="107"/>
      <c r="L720" s="108"/>
      <c r="M720" s="110"/>
      <c r="N720" s="109"/>
      <c r="O720" s="108"/>
      <c r="P720" s="233"/>
      <c r="Q720" s="239"/>
      <c r="R720" s="19"/>
      <c r="S720" s="20"/>
      <c r="T720" s="9" t="str">
        <f t="shared" si="49"/>
        <v xml:space="preserve"> </v>
      </c>
      <c r="U720" s="18"/>
      <c r="V720" s="21"/>
      <c r="W720" s="22"/>
      <c r="X720" s="197" t="str">
        <f t="shared" si="50"/>
        <v xml:space="preserve"> </v>
      </c>
      <c r="Y720" s="246"/>
      <c r="Z720" s="247"/>
      <c r="AA720" s="20"/>
      <c r="AB720" s="11" t="str">
        <f t="shared" si="51"/>
        <v xml:space="preserve"> </v>
      </c>
      <c r="AC720" s="12" t="str">
        <f t="shared" si="52"/>
        <v xml:space="preserve"> </v>
      </c>
    </row>
    <row r="721" spans="1:29" ht="20.100000000000001" customHeight="1" x14ac:dyDescent="0.25">
      <c r="A721" s="16"/>
      <c r="B721" s="108"/>
      <c r="C721" s="109"/>
      <c r="D721" s="109"/>
      <c r="E721" s="109"/>
      <c r="F721" s="17"/>
      <c r="G721" s="17"/>
      <c r="H721" s="108"/>
      <c r="I721" s="107"/>
      <c r="J721" s="108"/>
      <c r="K721" s="107"/>
      <c r="L721" s="108"/>
      <c r="M721" s="110"/>
      <c r="N721" s="109"/>
      <c r="O721" s="108"/>
      <c r="P721" s="233"/>
      <c r="Q721" s="239"/>
      <c r="R721" s="19"/>
      <c r="S721" s="20"/>
      <c r="T721" s="9" t="str">
        <f t="shared" si="49"/>
        <v xml:space="preserve"> </v>
      </c>
      <c r="U721" s="18"/>
      <c r="V721" s="21"/>
      <c r="W721" s="22"/>
      <c r="X721" s="197" t="str">
        <f t="shared" si="50"/>
        <v xml:space="preserve"> </v>
      </c>
      <c r="Y721" s="246"/>
      <c r="Z721" s="247"/>
      <c r="AA721" s="20"/>
      <c r="AB721" s="11" t="str">
        <f t="shared" si="51"/>
        <v xml:space="preserve"> </v>
      </c>
      <c r="AC721" s="12" t="str">
        <f t="shared" si="52"/>
        <v xml:space="preserve"> </v>
      </c>
    </row>
    <row r="722" spans="1:29" ht="20.100000000000001" customHeight="1" x14ac:dyDescent="0.25">
      <c r="A722" s="16"/>
      <c r="B722" s="108"/>
      <c r="C722" s="109"/>
      <c r="D722" s="109"/>
      <c r="E722" s="109"/>
      <c r="F722" s="17"/>
      <c r="G722" s="17"/>
      <c r="H722" s="108"/>
      <c r="I722" s="107"/>
      <c r="J722" s="108"/>
      <c r="K722" s="107"/>
      <c r="L722" s="108"/>
      <c r="M722" s="110"/>
      <c r="N722" s="109"/>
      <c r="O722" s="108"/>
      <c r="P722" s="233"/>
      <c r="Q722" s="239"/>
      <c r="R722" s="19"/>
      <c r="S722" s="20"/>
      <c r="T722" s="9" t="str">
        <f t="shared" si="49"/>
        <v xml:space="preserve"> </v>
      </c>
      <c r="U722" s="18"/>
      <c r="V722" s="21"/>
      <c r="W722" s="22"/>
      <c r="X722" s="197" t="str">
        <f t="shared" si="50"/>
        <v xml:space="preserve"> </v>
      </c>
      <c r="Y722" s="246"/>
      <c r="Z722" s="247"/>
      <c r="AA722" s="20"/>
      <c r="AB722" s="11" t="str">
        <f t="shared" si="51"/>
        <v xml:space="preserve"> </v>
      </c>
      <c r="AC722" s="12" t="str">
        <f t="shared" si="52"/>
        <v xml:space="preserve"> </v>
      </c>
    </row>
    <row r="723" spans="1:29" ht="20.100000000000001" customHeight="1" x14ac:dyDescent="0.25">
      <c r="A723" s="16"/>
      <c r="B723" s="108"/>
      <c r="C723" s="109"/>
      <c r="D723" s="109"/>
      <c r="E723" s="109"/>
      <c r="F723" s="17"/>
      <c r="G723" s="17"/>
      <c r="H723" s="108"/>
      <c r="I723" s="107"/>
      <c r="J723" s="108"/>
      <c r="K723" s="107"/>
      <c r="L723" s="108"/>
      <c r="M723" s="110"/>
      <c r="N723" s="109"/>
      <c r="O723" s="108"/>
      <c r="P723" s="233"/>
      <c r="Q723" s="239"/>
      <c r="R723" s="19"/>
      <c r="S723" s="20"/>
      <c r="T723" s="9" t="str">
        <f t="shared" si="49"/>
        <v xml:space="preserve"> </v>
      </c>
      <c r="U723" s="18"/>
      <c r="V723" s="21"/>
      <c r="W723" s="22"/>
      <c r="X723" s="197" t="str">
        <f t="shared" si="50"/>
        <v xml:space="preserve"> </v>
      </c>
      <c r="Y723" s="246"/>
      <c r="Z723" s="247"/>
      <c r="AA723" s="20"/>
      <c r="AB723" s="11" t="str">
        <f t="shared" si="51"/>
        <v xml:space="preserve"> </v>
      </c>
      <c r="AC723" s="12" t="str">
        <f t="shared" si="52"/>
        <v xml:space="preserve"> </v>
      </c>
    </row>
    <row r="724" spans="1:29" ht="20.100000000000001" customHeight="1" x14ac:dyDescent="0.25">
      <c r="A724" s="16"/>
      <c r="B724" s="108"/>
      <c r="C724" s="109"/>
      <c r="D724" s="109"/>
      <c r="E724" s="109"/>
      <c r="F724" s="17"/>
      <c r="G724" s="17"/>
      <c r="H724" s="108"/>
      <c r="I724" s="107"/>
      <c r="J724" s="108"/>
      <c r="K724" s="107"/>
      <c r="L724" s="108"/>
      <c r="M724" s="110"/>
      <c r="N724" s="109"/>
      <c r="O724" s="108"/>
      <c r="P724" s="233"/>
      <c r="Q724" s="239"/>
      <c r="R724" s="19"/>
      <c r="S724" s="20"/>
      <c r="T724" s="9" t="str">
        <f t="shared" si="49"/>
        <v xml:space="preserve"> </v>
      </c>
      <c r="U724" s="18"/>
      <c r="V724" s="21"/>
      <c r="W724" s="22"/>
      <c r="X724" s="197" t="str">
        <f t="shared" si="50"/>
        <v xml:space="preserve"> </v>
      </c>
      <c r="Y724" s="246"/>
      <c r="Z724" s="247"/>
      <c r="AA724" s="20"/>
      <c r="AB724" s="11" t="str">
        <f t="shared" si="51"/>
        <v xml:space="preserve"> </v>
      </c>
      <c r="AC724" s="12" t="str">
        <f t="shared" si="52"/>
        <v xml:space="preserve"> </v>
      </c>
    </row>
    <row r="725" spans="1:29" ht="20.100000000000001" customHeight="1" x14ac:dyDescent="0.25">
      <c r="A725" s="16"/>
      <c r="B725" s="108"/>
      <c r="C725" s="109"/>
      <c r="D725" s="109"/>
      <c r="E725" s="109"/>
      <c r="F725" s="17"/>
      <c r="G725" s="17"/>
      <c r="H725" s="108"/>
      <c r="I725" s="107"/>
      <c r="J725" s="108"/>
      <c r="K725" s="107"/>
      <c r="L725" s="108"/>
      <c r="M725" s="110"/>
      <c r="N725" s="109"/>
      <c r="O725" s="108"/>
      <c r="P725" s="233"/>
      <c r="Q725" s="239"/>
      <c r="R725" s="19"/>
      <c r="S725" s="20"/>
      <c r="T725" s="9" t="str">
        <f t="shared" si="49"/>
        <v xml:space="preserve"> </v>
      </c>
      <c r="U725" s="18"/>
      <c r="V725" s="21"/>
      <c r="W725" s="22"/>
      <c r="X725" s="197" t="str">
        <f t="shared" si="50"/>
        <v xml:space="preserve"> </v>
      </c>
      <c r="Y725" s="246"/>
      <c r="Z725" s="247"/>
      <c r="AA725" s="20"/>
      <c r="AB725" s="11" t="str">
        <f t="shared" si="51"/>
        <v xml:space="preserve"> </v>
      </c>
      <c r="AC725" s="12" t="str">
        <f t="shared" si="52"/>
        <v xml:space="preserve"> </v>
      </c>
    </row>
    <row r="726" spans="1:29" ht="20.100000000000001" customHeight="1" x14ac:dyDescent="0.25">
      <c r="A726" s="16"/>
      <c r="B726" s="108"/>
      <c r="C726" s="109"/>
      <c r="D726" s="109"/>
      <c r="E726" s="109"/>
      <c r="F726" s="17"/>
      <c r="G726" s="17"/>
      <c r="H726" s="108"/>
      <c r="I726" s="107"/>
      <c r="J726" s="108"/>
      <c r="K726" s="107"/>
      <c r="L726" s="108"/>
      <c r="M726" s="110"/>
      <c r="N726" s="109"/>
      <c r="O726" s="108"/>
      <c r="P726" s="233"/>
      <c r="Q726" s="239"/>
      <c r="R726" s="19"/>
      <c r="S726" s="20"/>
      <c r="T726" s="9" t="str">
        <f t="shared" si="49"/>
        <v xml:space="preserve"> </v>
      </c>
      <c r="U726" s="18"/>
      <c r="V726" s="21"/>
      <c r="W726" s="22"/>
      <c r="X726" s="197" t="str">
        <f t="shared" si="50"/>
        <v xml:space="preserve"> </v>
      </c>
      <c r="Y726" s="246"/>
      <c r="Z726" s="247"/>
      <c r="AA726" s="20"/>
      <c r="AB726" s="11" t="str">
        <f t="shared" si="51"/>
        <v xml:space="preserve"> </v>
      </c>
      <c r="AC726" s="12" t="str">
        <f t="shared" si="52"/>
        <v xml:space="preserve"> </v>
      </c>
    </row>
    <row r="727" spans="1:29" ht="20.100000000000001" customHeight="1" x14ac:dyDescent="0.25">
      <c r="A727" s="16"/>
      <c r="B727" s="108"/>
      <c r="C727" s="109"/>
      <c r="D727" s="109"/>
      <c r="E727" s="109"/>
      <c r="F727" s="17"/>
      <c r="G727" s="17"/>
      <c r="H727" s="108"/>
      <c r="I727" s="107"/>
      <c r="J727" s="108"/>
      <c r="K727" s="107"/>
      <c r="L727" s="108"/>
      <c r="M727" s="110"/>
      <c r="N727" s="109"/>
      <c r="O727" s="108"/>
      <c r="P727" s="233"/>
      <c r="Q727" s="239"/>
      <c r="R727" s="19"/>
      <c r="S727" s="20"/>
      <c r="T727" s="9" t="str">
        <f t="shared" si="49"/>
        <v xml:space="preserve"> </v>
      </c>
      <c r="U727" s="18"/>
      <c r="V727" s="21"/>
      <c r="W727" s="22"/>
      <c r="X727" s="197" t="str">
        <f t="shared" si="50"/>
        <v xml:space="preserve"> </v>
      </c>
      <c r="Y727" s="246"/>
      <c r="Z727" s="247"/>
      <c r="AA727" s="20"/>
      <c r="AB727" s="11" t="str">
        <f t="shared" si="51"/>
        <v xml:space="preserve"> </v>
      </c>
      <c r="AC727" s="12" t="str">
        <f t="shared" si="52"/>
        <v xml:space="preserve"> </v>
      </c>
    </row>
    <row r="728" spans="1:29" ht="20.100000000000001" customHeight="1" x14ac:dyDescent="0.25">
      <c r="A728" s="16"/>
      <c r="B728" s="108"/>
      <c r="C728" s="109"/>
      <c r="D728" s="109"/>
      <c r="E728" s="109"/>
      <c r="F728" s="17"/>
      <c r="G728" s="17"/>
      <c r="H728" s="108"/>
      <c r="I728" s="107"/>
      <c r="J728" s="108"/>
      <c r="K728" s="107"/>
      <c r="L728" s="108"/>
      <c r="M728" s="110"/>
      <c r="N728" s="109"/>
      <c r="O728" s="108"/>
      <c r="P728" s="233"/>
      <c r="Q728" s="239"/>
      <c r="R728" s="19"/>
      <c r="S728" s="20"/>
      <c r="T728" s="9" t="str">
        <f t="shared" si="49"/>
        <v xml:space="preserve"> </v>
      </c>
      <c r="U728" s="18"/>
      <c r="V728" s="21"/>
      <c r="W728" s="22"/>
      <c r="X728" s="197" t="str">
        <f t="shared" si="50"/>
        <v xml:space="preserve"> </v>
      </c>
      <c r="Y728" s="246"/>
      <c r="Z728" s="247"/>
      <c r="AA728" s="20"/>
      <c r="AB728" s="11" t="str">
        <f t="shared" si="51"/>
        <v xml:space="preserve"> </v>
      </c>
      <c r="AC728" s="12" t="str">
        <f t="shared" si="52"/>
        <v xml:space="preserve"> </v>
      </c>
    </row>
    <row r="729" spans="1:29" ht="20.100000000000001" customHeight="1" x14ac:dyDescent="0.25">
      <c r="A729" s="16"/>
      <c r="B729" s="108"/>
      <c r="C729" s="109"/>
      <c r="D729" s="109"/>
      <c r="E729" s="109"/>
      <c r="F729" s="17"/>
      <c r="G729" s="17"/>
      <c r="H729" s="108"/>
      <c r="I729" s="107"/>
      <c r="J729" s="108"/>
      <c r="K729" s="107"/>
      <c r="L729" s="108"/>
      <c r="M729" s="110"/>
      <c r="N729" s="109"/>
      <c r="O729" s="108"/>
      <c r="P729" s="233"/>
      <c r="Q729" s="239"/>
      <c r="R729" s="19"/>
      <c r="S729" s="20"/>
      <c r="T729" s="9" t="str">
        <f t="shared" si="49"/>
        <v xml:space="preserve"> </v>
      </c>
      <c r="U729" s="18"/>
      <c r="V729" s="21"/>
      <c r="W729" s="22"/>
      <c r="X729" s="197" t="str">
        <f t="shared" si="50"/>
        <v xml:space="preserve"> </v>
      </c>
      <c r="Y729" s="246"/>
      <c r="Z729" s="247"/>
      <c r="AA729" s="20"/>
      <c r="AB729" s="11" t="str">
        <f t="shared" si="51"/>
        <v xml:space="preserve"> </v>
      </c>
      <c r="AC729" s="12" t="str">
        <f t="shared" si="52"/>
        <v xml:space="preserve"> </v>
      </c>
    </row>
    <row r="730" spans="1:29" ht="20.100000000000001" customHeight="1" x14ac:dyDescent="0.25">
      <c r="A730" s="16"/>
      <c r="B730" s="108"/>
      <c r="C730" s="109"/>
      <c r="D730" s="109"/>
      <c r="E730" s="109"/>
      <c r="F730" s="17"/>
      <c r="G730" s="17"/>
      <c r="H730" s="108"/>
      <c r="I730" s="107"/>
      <c r="J730" s="108"/>
      <c r="K730" s="107"/>
      <c r="L730" s="108"/>
      <c r="M730" s="110"/>
      <c r="N730" s="109"/>
      <c r="O730" s="108"/>
      <c r="P730" s="233"/>
      <c r="Q730" s="239"/>
      <c r="R730" s="19"/>
      <c r="S730" s="20"/>
      <c r="T730" s="9" t="str">
        <f t="shared" si="49"/>
        <v xml:space="preserve"> </v>
      </c>
      <c r="U730" s="18"/>
      <c r="V730" s="21"/>
      <c r="W730" s="22"/>
      <c r="X730" s="197" t="str">
        <f t="shared" si="50"/>
        <v xml:space="preserve"> </v>
      </c>
      <c r="Y730" s="246"/>
      <c r="Z730" s="247"/>
      <c r="AA730" s="20"/>
      <c r="AB730" s="11" t="str">
        <f t="shared" si="51"/>
        <v xml:space="preserve"> </v>
      </c>
      <c r="AC730" s="12" t="str">
        <f t="shared" si="52"/>
        <v xml:space="preserve"> </v>
      </c>
    </row>
    <row r="731" spans="1:29" ht="20.100000000000001" customHeight="1" x14ac:dyDescent="0.25">
      <c r="A731" s="16"/>
      <c r="B731" s="108"/>
      <c r="C731" s="109"/>
      <c r="D731" s="109"/>
      <c r="E731" s="109"/>
      <c r="F731" s="17"/>
      <c r="G731" s="17"/>
      <c r="H731" s="108"/>
      <c r="I731" s="107"/>
      <c r="J731" s="108"/>
      <c r="K731" s="107"/>
      <c r="L731" s="108"/>
      <c r="M731" s="110"/>
      <c r="N731" s="109"/>
      <c r="O731" s="108"/>
      <c r="P731" s="233"/>
      <c r="Q731" s="239"/>
      <c r="R731" s="19"/>
      <c r="S731" s="20"/>
      <c r="T731" s="9" t="str">
        <f t="shared" si="49"/>
        <v xml:space="preserve"> </v>
      </c>
      <c r="U731" s="18"/>
      <c r="V731" s="21"/>
      <c r="W731" s="22"/>
      <c r="X731" s="197" t="str">
        <f t="shared" si="50"/>
        <v xml:space="preserve"> </v>
      </c>
      <c r="Y731" s="246"/>
      <c r="Z731" s="247"/>
      <c r="AA731" s="20"/>
      <c r="AB731" s="11" t="str">
        <f t="shared" si="51"/>
        <v xml:space="preserve"> </v>
      </c>
      <c r="AC731" s="12" t="str">
        <f t="shared" si="52"/>
        <v xml:space="preserve"> </v>
      </c>
    </row>
    <row r="732" spans="1:29" ht="20.100000000000001" customHeight="1" x14ac:dyDescent="0.25">
      <c r="A732" s="16"/>
      <c r="B732" s="108"/>
      <c r="C732" s="109"/>
      <c r="D732" s="109"/>
      <c r="E732" s="109"/>
      <c r="F732" s="17"/>
      <c r="G732" s="17"/>
      <c r="H732" s="108"/>
      <c r="I732" s="107"/>
      <c r="J732" s="108"/>
      <c r="K732" s="107"/>
      <c r="L732" s="108"/>
      <c r="M732" s="110"/>
      <c r="N732" s="109"/>
      <c r="O732" s="108"/>
      <c r="P732" s="233"/>
      <c r="Q732" s="239"/>
      <c r="R732" s="19"/>
      <c r="S732" s="20"/>
      <c r="T732" s="9" t="str">
        <f t="shared" si="49"/>
        <v xml:space="preserve"> </v>
      </c>
      <c r="U732" s="18"/>
      <c r="V732" s="21"/>
      <c r="W732" s="22"/>
      <c r="X732" s="197" t="str">
        <f t="shared" si="50"/>
        <v xml:space="preserve"> </v>
      </c>
      <c r="Y732" s="246"/>
      <c r="Z732" s="247"/>
      <c r="AA732" s="20"/>
      <c r="AB732" s="11" t="str">
        <f t="shared" si="51"/>
        <v xml:space="preserve"> </v>
      </c>
      <c r="AC732" s="12" t="str">
        <f t="shared" si="52"/>
        <v xml:space="preserve"> </v>
      </c>
    </row>
    <row r="733" spans="1:29" ht="20.100000000000001" customHeight="1" x14ac:dyDescent="0.25">
      <c r="A733" s="16"/>
      <c r="B733" s="108"/>
      <c r="C733" s="109"/>
      <c r="D733" s="109"/>
      <c r="E733" s="109"/>
      <c r="F733" s="17"/>
      <c r="G733" s="17"/>
      <c r="H733" s="108"/>
      <c r="I733" s="107"/>
      <c r="J733" s="108"/>
      <c r="K733" s="107"/>
      <c r="L733" s="108"/>
      <c r="M733" s="110"/>
      <c r="N733" s="109"/>
      <c r="O733" s="108"/>
      <c r="P733" s="233"/>
      <c r="Q733" s="239"/>
      <c r="R733" s="19"/>
      <c r="S733" s="20"/>
      <c r="T733" s="9" t="str">
        <f t="shared" si="49"/>
        <v xml:space="preserve"> </v>
      </c>
      <c r="U733" s="18"/>
      <c r="V733" s="21"/>
      <c r="W733" s="22"/>
      <c r="X733" s="197" t="str">
        <f t="shared" si="50"/>
        <v xml:space="preserve"> </v>
      </c>
      <c r="Y733" s="246"/>
      <c r="Z733" s="247"/>
      <c r="AA733" s="20"/>
      <c r="AB733" s="11" t="str">
        <f t="shared" si="51"/>
        <v xml:space="preserve"> </v>
      </c>
      <c r="AC733" s="12" t="str">
        <f t="shared" si="52"/>
        <v xml:space="preserve"> </v>
      </c>
    </row>
    <row r="734" spans="1:29" ht="20.100000000000001" customHeight="1" x14ac:dyDescent="0.25">
      <c r="A734" s="16"/>
      <c r="B734" s="108"/>
      <c r="C734" s="109"/>
      <c r="D734" s="109"/>
      <c r="E734" s="109"/>
      <c r="F734" s="17"/>
      <c r="G734" s="17"/>
      <c r="H734" s="108"/>
      <c r="I734" s="107"/>
      <c r="J734" s="108"/>
      <c r="K734" s="107"/>
      <c r="L734" s="108"/>
      <c r="M734" s="110"/>
      <c r="N734" s="109"/>
      <c r="O734" s="108"/>
      <c r="P734" s="233"/>
      <c r="Q734" s="239"/>
      <c r="R734" s="19"/>
      <c r="S734" s="20"/>
      <c r="T734" s="9" t="str">
        <f t="shared" si="49"/>
        <v xml:space="preserve"> </v>
      </c>
      <c r="U734" s="18"/>
      <c r="V734" s="21"/>
      <c r="W734" s="22"/>
      <c r="X734" s="197" t="str">
        <f t="shared" si="50"/>
        <v xml:space="preserve"> </v>
      </c>
      <c r="Y734" s="246"/>
      <c r="Z734" s="247"/>
      <c r="AA734" s="20"/>
      <c r="AB734" s="11" t="str">
        <f t="shared" si="51"/>
        <v xml:space="preserve"> </v>
      </c>
      <c r="AC734" s="12" t="str">
        <f t="shared" si="52"/>
        <v xml:space="preserve"> </v>
      </c>
    </row>
    <row r="735" spans="1:29" ht="20.100000000000001" customHeight="1" x14ac:dyDescent="0.25">
      <c r="A735" s="16"/>
      <c r="B735" s="108"/>
      <c r="C735" s="109"/>
      <c r="D735" s="109"/>
      <c r="E735" s="109"/>
      <c r="F735" s="17"/>
      <c r="G735" s="17"/>
      <c r="H735" s="108"/>
      <c r="I735" s="107"/>
      <c r="J735" s="108"/>
      <c r="K735" s="107"/>
      <c r="L735" s="108"/>
      <c r="M735" s="110"/>
      <c r="N735" s="109"/>
      <c r="O735" s="108"/>
      <c r="P735" s="233"/>
      <c r="Q735" s="239"/>
      <c r="R735" s="19"/>
      <c r="S735" s="20"/>
      <c r="T735" s="9" t="str">
        <f t="shared" si="49"/>
        <v xml:space="preserve"> </v>
      </c>
      <c r="U735" s="18"/>
      <c r="V735" s="21"/>
      <c r="W735" s="22"/>
      <c r="X735" s="197" t="str">
        <f t="shared" si="50"/>
        <v xml:space="preserve"> </v>
      </c>
      <c r="Y735" s="246"/>
      <c r="Z735" s="247"/>
      <c r="AA735" s="20"/>
      <c r="AB735" s="11" t="str">
        <f t="shared" si="51"/>
        <v xml:space="preserve"> </v>
      </c>
      <c r="AC735" s="12" t="str">
        <f t="shared" si="52"/>
        <v xml:space="preserve"> </v>
      </c>
    </row>
    <row r="736" spans="1:29" ht="20.100000000000001" customHeight="1" x14ac:dyDescent="0.25">
      <c r="A736" s="16"/>
      <c r="B736" s="108"/>
      <c r="C736" s="109"/>
      <c r="D736" s="109"/>
      <c r="E736" s="109"/>
      <c r="F736" s="17"/>
      <c r="G736" s="17"/>
      <c r="H736" s="108"/>
      <c r="I736" s="107"/>
      <c r="J736" s="108"/>
      <c r="K736" s="107"/>
      <c r="L736" s="108"/>
      <c r="M736" s="110"/>
      <c r="N736" s="109"/>
      <c r="O736" s="108"/>
      <c r="P736" s="233"/>
      <c r="Q736" s="239"/>
      <c r="R736" s="19"/>
      <c r="S736" s="20"/>
      <c r="T736" s="9" t="str">
        <f t="shared" si="49"/>
        <v xml:space="preserve"> </v>
      </c>
      <c r="U736" s="18"/>
      <c r="V736" s="21"/>
      <c r="W736" s="22"/>
      <c r="X736" s="197" t="str">
        <f t="shared" si="50"/>
        <v xml:space="preserve"> </v>
      </c>
      <c r="Y736" s="246"/>
      <c r="Z736" s="247"/>
      <c r="AA736" s="20"/>
      <c r="AB736" s="11" t="str">
        <f t="shared" si="51"/>
        <v xml:space="preserve"> </v>
      </c>
      <c r="AC736" s="12" t="str">
        <f t="shared" si="52"/>
        <v xml:space="preserve"> </v>
      </c>
    </row>
    <row r="737" spans="1:29" ht="20.100000000000001" customHeight="1" x14ac:dyDescent="0.25">
      <c r="A737" s="16"/>
      <c r="B737" s="108"/>
      <c r="C737" s="109"/>
      <c r="D737" s="109"/>
      <c r="E737" s="109"/>
      <c r="F737" s="17"/>
      <c r="G737" s="17"/>
      <c r="H737" s="108"/>
      <c r="I737" s="107"/>
      <c r="J737" s="108"/>
      <c r="K737" s="107"/>
      <c r="L737" s="108"/>
      <c r="M737" s="110"/>
      <c r="N737" s="109"/>
      <c r="O737" s="108"/>
      <c r="P737" s="233"/>
      <c r="Q737" s="239"/>
      <c r="R737" s="19"/>
      <c r="S737" s="20"/>
      <c r="T737" s="9" t="str">
        <f t="shared" si="49"/>
        <v xml:space="preserve"> </v>
      </c>
      <c r="U737" s="18"/>
      <c r="V737" s="21"/>
      <c r="W737" s="22"/>
      <c r="X737" s="197" t="str">
        <f t="shared" si="50"/>
        <v xml:space="preserve"> </v>
      </c>
      <c r="Y737" s="246"/>
      <c r="Z737" s="247"/>
      <c r="AA737" s="20"/>
      <c r="AB737" s="11" t="str">
        <f t="shared" si="51"/>
        <v xml:space="preserve"> </v>
      </c>
      <c r="AC737" s="12" t="str">
        <f t="shared" si="52"/>
        <v xml:space="preserve"> </v>
      </c>
    </row>
    <row r="738" spans="1:29" ht="20.100000000000001" customHeight="1" x14ac:dyDescent="0.25">
      <c r="A738" s="16"/>
      <c r="B738" s="108"/>
      <c r="C738" s="109"/>
      <c r="D738" s="109"/>
      <c r="E738" s="109"/>
      <c r="F738" s="17"/>
      <c r="G738" s="17"/>
      <c r="H738" s="108"/>
      <c r="I738" s="107"/>
      <c r="J738" s="108"/>
      <c r="K738" s="107"/>
      <c r="L738" s="108"/>
      <c r="M738" s="110"/>
      <c r="N738" s="109"/>
      <c r="O738" s="108"/>
      <c r="P738" s="233"/>
      <c r="Q738" s="239"/>
      <c r="R738" s="19"/>
      <c r="S738" s="20"/>
      <c r="T738" s="9" t="str">
        <f t="shared" si="49"/>
        <v xml:space="preserve"> </v>
      </c>
      <c r="U738" s="18"/>
      <c r="V738" s="21"/>
      <c r="W738" s="22"/>
      <c r="X738" s="197" t="str">
        <f t="shared" si="50"/>
        <v xml:space="preserve"> </v>
      </c>
      <c r="Y738" s="246"/>
      <c r="Z738" s="247"/>
      <c r="AA738" s="20"/>
      <c r="AB738" s="11" t="str">
        <f t="shared" si="51"/>
        <v xml:space="preserve"> </v>
      </c>
      <c r="AC738" s="12" t="str">
        <f t="shared" si="52"/>
        <v xml:space="preserve"> </v>
      </c>
    </row>
    <row r="739" spans="1:29" ht="20.100000000000001" customHeight="1" x14ac:dyDescent="0.25">
      <c r="A739" s="16"/>
      <c r="B739" s="108"/>
      <c r="C739" s="109"/>
      <c r="D739" s="109"/>
      <c r="E739" s="109"/>
      <c r="F739" s="17"/>
      <c r="G739" s="17"/>
      <c r="H739" s="108"/>
      <c r="I739" s="107"/>
      <c r="J739" s="108"/>
      <c r="K739" s="107"/>
      <c r="L739" s="108"/>
      <c r="M739" s="110"/>
      <c r="N739" s="109"/>
      <c r="O739" s="108"/>
      <c r="P739" s="233"/>
      <c r="Q739" s="239"/>
      <c r="R739" s="19"/>
      <c r="S739" s="20"/>
      <c r="T739" s="9" t="str">
        <f t="shared" si="49"/>
        <v xml:space="preserve"> </v>
      </c>
      <c r="U739" s="18"/>
      <c r="V739" s="21"/>
      <c r="W739" s="22"/>
      <c r="X739" s="197" t="str">
        <f t="shared" si="50"/>
        <v xml:space="preserve"> </v>
      </c>
      <c r="Y739" s="246"/>
      <c r="Z739" s="247"/>
      <c r="AA739" s="20"/>
      <c r="AB739" s="11" t="str">
        <f t="shared" si="51"/>
        <v xml:space="preserve"> </v>
      </c>
      <c r="AC739" s="12" t="str">
        <f t="shared" si="52"/>
        <v xml:space="preserve"> </v>
      </c>
    </row>
    <row r="740" spans="1:29" ht="20.100000000000001" customHeight="1" x14ac:dyDescent="0.25">
      <c r="A740" s="16"/>
      <c r="B740" s="108"/>
      <c r="C740" s="109"/>
      <c r="D740" s="109"/>
      <c r="E740" s="109"/>
      <c r="F740" s="17"/>
      <c r="G740" s="17"/>
      <c r="H740" s="108"/>
      <c r="I740" s="107"/>
      <c r="J740" s="108"/>
      <c r="K740" s="107"/>
      <c r="L740" s="108"/>
      <c r="M740" s="110"/>
      <c r="N740" s="109"/>
      <c r="O740" s="108"/>
      <c r="P740" s="233"/>
      <c r="Q740" s="239"/>
      <c r="R740" s="19"/>
      <c r="S740" s="20"/>
      <c r="T740" s="9" t="str">
        <f t="shared" si="49"/>
        <v xml:space="preserve"> </v>
      </c>
      <c r="U740" s="18"/>
      <c r="V740" s="21"/>
      <c r="W740" s="22"/>
      <c r="X740" s="197" t="str">
        <f t="shared" si="50"/>
        <v xml:space="preserve"> </v>
      </c>
      <c r="Y740" s="246"/>
      <c r="Z740" s="247"/>
      <c r="AA740" s="20"/>
      <c r="AB740" s="11" t="str">
        <f t="shared" si="51"/>
        <v xml:space="preserve"> </v>
      </c>
      <c r="AC740" s="12" t="str">
        <f t="shared" si="52"/>
        <v xml:space="preserve"> </v>
      </c>
    </row>
    <row r="741" spans="1:29" ht="20.100000000000001" customHeight="1" x14ac:dyDescent="0.25">
      <c r="A741" s="16"/>
      <c r="B741" s="108"/>
      <c r="C741" s="109"/>
      <c r="D741" s="109"/>
      <c r="E741" s="109"/>
      <c r="F741" s="17"/>
      <c r="G741" s="17"/>
      <c r="H741" s="108"/>
      <c r="I741" s="107"/>
      <c r="J741" s="108"/>
      <c r="K741" s="107"/>
      <c r="L741" s="108"/>
      <c r="M741" s="110"/>
      <c r="N741" s="109"/>
      <c r="O741" s="108"/>
      <c r="P741" s="233"/>
      <c r="Q741" s="239"/>
      <c r="R741" s="19"/>
      <c r="S741" s="20"/>
      <c r="T741" s="9" t="str">
        <f t="shared" si="49"/>
        <v xml:space="preserve"> </v>
      </c>
      <c r="U741" s="18"/>
      <c r="V741" s="21"/>
      <c r="W741" s="22"/>
      <c r="X741" s="197" t="str">
        <f t="shared" si="50"/>
        <v xml:space="preserve"> </v>
      </c>
      <c r="Y741" s="246"/>
      <c r="Z741" s="247"/>
      <c r="AA741" s="20"/>
      <c r="AB741" s="11" t="str">
        <f t="shared" si="51"/>
        <v xml:space="preserve"> </v>
      </c>
      <c r="AC741" s="12" t="str">
        <f t="shared" si="52"/>
        <v xml:space="preserve"> </v>
      </c>
    </row>
    <row r="742" spans="1:29" ht="20.100000000000001" customHeight="1" x14ac:dyDescent="0.25">
      <c r="A742" s="16"/>
      <c r="B742" s="108"/>
      <c r="C742" s="109"/>
      <c r="D742" s="109"/>
      <c r="E742" s="109"/>
      <c r="F742" s="17"/>
      <c r="G742" s="17"/>
      <c r="H742" s="108"/>
      <c r="I742" s="107"/>
      <c r="J742" s="108"/>
      <c r="K742" s="107"/>
      <c r="L742" s="108"/>
      <c r="M742" s="110"/>
      <c r="N742" s="109"/>
      <c r="O742" s="108"/>
      <c r="P742" s="233"/>
      <c r="Q742" s="239"/>
      <c r="R742" s="19"/>
      <c r="S742" s="20"/>
      <c r="T742" s="9" t="str">
        <f t="shared" si="49"/>
        <v xml:space="preserve"> </v>
      </c>
      <c r="U742" s="18"/>
      <c r="V742" s="21"/>
      <c r="W742" s="22"/>
      <c r="X742" s="197" t="str">
        <f t="shared" si="50"/>
        <v xml:space="preserve"> </v>
      </c>
      <c r="Y742" s="246"/>
      <c r="Z742" s="247"/>
      <c r="AA742" s="20"/>
      <c r="AB742" s="11" t="str">
        <f t="shared" si="51"/>
        <v xml:space="preserve"> </v>
      </c>
      <c r="AC742" s="12" t="str">
        <f t="shared" si="52"/>
        <v xml:space="preserve"> </v>
      </c>
    </row>
    <row r="743" spans="1:29" ht="20.100000000000001" customHeight="1" x14ac:dyDescent="0.25">
      <c r="A743" s="16"/>
      <c r="B743" s="108"/>
      <c r="C743" s="109"/>
      <c r="D743" s="109"/>
      <c r="E743" s="109"/>
      <c r="F743" s="17"/>
      <c r="G743" s="17"/>
      <c r="H743" s="108"/>
      <c r="I743" s="107"/>
      <c r="J743" s="108"/>
      <c r="K743" s="107"/>
      <c r="L743" s="108"/>
      <c r="M743" s="110"/>
      <c r="N743" s="109"/>
      <c r="O743" s="108"/>
      <c r="P743" s="233"/>
      <c r="Q743" s="239"/>
      <c r="R743" s="19"/>
      <c r="S743" s="20"/>
      <c r="T743" s="9" t="str">
        <f t="shared" si="49"/>
        <v xml:space="preserve"> </v>
      </c>
      <c r="U743" s="18"/>
      <c r="V743" s="21"/>
      <c r="W743" s="22"/>
      <c r="X743" s="197" t="str">
        <f t="shared" si="50"/>
        <v xml:space="preserve"> </v>
      </c>
      <c r="Y743" s="246"/>
      <c r="Z743" s="247"/>
      <c r="AA743" s="20"/>
      <c r="AB743" s="11" t="str">
        <f t="shared" si="51"/>
        <v xml:space="preserve"> </v>
      </c>
      <c r="AC743" s="12" t="str">
        <f t="shared" si="52"/>
        <v xml:space="preserve"> </v>
      </c>
    </row>
    <row r="744" spans="1:29" ht="20.100000000000001" customHeight="1" x14ac:dyDescent="0.25">
      <c r="A744" s="16"/>
      <c r="B744" s="108"/>
      <c r="C744" s="109"/>
      <c r="D744" s="109"/>
      <c r="E744" s="109"/>
      <c r="F744" s="17"/>
      <c r="G744" s="17"/>
      <c r="H744" s="108"/>
      <c r="I744" s="107"/>
      <c r="J744" s="108"/>
      <c r="K744" s="107"/>
      <c r="L744" s="108"/>
      <c r="M744" s="110"/>
      <c r="N744" s="109"/>
      <c r="O744" s="108"/>
      <c r="P744" s="233"/>
      <c r="Q744" s="239"/>
      <c r="R744" s="19"/>
      <c r="S744" s="20"/>
      <c r="T744" s="9" t="str">
        <f t="shared" si="49"/>
        <v xml:space="preserve"> </v>
      </c>
      <c r="U744" s="18"/>
      <c r="V744" s="21"/>
      <c r="W744" s="22"/>
      <c r="X744" s="197" t="str">
        <f t="shared" si="50"/>
        <v xml:space="preserve"> </v>
      </c>
      <c r="Y744" s="246"/>
      <c r="Z744" s="247"/>
      <c r="AA744" s="20"/>
      <c r="AB744" s="11" t="str">
        <f t="shared" si="51"/>
        <v xml:space="preserve"> </v>
      </c>
      <c r="AC744" s="12" t="str">
        <f t="shared" si="52"/>
        <v xml:space="preserve"> </v>
      </c>
    </row>
    <row r="745" spans="1:29" ht="20.100000000000001" customHeight="1" x14ac:dyDescent="0.25">
      <c r="A745" s="16"/>
      <c r="B745" s="108"/>
      <c r="C745" s="109"/>
      <c r="D745" s="109"/>
      <c r="E745" s="109"/>
      <c r="F745" s="17"/>
      <c r="G745" s="17"/>
      <c r="H745" s="108"/>
      <c r="I745" s="107"/>
      <c r="J745" s="108"/>
      <c r="K745" s="107"/>
      <c r="L745" s="108"/>
      <c r="M745" s="110"/>
      <c r="N745" s="109"/>
      <c r="O745" s="108"/>
      <c r="P745" s="233"/>
      <c r="Q745" s="239"/>
      <c r="R745" s="19"/>
      <c r="S745" s="20"/>
      <c r="T745" s="9" t="str">
        <f t="shared" si="49"/>
        <v xml:space="preserve"> </v>
      </c>
      <c r="U745" s="18"/>
      <c r="V745" s="21"/>
      <c r="W745" s="22"/>
      <c r="X745" s="197" t="str">
        <f t="shared" si="50"/>
        <v xml:space="preserve"> </v>
      </c>
      <c r="Y745" s="246"/>
      <c r="Z745" s="247"/>
      <c r="AA745" s="20"/>
      <c r="AB745" s="11" t="str">
        <f t="shared" si="51"/>
        <v xml:space="preserve"> </v>
      </c>
      <c r="AC745" s="12" t="str">
        <f t="shared" si="52"/>
        <v xml:space="preserve"> </v>
      </c>
    </row>
    <row r="746" spans="1:29" ht="20.100000000000001" customHeight="1" x14ac:dyDescent="0.25">
      <c r="A746" s="16"/>
      <c r="B746" s="108"/>
      <c r="C746" s="109"/>
      <c r="D746" s="109"/>
      <c r="E746" s="109"/>
      <c r="F746" s="17"/>
      <c r="G746" s="17"/>
      <c r="H746" s="108"/>
      <c r="I746" s="107"/>
      <c r="J746" s="108"/>
      <c r="K746" s="107"/>
      <c r="L746" s="108"/>
      <c r="M746" s="110"/>
      <c r="N746" s="109"/>
      <c r="O746" s="108"/>
      <c r="P746" s="233"/>
      <c r="Q746" s="239"/>
      <c r="R746" s="19"/>
      <c r="S746" s="20"/>
      <c r="T746" s="9" t="str">
        <f t="shared" si="49"/>
        <v xml:space="preserve"> </v>
      </c>
      <c r="U746" s="18"/>
      <c r="V746" s="21"/>
      <c r="W746" s="22"/>
      <c r="X746" s="197" t="str">
        <f t="shared" si="50"/>
        <v xml:space="preserve"> </v>
      </c>
      <c r="Y746" s="246"/>
      <c r="Z746" s="247"/>
      <c r="AA746" s="20"/>
      <c r="AB746" s="11" t="str">
        <f t="shared" si="51"/>
        <v xml:space="preserve"> </v>
      </c>
      <c r="AC746" s="12" t="str">
        <f t="shared" si="52"/>
        <v xml:space="preserve"> </v>
      </c>
    </row>
    <row r="747" spans="1:29" ht="20.100000000000001" customHeight="1" x14ac:dyDescent="0.25">
      <c r="A747" s="16"/>
      <c r="B747" s="108"/>
      <c r="C747" s="109"/>
      <c r="D747" s="109"/>
      <c r="E747" s="109"/>
      <c r="F747" s="17"/>
      <c r="G747" s="17"/>
      <c r="H747" s="108"/>
      <c r="I747" s="107"/>
      <c r="J747" s="108"/>
      <c r="K747" s="107"/>
      <c r="L747" s="108"/>
      <c r="M747" s="110"/>
      <c r="N747" s="109"/>
      <c r="O747" s="108"/>
      <c r="P747" s="233"/>
      <c r="Q747" s="239"/>
      <c r="R747" s="19"/>
      <c r="S747" s="20"/>
      <c r="T747" s="9" t="str">
        <f t="shared" si="49"/>
        <v xml:space="preserve"> </v>
      </c>
      <c r="U747" s="18"/>
      <c r="V747" s="21"/>
      <c r="W747" s="22"/>
      <c r="X747" s="197" t="str">
        <f t="shared" si="50"/>
        <v xml:space="preserve"> </v>
      </c>
      <c r="Y747" s="246"/>
      <c r="Z747" s="247"/>
      <c r="AA747" s="20"/>
      <c r="AB747" s="11" t="str">
        <f t="shared" si="51"/>
        <v xml:space="preserve"> </v>
      </c>
      <c r="AC747" s="12" t="str">
        <f t="shared" si="52"/>
        <v xml:space="preserve"> </v>
      </c>
    </row>
    <row r="748" spans="1:29" ht="20.100000000000001" customHeight="1" x14ac:dyDescent="0.25">
      <c r="A748" s="16"/>
      <c r="B748" s="108"/>
      <c r="C748" s="109"/>
      <c r="D748" s="109"/>
      <c r="E748" s="109"/>
      <c r="F748" s="17"/>
      <c r="G748" s="17"/>
      <c r="H748" s="108"/>
      <c r="I748" s="107"/>
      <c r="J748" s="108"/>
      <c r="K748" s="107"/>
      <c r="L748" s="108"/>
      <c r="M748" s="110"/>
      <c r="N748" s="109"/>
      <c r="O748" s="108"/>
      <c r="P748" s="233"/>
      <c r="Q748" s="239"/>
      <c r="R748" s="19"/>
      <c r="S748" s="20"/>
      <c r="T748" s="9" t="str">
        <f t="shared" si="49"/>
        <v xml:space="preserve"> </v>
      </c>
      <c r="U748" s="18"/>
      <c r="V748" s="21"/>
      <c r="W748" s="22"/>
      <c r="X748" s="197" t="str">
        <f t="shared" si="50"/>
        <v xml:space="preserve"> </v>
      </c>
      <c r="Y748" s="246"/>
      <c r="Z748" s="247"/>
      <c r="AA748" s="20"/>
      <c r="AB748" s="11" t="str">
        <f t="shared" si="51"/>
        <v xml:space="preserve"> </v>
      </c>
      <c r="AC748" s="12" t="str">
        <f t="shared" si="52"/>
        <v xml:space="preserve"> </v>
      </c>
    </row>
    <row r="749" spans="1:29" ht="20.100000000000001" customHeight="1" x14ac:dyDescent="0.25">
      <c r="A749" s="16"/>
      <c r="B749" s="108"/>
      <c r="C749" s="109"/>
      <c r="D749" s="109"/>
      <c r="E749" s="109"/>
      <c r="F749" s="17"/>
      <c r="G749" s="17"/>
      <c r="H749" s="108"/>
      <c r="I749" s="107"/>
      <c r="J749" s="108"/>
      <c r="K749" s="107"/>
      <c r="L749" s="108"/>
      <c r="M749" s="110"/>
      <c r="N749" s="109"/>
      <c r="O749" s="108"/>
      <c r="P749" s="233"/>
      <c r="Q749" s="239"/>
      <c r="R749" s="19"/>
      <c r="S749" s="20"/>
      <c r="T749" s="9" t="str">
        <f t="shared" si="49"/>
        <v xml:space="preserve"> </v>
      </c>
      <c r="U749" s="18"/>
      <c r="V749" s="21"/>
      <c r="W749" s="22"/>
      <c r="X749" s="197" t="str">
        <f t="shared" si="50"/>
        <v xml:space="preserve"> </v>
      </c>
      <c r="Y749" s="246"/>
      <c r="Z749" s="247"/>
      <c r="AA749" s="20"/>
      <c r="AB749" s="11" t="str">
        <f t="shared" si="51"/>
        <v xml:space="preserve"> </v>
      </c>
      <c r="AC749" s="12" t="str">
        <f t="shared" si="52"/>
        <v xml:space="preserve"> </v>
      </c>
    </row>
    <row r="750" spans="1:29" ht="20.100000000000001" customHeight="1" x14ac:dyDescent="0.25">
      <c r="A750" s="16"/>
      <c r="B750" s="108"/>
      <c r="C750" s="109"/>
      <c r="D750" s="109"/>
      <c r="E750" s="109"/>
      <c r="F750" s="17"/>
      <c r="G750" s="17"/>
      <c r="H750" s="108"/>
      <c r="I750" s="107"/>
      <c r="J750" s="108"/>
      <c r="K750" s="107"/>
      <c r="L750" s="108"/>
      <c r="M750" s="110"/>
      <c r="N750" s="109"/>
      <c r="O750" s="108"/>
      <c r="P750" s="233"/>
      <c r="Q750" s="239"/>
      <c r="R750" s="19"/>
      <c r="S750" s="20"/>
      <c r="T750" s="9" t="str">
        <f t="shared" si="49"/>
        <v xml:space="preserve"> </v>
      </c>
      <c r="U750" s="18"/>
      <c r="V750" s="21"/>
      <c r="W750" s="22"/>
      <c r="X750" s="197" t="str">
        <f t="shared" si="50"/>
        <v xml:space="preserve"> </v>
      </c>
      <c r="Y750" s="246"/>
      <c r="Z750" s="247"/>
      <c r="AA750" s="20"/>
      <c r="AB750" s="11" t="str">
        <f t="shared" si="51"/>
        <v xml:space="preserve"> </v>
      </c>
      <c r="AC750" s="12" t="str">
        <f t="shared" si="52"/>
        <v xml:space="preserve"> </v>
      </c>
    </row>
    <row r="751" spans="1:29" ht="20.100000000000001" customHeight="1" x14ac:dyDescent="0.25">
      <c r="A751" s="16"/>
      <c r="B751" s="108"/>
      <c r="C751" s="109"/>
      <c r="D751" s="109"/>
      <c r="E751" s="109"/>
      <c r="F751" s="17"/>
      <c r="G751" s="17"/>
      <c r="H751" s="108"/>
      <c r="I751" s="107"/>
      <c r="J751" s="108"/>
      <c r="K751" s="107"/>
      <c r="L751" s="108"/>
      <c r="M751" s="110"/>
      <c r="N751" s="109"/>
      <c r="O751" s="108"/>
      <c r="P751" s="233"/>
      <c r="Q751" s="239"/>
      <c r="R751" s="19"/>
      <c r="S751" s="20"/>
      <c r="T751" s="9" t="str">
        <f t="shared" si="49"/>
        <v xml:space="preserve"> </v>
      </c>
      <c r="U751" s="18"/>
      <c r="V751" s="21"/>
      <c r="W751" s="22"/>
      <c r="X751" s="197" t="str">
        <f t="shared" si="50"/>
        <v xml:space="preserve"> </v>
      </c>
      <c r="Y751" s="246"/>
      <c r="Z751" s="247"/>
      <c r="AA751" s="20"/>
      <c r="AB751" s="11" t="str">
        <f t="shared" si="51"/>
        <v xml:space="preserve"> </v>
      </c>
      <c r="AC751" s="12" t="str">
        <f t="shared" si="52"/>
        <v xml:space="preserve"> </v>
      </c>
    </row>
    <row r="752" spans="1:29" ht="20.100000000000001" customHeight="1" x14ac:dyDescent="0.25">
      <c r="A752" s="16"/>
      <c r="B752" s="108"/>
      <c r="C752" s="109"/>
      <c r="D752" s="109"/>
      <c r="E752" s="109"/>
      <c r="F752" s="17"/>
      <c r="G752" s="17"/>
      <c r="H752" s="108"/>
      <c r="I752" s="107"/>
      <c r="J752" s="108"/>
      <c r="K752" s="107"/>
      <c r="L752" s="108"/>
      <c r="M752" s="110"/>
      <c r="N752" s="109"/>
      <c r="O752" s="108"/>
      <c r="P752" s="233"/>
      <c r="Q752" s="239"/>
      <c r="R752" s="19"/>
      <c r="S752" s="20"/>
      <c r="T752" s="9" t="str">
        <f t="shared" si="49"/>
        <v xml:space="preserve"> </v>
      </c>
      <c r="U752" s="18"/>
      <c r="V752" s="21"/>
      <c r="W752" s="22"/>
      <c r="X752" s="197" t="str">
        <f t="shared" si="50"/>
        <v xml:space="preserve"> </v>
      </c>
      <c r="Y752" s="246"/>
      <c r="Z752" s="247"/>
      <c r="AA752" s="20"/>
      <c r="AB752" s="11" t="str">
        <f t="shared" si="51"/>
        <v xml:space="preserve"> </v>
      </c>
      <c r="AC752" s="12" t="str">
        <f t="shared" si="52"/>
        <v xml:space="preserve"> </v>
      </c>
    </row>
    <row r="753" spans="1:29" ht="20.100000000000001" customHeight="1" x14ac:dyDescent="0.25">
      <c r="A753" s="16"/>
      <c r="B753" s="108"/>
      <c r="C753" s="109"/>
      <c r="D753" s="109"/>
      <c r="E753" s="109"/>
      <c r="F753" s="17"/>
      <c r="G753" s="17"/>
      <c r="H753" s="108"/>
      <c r="I753" s="107"/>
      <c r="J753" s="108"/>
      <c r="K753" s="107"/>
      <c r="L753" s="108"/>
      <c r="M753" s="110"/>
      <c r="N753" s="109"/>
      <c r="O753" s="108"/>
      <c r="P753" s="233"/>
      <c r="Q753" s="239"/>
      <c r="R753" s="19"/>
      <c r="S753" s="20"/>
      <c r="T753" s="9" t="str">
        <f t="shared" si="49"/>
        <v xml:space="preserve"> </v>
      </c>
      <c r="U753" s="18"/>
      <c r="V753" s="21"/>
      <c r="W753" s="22"/>
      <c r="X753" s="197" t="str">
        <f t="shared" si="50"/>
        <v xml:space="preserve"> </v>
      </c>
      <c r="Y753" s="246"/>
      <c r="Z753" s="247"/>
      <c r="AA753" s="20"/>
      <c r="AB753" s="11" t="str">
        <f t="shared" si="51"/>
        <v xml:space="preserve"> </v>
      </c>
      <c r="AC753" s="12" t="str">
        <f t="shared" si="52"/>
        <v xml:space="preserve"> </v>
      </c>
    </row>
    <row r="754" spans="1:29" ht="20.100000000000001" customHeight="1" x14ac:dyDescent="0.25">
      <c r="A754" s="16"/>
      <c r="B754" s="108"/>
      <c r="C754" s="109"/>
      <c r="D754" s="109"/>
      <c r="E754" s="109"/>
      <c r="F754" s="17"/>
      <c r="G754" s="17"/>
      <c r="H754" s="108"/>
      <c r="I754" s="107"/>
      <c r="J754" s="108"/>
      <c r="K754" s="107"/>
      <c r="L754" s="108"/>
      <c r="M754" s="110"/>
      <c r="N754" s="109"/>
      <c r="O754" s="108"/>
      <c r="P754" s="233"/>
      <c r="Q754" s="239"/>
      <c r="R754" s="19"/>
      <c r="S754" s="20"/>
      <c r="T754" s="9" t="str">
        <f t="shared" si="49"/>
        <v xml:space="preserve"> </v>
      </c>
      <c r="U754" s="18"/>
      <c r="V754" s="21"/>
      <c r="W754" s="22"/>
      <c r="X754" s="197" t="str">
        <f t="shared" si="50"/>
        <v xml:space="preserve"> </v>
      </c>
      <c r="Y754" s="246"/>
      <c r="Z754" s="247"/>
      <c r="AA754" s="20"/>
      <c r="AB754" s="11" t="str">
        <f t="shared" si="51"/>
        <v xml:space="preserve"> </v>
      </c>
      <c r="AC754" s="12" t="str">
        <f t="shared" si="52"/>
        <v xml:space="preserve"> </v>
      </c>
    </row>
    <row r="755" spans="1:29" ht="20.100000000000001" customHeight="1" x14ac:dyDescent="0.25">
      <c r="A755" s="16"/>
      <c r="B755" s="108"/>
      <c r="C755" s="109"/>
      <c r="D755" s="109"/>
      <c r="E755" s="109"/>
      <c r="F755" s="17"/>
      <c r="G755" s="17"/>
      <c r="H755" s="108"/>
      <c r="I755" s="107"/>
      <c r="J755" s="108"/>
      <c r="K755" s="107"/>
      <c r="L755" s="108"/>
      <c r="M755" s="110"/>
      <c r="N755" s="109"/>
      <c r="O755" s="108"/>
      <c r="P755" s="233"/>
      <c r="Q755" s="239"/>
      <c r="R755" s="19"/>
      <c r="S755" s="20"/>
      <c r="T755" s="9" t="str">
        <f t="shared" si="49"/>
        <v xml:space="preserve"> </v>
      </c>
      <c r="U755" s="18"/>
      <c r="V755" s="21"/>
      <c r="W755" s="22"/>
      <c r="X755" s="197" t="str">
        <f t="shared" si="50"/>
        <v xml:space="preserve"> </v>
      </c>
      <c r="Y755" s="246"/>
      <c r="Z755" s="247"/>
      <c r="AA755" s="20"/>
      <c r="AB755" s="11" t="str">
        <f t="shared" si="51"/>
        <v xml:space="preserve"> </v>
      </c>
      <c r="AC755" s="12" t="str">
        <f t="shared" si="52"/>
        <v xml:space="preserve"> </v>
      </c>
    </row>
    <row r="756" spans="1:29" ht="20.100000000000001" customHeight="1" x14ac:dyDescent="0.25">
      <c r="A756" s="16"/>
      <c r="B756" s="108"/>
      <c r="C756" s="109"/>
      <c r="D756" s="109"/>
      <c r="E756" s="109"/>
      <c r="F756" s="17"/>
      <c r="G756" s="17"/>
      <c r="H756" s="108"/>
      <c r="I756" s="107"/>
      <c r="J756" s="108"/>
      <c r="K756" s="107"/>
      <c r="L756" s="108"/>
      <c r="M756" s="110"/>
      <c r="N756" s="109"/>
      <c r="O756" s="108"/>
      <c r="P756" s="233"/>
      <c r="Q756" s="239"/>
      <c r="R756" s="19"/>
      <c r="S756" s="20"/>
      <c r="T756" s="9" t="str">
        <f t="shared" si="49"/>
        <v xml:space="preserve"> </v>
      </c>
      <c r="U756" s="18"/>
      <c r="V756" s="21"/>
      <c r="W756" s="22"/>
      <c r="X756" s="197" t="str">
        <f t="shared" si="50"/>
        <v xml:space="preserve"> </v>
      </c>
      <c r="Y756" s="246"/>
      <c r="Z756" s="247"/>
      <c r="AA756" s="20"/>
      <c r="AB756" s="11" t="str">
        <f t="shared" si="51"/>
        <v xml:space="preserve"> </v>
      </c>
      <c r="AC756" s="12" t="str">
        <f t="shared" si="52"/>
        <v xml:space="preserve"> </v>
      </c>
    </row>
    <row r="757" spans="1:29" ht="20.100000000000001" customHeight="1" x14ac:dyDescent="0.25">
      <c r="A757" s="16"/>
      <c r="B757" s="108"/>
      <c r="C757" s="109"/>
      <c r="D757" s="109"/>
      <c r="E757" s="109"/>
      <c r="F757" s="17"/>
      <c r="G757" s="17"/>
      <c r="H757" s="108"/>
      <c r="I757" s="107"/>
      <c r="J757" s="108"/>
      <c r="K757" s="107"/>
      <c r="L757" s="108"/>
      <c r="M757" s="110"/>
      <c r="N757" s="109"/>
      <c r="O757" s="108"/>
      <c r="P757" s="233"/>
      <c r="Q757" s="239"/>
      <c r="R757" s="19"/>
      <c r="S757" s="20"/>
      <c r="T757" s="9" t="str">
        <f t="shared" si="49"/>
        <v xml:space="preserve"> </v>
      </c>
      <c r="U757" s="18"/>
      <c r="V757" s="21"/>
      <c r="W757" s="22"/>
      <c r="X757" s="197" t="str">
        <f t="shared" si="50"/>
        <v xml:space="preserve"> </v>
      </c>
      <c r="Y757" s="246"/>
      <c r="Z757" s="247"/>
      <c r="AA757" s="20"/>
      <c r="AB757" s="11" t="str">
        <f t="shared" si="51"/>
        <v xml:space="preserve"> </v>
      </c>
      <c r="AC757" s="12" t="str">
        <f t="shared" si="52"/>
        <v xml:space="preserve"> </v>
      </c>
    </row>
    <row r="758" spans="1:29" ht="20.100000000000001" customHeight="1" x14ac:dyDescent="0.25">
      <c r="A758" s="16"/>
      <c r="B758" s="108"/>
      <c r="C758" s="109"/>
      <c r="D758" s="109"/>
      <c r="E758" s="109"/>
      <c r="F758" s="17"/>
      <c r="G758" s="17"/>
      <c r="H758" s="108"/>
      <c r="I758" s="107"/>
      <c r="J758" s="108"/>
      <c r="K758" s="107"/>
      <c r="L758" s="108"/>
      <c r="M758" s="110"/>
      <c r="N758" s="109"/>
      <c r="O758" s="108"/>
      <c r="P758" s="233"/>
      <c r="Q758" s="239"/>
      <c r="R758" s="19"/>
      <c r="S758" s="20"/>
      <c r="T758" s="9" t="str">
        <f t="shared" si="49"/>
        <v xml:space="preserve"> </v>
      </c>
      <c r="U758" s="18"/>
      <c r="V758" s="21"/>
      <c r="W758" s="22"/>
      <c r="X758" s="197" t="str">
        <f t="shared" si="50"/>
        <v xml:space="preserve"> </v>
      </c>
      <c r="Y758" s="246"/>
      <c r="Z758" s="247"/>
      <c r="AA758" s="20"/>
      <c r="AB758" s="11" t="str">
        <f t="shared" si="51"/>
        <v xml:space="preserve"> </v>
      </c>
      <c r="AC758" s="12" t="str">
        <f t="shared" si="52"/>
        <v xml:space="preserve"> </v>
      </c>
    </row>
    <row r="759" spans="1:29" ht="20.100000000000001" customHeight="1" x14ac:dyDescent="0.25">
      <c r="A759" s="16"/>
      <c r="B759" s="108"/>
      <c r="C759" s="109"/>
      <c r="D759" s="109"/>
      <c r="E759" s="109"/>
      <c r="F759" s="17"/>
      <c r="G759" s="17"/>
      <c r="H759" s="108"/>
      <c r="I759" s="107"/>
      <c r="J759" s="108"/>
      <c r="K759" s="107"/>
      <c r="L759" s="108"/>
      <c r="M759" s="110"/>
      <c r="N759" s="109"/>
      <c r="O759" s="108"/>
      <c r="P759" s="233"/>
      <c r="Q759" s="239"/>
      <c r="R759" s="19"/>
      <c r="S759" s="20"/>
      <c r="T759" s="9" t="str">
        <f t="shared" si="49"/>
        <v xml:space="preserve"> </v>
      </c>
      <c r="U759" s="18"/>
      <c r="V759" s="21"/>
      <c r="W759" s="22"/>
      <c r="X759" s="197" t="str">
        <f t="shared" si="50"/>
        <v xml:space="preserve"> </v>
      </c>
      <c r="Y759" s="246"/>
      <c r="Z759" s="247"/>
      <c r="AA759" s="20"/>
      <c r="AB759" s="11" t="str">
        <f t="shared" si="51"/>
        <v xml:space="preserve"> </v>
      </c>
      <c r="AC759" s="12" t="str">
        <f t="shared" si="52"/>
        <v xml:space="preserve"> </v>
      </c>
    </row>
    <row r="760" spans="1:29" ht="20.100000000000001" customHeight="1" x14ac:dyDescent="0.25">
      <c r="A760" s="16"/>
      <c r="B760" s="108"/>
      <c r="C760" s="109"/>
      <c r="D760" s="109"/>
      <c r="E760" s="109"/>
      <c r="F760" s="17"/>
      <c r="G760" s="17"/>
      <c r="H760" s="108"/>
      <c r="I760" s="107"/>
      <c r="J760" s="108"/>
      <c r="K760" s="107"/>
      <c r="L760" s="108"/>
      <c r="M760" s="110"/>
      <c r="N760" s="109"/>
      <c r="O760" s="108"/>
      <c r="P760" s="233"/>
      <c r="Q760" s="239"/>
      <c r="R760" s="19"/>
      <c r="S760" s="20"/>
      <c r="T760" s="9" t="str">
        <f t="shared" si="49"/>
        <v xml:space="preserve"> </v>
      </c>
      <c r="U760" s="18"/>
      <c r="V760" s="21"/>
      <c r="W760" s="22"/>
      <c r="X760" s="197" t="str">
        <f t="shared" si="50"/>
        <v xml:space="preserve"> </v>
      </c>
      <c r="Y760" s="246"/>
      <c r="Z760" s="247"/>
      <c r="AA760" s="20"/>
      <c r="AB760" s="11" t="str">
        <f t="shared" si="51"/>
        <v xml:space="preserve"> </v>
      </c>
      <c r="AC760" s="12" t="str">
        <f t="shared" si="52"/>
        <v xml:space="preserve"> </v>
      </c>
    </row>
    <row r="761" spans="1:29" ht="20.100000000000001" customHeight="1" x14ac:dyDescent="0.25">
      <c r="A761" s="16"/>
      <c r="B761" s="108"/>
      <c r="C761" s="109"/>
      <c r="D761" s="109"/>
      <c r="E761" s="109"/>
      <c r="F761" s="17"/>
      <c r="G761" s="17"/>
      <c r="H761" s="108"/>
      <c r="I761" s="107"/>
      <c r="J761" s="108"/>
      <c r="K761" s="107"/>
      <c r="L761" s="108"/>
      <c r="M761" s="110"/>
      <c r="N761" s="109"/>
      <c r="O761" s="108"/>
      <c r="P761" s="233"/>
      <c r="Q761" s="239"/>
      <c r="R761" s="19"/>
      <c r="S761" s="20"/>
      <c r="T761" s="9" t="str">
        <f t="shared" si="49"/>
        <v xml:space="preserve"> </v>
      </c>
      <c r="U761" s="18"/>
      <c r="V761" s="21"/>
      <c r="W761" s="22"/>
      <c r="X761" s="197" t="str">
        <f t="shared" si="50"/>
        <v xml:space="preserve"> </v>
      </c>
      <c r="Y761" s="246"/>
      <c r="Z761" s="247"/>
      <c r="AA761" s="20"/>
      <c r="AB761" s="11" t="str">
        <f t="shared" si="51"/>
        <v xml:space="preserve"> </v>
      </c>
      <c r="AC761" s="12" t="str">
        <f t="shared" si="52"/>
        <v xml:space="preserve"> </v>
      </c>
    </row>
    <row r="762" spans="1:29" ht="20.100000000000001" customHeight="1" x14ac:dyDescent="0.25">
      <c r="A762" s="16"/>
      <c r="B762" s="108"/>
      <c r="C762" s="109"/>
      <c r="D762" s="109"/>
      <c r="E762" s="109"/>
      <c r="F762" s="17"/>
      <c r="G762" s="17"/>
      <c r="H762" s="108"/>
      <c r="I762" s="107"/>
      <c r="J762" s="108"/>
      <c r="K762" s="107"/>
      <c r="L762" s="108"/>
      <c r="M762" s="110"/>
      <c r="N762" s="109"/>
      <c r="O762" s="108"/>
      <c r="P762" s="233"/>
      <c r="Q762" s="239"/>
      <c r="R762" s="19"/>
      <c r="S762" s="20"/>
      <c r="T762" s="9" t="str">
        <f t="shared" si="49"/>
        <v xml:space="preserve"> </v>
      </c>
      <c r="U762" s="18"/>
      <c r="V762" s="21"/>
      <c r="W762" s="22"/>
      <c r="X762" s="197" t="str">
        <f t="shared" si="50"/>
        <v xml:space="preserve"> </v>
      </c>
      <c r="Y762" s="246"/>
      <c r="Z762" s="247"/>
      <c r="AA762" s="20"/>
      <c r="AB762" s="11" t="str">
        <f t="shared" si="51"/>
        <v xml:space="preserve"> </v>
      </c>
      <c r="AC762" s="12" t="str">
        <f t="shared" si="52"/>
        <v xml:space="preserve"> </v>
      </c>
    </row>
    <row r="763" spans="1:29" ht="20.100000000000001" customHeight="1" x14ac:dyDescent="0.25">
      <c r="A763" s="16"/>
      <c r="B763" s="108"/>
      <c r="C763" s="109"/>
      <c r="D763" s="109"/>
      <c r="E763" s="109"/>
      <c r="F763" s="17"/>
      <c r="G763" s="17"/>
      <c r="H763" s="108"/>
      <c r="I763" s="107"/>
      <c r="J763" s="108"/>
      <c r="K763" s="107"/>
      <c r="L763" s="108"/>
      <c r="M763" s="110"/>
      <c r="N763" s="109"/>
      <c r="O763" s="108"/>
      <c r="P763" s="233"/>
      <c r="Q763" s="239"/>
      <c r="R763" s="19"/>
      <c r="S763" s="20"/>
      <c r="T763" s="9" t="str">
        <f t="shared" si="49"/>
        <v xml:space="preserve"> </v>
      </c>
      <c r="U763" s="18"/>
      <c r="V763" s="21"/>
      <c r="W763" s="22"/>
      <c r="X763" s="197" t="str">
        <f t="shared" si="50"/>
        <v xml:space="preserve"> </v>
      </c>
      <c r="Y763" s="246"/>
      <c r="Z763" s="247"/>
      <c r="AA763" s="20"/>
      <c r="AB763" s="11" t="str">
        <f t="shared" si="51"/>
        <v xml:space="preserve"> </v>
      </c>
      <c r="AC763" s="12" t="str">
        <f t="shared" si="52"/>
        <v xml:space="preserve"> </v>
      </c>
    </row>
    <row r="764" spans="1:29" ht="20.100000000000001" customHeight="1" x14ac:dyDescent="0.25">
      <c r="A764" s="16"/>
      <c r="B764" s="108"/>
      <c r="C764" s="109"/>
      <c r="D764" s="109"/>
      <c r="E764" s="109"/>
      <c r="F764" s="17"/>
      <c r="G764" s="17"/>
      <c r="H764" s="108"/>
      <c r="I764" s="107"/>
      <c r="J764" s="108"/>
      <c r="K764" s="107"/>
      <c r="L764" s="108"/>
      <c r="M764" s="110"/>
      <c r="N764" s="109"/>
      <c r="O764" s="108"/>
      <c r="P764" s="233"/>
      <c r="Q764" s="239"/>
      <c r="R764" s="19"/>
      <c r="S764" s="20"/>
      <c r="T764" s="9" t="str">
        <f t="shared" si="49"/>
        <v xml:space="preserve"> </v>
      </c>
      <c r="U764" s="18"/>
      <c r="V764" s="21"/>
      <c r="W764" s="22"/>
      <c r="X764" s="197" t="str">
        <f t="shared" si="50"/>
        <v xml:space="preserve"> </v>
      </c>
      <c r="Y764" s="246"/>
      <c r="Z764" s="247"/>
      <c r="AA764" s="20"/>
      <c r="AB764" s="11" t="str">
        <f t="shared" si="51"/>
        <v xml:space="preserve"> </v>
      </c>
      <c r="AC764" s="12" t="str">
        <f t="shared" si="52"/>
        <v xml:space="preserve"> </v>
      </c>
    </row>
    <row r="765" spans="1:29" ht="20.100000000000001" customHeight="1" x14ac:dyDescent="0.25">
      <c r="A765" s="16"/>
      <c r="B765" s="108"/>
      <c r="C765" s="109"/>
      <c r="D765" s="109"/>
      <c r="E765" s="109"/>
      <c r="F765" s="17"/>
      <c r="G765" s="17"/>
      <c r="H765" s="108"/>
      <c r="I765" s="107"/>
      <c r="J765" s="108"/>
      <c r="K765" s="107"/>
      <c r="L765" s="108"/>
      <c r="M765" s="110"/>
      <c r="N765" s="109"/>
      <c r="O765" s="108"/>
      <c r="P765" s="233"/>
      <c r="Q765" s="239"/>
      <c r="R765" s="19"/>
      <c r="S765" s="20"/>
      <c r="T765" s="9" t="str">
        <f t="shared" si="49"/>
        <v xml:space="preserve"> </v>
      </c>
      <c r="U765" s="18"/>
      <c r="V765" s="21"/>
      <c r="W765" s="22"/>
      <c r="X765" s="197" t="str">
        <f t="shared" si="50"/>
        <v xml:space="preserve"> </v>
      </c>
      <c r="Y765" s="246"/>
      <c r="Z765" s="247"/>
      <c r="AA765" s="20"/>
      <c r="AB765" s="11" t="str">
        <f t="shared" si="51"/>
        <v xml:space="preserve"> </v>
      </c>
      <c r="AC765" s="12" t="str">
        <f t="shared" si="52"/>
        <v xml:space="preserve"> </v>
      </c>
    </row>
    <row r="766" spans="1:29" ht="20.100000000000001" customHeight="1" x14ac:dyDescent="0.25">
      <c r="A766" s="16"/>
      <c r="B766" s="108"/>
      <c r="C766" s="109"/>
      <c r="D766" s="109"/>
      <c r="E766" s="109"/>
      <c r="F766" s="17"/>
      <c r="G766" s="17"/>
      <c r="H766" s="108"/>
      <c r="I766" s="107"/>
      <c r="J766" s="108"/>
      <c r="K766" s="107"/>
      <c r="L766" s="108"/>
      <c r="M766" s="110"/>
      <c r="N766" s="109"/>
      <c r="O766" s="108"/>
      <c r="P766" s="233"/>
      <c r="Q766" s="239"/>
      <c r="R766" s="19"/>
      <c r="S766" s="20"/>
      <c r="T766" s="9" t="str">
        <f t="shared" si="49"/>
        <v xml:space="preserve"> </v>
      </c>
      <c r="U766" s="18"/>
      <c r="V766" s="21"/>
      <c r="W766" s="22"/>
      <c r="X766" s="197" t="str">
        <f t="shared" si="50"/>
        <v xml:space="preserve"> </v>
      </c>
      <c r="Y766" s="246"/>
      <c r="Z766" s="247"/>
      <c r="AA766" s="20"/>
      <c r="AB766" s="11" t="str">
        <f t="shared" si="51"/>
        <v xml:space="preserve"> </v>
      </c>
      <c r="AC766" s="12" t="str">
        <f t="shared" si="52"/>
        <v xml:space="preserve"> </v>
      </c>
    </row>
    <row r="767" spans="1:29" ht="20.100000000000001" customHeight="1" x14ac:dyDescent="0.25">
      <c r="A767" s="16"/>
      <c r="B767" s="108"/>
      <c r="C767" s="109"/>
      <c r="D767" s="109"/>
      <c r="E767" s="109"/>
      <c r="F767" s="17"/>
      <c r="G767" s="17"/>
      <c r="H767" s="108"/>
      <c r="I767" s="107"/>
      <c r="J767" s="108"/>
      <c r="K767" s="107"/>
      <c r="L767" s="108"/>
      <c r="M767" s="110"/>
      <c r="N767" s="109"/>
      <c r="O767" s="108"/>
      <c r="P767" s="233"/>
      <c r="Q767" s="239"/>
      <c r="R767" s="19"/>
      <c r="S767" s="20"/>
      <c r="T767" s="9" t="str">
        <f t="shared" si="49"/>
        <v xml:space="preserve"> </v>
      </c>
      <c r="U767" s="18"/>
      <c r="V767" s="21"/>
      <c r="W767" s="22"/>
      <c r="X767" s="197" t="str">
        <f t="shared" si="50"/>
        <v xml:space="preserve"> </v>
      </c>
      <c r="Y767" s="246"/>
      <c r="Z767" s="247"/>
      <c r="AA767" s="20"/>
      <c r="AB767" s="11" t="str">
        <f t="shared" si="51"/>
        <v xml:space="preserve"> </v>
      </c>
      <c r="AC767" s="12" t="str">
        <f t="shared" si="52"/>
        <v xml:space="preserve"> </v>
      </c>
    </row>
    <row r="768" spans="1:29" ht="20.100000000000001" customHeight="1" x14ac:dyDescent="0.25">
      <c r="A768" s="16"/>
      <c r="B768" s="108"/>
      <c r="C768" s="109"/>
      <c r="D768" s="109"/>
      <c r="E768" s="109"/>
      <c r="F768" s="17"/>
      <c r="G768" s="17"/>
      <c r="H768" s="108"/>
      <c r="I768" s="107"/>
      <c r="J768" s="108"/>
      <c r="K768" s="107"/>
      <c r="L768" s="108"/>
      <c r="M768" s="110"/>
      <c r="N768" s="109"/>
      <c r="O768" s="108"/>
      <c r="P768" s="233"/>
      <c r="Q768" s="239"/>
      <c r="R768" s="19"/>
      <c r="S768" s="20"/>
      <c r="T768" s="9" t="str">
        <f t="shared" si="49"/>
        <v xml:space="preserve"> </v>
      </c>
      <c r="U768" s="18"/>
      <c r="V768" s="21"/>
      <c r="W768" s="22"/>
      <c r="X768" s="197" t="str">
        <f t="shared" si="50"/>
        <v xml:space="preserve"> </v>
      </c>
      <c r="Y768" s="246"/>
      <c r="Z768" s="247"/>
      <c r="AA768" s="20"/>
      <c r="AB768" s="11" t="str">
        <f t="shared" si="51"/>
        <v xml:space="preserve"> </v>
      </c>
      <c r="AC768" s="12" t="str">
        <f t="shared" si="52"/>
        <v xml:space="preserve"> </v>
      </c>
    </row>
    <row r="769" spans="1:29" ht="20.100000000000001" customHeight="1" x14ac:dyDescent="0.25">
      <c r="A769" s="16"/>
      <c r="B769" s="108"/>
      <c r="C769" s="109"/>
      <c r="D769" s="109"/>
      <c r="E769" s="109"/>
      <c r="F769" s="17"/>
      <c r="G769" s="17"/>
      <c r="H769" s="108"/>
      <c r="I769" s="107"/>
      <c r="J769" s="108"/>
      <c r="K769" s="107"/>
      <c r="L769" s="108"/>
      <c r="M769" s="110"/>
      <c r="N769" s="109"/>
      <c r="O769" s="108"/>
      <c r="P769" s="233"/>
      <c r="Q769" s="239"/>
      <c r="R769" s="19"/>
      <c r="S769" s="20"/>
      <c r="T769" s="9" t="str">
        <f t="shared" si="49"/>
        <v xml:space="preserve"> </v>
      </c>
      <c r="U769" s="18"/>
      <c r="V769" s="21"/>
      <c r="W769" s="22"/>
      <c r="X769" s="197" t="str">
        <f t="shared" si="50"/>
        <v xml:space="preserve"> </v>
      </c>
      <c r="Y769" s="246"/>
      <c r="Z769" s="247"/>
      <c r="AA769" s="20"/>
      <c r="AB769" s="11" t="str">
        <f t="shared" si="51"/>
        <v xml:space="preserve"> </v>
      </c>
      <c r="AC769" s="12" t="str">
        <f t="shared" si="52"/>
        <v xml:space="preserve"> </v>
      </c>
    </row>
    <row r="770" spans="1:29" ht="20.100000000000001" customHeight="1" x14ac:dyDescent="0.25">
      <c r="A770" s="16"/>
      <c r="B770" s="108"/>
      <c r="C770" s="109"/>
      <c r="D770" s="109"/>
      <c r="E770" s="109"/>
      <c r="F770" s="17"/>
      <c r="G770" s="17"/>
      <c r="H770" s="108"/>
      <c r="I770" s="107"/>
      <c r="J770" s="108"/>
      <c r="K770" s="107"/>
      <c r="L770" s="108"/>
      <c r="M770" s="110"/>
      <c r="N770" s="109"/>
      <c r="O770" s="108"/>
      <c r="P770" s="233"/>
      <c r="Q770" s="239"/>
      <c r="R770" s="19"/>
      <c r="S770" s="20"/>
      <c r="T770" s="9" t="str">
        <f t="shared" si="49"/>
        <v xml:space="preserve"> </v>
      </c>
      <c r="U770" s="18"/>
      <c r="V770" s="21"/>
      <c r="W770" s="22"/>
      <c r="X770" s="197" t="str">
        <f t="shared" si="50"/>
        <v xml:space="preserve"> </v>
      </c>
      <c r="Y770" s="246"/>
      <c r="Z770" s="247"/>
      <c r="AA770" s="20"/>
      <c r="AB770" s="11" t="str">
        <f t="shared" si="51"/>
        <v xml:space="preserve"> </v>
      </c>
      <c r="AC770" s="12" t="str">
        <f t="shared" si="52"/>
        <v xml:space="preserve"> </v>
      </c>
    </row>
    <row r="771" spans="1:29" ht="20.100000000000001" customHeight="1" x14ac:dyDescent="0.25">
      <c r="A771" s="16"/>
      <c r="B771" s="108"/>
      <c r="C771" s="109"/>
      <c r="D771" s="109"/>
      <c r="E771" s="109"/>
      <c r="F771" s="17"/>
      <c r="G771" s="17"/>
      <c r="H771" s="108"/>
      <c r="I771" s="107"/>
      <c r="J771" s="108"/>
      <c r="K771" s="107"/>
      <c r="L771" s="108"/>
      <c r="M771" s="110"/>
      <c r="N771" s="109"/>
      <c r="O771" s="108"/>
      <c r="P771" s="233"/>
      <c r="Q771" s="239"/>
      <c r="R771" s="19"/>
      <c r="S771" s="20"/>
      <c r="T771" s="9" t="str">
        <f t="shared" si="49"/>
        <v xml:space="preserve"> </v>
      </c>
      <c r="U771" s="18"/>
      <c r="V771" s="21"/>
      <c r="W771" s="22"/>
      <c r="X771" s="197" t="str">
        <f t="shared" si="50"/>
        <v xml:space="preserve"> </v>
      </c>
      <c r="Y771" s="246"/>
      <c r="Z771" s="247"/>
      <c r="AA771" s="20"/>
      <c r="AB771" s="11" t="str">
        <f t="shared" si="51"/>
        <v xml:space="preserve"> </v>
      </c>
      <c r="AC771" s="12" t="str">
        <f t="shared" si="52"/>
        <v xml:space="preserve"> </v>
      </c>
    </row>
    <row r="772" spans="1:29" ht="20.100000000000001" customHeight="1" x14ac:dyDescent="0.25">
      <c r="A772" s="16"/>
      <c r="B772" s="108"/>
      <c r="C772" s="109"/>
      <c r="D772" s="109"/>
      <c r="E772" s="109"/>
      <c r="F772" s="17"/>
      <c r="G772" s="17"/>
      <c r="H772" s="108"/>
      <c r="I772" s="107"/>
      <c r="J772" s="108"/>
      <c r="K772" s="107"/>
      <c r="L772" s="108"/>
      <c r="M772" s="110"/>
      <c r="N772" s="109"/>
      <c r="O772" s="108"/>
      <c r="P772" s="233"/>
      <c r="Q772" s="239"/>
      <c r="R772" s="19"/>
      <c r="S772" s="20"/>
      <c r="T772" s="9" t="str">
        <f t="shared" ref="T772:T835" si="53">IF(ISBLANK(R772)," ",((ROUND(S772,2)-(ROUND(R772,2)))/(ROUND(R772,2))))</f>
        <v xml:space="preserve"> </v>
      </c>
      <c r="U772" s="18"/>
      <c r="V772" s="21"/>
      <c r="W772" s="22"/>
      <c r="X772" s="197" t="str">
        <f t="shared" ref="X772:X835" si="54">IF(ISBLANK(R772)," ",((ROUND(W772,2))-(ROUND(R772,2)))/(ROUND(R772,2)))</f>
        <v xml:space="preserve"> </v>
      </c>
      <c r="Y772" s="246"/>
      <c r="Z772" s="247"/>
      <c r="AA772" s="20"/>
      <c r="AB772" s="11" t="str">
        <f t="shared" ref="AB772:AB835" si="55">IF(ISBLANK(R772)," ",((ROUND(AA772,2))-(ROUND(R772,2)))/(ROUND(R772,2)))</f>
        <v xml:space="preserve"> </v>
      </c>
      <c r="AC772" s="12" t="str">
        <f t="shared" ref="AC772:AC835" si="56">IF(ISBLANK(AA772)," ",(ROUND(AA772,2)/0.995))</f>
        <v xml:space="preserve"> </v>
      </c>
    </row>
    <row r="773" spans="1:29" ht="20.100000000000001" customHeight="1" x14ac:dyDescent="0.25">
      <c r="A773" s="16"/>
      <c r="B773" s="108"/>
      <c r="C773" s="109"/>
      <c r="D773" s="109"/>
      <c r="E773" s="109"/>
      <c r="F773" s="17"/>
      <c r="G773" s="17"/>
      <c r="H773" s="108"/>
      <c r="I773" s="107"/>
      <c r="J773" s="108"/>
      <c r="K773" s="107"/>
      <c r="L773" s="108"/>
      <c r="M773" s="110"/>
      <c r="N773" s="109"/>
      <c r="O773" s="108"/>
      <c r="P773" s="233"/>
      <c r="Q773" s="239"/>
      <c r="R773" s="19"/>
      <c r="S773" s="20"/>
      <c r="T773" s="9" t="str">
        <f t="shared" si="53"/>
        <v xml:space="preserve"> </v>
      </c>
      <c r="U773" s="18"/>
      <c r="V773" s="21"/>
      <c r="W773" s="22"/>
      <c r="X773" s="197" t="str">
        <f t="shared" si="54"/>
        <v xml:space="preserve"> </v>
      </c>
      <c r="Y773" s="246"/>
      <c r="Z773" s="247"/>
      <c r="AA773" s="20"/>
      <c r="AB773" s="11" t="str">
        <f t="shared" si="55"/>
        <v xml:space="preserve"> </v>
      </c>
      <c r="AC773" s="12" t="str">
        <f t="shared" si="56"/>
        <v xml:space="preserve"> </v>
      </c>
    </row>
    <row r="774" spans="1:29" ht="20.100000000000001" customHeight="1" x14ac:dyDescent="0.25">
      <c r="A774" s="16"/>
      <c r="B774" s="108"/>
      <c r="C774" s="109"/>
      <c r="D774" s="109"/>
      <c r="E774" s="109"/>
      <c r="F774" s="17"/>
      <c r="G774" s="17"/>
      <c r="H774" s="108"/>
      <c r="I774" s="107"/>
      <c r="J774" s="108"/>
      <c r="K774" s="107"/>
      <c r="L774" s="108"/>
      <c r="M774" s="110"/>
      <c r="N774" s="109"/>
      <c r="O774" s="108"/>
      <c r="P774" s="233"/>
      <c r="Q774" s="239"/>
      <c r="R774" s="19"/>
      <c r="S774" s="20"/>
      <c r="T774" s="9" t="str">
        <f t="shared" si="53"/>
        <v xml:space="preserve"> </v>
      </c>
      <c r="U774" s="18"/>
      <c r="V774" s="21"/>
      <c r="W774" s="22"/>
      <c r="X774" s="197" t="str">
        <f t="shared" si="54"/>
        <v xml:space="preserve"> </v>
      </c>
      <c r="Y774" s="246"/>
      <c r="Z774" s="247"/>
      <c r="AA774" s="20"/>
      <c r="AB774" s="11" t="str">
        <f t="shared" si="55"/>
        <v xml:space="preserve"> </v>
      </c>
      <c r="AC774" s="12" t="str">
        <f t="shared" si="56"/>
        <v xml:space="preserve"> </v>
      </c>
    </row>
    <row r="775" spans="1:29" ht="20.100000000000001" customHeight="1" x14ac:dyDescent="0.25">
      <c r="A775" s="16"/>
      <c r="B775" s="108"/>
      <c r="C775" s="109"/>
      <c r="D775" s="109"/>
      <c r="E775" s="109"/>
      <c r="F775" s="17"/>
      <c r="G775" s="17"/>
      <c r="H775" s="108"/>
      <c r="I775" s="107"/>
      <c r="J775" s="108"/>
      <c r="K775" s="107"/>
      <c r="L775" s="108"/>
      <c r="M775" s="110"/>
      <c r="N775" s="109"/>
      <c r="O775" s="108"/>
      <c r="P775" s="233"/>
      <c r="Q775" s="239"/>
      <c r="R775" s="19"/>
      <c r="S775" s="20"/>
      <c r="T775" s="9" t="str">
        <f t="shared" si="53"/>
        <v xml:space="preserve"> </v>
      </c>
      <c r="U775" s="18"/>
      <c r="V775" s="21"/>
      <c r="W775" s="22"/>
      <c r="X775" s="197" t="str">
        <f t="shared" si="54"/>
        <v xml:space="preserve"> </v>
      </c>
      <c r="Y775" s="246"/>
      <c r="Z775" s="247"/>
      <c r="AA775" s="20"/>
      <c r="AB775" s="11" t="str">
        <f t="shared" si="55"/>
        <v xml:space="preserve"> </v>
      </c>
      <c r="AC775" s="12" t="str">
        <f t="shared" si="56"/>
        <v xml:space="preserve"> </v>
      </c>
    </row>
    <row r="776" spans="1:29" ht="20.100000000000001" customHeight="1" x14ac:dyDescent="0.25">
      <c r="A776" s="16"/>
      <c r="B776" s="108"/>
      <c r="C776" s="109"/>
      <c r="D776" s="109"/>
      <c r="E776" s="109"/>
      <c r="F776" s="17"/>
      <c r="G776" s="17"/>
      <c r="H776" s="108"/>
      <c r="I776" s="107"/>
      <c r="J776" s="108"/>
      <c r="K776" s="107"/>
      <c r="L776" s="108"/>
      <c r="M776" s="110"/>
      <c r="N776" s="109"/>
      <c r="O776" s="108"/>
      <c r="P776" s="233"/>
      <c r="Q776" s="239"/>
      <c r="R776" s="19"/>
      <c r="S776" s="20"/>
      <c r="T776" s="9" t="str">
        <f t="shared" si="53"/>
        <v xml:space="preserve"> </v>
      </c>
      <c r="U776" s="18"/>
      <c r="V776" s="21"/>
      <c r="W776" s="22"/>
      <c r="X776" s="197" t="str">
        <f t="shared" si="54"/>
        <v xml:space="preserve"> </v>
      </c>
      <c r="Y776" s="246"/>
      <c r="Z776" s="247"/>
      <c r="AA776" s="20"/>
      <c r="AB776" s="11" t="str">
        <f t="shared" si="55"/>
        <v xml:space="preserve"> </v>
      </c>
      <c r="AC776" s="12" t="str">
        <f t="shared" si="56"/>
        <v xml:space="preserve"> </v>
      </c>
    </row>
    <row r="777" spans="1:29" ht="20.100000000000001" customHeight="1" x14ac:dyDescent="0.25">
      <c r="A777" s="16"/>
      <c r="B777" s="108"/>
      <c r="C777" s="109"/>
      <c r="D777" s="109"/>
      <c r="E777" s="109"/>
      <c r="F777" s="17"/>
      <c r="G777" s="17"/>
      <c r="H777" s="108"/>
      <c r="I777" s="107"/>
      <c r="J777" s="108"/>
      <c r="K777" s="107"/>
      <c r="L777" s="108"/>
      <c r="M777" s="110"/>
      <c r="N777" s="109"/>
      <c r="O777" s="108"/>
      <c r="P777" s="233"/>
      <c r="Q777" s="239"/>
      <c r="R777" s="19"/>
      <c r="S777" s="20"/>
      <c r="T777" s="9" t="str">
        <f t="shared" si="53"/>
        <v xml:space="preserve"> </v>
      </c>
      <c r="U777" s="18"/>
      <c r="V777" s="21"/>
      <c r="W777" s="22"/>
      <c r="X777" s="197" t="str">
        <f t="shared" si="54"/>
        <v xml:space="preserve"> </v>
      </c>
      <c r="Y777" s="246"/>
      <c r="Z777" s="247"/>
      <c r="AA777" s="20"/>
      <c r="AB777" s="11" t="str">
        <f t="shared" si="55"/>
        <v xml:space="preserve"> </v>
      </c>
      <c r="AC777" s="12" t="str">
        <f t="shared" si="56"/>
        <v xml:space="preserve"> </v>
      </c>
    </row>
    <row r="778" spans="1:29" ht="20.100000000000001" customHeight="1" x14ac:dyDescent="0.25">
      <c r="A778" s="16"/>
      <c r="B778" s="108"/>
      <c r="C778" s="109"/>
      <c r="D778" s="109"/>
      <c r="E778" s="109"/>
      <c r="F778" s="17"/>
      <c r="G778" s="17"/>
      <c r="H778" s="108"/>
      <c r="I778" s="107"/>
      <c r="J778" s="108"/>
      <c r="K778" s="107"/>
      <c r="L778" s="108"/>
      <c r="M778" s="110"/>
      <c r="N778" s="109"/>
      <c r="O778" s="108"/>
      <c r="P778" s="233"/>
      <c r="Q778" s="239"/>
      <c r="R778" s="19"/>
      <c r="S778" s="20"/>
      <c r="T778" s="9" t="str">
        <f t="shared" si="53"/>
        <v xml:space="preserve"> </v>
      </c>
      <c r="U778" s="18"/>
      <c r="V778" s="21"/>
      <c r="W778" s="22"/>
      <c r="X778" s="197" t="str">
        <f t="shared" si="54"/>
        <v xml:space="preserve"> </v>
      </c>
      <c r="Y778" s="246"/>
      <c r="Z778" s="247"/>
      <c r="AA778" s="20"/>
      <c r="AB778" s="11" t="str">
        <f t="shared" si="55"/>
        <v xml:space="preserve"> </v>
      </c>
      <c r="AC778" s="12" t="str">
        <f t="shared" si="56"/>
        <v xml:space="preserve"> </v>
      </c>
    </row>
    <row r="779" spans="1:29" ht="20.100000000000001" customHeight="1" x14ac:dyDescent="0.25">
      <c r="A779" s="16"/>
      <c r="B779" s="108"/>
      <c r="C779" s="109"/>
      <c r="D779" s="109"/>
      <c r="E779" s="109"/>
      <c r="F779" s="17"/>
      <c r="G779" s="17"/>
      <c r="H779" s="108"/>
      <c r="I779" s="107"/>
      <c r="J779" s="108"/>
      <c r="K779" s="107"/>
      <c r="L779" s="108"/>
      <c r="M779" s="110"/>
      <c r="N779" s="109"/>
      <c r="O779" s="108"/>
      <c r="P779" s="233"/>
      <c r="Q779" s="239"/>
      <c r="R779" s="19"/>
      <c r="S779" s="20"/>
      <c r="T779" s="9" t="str">
        <f t="shared" si="53"/>
        <v xml:space="preserve"> </v>
      </c>
      <c r="U779" s="18"/>
      <c r="V779" s="21"/>
      <c r="W779" s="22"/>
      <c r="X779" s="197" t="str">
        <f t="shared" si="54"/>
        <v xml:space="preserve"> </v>
      </c>
      <c r="Y779" s="246"/>
      <c r="Z779" s="247"/>
      <c r="AA779" s="20"/>
      <c r="AB779" s="11" t="str">
        <f t="shared" si="55"/>
        <v xml:space="preserve"> </v>
      </c>
      <c r="AC779" s="12" t="str">
        <f t="shared" si="56"/>
        <v xml:space="preserve"> </v>
      </c>
    </row>
    <row r="780" spans="1:29" ht="20.100000000000001" customHeight="1" x14ac:dyDescent="0.25">
      <c r="A780" s="16"/>
      <c r="B780" s="108"/>
      <c r="C780" s="109"/>
      <c r="D780" s="109"/>
      <c r="E780" s="109"/>
      <c r="F780" s="17"/>
      <c r="G780" s="17"/>
      <c r="H780" s="108"/>
      <c r="I780" s="107"/>
      <c r="J780" s="108"/>
      <c r="K780" s="107"/>
      <c r="L780" s="108"/>
      <c r="M780" s="110"/>
      <c r="N780" s="109"/>
      <c r="O780" s="108"/>
      <c r="P780" s="233"/>
      <c r="Q780" s="239"/>
      <c r="R780" s="19"/>
      <c r="S780" s="20"/>
      <c r="T780" s="9" t="str">
        <f t="shared" si="53"/>
        <v xml:space="preserve"> </v>
      </c>
      <c r="U780" s="18"/>
      <c r="V780" s="21"/>
      <c r="W780" s="22"/>
      <c r="X780" s="197" t="str">
        <f t="shared" si="54"/>
        <v xml:space="preserve"> </v>
      </c>
      <c r="Y780" s="246"/>
      <c r="Z780" s="247"/>
      <c r="AA780" s="20"/>
      <c r="AB780" s="11" t="str">
        <f t="shared" si="55"/>
        <v xml:space="preserve"> </v>
      </c>
      <c r="AC780" s="12" t="str">
        <f t="shared" si="56"/>
        <v xml:space="preserve"> </v>
      </c>
    </row>
    <row r="781" spans="1:29" ht="20.100000000000001" customHeight="1" x14ac:dyDescent="0.25">
      <c r="A781" s="16"/>
      <c r="B781" s="108"/>
      <c r="C781" s="109"/>
      <c r="D781" s="109"/>
      <c r="E781" s="109"/>
      <c r="F781" s="17"/>
      <c r="G781" s="17"/>
      <c r="H781" s="108"/>
      <c r="I781" s="107"/>
      <c r="J781" s="108"/>
      <c r="K781" s="107"/>
      <c r="L781" s="108"/>
      <c r="M781" s="110"/>
      <c r="N781" s="109"/>
      <c r="O781" s="108"/>
      <c r="P781" s="233"/>
      <c r="Q781" s="239"/>
      <c r="R781" s="19"/>
      <c r="S781" s="20"/>
      <c r="T781" s="9" t="str">
        <f t="shared" si="53"/>
        <v xml:space="preserve"> </v>
      </c>
      <c r="U781" s="18"/>
      <c r="V781" s="21"/>
      <c r="W781" s="22"/>
      <c r="X781" s="197" t="str">
        <f t="shared" si="54"/>
        <v xml:space="preserve"> </v>
      </c>
      <c r="Y781" s="246"/>
      <c r="Z781" s="247"/>
      <c r="AA781" s="20"/>
      <c r="AB781" s="11" t="str">
        <f t="shared" si="55"/>
        <v xml:space="preserve"> </v>
      </c>
      <c r="AC781" s="12" t="str">
        <f t="shared" si="56"/>
        <v xml:space="preserve"> </v>
      </c>
    </row>
    <row r="782" spans="1:29" ht="20.100000000000001" customHeight="1" x14ac:dyDescent="0.25">
      <c r="A782" s="16"/>
      <c r="B782" s="108"/>
      <c r="C782" s="109"/>
      <c r="D782" s="109"/>
      <c r="E782" s="109"/>
      <c r="F782" s="17"/>
      <c r="G782" s="17"/>
      <c r="H782" s="108"/>
      <c r="I782" s="107"/>
      <c r="J782" s="108"/>
      <c r="K782" s="107"/>
      <c r="L782" s="108"/>
      <c r="M782" s="110"/>
      <c r="N782" s="109"/>
      <c r="O782" s="108"/>
      <c r="P782" s="233"/>
      <c r="Q782" s="239"/>
      <c r="R782" s="19"/>
      <c r="S782" s="20"/>
      <c r="T782" s="9" t="str">
        <f t="shared" si="53"/>
        <v xml:space="preserve"> </v>
      </c>
      <c r="U782" s="18"/>
      <c r="V782" s="21"/>
      <c r="W782" s="22"/>
      <c r="X782" s="197" t="str">
        <f t="shared" si="54"/>
        <v xml:space="preserve"> </v>
      </c>
      <c r="Y782" s="246"/>
      <c r="Z782" s="247"/>
      <c r="AA782" s="20"/>
      <c r="AB782" s="11" t="str">
        <f t="shared" si="55"/>
        <v xml:space="preserve"> </v>
      </c>
      <c r="AC782" s="12" t="str">
        <f t="shared" si="56"/>
        <v xml:space="preserve"> </v>
      </c>
    </row>
    <row r="783" spans="1:29" ht="20.100000000000001" customHeight="1" x14ac:dyDescent="0.25">
      <c r="A783" s="16"/>
      <c r="B783" s="108"/>
      <c r="C783" s="109"/>
      <c r="D783" s="109"/>
      <c r="E783" s="109"/>
      <c r="F783" s="17"/>
      <c r="G783" s="17"/>
      <c r="H783" s="108"/>
      <c r="I783" s="107"/>
      <c r="J783" s="108"/>
      <c r="K783" s="107"/>
      <c r="L783" s="108"/>
      <c r="M783" s="110"/>
      <c r="N783" s="109"/>
      <c r="O783" s="108"/>
      <c r="P783" s="233"/>
      <c r="Q783" s="239"/>
      <c r="R783" s="19"/>
      <c r="S783" s="20"/>
      <c r="T783" s="9" t="str">
        <f t="shared" si="53"/>
        <v xml:space="preserve"> </v>
      </c>
      <c r="U783" s="18"/>
      <c r="V783" s="21"/>
      <c r="W783" s="22"/>
      <c r="X783" s="197" t="str">
        <f t="shared" si="54"/>
        <v xml:space="preserve"> </v>
      </c>
      <c r="Y783" s="246"/>
      <c r="Z783" s="247"/>
      <c r="AA783" s="20"/>
      <c r="AB783" s="11" t="str">
        <f t="shared" si="55"/>
        <v xml:space="preserve"> </v>
      </c>
      <c r="AC783" s="12" t="str">
        <f t="shared" si="56"/>
        <v xml:space="preserve"> </v>
      </c>
    </row>
    <row r="784" spans="1:29" ht="20.100000000000001" customHeight="1" x14ac:dyDescent="0.25">
      <c r="A784" s="16"/>
      <c r="B784" s="108"/>
      <c r="C784" s="109"/>
      <c r="D784" s="109"/>
      <c r="E784" s="109"/>
      <c r="F784" s="17"/>
      <c r="G784" s="17"/>
      <c r="H784" s="108"/>
      <c r="I784" s="107"/>
      <c r="J784" s="108"/>
      <c r="K784" s="107"/>
      <c r="L784" s="108"/>
      <c r="M784" s="110"/>
      <c r="N784" s="109"/>
      <c r="O784" s="108"/>
      <c r="P784" s="233"/>
      <c r="Q784" s="239"/>
      <c r="R784" s="19"/>
      <c r="S784" s="20"/>
      <c r="T784" s="9" t="str">
        <f t="shared" si="53"/>
        <v xml:space="preserve"> </v>
      </c>
      <c r="U784" s="18"/>
      <c r="V784" s="21"/>
      <c r="W784" s="22"/>
      <c r="X784" s="197" t="str">
        <f t="shared" si="54"/>
        <v xml:space="preserve"> </v>
      </c>
      <c r="Y784" s="246"/>
      <c r="Z784" s="247"/>
      <c r="AA784" s="20"/>
      <c r="AB784" s="11" t="str">
        <f t="shared" si="55"/>
        <v xml:space="preserve"> </v>
      </c>
      <c r="AC784" s="12" t="str">
        <f t="shared" si="56"/>
        <v xml:space="preserve"> </v>
      </c>
    </row>
    <row r="785" spans="1:29" ht="20.100000000000001" customHeight="1" x14ac:dyDescent="0.25">
      <c r="A785" s="16"/>
      <c r="B785" s="108"/>
      <c r="C785" s="109"/>
      <c r="D785" s="109"/>
      <c r="E785" s="109"/>
      <c r="F785" s="17"/>
      <c r="G785" s="17"/>
      <c r="H785" s="108"/>
      <c r="I785" s="107"/>
      <c r="J785" s="108"/>
      <c r="K785" s="107"/>
      <c r="L785" s="108"/>
      <c r="M785" s="110"/>
      <c r="N785" s="109"/>
      <c r="O785" s="108"/>
      <c r="P785" s="233"/>
      <c r="Q785" s="239"/>
      <c r="R785" s="19"/>
      <c r="S785" s="20"/>
      <c r="T785" s="9" t="str">
        <f t="shared" si="53"/>
        <v xml:space="preserve"> </v>
      </c>
      <c r="U785" s="18"/>
      <c r="V785" s="21"/>
      <c r="W785" s="22"/>
      <c r="X785" s="197" t="str">
        <f t="shared" si="54"/>
        <v xml:space="preserve"> </v>
      </c>
      <c r="Y785" s="246"/>
      <c r="Z785" s="247"/>
      <c r="AA785" s="20"/>
      <c r="AB785" s="11" t="str">
        <f t="shared" si="55"/>
        <v xml:space="preserve"> </v>
      </c>
      <c r="AC785" s="12" t="str">
        <f t="shared" si="56"/>
        <v xml:space="preserve"> </v>
      </c>
    </row>
    <row r="786" spans="1:29" ht="20.100000000000001" customHeight="1" x14ac:dyDescent="0.25">
      <c r="A786" s="16"/>
      <c r="B786" s="108"/>
      <c r="C786" s="109"/>
      <c r="D786" s="109"/>
      <c r="E786" s="109"/>
      <c r="F786" s="17"/>
      <c r="G786" s="17"/>
      <c r="H786" s="108"/>
      <c r="I786" s="107"/>
      <c r="J786" s="108"/>
      <c r="K786" s="107"/>
      <c r="L786" s="108"/>
      <c r="M786" s="110"/>
      <c r="N786" s="109"/>
      <c r="O786" s="108"/>
      <c r="P786" s="233"/>
      <c r="Q786" s="239"/>
      <c r="R786" s="19"/>
      <c r="S786" s="20"/>
      <c r="T786" s="9" t="str">
        <f t="shared" si="53"/>
        <v xml:space="preserve"> </v>
      </c>
      <c r="U786" s="18"/>
      <c r="V786" s="21"/>
      <c r="W786" s="22"/>
      <c r="X786" s="197" t="str">
        <f t="shared" si="54"/>
        <v xml:space="preserve"> </v>
      </c>
      <c r="Y786" s="246"/>
      <c r="Z786" s="247"/>
      <c r="AA786" s="20"/>
      <c r="AB786" s="11" t="str">
        <f t="shared" si="55"/>
        <v xml:space="preserve"> </v>
      </c>
      <c r="AC786" s="12" t="str">
        <f t="shared" si="56"/>
        <v xml:space="preserve"> </v>
      </c>
    </row>
    <row r="787" spans="1:29" ht="20.100000000000001" customHeight="1" x14ac:dyDescent="0.25">
      <c r="A787" s="16"/>
      <c r="B787" s="108"/>
      <c r="C787" s="109"/>
      <c r="D787" s="109"/>
      <c r="E787" s="109"/>
      <c r="F787" s="17"/>
      <c r="G787" s="17"/>
      <c r="H787" s="108"/>
      <c r="I787" s="107"/>
      <c r="J787" s="108"/>
      <c r="K787" s="107"/>
      <c r="L787" s="108"/>
      <c r="M787" s="110"/>
      <c r="N787" s="109"/>
      <c r="O787" s="108"/>
      <c r="P787" s="233"/>
      <c r="Q787" s="239"/>
      <c r="R787" s="19"/>
      <c r="S787" s="20"/>
      <c r="T787" s="9" t="str">
        <f t="shared" si="53"/>
        <v xml:space="preserve"> </v>
      </c>
      <c r="U787" s="18"/>
      <c r="V787" s="21"/>
      <c r="W787" s="22"/>
      <c r="X787" s="197" t="str">
        <f t="shared" si="54"/>
        <v xml:space="preserve"> </v>
      </c>
      <c r="Y787" s="246"/>
      <c r="Z787" s="247"/>
      <c r="AA787" s="20"/>
      <c r="AB787" s="11" t="str">
        <f t="shared" si="55"/>
        <v xml:space="preserve"> </v>
      </c>
      <c r="AC787" s="12" t="str">
        <f t="shared" si="56"/>
        <v xml:space="preserve"> </v>
      </c>
    </row>
    <row r="788" spans="1:29" ht="20.100000000000001" customHeight="1" x14ac:dyDescent="0.25">
      <c r="A788" s="16"/>
      <c r="B788" s="108"/>
      <c r="C788" s="109"/>
      <c r="D788" s="109"/>
      <c r="E788" s="109"/>
      <c r="F788" s="17"/>
      <c r="G788" s="17"/>
      <c r="H788" s="108"/>
      <c r="I788" s="107"/>
      <c r="J788" s="108"/>
      <c r="K788" s="107"/>
      <c r="L788" s="108"/>
      <c r="M788" s="110"/>
      <c r="N788" s="109"/>
      <c r="O788" s="108"/>
      <c r="P788" s="233"/>
      <c r="Q788" s="239"/>
      <c r="R788" s="19"/>
      <c r="S788" s="20"/>
      <c r="T788" s="9" t="str">
        <f t="shared" si="53"/>
        <v xml:space="preserve"> </v>
      </c>
      <c r="U788" s="18"/>
      <c r="V788" s="21"/>
      <c r="W788" s="22"/>
      <c r="X788" s="197" t="str">
        <f t="shared" si="54"/>
        <v xml:space="preserve"> </v>
      </c>
      <c r="Y788" s="246"/>
      <c r="Z788" s="247"/>
      <c r="AA788" s="20"/>
      <c r="AB788" s="11" t="str">
        <f t="shared" si="55"/>
        <v xml:space="preserve"> </v>
      </c>
      <c r="AC788" s="12" t="str">
        <f t="shared" si="56"/>
        <v xml:space="preserve"> </v>
      </c>
    </row>
    <row r="789" spans="1:29" ht="20.100000000000001" customHeight="1" x14ac:dyDescent="0.25">
      <c r="A789" s="16"/>
      <c r="B789" s="108"/>
      <c r="C789" s="109"/>
      <c r="D789" s="109"/>
      <c r="E789" s="109"/>
      <c r="F789" s="17"/>
      <c r="G789" s="17"/>
      <c r="H789" s="108"/>
      <c r="I789" s="107"/>
      <c r="J789" s="108"/>
      <c r="K789" s="107"/>
      <c r="L789" s="108"/>
      <c r="M789" s="110"/>
      <c r="N789" s="109"/>
      <c r="O789" s="108"/>
      <c r="P789" s="233"/>
      <c r="Q789" s="239"/>
      <c r="R789" s="19"/>
      <c r="S789" s="20"/>
      <c r="T789" s="9" t="str">
        <f t="shared" si="53"/>
        <v xml:space="preserve"> </v>
      </c>
      <c r="U789" s="18"/>
      <c r="V789" s="21"/>
      <c r="W789" s="22"/>
      <c r="X789" s="197" t="str">
        <f t="shared" si="54"/>
        <v xml:space="preserve"> </v>
      </c>
      <c r="Y789" s="246"/>
      <c r="Z789" s="247"/>
      <c r="AA789" s="20"/>
      <c r="AB789" s="11" t="str">
        <f t="shared" si="55"/>
        <v xml:space="preserve"> </v>
      </c>
      <c r="AC789" s="12" t="str">
        <f t="shared" si="56"/>
        <v xml:space="preserve"> </v>
      </c>
    </row>
    <row r="790" spans="1:29" ht="20.100000000000001" customHeight="1" x14ac:dyDescent="0.25">
      <c r="A790" s="16"/>
      <c r="B790" s="108"/>
      <c r="C790" s="109"/>
      <c r="D790" s="109"/>
      <c r="E790" s="109"/>
      <c r="F790" s="17"/>
      <c r="G790" s="17"/>
      <c r="H790" s="108"/>
      <c r="I790" s="107"/>
      <c r="J790" s="108"/>
      <c r="K790" s="107"/>
      <c r="L790" s="108"/>
      <c r="M790" s="110"/>
      <c r="N790" s="109"/>
      <c r="O790" s="108"/>
      <c r="P790" s="233"/>
      <c r="Q790" s="239"/>
      <c r="R790" s="19"/>
      <c r="S790" s="20"/>
      <c r="T790" s="9" t="str">
        <f t="shared" si="53"/>
        <v xml:space="preserve"> </v>
      </c>
      <c r="U790" s="18"/>
      <c r="V790" s="21"/>
      <c r="W790" s="22"/>
      <c r="X790" s="197" t="str">
        <f t="shared" si="54"/>
        <v xml:space="preserve"> </v>
      </c>
      <c r="Y790" s="246"/>
      <c r="Z790" s="247"/>
      <c r="AA790" s="20"/>
      <c r="AB790" s="11" t="str">
        <f t="shared" si="55"/>
        <v xml:space="preserve"> </v>
      </c>
      <c r="AC790" s="12" t="str">
        <f t="shared" si="56"/>
        <v xml:space="preserve"> </v>
      </c>
    </row>
    <row r="791" spans="1:29" ht="20.100000000000001" customHeight="1" x14ac:dyDescent="0.25">
      <c r="A791" s="16"/>
      <c r="B791" s="108"/>
      <c r="C791" s="109"/>
      <c r="D791" s="109"/>
      <c r="E791" s="109"/>
      <c r="F791" s="17"/>
      <c r="G791" s="17"/>
      <c r="H791" s="108"/>
      <c r="I791" s="107"/>
      <c r="J791" s="108"/>
      <c r="K791" s="107"/>
      <c r="L791" s="108"/>
      <c r="M791" s="110"/>
      <c r="N791" s="109"/>
      <c r="O791" s="108"/>
      <c r="P791" s="233"/>
      <c r="Q791" s="239"/>
      <c r="R791" s="19"/>
      <c r="S791" s="20"/>
      <c r="T791" s="9" t="str">
        <f t="shared" si="53"/>
        <v xml:space="preserve"> </v>
      </c>
      <c r="U791" s="18"/>
      <c r="V791" s="21"/>
      <c r="W791" s="22"/>
      <c r="X791" s="197" t="str">
        <f t="shared" si="54"/>
        <v xml:space="preserve"> </v>
      </c>
      <c r="Y791" s="246"/>
      <c r="Z791" s="247"/>
      <c r="AA791" s="20"/>
      <c r="AB791" s="11" t="str">
        <f t="shared" si="55"/>
        <v xml:space="preserve"> </v>
      </c>
      <c r="AC791" s="12" t="str">
        <f t="shared" si="56"/>
        <v xml:space="preserve"> </v>
      </c>
    </row>
    <row r="792" spans="1:29" ht="20.100000000000001" customHeight="1" x14ac:dyDescent="0.25">
      <c r="A792" s="16"/>
      <c r="B792" s="108"/>
      <c r="C792" s="109"/>
      <c r="D792" s="109"/>
      <c r="E792" s="109"/>
      <c r="F792" s="17"/>
      <c r="G792" s="17"/>
      <c r="H792" s="108"/>
      <c r="I792" s="107"/>
      <c r="J792" s="108"/>
      <c r="K792" s="107"/>
      <c r="L792" s="108"/>
      <c r="M792" s="110"/>
      <c r="N792" s="109"/>
      <c r="O792" s="108"/>
      <c r="P792" s="233"/>
      <c r="Q792" s="239"/>
      <c r="R792" s="19"/>
      <c r="S792" s="20"/>
      <c r="T792" s="9" t="str">
        <f t="shared" si="53"/>
        <v xml:space="preserve"> </v>
      </c>
      <c r="U792" s="18"/>
      <c r="V792" s="21"/>
      <c r="W792" s="22"/>
      <c r="X792" s="197" t="str">
        <f t="shared" si="54"/>
        <v xml:space="preserve"> </v>
      </c>
      <c r="Y792" s="246"/>
      <c r="Z792" s="247"/>
      <c r="AA792" s="20"/>
      <c r="AB792" s="11" t="str">
        <f t="shared" si="55"/>
        <v xml:space="preserve"> </v>
      </c>
      <c r="AC792" s="12" t="str">
        <f t="shared" si="56"/>
        <v xml:space="preserve"> </v>
      </c>
    </row>
    <row r="793" spans="1:29" ht="20.100000000000001" customHeight="1" x14ac:dyDescent="0.25">
      <c r="A793" s="16"/>
      <c r="B793" s="108"/>
      <c r="C793" s="109"/>
      <c r="D793" s="109"/>
      <c r="E793" s="109"/>
      <c r="F793" s="17"/>
      <c r="G793" s="17"/>
      <c r="H793" s="108"/>
      <c r="I793" s="107"/>
      <c r="J793" s="108"/>
      <c r="K793" s="107"/>
      <c r="L793" s="108"/>
      <c r="M793" s="110"/>
      <c r="N793" s="109"/>
      <c r="O793" s="108"/>
      <c r="P793" s="233"/>
      <c r="Q793" s="239"/>
      <c r="R793" s="19"/>
      <c r="S793" s="20"/>
      <c r="T793" s="9" t="str">
        <f t="shared" si="53"/>
        <v xml:space="preserve"> </v>
      </c>
      <c r="U793" s="18"/>
      <c r="V793" s="21"/>
      <c r="W793" s="22"/>
      <c r="X793" s="197" t="str">
        <f t="shared" si="54"/>
        <v xml:space="preserve"> </v>
      </c>
      <c r="Y793" s="246"/>
      <c r="Z793" s="247"/>
      <c r="AA793" s="20"/>
      <c r="AB793" s="11" t="str">
        <f t="shared" si="55"/>
        <v xml:space="preserve"> </v>
      </c>
      <c r="AC793" s="12" t="str">
        <f t="shared" si="56"/>
        <v xml:space="preserve"> </v>
      </c>
    </row>
    <row r="794" spans="1:29" ht="20.100000000000001" customHeight="1" x14ac:dyDescent="0.25">
      <c r="A794" s="16"/>
      <c r="B794" s="108"/>
      <c r="C794" s="109"/>
      <c r="D794" s="109"/>
      <c r="E794" s="109"/>
      <c r="F794" s="17"/>
      <c r="G794" s="17"/>
      <c r="H794" s="108"/>
      <c r="I794" s="107"/>
      <c r="J794" s="108"/>
      <c r="K794" s="107"/>
      <c r="L794" s="108"/>
      <c r="M794" s="110"/>
      <c r="N794" s="109"/>
      <c r="O794" s="108"/>
      <c r="P794" s="233"/>
      <c r="Q794" s="239"/>
      <c r="R794" s="19"/>
      <c r="S794" s="20"/>
      <c r="T794" s="9" t="str">
        <f t="shared" si="53"/>
        <v xml:space="preserve"> </v>
      </c>
      <c r="U794" s="18"/>
      <c r="V794" s="21"/>
      <c r="W794" s="22"/>
      <c r="X794" s="197" t="str">
        <f t="shared" si="54"/>
        <v xml:space="preserve"> </v>
      </c>
      <c r="Y794" s="246"/>
      <c r="Z794" s="247"/>
      <c r="AA794" s="20"/>
      <c r="AB794" s="11" t="str">
        <f t="shared" si="55"/>
        <v xml:space="preserve"> </v>
      </c>
      <c r="AC794" s="12" t="str">
        <f t="shared" si="56"/>
        <v xml:space="preserve"> </v>
      </c>
    </row>
    <row r="795" spans="1:29" ht="20.100000000000001" customHeight="1" x14ac:dyDescent="0.25">
      <c r="A795" s="16"/>
      <c r="B795" s="108"/>
      <c r="C795" s="109"/>
      <c r="D795" s="109"/>
      <c r="E795" s="109"/>
      <c r="F795" s="17"/>
      <c r="G795" s="17"/>
      <c r="H795" s="108"/>
      <c r="I795" s="107"/>
      <c r="J795" s="108"/>
      <c r="K795" s="107"/>
      <c r="L795" s="108"/>
      <c r="M795" s="110"/>
      <c r="N795" s="109"/>
      <c r="O795" s="108"/>
      <c r="P795" s="233"/>
      <c r="Q795" s="239"/>
      <c r="R795" s="19"/>
      <c r="S795" s="20"/>
      <c r="T795" s="9" t="str">
        <f t="shared" si="53"/>
        <v xml:space="preserve"> </v>
      </c>
      <c r="U795" s="18"/>
      <c r="V795" s="21"/>
      <c r="W795" s="22"/>
      <c r="X795" s="197" t="str">
        <f t="shared" si="54"/>
        <v xml:space="preserve"> </v>
      </c>
      <c r="Y795" s="246"/>
      <c r="Z795" s="247"/>
      <c r="AA795" s="20"/>
      <c r="AB795" s="11" t="str">
        <f t="shared" si="55"/>
        <v xml:space="preserve"> </v>
      </c>
      <c r="AC795" s="12" t="str">
        <f t="shared" si="56"/>
        <v xml:space="preserve"> </v>
      </c>
    </row>
    <row r="796" spans="1:29" ht="20.100000000000001" customHeight="1" x14ac:dyDescent="0.25">
      <c r="A796" s="16"/>
      <c r="B796" s="108"/>
      <c r="C796" s="109"/>
      <c r="D796" s="109"/>
      <c r="E796" s="109"/>
      <c r="F796" s="17"/>
      <c r="G796" s="17"/>
      <c r="H796" s="108"/>
      <c r="I796" s="107"/>
      <c r="J796" s="108"/>
      <c r="K796" s="107"/>
      <c r="L796" s="108"/>
      <c r="M796" s="110"/>
      <c r="N796" s="109"/>
      <c r="O796" s="108"/>
      <c r="P796" s="233"/>
      <c r="Q796" s="239"/>
      <c r="R796" s="19"/>
      <c r="S796" s="20"/>
      <c r="T796" s="9" t="str">
        <f t="shared" si="53"/>
        <v xml:space="preserve"> </v>
      </c>
      <c r="U796" s="18"/>
      <c r="V796" s="21"/>
      <c r="W796" s="22"/>
      <c r="X796" s="197" t="str">
        <f t="shared" si="54"/>
        <v xml:space="preserve"> </v>
      </c>
      <c r="Y796" s="246"/>
      <c r="Z796" s="247"/>
      <c r="AA796" s="20"/>
      <c r="AB796" s="11" t="str">
        <f t="shared" si="55"/>
        <v xml:space="preserve"> </v>
      </c>
      <c r="AC796" s="12" t="str">
        <f t="shared" si="56"/>
        <v xml:space="preserve"> </v>
      </c>
    </row>
    <row r="797" spans="1:29" ht="20.100000000000001" customHeight="1" x14ac:dyDescent="0.25">
      <c r="A797" s="16"/>
      <c r="B797" s="108"/>
      <c r="C797" s="109"/>
      <c r="D797" s="109"/>
      <c r="E797" s="109"/>
      <c r="F797" s="17"/>
      <c r="G797" s="17"/>
      <c r="H797" s="108"/>
      <c r="I797" s="107"/>
      <c r="J797" s="108"/>
      <c r="K797" s="107"/>
      <c r="L797" s="108"/>
      <c r="M797" s="110"/>
      <c r="N797" s="109"/>
      <c r="O797" s="108"/>
      <c r="P797" s="233"/>
      <c r="Q797" s="239"/>
      <c r="R797" s="19"/>
      <c r="S797" s="20"/>
      <c r="T797" s="9" t="str">
        <f t="shared" si="53"/>
        <v xml:space="preserve"> </v>
      </c>
      <c r="U797" s="18"/>
      <c r="V797" s="21"/>
      <c r="W797" s="22"/>
      <c r="X797" s="197" t="str">
        <f t="shared" si="54"/>
        <v xml:space="preserve"> </v>
      </c>
      <c r="Y797" s="246"/>
      <c r="Z797" s="247"/>
      <c r="AA797" s="20"/>
      <c r="AB797" s="11" t="str">
        <f t="shared" si="55"/>
        <v xml:space="preserve"> </v>
      </c>
      <c r="AC797" s="12" t="str">
        <f t="shared" si="56"/>
        <v xml:space="preserve"> </v>
      </c>
    </row>
    <row r="798" spans="1:29" ht="20.100000000000001" customHeight="1" x14ac:dyDescent="0.25">
      <c r="A798" s="16"/>
      <c r="B798" s="108"/>
      <c r="C798" s="109"/>
      <c r="D798" s="109"/>
      <c r="E798" s="109"/>
      <c r="F798" s="17"/>
      <c r="G798" s="17"/>
      <c r="H798" s="108"/>
      <c r="I798" s="107"/>
      <c r="J798" s="108"/>
      <c r="K798" s="107"/>
      <c r="L798" s="108"/>
      <c r="M798" s="110"/>
      <c r="N798" s="109"/>
      <c r="O798" s="108"/>
      <c r="P798" s="233"/>
      <c r="Q798" s="239"/>
      <c r="R798" s="19"/>
      <c r="S798" s="20"/>
      <c r="T798" s="9" t="str">
        <f t="shared" si="53"/>
        <v xml:space="preserve"> </v>
      </c>
      <c r="U798" s="18"/>
      <c r="V798" s="21"/>
      <c r="W798" s="22"/>
      <c r="X798" s="197" t="str">
        <f t="shared" si="54"/>
        <v xml:space="preserve"> </v>
      </c>
      <c r="Y798" s="246"/>
      <c r="Z798" s="247"/>
      <c r="AA798" s="20"/>
      <c r="AB798" s="11" t="str">
        <f t="shared" si="55"/>
        <v xml:space="preserve"> </v>
      </c>
      <c r="AC798" s="12" t="str">
        <f t="shared" si="56"/>
        <v xml:space="preserve"> </v>
      </c>
    </row>
    <row r="799" spans="1:29" ht="20.100000000000001" customHeight="1" x14ac:dyDescent="0.25">
      <c r="A799" s="16"/>
      <c r="B799" s="108"/>
      <c r="C799" s="109"/>
      <c r="D799" s="109"/>
      <c r="E799" s="109"/>
      <c r="F799" s="17"/>
      <c r="G799" s="17"/>
      <c r="H799" s="108"/>
      <c r="I799" s="107"/>
      <c r="J799" s="108"/>
      <c r="K799" s="107"/>
      <c r="L799" s="108"/>
      <c r="M799" s="110"/>
      <c r="N799" s="109"/>
      <c r="O799" s="108"/>
      <c r="P799" s="233"/>
      <c r="Q799" s="239"/>
      <c r="R799" s="19"/>
      <c r="S799" s="20"/>
      <c r="T799" s="9" t="str">
        <f t="shared" si="53"/>
        <v xml:space="preserve"> </v>
      </c>
      <c r="U799" s="18"/>
      <c r="V799" s="21"/>
      <c r="W799" s="22"/>
      <c r="X799" s="197" t="str">
        <f t="shared" si="54"/>
        <v xml:space="preserve"> </v>
      </c>
      <c r="Y799" s="246"/>
      <c r="Z799" s="247"/>
      <c r="AA799" s="20"/>
      <c r="AB799" s="11" t="str">
        <f t="shared" si="55"/>
        <v xml:space="preserve"> </v>
      </c>
      <c r="AC799" s="12" t="str">
        <f t="shared" si="56"/>
        <v xml:space="preserve"> </v>
      </c>
    </row>
    <row r="800" spans="1:29" ht="20.100000000000001" customHeight="1" x14ac:dyDescent="0.25">
      <c r="A800" s="16"/>
      <c r="B800" s="108"/>
      <c r="C800" s="109"/>
      <c r="D800" s="109"/>
      <c r="E800" s="109"/>
      <c r="F800" s="17"/>
      <c r="G800" s="17"/>
      <c r="H800" s="108"/>
      <c r="I800" s="107"/>
      <c r="J800" s="108"/>
      <c r="K800" s="107"/>
      <c r="L800" s="108"/>
      <c r="M800" s="110"/>
      <c r="N800" s="109"/>
      <c r="O800" s="108"/>
      <c r="P800" s="233"/>
      <c r="Q800" s="239"/>
      <c r="R800" s="19"/>
      <c r="S800" s="20"/>
      <c r="T800" s="9" t="str">
        <f t="shared" si="53"/>
        <v xml:space="preserve"> </v>
      </c>
      <c r="U800" s="18"/>
      <c r="V800" s="21"/>
      <c r="W800" s="22"/>
      <c r="X800" s="197" t="str">
        <f t="shared" si="54"/>
        <v xml:space="preserve"> </v>
      </c>
      <c r="Y800" s="246"/>
      <c r="Z800" s="247"/>
      <c r="AA800" s="20"/>
      <c r="AB800" s="11" t="str">
        <f t="shared" si="55"/>
        <v xml:space="preserve"> </v>
      </c>
      <c r="AC800" s="12" t="str">
        <f t="shared" si="56"/>
        <v xml:space="preserve"> </v>
      </c>
    </row>
    <row r="801" spans="1:29" ht="20.100000000000001" customHeight="1" x14ac:dyDescent="0.25">
      <c r="A801" s="16"/>
      <c r="B801" s="108"/>
      <c r="C801" s="109"/>
      <c r="D801" s="109"/>
      <c r="E801" s="109"/>
      <c r="F801" s="17"/>
      <c r="G801" s="17"/>
      <c r="H801" s="108"/>
      <c r="I801" s="107"/>
      <c r="J801" s="108"/>
      <c r="K801" s="107"/>
      <c r="L801" s="108"/>
      <c r="M801" s="110"/>
      <c r="N801" s="109"/>
      <c r="O801" s="108"/>
      <c r="P801" s="233"/>
      <c r="Q801" s="239"/>
      <c r="R801" s="19"/>
      <c r="S801" s="20"/>
      <c r="T801" s="9" t="str">
        <f t="shared" si="53"/>
        <v xml:space="preserve"> </v>
      </c>
      <c r="U801" s="18"/>
      <c r="V801" s="21"/>
      <c r="W801" s="22"/>
      <c r="X801" s="197" t="str">
        <f t="shared" si="54"/>
        <v xml:space="preserve"> </v>
      </c>
      <c r="Y801" s="246"/>
      <c r="Z801" s="247"/>
      <c r="AA801" s="20"/>
      <c r="AB801" s="11" t="str">
        <f t="shared" si="55"/>
        <v xml:space="preserve"> </v>
      </c>
      <c r="AC801" s="12" t="str">
        <f t="shared" si="56"/>
        <v xml:space="preserve"> </v>
      </c>
    </row>
    <row r="802" spans="1:29" ht="20.100000000000001" customHeight="1" x14ac:dyDescent="0.25">
      <c r="A802" s="16"/>
      <c r="B802" s="108"/>
      <c r="C802" s="109"/>
      <c r="D802" s="109"/>
      <c r="E802" s="109"/>
      <c r="F802" s="17"/>
      <c r="G802" s="17"/>
      <c r="H802" s="108"/>
      <c r="I802" s="107"/>
      <c r="J802" s="108"/>
      <c r="K802" s="107"/>
      <c r="L802" s="108"/>
      <c r="M802" s="110"/>
      <c r="N802" s="109"/>
      <c r="O802" s="108"/>
      <c r="P802" s="233"/>
      <c r="Q802" s="239"/>
      <c r="R802" s="19"/>
      <c r="S802" s="20"/>
      <c r="T802" s="9" t="str">
        <f t="shared" si="53"/>
        <v xml:space="preserve"> </v>
      </c>
      <c r="U802" s="18"/>
      <c r="V802" s="21"/>
      <c r="W802" s="22"/>
      <c r="X802" s="197" t="str">
        <f t="shared" si="54"/>
        <v xml:space="preserve"> </v>
      </c>
      <c r="Y802" s="246"/>
      <c r="Z802" s="247"/>
      <c r="AA802" s="20"/>
      <c r="AB802" s="11" t="str">
        <f t="shared" si="55"/>
        <v xml:space="preserve"> </v>
      </c>
      <c r="AC802" s="12" t="str">
        <f t="shared" si="56"/>
        <v xml:space="preserve"> </v>
      </c>
    </row>
    <row r="803" spans="1:29" ht="20.100000000000001" customHeight="1" x14ac:dyDescent="0.25">
      <c r="A803" s="16"/>
      <c r="B803" s="108"/>
      <c r="C803" s="109"/>
      <c r="D803" s="109"/>
      <c r="E803" s="109"/>
      <c r="F803" s="17"/>
      <c r="G803" s="17"/>
      <c r="H803" s="108"/>
      <c r="I803" s="107"/>
      <c r="J803" s="108"/>
      <c r="K803" s="107"/>
      <c r="L803" s="108"/>
      <c r="M803" s="110"/>
      <c r="N803" s="109"/>
      <c r="O803" s="108"/>
      <c r="P803" s="233"/>
      <c r="Q803" s="239"/>
      <c r="R803" s="19"/>
      <c r="S803" s="20"/>
      <c r="T803" s="9" t="str">
        <f t="shared" si="53"/>
        <v xml:space="preserve"> </v>
      </c>
      <c r="U803" s="18"/>
      <c r="V803" s="21"/>
      <c r="W803" s="22"/>
      <c r="X803" s="197" t="str">
        <f t="shared" si="54"/>
        <v xml:space="preserve"> </v>
      </c>
      <c r="Y803" s="246"/>
      <c r="Z803" s="247"/>
      <c r="AA803" s="20"/>
      <c r="AB803" s="11" t="str">
        <f t="shared" si="55"/>
        <v xml:space="preserve"> </v>
      </c>
      <c r="AC803" s="12" t="str">
        <f t="shared" si="56"/>
        <v xml:space="preserve"> </v>
      </c>
    </row>
    <row r="804" spans="1:29" ht="20.100000000000001" customHeight="1" x14ac:dyDescent="0.25">
      <c r="A804" s="16"/>
      <c r="B804" s="108"/>
      <c r="C804" s="109"/>
      <c r="D804" s="109"/>
      <c r="E804" s="109"/>
      <c r="F804" s="17"/>
      <c r="G804" s="17"/>
      <c r="H804" s="108"/>
      <c r="I804" s="107"/>
      <c r="J804" s="108"/>
      <c r="K804" s="107"/>
      <c r="L804" s="108"/>
      <c r="M804" s="110"/>
      <c r="N804" s="109"/>
      <c r="O804" s="108"/>
      <c r="P804" s="233"/>
      <c r="Q804" s="239"/>
      <c r="R804" s="19"/>
      <c r="S804" s="20"/>
      <c r="T804" s="9" t="str">
        <f t="shared" si="53"/>
        <v xml:space="preserve"> </v>
      </c>
      <c r="U804" s="18"/>
      <c r="V804" s="21"/>
      <c r="W804" s="22"/>
      <c r="X804" s="197" t="str">
        <f t="shared" si="54"/>
        <v xml:space="preserve"> </v>
      </c>
      <c r="Y804" s="246"/>
      <c r="Z804" s="247"/>
      <c r="AA804" s="20"/>
      <c r="AB804" s="11" t="str">
        <f t="shared" si="55"/>
        <v xml:space="preserve"> </v>
      </c>
      <c r="AC804" s="12" t="str">
        <f t="shared" si="56"/>
        <v xml:space="preserve"> </v>
      </c>
    </row>
    <row r="805" spans="1:29" ht="20.100000000000001" customHeight="1" x14ac:dyDescent="0.25">
      <c r="A805" s="16"/>
      <c r="B805" s="108"/>
      <c r="C805" s="109"/>
      <c r="D805" s="109"/>
      <c r="E805" s="109"/>
      <c r="F805" s="17"/>
      <c r="G805" s="17"/>
      <c r="H805" s="108"/>
      <c r="I805" s="107"/>
      <c r="J805" s="108"/>
      <c r="K805" s="107"/>
      <c r="L805" s="108"/>
      <c r="M805" s="110"/>
      <c r="N805" s="109"/>
      <c r="O805" s="108"/>
      <c r="P805" s="233"/>
      <c r="Q805" s="239"/>
      <c r="R805" s="19"/>
      <c r="S805" s="20"/>
      <c r="T805" s="9" t="str">
        <f t="shared" si="53"/>
        <v xml:space="preserve"> </v>
      </c>
      <c r="U805" s="18"/>
      <c r="V805" s="21"/>
      <c r="W805" s="22"/>
      <c r="X805" s="197" t="str">
        <f t="shared" si="54"/>
        <v xml:space="preserve"> </v>
      </c>
      <c r="Y805" s="246"/>
      <c r="Z805" s="247"/>
      <c r="AA805" s="20"/>
      <c r="AB805" s="11" t="str">
        <f t="shared" si="55"/>
        <v xml:space="preserve"> </v>
      </c>
      <c r="AC805" s="12" t="str">
        <f t="shared" si="56"/>
        <v xml:space="preserve"> </v>
      </c>
    </row>
    <row r="806" spans="1:29" ht="20.100000000000001" customHeight="1" x14ac:dyDescent="0.25">
      <c r="A806" s="16"/>
      <c r="B806" s="108"/>
      <c r="C806" s="109"/>
      <c r="D806" s="109"/>
      <c r="E806" s="109"/>
      <c r="F806" s="17"/>
      <c r="G806" s="17"/>
      <c r="H806" s="108"/>
      <c r="I806" s="107"/>
      <c r="J806" s="108"/>
      <c r="K806" s="107"/>
      <c r="L806" s="108"/>
      <c r="M806" s="110"/>
      <c r="N806" s="109"/>
      <c r="O806" s="108"/>
      <c r="P806" s="233"/>
      <c r="Q806" s="239"/>
      <c r="R806" s="19"/>
      <c r="S806" s="20"/>
      <c r="T806" s="9" t="str">
        <f t="shared" si="53"/>
        <v xml:space="preserve"> </v>
      </c>
      <c r="U806" s="18"/>
      <c r="V806" s="21"/>
      <c r="W806" s="22"/>
      <c r="X806" s="197" t="str">
        <f t="shared" si="54"/>
        <v xml:space="preserve"> </v>
      </c>
      <c r="Y806" s="246"/>
      <c r="Z806" s="247"/>
      <c r="AA806" s="20"/>
      <c r="AB806" s="11" t="str">
        <f t="shared" si="55"/>
        <v xml:space="preserve"> </v>
      </c>
      <c r="AC806" s="12" t="str">
        <f t="shared" si="56"/>
        <v xml:space="preserve"> </v>
      </c>
    </row>
    <row r="807" spans="1:29" ht="20.100000000000001" customHeight="1" x14ac:dyDescent="0.25">
      <c r="A807" s="16"/>
      <c r="B807" s="108"/>
      <c r="C807" s="109"/>
      <c r="D807" s="109"/>
      <c r="E807" s="109"/>
      <c r="F807" s="17"/>
      <c r="G807" s="17"/>
      <c r="H807" s="108"/>
      <c r="I807" s="107"/>
      <c r="J807" s="108"/>
      <c r="K807" s="107"/>
      <c r="L807" s="108"/>
      <c r="M807" s="110"/>
      <c r="N807" s="109"/>
      <c r="O807" s="108"/>
      <c r="P807" s="233"/>
      <c r="Q807" s="239"/>
      <c r="R807" s="19"/>
      <c r="S807" s="20"/>
      <c r="T807" s="9" t="str">
        <f t="shared" si="53"/>
        <v xml:space="preserve"> </v>
      </c>
      <c r="U807" s="18"/>
      <c r="V807" s="21"/>
      <c r="W807" s="22"/>
      <c r="X807" s="197" t="str">
        <f t="shared" si="54"/>
        <v xml:space="preserve"> </v>
      </c>
      <c r="Y807" s="246"/>
      <c r="Z807" s="247"/>
      <c r="AA807" s="20"/>
      <c r="AB807" s="11" t="str">
        <f t="shared" si="55"/>
        <v xml:space="preserve"> </v>
      </c>
      <c r="AC807" s="12" t="str">
        <f t="shared" si="56"/>
        <v xml:space="preserve"> </v>
      </c>
    </row>
    <row r="808" spans="1:29" ht="20.100000000000001" customHeight="1" x14ac:dyDescent="0.25">
      <c r="A808" s="16"/>
      <c r="B808" s="108"/>
      <c r="C808" s="109"/>
      <c r="D808" s="109"/>
      <c r="E808" s="109"/>
      <c r="F808" s="17"/>
      <c r="G808" s="17"/>
      <c r="H808" s="108"/>
      <c r="I808" s="107"/>
      <c r="J808" s="108"/>
      <c r="K808" s="107"/>
      <c r="L808" s="108"/>
      <c r="M808" s="110"/>
      <c r="N808" s="109"/>
      <c r="O808" s="108"/>
      <c r="P808" s="233"/>
      <c r="Q808" s="239"/>
      <c r="R808" s="19"/>
      <c r="S808" s="20"/>
      <c r="T808" s="9" t="str">
        <f t="shared" si="53"/>
        <v xml:space="preserve"> </v>
      </c>
      <c r="U808" s="18"/>
      <c r="V808" s="21"/>
      <c r="W808" s="22"/>
      <c r="X808" s="197" t="str">
        <f t="shared" si="54"/>
        <v xml:space="preserve"> </v>
      </c>
      <c r="Y808" s="246"/>
      <c r="Z808" s="247"/>
      <c r="AA808" s="20"/>
      <c r="AB808" s="11" t="str">
        <f t="shared" si="55"/>
        <v xml:space="preserve"> </v>
      </c>
      <c r="AC808" s="12" t="str">
        <f t="shared" si="56"/>
        <v xml:space="preserve"> </v>
      </c>
    </row>
    <row r="809" spans="1:29" ht="20.100000000000001" customHeight="1" x14ac:dyDescent="0.25">
      <c r="A809" s="16"/>
      <c r="B809" s="108"/>
      <c r="C809" s="109"/>
      <c r="D809" s="109"/>
      <c r="E809" s="109"/>
      <c r="F809" s="17"/>
      <c r="G809" s="17"/>
      <c r="H809" s="108"/>
      <c r="I809" s="107"/>
      <c r="J809" s="108"/>
      <c r="K809" s="107"/>
      <c r="L809" s="108"/>
      <c r="M809" s="110"/>
      <c r="N809" s="109"/>
      <c r="O809" s="108"/>
      <c r="P809" s="233"/>
      <c r="Q809" s="239"/>
      <c r="R809" s="19"/>
      <c r="S809" s="20"/>
      <c r="T809" s="9" t="str">
        <f t="shared" si="53"/>
        <v xml:space="preserve"> </v>
      </c>
      <c r="U809" s="18"/>
      <c r="V809" s="21"/>
      <c r="W809" s="22"/>
      <c r="X809" s="197" t="str">
        <f t="shared" si="54"/>
        <v xml:space="preserve"> </v>
      </c>
      <c r="Y809" s="246"/>
      <c r="Z809" s="247"/>
      <c r="AA809" s="20"/>
      <c r="AB809" s="11" t="str">
        <f t="shared" si="55"/>
        <v xml:space="preserve"> </v>
      </c>
      <c r="AC809" s="12" t="str">
        <f t="shared" si="56"/>
        <v xml:space="preserve"> </v>
      </c>
    </row>
    <row r="810" spans="1:29" ht="20.100000000000001" customHeight="1" x14ac:dyDescent="0.25">
      <c r="A810" s="16"/>
      <c r="B810" s="108"/>
      <c r="C810" s="109"/>
      <c r="D810" s="109"/>
      <c r="E810" s="109"/>
      <c r="F810" s="17"/>
      <c r="G810" s="17"/>
      <c r="H810" s="108"/>
      <c r="I810" s="107"/>
      <c r="J810" s="108"/>
      <c r="K810" s="107"/>
      <c r="L810" s="108"/>
      <c r="M810" s="110"/>
      <c r="N810" s="109"/>
      <c r="O810" s="108"/>
      <c r="P810" s="233"/>
      <c r="Q810" s="239"/>
      <c r="R810" s="19"/>
      <c r="S810" s="20"/>
      <c r="T810" s="9" t="str">
        <f t="shared" si="53"/>
        <v xml:space="preserve"> </v>
      </c>
      <c r="U810" s="18"/>
      <c r="V810" s="21"/>
      <c r="W810" s="22"/>
      <c r="X810" s="197" t="str">
        <f t="shared" si="54"/>
        <v xml:space="preserve"> </v>
      </c>
      <c r="Y810" s="246"/>
      <c r="Z810" s="247"/>
      <c r="AA810" s="20"/>
      <c r="AB810" s="11" t="str">
        <f t="shared" si="55"/>
        <v xml:space="preserve"> </v>
      </c>
      <c r="AC810" s="12" t="str">
        <f t="shared" si="56"/>
        <v xml:space="preserve"> </v>
      </c>
    </row>
    <row r="811" spans="1:29" ht="20.100000000000001" customHeight="1" x14ac:dyDescent="0.25">
      <c r="A811" s="16"/>
      <c r="B811" s="108"/>
      <c r="C811" s="109"/>
      <c r="D811" s="109"/>
      <c r="E811" s="109"/>
      <c r="F811" s="17"/>
      <c r="G811" s="17"/>
      <c r="H811" s="108"/>
      <c r="I811" s="107"/>
      <c r="J811" s="108"/>
      <c r="K811" s="107"/>
      <c r="L811" s="108"/>
      <c r="M811" s="110"/>
      <c r="N811" s="109"/>
      <c r="O811" s="108"/>
      <c r="P811" s="233"/>
      <c r="Q811" s="239"/>
      <c r="R811" s="19"/>
      <c r="S811" s="20"/>
      <c r="T811" s="9" t="str">
        <f t="shared" si="53"/>
        <v xml:space="preserve"> </v>
      </c>
      <c r="U811" s="18"/>
      <c r="V811" s="21"/>
      <c r="W811" s="22"/>
      <c r="X811" s="197" t="str">
        <f t="shared" si="54"/>
        <v xml:space="preserve"> </v>
      </c>
      <c r="Y811" s="246"/>
      <c r="Z811" s="247"/>
      <c r="AA811" s="20"/>
      <c r="AB811" s="11" t="str">
        <f t="shared" si="55"/>
        <v xml:space="preserve"> </v>
      </c>
      <c r="AC811" s="12" t="str">
        <f t="shared" si="56"/>
        <v xml:space="preserve"> </v>
      </c>
    </row>
    <row r="812" spans="1:29" ht="20.100000000000001" customHeight="1" x14ac:dyDescent="0.25">
      <c r="A812" s="16"/>
      <c r="B812" s="108"/>
      <c r="C812" s="109"/>
      <c r="D812" s="109"/>
      <c r="E812" s="109"/>
      <c r="F812" s="17"/>
      <c r="G812" s="17"/>
      <c r="H812" s="108"/>
      <c r="I812" s="107"/>
      <c r="J812" s="108"/>
      <c r="K812" s="107"/>
      <c r="L812" s="108"/>
      <c r="M812" s="110"/>
      <c r="N812" s="109"/>
      <c r="O812" s="108"/>
      <c r="P812" s="233"/>
      <c r="Q812" s="239"/>
      <c r="R812" s="19"/>
      <c r="S812" s="20"/>
      <c r="T812" s="9" t="str">
        <f t="shared" si="53"/>
        <v xml:space="preserve"> </v>
      </c>
      <c r="U812" s="18"/>
      <c r="V812" s="21"/>
      <c r="W812" s="22"/>
      <c r="X812" s="197" t="str">
        <f t="shared" si="54"/>
        <v xml:space="preserve"> </v>
      </c>
      <c r="Y812" s="246"/>
      <c r="Z812" s="247"/>
      <c r="AA812" s="20"/>
      <c r="AB812" s="11" t="str">
        <f t="shared" si="55"/>
        <v xml:space="preserve"> </v>
      </c>
      <c r="AC812" s="12" t="str">
        <f t="shared" si="56"/>
        <v xml:space="preserve"> </v>
      </c>
    </row>
    <row r="813" spans="1:29" ht="20.100000000000001" customHeight="1" x14ac:dyDescent="0.25">
      <c r="A813" s="16"/>
      <c r="B813" s="108"/>
      <c r="C813" s="109"/>
      <c r="D813" s="109"/>
      <c r="E813" s="109"/>
      <c r="F813" s="17"/>
      <c r="G813" s="17"/>
      <c r="H813" s="108"/>
      <c r="I813" s="107"/>
      <c r="J813" s="108"/>
      <c r="K813" s="107"/>
      <c r="L813" s="108"/>
      <c r="M813" s="110"/>
      <c r="N813" s="109"/>
      <c r="O813" s="108"/>
      <c r="P813" s="233"/>
      <c r="Q813" s="239"/>
      <c r="R813" s="19"/>
      <c r="S813" s="20"/>
      <c r="T813" s="9" t="str">
        <f t="shared" si="53"/>
        <v xml:space="preserve"> </v>
      </c>
      <c r="U813" s="18"/>
      <c r="V813" s="21"/>
      <c r="W813" s="22"/>
      <c r="X813" s="197" t="str">
        <f t="shared" si="54"/>
        <v xml:space="preserve"> </v>
      </c>
      <c r="Y813" s="246"/>
      <c r="Z813" s="247"/>
      <c r="AA813" s="20"/>
      <c r="AB813" s="11" t="str">
        <f t="shared" si="55"/>
        <v xml:space="preserve"> </v>
      </c>
      <c r="AC813" s="12" t="str">
        <f t="shared" si="56"/>
        <v xml:space="preserve"> </v>
      </c>
    </row>
    <row r="814" spans="1:29" ht="20.100000000000001" customHeight="1" x14ac:dyDescent="0.25">
      <c r="A814" s="16"/>
      <c r="B814" s="108"/>
      <c r="C814" s="109"/>
      <c r="D814" s="109"/>
      <c r="E814" s="109"/>
      <c r="F814" s="17"/>
      <c r="G814" s="17"/>
      <c r="H814" s="108"/>
      <c r="I814" s="107"/>
      <c r="J814" s="108"/>
      <c r="K814" s="107"/>
      <c r="L814" s="108"/>
      <c r="M814" s="110"/>
      <c r="N814" s="109"/>
      <c r="O814" s="108"/>
      <c r="P814" s="233"/>
      <c r="Q814" s="239"/>
      <c r="R814" s="19"/>
      <c r="S814" s="20"/>
      <c r="T814" s="9" t="str">
        <f t="shared" si="53"/>
        <v xml:space="preserve"> </v>
      </c>
      <c r="U814" s="18"/>
      <c r="V814" s="21"/>
      <c r="W814" s="22"/>
      <c r="X814" s="197" t="str">
        <f t="shared" si="54"/>
        <v xml:space="preserve"> </v>
      </c>
      <c r="Y814" s="246"/>
      <c r="Z814" s="247"/>
      <c r="AA814" s="20"/>
      <c r="AB814" s="11" t="str">
        <f t="shared" si="55"/>
        <v xml:space="preserve"> </v>
      </c>
      <c r="AC814" s="12" t="str">
        <f t="shared" si="56"/>
        <v xml:space="preserve"> </v>
      </c>
    </row>
    <row r="815" spans="1:29" ht="20.100000000000001" customHeight="1" x14ac:dyDescent="0.25">
      <c r="A815" s="16"/>
      <c r="B815" s="108"/>
      <c r="C815" s="109"/>
      <c r="D815" s="109"/>
      <c r="E815" s="109"/>
      <c r="F815" s="17"/>
      <c r="G815" s="17"/>
      <c r="H815" s="108"/>
      <c r="I815" s="107"/>
      <c r="J815" s="108"/>
      <c r="K815" s="107"/>
      <c r="L815" s="108"/>
      <c r="M815" s="110"/>
      <c r="N815" s="109"/>
      <c r="O815" s="108"/>
      <c r="P815" s="233"/>
      <c r="Q815" s="239"/>
      <c r="R815" s="19"/>
      <c r="S815" s="20"/>
      <c r="T815" s="9" t="str">
        <f t="shared" si="53"/>
        <v xml:space="preserve"> </v>
      </c>
      <c r="U815" s="18"/>
      <c r="V815" s="21"/>
      <c r="W815" s="22"/>
      <c r="X815" s="197" t="str">
        <f t="shared" si="54"/>
        <v xml:space="preserve"> </v>
      </c>
      <c r="Y815" s="246"/>
      <c r="Z815" s="247"/>
      <c r="AA815" s="20"/>
      <c r="AB815" s="11" t="str">
        <f t="shared" si="55"/>
        <v xml:space="preserve"> </v>
      </c>
      <c r="AC815" s="12" t="str">
        <f t="shared" si="56"/>
        <v xml:space="preserve"> </v>
      </c>
    </row>
    <row r="816" spans="1:29" ht="20.100000000000001" customHeight="1" x14ac:dyDescent="0.25">
      <c r="A816" s="16"/>
      <c r="B816" s="108"/>
      <c r="C816" s="109"/>
      <c r="D816" s="109"/>
      <c r="E816" s="109"/>
      <c r="F816" s="17"/>
      <c r="G816" s="17"/>
      <c r="H816" s="108"/>
      <c r="I816" s="107"/>
      <c r="J816" s="108"/>
      <c r="K816" s="107"/>
      <c r="L816" s="108"/>
      <c r="M816" s="110"/>
      <c r="N816" s="109"/>
      <c r="O816" s="108"/>
      <c r="P816" s="233"/>
      <c r="Q816" s="239"/>
      <c r="R816" s="19"/>
      <c r="S816" s="20"/>
      <c r="T816" s="9" t="str">
        <f t="shared" si="53"/>
        <v xml:space="preserve"> </v>
      </c>
      <c r="U816" s="18"/>
      <c r="V816" s="21"/>
      <c r="W816" s="22"/>
      <c r="X816" s="197" t="str">
        <f t="shared" si="54"/>
        <v xml:space="preserve"> </v>
      </c>
      <c r="Y816" s="246"/>
      <c r="Z816" s="247"/>
      <c r="AA816" s="20"/>
      <c r="AB816" s="11" t="str">
        <f t="shared" si="55"/>
        <v xml:space="preserve"> </v>
      </c>
      <c r="AC816" s="12" t="str">
        <f t="shared" si="56"/>
        <v xml:space="preserve"> </v>
      </c>
    </row>
    <row r="817" spans="1:29" ht="20.100000000000001" customHeight="1" x14ac:dyDescent="0.25">
      <c r="A817" s="16"/>
      <c r="B817" s="108"/>
      <c r="C817" s="109"/>
      <c r="D817" s="109"/>
      <c r="E817" s="109"/>
      <c r="F817" s="17"/>
      <c r="G817" s="17"/>
      <c r="H817" s="108"/>
      <c r="I817" s="107"/>
      <c r="J817" s="108"/>
      <c r="K817" s="107"/>
      <c r="L817" s="108"/>
      <c r="M817" s="110"/>
      <c r="N817" s="109"/>
      <c r="O817" s="108"/>
      <c r="P817" s="233"/>
      <c r="Q817" s="239"/>
      <c r="R817" s="19"/>
      <c r="S817" s="20"/>
      <c r="T817" s="9" t="str">
        <f t="shared" si="53"/>
        <v xml:space="preserve"> </v>
      </c>
      <c r="U817" s="18"/>
      <c r="V817" s="21"/>
      <c r="W817" s="22"/>
      <c r="X817" s="197" t="str">
        <f t="shared" si="54"/>
        <v xml:space="preserve"> </v>
      </c>
      <c r="Y817" s="246"/>
      <c r="Z817" s="247"/>
      <c r="AA817" s="20"/>
      <c r="AB817" s="11" t="str">
        <f t="shared" si="55"/>
        <v xml:space="preserve"> </v>
      </c>
      <c r="AC817" s="12" t="str">
        <f t="shared" si="56"/>
        <v xml:space="preserve"> </v>
      </c>
    </row>
    <row r="818" spans="1:29" ht="20.100000000000001" customHeight="1" x14ac:dyDescent="0.25">
      <c r="A818" s="16"/>
      <c r="B818" s="108"/>
      <c r="C818" s="109"/>
      <c r="D818" s="109"/>
      <c r="E818" s="109"/>
      <c r="F818" s="17"/>
      <c r="G818" s="17"/>
      <c r="H818" s="108"/>
      <c r="I818" s="107"/>
      <c r="J818" s="108"/>
      <c r="K818" s="107"/>
      <c r="L818" s="108"/>
      <c r="M818" s="110"/>
      <c r="N818" s="109"/>
      <c r="O818" s="108"/>
      <c r="P818" s="233"/>
      <c r="Q818" s="239"/>
      <c r="R818" s="19"/>
      <c r="S818" s="20"/>
      <c r="T818" s="9" t="str">
        <f t="shared" si="53"/>
        <v xml:space="preserve"> </v>
      </c>
      <c r="U818" s="18"/>
      <c r="V818" s="21"/>
      <c r="W818" s="22"/>
      <c r="X818" s="197" t="str">
        <f t="shared" si="54"/>
        <v xml:space="preserve"> </v>
      </c>
      <c r="Y818" s="246"/>
      <c r="Z818" s="247"/>
      <c r="AA818" s="20"/>
      <c r="AB818" s="11" t="str">
        <f t="shared" si="55"/>
        <v xml:space="preserve"> </v>
      </c>
      <c r="AC818" s="12" t="str">
        <f t="shared" si="56"/>
        <v xml:space="preserve"> </v>
      </c>
    </row>
    <row r="819" spans="1:29" ht="20.100000000000001" customHeight="1" x14ac:dyDescent="0.25">
      <c r="A819" s="16"/>
      <c r="B819" s="108"/>
      <c r="C819" s="109"/>
      <c r="D819" s="109"/>
      <c r="E819" s="109"/>
      <c r="F819" s="17"/>
      <c r="G819" s="17"/>
      <c r="H819" s="108"/>
      <c r="I819" s="107"/>
      <c r="J819" s="108"/>
      <c r="K819" s="107"/>
      <c r="L819" s="108"/>
      <c r="M819" s="110"/>
      <c r="N819" s="109"/>
      <c r="O819" s="108"/>
      <c r="P819" s="233"/>
      <c r="Q819" s="239"/>
      <c r="R819" s="19"/>
      <c r="S819" s="20"/>
      <c r="T819" s="9" t="str">
        <f t="shared" si="53"/>
        <v xml:space="preserve"> </v>
      </c>
      <c r="U819" s="18"/>
      <c r="V819" s="21"/>
      <c r="W819" s="22"/>
      <c r="X819" s="197" t="str">
        <f t="shared" si="54"/>
        <v xml:space="preserve"> </v>
      </c>
      <c r="Y819" s="246"/>
      <c r="Z819" s="247"/>
      <c r="AA819" s="20"/>
      <c r="AB819" s="11" t="str">
        <f t="shared" si="55"/>
        <v xml:space="preserve"> </v>
      </c>
      <c r="AC819" s="12" t="str">
        <f t="shared" si="56"/>
        <v xml:space="preserve"> </v>
      </c>
    </row>
    <row r="820" spans="1:29" ht="20.100000000000001" customHeight="1" x14ac:dyDescent="0.25">
      <c r="A820" s="16"/>
      <c r="B820" s="108"/>
      <c r="C820" s="109"/>
      <c r="D820" s="109"/>
      <c r="E820" s="109"/>
      <c r="F820" s="17"/>
      <c r="G820" s="17"/>
      <c r="H820" s="108"/>
      <c r="I820" s="107"/>
      <c r="J820" s="108"/>
      <c r="K820" s="107"/>
      <c r="L820" s="108"/>
      <c r="M820" s="110"/>
      <c r="N820" s="109"/>
      <c r="O820" s="108"/>
      <c r="P820" s="233"/>
      <c r="Q820" s="239"/>
      <c r="R820" s="19"/>
      <c r="S820" s="20"/>
      <c r="T820" s="9" t="str">
        <f t="shared" si="53"/>
        <v xml:space="preserve"> </v>
      </c>
      <c r="U820" s="18"/>
      <c r="V820" s="21"/>
      <c r="W820" s="22"/>
      <c r="X820" s="197" t="str">
        <f t="shared" si="54"/>
        <v xml:space="preserve"> </v>
      </c>
      <c r="Y820" s="246"/>
      <c r="Z820" s="247"/>
      <c r="AA820" s="20"/>
      <c r="AB820" s="11" t="str">
        <f t="shared" si="55"/>
        <v xml:space="preserve"> </v>
      </c>
      <c r="AC820" s="12" t="str">
        <f t="shared" si="56"/>
        <v xml:space="preserve"> </v>
      </c>
    </row>
    <row r="821" spans="1:29" ht="20.100000000000001" customHeight="1" x14ac:dyDescent="0.25">
      <c r="A821" s="16"/>
      <c r="B821" s="108"/>
      <c r="C821" s="109"/>
      <c r="D821" s="109"/>
      <c r="E821" s="109"/>
      <c r="F821" s="17"/>
      <c r="G821" s="17"/>
      <c r="H821" s="108"/>
      <c r="I821" s="107"/>
      <c r="J821" s="108"/>
      <c r="K821" s="107"/>
      <c r="L821" s="108"/>
      <c r="M821" s="110"/>
      <c r="N821" s="109"/>
      <c r="O821" s="108"/>
      <c r="P821" s="233"/>
      <c r="Q821" s="239"/>
      <c r="R821" s="19"/>
      <c r="S821" s="20"/>
      <c r="T821" s="9" t="str">
        <f t="shared" si="53"/>
        <v xml:space="preserve"> </v>
      </c>
      <c r="U821" s="18"/>
      <c r="V821" s="21"/>
      <c r="W821" s="22"/>
      <c r="X821" s="197" t="str">
        <f t="shared" si="54"/>
        <v xml:space="preserve"> </v>
      </c>
      <c r="Y821" s="246"/>
      <c r="Z821" s="247"/>
      <c r="AA821" s="20"/>
      <c r="AB821" s="11" t="str">
        <f t="shared" si="55"/>
        <v xml:space="preserve"> </v>
      </c>
      <c r="AC821" s="12" t="str">
        <f t="shared" si="56"/>
        <v xml:space="preserve"> </v>
      </c>
    </row>
    <row r="822" spans="1:29" ht="20.100000000000001" customHeight="1" x14ac:dyDescent="0.25">
      <c r="A822" s="16"/>
      <c r="B822" s="108"/>
      <c r="C822" s="109"/>
      <c r="D822" s="109"/>
      <c r="E822" s="109"/>
      <c r="F822" s="17"/>
      <c r="G822" s="17"/>
      <c r="H822" s="108"/>
      <c r="I822" s="107"/>
      <c r="J822" s="108"/>
      <c r="K822" s="107"/>
      <c r="L822" s="108"/>
      <c r="M822" s="110"/>
      <c r="N822" s="109"/>
      <c r="O822" s="108"/>
      <c r="P822" s="233"/>
      <c r="Q822" s="239"/>
      <c r="R822" s="19"/>
      <c r="S822" s="20"/>
      <c r="T822" s="9" t="str">
        <f t="shared" si="53"/>
        <v xml:space="preserve"> </v>
      </c>
      <c r="U822" s="18"/>
      <c r="V822" s="21"/>
      <c r="W822" s="22"/>
      <c r="X822" s="197" t="str">
        <f t="shared" si="54"/>
        <v xml:space="preserve"> </v>
      </c>
      <c r="Y822" s="246"/>
      <c r="Z822" s="247"/>
      <c r="AA822" s="20"/>
      <c r="AB822" s="11" t="str">
        <f t="shared" si="55"/>
        <v xml:space="preserve"> </v>
      </c>
      <c r="AC822" s="12" t="str">
        <f t="shared" si="56"/>
        <v xml:space="preserve"> </v>
      </c>
    </row>
    <row r="823" spans="1:29" ht="20.100000000000001" customHeight="1" x14ac:dyDescent="0.25">
      <c r="A823" s="16"/>
      <c r="B823" s="108"/>
      <c r="C823" s="109"/>
      <c r="D823" s="109"/>
      <c r="E823" s="109"/>
      <c r="F823" s="17"/>
      <c r="G823" s="17"/>
      <c r="H823" s="108"/>
      <c r="I823" s="107"/>
      <c r="J823" s="108"/>
      <c r="K823" s="107"/>
      <c r="L823" s="108"/>
      <c r="M823" s="110"/>
      <c r="N823" s="109"/>
      <c r="O823" s="108"/>
      <c r="P823" s="233"/>
      <c r="Q823" s="239"/>
      <c r="R823" s="19"/>
      <c r="S823" s="20"/>
      <c r="T823" s="9" t="str">
        <f t="shared" si="53"/>
        <v xml:space="preserve"> </v>
      </c>
      <c r="U823" s="18"/>
      <c r="V823" s="21"/>
      <c r="W823" s="22"/>
      <c r="X823" s="197" t="str">
        <f t="shared" si="54"/>
        <v xml:space="preserve"> </v>
      </c>
      <c r="Y823" s="246"/>
      <c r="Z823" s="247"/>
      <c r="AA823" s="20"/>
      <c r="AB823" s="11" t="str">
        <f t="shared" si="55"/>
        <v xml:space="preserve"> </v>
      </c>
      <c r="AC823" s="12" t="str">
        <f t="shared" si="56"/>
        <v xml:space="preserve"> </v>
      </c>
    </row>
    <row r="824" spans="1:29" ht="20.100000000000001" customHeight="1" x14ac:dyDescent="0.25">
      <c r="A824" s="16"/>
      <c r="B824" s="108"/>
      <c r="C824" s="109"/>
      <c r="D824" s="109"/>
      <c r="E824" s="109"/>
      <c r="F824" s="17"/>
      <c r="G824" s="17"/>
      <c r="H824" s="108"/>
      <c r="I824" s="107"/>
      <c r="J824" s="108"/>
      <c r="K824" s="107"/>
      <c r="L824" s="108"/>
      <c r="M824" s="110"/>
      <c r="N824" s="109"/>
      <c r="O824" s="108"/>
      <c r="P824" s="233"/>
      <c r="Q824" s="239"/>
      <c r="R824" s="19"/>
      <c r="S824" s="20"/>
      <c r="T824" s="9" t="str">
        <f t="shared" si="53"/>
        <v xml:space="preserve"> </v>
      </c>
      <c r="U824" s="18"/>
      <c r="V824" s="21"/>
      <c r="W824" s="22"/>
      <c r="X824" s="197" t="str">
        <f t="shared" si="54"/>
        <v xml:space="preserve"> </v>
      </c>
      <c r="Y824" s="246"/>
      <c r="Z824" s="247"/>
      <c r="AA824" s="20"/>
      <c r="AB824" s="11" t="str">
        <f t="shared" si="55"/>
        <v xml:space="preserve"> </v>
      </c>
      <c r="AC824" s="12" t="str">
        <f t="shared" si="56"/>
        <v xml:space="preserve"> </v>
      </c>
    </row>
    <row r="825" spans="1:29" ht="20.100000000000001" customHeight="1" x14ac:dyDescent="0.25">
      <c r="A825" s="16"/>
      <c r="B825" s="108"/>
      <c r="C825" s="109"/>
      <c r="D825" s="109"/>
      <c r="E825" s="109"/>
      <c r="F825" s="17"/>
      <c r="G825" s="17"/>
      <c r="H825" s="108"/>
      <c r="I825" s="107"/>
      <c r="J825" s="108"/>
      <c r="K825" s="107"/>
      <c r="L825" s="108"/>
      <c r="M825" s="110"/>
      <c r="N825" s="109"/>
      <c r="O825" s="108"/>
      <c r="P825" s="233"/>
      <c r="Q825" s="239"/>
      <c r="R825" s="19"/>
      <c r="S825" s="20"/>
      <c r="T825" s="9" t="str">
        <f t="shared" si="53"/>
        <v xml:space="preserve"> </v>
      </c>
      <c r="U825" s="18"/>
      <c r="V825" s="21"/>
      <c r="W825" s="22"/>
      <c r="X825" s="197" t="str">
        <f t="shared" si="54"/>
        <v xml:space="preserve"> </v>
      </c>
      <c r="Y825" s="246"/>
      <c r="Z825" s="247"/>
      <c r="AA825" s="20"/>
      <c r="AB825" s="11" t="str">
        <f t="shared" si="55"/>
        <v xml:space="preserve"> </v>
      </c>
      <c r="AC825" s="12" t="str">
        <f t="shared" si="56"/>
        <v xml:space="preserve"> </v>
      </c>
    </row>
    <row r="826" spans="1:29" ht="20.100000000000001" customHeight="1" x14ac:dyDescent="0.25">
      <c r="A826" s="16"/>
      <c r="B826" s="108"/>
      <c r="C826" s="109"/>
      <c r="D826" s="109"/>
      <c r="E826" s="109"/>
      <c r="F826" s="17"/>
      <c r="G826" s="17"/>
      <c r="H826" s="108"/>
      <c r="I826" s="107"/>
      <c r="J826" s="108"/>
      <c r="K826" s="107"/>
      <c r="L826" s="108"/>
      <c r="M826" s="110"/>
      <c r="N826" s="109"/>
      <c r="O826" s="108"/>
      <c r="P826" s="233"/>
      <c r="Q826" s="239"/>
      <c r="R826" s="19"/>
      <c r="S826" s="20"/>
      <c r="T826" s="9" t="str">
        <f t="shared" si="53"/>
        <v xml:space="preserve"> </v>
      </c>
      <c r="U826" s="18"/>
      <c r="V826" s="21"/>
      <c r="W826" s="22"/>
      <c r="X826" s="197" t="str">
        <f t="shared" si="54"/>
        <v xml:space="preserve"> </v>
      </c>
      <c r="Y826" s="246"/>
      <c r="Z826" s="247"/>
      <c r="AA826" s="20"/>
      <c r="AB826" s="11" t="str">
        <f t="shared" si="55"/>
        <v xml:space="preserve"> </v>
      </c>
      <c r="AC826" s="12" t="str">
        <f t="shared" si="56"/>
        <v xml:space="preserve"> </v>
      </c>
    </row>
    <row r="827" spans="1:29" ht="20.100000000000001" customHeight="1" x14ac:dyDescent="0.25">
      <c r="A827" s="16"/>
      <c r="B827" s="108"/>
      <c r="C827" s="109"/>
      <c r="D827" s="109"/>
      <c r="E827" s="109"/>
      <c r="F827" s="17"/>
      <c r="G827" s="17"/>
      <c r="H827" s="108"/>
      <c r="I827" s="107"/>
      <c r="J827" s="108"/>
      <c r="K827" s="107"/>
      <c r="L827" s="108"/>
      <c r="M827" s="110"/>
      <c r="N827" s="109"/>
      <c r="O827" s="108"/>
      <c r="P827" s="233"/>
      <c r="Q827" s="239"/>
      <c r="R827" s="19"/>
      <c r="S827" s="20"/>
      <c r="T827" s="9" t="str">
        <f t="shared" si="53"/>
        <v xml:space="preserve"> </v>
      </c>
      <c r="U827" s="18"/>
      <c r="V827" s="21"/>
      <c r="W827" s="22"/>
      <c r="X827" s="197" t="str">
        <f t="shared" si="54"/>
        <v xml:space="preserve"> </v>
      </c>
      <c r="Y827" s="246"/>
      <c r="Z827" s="247"/>
      <c r="AA827" s="20"/>
      <c r="AB827" s="11" t="str">
        <f t="shared" si="55"/>
        <v xml:space="preserve"> </v>
      </c>
      <c r="AC827" s="12" t="str">
        <f t="shared" si="56"/>
        <v xml:space="preserve"> </v>
      </c>
    </row>
    <row r="828" spans="1:29" ht="20.100000000000001" customHeight="1" x14ac:dyDescent="0.25">
      <c r="A828" s="16"/>
      <c r="B828" s="108"/>
      <c r="C828" s="109"/>
      <c r="D828" s="109"/>
      <c r="E828" s="109"/>
      <c r="F828" s="17"/>
      <c r="G828" s="17"/>
      <c r="H828" s="108"/>
      <c r="I828" s="107"/>
      <c r="J828" s="108"/>
      <c r="K828" s="107"/>
      <c r="L828" s="108"/>
      <c r="M828" s="110"/>
      <c r="N828" s="109"/>
      <c r="O828" s="108"/>
      <c r="P828" s="233"/>
      <c r="Q828" s="239"/>
      <c r="R828" s="19"/>
      <c r="S828" s="20"/>
      <c r="T828" s="9" t="str">
        <f t="shared" si="53"/>
        <v xml:space="preserve"> </v>
      </c>
      <c r="U828" s="18"/>
      <c r="V828" s="21"/>
      <c r="W828" s="22"/>
      <c r="X828" s="197" t="str">
        <f t="shared" si="54"/>
        <v xml:space="preserve"> </v>
      </c>
      <c r="Y828" s="246"/>
      <c r="Z828" s="247"/>
      <c r="AA828" s="20"/>
      <c r="AB828" s="11" t="str">
        <f t="shared" si="55"/>
        <v xml:space="preserve"> </v>
      </c>
      <c r="AC828" s="12" t="str">
        <f t="shared" si="56"/>
        <v xml:space="preserve"> </v>
      </c>
    </row>
    <row r="829" spans="1:29" ht="20.100000000000001" customHeight="1" x14ac:dyDescent="0.25">
      <c r="A829" s="16"/>
      <c r="B829" s="108"/>
      <c r="C829" s="109"/>
      <c r="D829" s="109"/>
      <c r="E829" s="109"/>
      <c r="F829" s="17"/>
      <c r="G829" s="17"/>
      <c r="H829" s="108"/>
      <c r="I829" s="107"/>
      <c r="J829" s="108"/>
      <c r="K829" s="107"/>
      <c r="L829" s="108"/>
      <c r="M829" s="110"/>
      <c r="N829" s="109"/>
      <c r="O829" s="108"/>
      <c r="P829" s="233"/>
      <c r="Q829" s="239"/>
      <c r="R829" s="19"/>
      <c r="S829" s="20"/>
      <c r="T829" s="9" t="str">
        <f t="shared" si="53"/>
        <v xml:space="preserve"> </v>
      </c>
      <c r="U829" s="18"/>
      <c r="V829" s="21"/>
      <c r="W829" s="22"/>
      <c r="X829" s="197" t="str">
        <f t="shared" si="54"/>
        <v xml:space="preserve"> </v>
      </c>
      <c r="Y829" s="246"/>
      <c r="Z829" s="247"/>
      <c r="AA829" s="20"/>
      <c r="AB829" s="11" t="str">
        <f t="shared" si="55"/>
        <v xml:space="preserve"> </v>
      </c>
      <c r="AC829" s="12" t="str">
        <f t="shared" si="56"/>
        <v xml:space="preserve"> </v>
      </c>
    </row>
    <row r="830" spans="1:29" ht="20.100000000000001" customHeight="1" x14ac:dyDescent="0.25">
      <c r="A830" s="16"/>
      <c r="B830" s="108"/>
      <c r="C830" s="109"/>
      <c r="D830" s="109"/>
      <c r="E830" s="109"/>
      <c r="F830" s="17"/>
      <c r="G830" s="17"/>
      <c r="H830" s="108"/>
      <c r="I830" s="107"/>
      <c r="J830" s="108"/>
      <c r="K830" s="107"/>
      <c r="L830" s="108"/>
      <c r="M830" s="110"/>
      <c r="N830" s="109"/>
      <c r="O830" s="108"/>
      <c r="P830" s="233"/>
      <c r="Q830" s="239"/>
      <c r="R830" s="19"/>
      <c r="S830" s="20"/>
      <c r="T830" s="9" t="str">
        <f t="shared" si="53"/>
        <v xml:space="preserve"> </v>
      </c>
      <c r="U830" s="18"/>
      <c r="V830" s="21"/>
      <c r="W830" s="22"/>
      <c r="X830" s="197" t="str">
        <f t="shared" si="54"/>
        <v xml:space="preserve"> </v>
      </c>
      <c r="Y830" s="246"/>
      <c r="Z830" s="247"/>
      <c r="AA830" s="20"/>
      <c r="AB830" s="11" t="str">
        <f t="shared" si="55"/>
        <v xml:space="preserve"> </v>
      </c>
      <c r="AC830" s="12" t="str">
        <f t="shared" si="56"/>
        <v xml:space="preserve"> </v>
      </c>
    </row>
    <row r="831" spans="1:29" ht="20.100000000000001" customHeight="1" x14ac:dyDescent="0.25">
      <c r="A831" s="16"/>
      <c r="B831" s="108"/>
      <c r="C831" s="109"/>
      <c r="D831" s="109"/>
      <c r="E831" s="109"/>
      <c r="F831" s="17"/>
      <c r="G831" s="17"/>
      <c r="H831" s="108"/>
      <c r="I831" s="107"/>
      <c r="J831" s="108"/>
      <c r="K831" s="107"/>
      <c r="L831" s="108"/>
      <c r="M831" s="110"/>
      <c r="N831" s="109"/>
      <c r="O831" s="108"/>
      <c r="P831" s="233"/>
      <c r="Q831" s="239"/>
      <c r="R831" s="19"/>
      <c r="S831" s="20"/>
      <c r="T831" s="9" t="str">
        <f t="shared" si="53"/>
        <v xml:space="preserve"> </v>
      </c>
      <c r="U831" s="18"/>
      <c r="V831" s="21"/>
      <c r="W831" s="22"/>
      <c r="X831" s="197" t="str">
        <f t="shared" si="54"/>
        <v xml:space="preserve"> </v>
      </c>
      <c r="Y831" s="246"/>
      <c r="Z831" s="247"/>
      <c r="AA831" s="20"/>
      <c r="AB831" s="11" t="str">
        <f t="shared" si="55"/>
        <v xml:space="preserve"> </v>
      </c>
      <c r="AC831" s="12" t="str">
        <f t="shared" si="56"/>
        <v xml:space="preserve"> </v>
      </c>
    </row>
    <row r="832" spans="1:29" ht="20.100000000000001" customHeight="1" x14ac:dyDescent="0.25">
      <c r="A832" s="16"/>
      <c r="B832" s="108"/>
      <c r="C832" s="109"/>
      <c r="D832" s="109"/>
      <c r="E832" s="109"/>
      <c r="F832" s="17"/>
      <c r="G832" s="17"/>
      <c r="H832" s="108"/>
      <c r="I832" s="107"/>
      <c r="J832" s="108"/>
      <c r="K832" s="107"/>
      <c r="L832" s="108"/>
      <c r="M832" s="110"/>
      <c r="N832" s="109"/>
      <c r="O832" s="108"/>
      <c r="P832" s="233"/>
      <c r="Q832" s="239"/>
      <c r="R832" s="19"/>
      <c r="S832" s="20"/>
      <c r="T832" s="9" t="str">
        <f t="shared" si="53"/>
        <v xml:space="preserve"> </v>
      </c>
      <c r="U832" s="18"/>
      <c r="V832" s="21"/>
      <c r="W832" s="22"/>
      <c r="X832" s="197" t="str">
        <f t="shared" si="54"/>
        <v xml:space="preserve"> </v>
      </c>
      <c r="Y832" s="246"/>
      <c r="Z832" s="247"/>
      <c r="AA832" s="20"/>
      <c r="AB832" s="11" t="str">
        <f t="shared" si="55"/>
        <v xml:space="preserve"> </v>
      </c>
      <c r="AC832" s="12" t="str">
        <f t="shared" si="56"/>
        <v xml:space="preserve"> </v>
      </c>
    </row>
    <row r="833" spans="1:29" ht="20.100000000000001" customHeight="1" x14ac:dyDescent="0.25">
      <c r="A833" s="16"/>
      <c r="B833" s="108"/>
      <c r="C833" s="109"/>
      <c r="D833" s="109"/>
      <c r="E833" s="109"/>
      <c r="F833" s="17"/>
      <c r="G833" s="17"/>
      <c r="H833" s="108"/>
      <c r="I833" s="107"/>
      <c r="J833" s="108"/>
      <c r="K833" s="107"/>
      <c r="L833" s="108"/>
      <c r="M833" s="110"/>
      <c r="N833" s="109"/>
      <c r="O833" s="108"/>
      <c r="P833" s="233"/>
      <c r="Q833" s="239"/>
      <c r="R833" s="19"/>
      <c r="S833" s="20"/>
      <c r="T833" s="9" t="str">
        <f t="shared" si="53"/>
        <v xml:space="preserve"> </v>
      </c>
      <c r="U833" s="18"/>
      <c r="V833" s="21"/>
      <c r="W833" s="22"/>
      <c r="X833" s="197" t="str">
        <f t="shared" si="54"/>
        <v xml:space="preserve"> </v>
      </c>
      <c r="Y833" s="246"/>
      <c r="Z833" s="247"/>
      <c r="AA833" s="20"/>
      <c r="AB833" s="11" t="str">
        <f t="shared" si="55"/>
        <v xml:space="preserve"> </v>
      </c>
      <c r="AC833" s="12" t="str">
        <f t="shared" si="56"/>
        <v xml:space="preserve"> </v>
      </c>
    </row>
    <row r="834" spans="1:29" ht="20.100000000000001" customHeight="1" x14ac:dyDescent="0.25">
      <c r="A834" s="16"/>
      <c r="B834" s="108"/>
      <c r="C834" s="109"/>
      <c r="D834" s="109"/>
      <c r="E834" s="109"/>
      <c r="F834" s="17"/>
      <c r="G834" s="17"/>
      <c r="H834" s="108"/>
      <c r="I834" s="107"/>
      <c r="J834" s="108"/>
      <c r="K834" s="107"/>
      <c r="L834" s="108"/>
      <c r="M834" s="110"/>
      <c r="N834" s="109"/>
      <c r="O834" s="108"/>
      <c r="P834" s="233"/>
      <c r="Q834" s="239"/>
      <c r="R834" s="19"/>
      <c r="S834" s="20"/>
      <c r="T834" s="9" t="str">
        <f t="shared" si="53"/>
        <v xml:space="preserve"> </v>
      </c>
      <c r="U834" s="18"/>
      <c r="V834" s="21"/>
      <c r="W834" s="22"/>
      <c r="X834" s="197" t="str">
        <f t="shared" si="54"/>
        <v xml:space="preserve"> </v>
      </c>
      <c r="Y834" s="246"/>
      <c r="Z834" s="247"/>
      <c r="AA834" s="20"/>
      <c r="AB834" s="11" t="str">
        <f t="shared" si="55"/>
        <v xml:space="preserve"> </v>
      </c>
      <c r="AC834" s="12" t="str">
        <f t="shared" si="56"/>
        <v xml:space="preserve"> </v>
      </c>
    </row>
    <row r="835" spans="1:29" ht="20.100000000000001" customHeight="1" x14ac:dyDescent="0.25">
      <c r="A835" s="16"/>
      <c r="B835" s="108"/>
      <c r="C835" s="109"/>
      <c r="D835" s="109"/>
      <c r="E835" s="109"/>
      <c r="F835" s="17"/>
      <c r="G835" s="17"/>
      <c r="H835" s="108"/>
      <c r="I835" s="107"/>
      <c r="J835" s="108"/>
      <c r="K835" s="107"/>
      <c r="L835" s="108"/>
      <c r="M835" s="110"/>
      <c r="N835" s="109"/>
      <c r="O835" s="108"/>
      <c r="P835" s="233"/>
      <c r="Q835" s="239"/>
      <c r="R835" s="19"/>
      <c r="S835" s="20"/>
      <c r="T835" s="9" t="str">
        <f t="shared" si="53"/>
        <v xml:space="preserve"> </v>
      </c>
      <c r="U835" s="18"/>
      <c r="V835" s="21"/>
      <c r="W835" s="22"/>
      <c r="X835" s="197" t="str">
        <f t="shared" si="54"/>
        <v xml:space="preserve"> </v>
      </c>
      <c r="Y835" s="246"/>
      <c r="Z835" s="247"/>
      <c r="AA835" s="20"/>
      <c r="AB835" s="11" t="str">
        <f t="shared" si="55"/>
        <v xml:space="preserve"> </v>
      </c>
      <c r="AC835" s="12" t="str">
        <f t="shared" si="56"/>
        <v xml:space="preserve"> </v>
      </c>
    </row>
    <row r="836" spans="1:29" ht="20.100000000000001" customHeight="1" x14ac:dyDescent="0.25">
      <c r="A836" s="16"/>
      <c r="B836" s="108"/>
      <c r="C836" s="109"/>
      <c r="D836" s="109"/>
      <c r="E836" s="109"/>
      <c r="F836" s="17"/>
      <c r="G836" s="17"/>
      <c r="H836" s="108"/>
      <c r="I836" s="107"/>
      <c r="J836" s="108"/>
      <c r="K836" s="107"/>
      <c r="L836" s="108"/>
      <c r="M836" s="110"/>
      <c r="N836" s="109"/>
      <c r="O836" s="108"/>
      <c r="P836" s="233"/>
      <c r="Q836" s="239"/>
      <c r="R836" s="19"/>
      <c r="S836" s="20"/>
      <c r="T836" s="9" t="str">
        <f t="shared" ref="T836:T899" si="57">IF(ISBLANK(R836)," ",((ROUND(S836,2)-(ROUND(R836,2)))/(ROUND(R836,2))))</f>
        <v xml:space="preserve"> </v>
      </c>
      <c r="U836" s="18"/>
      <c r="V836" s="21"/>
      <c r="W836" s="22"/>
      <c r="X836" s="197" t="str">
        <f t="shared" ref="X836:X899" si="58">IF(ISBLANK(R836)," ",((ROUND(W836,2))-(ROUND(R836,2)))/(ROUND(R836,2)))</f>
        <v xml:space="preserve"> </v>
      </c>
      <c r="Y836" s="246"/>
      <c r="Z836" s="247"/>
      <c r="AA836" s="20"/>
      <c r="AB836" s="11" t="str">
        <f t="shared" ref="AB836:AB899" si="59">IF(ISBLANK(R836)," ",((ROUND(AA836,2))-(ROUND(R836,2)))/(ROUND(R836,2)))</f>
        <v xml:space="preserve"> </v>
      </c>
      <c r="AC836" s="12" t="str">
        <f t="shared" ref="AC836:AC899" si="60">IF(ISBLANK(AA836)," ",(ROUND(AA836,2)/0.995))</f>
        <v xml:space="preserve"> </v>
      </c>
    </row>
    <row r="837" spans="1:29" ht="20.100000000000001" customHeight="1" x14ac:dyDescent="0.25">
      <c r="A837" s="16"/>
      <c r="B837" s="108"/>
      <c r="C837" s="109"/>
      <c r="D837" s="109"/>
      <c r="E837" s="109"/>
      <c r="F837" s="17"/>
      <c r="G837" s="17"/>
      <c r="H837" s="108"/>
      <c r="I837" s="107"/>
      <c r="J837" s="108"/>
      <c r="K837" s="107"/>
      <c r="L837" s="108"/>
      <c r="M837" s="110"/>
      <c r="N837" s="109"/>
      <c r="O837" s="108"/>
      <c r="P837" s="233"/>
      <c r="Q837" s="239"/>
      <c r="R837" s="19"/>
      <c r="S837" s="20"/>
      <c r="T837" s="9" t="str">
        <f t="shared" si="57"/>
        <v xml:space="preserve"> </v>
      </c>
      <c r="U837" s="18"/>
      <c r="V837" s="21"/>
      <c r="W837" s="22"/>
      <c r="X837" s="197" t="str">
        <f t="shared" si="58"/>
        <v xml:space="preserve"> </v>
      </c>
      <c r="Y837" s="246"/>
      <c r="Z837" s="247"/>
      <c r="AA837" s="20"/>
      <c r="AB837" s="11" t="str">
        <f t="shared" si="59"/>
        <v xml:space="preserve"> </v>
      </c>
      <c r="AC837" s="12" t="str">
        <f t="shared" si="60"/>
        <v xml:space="preserve"> </v>
      </c>
    </row>
    <row r="838" spans="1:29" ht="20.100000000000001" customHeight="1" x14ac:dyDescent="0.25">
      <c r="A838" s="16"/>
      <c r="B838" s="108"/>
      <c r="C838" s="109"/>
      <c r="D838" s="109"/>
      <c r="E838" s="109"/>
      <c r="F838" s="17"/>
      <c r="G838" s="17"/>
      <c r="H838" s="108"/>
      <c r="I838" s="107"/>
      <c r="J838" s="108"/>
      <c r="K838" s="107"/>
      <c r="L838" s="108"/>
      <c r="M838" s="110"/>
      <c r="N838" s="109"/>
      <c r="O838" s="108"/>
      <c r="P838" s="233"/>
      <c r="Q838" s="239"/>
      <c r="R838" s="19"/>
      <c r="S838" s="20"/>
      <c r="T838" s="9" t="str">
        <f t="shared" si="57"/>
        <v xml:space="preserve"> </v>
      </c>
      <c r="U838" s="18"/>
      <c r="V838" s="21"/>
      <c r="W838" s="22"/>
      <c r="X838" s="197" t="str">
        <f t="shared" si="58"/>
        <v xml:space="preserve"> </v>
      </c>
      <c r="Y838" s="246"/>
      <c r="Z838" s="247"/>
      <c r="AA838" s="20"/>
      <c r="AB838" s="11" t="str">
        <f t="shared" si="59"/>
        <v xml:space="preserve"> </v>
      </c>
      <c r="AC838" s="12" t="str">
        <f t="shared" si="60"/>
        <v xml:space="preserve"> </v>
      </c>
    </row>
    <row r="839" spans="1:29" ht="20.100000000000001" customHeight="1" x14ac:dyDescent="0.25">
      <c r="A839" s="16"/>
      <c r="B839" s="108"/>
      <c r="C839" s="109"/>
      <c r="D839" s="109"/>
      <c r="E839" s="109"/>
      <c r="F839" s="17"/>
      <c r="G839" s="17"/>
      <c r="H839" s="108"/>
      <c r="I839" s="107"/>
      <c r="J839" s="108"/>
      <c r="K839" s="107"/>
      <c r="L839" s="108"/>
      <c r="M839" s="110"/>
      <c r="N839" s="109"/>
      <c r="O839" s="108"/>
      <c r="P839" s="233"/>
      <c r="Q839" s="239"/>
      <c r="R839" s="19"/>
      <c r="S839" s="20"/>
      <c r="T839" s="9" t="str">
        <f t="shared" si="57"/>
        <v xml:space="preserve"> </v>
      </c>
      <c r="U839" s="18"/>
      <c r="V839" s="21"/>
      <c r="W839" s="22"/>
      <c r="X839" s="197" t="str">
        <f t="shared" si="58"/>
        <v xml:space="preserve"> </v>
      </c>
      <c r="Y839" s="246"/>
      <c r="Z839" s="247"/>
      <c r="AA839" s="20"/>
      <c r="AB839" s="11" t="str">
        <f t="shared" si="59"/>
        <v xml:space="preserve"> </v>
      </c>
      <c r="AC839" s="12" t="str">
        <f t="shared" si="60"/>
        <v xml:space="preserve"> </v>
      </c>
    </row>
    <row r="840" spans="1:29" ht="20.100000000000001" customHeight="1" x14ac:dyDescent="0.25">
      <c r="A840" s="16"/>
      <c r="B840" s="108"/>
      <c r="C840" s="109"/>
      <c r="D840" s="109"/>
      <c r="E840" s="109"/>
      <c r="F840" s="17"/>
      <c r="G840" s="17"/>
      <c r="H840" s="108"/>
      <c r="I840" s="107"/>
      <c r="J840" s="108"/>
      <c r="K840" s="107"/>
      <c r="L840" s="108"/>
      <c r="M840" s="110"/>
      <c r="N840" s="109"/>
      <c r="O840" s="108"/>
      <c r="P840" s="233"/>
      <c r="Q840" s="239"/>
      <c r="R840" s="19"/>
      <c r="S840" s="20"/>
      <c r="T840" s="9" t="str">
        <f t="shared" si="57"/>
        <v xml:space="preserve"> </v>
      </c>
      <c r="U840" s="18"/>
      <c r="V840" s="21"/>
      <c r="W840" s="22"/>
      <c r="X840" s="197" t="str">
        <f t="shared" si="58"/>
        <v xml:space="preserve"> </v>
      </c>
      <c r="Y840" s="246"/>
      <c r="Z840" s="247"/>
      <c r="AA840" s="20"/>
      <c r="AB840" s="11" t="str">
        <f t="shared" si="59"/>
        <v xml:space="preserve"> </v>
      </c>
      <c r="AC840" s="12" t="str">
        <f t="shared" si="60"/>
        <v xml:space="preserve"> </v>
      </c>
    </row>
    <row r="841" spans="1:29" ht="20.100000000000001" customHeight="1" x14ac:dyDescent="0.25">
      <c r="A841" s="16"/>
      <c r="B841" s="108"/>
      <c r="C841" s="109"/>
      <c r="D841" s="109"/>
      <c r="E841" s="109"/>
      <c r="F841" s="17"/>
      <c r="G841" s="17"/>
      <c r="H841" s="108"/>
      <c r="I841" s="107"/>
      <c r="J841" s="108"/>
      <c r="K841" s="107"/>
      <c r="L841" s="108"/>
      <c r="M841" s="110"/>
      <c r="N841" s="109"/>
      <c r="O841" s="108"/>
      <c r="P841" s="233"/>
      <c r="Q841" s="239"/>
      <c r="R841" s="19"/>
      <c r="S841" s="20"/>
      <c r="T841" s="9" t="str">
        <f t="shared" si="57"/>
        <v xml:space="preserve"> </v>
      </c>
      <c r="U841" s="18"/>
      <c r="V841" s="21"/>
      <c r="W841" s="22"/>
      <c r="X841" s="197" t="str">
        <f t="shared" si="58"/>
        <v xml:space="preserve"> </v>
      </c>
      <c r="Y841" s="246"/>
      <c r="Z841" s="247"/>
      <c r="AA841" s="20"/>
      <c r="AB841" s="11" t="str">
        <f t="shared" si="59"/>
        <v xml:space="preserve"> </v>
      </c>
      <c r="AC841" s="12" t="str">
        <f t="shared" si="60"/>
        <v xml:space="preserve"> </v>
      </c>
    </row>
    <row r="842" spans="1:29" ht="20.100000000000001" customHeight="1" x14ac:dyDescent="0.25">
      <c r="A842" s="16"/>
      <c r="B842" s="108"/>
      <c r="C842" s="109"/>
      <c r="D842" s="109"/>
      <c r="E842" s="109"/>
      <c r="F842" s="17"/>
      <c r="G842" s="17"/>
      <c r="H842" s="108"/>
      <c r="I842" s="107"/>
      <c r="J842" s="108"/>
      <c r="K842" s="107"/>
      <c r="L842" s="108"/>
      <c r="M842" s="110"/>
      <c r="N842" s="109"/>
      <c r="O842" s="108"/>
      <c r="P842" s="233"/>
      <c r="Q842" s="239"/>
      <c r="R842" s="19"/>
      <c r="S842" s="20"/>
      <c r="T842" s="9" t="str">
        <f t="shared" si="57"/>
        <v xml:space="preserve"> </v>
      </c>
      <c r="U842" s="18"/>
      <c r="V842" s="21"/>
      <c r="W842" s="22"/>
      <c r="X842" s="197" t="str">
        <f t="shared" si="58"/>
        <v xml:space="preserve"> </v>
      </c>
      <c r="Y842" s="246"/>
      <c r="Z842" s="247"/>
      <c r="AA842" s="20"/>
      <c r="AB842" s="11" t="str">
        <f t="shared" si="59"/>
        <v xml:space="preserve"> </v>
      </c>
      <c r="AC842" s="12" t="str">
        <f t="shared" si="60"/>
        <v xml:space="preserve"> </v>
      </c>
    </row>
    <row r="843" spans="1:29" ht="20.100000000000001" customHeight="1" x14ac:dyDescent="0.25">
      <c r="A843" s="16"/>
      <c r="B843" s="108"/>
      <c r="C843" s="109"/>
      <c r="D843" s="109"/>
      <c r="E843" s="109"/>
      <c r="F843" s="17"/>
      <c r="G843" s="17"/>
      <c r="H843" s="108"/>
      <c r="I843" s="107"/>
      <c r="J843" s="108"/>
      <c r="K843" s="107"/>
      <c r="L843" s="108"/>
      <c r="M843" s="110"/>
      <c r="N843" s="109"/>
      <c r="O843" s="108"/>
      <c r="P843" s="233"/>
      <c r="Q843" s="239"/>
      <c r="R843" s="19"/>
      <c r="S843" s="20"/>
      <c r="T843" s="9" t="str">
        <f t="shared" si="57"/>
        <v xml:space="preserve"> </v>
      </c>
      <c r="U843" s="18"/>
      <c r="V843" s="21"/>
      <c r="W843" s="22"/>
      <c r="X843" s="197" t="str">
        <f t="shared" si="58"/>
        <v xml:space="preserve"> </v>
      </c>
      <c r="Y843" s="246"/>
      <c r="Z843" s="247"/>
      <c r="AA843" s="20"/>
      <c r="AB843" s="11" t="str">
        <f t="shared" si="59"/>
        <v xml:space="preserve"> </v>
      </c>
      <c r="AC843" s="12" t="str">
        <f t="shared" si="60"/>
        <v xml:space="preserve"> </v>
      </c>
    </row>
    <row r="844" spans="1:29" ht="20.100000000000001" customHeight="1" x14ac:dyDescent="0.25">
      <c r="A844" s="16"/>
      <c r="B844" s="108"/>
      <c r="C844" s="109"/>
      <c r="D844" s="109"/>
      <c r="E844" s="109"/>
      <c r="F844" s="17"/>
      <c r="G844" s="17"/>
      <c r="H844" s="108"/>
      <c r="I844" s="107"/>
      <c r="J844" s="108"/>
      <c r="K844" s="107"/>
      <c r="L844" s="108"/>
      <c r="M844" s="110"/>
      <c r="N844" s="109"/>
      <c r="O844" s="108"/>
      <c r="P844" s="233"/>
      <c r="Q844" s="239"/>
      <c r="R844" s="19"/>
      <c r="S844" s="20"/>
      <c r="T844" s="9" t="str">
        <f t="shared" si="57"/>
        <v xml:space="preserve"> </v>
      </c>
      <c r="U844" s="18"/>
      <c r="V844" s="21"/>
      <c r="W844" s="22"/>
      <c r="X844" s="197" t="str">
        <f t="shared" si="58"/>
        <v xml:space="preserve"> </v>
      </c>
      <c r="Y844" s="246"/>
      <c r="Z844" s="247"/>
      <c r="AA844" s="20"/>
      <c r="AB844" s="11" t="str">
        <f t="shared" si="59"/>
        <v xml:space="preserve"> </v>
      </c>
      <c r="AC844" s="12" t="str">
        <f t="shared" si="60"/>
        <v xml:space="preserve"> </v>
      </c>
    </row>
    <row r="845" spans="1:29" ht="20.100000000000001" customHeight="1" x14ac:dyDescent="0.25">
      <c r="A845" s="16"/>
      <c r="B845" s="108"/>
      <c r="C845" s="109"/>
      <c r="D845" s="109"/>
      <c r="E845" s="109"/>
      <c r="F845" s="17"/>
      <c r="G845" s="17"/>
      <c r="H845" s="108"/>
      <c r="I845" s="107"/>
      <c r="J845" s="108"/>
      <c r="K845" s="107"/>
      <c r="L845" s="108"/>
      <c r="M845" s="110"/>
      <c r="N845" s="109"/>
      <c r="O845" s="108"/>
      <c r="P845" s="233"/>
      <c r="Q845" s="239"/>
      <c r="R845" s="19"/>
      <c r="S845" s="20"/>
      <c r="T845" s="9" t="str">
        <f t="shared" si="57"/>
        <v xml:space="preserve"> </v>
      </c>
      <c r="U845" s="18"/>
      <c r="V845" s="21"/>
      <c r="W845" s="22"/>
      <c r="X845" s="197" t="str">
        <f t="shared" si="58"/>
        <v xml:space="preserve"> </v>
      </c>
      <c r="Y845" s="246"/>
      <c r="Z845" s="247"/>
      <c r="AA845" s="20"/>
      <c r="AB845" s="11" t="str">
        <f t="shared" si="59"/>
        <v xml:space="preserve"> </v>
      </c>
      <c r="AC845" s="12" t="str">
        <f t="shared" si="60"/>
        <v xml:space="preserve"> </v>
      </c>
    </row>
    <row r="846" spans="1:29" ht="20.100000000000001" customHeight="1" x14ac:dyDescent="0.25">
      <c r="A846" s="16"/>
      <c r="B846" s="108"/>
      <c r="C846" s="109"/>
      <c r="D846" s="109"/>
      <c r="E846" s="109"/>
      <c r="F846" s="17"/>
      <c r="G846" s="17"/>
      <c r="H846" s="108"/>
      <c r="I846" s="107"/>
      <c r="J846" s="108"/>
      <c r="K846" s="107"/>
      <c r="L846" s="108"/>
      <c r="M846" s="110"/>
      <c r="N846" s="109"/>
      <c r="O846" s="108"/>
      <c r="P846" s="233"/>
      <c r="Q846" s="239"/>
      <c r="R846" s="19"/>
      <c r="S846" s="20"/>
      <c r="T846" s="9" t="str">
        <f t="shared" si="57"/>
        <v xml:space="preserve"> </v>
      </c>
      <c r="U846" s="18"/>
      <c r="V846" s="21"/>
      <c r="W846" s="22"/>
      <c r="X846" s="197" t="str">
        <f t="shared" si="58"/>
        <v xml:space="preserve"> </v>
      </c>
      <c r="Y846" s="246"/>
      <c r="Z846" s="247"/>
      <c r="AA846" s="20"/>
      <c r="AB846" s="11" t="str">
        <f t="shared" si="59"/>
        <v xml:space="preserve"> </v>
      </c>
      <c r="AC846" s="12" t="str">
        <f t="shared" si="60"/>
        <v xml:space="preserve"> </v>
      </c>
    </row>
    <row r="847" spans="1:29" ht="20.100000000000001" customHeight="1" x14ac:dyDescent="0.25">
      <c r="A847" s="16"/>
      <c r="B847" s="108"/>
      <c r="C847" s="109"/>
      <c r="D847" s="109"/>
      <c r="E847" s="109"/>
      <c r="F847" s="17"/>
      <c r="G847" s="17"/>
      <c r="H847" s="108"/>
      <c r="I847" s="107"/>
      <c r="J847" s="108"/>
      <c r="K847" s="107"/>
      <c r="L847" s="108"/>
      <c r="M847" s="110"/>
      <c r="N847" s="109"/>
      <c r="O847" s="108"/>
      <c r="P847" s="233"/>
      <c r="Q847" s="239"/>
      <c r="R847" s="19"/>
      <c r="S847" s="20"/>
      <c r="T847" s="9" t="str">
        <f t="shared" si="57"/>
        <v xml:space="preserve"> </v>
      </c>
      <c r="U847" s="18"/>
      <c r="V847" s="21"/>
      <c r="W847" s="22"/>
      <c r="X847" s="197" t="str">
        <f t="shared" si="58"/>
        <v xml:space="preserve"> </v>
      </c>
      <c r="Y847" s="246"/>
      <c r="Z847" s="247"/>
      <c r="AA847" s="20"/>
      <c r="AB847" s="11" t="str">
        <f t="shared" si="59"/>
        <v xml:space="preserve"> </v>
      </c>
      <c r="AC847" s="12" t="str">
        <f t="shared" si="60"/>
        <v xml:space="preserve"> </v>
      </c>
    </row>
    <row r="848" spans="1:29" ht="20.100000000000001" customHeight="1" x14ac:dyDescent="0.25">
      <c r="A848" s="16"/>
      <c r="B848" s="108"/>
      <c r="C848" s="109"/>
      <c r="D848" s="109"/>
      <c r="E848" s="109"/>
      <c r="F848" s="17"/>
      <c r="G848" s="17"/>
      <c r="H848" s="108"/>
      <c r="I848" s="107"/>
      <c r="J848" s="108"/>
      <c r="K848" s="107"/>
      <c r="L848" s="108"/>
      <c r="M848" s="110"/>
      <c r="N848" s="109"/>
      <c r="O848" s="108"/>
      <c r="P848" s="233"/>
      <c r="Q848" s="239"/>
      <c r="R848" s="19"/>
      <c r="S848" s="20"/>
      <c r="T848" s="9" t="str">
        <f t="shared" si="57"/>
        <v xml:space="preserve"> </v>
      </c>
      <c r="U848" s="18"/>
      <c r="V848" s="21"/>
      <c r="W848" s="22"/>
      <c r="X848" s="197" t="str">
        <f t="shared" si="58"/>
        <v xml:space="preserve"> </v>
      </c>
      <c r="Y848" s="246"/>
      <c r="Z848" s="247"/>
      <c r="AA848" s="20"/>
      <c r="AB848" s="11" t="str">
        <f t="shared" si="59"/>
        <v xml:space="preserve"> </v>
      </c>
      <c r="AC848" s="12" t="str">
        <f t="shared" si="60"/>
        <v xml:space="preserve"> </v>
      </c>
    </row>
    <row r="849" spans="1:29" ht="20.100000000000001" customHeight="1" x14ac:dyDescent="0.25">
      <c r="A849" s="16"/>
      <c r="B849" s="108"/>
      <c r="C849" s="109"/>
      <c r="D849" s="109"/>
      <c r="E849" s="109"/>
      <c r="F849" s="17"/>
      <c r="G849" s="17"/>
      <c r="H849" s="108"/>
      <c r="I849" s="107"/>
      <c r="J849" s="108"/>
      <c r="K849" s="107"/>
      <c r="L849" s="108"/>
      <c r="M849" s="110"/>
      <c r="N849" s="109"/>
      <c r="O849" s="108"/>
      <c r="P849" s="233"/>
      <c r="Q849" s="239"/>
      <c r="R849" s="19"/>
      <c r="S849" s="20"/>
      <c r="T849" s="9" t="str">
        <f t="shared" si="57"/>
        <v xml:space="preserve"> </v>
      </c>
      <c r="U849" s="18"/>
      <c r="V849" s="21"/>
      <c r="W849" s="22"/>
      <c r="X849" s="197" t="str">
        <f t="shared" si="58"/>
        <v xml:space="preserve"> </v>
      </c>
      <c r="Y849" s="246"/>
      <c r="Z849" s="247"/>
      <c r="AA849" s="20"/>
      <c r="AB849" s="11" t="str">
        <f t="shared" si="59"/>
        <v xml:space="preserve"> </v>
      </c>
      <c r="AC849" s="12" t="str">
        <f t="shared" si="60"/>
        <v xml:space="preserve"> </v>
      </c>
    </row>
    <row r="850" spans="1:29" ht="20.100000000000001" customHeight="1" x14ac:dyDescent="0.25">
      <c r="A850" s="16"/>
      <c r="B850" s="108"/>
      <c r="C850" s="109"/>
      <c r="D850" s="109"/>
      <c r="E850" s="109"/>
      <c r="F850" s="17"/>
      <c r="G850" s="17"/>
      <c r="H850" s="108"/>
      <c r="I850" s="107"/>
      <c r="J850" s="108"/>
      <c r="K850" s="107"/>
      <c r="L850" s="108"/>
      <c r="M850" s="110"/>
      <c r="N850" s="109"/>
      <c r="O850" s="108"/>
      <c r="P850" s="233"/>
      <c r="Q850" s="239"/>
      <c r="R850" s="19"/>
      <c r="S850" s="20"/>
      <c r="T850" s="9" t="str">
        <f t="shared" si="57"/>
        <v xml:space="preserve"> </v>
      </c>
      <c r="U850" s="18"/>
      <c r="V850" s="21"/>
      <c r="W850" s="22"/>
      <c r="X850" s="197" t="str">
        <f t="shared" si="58"/>
        <v xml:space="preserve"> </v>
      </c>
      <c r="Y850" s="246"/>
      <c r="Z850" s="247"/>
      <c r="AA850" s="20"/>
      <c r="AB850" s="11" t="str">
        <f t="shared" si="59"/>
        <v xml:space="preserve"> </v>
      </c>
      <c r="AC850" s="12" t="str">
        <f t="shared" si="60"/>
        <v xml:space="preserve"> </v>
      </c>
    </row>
    <row r="851" spans="1:29" ht="20.100000000000001" customHeight="1" x14ac:dyDescent="0.25">
      <c r="A851" s="16"/>
      <c r="B851" s="108"/>
      <c r="C851" s="109"/>
      <c r="D851" s="109"/>
      <c r="E851" s="109"/>
      <c r="F851" s="17"/>
      <c r="G851" s="17"/>
      <c r="H851" s="108"/>
      <c r="I851" s="107"/>
      <c r="J851" s="108"/>
      <c r="K851" s="107"/>
      <c r="L851" s="108"/>
      <c r="M851" s="110"/>
      <c r="N851" s="109"/>
      <c r="O851" s="108"/>
      <c r="P851" s="233"/>
      <c r="Q851" s="239"/>
      <c r="R851" s="19"/>
      <c r="S851" s="20"/>
      <c r="T851" s="9" t="str">
        <f t="shared" si="57"/>
        <v xml:space="preserve"> </v>
      </c>
      <c r="U851" s="18"/>
      <c r="V851" s="21"/>
      <c r="W851" s="22"/>
      <c r="X851" s="197" t="str">
        <f t="shared" si="58"/>
        <v xml:space="preserve"> </v>
      </c>
      <c r="Y851" s="246"/>
      <c r="Z851" s="247"/>
      <c r="AA851" s="20"/>
      <c r="AB851" s="11" t="str">
        <f t="shared" si="59"/>
        <v xml:space="preserve"> </v>
      </c>
      <c r="AC851" s="12" t="str">
        <f t="shared" si="60"/>
        <v xml:space="preserve"> </v>
      </c>
    </row>
    <row r="852" spans="1:29" ht="20.100000000000001" customHeight="1" x14ac:dyDescent="0.25">
      <c r="A852" s="16"/>
      <c r="B852" s="108"/>
      <c r="C852" s="109"/>
      <c r="D852" s="109"/>
      <c r="E852" s="109"/>
      <c r="F852" s="17"/>
      <c r="G852" s="17"/>
      <c r="H852" s="108"/>
      <c r="I852" s="107"/>
      <c r="J852" s="108"/>
      <c r="K852" s="107"/>
      <c r="L852" s="108"/>
      <c r="M852" s="110"/>
      <c r="N852" s="109"/>
      <c r="O852" s="108"/>
      <c r="P852" s="233"/>
      <c r="Q852" s="239"/>
      <c r="R852" s="19"/>
      <c r="S852" s="20"/>
      <c r="T852" s="9" t="str">
        <f t="shared" si="57"/>
        <v xml:space="preserve"> </v>
      </c>
      <c r="U852" s="18"/>
      <c r="V852" s="21"/>
      <c r="W852" s="22"/>
      <c r="X852" s="197" t="str">
        <f t="shared" si="58"/>
        <v xml:space="preserve"> </v>
      </c>
      <c r="Y852" s="246"/>
      <c r="Z852" s="247"/>
      <c r="AA852" s="20"/>
      <c r="AB852" s="11" t="str">
        <f t="shared" si="59"/>
        <v xml:space="preserve"> </v>
      </c>
      <c r="AC852" s="12" t="str">
        <f t="shared" si="60"/>
        <v xml:space="preserve"> </v>
      </c>
    </row>
    <row r="853" spans="1:29" ht="20.100000000000001" customHeight="1" x14ac:dyDescent="0.25">
      <c r="A853" s="16"/>
      <c r="B853" s="108"/>
      <c r="C853" s="109"/>
      <c r="D853" s="109"/>
      <c r="E853" s="109"/>
      <c r="F853" s="17"/>
      <c r="G853" s="17"/>
      <c r="H853" s="108"/>
      <c r="I853" s="107"/>
      <c r="J853" s="108"/>
      <c r="K853" s="107"/>
      <c r="L853" s="108"/>
      <c r="M853" s="110"/>
      <c r="N853" s="109"/>
      <c r="O853" s="108"/>
      <c r="P853" s="233"/>
      <c r="Q853" s="239"/>
      <c r="R853" s="19"/>
      <c r="S853" s="20"/>
      <c r="T853" s="9" t="str">
        <f t="shared" si="57"/>
        <v xml:space="preserve"> </v>
      </c>
      <c r="U853" s="18"/>
      <c r="V853" s="21"/>
      <c r="W853" s="22"/>
      <c r="X853" s="197" t="str">
        <f t="shared" si="58"/>
        <v xml:space="preserve"> </v>
      </c>
      <c r="Y853" s="246"/>
      <c r="Z853" s="247"/>
      <c r="AA853" s="20"/>
      <c r="AB853" s="11" t="str">
        <f t="shared" si="59"/>
        <v xml:space="preserve"> </v>
      </c>
      <c r="AC853" s="12" t="str">
        <f t="shared" si="60"/>
        <v xml:space="preserve"> </v>
      </c>
    </row>
    <row r="854" spans="1:29" ht="20.100000000000001" customHeight="1" x14ac:dyDescent="0.25">
      <c r="A854" s="16"/>
      <c r="B854" s="108"/>
      <c r="C854" s="109"/>
      <c r="D854" s="109"/>
      <c r="E854" s="109"/>
      <c r="F854" s="17"/>
      <c r="G854" s="17"/>
      <c r="H854" s="108"/>
      <c r="I854" s="107"/>
      <c r="J854" s="108"/>
      <c r="K854" s="107"/>
      <c r="L854" s="108"/>
      <c r="M854" s="110"/>
      <c r="N854" s="109"/>
      <c r="O854" s="108"/>
      <c r="P854" s="233"/>
      <c r="Q854" s="239"/>
      <c r="R854" s="19"/>
      <c r="S854" s="20"/>
      <c r="T854" s="9" t="str">
        <f t="shared" si="57"/>
        <v xml:space="preserve"> </v>
      </c>
      <c r="U854" s="18"/>
      <c r="V854" s="21"/>
      <c r="W854" s="22"/>
      <c r="X854" s="197" t="str">
        <f t="shared" si="58"/>
        <v xml:space="preserve"> </v>
      </c>
      <c r="Y854" s="246"/>
      <c r="Z854" s="247"/>
      <c r="AA854" s="20"/>
      <c r="AB854" s="11" t="str">
        <f t="shared" si="59"/>
        <v xml:space="preserve"> </v>
      </c>
      <c r="AC854" s="12" t="str">
        <f t="shared" si="60"/>
        <v xml:space="preserve"> </v>
      </c>
    </row>
    <row r="855" spans="1:29" ht="20.100000000000001" customHeight="1" x14ac:dyDescent="0.25">
      <c r="A855" s="16"/>
      <c r="B855" s="108"/>
      <c r="C855" s="109"/>
      <c r="D855" s="109"/>
      <c r="E855" s="109"/>
      <c r="F855" s="17"/>
      <c r="G855" s="17"/>
      <c r="H855" s="108"/>
      <c r="I855" s="107"/>
      <c r="J855" s="108"/>
      <c r="K855" s="107"/>
      <c r="L855" s="108"/>
      <c r="M855" s="110"/>
      <c r="N855" s="109"/>
      <c r="O855" s="108"/>
      <c r="P855" s="233"/>
      <c r="Q855" s="239"/>
      <c r="R855" s="19"/>
      <c r="S855" s="20"/>
      <c r="T855" s="9" t="str">
        <f t="shared" si="57"/>
        <v xml:space="preserve"> </v>
      </c>
      <c r="U855" s="18"/>
      <c r="V855" s="21"/>
      <c r="W855" s="22"/>
      <c r="X855" s="197" t="str">
        <f t="shared" si="58"/>
        <v xml:space="preserve"> </v>
      </c>
      <c r="Y855" s="246"/>
      <c r="Z855" s="247"/>
      <c r="AA855" s="20"/>
      <c r="AB855" s="11" t="str">
        <f t="shared" si="59"/>
        <v xml:space="preserve"> </v>
      </c>
      <c r="AC855" s="12" t="str">
        <f t="shared" si="60"/>
        <v xml:space="preserve"> </v>
      </c>
    </row>
    <row r="856" spans="1:29" ht="20.100000000000001" customHeight="1" x14ac:dyDescent="0.25">
      <c r="A856" s="16"/>
      <c r="B856" s="108"/>
      <c r="C856" s="109"/>
      <c r="D856" s="109"/>
      <c r="E856" s="109"/>
      <c r="F856" s="17"/>
      <c r="G856" s="17"/>
      <c r="H856" s="108"/>
      <c r="I856" s="107"/>
      <c r="J856" s="108"/>
      <c r="K856" s="107"/>
      <c r="L856" s="108"/>
      <c r="M856" s="110"/>
      <c r="N856" s="109"/>
      <c r="O856" s="108"/>
      <c r="P856" s="233"/>
      <c r="Q856" s="239"/>
      <c r="R856" s="19"/>
      <c r="S856" s="20"/>
      <c r="T856" s="9" t="str">
        <f t="shared" si="57"/>
        <v xml:space="preserve"> </v>
      </c>
      <c r="U856" s="18"/>
      <c r="V856" s="21"/>
      <c r="W856" s="22"/>
      <c r="X856" s="197" t="str">
        <f t="shared" si="58"/>
        <v xml:space="preserve"> </v>
      </c>
      <c r="Y856" s="246"/>
      <c r="Z856" s="247"/>
      <c r="AA856" s="20"/>
      <c r="AB856" s="11" t="str">
        <f t="shared" si="59"/>
        <v xml:space="preserve"> </v>
      </c>
      <c r="AC856" s="12" t="str">
        <f t="shared" si="60"/>
        <v xml:space="preserve"> </v>
      </c>
    </row>
    <row r="857" spans="1:29" ht="20.100000000000001" customHeight="1" x14ac:dyDescent="0.25">
      <c r="A857" s="16"/>
      <c r="B857" s="108"/>
      <c r="C857" s="109"/>
      <c r="D857" s="109"/>
      <c r="E857" s="109"/>
      <c r="F857" s="17"/>
      <c r="G857" s="17"/>
      <c r="H857" s="108"/>
      <c r="I857" s="107"/>
      <c r="J857" s="108"/>
      <c r="K857" s="107"/>
      <c r="L857" s="108"/>
      <c r="M857" s="110"/>
      <c r="N857" s="109"/>
      <c r="O857" s="108"/>
      <c r="P857" s="233"/>
      <c r="Q857" s="239"/>
      <c r="R857" s="19"/>
      <c r="S857" s="20"/>
      <c r="T857" s="9" t="str">
        <f t="shared" si="57"/>
        <v xml:space="preserve"> </v>
      </c>
      <c r="U857" s="18"/>
      <c r="V857" s="21"/>
      <c r="W857" s="22"/>
      <c r="X857" s="197" t="str">
        <f t="shared" si="58"/>
        <v xml:space="preserve"> </v>
      </c>
      <c r="Y857" s="246"/>
      <c r="Z857" s="247"/>
      <c r="AA857" s="20"/>
      <c r="AB857" s="11" t="str">
        <f t="shared" si="59"/>
        <v xml:space="preserve"> </v>
      </c>
      <c r="AC857" s="12" t="str">
        <f t="shared" si="60"/>
        <v xml:space="preserve"> </v>
      </c>
    </row>
    <row r="858" spans="1:29" ht="20.100000000000001" customHeight="1" x14ac:dyDescent="0.25">
      <c r="A858" s="16"/>
      <c r="B858" s="108"/>
      <c r="C858" s="109"/>
      <c r="D858" s="109"/>
      <c r="E858" s="109"/>
      <c r="F858" s="17"/>
      <c r="G858" s="17"/>
      <c r="H858" s="108"/>
      <c r="I858" s="107"/>
      <c r="J858" s="108"/>
      <c r="K858" s="107"/>
      <c r="L858" s="108"/>
      <c r="M858" s="110"/>
      <c r="N858" s="109"/>
      <c r="O858" s="108"/>
      <c r="P858" s="233"/>
      <c r="Q858" s="239"/>
      <c r="R858" s="19"/>
      <c r="S858" s="20"/>
      <c r="T858" s="9" t="str">
        <f t="shared" si="57"/>
        <v xml:space="preserve"> </v>
      </c>
      <c r="U858" s="18"/>
      <c r="V858" s="21"/>
      <c r="W858" s="22"/>
      <c r="X858" s="197" t="str">
        <f t="shared" si="58"/>
        <v xml:space="preserve"> </v>
      </c>
      <c r="Y858" s="246"/>
      <c r="Z858" s="247"/>
      <c r="AA858" s="20"/>
      <c r="AB858" s="11" t="str">
        <f t="shared" si="59"/>
        <v xml:space="preserve"> </v>
      </c>
      <c r="AC858" s="12" t="str">
        <f t="shared" si="60"/>
        <v xml:space="preserve"> </v>
      </c>
    </row>
    <row r="859" spans="1:29" ht="20.100000000000001" customHeight="1" x14ac:dyDescent="0.25">
      <c r="A859" s="16"/>
      <c r="B859" s="108"/>
      <c r="C859" s="109"/>
      <c r="D859" s="109"/>
      <c r="E859" s="109"/>
      <c r="F859" s="17"/>
      <c r="G859" s="17"/>
      <c r="H859" s="108"/>
      <c r="I859" s="107"/>
      <c r="J859" s="108"/>
      <c r="K859" s="107"/>
      <c r="L859" s="108"/>
      <c r="M859" s="110"/>
      <c r="N859" s="109"/>
      <c r="O859" s="108"/>
      <c r="P859" s="233"/>
      <c r="Q859" s="239"/>
      <c r="R859" s="19"/>
      <c r="S859" s="20"/>
      <c r="T859" s="9" t="str">
        <f t="shared" si="57"/>
        <v xml:space="preserve"> </v>
      </c>
      <c r="U859" s="18"/>
      <c r="V859" s="21"/>
      <c r="W859" s="22"/>
      <c r="X859" s="197" t="str">
        <f t="shared" si="58"/>
        <v xml:space="preserve"> </v>
      </c>
      <c r="Y859" s="246"/>
      <c r="Z859" s="247"/>
      <c r="AA859" s="20"/>
      <c r="AB859" s="11" t="str">
        <f t="shared" si="59"/>
        <v xml:space="preserve"> </v>
      </c>
      <c r="AC859" s="12" t="str">
        <f t="shared" si="60"/>
        <v xml:space="preserve"> </v>
      </c>
    </row>
    <row r="860" spans="1:29" ht="20.100000000000001" customHeight="1" x14ac:dyDescent="0.25">
      <c r="A860" s="16"/>
      <c r="B860" s="108"/>
      <c r="C860" s="109"/>
      <c r="D860" s="109"/>
      <c r="E860" s="109"/>
      <c r="F860" s="17"/>
      <c r="G860" s="17"/>
      <c r="H860" s="108"/>
      <c r="I860" s="107"/>
      <c r="J860" s="108"/>
      <c r="K860" s="107"/>
      <c r="L860" s="108"/>
      <c r="M860" s="110"/>
      <c r="N860" s="109"/>
      <c r="O860" s="108"/>
      <c r="P860" s="233"/>
      <c r="Q860" s="239"/>
      <c r="R860" s="19"/>
      <c r="S860" s="20"/>
      <c r="T860" s="9" t="str">
        <f t="shared" si="57"/>
        <v xml:space="preserve"> </v>
      </c>
      <c r="U860" s="18"/>
      <c r="V860" s="21"/>
      <c r="W860" s="22"/>
      <c r="X860" s="197" t="str">
        <f t="shared" si="58"/>
        <v xml:space="preserve"> </v>
      </c>
      <c r="Y860" s="246"/>
      <c r="Z860" s="247"/>
      <c r="AA860" s="20"/>
      <c r="AB860" s="11" t="str">
        <f t="shared" si="59"/>
        <v xml:space="preserve"> </v>
      </c>
      <c r="AC860" s="12" t="str">
        <f t="shared" si="60"/>
        <v xml:space="preserve"> </v>
      </c>
    </row>
    <row r="861" spans="1:29" ht="20.100000000000001" customHeight="1" x14ac:dyDescent="0.25">
      <c r="A861" s="16"/>
      <c r="B861" s="108"/>
      <c r="C861" s="109"/>
      <c r="D861" s="109"/>
      <c r="E861" s="109"/>
      <c r="F861" s="17"/>
      <c r="G861" s="17"/>
      <c r="H861" s="108"/>
      <c r="I861" s="107"/>
      <c r="J861" s="108"/>
      <c r="K861" s="107"/>
      <c r="L861" s="108"/>
      <c r="M861" s="110"/>
      <c r="N861" s="109"/>
      <c r="O861" s="108"/>
      <c r="P861" s="233"/>
      <c r="Q861" s="239"/>
      <c r="R861" s="19"/>
      <c r="S861" s="20"/>
      <c r="T861" s="9" t="str">
        <f t="shared" si="57"/>
        <v xml:space="preserve"> </v>
      </c>
      <c r="U861" s="18"/>
      <c r="V861" s="21"/>
      <c r="W861" s="22"/>
      <c r="X861" s="197" t="str">
        <f t="shared" si="58"/>
        <v xml:space="preserve"> </v>
      </c>
      <c r="Y861" s="246"/>
      <c r="Z861" s="247"/>
      <c r="AA861" s="20"/>
      <c r="AB861" s="11" t="str">
        <f t="shared" si="59"/>
        <v xml:space="preserve"> </v>
      </c>
      <c r="AC861" s="12" t="str">
        <f t="shared" si="60"/>
        <v xml:space="preserve"> </v>
      </c>
    </row>
    <row r="862" spans="1:29" ht="20.100000000000001" customHeight="1" x14ac:dyDescent="0.25">
      <c r="A862" s="16"/>
      <c r="B862" s="108"/>
      <c r="C862" s="109"/>
      <c r="D862" s="109"/>
      <c r="E862" s="109"/>
      <c r="F862" s="17"/>
      <c r="G862" s="17"/>
      <c r="H862" s="108"/>
      <c r="I862" s="107"/>
      <c r="J862" s="108"/>
      <c r="K862" s="107"/>
      <c r="L862" s="108"/>
      <c r="M862" s="110"/>
      <c r="N862" s="109"/>
      <c r="O862" s="108"/>
      <c r="P862" s="233"/>
      <c r="Q862" s="239"/>
      <c r="R862" s="19"/>
      <c r="S862" s="20"/>
      <c r="T862" s="9" t="str">
        <f t="shared" si="57"/>
        <v xml:space="preserve"> </v>
      </c>
      <c r="U862" s="18"/>
      <c r="V862" s="21"/>
      <c r="W862" s="22"/>
      <c r="X862" s="197" t="str">
        <f t="shared" si="58"/>
        <v xml:space="preserve"> </v>
      </c>
      <c r="Y862" s="246"/>
      <c r="Z862" s="247"/>
      <c r="AA862" s="20"/>
      <c r="AB862" s="11" t="str">
        <f t="shared" si="59"/>
        <v xml:space="preserve"> </v>
      </c>
      <c r="AC862" s="12" t="str">
        <f t="shared" si="60"/>
        <v xml:space="preserve"> </v>
      </c>
    </row>
    <row r="863" spans="1:29" ht="20.100000000000001" customHeight="1" x14ac:dyDescent="0.25">
      <c r="A863" s="16"/>
      <c r="B863" s="108"/>
      <c r="C863" s="109"/>
      <c r="D863" s="109"/>
      <c r="E863" s="109"/>
      <c r="F863" s="17"/>
      <c r="G863" s="17"/>
      <c r="H863" s="108"/>
      <c r="I863" s="107"/>
      <c r="J863" s="108"/>
      <c r="K863" s="107"/>
      <c r="L863" s="108"/>
      <c r="M863" s="110"/>
      <c r="N863" s="109"/>
      <c r="O863" s="108"/>
      <c r="P863" s="233"/>
      <c r="Q863" s="239"/>
      <c r="R863" s="19"/>
      <c r="S863" s="20"/>
      <c r="T863" s="9" t="str">
        <f t="shared" si="57"/>
        <v xml:space="preserve"> </v>
      </c>
      <c r="U863" s="18"/>
      <c r="V863" s="21"/>
      <c r="W863" s="22"/>
      <c r="X863" s="197" t="str">
        <f t="shared" si="58"/>
        <v xml:space="preserve"> </v>
      </c>
      <c r="Y863" s="246"/>
      <c r="Z863" s="247"/>
      <c r="AA863" s="20"/>
      <c r="AB863" s="11" t="str">
        <f t="shared" si="59"/>
        <v xml:space="preserve"> </v>
      </c>
      <c r="AC863" s="12" t="str">
        <f t="shared" si="60"/>
        <v xml:space="preserve"> </v>
      </c>
    </row>
    <row r="864" spans="1:29" ht="20.100000000000001" customHeight="1" x14ac:dyDescent="0.25">
      <c r="A864" s="16"/>
      <c r="B864" s="108"/>
      <c r="C864" s="109"/>
      <c r="D864" s="109"/>
      <c r="E864" s="109"/>
      <c r="F864" s="17"/>
      <c r="G864" s="17"/>
      <c r="H864" s="108"/>
      <c r="I864" s="107"/>
      <c r="J864" s="108"/>
      <c r="K864" s="107"/>
      <c r="L864" s="108"/>
      <c r="M864" s="110"/>
      <c r="N864" s="109"/>
      <c r="O864" s="108"/>
      <c r="P864" s="233"/>
      <c r="Q864" s="239"/>
      <c r="R864" s="19"/>
      <c r="S864" s="20"/>
      <c r="T864" s="9" t="str">
        <f t="shared" si="57"/>
        <v xml:space="preserve"> </v>
      </c>
      <c r="U864" s="18"/>
      <c r="V864" s="21"/>
      <c r="W864" s="22"/>
      <c r="X864" s="197" t="str">
        <f t="shared" si="58"/>
        <v xml:space="preserve"> </v>
      </c>
      <c r="Y864" s="246"/>
      <c r="Z864" s="247"/>
      <c r="AA864" s="20"/>
      <c r="AB864" s="11" t="str">
        <f t="shared" si="59"/>
        <v xml:space="preserve"> </v>
      </c>
      <c r="AC864" s="12" t="str">
        <f t="shared" si="60"/>
        <v xml:space="preserve"> </v>
      </c>
    </row>
    <row r="865" spans="1:29" ht="20.100000000000001" customHeight="1" x14ac:dyDescent="0.25">
      <c r="A865" s="16"/>
      <c r="B865" s="108"/>
      <c r="C865" s="109"/>
      <c r="D865" s="109"/>
      <c r="E865" s="109"/>
      <c r="F865" s="17"/>
      <c r="G865" s="17"/>
      <c r="H865" s="108"/>
      <c r="I865" s="107"/>
      <c r="J865" s="108"/>
      <c r="K865" s="107"/>
      <c r="L865" s="108"/>
      <c r="M865" s="110"/>
      <c r="N865" s="109"/>
      <c r="O865" s="108"/>
      <c r="P865" s="233"/>
      <c r="Q865" s="239"/>
      <c r="R865" s="19"/>
      <c r="S865" s="20"/>
      <c r="T865" s="9" t="str">
        <f t="shared" si="57"/>
        <v xml:space="preserve"> </v>
      </c>
      <c r="U865" s="18"/>
      <c r="V865" s="21"/>
      <c r="W865" s="22"/>
      <c r="X865" s="197" t="str">
        <f t="shared" si="58"/>
        <v xml:space="preserve"> </v>
      </c>
      <c r="Y865" s="246"/>
      <c r="Z865" s="247"/>
      <c r="AA865" s="20"/>
      <c r="AB865" s="11" t="str">
        <f t="shared" si="59"/>
        <v xml:space="preserve"> </v>
      </c>
      <c r="AC865" s="12" t="str">
        <f t="shared" si="60"/>
        <v xml:space="preserve"> </v>
      </c>
    </row>
    <row r="866" spans="1:29" ht="20.100000000000001" customHeight="1" x14ac:dyDescent="0.25">
      <c r="A866" s="16"/>
      <c r="B866" s="108"/>
      <c r="C866" s="109"/>
      <c r="D866" s="109"/>
      <c r="E866" s="109"/>
      <c r="F866" s="17"/>
      <c r="G866" s="17"/>
      <c r="H866" s="108"/>
      <c r="I866" s="107"/>
      <c r="J866" s="108"/>
      <c r="K866" s="107"/>
      <c r="L866" s="108"/>
      <c r="M866" s="110"/>
      <c r="N866" s="109"/>
      <c r="O866" s="108"/>
      <c r="P866" s="233"/>
      <c r="Q866" s="239"/>
      <c r="R866" s="19"/>
      <c r="S866" s="20"/>
      <c r="T866" s="9" t="str">
        <f t="shared" si="57"/>
        <v xml:space="preserve"> </v>
      </c>
      <c r="U866" s="18"/>
      <c r="V866" s="21"/>
      <c r="W866" s="22"/>
      <c r="X866" s="197" t="str">
        <f t="shared" si="58"/>
        <v xml:space="preserve"> </v>
      </c>
      <c r="Y866" s="246"/>
      <c r="Z866" s="247"/>
      <c r="AA866" s="20"/>
      <c r="AB866" s="11" t="str">
        <f t="shared" si="59"/>
        <v xml:space="preserve"> </v>
      </c>
      <c r="AC866" s="12" t="str">
        <f t="shared" si="60"/>
        <v xml:space="preserve"> </v>
      </c>
    </row>
    <row r="867" spans="1:29" ht="20.100000000000001" customHeight="1" x14ac:dyDescent="0.25">
      <c r="A867" s="16"/>
      <c r="B867" s="108"/>
      <c r="C867" s="109"/>
      <c r="D867" s="109"/>
      <c r="E867" s="109"/>
      <c r="F867" s="17"/>
      <c r="G867" s="17"/>
      <c r="H867" s="108"/>
      <c r="I867" s="107"/>
      <c r="J867" s="108"/>
      <c r="K867" s="107"/>
      <c r="L867" s="108"/>
      <c r="M867" s="110"/>
      <c r="N867" s="109"/>
      <c r="O867" s="108"/>
      <c r="P867" s="233"/>
      <c r="Q867" s="239"/>
      <c r="R867" s="19"/>
      <c r="S867" s="20"/>
      <c r="T867" s="9" t="str">
        <f t="shared" si="57"/>
        <v xml:space="preserve"> </v>
      </c>
      <c r="U867" s="18"/>
      <c r="V867" s="21"/>
      <c r="W867" s="22"/>
      <c r="X867" s="197" t="str">
        <f t="shared" si="58"/>
        <v xml:space="preserve"> </v>
      </c>
      <c r="Y867" s="246"/>
      <c r="Z867" s="247"/>
      <c r="AA867" s="20"/>
      <c r="AB867" s="11" t="str">
        <f t="shared" si="59"/>
        <v xml:space="preserve"> </v>
      </c>
      <c r="AC867" s="12" t="str">
        <f t="shared" si="60"/>
        <v xml:space="preserve"> </v>
      </c>
    </row>
    <row r="868" spans="1:29" ht="20.100000000000001" customHeight="1" x14ac:dyDescent="0.25">
      <c r="A868" s="16"/>
      <c r="B868" s="108"/>
      <c r="C868" s="109"/>
      <c r="D868" s="109"/>
      <c r="E868" s="109"/>
      <c r="F868" s="17"/>
      <c r="G868" s="17"/>
      <c r="H868" s="108"/>
      <c r="I868" s="107"/>
      <c r="J868" s="108"/>
      <c r="K868" s="107"/>
      <c r="L868" s="108"/>
      <c r="M868" s="110"/>
      <c r="N868" s="109"/>
      <c r="O868" s="108"/>
      <c r="P868" s="233"/>
      <c r="Q868" s="239"/>
      <c r="R868" s="19"/>
      <c r="S868" s="20"/>
      <c r="T868" s="9" t="str">
        <f t="shared" si="57"/>
        <v xml:space="preserve"> </v>
      </c>
      <c r="U868" s="18"/>
      <c r="V868" s="21"/>
      <c r="W868" s="22"/>
      <c r="X868" s="197" t="str">
        <f t="shared" si="58"/>
        <v xml:space="preserve"> </v>
      </c>
      <c r="Y868" s="246"/>
      <c r="Z868" s="247"/>
      <c r="AA868" s="20"/>
      <c r="AB868" s="11" t="str">
        <f t="shared" si="59"/>
        <v xml:space="preserve"> </v>
      </c>
      <c r="AC868" s="12" t="str">
        <f t="shared" si="60"/>
        <v xml:space="preserve"> </v>
      </c>
    </row>
    <row r="869" spans="1:29" ht="20.100000000000001" customHeight="1" x14ac:dyDescent="0.25">
      <c r="A869" s="16"/>
      <c r="B869" s="108"/>
      <c r="C869" s="109"/>
      <c r="D869" s="109"/>
      <c r="E869" s="109"/>
      <c r="F869" s="17"/>
      <c r="G869" s="17"/>
      <c r="H869" s="108"/>
      <c r="I869" s="107"/>
      <c r="J869" s="108"/>
      <c r="K869" s="107"/>
      <c r="L869" s="108"/>
      <c r="M869" s="110"/>
      <c r="N869" s="109"/>
      <c r="O869" s="108"/>
      <c r="P869" s="233"/>
      <c r="Q869" s="239"/>
      <c r="R869" s="19"/>
      <c r="S869" s="20"/>
      <c r="T869" s="9" t="str">
        <f t="shared" si="57"/>
        <v xml:space="preserve"> </v>
      </c>
      <c r="U869" s="18"/>
      <c r="V869" s="21"/>
      <c r="W869" s="22"/>
      <c r="X869" s="197" t="str">
        <f t="shared" si="58"/>
        <v xml:space="preserve"> </v>
      </c>
      <c r="Y869" s="246"/>
      <c r="Z869" s="247"/>
      <c r="AA869" s="20"/>
      <c r="AB869" s="11" t="str">
        <f t="shared" si="59"/>
        <v xml:space="preserve"> </v>
      </c>
      <c r="AC869" s="12" t="str">
        <f t="shared" si="60"/>
        <v xml:space="preserve"> </v>
      </c>
    </row>
    <row r="870" spans="1:29" ht="20.100000000000001" customHeight="1" x14ac:dyDescent="0.25">
      <c r="A870" s="16"/>
      <c r="B870" s="108"/>
      <c r="C870" s="109"/>
      <c r="D870" s="109"/>
      <c r="E870" s="109"/>
      <c r="F870" s="17"/>
      <c r="G870" s="17"/>
      <c r="H870" s="108"/>
      <c r="I870" s="107"/>
      <c r="J870" s="108"/>
      <c r="K870" s="107"/>
      <c r="L870" s="108"/>
      <c r="M870" s="110"/>
      <c r="N870" s="109"/>
      <c r="O870" s="108"/>
      <c r="P870" s="233"/>
      <c r="Q870" s="239"/>
      <c r="R870" s="19"/>
      <c r="S870" s="20"/>
      <c r="T870" s="9" t="str">
        <f t="shared" si="57"/>
        <v xml:space="preserve"> </v>
      </c>
      <c r="U870" s="18"/>
      <c r="V870" s="21"/>
      <c r="W870" s="22"/>
      <c r="X870" s="197" t="str">
        <f t="shared" si="58"/>
        <v xml:space="preserve"> </v>
      </c>
      <c r="Y870" s="246"/>
      <c r="Z870" s="247"/>
      <c r="AA870" s="20"/>
      <c r="AB870" s="11" t="str">
        <f t="shared" si="59"/>
        <v xml:space="preserve"> </v>
      </c>
      <c r="AC870" s="12" t="str">
        <f t="shared" si="60"/>
        <v xml:space="preserve"> </v>
      </c>
    </row>
    <row r="871" spans="1:29" ht="20.100000000000001" customHeight="1" x14ac:dyDescent="0.25">
      <c r="A871" s="16"/>
      <c r="B871" s="108"/>
      <c r="C871" s="109"/>
      <c r="D871" s="109"/>
      <c r="E871" s="109"/>
      <c r="F871" s="17"/>
      <c r="G871" s="17"/>
      <c r="H871" s="108"/>
      <c r="I871" s="107"/>
      <c r="J871" s="108"/>
      <c r="K871" s="107"/>
      <c r="L871" s="108"/>
      <c r="M871" s="110"/>
      <c r="N871" s="109"/>
      <c r="O871" s="108"/>
      <c r="P871" s="233"/>
      <c r="Q871" s="239"/>
      <c r="R871" s="19"/>
      <c r="S871" s="20"/>
      <c r="T871" s="9" t="str">
        <f t="shared" si="57"/>
        <v xml:space="preserve"> </v>
      </c>
      <c r="U871" s="18"/>
      <c r="V871" s="21"/>
      <c r="W871" s="22"/>
      <c r="X871" s="197" t="str">
        <f t="shared" si="58"/>
        <v xml:space="preserve"> </v>
      </c>
      <c r="Y871" s="246"/>
      <c r="Z871" s="247"/>
      <c r="AA871" s="20"/>
      <c r="AB871" s="11" t="str">
        <f t="shared" si="59"/>
        <v xml:space="preserve"> </v>
      </c>
      <c r="AC871" s="12" t="str">
        <f t="shared" si="60"/>
        <v xml:space="preserve"> </v>
      </c>
    </row>
    <row r="872" spans="1:29" ht="20.100000000000001" customHeight="1" x14ac:dyDescent="0.25">
      <c r="A872" s="16"/>
      <c r="B872" s="108"/>
      <c r="C872" s="109"/>
      <c r="D872" s="109"/>
      <c r="E872" s="109"/>
      <c r="F872" s="17"/>
      <c r="G872" s="17"/>
      <c r="H872" s="108"/>
      <c r="I872" s="107"/>
      <c r="J872" s="108"/>
      <c r="K872" s="107"/>
      <c r="L872" s="108"/>
      <c r="M872" s="110"/>
      <c r="N872" s="109"/>
      <c r="O872" s="108"/>
      <c r="P872" s="233"/>
      <c r="Q872" s="239"/>
      <c r="R872" s="19"/>
      <c r="S872" s="20"/>
      <c r="T872" s="9" t="str">
        <f t="shared" si="57"/>
        <v xml:space="preserve"> </v>
      </c>
      <c r="U872" s="18"/>
      <c r="V872" s="21"/>
      <c r="W872" s="22"/>
      <c r="X872" s="197" t="str">
        <f t="shared" si="58"/>
        <v xml:space="preserve"> </v>
      </c>
      <c r="Y872" s="246"/>
      <c r="Z872" s="247"/>
      <c r="AA872" s="20"/>
      <c r="AB872" s="11" t="str">
        <f t="shared" si="59"/>
        <v xml:space="preserve"> </v>
      </c>
      <c r="AC872" s="12" t="str">
        <f t="shared" si="60"/>
        <v xml:space="preserve"> </v>
      </c>
    </row>
    <row r="873" spans="1:29" ht="20.100000000000001" customHeight="1" x14ac:dyDescent="0.25">
      <c r="A873" s="16"/>
      <c r="B873" s="108"/>
      <c r="C873" s="109"/>
      <c r="D873" s="109"/>
      <c r="E873" s="109"/>
      <c r="F873" s="17"/>
      <c r="G873" s="17"/>
      <c r="H873" s="108"/>
      <c r="I873" s="107"/>
      <c r="J873" s="108"/>
      <c r="K873" s="107"/>
      <c r="L873" s="108"/>
      <c r="M873" s="110"/>
      <c r="N873" s="109"/>
      <c r="O873" s="108"/>
      <c r="P873" s="233"/>
      <c r="Q873" s="239"/>
      <c r="R873" s="19"/>
      <c r="S873" s="20"/>
      <c r="T873" s="9" t="str">
        <f t="shared" si="57"/>
        <v xml:space="preserve"> </v>
      </c>
      <c r="U873" s="18"/>
      <c r="V873" s="21"/>
      <c r="W873" s="22"/>
      <c r="X873" s="197" t="str">
        <f t="shared" si="58"/>
        <v xml:space="preserve"> </v>
      </c>
      <c r="Y873" s="246"/>
      <c r="Z873" s="247"/>
      <c r="AA873" s="20"/>
      <c r="AB873" s="11" t="str">
        <f t="shared" si="59"/>
        <v xml:space="preserve"> </v>
      </c>
      <c r="AC873" s="12" t="str">
        <f t="shared" si="60"/>
        <v xml:space="preserve"> </v>
      </c>
    </row>
    <row r="874" spans="1:29" ht="20.100000000000001" customHeight="1" x14ac:dyDescent="0.25">
      <c r="A874" s="16"/>
      <c r="B874" s="108"/>
      <c r="C874" s="109"/>
      <c r="D874" s="109"/>
      <c r="E874" s="109"/>
      <c r="F874" s="17"/>
      <c r="G874" s="17"/>
      <c r="H874" s="108"/>
      <c r="I874" s="107"/>
      <c r="J874" s="108"/>
      <c r="K874" s="107"/>
      <c r="L874" s="108"/>
      <c r="M874" s="110"/>
      <c r="N874" s="109"/>
      <c r="O874" s="108"/>
      <c r="P874" s="233"/>
      <c r="Q874" s="239"/>
      <c r="R874" s="19"/>
      <c r="S874" s="20"/>
      <c r="T874" s="9" t="str">
        <f t="shared" si="57"/>
        <v xml:space="preserve"> </v>
      </c>
      <c r="U874" s="18"/>
      <c r="V874" s="21"/>
      <c r="W874" s="22"/>
      <c r="X874" s="197" t="str">
        <f t="shared" si="58"/>
        <v xml:space="preserve"> </v>
      </c>
      <c r="Y874" s="246"/>
      <c r="Z874" s="247"/>
      <c r="AA874" s="20"/>
      <c r="AB874" s="11" t="str">
        <f t="shared" si="59"/>
        <v xml:space="preserve"> </v>
      </c>
      <c r="AC874" s="12" t="str">
        <f t="shared" si="60"/>
        <v xml:space="preserve"> </v>
      </c>
    </row>
    <row r="875" spans="1:29" ht="20.100000000000001" customHeight="1" x14ac:dyDescent="0.25">
      <c r="A875" s="16"/>
      <c r="B875" s="108"/>
      <c r="C875" s="109"/>
      <c r="D875" s="109"/>
      <c r="E875" s="109"/>
      <c r="F875" s="17"/>
      <c r="G875" s="17"/>
      <c r="H875" s="108"/>
      <c r="I875" s="107"/>
      <c r="J875" s="108"/>
      <c r="K875" s="107"/>
      <c r="L875" s="108"/>
      <c r="M875" s="110"/>
      <c r="N875" s="109"/>
      <c r="O875" s="108"/>
      <c r="P875" s="233"/>
      <c r="Q875" s="239"/>
      <c r="R875" s="19"/>
      <c r="S875" s="20"/>
      <c r="T875" s="9" t="str">
        <f t="shared" si="57"/>
        <v xml:space="preserve"> </v>
      </c>
      <c r="U875" s="18"/>
      <c r="V875" s="21"/>
      <c r="W875" s="22"/>
      <c r="X875" s="197" t="str">
        <f t="shared" si="58"/>
        <v xml:space="preserve"> </v>
      </c>
      <c r="Y875" s="246"/>
      <c r="Z875" s="247"/>
      <c r="AA875" s="20"/>
      <c r="AB875" s="11" t="str">
        <f t="shared" si="59"/>
        <v xml:space="preserve"> </v>
      </c>
      <c r="AC875" s="12" t="str">
        <f t="shared" si="60"/>
        <v xml:space="preserve"> </v>
      </c>
    </row>
    <row r="876" spans="1:29" ht="20.100000000000001" customHeight="1" x14ac:dyDescent="0.25">
      <c r="A876" s="16"/>
      <c r="B876" s="108"/>
      <c r="C876" s="109"/>
      <c r="D876" s="109"/>
      <c r="E876" s="109"/>
      <c r="F876" s="17"/>
      <c r="G876" s="17"/>
      <c r="H876" s="108"/>
      <c r="I876" s="107"/>
      <c r="J876" s="108"/>
      <c r="K876" s="107"/>
      <c r="L876" s="108"/>
      <c r="M876" s="110"/>
      <c r="N876" s="109"/>
      <c r="O876" s="108"/>
      <c r="P876" s="233"/>
      <c r="Q876" s="239"/>
      <c r="R876" s="19"/>
      <c r="S876" s="20"/>
      <c r="T876" s="9" t="str">
        <f t="shared" si="57"/>
        <v xml:space="preserve"> </v>
      </c>
      <c r="U876" s="18"/>
      <c r="V876" s="21"/>
      <c r="W876" s="22"/>
      <c r="X876" s="197" t="str">
        <f t="shared" si="58"/>
        <v xml:space="preserve"> </v>
      </c>
      <c r="Y876" s="246"/>
      <c r="Z876" s="247"/>
      <c r="AA876" s="20"/>
      <c r="AB876" s="11" t="str">
        <f t="shared" si="59"/>
        <v xml:space="preserve"> </v>
      </c>
      <c r="AC876" s="12" t="str">
        <f t="shared" si="60"/>
        <v xml:space="preserve"> </v>
      </c>
    </row>
    <row r="877" spans="1:29" ht="20.100000000000001" customHeight="1" x14ac:dyDescent="0.25">
      <c r="A877" s="16"/>
      <c r="B877" s="108"/>
      <c r="C877" s="109"/>
      <c r="D877" s="109"/>
      <c r="E877" s="109"/>
      <c r="F877" s="17"/>
      <c r="G877" s="17"/>
      <c r="H877" s="108"/>
      <c r="I877" s="107"/>
      <c r="J877" s="108"/>
      <c r="K877" s="107"/>
      <c r="L877" s="108"/>
      <c r="M877" s="110"/>
      <c r="N877" s="109"/>
      <c r="O877" s="108"/>
      <c r="P877" s="233"/>
      <c r="Q877" s="239"/>
      <c r="R877" s="19"/>
      <c r="S877" s="20"/>
      <c r="T877" s="9" t="str">
        <f t="shared" si="57"/>
        <v xml:space="preserve"> </v>
      </c>
      <c r="U877" s="18"/>
      <c r="V877" s="21"/>
      <c r="W877" s="22"/>
      <c r="X877" s="197" t="str">
        <f t="shared" si="58"/>
        <v xml:space="preserve"> </v>
      </c>
      <c r="Y877" s="246"/>
      <c r="Z877" s="247"/>
      <c r="AA877" s="20"/>
      <c r="AB877" s="11" t="str">
        <f t="shared" si="59"/>
        <v xml:space="preserve"> </v>
      </c>
      <c r="AC877" s="12" t="str">
        <f t="shared" si="60"/>
        <v xml:space="preserve"> </v>
      </c>
    </row>
    <row r="878" spans="1:29" ht="20.100000000000001" customHeight="1" x14ac:dyDescent="0.25">
      <c r="A878" s="16"/>
      <c r="B878" s="108"/>
      <c r="C878" s="109"/>
      <c r="D878" s="109"/>
      <c r="E878" s="109"/>
      <c r="F878" s="17"/>
      <c r="G878" s="17"/>
      <c r="H878" s="108"/>
      <c r="I878" s="107"/>
      <c r="J878" s="108"/>
      <c r="K878" s="107"/>
      <c r="L878" s="108"/>
      <c r="M878" s="110"/>
      <c r="N878" s="109"/>
      <c r="O878" s="108"/>
      <c r="P878" s="233"/>
      <c r="Q878" s="239"/>
      <c r="R878" s="19"/>
      <c r="S878" s="20"/>
      <c r="T878" s="9" t="str">
        <f t="shared" si="57"/>
        <v xml:space="preserve"> </v>
      </c>
      <c r="U878" s="18"/>
      <c r="V878" s="21"/>
      <c r="W878" s="22"/>
      <c r="X878" s="197" t="str">
        <f t="shared" si="58"/>
        <v xml:space="preserve"> </v>
      </c>
      <c r="Y878" s="246"/>
      <c r="Z878" s="247"/>
      <c r="AA878" s="20"/>
      <c r="AB878" s="11" t="str">
        <f t="shared" si="59"/>
        <v xml:space="preserve"> </v>
      </c>
      <c r="AC878" s="12" t="str">
        <f t="shared" si="60"/>
        <v xml:space="preserve"> </v>
      </c>
    </row>
    <row r="879" spans="1:29" ht="20.100000000000001" customHeight="1" x14ac:dyDescent="0.25">
      <c r="A879" s="16"/>
      <c r="B879" s="108"/>
      <c r="C879" s="109"/>
      <c r="D879" s="109"/>
      <c r="E879" s="109"/>
      <c r="F879" s="17"/>
      <c r="G879" s="17"/>
      <c r="H879" s="108"/>
      <c r="I879" s="107"/>
      <c r="J879" s="108"/>
      <c r="K879" s="107"/>
      <c r="L879" s="108"/>
      <c r="M879" s="110"/>
      <c r="N879" s="109"/>
      <c r="O879" s="108"/>
      <c r="P879" s="233"/>
      <c r="Q879" s="239"/>
      <c r="R879" s="19"/>
      <c r="S879" s="20"/>
      <c r="T879" s="9" t="str">
        <f t="shared" si="57"/>
        <v xml:space="preserve"> </v>
      </c>
      <c r="U879" s="18"/>
      <c r="V879" s="21"/>
      <c r="W879" s="22"/>
      <c r="X879" s="197" t="str">
        <f t="shared" si="58"/>
        <v xml:space="preserve"> </v>
      </c>
      <c r="Y879" s="246"/>
      <c r="Z879" s="247"/>
      <c r="AA879" s="20"/>
      <c r="AB879" s="11" t="str">
        <f t="shared" si="59"/>
        <v xml:space="preserve"> </v>
      </c>
      <c r="AC879" s="12" t="str">
        <f t="shared" si="60"/>
        <v xml:space="preserve"> </v>
      </c>
    </row>
    <row r="880" spans="1:29" ht="20.100000000000001" customHeight="1" x14ac:dyDescent="0.25">
      <c r="A880" s="16"/>
      <c r="B880" s="108"/>
      <c r="C880" s="109"/>
      <c r="D880" s="109"/>
      <c r="E880" s="109"/>
      <c r="F880" s="17"/>
      <c r="G880" s="17"/>
      <c r="H880" s="108"/>
      <c r="I880" s="107"/>
      <c r="J880" s="108"/>
      <c r="K880" s="107"/>
      <c r="L880" s="108"/>
      <c r="M880" s="110"/>
      <c r="N880" s="109"/>
      <c r="O880" s="108"/>
      <c r="P880" s="233"/>
      <c r="Q880" s="239"/>
      <c r="R880" s="19"/>
      <c r="S880" s="20"/>
      <c r="T880" s="9" t="str">
        <f t="shared" si="57"/>
        <v xml:space="preserve"> </v>
      </c>
      <c r="U880" s="18"/>
      <c r="V880" s="21"/>
      <c r="W880" s="22"/>
      <c r="X880" s="197" t="str">
        <f t="shared" si="58"/>
        <v xml:space="preserve"> </v>
      </c>
      <c r="Y880" s="246"/>
      <c r="Z880" s="247"/>
      <c r="AA880" s="20"/>
      <c r="AB880" s="11" t="str">
        <f t="shared" si="59"/>
        <v xml:space="preserve"> </v>
      </c>
      <c r="AC880" s="12" t="str">
        <f t="shared" si="60"/>
        <v xml:space="preserve"> </v>
      </c>
    </row>
    <row r="881" spans="1:29" ht="20.100000000000001" customHeight="1" x14ac:dyDescent="0.25">
      <c r="A881" s="16"/>
      <c r="B881" s="108"/>
      <c r="C881" s="109"/>
      <c r="D881" s="109"/>
      <c r="E881" s="109"/>
      <c r="F881" s="17"/>
      <c r="G881" s="17"/>
      <c r="H881" s="108"/>
      <c r="I881" s="107"/>
      <c r="J881" s="108"/>
      <c r="K881" s="107"/>
      <c r="L881" s="108"/>
      <c r="M881" s="110"/>
      <c r="N881" s="109"/>
      <c r="O881" s="108"/>
      <c r="P881" s="233"/>
      <c r="Q881" s="239"/>
      <c r="R881" s="19"/>
      <c r="S881" s="20"/>
      <c r="T881" s="9" t="str">
        <f t="shared" si="57"/>
        <v xml:space="preserve"> </v>
      </c>
      <c r="U881" s="18"/>
      <c r="V881" s="21"/>
      <c r="W881" s="22"/>
      <c r="X881" s="197" t="str">
        <f t="shared" si="58"/>
        <v xml:space="preserve"> </v>
      </c>
      <c r="Y881" s="246"/>
      <c r="Z881" s="247"/>
      <c r="AA881" s="20"/>
      <c r="AB881" s="11" t="str">
        <f t="shared" si="59"/>
        <v xml:space="preserve"> </v>
      </c>
      <c r="AC881" s="12" t="str">
        <f t="shared" si="60"/>
        <v xml:space="preserve"> </v>
      </c>
    </row>
    <row r="882" spans="1:29" ht="20.100000000000001" customHeight="1" x14ac:dyDescent="0.25">
      <c r="A882" s="16"/>
      <c r="B882" s="108"/>
      <c r="C882" s="109"/>
      <c r="D882" s="109"/>
      <c r="E882" s="109"/>
      <c r="F882" s="17"/>
      <c r="G882" s="17"/>
      <c r="H882" s="108"/>
      <c r="I882" s="107"/>
      <c r="J882" s="108"/>
      <c r="K882" s="107"/>
      <c r="L882" s="108"/>
      <c r="M882" s="110"/>
      <c r="N882" s="109"/>
      <c r="O882" s="108"/>
      <c r="P882" s="233"/>
      <c r="Q882" s="239"/>
      <c r="R882" s="19"/>
      <c r="S882" s="20"/>
      <c r="T882" s="9" t="str">
        <f t="shared" si="57"/>
        <v xml:space="preserve"> </v>
      </c>
      <c r="U882" s="18"/>
      <c r="V882" s="21"/>
      <c r="W882" s="22"/>
      <c r="X882" s="197" t="str">
        <f t="shared" si="58"/>
        <v xml:space="preserve"> </v>
      </c>
      <c r="Y882" s="246"/>
      <c r="Z882" s="247"/>
      <c r="AA882" s="20"/>
      <c r="AB882" s="11" t="str">
        <f t="shared" si="59"/>
        <v xml:space="preserve"> </v>
      </c>
      <c r="AC882" s="12" t="str">
        <f t="shared" si="60"/>
        <v xml:space="preserve"> </v>
      </c>
    </row>
    <row r="883" spans="1:29" ht="20.100000000000001" customHeight="1" x14ac:dyDescent="0.25">
      <c r="A883" s="16"/>
      <c r="B883" s="108"/>
      <c r="C883" s="109"/>
      <c r="D883" s="109"/>
      <c r="E883" s="109"/>
      <c r="F883" s="17"/>
      <c r="G883" s="17"/>
      <c r="H883" s="108"/>
      <c r="I883" s="107"/>
      <c r="J883" s="108"/>
      <c r="K883" s="107"/>
      <c r="L883" s="108"/>
      <c r="M883" s="110"/>
      <c r="N883" s="109"/>
      <c r="O883" s="108"/>
      <c r="P883" s="233"/>
      <c r="Q883" s="239"/>
      <c r="R883" s="19"/>
      <c r="S883" s="20"/>
      <c r="T883" s="9" t="str">
        <f t="shared" si="57"/>
        <v xml:space="preserve"> </v>
      </c>
      <c r="U883" s="18"/>
      <c r="V883" s="21"/>
      <c r="W883" s="22"/>
      <c r="X883" s="197" t="str">
        <f t="shared" si="58"/>
        <v xml:space="preserve"> </v>
      </c>
      <c r="Y883" s="246"/>
      <c r="Z883" s="247"/>
      <c r="AA883" s="20"/>
      <c r="AB883" s="11" t="str">
        <f t="shared" si="59"/>
        <v xml:space="preserve"> </v>
      </c>
      <c r="AC883" s="12" t="str">
        <f t="shared" si="60"/>
        <v xml:space="preserve"> </v>
      </c>
    </row>
    <row r="884" spans="1:29" ht="20.100000000000001" customHeight="1" x14ac:dyDescent="0.25">
      <c r="A884" s="16"/>
      <c r="B884" s="108"/>
      <c r="C884" s="109"/>
      <c r="D884" s="109"/>
      <c r="E884" s="109"/>
      <c r="F884" s="17"/>
      <c r="G884" s="17"/>
      <c r="H884" s="108"/>
      <c r="I884" s="107"/>
      <c r="J884" s="108"/>
      <c r="K884" s="107"/>
      <c r="L884" s="108"/>
      <c r="M884" s="110"/>
      <c r="N884" s="109"/>
      <c r="O884" s="108"/>
      <c r="P884" s="233"/>
      <c r="Q884" s="239"/>
      <c r="R884" s="19"/>
      <c r="S884" s="20"/>
      <c r="T884" s="9" t="str">
        <f t="shared" si="57"/>
        <v xml:space="preserve"> </v>
      </c>
      <c r="U884" s="18"/>
      <c r="V884" s="21"/>
      <c r="W884" s="22"/>
      <c r="X884" s="197" t="str">
        <f t="shared" si="58"/>
        <v xml:space="preserve"> </v>
      </c>
      <c r="Y884" s="246"/>
      <c r="Z884" s="247"/>
      <c r="AA884" s="20"/>
      <c r="AB884" s="11" t="str">
        <f t="shared" si="59"/>
        <v xml:space="preserve"> </v>
      </c>
      <c r="AC884" s="12" t="str">
        <f t="shared" si="60"/>
        <v xml:space="preserve"> </v>
      </c>
    </row>
    <row r="885" spans="1:29" ht="20.100000000000001" customHeight="1" x14ac:dyDescent="0.25">
      <c r="A885" s="16"/>
      <c r="B885" s="108"/>
      <c r="C885" s="109"/>
      <c r="D885" s="109"/>
      <c r="E885" s="109"/>
      <c r="F885" s="17"/>
      <c r="G885" s="17"/>
      <c r="H885" s="108"/>
      <c r="I885" s="107"/>
      <c r="J885" s="108"/>
      <c r="K885" s="107"/>
      <c r="L885" s="108"/>
      <c r="M885" s="110"/>
      <c r="N885" s="109"/>
      <c r="O885" s="108"/>
      <c r="P885" s="233"/>
      <c r="Q885" s="239"/>
      <c r="R885" s="19"/>
      <c r="S885" s="20"/>
      <c r="T885" s="9" t="str">
        <f t="shared" si="57"/>
        <v xml:space="preserve"> </v>
      </c>
      <c r="U885" s="18"/>
      <c r="V885" s="21"/>
      <c r="W885" s="22"/>
      <c r="X885" s="197" t="str">
        <f t="shared" si="58"/>
        <v xml:space="preserve"> </v>
      </c>
      <c r="Y885" s="246"/>
      <c r="Z885" s="247"/>
      <c r="AA885" s="20"/>
      <c r="AB885" s="11" t="str">
        <f t="shared" si="59"/>
        <v xml:space="preserve"> </v>
      </c>
      <c r="AC885" s="12" t="str">
        <f t="shared" si="60"/>
        <v xml:space="preserve"> </v>
      </c>
    </row>
    <row r="886" spans="1:29" ht="20.100000000000001" customHeight="1" x14ac:dyDescent="0.25">
      <c r="A886" s="16"/>
      <c r="B886" s="108"/>
      <c r="C886" s="109"/>
      <c r="D886" s="109"/>
      <c r="E886" s="109"/>
      <c r="F886" s="17"/>
      <c r="G886" s="17"/>
      <c r="H886" s="108"/>
      <c r="I886" s="107"/>
      <c r="J886" s="108"/>
      <c r="K886" s="107"/>
      <c r="L886" s="108"/>
      <c r="M886" s="110"/>
      <c r="N886" s="109"/>
      <c r="O886" s="108"/>
      <c r="P886" s="233"/>
      <c r="Q886" s="239"/>
      <c r="R886" s="19"/>
      <c r="S886" s="20"/>
      <c r="T886" s="9" t="str">
        <f t="shared" si="57"/>
        <v xml:space="preserve"> </v>
      </c>
      <c r="U886" s="18"/>
      <c r="V886" s="21"/>
      <c r="W886" s="22"/>
      <c r="X886" s="197" t="str">
        <f t="shared" si="58"/>
        <v xml:space="preserve"> </v>
      </c>
      <c r="Y886" s="246"/>
      <c r="Z886" s="247"/>
      <c r="AA886" s="20"/>
      <c r="AB886" s="11" t="str">
        <f t="shared" si="59"/>
        <v xml:space="preserve"> </v>
      </c>
      <c r="AC886" s="12" t="str">
        <f t="shared" si="60"/>
        <v xml:space="preserve"> </v>
      </c>
    </row>
    <row r="887" spans="1:29" ht="20.100000000000001" customHeight="1" x14ac:dyDescent="0.25">
      <c r="A887" s="16"/>
      <c r="B887" s="108"/>
      <c r="C887" s="109"/>
      <c r="D887" s="109"/>
      <c r="E887" s="109"/>
      <c r="F887" s="17"/>
      <c r="G887" s="17"/>
      <c r="H887" s="108"/>
      <c r="I887" s="107"/>
      <c r="J887" s="108"/>
      <c r="K887" s="107"/>
      <c r="L887" s="108"/>
      <c r="M887" s="110"/>
      <c r="N887" s="109"/>
      <c r="O887" s="108"/>
      <c r="P887" s="233"/>
      <c r="Q887" s="239"/>
      <c r="R887" s="19"/>
      <c r="S887" s="20"/>
      <c r="T887" s="9" t="str">
        <f t="shared" si="57"/>
        <v xml:space="preserve"> </v>
      </c>
      <c r="U887" s="18"/>
      <c r="V887" s="21"/>
      <c r="W887" s="22"/>
      <c r="X887" s="197" t="str">
        <f t="shared" si="58"/>
        <v xml:space="preserve"> </v>
      </c>
      <c r="Y887" s="246"/>
      <c r="Z887" s="247"/>
      <c r="AA887" s="20"/>
      <c r="AB887" s="11" t="str">
        <f t="shared" si="59"/>
        <v xml:space="preserve"> </v>
      </c>
      <c r="AC887" s="12" t="str">
        <f t="shared" si="60"/>
        <v xml:space="preserve"> </v>
      </c>
    </row>
    <row r="888" spans="1:29" ht="20.100000000000001" customHeight="1" x14ac:dyDescent="0.25">
      <c r="A888" s="16"/>
      <c r="B888" s="108"/>
      <c r="C888" s="109"/>
      <c r="D888" s="109"/>
      <c r="E888" s="109"/>
      <c r="F888" s="17"/>
      <c r="G888" s="17"/>
      <c r="H888" s="108"/>
      <c r="I888" s="107"/>
      <c r="J888" s="108"/>
      <c r="K888" s="107"/>
      <c r="L888" s="108"/>
      <c r="M888" s="110"/>
      <c r="N888" s="109"/>
      <c r="O888" s="108"/>
      <c r="P888" s="233"/>
      <c r="Q888" s="239"/>
      <c r="R888" s="19"/>
      <c r="S888" s="20"/>
      <c r="T888" s="9" t="str">
        <f t="shared" si="57"/>
        <v xml:space="preserve"> </v>
      </c>
      <c r="U888" s="18"/>
      <c r="V888" s="21"/>
      <c r="W888" s="22"/>
      <c r="X888" s="197" t="str">
        <f t="shared" si="58"/>
        <v xml:space="preserve"> </v>
      </c>
      <c r="Y888" s="246"/>
      <c r="Z888" s="247"/>
      <c r="AA888" s="20"/>
      <c r="AB888" s="11" t="str">
        <f t="shared" si="59"/>
        <v xml:space="preserve"> </v>
      </c>
      <c r="AC888" s="12" t="str">
        <f t="shared" si="60"/>
        <v xml:space="preserve"> </v>
      </c>
    </row>
    <row r="889" spans="1:29" ht="20.100000000000001" customHeight="1" x14ac:dyDescent="0.25">
      <c r="A889" s="16"/>
      <c r="B889" s="108"/>
      <c r="C889" s="109"/>
      <c r="D889" s="109"/>
      <c r="E889" s="109"/>
      <c r="F889" s="17"/>
      <c r="G889" s="17"/>
      <c r="H889" s="108"/>
      <c r="I889" s="107"/>
      <c r="J889" s="108"/>
      <c r="K889" s="107"/>
      <c r="L889" s="108"/>
      <c r="M889" s="110"/>
      <c r="N889" s="109"/>
      <c r="O889" s="108"/>
      <c r="P889" s="233"/>
      <c r="Q889" s="239"/>
      <c r="R889" s="19"/>
      <c r="S889" s="20"/>
      <c r="T889" s="9" t="str">
        <f t="shared" si="57"/>
        <v xml:space="preserve"> </v>
      </c>
      <c r="U889" s="18"/>
      <c r="V889" s="21"/>
      <c r="W889" s="22"/>
      <c r="X889" s="197" t="str">
        <f t="shared" si="58"/>
        <v xml:space="preserve"> </v>
      </c>
      <c r="Y889" s="246"/>
      <c r="Z889" s="247"/>
      <c r="AA889" s="20"/>
      <c r="AB889" s="11" t="str">
        <f t="shared" si="59"/>
        <v xml:space="preserve"> </v>
      </c>
      <c r="AC889" s="12" t="str">
        <f t="shared" si="60"/>
        <v xml:space="preserve"> </v>
      </c>
    </row>
    <row r="890" spans="1:29" ht="20.100000000000001" customHeight="1" x14ac:dyDescent="0.25">
      <c r="A890" s="16"/>
      <c r="B890" s="108"/>
      <c r="C890" s="109"/>
      <c r="D890" s="109"/>
      <c r="E890" s="109"/>
      <c r="F890" s="17"/>
      <c r="G890" s="17"/>
      <c r="H890" s="108"/>
      <c r="I890" s="107"/>
      <c r="J890" s="108"/>
      <c r="K890" s="107"/>
      <c r="L890" s="108"/>
      <c r="M890" s="110"/>
      <c r="N890" s="109"/>
      <c r="O890" s="108"/>
      <c r="P890" s="233"/>
      <c r="Q890" s="239"/>
      <c r="R890" s="19"/>
      <c r="S890" s="20"/>
      <c r="T890" s="9" t="str">
        <f t="shared" si="57"/>
        <v xml:space="preserve"> </v>
      </c>
      <c r="U890" s="18"/>
      <c r="V890" s="21"/>
      <c r="W890" s="22"/>
      <c r="X890" s="197" t="str">
        <f t="shared" si="58"/>
        <v xml:space="preserve"> </v>
      </c>
      <c r="Y890" s="246"/>
      <c r="Z890" s="247"/>
      <c r="AA890" s="20"/>
      <c r="AB890" s="11" t="str">
        <f t="shared" si="59"/>
        <v xml:space="preserve"> </v>
      </c>
      <c r="AC890" s="12" t="str">
        <f t="shared" si="60"/>
        <v xml:space="preserve"> </v>
      </c>
    </row>
    <row r="891" spans="1:29" ht="20.100000000000001" customHeight="1" x14ac:dyDescent="0.25">
      <c r="A891" s="16"/>
      <c r="B891" s="108"/>
      <c r="C891" s="109"/>
      <c r="D891" s="109"/>
      <c r="E891" s="109"/>
      <c r="F891" s="17"/>
      <c r="G891" s="17"/>
      <c r="H891" s="108"/>
      <c r="I891" s="107"/>
      <c r="J891" s="108"/>
      <c r="K891" s="107"/>
      <c r="L891" s="108"/>
      <c r="M891" s="110"/>
      <c r="N891" s="109"/>
      <c r="O891" s="108"/>
      <c r="P891" s="233"/>
      <c r="Q891" s="239"/>
      <c r="R891" s="19"/>
      <c r="S891" s="20"/>
      <c r="T891" s="9" t="str">
        <f t="shared" si="57"/>
        <v xml:space="preserve"> </v>
      </c>
      <c r="U891" s="18"/>
      <c r="V891" s="21"/>
      <c r="W891" s="22"/>
      <c r="X891" s="197" t="str">
        <f t="shared" si="58"/>
        <v xml:space="preserve"> </v>
      </c>
      <c r="Y891" s="246"/>
      <c r="Z891" s="247"/>
      <c r="AA891" s="20"/>
      <c r="AB891" s="11" t="str">
        <f t="shared" si="59"/>
        <v xml:space="preserve"> </v>
      </c>
      <c r="AC891" s="12" t="str">
        <f t="shared" si="60"/>
        <v xml:space="preserve"> </v>
      </c>
    </row>
    <row r="892" spans="1:29" ht="20.100000000000001" customHeight="1" x14ac:dyDescent="0.25">
      <c r="A892" s="16"/>
      <c r="B892" s="108"/>
      <c r="C892" s="109"/>
      <c r="D892" s="109"/>
      <c r="E892" s="109"/>
      <c r="F892" s="17"/>
      <c r="G892" s="17"/>
      <c r="H892" s="108"/>
      <c r="I892" s="107"/>
      <c r="J892" s="108"/>
      <c r="K892" s="107"/>
      <c r="L892" s="108"/>
      <c r="M892" s="110"/>
      <c r="N892" s="109"/>
      <c r="O892" s="108"/>
      <c r="P892" s="233"/>
      <c r="Q892" s="239"/>
      <c r="R892" s="19"/>
      <c r="S892" s="20"/>
      <c r="T892" s="9" t="str">
        <f t="shared" si="57"/>
        <v xml:space="preserve"> </v>
      </c>
      <c r="U892" s="18"/>
      <c r="V892" s="21"/>
      <c r="W892" s="22"/>
      <c r="X892" s="197" t="str">
        <f t="shared" si="58"/>
        <v xml:space="preserve"> </v>
      </c>
      <c r="Y892" s="246"/>
      <c r="Z892" s="247"/>
      <c r="AA892" s="20"/>
      <c r="AB892" s="11" t="str">
        <f t="shared" si="59"/>
        <v xml:space="preserve"> </v>
      </c>
      <c r="AC892" s="12" t="str">
        <f t="shared" si="60"/>
        <v xml:space="preserve"> </v>
      </c>
    </row>
    <row r="893" spans="1:29" ht="20.100000000000001" customHeight="1" x14ac:dyDescent="0.25">
      <c r="A893" s="16"/>
      <c r="B893" s="108"/>
      <c r="C893" s="109"/>
      <c r="D893" s="109"/>
      <c r="E893" s="109"/>
      <c r="F893" s="17"/>
      <c r="G893" s="17"/>
      <c r="H893" s="108"/>
      <c r="I893" s="107"/>
      <c r="J893" s="108"/>
      <c r="K893" s="107"/>
      <c r="L893" s="108"/>
      <c r="M893" s="110"/>
      <c r="N893" s="109"/>
      <c r="O893" s="108"/>
      <c r="P893" s="233"/>
      <c r="Q893" s="239"/>
      <c r="R893" s="19"/>
      <c r="S893" s="20"/>
      <c r="T893" s="9" t="str">
        <f t="shared" si="57"/>
        <v xml:space="preserve"> </v>
      </c>
      <c r="U893" s="18"/>
      <c r="V893" s="21"/>
      <c r="W893" s="22"/>
      <c r="X893" s="197" t="str">
        <f t="shared" si="58"/>
        <v xml:space="preserve"> </v>
      </c>
      <c r="Y893" s="246"/>
      <c r="Z893" s="247"/>
      <c r="AA893" s="20"/>
      <c r="AB893" s="11" t="str">
        <f t="shared" si="59"/>
        <v xml:space="preserve"> </v>
      </c>
      <c r="AC893" s="12" t="str">
        <f t="shared" si="60"/>
        <v xml:space="preserve"> </v>
      </c>
    </row>
    <row r="894" spans="1:29" ht="20.100000000000001" customHeight="1" x14ac:dyDescent="0.25">
      <c r="A894" s="16"/>
      <c r="B894" s="108"/>
      <c r="C894" s="109"/>
      <c r="D894" s="109"/>
      <c r="E894" s="109"/>
      <c r="F894" s="17"/>
      <c r="G894" s="17"/>
      <c r="H894" s="108"/>
      <c r="I894" s="107"/>
      <c r="J894" s="108"/>
      <c r="K894" s="107"/>
      <c r="L894" s="108"/>
      <c r="M894" s="110"/>
      <c r="N894" s="109"/>
      <c r="O894" s="108"/>
      <c r="P894" s="233"/>
      <c r="Q894" s="239"/>
      <c r="R894" s="19"/>
      <c r="S894" s="20"/>
      <c r="T894" s="9" t="str">
        <f t="shared" si="57"/>
        <v xml:space="preserve"> </v>
      </c>
      <c r="U894" s="18"/>
      <c r="V894" s="21"/>
      <c r="W894" s="22"/>
      <c r="X894" s="197" t="str">
        <f t="shared" si="58"/>
        <v xml:space="preserve"> </v>
      </c>
      <c r="Y894" s="246"/>
      <c r="Z894" s="247"/>
      <c r="AA894" s="20"/>
      <c r="AB894" s="11" t="str">
        <f t="shared" si="59"/>
        <v xml:space="preserve"> </v>
      </c>
      <c r="AC894" s="12" t="str">
        <f t="shared" si="60"/>
        <v xml:space="preserve"> </v>
      </c>
    </row>
    <row r="895" spans="1:29" ht="20.100000000000001" customHeight="1" x14ac:dyDescent="0.25">
      <c r="A895" s="16"/>
      <c r="B895" s="108"/>
      <c r="C895" s="109"/>
      <c r="D895" s="109"/>
      <c r="E895" s="109"/>
      <c r="F895" s="17"/>
      <c r="G895" s="17"/>
      <c r="H895" s="108"/>
      <c r="I895" s="107"/>
      <c r="J895" s="108"/>
      <c r="K895" s="107"/>
      <c r="L895" s="108"/>
      <c r="M895" s="110"/>
      <c r="N895" s="109"/>
      <c r="O895" s="108"/>
      <c r="P895" s="233"/>
      <c r="Q895" s="239"/>
      <c r="R895" s="19"/>
      <c r="S895" s="20"/>
      <c r="T895" s="9" t="str">
        <f t="shared" si="57"/>
        <v xml:space="preserve"> </v>
      </c>
      <c r="U895" s="18"/>
      <c r="V895" s="21"/>
      <c r="W895" s="22"/>
      <c r="X895" s="197" t="str">
        <f t="shared" si="58"/>
        <v xml:space="preserve"> </v>
      </c>
      <c r="Y895" s="246"/>
      <c r="Z895" s="247"/>
      <c r="AA895" s="20"/>
      <c r="AB895" s="11" t="str">
        <f t="shared" si="59"/>
        <v xml:space="preserve"> </v>
      </c>
      <c r="AC895" s="12" t="str">
        <f t="shared" si="60"/>
        <v xml:space="preserve"> </v>
      </c>
    </row>
    <row r="896" spans="1:29" ht="20.100000000000001" customHeight="1" x14ac:dyDescent="0.25">
      <c r="A896" s="16"/>
      <c r="B896" s="108"/>
      <c r="C896" s="109"/>
      <c r="D896" s="109"/>
      <c r="E896" s="109"/>
      <c r="F896" s="17"/>
      <c r="G896" s="17"/>
      <c r="H896" s="108"/>
      <c r="I896" s="107"/>
      <c r="J896" s="108"/>
      <c r="K896" s="107"/>
      <c r="L896" s="108"/>
      <c r="M896" s="110"/>
      <c r="N896" s="109"/>
      <c r="O896" s="108"/>
      <c r="P896" s="233"/>
      <c r="Q896" s="239"/>
      <c r="R896" s="19"/>
      <c r="S896" s="20"/>
      <c r="T896" s="9" t="str">
        <f t="shared" si="57"/>
        <v xml:space="preserve"> </v>
      </c>
      <c r="U896" s="18"/>
      <c r="V896" s="21"/>
      <c r="W896" s="22"/>
      <c r="X896" s="197" t="str">
        <f t="shared" si="58"/>
        <v xml:space="preserve"> </v>
      </c>
      <c r="Y896" s="246"/>
      <c r="Z896" s="247"/>
      <c r="AA896" s="20"/>
      <c r="AB896" s="11" t="str">
        <f t="shared" si="59"/>
        <v xml:space="preserve"> </v>
      </c>
      <c r="AC896" s="12" t="str">
        <f t="shared" si="60"/>
        <v xml:space="preserve"> </v>
      </c>
    </row>
    <row r="897" spans="1:29" ht="20.100000000000001" customHeight="1" x14ac:dyDescent="0.25">
      <c r="A897" s="16"/>
      <c r="B897" s="108"/>
      <c r="C897" s="109"/>
      <c r="D897" s="109"/>
      <c r="E897" s="109"/>
      <c r="F897" s="17"/>
      <c r="G897" s="17"/>
      <c r="H897" s="108"/>
      <c r="I897" s="107"/>
      <c r="J897" s="108"/>
      <c r="K897" s="107"/>
      <c r="L897" s="108"/>
      <c r="M897" s="110"/>
      <c r="N897" s="109"/>
      <c r="O897" s="108"/>
      <c r="P897" s="233"/>
      <c r="Q897" s="239"/>
      <c r="R897" s="19"/>
      <c r="S897" s="20"/>
      <c r="T897" s="9" t="str">
        <f t="shared" si="57"/>
        <v xml:space="preserve"> </v>
      </c>
      <c r="U897" s="18"/>
      <c r="V897" s="21"/>
      <c r="W897" s="22"/>
      <c r="X897" s="197" t="str">
        <f t="shared" si="58"/>
        <v xml:space="preserve"> </v>
      </c>
      <c r="Y897" s="246"/>
      <c r="Z897" s="247"/>
      <c r="AA897" s="20"/>
      <c r="AB897" s="11" t="str">
        <f t="shared" si="59"/>
        <v xml:space="preserve"> </v>
      </c>
      <c r="AC897" s="12" t="str">
        <f t="shared" si="60"/>
        <v xml:space="preserve"> </v>
      </c>
    </row>
    <row r="898" spans="1:29" ht="20.100000000000001" customHeight="1" x14ac:dyDescent="0.25">
      <c r="A898" s="16"/>
      <c r="B898" s="108"/>
      <c r="C898" s="109"/>
      <c r="D898" s="109"/>
      <c r="E898" s="109"/>
      <c r="F898" s="17"/>
      <c r="G898" s="17"/>
      <c r="H898" s="108"/>
      <c r="I898" s="107"/>
      <c r="J898" s="108"/>
      <c r="K898" s="107"/>
      <c r="L898" s="108"/>
      <c r="M898" s="110"/>
      <c r="N898" s="109"/>
      <c r="O898" s="108"/>
      <c r="P898" s="233"/>
      <c r="Q898" s="239"/>
      <c r="R898" s="19"/>
      <c r="S898" s="20"/>
      <c r="T898" s="9" t="str">
        <f t="shared" si="57"/>
        <v xml:space="preserve"> </v>
      </c>
      <c r="U898" s="18"/>
      <c r="V898" s="21"/>
      <c r="W898" s="22"/>
      <c r="X898" s="197" t="str">
        <f t="shared" si="58"/>
        <v xml:space="preserve"> </v>
      </c>
      <c r="Y898" s="246"/>
      <c r="Z898" s="247"/>
      <c r="AA898" s="20"/>
      <c r="AB898" s="11" t="str">
        <f t="shared" si="59"/>
        <v xml:space="preserve"> </v>
      </c>
      <c r="AC898" s="12" t="str">
        <f t="shared" si="60"/>
        <v xml:space="preserve"> </v>
      </c>
    </row>
    <row r="899" spans="1:29" ht="20.100000000000001" customHeight="1" x14ac:dyDescent="0.25">
      <c r="A899" s="16"/>
      <c r="B899" s="108"/>
      <c r="C899" s="109"/>
      <c r="D899" s="109"/>
      <c r="E899" s="109"/>
      <c r="F899" s="17"/>
      <c r="G899" s="17"/>
      <c r="H899" s="108"/>
      <c r="I899" s="107"/>
      <c r="J899" s="108"/>
      <c r="K899" s="107"/>
      <c r="L899" s="108"/>
      <c r="M899" s="110"/>
      <c r="N899" s="109"/>
      <c r="O899" s="108"/>
      <c r="P899" s="233"/>
      <c r="Q899" s="239"/>
      <c r="R899" s="19"/>
      <c r="S899" s="20"/>
      <c r="T899" s="9" t="str">
        <f t="shared" si="57"/>
        <v xml:space="preserve"> </v>
      </c>
      <c r="U899" s="18"/>
      <c r="V899" s="21"/>
      <c r="W899" s="22"/>
      <c r="X899" s="197" t="str">
        <f t="shared" si="58"/>
        <v xml:space="preserve"> </v>
      </c>
      <c r="Y899" s="246"/>
      <c r="Z899" s="247"/>
      <c r="AA899" s="20"/>
      <c r="AB899" s="11" t="str">
        <f t="shared" si="59"/>
        <v xml:space="preserve"> </v>
      </c>
      <c r="AC899" s="12" t="str">
        <f t="shared" si="60"/>
        <v xml:space="preserve"> </v>
      </c>
    </row>
    <row r="900" spans="1:29" ht="20.100000000000001" customHeight="1" x14ac:dyDescent="0.25">
      <c r="A900" s="16"/>
      <c r="B900" s="108"/>
      <c r="C900" s="109"/>
      <c r="D900" s="109"/>
      <c r="E900" s="109"/>
      <c r="F900" s="17"/>
      <c r="G900" s="17"/>
      <c r="H900" s="108"/>
      <c r="I900" s="107"/>
      <c r="J900" s="108"/>
      <c r="K900" s="107"/>
      <c r="L900" s="108"/>
      <c r="M900" s="110"/>
      <c r="N900" s="109"/>
      <c r="O900" s="108"/>
      <c r="P900" s="233"/>
      <c r="Q900" s="239"/>
      <c r="R900" s="19"/>
      <c r="S900" s="20"/>
      <c r="T900" s="9" t="str">
        <f t="shared" ref="T900:T963" si="61">IF(ISBLANK(R900)," ",((ROUND(S900,2)-(ROUND(R900,2)))/(ROUND(R900,2))))</f>
        <v xml:space="preserve"> </v>
      </c>
      <c r="U900" s="18"/>
      <c r="V900" s="21"/>
      <c r="W900" s="22"/>
      <c r="X900" s="197" t="str">
        <f t="shared" ref="X900:X963" si="62">IF(ISBLANK(R900)," ",((ROUND(W900,2))-(ROUND(R900,2)))/(ROUND(R900,2)))</f>
        <v xml:space="preserve"> </v>
      </c>
      <c r="Y900" s="246"/>
      <c r="Z900" s="247"/>
      <c r="AA900" s="20"/>
      <c r="AB900" s="11" t="str">
        <f t="shared" ref="AB900:AB963" si="63">IF(ISBLANK(R900)," ",((ROUND(AA900,2))-(ROUND(R900,2)))/(ROUND(R900,2)))</f>
        <v xml:space="preserve"> </v>
      </c>
      <c r="AC900" s="12" t="str">
        <f t="shared" ref="AC900:AC963" si="64">IF(ISBLANK(AA900)," ",(ROUND(AA900,2)/0.995))</f>
        <v xml:space="preserve"> </v>
      </c>
    </row>
    <row r="901" spans="1:29" ht="20.100000000000001" customHeight="1" x14ac:dyDescent="0.25">
      <c r="A901" s="16"/>
      <c r="B901" s="108"/>
      <c r="C901" s="109"/>
      <c r="D901" s="109"/>
      <c r="E901" s="109"/>
      <c r="F901" s="17"/>
      <c r="G901" s="17"/>
      <c r="H901" s="108"/>
      <c r="I901" s="107"/>
      <c r="J901" s="108"/>
      <c r="K901" s="107"/>
      <c r="L901" s="108"/>
      <c r="M901" s="110"/>
      <c r="N901" s="109"/>
      <c r="O901" s="108"/>
      <c r="P901" s="233"/>
      <c r="Q901" s="239"/>
      <c r="R901" s="19"/>
      <c r="S901" s="20"/>
      <c r="T901" s="9" t="str">
        <f t="shared" si="61"/>
        <v xml:space="preserve"> </v>
      </c>
      <c r="U901" s="18"/>
      <c r="V901" s="21"/>
      <c r="W901" s="22"/>
      <c r="X901" s="197" t="str">
        <f t="shared" si="62"/>
        <v xml:space="preserve"> </v>
      </c>
      <c r="Y901" s="246"/>
      <c r="Z901" s="247"/>
      <c r="AA901" s="20"/>
      <c r="AB901" s="11" t="str">
        <f t="shared" si="63"/>
        <v xml:space="preserve"> </v>
      </c>
      <c r="AC901" s="12" t="str">
        <f t="shared" si="64"/>
        <v xml:space="preserve"> </v>
      </c>
    </row>
    <row r="902" spans="1:29" ht="20.100000000000001" customHeight="1" x14ac:dyDescent="0.25">
      <c r="A902" s="16"/>
      <c r="B902" s="108"/>
      <c r="C902" s="109"/>
      <c r="D902" s="109"/>
      <c r="E902" s="109"/>
      <c r="F902" s="17"/>
      <c r="G902" s="17"/>
      <c r="H902" s="108"/>
      <c r="I902" s="107"/>
      <c r="J902" s="108"/>
      <c r="K902" s="107"/>
      <c r="L902" s="108"/>
      <c r="M902" s="110"/>
      <c r="N902" s="109"/>
      <c r="O902" s="108"/>
      <c r="P902" s="233"/>
      <c r="Q902" s="239"/>
      <c r="R902" s="19"/>
      <c r="S902" s="20"/>
      <c r="T902" s="9" t="str">
        <f t="shared" si="61"/>
        <v xml:space="preserve"> </v>
      </c>
      <c r="U902" s="18"/>
      <c r="V902" s="21"/>
      <c r="W902" s="22"/>
      <c r="X902" s="197" t="str">
        <f t="shared" si="62"/>
        <v xml:space="preserve"> </v>
      </c>
      <c r="Y902" s="246"/>
      <c r="Z902" s="247"/>
      <c r="AA902" s="20"/>
      <c r="AB902" s="11" t="str">
        <f t="shared" si="63"/>
        <v xml:space="preserve"> </v>
      </c>
      <c r="AC902" s="12" t="str">
        <f t="shared" si="64"/>
        <v xml:space="preserve"> </v>
      </c>
    </row>
    <row r="903" spans="1:29" ht="20.100000000000001" customHeight="1" x14ac:dyDescent="0.25">
      <c r="A903" s="16"/>
      <c r="B903" s="108"/>
      <c r="C903" s="109"/>
      <c r="D903" s="109"/>
      <c r="E903" s="109"/>
      <c r="F903" s="17"/>
      <c r="G903" s="17"/>
      <c r="H903" s="108"/>
      <c r="I903" s="107"/>
      <c r="J903" s="108"/>
      <c r="K903" s="107"/>
      <c r="L903" s="108"/>
      <c r="M903" s="110"/>
      <c r="N903" s="109"/>
      <c r="O903" s="108"/>
      <c r="P903" s="233"/>
      <c r="Q903" s="239"/>
      <c r="R903" s="19"/>
      <c r="S903" s="20"/>
      <c r="T903" s="9" t="str">
        <f t="shared" si="61"/>
        <v xml:space="preserve"> </v>
      </c>
      <c r="U903" s="18"/>
      <c r="V903" s="21"/>
      <c r="W903" s="22"/>
      <c r="X903" s="197" t="str">
        <f t="shared" si="62"/>
        <v xml:space="preserve"> </v>
      </c>
      <c r="Y903" s="246"/>
      <c r="Z903" s="247"/>
      <c r="AA903" s="20"/>
      <c r="AB903" s="11" t="str">
        <f t="shared" si="63"/>
        <v xml:space="preserve"> </v>
      </c>
      <c r="AC903" s="12" t="str">
        <f t="shared" si="64"/>
        <v xml:space="preserve"> </v>
      </c>
    </row>
    <row r="904" spans="1:29" ht="20.100000000000001" customHeight="1" x14ac:dyDescent="0.25">
      <c r="A904" s="16"/>
      <c r="B904" s="108"/>
      <c r="C904" s="109"/>
      <c r="D904" s="109"/>
      <c r="E904" s="109"/>
      <c r="F904" s="17"/>
      <c r="G904" s="17"/>
      <c r="H904" s="108"/>
      <c r="I904" s="107"/>
      <c r="J904" s="108"/>
      <c r="K904" s="107"/>
      <c r="L904" s="108"/>
      <c r="M904" s="110"/>
      <c r="N904" s="109"/>
      <c r="O904" s="108"/>
      <c r="P904" s="233"/>
      <c r="Q904" s="239"/>
      <c r="R904" s="19"/>
      <c r="S904" s="20"/>
      <c r="T904" s="9" t="str">
        <f t="shared" si="61"/>
        <v xml:space="preserve"> </v>
      </c>
      <c r="U904" s="18"/>
      <c r="V904" s="21"/>
      <c r="W904" s="22"/>
      <c r="X904" s="197" t="str">
        <f t="shared" si="62"/>
        <v xml:space="preserve"> </v>
      </c>
      <c r="Y904" s="246"/>
      <c r="Z904" s="247"/>
      <c r="AA904" s="20"/>
      <c r="AB904" s="11" t="str">
        <f t="shared" si="63"/>
        <v xml:space="preserve"> </v>
      </c>
      <c r="AC904" s="12" t="str">
        <f t="shared" si="64"/>
        <v xml:space="preserve"> </v>
      </c>
    </row>
    <row r="905" spans="1:29" ht="20.100000000000001" customHeight="1" x14ac:dyDescent="0.25">
      <c r="A905" s="16"/>
      <c r="B905" s="108"/>
      <c r="C905" s="109"/>
      <c r="D905" s="109"/>
      <c r="E905" s="109"/>
      <c r="F905" s="17"/>
      <c r="G905" s="17"/>
      <c r="H905" s="108"/>
      <c r="I905" s="107"/>
      <c r="J905" s="108"/>
      <c r="K905" s="107"/>
      <c r="L905" s="108"/>
      <c r="M905" s="110"/>
      <c r="N905" s="109"/>
      <c r="O905" s="108"/>
      <c r="P905" s="233"/>
      <c r="Q905" s="239"/>
      <c r="R905" s="19"/>
      <c r="S905" s="20"/>
      <c r="T905" s="9" t="str">
        <f t="shared" si="61"/>
        <v xml:space="preserve"> </v>
      </c>
      <c r="U905" s="18"/>
      <c r="V905" s="21"/>
      <c r="W905" s="22"/>
      <c r="X905" s="197" t="str">
        <f t="shared" si="62"/>
        <v xml:space="preserve"> </v>
      </c>
      <c r="Y905" s="246"/>
      <c r="Z905" s="247"/>
      <c r="AA905" s="20"/>
      <c r="AB905" s="11" t="str">
        <f t="shared" si="63"/>
        <v xml:space="preserve"> </v>
      </c>
      <c r="AC905" s="12" t="str">
        <f t="shared" si="64"/>
        <v xml:space="preserve"> </v>
      </c>
    </row>
    <row r="906" spans="1:29" ht="20.100000000000001" customHeight="1" x14ac:dyDescent="0.25">
      <c r="A906" s="16"/>
      <c r="B906" s="108"/>
      <c r="C906" s="109"/>
      <c r="D906" s="109"/>
      <c r="E906" s="109"/>
      <c r="F906" s="17"/>
      <c r="G906" s="17"/>
      <c r="H906" s="108"/>
      <c r="I906" s="107"/>
      <c r="J906" s="108"/>
      <c r="K906" s="107"/>
      <c r="L906" s="108"/>
      <c r="M906" s="110"/>
      <c r="N906" s="109"/>
      <c r="O906" s="108"/>
      <c r="P906" s="233"/>
      <c r="Q906" s="239"/>
      <c r="R906" s="19"/>
      <c r="S906" s="20"/>
      <c r="T906" s="9" t="str">
        <f t="shared" si="61"/>
        <v xml:space="preserve"> </v>
      </c>
      <c r="U906" s="18"/>
      <c r="V906" s="21"/>
      <c r="W906" s="22"/>
      <c r="X906" s="197" t="str">
        <f t="shared" si="62"/>
        <v xml:space="preserve"> </v>
      </c>
      <c r="Y906" s="246"/>
      <c r="Z906" s="247"/>
      <c r="AA906" s="20"/>
      <c r="AB906" s="11" t="str">
        <f t="shared" si="63"/>
        <v xml:space="preserve"> </v>
      </c>
      <c r="AC906" s="12" t="str">
        <f t="shared" si="64"/>
        <v xml:space="preserve"> </v>
      </c>
    </row>
    <row r="907" spans="1:29" ht="20.100000000000001" customHeight="1" x14ac:dyDescent="0.25">
      <c r="A907" s="16"/>
      <c r="B907" s="108"/>
      <c r="C907" s="109"/>
      <c r="D907" s="109"/>
      <c r="E907" s="109"/>
      <c r="F907" s="17"/>
      <c r="G907" s="17"/>
      <c r="H907" s="108"/>
      <c r="I907" s="107"/>
      <c r="J907" s="108"/>
      <c r="K907" s="107"/>
      <c r="L907" s="108"/>
      <c r="M907" s="110"/>
      <c r="N907" s="109"/>
      <c r="O907" s="108"/>
      <c r="P907" s="233"/>
      <c r="Q907" s="239"/>
      <c r="R907" s="19"/>
      <c r="S907" s="20"/>
      <c r="T907" s="9" t="str">
        <f t="shared" si="61"/>
        <v xml:space="preserve"> </v>
      </c>
      <c r="U907" s="18"/>
      <c r="V907" s="21"/>
      <c r="W907" s="22"/>
      <c r="X907" s="197" t="str">
        <f t="shared" si="62"/>
        <v xml:space="preserve"> </v>
      </c>
      <c r="Y907" s="246"/>
      <c r="Z907" s="247"/>
      <c r="AA907" s="20"/>
      <c r="AB907" s="11" t="str">
        <f t="shared" si="63"/>
        <v xml:space="preserve"> </v>
      </c>
      <c r="AC907" s="12" t="str">
        <f t="shared" si="64"/>
        <v xml:space="preserve"> </v>
      </c>
    </row>
    <row r="908" spans="1:29" ht="20.100000000000001" customHeight="1" x14ac:dyDescent="0.25">
      <c r="A908" s="16"/>
      <c r="B908" s="108"/>
      <c r="C908" s="109"/>
      <c r="D908" s="109"/>
      <c r="E908" s="109"/>
      <c r="F908" s="17"/>
      <c r="G908" s="17"/>
      <c r="H908" s="108"/>
      <c r="I908" s="107"/>
      <c r="J908" s="108"/>
      <c r="K908" s="107"/>
      <c r="L908" s="108"/>
      <c r="M908" s="110"/>
      <c r="N908" s="109"/>
      <c r="O908" s="108"/>
      <c r="P908" s="233"/>
      <c r="Q908" s="239"/>
      <c r="R908" s="19"/>
      <c r="S908" s="20"/>
      <c r="T908" s="9" t="str">
        <f t="shared" si="61"/>
        <v xml:space="preserve"> </v>
      </c>
      <c r="U908" s="18"/>
      <c r="V908" s="21"/>
      <c r="W908" s="22"/>
      <c r="X908" s="197" t="str">
        <f t="shared" si="62"/>
        <v xml:space="preserve"> </v>
      </c>
      <c r="Y908" s="246"/>
      <c r="Z908" s="247"/>
      <c r="AA908" s="20"/>
      <c r="AB908" s="11" t="str">
        <f t="shared" si="63"/>
        <v xml:space="preserve"> </v>
      </c>
      <c r="AC908" s="12" t="str">
        <f t="shared" si="64"/>
        <v xml:space="preserve"> </v>
      </c>
    </row>
    <row r="909" spans="1:29" ht="20.100000000000001" customHeight="1" x14ac:dyDescent="0.25">
      <c r="A909" s="16"/>
      <c r="B909" s="108"/>
      <c r="C909" s="109"/>
      <c r="D909" s="109"/>
      <c r="E909" s="109"/>
      <c r="F909" s="17"/>
      <c r="G909" s="17"/>
      <c r="H909" s="108"/>
      <c r="I909" s="107"/>
      <c r="J909" s="108"/>
      <c r="K909" s="107"/>
      <c r="L909" s="108"/>
      <c r="M909" s="110"/>
      <c r="N909" s="109"/>
      <c r="O909" s="108"/>
      <c r="P909" s="233"/>
      <c r="Q909" s="239"/>
      <c r="R909" s="19"/>
      <c r="S909" s="20"/>
      <c r="T909" s="9" t="str">
        <f t="shared" si="61"/>
        <v xml:space="preserve"> </v>
      </c>
      <c r="U909" s="18"/>
      <c r="V909" s="21"/>
      <c r="W909" s="22"/>
      <c r="X909" s="197" t="str">
        <f t="shared" si="62"/>
        <v xml:space="preserve"> </v>
      </c>
      <c r="Y909" s="246"/>
      <c r="Z909" s="247"/>
      <c r="AA909" s="20"/>
      <c r="AB909" s="11" t="str">
        <f t="shared" si="63"/>
        <v xml:space="preserve"> </v>
      </c>
      <c r="AC909" s="12" t="str">
        <f t="shared" si="64"/>
        <v xml:space="preserve"> </v>
      </c>
    </row>
    <row r="910" spans="1:29" ht="20.100000000000001" customHeight="1" x14ac:dyDescent="0.25">
      <c r="A910" s="16"/>
      <c r="B910" s="108"/>
      <c r="C910" s="109"/>
      <c r="D910" s="109"/>
      <c r="E910" s="109"/>
      <c r="F910" s="17"/>
      <c r="G910" s="17"/>
      <c r="H910" s="108"/>
      <c r="I910" s="107"/>
      <c r="J910" s="108"/>
      <c r="K910" s="107"/>
      <c r="L910" s="108"/>
      <c r="M910" s="110"/>
      <c r="N910" s="109"/>
      <c r="O910" s="108"/>
      <c r="P910" s="233"/>
      <c r="Q910" s="239"/>
      <c r="R910" s="19"/>
      <c r="S910" s="20"/>
      <c r="T910" s="9" t="str">
        <f t="shared" si="61"/>
        <v xml:space="preserve"> </v>
      </c>
      <c r="U910" s="18"/>
      <c r="V910" s="21"/>
      <c r="W910" s="22"/>
      <c r="X910" s="197" t="str">
        <f t="shared" si="62"/>
        <v xml:space="preserve"> </v>
      </c>
      <c r="Y910" s="246"/>
      <c r="Z910" s="247"/>
      <c r="AA910" s="20"/>
      <c r="AB910" s="11" t="str">
        <f t="shared" si="63"/>
        <v xml:space="preserve"> </v>
      </c>
      <c r="AC910" s="12" t="str">
        <f t="shared" si="64"/>
        <v xml:space="preserve"> </v>
      </c>
    </row>
    <row r="911" spans="1:29" ht="20.100000000000001" customHeight="1" x14ac:dyDescent="0.25">
      <c r="A911" s="16"/>
      <c r="B911" s="108"/>
      <c r="C911" s="109"/>
      <c r="D911" s="109"/>
      <c r="E911" s="109"/>
      <c r="F911" s="17"/>
      <c r="G911" s="17"/>
      <c r="H911" s="108"/>
      <c r="I911" s="107"/>
      <c r="J911" s="108"/>
      <c r="K911" s="107"/>
      <c r="L911" s="108"/>
      <c r="M911" s="110"/>
      <c r="N911" s="109"/>
      <c r="O911" s="108"/>
      <c r="P911" s="233"/>
      <c r="Q911" s="239"/>
      <c r="R911" s="19"/>
      <c r="S911" s="20"/>
      <c r="T911" s="9" t="str">
        <f t="shared" si="61"/>
        <v xml:space="preserve"> </v>
      </c>
      <c r="U911" s="18"/>
      <c r="V911" s="21"/>
      <c r="W911" s="22"/>
      <c r="X911" s="197" t="str">
        <f t="shared" si="62"/>
        <v xml:space="preserve"> </v>
      </c>
      <c r="Y911" s="246"/>
      <c r="Z911" s="247"/>
      <c r="AA911" s="20"/>
      <c r="AB911" s="11" t="str">
        <f t="shared" si="63"/>
        <v xml:space="preserve"> </v>
      </c>
      <c r="AC911" s="12" t="str">
        <f t="shared" si="64"/>
        <v xml:space="preserve"> </v>
      </c>
    </row>
    <row r="912" spans="1:29" ht="20.100000000000001" customHeight="1" x14ac:dyDescent="0.25">
      <c r="A912" s="16"/>
      <c r="B912" s="108"/>
      <c r="C912" s="109"/>
      <c r="D912" s="109"/>
      <c r="E912" s="109"/>
      <c r="F912" s="17"/>
      <c r="G912" s="17"/>
      <c r="H912" s="108"/>
      <c r="I912" s="107"/>
      <c r="J912" s="108"/>
      <c r="K912" s="107"/>
      <c r="L912" s="108"/>
      <c r="M912" s="110"/>
      <c r="N912" s="109"/>
      <c r="O912" s="108"/>
      <c r="P912" s="233"/>
      <c r="Q912" s="239"/>
      <c r="R912" s="19"/>
      <c r="S912" s="20"/>
      <c r="T912" s="9" t="str">
        <f t="shared" si="61"/>
        <v xml:space="preserve"> </v>
      </c>
      <c r="U912" s="18"/>
      <c r="V912" s="21"/>
      <c r="W912" s="22"/>
      <c r="X912" s="197" t="str">
        <f t="shared" si="62"/>
        <v xml:space="preserve"> </v>
      </c>
      <c r="Y912" s="246"/>
      <c r="Z912" s="247"/>
      <c r="AA912" s="20"/>
      <c r="AB912" s="11" t="str">
        <f t="shared" si="63"/>
        <v xml:space="preserve"> </v>
      </c>
      <c r="AC912" s="12" t="str">
        <f t="shared" si="64"/>
        <v xml:space="preserve"> </v>
      </c>
    </row>
    <row r="913" spans="1:29" ht="20.100000000000001" customHeight="1" x14ac:dyDescent="0.25">
      <c r="A913" s="16"/>
      <c r="B913" s="108"/>
      <c r="C913" s="109"/>
      <c r="D913" s="109"/>
      <c r="E913" s="109"/>
      <c r="F913" s="17"/>
      <c r="G913" s="17"/>
      <c r="H913" s="108"/>
      <c r="I913" s="107"/>
      <c r="J913" s="108"/>
      <c r="K913" s="107"/>
      <c r="L913" s="108"/>
      <c r="M913" s="110"/>
      <c r="N913" s="109"/>
      <c r="O913" s="108"/>
      <c r="P913" s="233"/>
      <c r="Q913" s="239"/>
      <c r="R913" s="19"/>
      <c r="S913" s="20"/>
      <c r="T913" s="9" t="str">
        <f t="shared" si="61"/>
        <v xml:space="preserve"> </v>
      </c>
      <c r="U913" s="18"/>
      <c r="V913" s="21"/>
      <c r="W913" s="22"/>
      <c r="X913" s="197" t="str">
        <f t="shared" si="62"/>
        <v xml:space="preserve"> </v>
      </c>
      <c r="Y913" s="246"/>
      <c r="Z913" s="247"/>
      <c r="AA913" s="20"/>
      <c r="AB913" s="11" t="str">
        <f t="shared" si="63"/>
        <v xml:space="preserve"> </v>
      </c>
      <c r="AC913" s="12" t="str">
        <f t="shared" si="64"/>
        <v xml:space="preserve"> </v>
      </c>
    </row>
    <row r="914" spans="1:29" ht="20.100000000000001" customHeight="1" x14ac:dyDescent="0.25">
      <c r="A914" s="16"/>
      <c r="B914" s="108"/>
      <c r="C914" s="109"/>
      <c r="D914" s="109"/>
      <c r="E914" s="109"/>
      <c r="F914" s="17"/>
      <c r="G914" s="17"/>
      <c r="H914" s="108"/>
      <c r="I914" s="107"/>
      <c r="J914" s="108"/>
      <c r="K914" s="107"/>
      <c r="L914" s="108"/>
      <c r="M914" s="110"/>
      <c r="N914" s="109"/>
      <c r="O914" s="108"/>
      <c r="P914" s="233"/>
      <c r="Q914" s="239"/>
      <c r="R914" s="19"/>
      <c r="S914" s="20"/>
      <c r="T914" s="9" t="str">
        <f t="shared" si="61"/>
        <v xml:space="preserve"> </v>
      </c>
      <c r="U914" s="18"/>
      <c r="V914" s="21"/>
      <c r="W914" s="22"/>
      <c r="X914" s="197" t="str">
        <f t="shared" si="62"/>
        <v xml:space="preserve"> </v>
      </c>
      <c r="Y914" s="246"/>
      <c r="Z914" s="247"/>
      <c r="AA914" s="20"/>
      <c r="AB914" s="11" t="str">
        <f t="shared" si="63"/>
        <v xml:space="preserve"> </v>
      </c>
      <c r="AC914" s="12" t="str">
        <f t="shared" si="64"/>
        <v xml:space="preserve"> </v>
      </c>
    </row>
    <row r="915" spans="1:29" ht="20.100000000000001" customHeight="1" x14ac:dyDescent="0.25">
      <c r="A915" s="16"/>
      <c r="B915" s="108"/>
      <c r="C915" s="109"/>
      <c r="D915" s="109"/>
      <c r="E915" s="109"/>
      <c r="F915" s="17"/>
      <c r="G915" s="17"/>
      <c r="H915" s="108"/>
      <c r="I915" s="107"/>
      <c r="J915" s="108"/>
      <c r="K915" s="107"/>
      <c r="L915" s="108"/>
      <c r="M915" s="110"/>
      <c r="N915" s="109"/>
      <c r="O915" s="108"/>
      <c r="P915" s="233"/>
      <c r="Q915" s="239"/>
      <c r="R915" s="19"/>
      <c r="S915" s="20"/>
      <c r="T915" s="9" t="str">
        <f t="shared" si="61"/>
        <v xml:space="preserve"> </v>
      </c>
      <c r="U915" s="18"/>
      <c r="V915" s="21"/>
      <c r="W915" s="22"/>
      <c r="X915" s="197" t="str">
        <f t="shared" si="62"/>
        <v xml:space="preserve"> </v>
      </c>
      <c r="Y915" s="246"/>
      <c r="Z915" s="247"/>
      <c r="AA915" s="20"/>
      <c r="AB915" s="11" t="str">
        <f t="shared" si="63"/>
        <v xml:space="preserve"> </v>
      </c>
      <c r="AC915" s="12" t="str">
        <f t="shared" si="64"/>
        <v xml:space="preserve"> </v>
      </c>
    </row>
    <row r="916" spans="1:29" ht="20.100000000000001" customHeight="1" x14ac:dyDescent="0.25">
      <c r="A916" s="16"/>
      <c r="B916" s="108"/>
      <c r="C916" s="109"/>
      <c r="D916" s="109"/>
      <c r="E916" s="109"/>
      <c r="F916" s="17"/>
      <c r="G916" s="17"/>
      <c r="H916" s="108"/>
      <c r="I916" s="107"/>
      <c r="J916" s="108"/>
      <c r="K916" s="107"/>
      <c r="L916" s="108"/>
      <c r="M916" s="110"/>
      <c r="N916" s="109"/>
      <c r="O916" s="108"/>
      <c r="P916" s="233"/>
      <c r="Q916" s="239"/>
      <c r="R916" s="19"/>
      <c r="S916" s="20"/>
      <c r="T916" s="9" t="str">
        <f t="shared" si="61"/>
        <v xml:space="preserve"> </v>
      </c>
      <c r="U916" s="18"/>
      <c r="V916" s="21"/>
      <c r="W916" s="22"/>
      <c r="X916" s="197" t="str">
        <f t="shared" si="62"/>
        <v xml:space="preserve"> </v>
      </c>
      <c r="Y916" s="246"/>
      <c r="Z916" s="247"/>
      <c r="AA916" s="20"/>
      <c r="AB916" s="11" t="str">
        <f t="shared" si="63"/>
        <v xml:space="preserve"> </v>
      </c>
      <c r="AC916" s="12" t="str">
        <f t="shared" si="64"/>
        <v xml:space="preserve"> </v>
      </c>
    </row>
    <row r="917" spans="1:29" ht="20.100000000000001" customHeight="1" x14ac:dyDescent="0.25">
      <c r="A917" s="16"/>
      <c r="B917" s="108"/>
      <c r="C917" s="109"/>
      <c r="D917" s="109"/>
      <c r="E917" s="109"/>
      <c r="F917" s="17"/>
      <c r="G917" s="17"/>
      <c r="H917" s="108"/>
      <c r="I917" s="107"/>
      <c r="J917" s="108"/>
      <c r="K917" s="107"/>
      <c r="L917" s="108"/>
      <c r="M917" s="110"/>
      <c r="N917" s="109"/>
      <c r="O917" s="108"/>
      <c r="P917" s="233"/>
      <c r="Q917" s="239"/>
      <c r="R917" s="19"/>
      <c r="S917" s="20"/>
      <c r="T917" s="9" t="str">
        <f t="shared" si="61"/>
        <v xml:space="preserve"> </v>
      </c>
      <c r="U917" s="18"/>
      <c r="V917" s="21"/>
      <c r="W917" s="22"/>
      <c r="X917" s="197" t="str">
        <f t="shared" si="62"/>
        <v xml:space="preserve"> </v>
      </c>
      <c r="Y917" s="246"/>
      <c r="Z917" s="247"/>
      <c r="AA917" s="20"/>
      <c r="AB917" s="11" t="str">
        <f t="shared" si="63"/>
        <v xml:space="preserve"> </v>
      </c>
      <c r="AC917" s="12" t="str">
        <f t="shared" si="64"/>
        <v xml:space="preserve"> </v>
      </c>
    </row>
    <row r="918" spans="1:29" ht="20.100000000000001" customHeight="1" x14ac:dyDescent="0.25">
      <c r="A918" s="16"/>
      <c r="B918" s="108"/>
      <c r="C918" s="109"/>
      <c r="D918" s="109"/>
      <c r="E918" s="109"/>
      <c r="F918" s="17"/>
      <c r="G918" s="17"/>
      <c r="H918" s="108"/>
      <c r="I918" s="107"/>
      <c r="J918" s="108"/>
      <c r="K918" s="107"/>
      <c r="L918" s="108"/>
      <c r="M918" s="110"/>
      <c r="N918" s="109"/>
      <c r="O918" s="108"/>
      <c r="P918" s="233"/>
      <c r="Q918" s="239"/>
      <c r="R918" s="19"/>
      <c r="S918" s="20"/>
      <c r="T918" s="9" t="str">
        <f t="shared" si="61"/>
        <v xml:space="preserve"> </v>
      </c>
      <c r="U918" s="18"/>
      <c r="V918" s="21"/>
      <c r="W918" s="22"/>
      <c r="X918" s="197" t="str">
        <f t="shared" si="62"/>
        <v xml:space="preserve"> </v>
      </c>
      <c r="Y918" s="246"/>
      <c r="Z918" s="247"/>
      <c r="AA918" s="20"/>
      <c r="AB918" s="11" t="str">
        <f t="shared" si="63"/>
        <v xml:space="preserve"> </v>
      </c>
      <c r="AC918" s="12" t="str">
        <f t="shared" si="64"/>
        <v xml:space="preserve"> </v>
      </c>
    </row>
    <row r="919" spans="1:29" ht="20.100000000000001" customHeight="1" x14ac:dyDescent="0.25">
      <c r="A919" s="16"/>
      <c r="B919" s="108"/>
      <c r="C919" s="109"/>
      <c r="D919" s="109"/>
      <c r="E919" s="109"/>
      <c r="F919" s="17"/>
      <c r="G919" s="17"/>
      <c r="H919" s="108"/>
      <c r="I919" s="107"/>
      <c r="J919" s="108"/>
      <c r="K919" s="107"/>
      <c r="L919" s="108"/>
      <c r="M919" s="110"/>
      <c r="N919" s="109"/>
      <c r="O919" s="108"/>
      <c r="P919" s="233"/>
      <c r="Q919" s="239"/>
      <c r="R919" s="19"/>
      <c r="S919" s="20"/>
      <c r="T919" s="9" t="str">
        <f t="shared" si="61"/>
        <v xml:space="preserve"> </v>
      </c>
      <c r="U919" s="18"/>
      <c r="V919" s="21"/>
      <c r="W919" s="22"/>
      <c r="X919" s="197" t="str">
        <f t="shared" si="62"/>
        <v xml:space="preserve"> </v>
      </c>
      <c r="Y919" s="246"/>
      <c r="Z919" s="247"/>
      <c r="AA919" s="20"/>
      <c r="AB919" s="11" t="str">
        <f t="shared" si="63"/>
        <v xml:space="preserve"> </v>
      </c>
      <c r="AC919" s="12" t="str">
        <f t="shared" si="64"/>
        <v xml:space="preserve"> </v>
      </c>
    </row>
    <row r="920" spans="1:29" ht="20.100000000000001" customHeight="1" x14ac:dyDescent="0.25">
      <c r="A920" s="16"/>
      <c r="B920" s="108"/>
      <c r="C920" s="109"/>
      <c r="D920" s="109"/>
      <c r="E920" s="109"/>
      <c r="F920" s="17"/>
      <c r="G920" s="17"/>
      <c r="H920" s="108"/>
      <c r="I920" s="107"/>
      <c r="J920" s="108"/>
      <c r="K920" s="107"/>
      <c r="L920" s="108"/>
      <c r="M920" s="110"/>
      <c r="N920" s="109"/>
      <c r="O920" s="108"/>
      <c r="P920" s="233"/>
      <c r="Q920" s="239"/>
      <c r="R920" s="19"/>
      <c r="S920" s="20"/>
      <c r="T920" s="9" t="str">
        <f t="shared" si="61"/>
        <v xml:space="preserve"> </v>
      </c>
      <c r="U920" s="18"/>
      <c r="V920" s="21"/>
      <c r="W920" s="22"/>
      <c r="X920" s="197" t="str">
        <f t="shared" si="62"/>
        <v xml:space="preserve"> </v>
      </c>
      <c r="Y920" s="246"/>
      <c r="Z920" s="247"/>
      <c r="AA920" s="20"/>
      <c r="AB920" s="11" t="str">
        <f t="shared" si="63"/>
        <v xml:space="preserve"> </v>
      </c>
      <c r="AC920" s="12" t="str">
        <f t="shared" si="64"/>
        <v xml:space="preserve"> </v>
      </c>
    </row>
    <row r="921" spans="1:29" ht="20.100000000000001" customHeight="1" x14ac:dyDescent="0.25">
      <c r="A921" s="16"/>
      <c r="B921" s="108"/>
      <c r="C921" s="109"/>
      <c r="D921" s="109"/>
      <c r="E921" s="109"/>
      <c r="F921" s="17"/>
      <c r="G921" s="17"/>
      <c r="H921" s="108"/>
      <c r="I921" s="107"/>
      <c r="J921" s="108"/>
      <c r="K921" s="107"/>
      <c r="L921" s="108"/>
      <c r="M921" s="110"/>
      <c r="N921" s="109"/>
      <c r="O921" s="108"/>
      <c r="P921" s="233"/>
      <c r="Q921" s="239"/>
      <c r="R921" s="19"/>
      <c r="S921" s="20"/>
      <c r="T921" s="9" t="str">
        <f t="shared" si="61"/>
        <v xml:space="preserve"> </v>
      </c>
      <c r="U921" s="18"/>
      <c r="V921" s="21"/>
      <c r="W921" s="22"/>
      <c r="X921" s="197" t="str">
        <f t="shared" si="62"/>
        <v xml:space="preserve"> </v>
      </c>
      <c r="Y921" s="246"/>
      <c r="Z921" s="247"/>
      <c r="AA921" s="20"/>
      <c r="AB921" s="11" t="str">
        <f t="shared" si="63"/>
        <v xml:space="preserve"> </v>
      </c>
      <c r="AC921" s="12" t="str">
        <f t="shared" si="64"/>
        <v xml:space="preserve"> </v>
      </c>
    </row>
    <row r="922" spans="1:29" ht="20.100000000000001" customHeight="1" x14ac:dyDescent="0.25">
      <c r="A922" s="16"/>
      <c r="B922" s="108"/>
      <c r="C922" s="109"/>
      <c r="D922" s="109"/>
      <c r="E922" s="109"/>
      <c r="F922" s="17"/>
      <c r="G922" s="17"/>
      <c r="H922" s="108"/>
      <c r="I922" s="107"/>
      <c r="J922" s="108"/>
      <c r="K922" s="107"/>
      <c r="L922" s="108"/>
      <c r="M922" s="110"/>
      <c r="N922" s="109"/>
      <c r="O922" s="108"/>
      <c r="P922" s="233"/>
      <c r="Q922" s="239"/>
      <c r="R922" s="19"/>
      <c r="S922" s="20"/>
      <c r="T922" s="9" t="str">
        <f t="shared" si="61"/>
        <v xml:space="preserve"> </v>
      </c>
      <c r="U922" s="18"/>
      <c r="V922" s="21"/>
      <c r="W922" s="22"/>
      <c r="X922" s="197" t="str">
        <f t="shared" si="62"/>
        <v xml:space="preserve"> </v>
      </c>
      <c r="Y922" s="246"/>
      <c r="Z922" s="247"/>
      <c r="AA922" s="20"/>
      <c r="AB922" s="11" t="str">
        <f t="shared" si="63"/>
        <v xml:space="preserve"> </v>
      </c>
      <c r="AC922" s="12" t="str">
        <f t="shared" si="64"/>
        <v xml:space="preserve"> </v>
      </c>
    </row>
    <row r="923" spans="1:29" ht="20.100000000000001" customHeight="1" x14ac:dyDescent="0.25">
      <c r="A923" s="16"/>
      <c r="B923" s="108"/>
      <c r="C923" s="109"/>
      <c r="D923" s="109"/>
      <c r="E923" s="109"/>
      <c r="F923" s="17"/>
      <c r="G923" s="17"/>
      <c r="H923" s="108"/>
      <c r="I923" s="107"/>
      <c r="J923" s="108"/>
      <c r="K923" s="107"/>
      <c r="L923" s="108"/>
      <c r="M923" s="110"/>
      <c r="N923" s="109"/>
      <c r="O923" s="108"/>
      <c r="P923" s="233"/>
      <c r="Q923" s="239"/>
      <c r="R923" s="19"/>
      <c r="S923" s="20"/>
      <c r="T923" s="9" t="str">
        <f t="shared" si="61"/>
        <v xml:space="preserve"> </v>
      </c>
      <c r="U923" s="18"/>
      <c r="V923" s="21"/>
      <c r="W923" s="22"/>
      <c r="X923" s="197" t="str">
        <f t="shared" si="62"/>
        <v xml:space="preserve"> </v>
      </c>
      <c r="Y923" s="246"/>
      <c r="Z923" s="247"/>
      <c r="AA923" s="20"/>
      <c r="AB923" s="11" t="str">
        <f t="shared" si="63"/>
        <v xml:space="preserve"> </v>
      </c>
      <c r="AC923" s="12" t="str">
        <f t="shared" si="64"/>
        <v xml:space="preserve"> </v>
      </c>
    </row>
    <row r="924" spans="1:29" ht="20.100000000000001" customHeight="1" x14ac:dyDescent="0.25">
      <c r="A924" s="16"/>
      <c r="B924" s="108"/>
      <c r="C924" s="109"/>
      <c r="D924" s="109"/>
      <c r="E924" s="109"/>
      <c r="F924" s="17"/>
      <c r="G924" s="17"/>
      <c r="H924" s="108"/>
      <c r="I924" s="107"/>
      <c r="J924" s="108"/>
      <c r="K924" s="107"/>
      <c r="L924" s="108"/>
      <c r="M924" s="110"/>
      <c r="N924" s="109"/>
      <c r="O924" s="108"/>
      <c r="P924" s="233"/>
      <c r="Q924" s="239"/>
      <c r="R924" s="19"/>
      <c r="S924" s="20"/>
      <c r="T924" s="9" t="str">
        <f t="shared" si="61"/>
        <v xml:space="preserve"> </v>
      </c>
      <c r="U924" s="18"/>
      <c r="V924" s="21"/>
      <c r="W924" s="22"/>
      <c r="X924" s="197" t="str">
        <f t="shared" si="62"/>
        <v xml:space="preserve"> </v>
      </c>
      <c r="Y924" s="246"/>
      <c r="Z924" s="247"/>
      <c r="AA924" s="20"/>
      <c r="AB924" s="11" t="str">
        <f t="shared" si="63"/>
        <v xml:space="preserve"> </v>
      </c>
      <c r="AC924" s="12" t="str">
        <f t="shared" si="64"/>
        <v xml:space="preserve"> </v>
      </c>
    </row>
    <row r="925" spans="1:29" ht="20.100000000000001" customHeight="1" x14ac:dyDescent="0.25">
      <c r="A925" s="16"/>
      <c r="B925" s="108"/>
      <c r="C925" s="109"/>
      <c r="D925" s="109"/>
      <c r="E925" s="109"/>
      <c r="F925" s="17"/>
      <c r="G925" s="17"/>
      <c r="H925" s="108"/>
      <c r="I925" s="107"/>
      <c r="J925" s="108"/>
      <c r="K925" s="107"/>
      <c r="L925" s="108"/>
      <c r="M925" s="110"/>
      <c r="N925" s="109"/>
      <c r="O925" s="108"/>
      <c r="P925" s="233"/>
      <c r="Q925" s="239"/>
      <c r="R925" s="19"/>
      <c r="S925" s="20"/>
      <c r="T925" s="9" t="str">
        <f t="shared" si="61"/>
        <v xml:space="preserve"> </v>
      </c>
      <c r="U925" s="18"/>
      <c r="V925" s="21"/>
      <c r="W925" s="22"/>
      <c r="X925" s="197" t="str">
        <f t="shared" si="62"/>
        <v xml:space="preserve"> </v>
      </c>
      <c r="Y925" s="246"/>
      <c r="Z925" s="247"/>
      <c r="AA925" s="20"/>
      <c r="AB925" s="11" t="str">
        <f t="shared" si="63"/>
        <v xml:space="preserve"> </v>
      </c>
      <c r="AC925" s="12" t="str">
        <f t="shared" si="64"/>
        <v xml:space="preserve"> </v>
      </c>
    </row>
    <row r="926" spans="1:29" ht="20.100000000000001" customHeight="1" x14ac:dyDescent="0.25">
      <c r="A926" s="16"/>
      <c r="B926" s="108"/>
      <c r="C926" s="109"/>
      <c r="D926" s="109"/>
      <c r="E926" s="109"/>
      <c r="F926" s="17"/>
      <c r="G926" s="17"/>
      <c r="H926" s="108"/>
      <c r="I926" s="107"/>
      <c r="J926" s="108"/>
      <c r="K926" s="107"/>
      <c r="L926" s="108"/>
      <c r="M926" s="110"/>
      <c r="N926" s="109"/>
      <c r="O926" s="108"/>
      <c r="P926" s="233"/>
      <c r="Q926" s="239"/>
      <c r="R926" s="19"/>
      <c r="S926" s="20"/>
      <c r="T926" s="9" t="str">
        <f t="shared" si="61"/>
        <v xml:space="preserve"> </v>
      </c>
      <c r="U926" s="18"/>
      <c r="V926" s="21"/>
      <c r="W926" s="22"/>
      <c r="X926" s="197" t="str">
        <f t="shared" si="62"/>
        <v xml:space="preserve"> </v>
      </c>
      <c r="Y926" s="246"/>
      <c r="Z926" s="247"/>
      <c r="AA926" s="20"/>
      <c r="AB926" s="11" t="str">
        <f t="shared" si="63"/>
        <v xml:space="preserve"> </v>
      </c>
      <c r="AC926" s="12" t="str">
        <f t="shared" si="64"/>
        <v xml:space="preserve"> </v>
      </c>
    </row>
    <row r="927" spans="1:29" ht="20.100000000000001" customHeight="1" x14ac:dyDescent="0.25">
      <c r="A927" s="16"/>
      <c r="B927" s="108"/>
      <c r="C927" s="109"/>
      <c r="D927" s="109"/>
      <c r="E927" s="109"/>
      <c r="F927" s="17"/>
      <c r="G927" s="17"/>
      <c r="H927" s="108"/>
      <c r="I927" s="107"/>
      <c r="J927" s="108"/>
      <c r="K927" s="107"/>
      <c r="L927" s="108"/>
      <c r="M927" s="110"/>
      <c r="N927" s="109"/>
      <c r="O927" s="108"/>
      <c r="P927" s="233"/>
      <c r="Q927" s="239"/>
      <c r="R927" s="19"/>
      <c r="S927" s="20"/>
      <c r="T927" s="9" t="str">
        <f t="shared" si="61"/>
        <v xml:space="preserve"> </v>
      </c>
      <c r="U927" s="18"/>
      <c r="V927" s="21"/>
      <c r="W927" s="22"/>
      <c r="X927" s="197" t="str">
        <f t="shared" si="62"/>
        <v xml:space="preserve"> </v>
      </c>
      <c r="Y927" s="246"/>
      <c r="Z927" s="247"/>
      <c r="AA927" s="20"/>
      <c r="AB927" s="11" t="str">
        <f t="shared" si="63"/>
        <v xml:space="preserve"> </v>
      </c>
      <c r="AC927" s="12" t="str">
        <f t="shared" si="64"/>
        <v xml:space="preserve"> </v>
      </c>
    </row>
    <row r="928" spans="1:29" ht="20.100000000000001" customHeight="1" x14ac:dyDescent="0.25">
      <c r="A928" s="16"/>
      <c r="B928" s="108"/>
      <c r="C928" s="109"/>
      <c r="D928" s="109"/>
      <c r="E928" s="109"/>
      <c r="F928" s="17"/>
      <c r="G928" s="17"/>
      <c r="H928" s="108"/>
      <c r="I928" s="107"/>
      <c r="J928" s="108"/>
      <c r="K928" s="107"/>
      <c r="L928" s="108"/>
      <c r="M928" s="110"/>
      <c r="N928" s="109"/>
      <c r="O928" s="108"/>
      <c r="P928" s="233"/>
      <c r="Q928" s="239"/>
      <c r="R928" s="19"/>
      <c r="S928" s="20"/>
      <c r="T928" s="9" t="str">
        <f t="shared" si="61"/>
        <v xml:space="preserve"> </v>
      </c>
      <c r="U928" s="18"/>
      <c r="V928" s="21"/>
      <c r="W928" s="22"/>
      <c r="X928" s="197" t="str">
        <f t="shared" si="62"/>
        <v xml:space="preserve"> </v>
      </c>
      <c r="Y928" s="246"/>
      <c r="Z928" s="247"/>
      <c r="AA928" s="20"/>
      <c r="AB928" s="11" t="str">
        <f t="shared" si="63"/>
        <v xml:space="preserve"> </v>
      </c>
      <c r="AC928" s="12" t="str">
        <f t="shared" si="64"/>
        <v xml:space="preserve"> </v>
      </c>
    </row>
    <row r="929" spans="1:29" ht="20.100000000000001" customHeight="1" x14ac:dyDescent="0.25">
      <c r="A929" s="16"/>
      <c r="B929" s="108"/>
      <c r="C929" s="109"/>
      <c r="D929" s="109"/>
      <c r="E929" s="109"/>
      <c r="F929" s="17"/>
      <c r="G929" s="17"/>
      <c r="H929" s="108"/>
      <c r="I929" s="107"/>
      <c r="J929" s="108"/>
      <c r="K929" s="107"/>
      <c r="L929" s="108"/>
      <c r="M929" s="110"/>
      <c r="N929" s="109"/>
      <c r="O929" s="108"/>
      <c r="P929" s="233"/>
      <c r="Q929" s="239"/>
      <c r="R929" s="19"/>
      <c r="S929" s="20"/>
      <c r="T929" s="9" t="str">
        <f t="shared" si="61"/>
        <v xml:space="preserve"> </v>
      </c>
      <c r="U929" s="18"/>
      <c r="V929" s="21"/>
      <c r="W929" s="22"/>
      <c r="X929" s="197" t="str">
        <f t="shared" si="62"/>
        <v xml:space="preserve"> </v>
      </c>
      <c r="Y929" s="246"/>
      <c r="Z929" s="247"/>
      <c r="AA929" s="20"/>
      <c r="AB929" s="11" t="str">
        <f t="shared" si="63"/>
        <v xml:space="preserve"> </v>
      </c>
      <c r="AC929" s="12" t="str">
        <f t="shared" si="64"/>
        <v xml:space="preserve"> </v>
      </c>
    </row>
    <row r="930" spans="1:29" ht="20.100000000000001" customHeight="1" x14ac:dyDescent="0.25">
      <c r="A930" s="16"/>
      <c r="B930" s="108"/>
      <c r="C930" s="109"/>
      <c r="D930" s="109"/>
      <c r="E930" s="109"/>
      <c r="F930" s="17"/>
      <c r="G930" s="17"/>
      <c r="H930" s="108"/>
      <c r="I930" s="107"/>
      <c r="J930" s="108"/>
      <c r="K930" s="107"/>
      <c r="L930" s="108"/>
      <c r="M930" s="110"/>
      <c r="N930" s="109"/>
      <c r="O930" s="108"/>
      <c r="P930" s="233"/>
      <c r="Q930" s="239"/>
      <c r="R930" s="19"/>
      <c r="S930" s="20"/>
      <c r="T930" s="9" t="str">
        <f t="shared" si="61"/>
        <v xml:space="preserve"> </v>
      </c>
      <c r="U930" s="18"/>
      <c r="V930" s="21"/>
      <c r="W930" s="22"/>
      <c r="X930" s="197" t="str">
        <f t="shared" si="62"/>
        <v xml:space="preserve"> </v>
      </c>
      <c r="Y930" s="246"/>
      <c r="Z930" s="247"/>
      <c r="AA930" s="20"/>
      <c r="AB930" s="11" t="str">
        <f t="shared" si="63"/>
        <v xml:space="preserve"> </v>
      </c>
      <c r="AC930" s="12" t="str">
        <f t="shared" si="64"/>
        <v xml:space="preserve"> </v>
      </c>
    </row>
    <row r="931" spans="1:29" ht="20.100000000000001" customHeight="1" x14ac:dyDescent="0.25">
      <c r="A931" s="16"/>
      <c r="B931" s="108"/>
      <c r="C931" s="109"/>
      <c r="D931" s="109"/>
      <c r="E931" s="109"/>
      <c r="F931" s="17"/>
      <c r="G931" s="17"/>
      <c r="H931" s="108"/>
      <c r="I931" s="107"/>
      <c r="J931" s="108"/>
      <c r="K931" s="107"/>
      <c r="L931" s="108"/>
      <c r="M931" s="110"/>
      <c r="N931" s="109"/>
      <c r="O931" s="108"/>
      <c r="P931" s="233"/>
      <c r="Q931" s="239"/>
      <c r="R931" s="19"/>
      <c r="S931" s="20"/>
      <c r="T931" s="9" t="str">
        <f t="shared" si="61"/>
        <v xml:space="preserve"> </v>
      </c>
      <c r="U931" s="18"/>
      <c r="V931" s="21"/>
      <c r="W931" s="22"/>
      <c r="X931" s="197" t="str">
        <f t="shared" si="62"/>
        <v xml:space="preserve"> </v>
      </c>
      <c r="Y931" s="246"/>
      <c r="Z931" s="247"/>
      <c r="AA931" s="20"/>
      <c r="AB931" s="11" t="str">
        <f t="shared" si="63"/>
        <v xml:space="preserve"> </v>
      </c>
      <c r="AC931" s="12" t="str">
        <f t="shared" si="64"/>
        <v xml:space="preserve"> </v>
      </c>
    </row>
    <row r="932" spans="1:29" ht="20.100000000000001" customHeight="1" x14ac:dyDescent="0.25">
      <c r="A932" s="16"/>
      <c r="B932" s="108"/>
      <c r="C932" s="109"/>
      <c r="D932" s="109"/>
      <c r="E932" s="109"/>
      <c r="F932" s="17"/>
      <c r="G932" s="17"/>
      <c r="H932" s="108"/>
      <c r="I932" s="107"/>
      <c r="J932" s="108"/>
      <c r="K932" s="107"/>
      <c r="L932" s="108"/>
      <c r="M932" s="110"/>
      <c r="N932" s="109"/>
      <c r="O932" s="108"/>
      <c r="P932" s="233"/>
      <c r="Q932" s="239"/>
      <c r="R932" s="19"/>
      <c r="S932" s="20"/>
      <c r="T932" s="9" t="str">
        <f t="shared" si="61"/>
        <v xml:space="preserve"> </v>
      </c>
      <c r="U932" s="18"/>
      <c r="V932" s="21"/>
      <c r="W932" s="22"/>
      <c r="X932" s="197" t="str">
        <f t="shared" si="62"/>
        <v xml:space="preserve"> </v>
      </c>
      <c r="Y932" s="246"/>
      <c r="Z932" s="247"/>
      <c r="AA932" s="20"/>
      <c r="AB932" s="11" t="str">
        <f t="shared" si="63"/>
        <v xml:space="preserve"> </v>
      </c>
      <c r="AC932" s="12" t="str">
        <f t="shared" si="64"/>
        <v xml:space="preserve"> </v>
      </c>
    </row>
    <row r="933" spans="1:29" ht="20.100000000000001" customHeight="1" x14ac:dyDescent="0.25">
      <c r="A933" s="16"/>
      <c r="B933" s="108"/>
      <c r="C933" s="109"/>
      <c r="D933" s="109"/>
      <c r="E933" s="109"/>
      <c r="F933" s="17"/>
      <c r="G933" s="17"/>
      <c r="H933" s="108"/>
      <c r="I933" s="107"/>
      <c r="J933" s="108"/>
      <c r="K933" s="107"/>
      <c r="L933" s="108"/>
      <c r="M933" s="110"/>
      <c r="N933" s="109"/>
      <c r="O933" s="108"/>
      <c r="P933" s="233"/>
      <c r="Q933" s="239"/>
      <c r="R933" s="19"/>
      <c r="S933" s="20"/>
      <c r="T933" s="9" t="str">
        <f t="shared" si="61"/>
        <v xml:space="preserve"> </v>
      </c>
      <c r="U933" s="18"/>
      <c r="V933" s="21"/>
      <c r="W933" s="22"/>
      <c r="X933" s="197" t="str">
        <f t="shared" si="62"/>
        <v xml:space="preserve"> </v>
      </c>
      <c r="Y933" s="246"/>
      <c r="Z933" s="247"/>
      <c r="AA933" s="20"/>
      <c r="AB933" s="11" t="str">
        <f t="shared" si="63"/>
        <v xml:space="preserve"> </v>
      </c>
      <c r="AC933" s="12" t="str">
        <f t="shared" si="64"/>
        <v xml:space="preserve"> </v>
      </c>
    </row>
    <row r="934" spans="1:29" ht="20.100000000000001" customHeight="1" x14ac:dyDescent="0.25">
      <c r="A934" s="16"/>
      <c r="B934" s="108"/>
      <c r="C934" s="109"/>
      <c r="D934" s="109"/>
      <c r="E934" s="109"/>
      <c r="F934" s="17"/>
      <c r="G934" s="17"/>
      <c r="H934" s="108"/>
      <c r="I934" s="107"/>
      <c r="J934" s="108"/>
      <c r="K934" s="107"/>
      <c r="L934" s="108"/>
      <c r="M934" s="110"/>
      <c r="N934" s="109"/>
      <c r="O934" s="108"/>
      <c r="P934" s="233"/>
      <c r="Q934" s="239"/>
      <c r="R934" s="19"/>
      <c r="S934" s="20"/>
      <c r="T934" s="9" t="str">
        <f t="shared" si="61"/>
        <v xml:space="preserve"> </v>
      </c>
      <c r="U934" s="18"/>
      <c r="V934" s="21"/>
      <c r="W934" s="22"/>
      <c r="X934" s="197" t="str">
        <f t="shared" si="62"/>
        <v xml:space="preserve"> </v>
      </c>
      <c r="Y934" s="246"/>
      <c r="Z934" s="247"/>
      <c r="AA934" s="20"/>
      <c r="AB934" s="11" t="str">
        <f t="shared" si="63"/>
        <v xml:space="preserve"> </v>
      </c>
      <c r="AC934" s="12" t="str">
        <f t="shared" si="64"/>
        <v xml:space="preserve"> </v>
      </c>
    </row>
    <row r="935" spans="1:29" ht="20.100000000000001" customHeight="1" x14ac:dyDescent="0.25">
      <c r="A935" s="16"/>
      <c r="B935" s="108"/>
      <c r="C935" s="109"/>
      <c r="D935" s="109"/>
      <c r="E935" s="109"/>
      <c r="F935" s="17"/>
      <c r="G935" s="17"/>
      <c r="H935" s="108"/>
      <c r="I935" s="107"/>
      <c r="J935" s="108"/>
      <c r="K935" s="107"/>
      <c r="L935" s="108"/>
      <c r="M935" s="110"/>
      <c r="N935" s="109"/>
      <c r="O935" s="108"/>
      <c r="P935" s="233"/>
      <c r="Q935" s="239"/>
      <c r="R935" s="19"/>
      <c r="S935" s="20"/>
      <c r="T935" s="9" t="str">
        <f t="shared" si="61"/>
        <v xml:space="preserve"> </v>
      </c>
      <c r="U935" s="18"/>
      <c r="V935" s="21"/>
      <c r="W935" s="22"/>
      <c r="X935" s="197" t="str">
        <f t="shared" si="62"/>
        <v xml:space="preserve"> </v>
      </c>
      <c r="Y935" s="246"/>
      <c r="Z935" s="247"/>
      <c r="AA935" s="20"/>
      <c r="AB935" s="11" t="str">
        <f t="shared" si="63"/>
        <v xml:space="preserve"> </v>
      </c>
      <c r="AC935" s="12" t="str">
        <f t="shared" si="64"/>
        <v xml:space="preserve"> </v>
      </c>
    </row>
    <row r="936" spans="1:29" ht="20.100000000000001" customHeight="1" x14ac:dyDescent="0.25">
      <c r="A936" s="16"/>
      <c r="B936" s="108"/>
      <c r="C936" s="109"/>
      <c r="D936" s="109"/>
      <c r="E936" s="109"/>
      <c r="F936" s="17"/>
      <c r="G936" s="17"/>
      <c r="H936" s="108"/>
      <c r="I936" s="107"/>
      <c r="J936" s="108"/>
      <c r="K936" s="107"/>
      <c r="L936" s="108"/>
      <c r="M936" s="110"/>
      <c r="N936" s="109"/>
      <c r="O936" s="108"/>
      <c r="P936" s="233"/>
      <c r="Q936" s="239"/>
      <c r="R936" s="19"/>
      <c r="S936" s="20"/>
      <c r="T936" s="9" t="str">
        <f t="shared" si="61"/>
        <v xml:space="preserve"> </v>
      </c>
      <c r="U936" s="18"/>
      <c r="V936" s="21"/>
      <c r="W936" s="22"/>
      <c r="X936" s="197" t="str">
        <f t="shared" si="62"/>
        <v xml:space="preserve"> </v>
      </c>
      <c r="Y936" s="246"/>
      <c r="Z936" s="247"/>
      <c r="AA936" s="20"/>
      <c r="AB936" s="11" t="str">
        <f t="shared" si="63"/>
        <v xml:space="preserve"> </v>
      </c>
      <c r="AC936" s="12" t="str">
        <f t="shared" si="64"/>
        <v xml:space="preserve"> </v>
      </c>
    </row>
    <row r="937" spans="1:29" ht="20.100000000000001" customHeight="1" x14ac:dyDescent="0.25">
      <c r="A937" s="16"/>
      <c r="B937" s="108"/>
      <c r="C937" s="109"/>
      <c r="D937" s="109"/>
      <c r="E937" s="109"/>
      <c r="F937" s="17"/>
      <c r="G937" s="17"/>
      <c r="H937" s="108"/>
      <c r="I937" s="107"/>
      <c r="J937" s="108"/>
      <c r="K937" s="107"/>
      <c r="L937" s="108"/>
      <c r="M937" s="110"/>
      <c r="N937" s="109"/>
      <c r="O937" s="108"/>
      <c r="P937" s="233"/>
      <c r="Q937" s="239"/>
      <c r="R937" s="19"/>
      <c r="S937" s="20"/>
      <c r="T937" s="9" t="str">
        <f t="shared" si="61"/>
        <v xml:space="preserve"> </v>
      </c>
      <c r="U937" s="18"/>
      <c r="V937" s="21"/>
      <c r="W937" s="22"/>
      <c r="X937" s="197" t="str">
        <f t="shared" si="62"/>
        <v xml:space="preserve"> </v>
      </c>
      <c r="Y937" s="246"/>
      <c r="Z937" s="247"/>
      <c r="AA937" s="20"/>
      <c r="AB937" s="11" t="str">
        <f t="shared" si="63"/>
        <v xml:space="preserve"> </v>
      </c>
      <c r="AC937" s="12" t="str">
        <f t="shared" si="64"/>
        <v xml:space="preserve"> </v>
      </c>
    </row>
    <row r="938" spans="1:29" ht="20.100000000000001" customHeight="1" x14ac:dyDescent="0.25">
      <c r="A938" s="16"/>
      <c r="B938" s="108"/>
      <c r="C938" s="109"/>
      <c r="D938" s="109"/>
      <c r="E938" s="109"/>
      <c r="F938" s="17"/>
      <c r="G938" s="17"/>
      <c r="H938" s="108"/>
      <c r="I938" s="107"/>
      <c r="J938" s="108"/>
      <c r="K938" s="107"/>
      <c r="L938" s="108"/>
      <c r="M938" s="110"/>
      <c r="N938" s="109"/>
      <c r="O938" s="108"/>
      <c r="P938" s="233"/>
      <c r="Q938" s="239"/>
      <c r="R938" s="19"/>
      <c r="S938" s="20"/>
      <c r="T938" s="9" t="str">
        <f t="shared" si="61"/>
        <v xml:space="preserve"> </v>
      </c>
      <c r="U938" s="18"/>
      <c r="V938" s="21"/>
      <c r="W938" s="22"/>
      <c r="X938" s="197" t="str">
        <f t="shared" si="62"/>
        <v xml:space="preserve"> </v>
      </c>
      <c r="Y938" s="246"/>
      <c r="Z938" s="247"/>
      <c r="AA938" s="20"/>
      <c r="AB938" s="11" t="str">
        <f t="shared" si="63"/>
        <v xml:space="preserve"> </v>
      </c>
      <c r="AC938" s="12" t="str">
        <f t="shared" si="64"/>
        <v xml:space="preserve"> </v>
      </c>
    </row>
    <row r="939" spans="1:29" ht="20.100000000000001" customHeight="1" x14ac:dyDescent="0.25">
      <c r="A939" s="16"/>
      <c r="B939" s="108"/>
      <c r="C939" s="109"/>
      <c r="D939" s="109"/>
      <c r="E939" s="109"/>
      <c r="F939" s="17"/>
      <c r="G939" s="17"/>
      <c r="H939" s="108"/>
      <c r="I939" s="107"/>
      <c r="J939" s="108"/>
      <c r="K939" s="107"/>
      <c r="L939" s="108"/>
      <c r="M939" s="110"/>
      <c r="N939" s="109"/>
      <c r="O939" s="108"/>
      <c r="P939" s="233"/>
      <c r="Q939" s="239"/>
      <c r="R939" s="19"/>
      <c r="S939" s="20"/>
      <c r="T939" s="9" t="str">
        <f t="shared" si="61"/>
        <v xml:space="preserve"> </v>
      </c>
      <c r="U939" s="18"/>
      <c r="V939" s="21"/>
      <c r="W939" s="22"/>
      <c r="X939" s="197" t="str">
        <f t="shared" si="62"/>
        <v xml:space="preserve"> </v>
      </c>
      <c r="Y939" s="246"/>
      <c r="Z939" s="247"/>
      <c r="AA939" s="20"/>
      <c r="AB939" s="11" t="str">
        <f t="shared" si="63"/>
        <v xml:space="preserve"> </v>
      </c>
      <c r="AC939" s="12" t="str">
        <f t="shared" si="64"/>
        <v xml:space="preserve"> </v>
      </c>
    </row>
    <row r="940" spans="1:29" ht="20.100000000000001" customHeight="1" x14ac:dyDescent="0.25">
      <c r="A940" s="16"/>
      <c r="B940" s="108"/>
      <c r="C940" s="109"/>
      <c r="D940" s="109"/>
      <c r="E940" s="109"/>
      <c r="F940" s="17"/>
      <c r="G940" s="17"/>
      <c r="H940" s="108"/>
      <c r="I940" s="107"/>
      <c r="J940" s="108"/>
      <c r="K940" s="107"/>
      <c r="L940" s="108"/>
      <c r="M940" s="110"/>
      <c r="N940" s="109"/>
      <c r="O940" s="108"/>
      <c r="P940" s="233"/>
      <c r="Q940" s="239"/>
      <c r="R940" s="19"/>
      <c r="S940" s="20"/>
      <c r="T940" s="9" t="str">
        <f t="shared" si="61"/>
        <v xml:space="preserve"> </v>
      </c>
      <c r="U940" s="18"/>
      <c r="V940" s="21"/>
      <c r="W940" s="22"/>
      <c r="X940" s="197" t="str">
        <f t="shared" si="62"/>
        <v xml:space="preserve"> </v>
      </c>
      <c r="Y940" s="246"/>
      <c r="Z940" s="247"/>
      <c r="AA940" s="20"/>
      <c r="AB940" s="11" t="str">
        <f t="shared" si="63"/>
        <v xml:space="preserve"> </v>
      </c>
      <c r="AC940" s="12" t="str">
        <f t="shared" si="64"/>
        <v xml:space="preserve"> </v>
      </c>
    </row>
    <row r="941" spans="1:29" ht="20.100000000000001" customHeight="1" x14ac:dyDescent="0.25">
      <c r="A941" s="16"/>
      <c r="B941" s="108"/>
      <c r="C941" s="109"/>
      <c r="D941" s="109"/>
      <c r="E941" s="109"/>
      <c r="F941" s="17"/>
      <c r="G941" s="17"/>
      <c r="H941" s="108"/>
      <c r="I941" s="107"/>
      <c r="J941" s="108"/>
      <c r="K941" s="107"/>
      <c r="L941" s="108"/>
      <c r="M941" s="110"/>
      <c r="N941" s="109"/>
      <c r="O941" s="108"/>
      <c r="P941" s="233"/>
      <c r="Q941" s="239"/>
      <c r="R941" s="19"/>
      <c r="S941" s="20"/>
      <c r="T941" s="9" t="str">
        <f t="shared" si="61"/>
        <v xml:space="preserve"> </v>
      </c>
      <c r="U941" s="18"/>
      <c r="V941" s="21"/>
      <c r="W941" s="22"/>
      <c r="X941" s="197" t="str">
        <f t="shared" si="62"/>
        <v xml:space="preserve"> </v>
      </c>
      <c r="Y941" s="246"/>
      <c r="Z941" s="247"/>
      <c r="AA941" s="20"/>
      <c r="AB941" s="11" t="str">
        <f t="shared" si="63"/>
        <v xml:space="preserve"> </v>
      </c>
      <c r="AC941" s="12" t="str">
        <f t="shared" si="64"/>
        <v xml:space="preserve"> </v>
      </c>
    </row>
    <row r="942" spans="1:29" ht="20.100000000000001" customHeight="1" x14ac:dyDescent="0.25">
      <c r="A942" s="16"/>
      <c r="B942" s="108"/>
      <c r="C942" s="109"/>
      <c r="D942" s="109"/>
      <c r="E942" s="109"/>
      <c r="F942" s="17"/>
      <c r="G942" s="17"/>
      <c r="H942" s="108"/>
      <c r="I942" s="107"/>
      <c r="J942" s="108"/>
      <c r="K942" s="107"/>
      <c r="L942" s="108"/>
      <c r="M942" s="110"/>
      <c r="N942" s="109"/>
      <c r="O942" s="108"/>
      <c r="P942" s="233"/>
      <c r="Q942" s="239"/>
      <c r="R942" s="19"/>
      <c r="S942" s="20"/>
      <c r="T942" s="9" t="str">
        <f t="shared" si="61"/>
        <v xml:space="preserve"> </v>
      </c>
      <c r="U942" s="18"/>
      <c r="V942" s="21"/>
      <c r="W942" s="22"/>
      <c r="X942" s="197" t="str">
        <f t="shared" si="62"/>
        <v xml:space="preserve"> </v>
      </c>
      <c r="Y942" s="246"/>
      <c r="Z942" s="247"/>
      <c r="AA942" s="20"/>
      <c r="AB942" s="11" t="str">
        <f t="shared" si="63"/>
        <v xml:space="preserve"> </v>
      </c>
      <c r="AC942" s="12" t="str">
        <f t="shared" si="64"/>
        <v xml:space="preserve"> </v>
      </c>
    </row>
    <row r="943" spans="1:29" ht="20.100000000000001" customHeight="1" x14ac:dyDescent="0.25">
      <c r="A943" s="16"/>
      <c r="B943" s="108"/>
      <c r="C943" s="109"/>
      <c r="D943" s="109"/>
      <c r="E943" s="109"/>
      <c r="F943" s="17"/>
      <c r="G943" s="17"/>
      <c r="H943" s="108"/>
      <c r="I943" s="107"/>
      <c r="J943" s="108"/>
      <c r="K943" s="107"/>
      <c r="L943" s="108"/>
      <c r="M943" s="110"/>
      <c r="N943" s="109"/>
      <c r="O943" s="108"/>
      <c r="P943" s="233"/>
      <c r="Q943" s="239"/>
      <c r="R943" s="19"/>
      <c r="S943" s="20"/>
      <c r="T943" s="9" t="str">
        <f t="shared" si="61"/>
        <v xml:space="preserve"> </v>
      </c>
      <c r="U943" s="18"/>
      <c r="V943" s="21"/>
      <c r="W943" s="22"/>
      <c r="X943" s="197" t="str">
        <f t="shared" si="62"/>
        <v xml:space="preserve"> </v>
      </c>
      <c r="Y943" s="246"/>
      <c r="Z943" s="247"/>
      <c r="AA943" s="20"/>
      <c r="AB943" s="11" t="str">
        <f t="shared" si="63"/>
        <v xml:space="preserve"> </v>
      </c>
      <c r="AC943" s="12" t="str">
        <f t="shared" si="64"/>
        <v xml:space="preserve"> </v>
      </c>
    </row>
    <row r="944" spans="1:29" ht="20.100000000000001" customHeight="1" x14ac:dyDescent="0.25">
      <c r="A944" s="16"/>
      <c r="B944" s="108"/>
      <c r="C944" s="109"/>
      <c r="D944" s="109"/>
      <c r="E944" s="109"/>
      <c r="F944" s="17"/>
      <c r="G944" s="17"/>
      <c r="H944" s="108"/>
      <c r="I944" s="107"/>
      <c r="J944" s="108"/>
      <c r="K944" s="107"/>
      <c r="L944" s="108"/>
      <c r="M944" s="110"/>
      <c r="N944" s="109"/>
      <c r="O944" s="108"/>
      <c r="P944" s="233"/>
      <c r="Q944" s="239"/>
      <c r="R944" s="19"/>
      <c r="S944" s="20"/>
      <c r="T944" s="9" t="str">
        <f t="shared" si="61"/>
        <v xml:space="preserve"> </v>
      </c>
      <c r="U944" s="18"/>
      <c r="V944" s="21"/>
      <c r="W944" s="22"/>
      <c r="X944" s="197" t="str">
        <f t="shared" si="62"/>
        <v xml:space="preserve"> </v>
      </c>
      <c r="Y944" s="246"/>
      <c r="Z944" s="247"/>
      <c r="AA944" s="20"/>
      <c r="AB944" s="11" t="str">
        <f t="shared" si="63"/>
        <v xml:space="preserve"> </v>
      </c>
      <c r="AC944" s="12" t="str">
        <f t="shared" si="64"/>
        <v xml:space="preserve"> </v>
      </c>
    </row>
    <row r="945" spans="1:29" ht="20.100000000000001" customHeight="1" x14ac:dyDescent="0.25">
      <c r="A945" s="16"/>
      <c r="B945" s="108"/>
      <c r="C945" s="109"/>
      <c r="D945" s="109"/>
      <c r="E945" s="109"/>
      <c r="F945" s="17"/>
      <c r="G945" s="17"/>
      <c r="H945" s="108"/>
      <c r="I945" s="107"/>
      <c r="J945" s="108"/>
      <c r="K945" s="107"/>
      <c r="L945" s="108"/>
      <c r="M945" s="110"/>
      <c r="N945" s="109"/>
      <c r="O945" s="108"/>
      <c r="P945" s="233"/>
      <c r="Q945" s="239"/>
      <c r="R945" s="19"/>
      <c r="S945" s="20"/>
      <c r="T945" s="9" t="str">
        <f t="shared" si="61"/>
        <v xml:space="preserve"> </v>
      </c>
      <c r="U945" s="18"/>
      <c r="V945" s="21"/>
      <c r="W945" s="22"/>
      <c r="X945" s="197" t="str">
        <f t="shared" si="62"/>
        <v xml:space="preserve"> </v>
      </c>
      <c r="Y945" s="246"/>
      <c r="Z945" s="247"/>
      <c r="AA945" s="20"/>
      <c r="AB945" s="11" t="str">
        <f t="shared" si="63"/>
        <v xml:space="preserve"> </v>
      </c>
      <c r="AC945" s="12" t="str">
        <f t="shared" si="64"/>
        <v xml:space="preserve"> </v>
      </c>
    </row>
    <row r="946" spans="1:29" ht="20.100000000000001" customHeight="1" x14ac:dyDescent="0.25">
      <c r="A946" s="16"/>
      <c r="B946" s="108"/>
      <c r="C946" s="109"/>
      <c r="D946" s="109"/>
      <c r="E946" s="109"/>
      <c r="F946" s="17"/>
      <c r="G946" s="17"/>
      <c r="H946" s="108"/>
      <c r="I946" s="107"/>
      <c r="J946" s="108"/>
      <c r="K946" s="107"/>
      <c r="L946" s="108"/>
      <c r="M946" s="110"/>
      <c r="N946" s="109"/>
      <c r="O946" s="108"/>
      <c r="P946" s="233"/>
      <c r="Q946" s="239"/>
      <c r="R946" s="19"/>
      <c r="S946" s="20"/>
      <c r="T946" s="9" t="str">
        <f t="shared" si="61"/>
        <v xml:space="preserve"> </v>
      </c>
      <c r="U946" s="18"/>
      <c r="V946" s="21"/>
      <c r="W946" s="22"/>
      <c r="X946" s="197" t="str">
        <f t="shared" si="62"/>
        <v xml:space="preserve"> </v>
      </c>
      <c r="Y946" s="246"/>
      <c r="Z946" s="247"/>
      <c r="AA946" s="20"/>
      <c r="AB946" s="11" t="str">
        <f t="shared" si="63"/>
        <v xml:space="preserve"> </v>
      </c>
      <c r="AC946" s="12" t="str">
        <f t="shared" si="64"/>
        <v xml:space="preserve"> </v>
      </c>
    </row>
    <row r="947" spans="1:29" ht="20.100000000000001" customHeight="1" x14ac:dyDescent="0.25">
      <c r="A947" s="16"/>
      <c r="B947" s="108"/>
      <c r="C947" s="109"/>
      <c r="D947" s="109"/>
      <c r="E947" s="109"/>
      <c r="F947" s="17"/>
      <c r="G947" s="17"/>
      <c r="H947" s="108"/>
      <c r="I947" s="107"/>
      <c r="J947" s="108"/>
      <c r="K947" s="107"/>
      <c r="L947" s="108"/>
      <c r="M947" s="110"/>
      <c r="N947" s="109"/>
      <c r="O947" s="108"/>
      <c r="P947" s="233"/>
      <c r="Q947" s="239"/>
      <c r="R947" s="19"/>
      <c r="S947" s="20"/>
      <c r="T947" s="9" t="str">
        <f t="shared" si="61"/>
        <v xml:space="preserve"> </v>
      </c>
      <c r="U947" s="18"/>
      <c r="V947" s="21"/>
      <c r="W947" s="22"/>
      <c r="X947" s="197" t="str">
        <f t="shared" si="62"/>
        <v xml:space="preserve"> </v>
      </c>
      <c r="Y947" s="246"/>
      <c r="Z947" s="247"/>
      <c r="AA947" s="20"/>
      <c r="AB947" s="11" t="str">
        <f t="shared" si="63"/>
        <v xml:space="preserve"> </v>
      </c>
      <c r="AC947" s="12" t="str">
        <f t="shared" si="64"/>
        <v xml:space="preserve"> </v>
      </c>
    </row>
    <row r="948" spans="1:29" ht="20.100000000000001" customHeight="1" x14ac:dyDescent="0.25">
      <c r="A948" s="16"/>
      <c r="B948" s="108"/>
      <c r="C948" s="109"/>
      <c r="D948" s="109"/>
      <c r="E948" s="109"/>
      <c r="F948" s="17"/>
      <c r="G948" s="17"/>
      <c r="H948" s="108"/>
      <c r="I948" s="107"/>
      <c r="J948" s="108"/>
      <c r="K948" s="107"/>
      <c r="L948" s="108"/>
      <c r="M948" s="110"/>
      <c r="N948" s="109"/>
      <c r="O948" s="108"/>
      <c r="P948" s="233"/>
      <c r="Q948" s="239"/>
      <c r="R948" s="19"/>
      <c r="S948" s="20"/>
      <c r="T948" s="9" t="str">
        <f t="shared" si="61"/>
        <v xml:space="preserve"> </v>
      </c>
      <c r="U948" s="18"/>
      <c r="V948" s="21"/>
      <c r="W948" s="22"/>
      <c r="X948" s="197" t="str">
        <f t="shared" si="62"/>
        <v xml:space="preserve"> </v>
      </c>
      <c r="Y948" s="246"/>
      <c r="Z948" s="247"/>
      <c r="AA948" s="20"/>
      <c r="AB948" s="11" t="str">
        <f t="shared" si="63"/>
        <v xml:space="preserve"> </v>
      </c>
      <c r="AC948" s="12" t="str">
        <f t="shared" si="64"/>
        <v xml:space="preserve"> </v>
      </c>
    </row>
    <row r="949" spans="1:29" ht="20.100000000000001" customHeight="1" x14ac:dyDescent="0.25">
      <c r="A949" s="16"/>
      <c r="B949" s="108"/>
      <c r="C949" s="109"/>
      <c r="D949" s="109"/>
      <c r="E949" s="109"/>
      <c r="F949" s="17"/>
      <c r="G949" s="17"/>
      <c r="H949" s="108"/>
      <c r="I949" s="107"/>
      <c r="J949" s="108"/>
      <c r="K949" s="107"/>
      <c r="L949" s="108"/>
      <c r="M949" s="110"/>
      <c r="N949" s="109"/>
      <c r="O949" s="108"/>
      <c r="P949" s="233"/>
      <c r="Q949" s="239"/>
      <c r="R949" s="19"/>
      <c r="S949" s="20"/>
      <c r="T949" s="9" t="str">
        <f t="shared" si="61"/>
        <v xml:space="preserve"> </v>
      </c>
      <c r="U949" s="18"/>
      <c r="V949" s="21"/>
      <c r="W949" s="22"/>
      <c r="X949" s="197" t="str">
        <f t="shared" si="62"/>
        <v xml:space="preserve"> </v>
      </c>
      <c r="Y949" s="246"/>
      <c r="Z949" s="247"/>
      <c r="AA949" s="20"/>
      <c r="AB949" s="11" t="str">
        <f t="shared" si="63"/>
        <v xml:space="preserve"> </v>
      </c>
      <c r="AC949" s="12" t="str">
        <f t="shared" si="64"/>
        <v xml:space="preserve"> </v>
      </c>
    </row>
    <row r="950" spans="1:29" ht="20.100000000000001" customHeight="1" x14ac:dyDescent="0.25">
      <c r="A950" s="16"/>
      <c r="B950" s="108"/>
      <c r="C950" s="109"/>
      <c r="D950" s="109"/>
      <c r="E950" s="109"/>
      <c r="F950" s="17"/>
      <c r="G950" s="17"/>
      <c r="H950" s="108"/>
      <c r="I950" s="107"/>
      <c r="J950" s="108"/>
      <c r="K950" s="107"/>
      <c r="L950" s="108"/>
      <c r="M950" s="110"/>
      <c r="N950" s="109"/>
      <c r="O950" s="108"/>
      <c r="P950" s="233"/>
      <c r="Q950" s="239"/>
      <c r="R950" s="19"/>
      <c r="S950" s="20"/>
      <c r="T950" s="9" t="str">
        <f t="shared" si="61"/>
        <v xml:space="preserve"> </v>
      </c>
      <c r="U950" s="18"/>
      <c r="V950" s="21"/>
      <c r="W950" s="22"/>
      <c r="X950" s="197" t="str">
        <f t="shared" si="62"/>
        <v xml:space="preserve"> </v>
      </c>
      <c r="Y950" s="246"/>
      <c r="Z950" s="247"/>
      <c r="AA950" s="20"/>
      <c r="AB950" s="11" t="str">
        <f t="shared" si="63"/>
        <v xml:space="preserve"> </v>
      </c>
      <c r="AC950" s="12" t="str">
        <f t="shared" si="64"/>
        <v xml:space="preserve"> </v>
      </c>
    </row>
    <row r="951" spans="1:29" ht="20.100000000000001" customHeight="1" x14ac:dyDescent="0.25">
      <c r="A951" s="16"/>
      <c r="B951" s="108"/>
      <c r="C951" s="109"/>
      <c r="D951" s="109"/>
      <c r="E951" s="109"/>
      <c r="F951" s="17"/>
      <c r="G951" s="17"/>
      <c r="H951" s="108"/>
      <c r="I951" s="107"/>
      <c r="J951" s="108"/>
      <c r="K951" s="107"/>
      <c r="L951" s="108"/>
      <c r="M951" s="110"/>
      <c r="N951" s="109"/>
      <c r="O951" s="108"/>
      <c r="P951" s="233"/>
      <c r="Q951" s="239"/>
      <c r="R951" s="19"/>
      <c r="S951" s="20"/>
      <c r="T951" s="9" t="str">
        <f t="shared" si="61"/>
        <v xml:space="preserve"> </v>
      </c>
      <c r="U951" s="18"/>
      <c r="V951" s="21"/>
      <c r="W951" s="22"/>
      <c r="X951" s="197" t="str">
        <f t="shared" si="62"/>
        <v xml:space="preserve"> </v>
      </c>
      <c r="Y951" s="246"/>
      <c r="Z951" s="247"/>
      <c r="AA951" s="20"/>
      <c r="AB951" s="11" t="str">
        <f t="shared" si="63"/>
        <v xml:space="preserve"> </v>
      </c>
      <c r="AC951" s="12" t="str">
        <f t="shared" si="64"/>
        <v xml:space="preserve"> </v>
      </c>
    </row>
    <row r="952" spans="1:29" ht="20.100000000000001" customHeight="1" x14ac:dyDescent="0.25">
      <c r="A952" s="16"/>
      <c r="B952" s="108"/>
      <c r="C952" s="109"/>
      <c r="D952" s="109"/>
      <c r="E952" s="109"/>
      <c r="F952" s="17"/>
      <c r="G952" s="17"/>
      <c r="H952" s="108"/>
      <c r="I952" s="107"/>
      <c r="J952" s="108"/>
      <c r="K952" s="107"/>
      <c r="L952" s="108"/>
      <c r="M952" s="110"/>
      <c r="N952" s="109"/>
      <c r="O952" s="108"/>
      <c r="P952" s="233"/>
      <c r="Q952" s="239"/>
      <c r="R952" s="19"/>
      <c r="S952" s="20"/>
      <c r="T952" s="9" t="str">
        <f t="shared" si="61"/>
        <v xml:space="preserve"> </v>
      </c>
      <c r="U952" s="18"/>
      <c r="V952" s="21"/>
      <c r="W952" s="22"/>
      <c r="X952" s="197" t="str">
        <f t="shared" si="62"/>
        <v xml:space="preserve"> </v>
      </c>
      <c r="Y952" s="246"/>
      <c r="Z952" s="247"/>
      <c r="AA952" s="20"/>
      <c r="AB952" s="11" t="str">
        <f t="shared" si="63"/>
        <v xml:space="preserve"> </v>
      </c>
      <c r="AC952" s="12" t="str">
        <f t="shared" si="64"/>
        <v xml:space="preserve"> </v>
      </c>
    </row>
    <row r="953" spans="1:29" ht="20.100000000000001" customHeight="1" x14ac:dyDescent="0.25">
      <c r="A953" s="16"/>
      <c r="B953" s="108"/>
      <c r="C953" s="109"/>
      <c r="D953" s="109"/>
      <c r="E953" s="109"/>
      <c r="F953" s="17"/>
      <c r="G953" s="17"/>
      <c r="H953" s="108"/>
      <c r="I953" s="107"/>
      <c r="J953" s="108"/>
      <c r="K953" s="107"/>
      <c r="L953" s="108"/>
      <c r="M953" s="110"/>
      <c r="N953" s="109"/>
      <c r="O953" s="108"/>
      <c r="P953" s="233"/>
      <c r="Q953" s="239"/>
      <c r="R953" s="19"/>
      <c r="S953" s="20"/>
      <c r="T953" s="9" t="str">
        <f t="shared" si="61"/>
        <v xml:space="preserve"> </v>
      </c>
      <c r="U953" s="18"/>
      <c r="V953" s="21"/>
      <c r="W953" s="22"/>
      <c r="X953" s="197" t="str">
        <f t="shared" si="62"/>
        <v xml:space="preserve"> </v>
      </c>
      <c r="Y953" s="246"/>
      <c r="Z953" s="247"/>
      <c r="AA953" s="20"/>
      <c r="AB953" s="11" t="str">
        <f t="shared" si="63"/>
        <v xml:space="preserve"> </v>
      </c>
      <c r="AC953" s="12" t="str">
        <f t="shared" si="64"/>
        <v xml:space="preserve"> </v>
      </c>
    </row>
    <row r="954" spans="1:29" ht="20.100000000000001" customHeight="1" x14ac:dyDescent="0.25">
      <c r="A954" s="16"/>
      <c r="B954" s="108"/>
      <c r="C954" s="109"/>
      <c r="D954" s="109"/>
      <c r="E954" s="109"/>
      <c r="F954" s="17"/>
      <c r="G954" s="17"/>
      <c r="H954" s="108"/>
      <c r="I954" s="107"/>
      <c r="J954" s="108"/>
      <c r="K954" s="107"/>
      <c r="L954" s="108"/>
      <c r="M954" s="110"/>
      <c r="N954" s="109"/>
      <c r="O954" s="108"/>
      <c r="P954" s="233"/>
      <c r="Q954" s="239"/>
      <c r="R954" s="19"/>
      <c r="S954" s="20"/>
      <c r="T954" s="9" t="str">
        <f t="shared" si="61"/>
        <v xml:space="preserve"> </v>
      </c>
      <c r="U954" s="18"/>
      <c r="V954" s="21"/>
      <c r="W954" s="22"/>
      <c r="X954" s="197" t="str">
        <f t="shared" si="62"/>
        <v xml:space="preserve"> </v>
      </c>
      <c r="Y954" s="246"/>
      <c r="Z954" s="247"/>
      <c r="AA954" s="20"/>
      <c r="AB954" s="11" t="str">
        <f t="shared" si="63"/>
        <v xml:space="preserve"> </v>
      </c>
      <c r="AC954" s="12" t="str">
        <f t="shared" si="64"/>
        <v xml:space="preserve"> </v>
      </c>
    </row>
    <row r="955" spans="1:29" ht="20.100000000000001" customHeight="1" x14ac:dyDescent="0.25">
      <c r="A955" s="16"/>
      <c r="B955" s="108"/>
      <c r="C955" s="109"/>
      <c r="D955" s="109"/>
      <c r="E955" s="109"/>
      <c r="F955" s="17"/>
      <c r="G955" s="17"/>
      <c r="H955" s="108"/>
      <c r="I955" s="107"/>
      <c r="J955" s="108"/>
      <c r="K955" s="107"/>
      <c r="L955" s="108"/>
      <c r="M955" s="110"/>
      <c r="N955" s="109"/>
      <c r="O955" s="108"/>
      <c r="P955" s="233"/>
      <c r="Q955" s="239"/>
      <c r="R955" s="19"/>
      <c r="S955" s="20"/>
      <c r="T955" s="9" t="str">
        <f t="shared" si="61"/>
        <v xml:space="preserve"> </v>
      </c>
      <c r="U955" s="18"/>
      <c r="V955" s="21"/>
      <c r="W955" s="22"/>
      <c r="X955" s="197" t="str">
        <f t="shared" si="62"/>
        <v xml:space="preserve"> </v>
      </c>
      <c r="Y955" s="246"/>
      <c r="Z955" s="247"/>
      <c r="AA955" s="20"/>
      <c r="AB955" s="11" t="str">
        <f t="shared" si="63"/>
        <v xml:space="preserve"> </v>
      </c>
      <c r="AC955" s="12" t="str">
        <f t="shared" si="64"/>
        <v xml:space="preserve"> </v>
      </c>
    </row>
    <row r="956" spans="1:29" ht="20.100000000000001" customHeight="1" x14ac:dyDescent="0.25">
      <c r="A956" s="16"/>
      <c r="B956" s="108"/>
      <c r="C956" s="109"/>
      <c r="D956" s="109"/>
      <c r="E956" s="109"/>
      <c r="F956" s="17"/>
      <c r="G956" s="17"/>
      <c r="H956" s="108"/>
      <c r="I956" s="107"/>
      <c r="J956" s="108"/>
      <c r="K956" s="107"/>
      <c r="L956" s="108"/>
      <c r="M956" s="110"/>
      <c r="N956" s="109"/>
      <c r="O956" s="108"/>
      <c r="P956" s="233"/>
      <c r="Q956" s="239"/>
      <c r="R956" s="19"/>
      <c r="S956" s="20"/>
      <c r="T956" s="9" t="str">
        <f t="shared" si="61"/>
        <v xml:space="preserve"> </v>
      </c>
      <c r="U956" s="18"/>
      <c r="V956" s="21"/>
      <c r="W956" s="22"/>
      <c r="X956" s="197" t="str">
        <f t="shared" si="62"/>
        <v xml:space="preserve"> </v>
      </c>
      <c r="Y956" s="246"/>
      <c r="Z956" s="247"/>
      <c r="AA956" s="20"/>
      <c r="AB956" s="11" t="str">
        <f t="shared" si="63"/>
        <v xml:space="preserve"> </v>
      </c>
      <c r="AC956" s="12" t="str">
        <f t="shared" si="64"/>
        <v xml:space="preserve"> </v>
      </c>
    </row>
    <row r="957" spans="1:29" ht="20.100000000000001" customHeight="1" x14ac:dyDescent="0.25">
      <c r="A957" s="16"/>
      <c r="B957" s="108"/>
      <c r="C957" s="109"/>
      <c r="D957" s="109"/>
      <c r="E957" s="109"/>
      <c r="F957" s="17"/>
      <c r="G957" s="17"/>
      <c r="H957" s="108"/>
      <c r="I957" s="107"/>
      <c r="J957" s="108"/>
      <c r="K957" s="107"/>
      <c r="L957" s="108"/>
      <c r="M957" s="110"/>
      <c r="N957" s="109"/>
      <c r="O957" s="108"/>
      <c r="P957" s="233"/>
      <c r="Q957" s="239"/>
      <c r="R957" s="19"/>
      <c r="S957" s="20"/>
      <c r="T957" s="9" t="str">
        <f t="shared" si="61"/>
        <v xml:space="preserve"> </v>
      </c>
      <c r="U957" s="18"/>
      <c r="V957" s="21"/>
      <c r="W957" s="22"/>
      <c r="X957" s="197" t="str">
        <f t="shared" si="62"/>
        <v xml:space="preserve"> </v>
      </c>
      <c r="Y957" s="246"/>
      <c r="Z957" s="247"/>
      <c r="AA957" s="20"/>
      <c r="AB957" s="11" t="str">
        <f t="shared" si="63"/>
        <v xml:space="preserve"> </v>
      </c>
      <c r="AC957" s="12" t="str">
        <f t="shared" si="64"/>
        <v xml:space="preserve"> </v>
      </c>
    </row>
    <row r="958" spans="1:29" ht="20.100000000000001" customHeight="1" x14ac:dyDescent="0.25">
      <c r="A958" s="16"/>
      <c r="B958" s="108"/>
      <c r="C958" s="109"/>
      <c r="D958" s="109"/>
      <c r="E958" s="109"/>
      <c r="F958" s="17"/>
      <c r="G958" s="17"/>
      <c r="H958" s="108"/>
      <c r="I958" s="107"/>
      <c r="J958" s="108"/>
      <c r="K958" s="107"/>
      <c r="L958" s="108"/>
      <c r="M958" s="110"/>
      <c r="N958" s="109"/>
      <c r="O958" s="108"/>
      <c r="P958" s="233"/>
      <c r="Q958" s="239"/>
      <c r="R958" s="19"/>
      <c r="S958" s="20"/>
      <c r="T958" s="9" t="str">
        <f t="shared" si="61"/>
        <v xml:space="preserve"> </v>
      </c>
      <c r="U958" s="18"/>
      <c r="V958" s="21"/>
      <c r="W958" s="22"/>
      <c r="X958" s="197" t="str">
        <f t="shared" si="62"/>
        <v xml:space="preserve"> </v>
      </c>
      <c r="Y958" s="246"/>
      <c r="Z958" s="247"/>
      <c r="AA958" s="20"/>
      <c r="AB958" s="11" t="str">
        <f t="shared" si="63"/>
        <v xml:space="preserve"> </v>
      </c>
      <c r="AC958" s="12" t="str">
        <f t="shared" si="64"/>
        <v xml:space="preserve"> </v>
      </c>
    </row>
    <row r="959" spans="1:29" ht="20.100000000000001" customHeight="1" x14ac:dyDescent="0.25">
      <c r="A959" s="16"/>
      <c r="B959" s="108"/>
      <c r="C959" s="109"/>
      <c r="D959" s="109"/>
      <c r="E959" s="109"/>
      <c r="F959" s="17"/>
      <c r="G959" s="17"/>
      <c r="H959" s="108"/>
      <c r="I959" s="107"/>
      <c r="J959" s="108"/>
      <c r="K959" s="107"/>
      <c r="L959" s="108"/>
      <c r="M959" s="110"/>
      <c r="N959" s="109"/>
      <c r="O959" s="108"/>
      <c r="P959" s="233"/>
      <c r="Q959" s="239"/>
      <c r="R959" s="19"/>
      <c r="S959" s="20"/>
      <c r="T959" s="9" t="str">
        <f t="shared" si="61"/>
        <v xml:space="preserve"> </v>
      </c>
      <c r="U959" s="18"/>
      <c r="V959" s="21"/>
      <c r="W959" s="22"/>
      <c r="X959" s="197" t="str">
        <f t="shared" si="62"/>
        <v xml:space="preserve"> </v>
      </c>
      <c r="Y959" s="246"/>
      <c r="Z959" s="247"/>
      <c r="AA959" s="20"/>
      <c r="AB959" s="11" t="str">
        <f t="shared" si="63"/>
        <v xml:space="preserve"> </v>
      </c>
      <c r="AC959" s="12" t="str">
        <f t="shared" si="64"/>
        <v xml:space="preserve"> </v>
      </c>
    </row>
    <row r="960" spans="1:29" ht="20.100000000000001" customHeight="1" x14ac:dyDescent="0.25">
      <c r="A960" s="16"/>
      <c r="B960" s="108"/>
      <c r="C960" s="109"/>
      <c r="D960" s="109"/>
      <c r="E960" s="109"/>
      <c r="F960" s="17"/>
      <c r="G960" s="17"/>
      <c r="H960" s="108"/>
      <c r="I960" s="107"/>
      <c r="J960" s="108"/>
      <c r="K960" s="107"/>
      <c r="L960" s="108"/>
      <c r="M960" s="110"/>
      <c r="N960" s="109"/>
      <c r="O960" s="108"/>
      <c r="P960" s="233"/>
      <c r="Q960" s="239"/>
      <c r="R960" s="19"/>
      <c r="S960" s="20"/>
      <c r="T960" s="9" t="str">
        <f t="shared" si="61"/>
        <v xml:space="preserve"> </v>
      </c>
      <c r="U960" s="18"/>
      <c r="V960" s="21"/>
      <c r="W960" s="22"/>
      <c r="X960" s="197" t="str">
        <f t="shared" si="62"/>
        <v xml:space="preserve"> </v>
      </c>
      <c r="Y960" s="246"/>
      <c r="Z960" s="247"/>
      <c r="AA960" s="20"/>
      <c r="AB960" s="11" t="str">
        <f t="shared" si="63"/>
        <v xml:space="preserve"> </v>
      </c>
      <c r="AC960" s="12" t="str">
        <f t="shared" si="64"/>
        <v xml:space="preserve"> </v>
      </c>
    </row>
    <row r="961" spans="1:29" ht="20.100000000000001" customHeight="1" x14ac:dyDescent="0.25">
      <c r="A961" s="16"/>
      <c r="B961" s="108"/>
      <c r="C961" s="109"/>
      <c r="D961" s="109"/>
      <c r="E961" s="109"/>
      <c r="F961" s="17"/>
      <c r="G961" s="17"/>
      <c r="H961" s="108"/>
      <c r="I961" s="107"/>
      <c r="J961" s="108"/>
      <c r="K961" s="107"/>
      <c r="L961" s="108"/>
      <c r="M961" s="110"/>
      <c r="N961" s="109"/>
      <c r="O961" s="108"/>
      <c r="P961" s="233"/>
      <c r="Q961" s="239"/>
      <c r="R961" s="19"/>
      <c r="S961" s="20"/>
      <c r="T961" s="9" t="str">
        <f t="shared" si="61"/>
        <v xml:space="preserve"> </v>
      </c>
      <c r="U961" s="18"/>
      <c r="V961" s="21"/>
      <c r="W961" s="22"/>
      <c r="X961" s="197" t="str">
        <f t="shared" si="62"/>
        <v xml:space="preserve"> </v>
      </c>
      <c r="Y961" s="246"/>
      <c r="Z961" s="247"/>
      <c r="AA961" s="20"/>
      <c r="AB961" s="11" t="str">
        <f t="shared" si="63"/>
        <v xml:space="preserve"> </v>
      </c>
      <c r="AC961" s="12" t="str">
        <f t="shared" si="64"/>
        <v xml:space="preserve"> </v>
      </c>
    </row>
    <row r="962" spans="1:29" ht="20.100000000000001" customHeight="1" x14ac:dyDescent="0.25">
      <c r="A962" s="16"/>
      <c r="B962" s="108"/>
      <c r="C962" s="109"/>
      <c r="D962" s="109"/>
      <c r="E962" s="109"/>
      <c r="F962" s="17"/>
      <c r="G962" s="17"/>
      <c r="H962" s="108"/>
      <c r="I962" s="107"/>
      <c r="J962" s="108"/>
      <c r="K962" s="107"/>
      <c r="L962" s="108"/>
      <c r="M962" s="110"/>
      <c r="N962" s="109"/>
      <c r="O962" s="108"/>
      <c r="P962" s="233"/>
      <c r="Q962" s="239"/>
      <c r="R962" s="19"/>
      <c r="S962" s="20"/>
      <c r="T962" s="9" t="str">
        <f t="shared" si="61"/>
        <v xml:space="preserve"> </v>
      </c>
      <c r="U962" s="18"/>
      <c r="V962" s="21"/>
      <c r="W962" s="22"/>
      <c r="X962" s="197" t="str">
        <f t="shared" si="62"/>
        <v xml:space="preserve"> </v>
      </c>
      <c r="Y962" s="246"/>
      <c r="Z962" s="247"/>
      <c r="AA962" s="20"/>
      <c r="AB962" s="11" t="str">
        <f t="shared" si="63"/>
        <v xml:space="preserve"> </v>
      </c>
      <c r="AC962" s="12" t="str">
        <f t="shared" si="64"/>
        <v xml:space="preserve"> </v>
      </c>
    </row>
    <row r="963" spans="1:29" ht="20.100000000000001" customHeight="1" x14ac:dyDescent="0.25">
      <c r="A963" s="16"/>
      <c r="B963" s="108"/>
      <c r="C963" s="109"/>
      <c r="D963" s="109"/>
      <c r="E963" s="109"/>
      <c r="F963" s="17"/>
      <c r="G963" s="17"/>
      <c r="H963" s="108"/>
      <c r="I963" s="107"/>
      <c r="J963" s="108"/>
      <c r="K963" s="107"/>
      <c r="L963" s="108"/>
      <c r="M963" s="110"/>
      <c r="N963" s="109"/>
      <c r="O963" s="108"/>
      <c r="P963" s="233"/>
      <c r="Q963" s="239"/>
      <c r="R963" s="19"/>
      <c r="S963" s="20"/>
      <c r="T963" s="9" t="str">
        <f t="shared" si="61"/>
        <v xml:space="preserve"> </v>
      </c>
      <c r="U963" s="18"/>
      <c r="V963" s="21"/>
      <c r="W963" s="22"/>
      <c r="X963" s="197" t="str">
        <f t="shared" si="62"/>
        <v xml:space="preserve"> </v>
      </c>
      <c r="Y963" s="246"/>
      <c r="Z963" s="247"/>
      <c r="AA963" s="20"/>
      <c r="AB963" s="11" t="str">
        <f t="shared" si="63"/>
        <v xml:space="preserve"> </v>
      </c>
      <c r="AC963" s="12" t="str">
        <f t="shared" si="64"/>
        <v xml:space="preserve"> </v>
      </c>
    </row>
    <row r="964" spans="1:29" ht="20.100000000000001" customHeight="1" x14ac:dyDescent="0.25">
      <c r="A964" s="16"/>
      <c r="B964" s="108"/>
      <c r="C964" s="109"/>
      <c r="D964" s="109"/>
      <c r="E964" s="109"/>
      <c r="F964" s="17"/>
      <c r="G964" s="17"/>
      <c r="H964" s="108"/>
      <c r="I964" s="107"/>
      <c r="J964" s="108"/>
      <c r="K964" s="107"/>
      <c r="L964" s="108"/>
      <c r="M964" s="110"/>
      <c r="N964" s="109"/>
      <c r="O964" s="108"/>
      <c r="P964" s="233"/>
      <c r="Q964" s="239"/>
      <c r="R964" s="19"/>
      <c r="S964" s="20"/>
      <c r="T964" s="9" t="str">
        <f t="shared" ref="T964:T1002" si="65">IF(ISBLANK(R964)," ",((ROUND(S964,2)-(ROUND(R964,2)))/(ROUND(R964,2))))</f>
        <v xml:space="preserve"> </v>
      </c>
      <c r="U964" s="18"/>
      <c r="V964" s="21"/>
      <c r="W964" s="22"/>
      <c r="X964" s="197" t="str">
        <f t="shared" ref="X964:X1002" si="66">IF(ISBLANK(R964)," ",((ROUND(W964,2))-(ROUND(R964,2)))/(ROUND(R964,2)))</f>
        <v xml:space="preserve"> </v>
      </c>
      <c r="Y964" s="246"/>
      <c r="Z964" s="247"/>
      <c r="AA964" s="20"/>
      <c r="AB964" s="11" t="str">
        <f t="shared" ref="AB964:AB1002" si="67">IF(ISBLANK(R964)," ",((ROUND(AA964,2))-(ROUND(R964,2)))/(ROUND(R964,2)))</f>
        <v xml:space="preserve"> </v>
      </c>
      <c r="AC964" s="12" t="str">
        <f t="shared" ref="AC964:AC1002" si="68">IF(ISBLANK(AA964)," ",(ROUND(AA964,2)/0.995))</f>
        <v xml:space="preserve"> </v>
      </c>
    </row>
    <row r="965" spans="1:29" ht="20.100000000000001" customHeight="1" x14ac:dyDescent="0.25">
      <c r="A965" s="16"/>
      <c r="B965" s="108"/>
      <c r="C965" s="109"/>
      <c r="D965" s="109"/>
      <c r="E965" s="109"/>
      <c r="F965" s="17"/>
      <c r="G965" s="17"/>
      <c r="H965" s="108"/>
      <c r="I965" s="107"/>
      <c r="J965" s="108"/>
      <c r="K965" s="107"/>
      <c r="L965" s="108"/>
      <c r="M965" s="110"/>
      <c r="N965" s="109"/>
      <c r="O965" s="108"/>
      <c r="P965" s="233"/>
      <c r="Q965" s="239"/>
      <c r="R965" s="19"/>
      <c r="S965" s="20"/>
      <c r="T965" s="9" t="str">
        <f t="shared" si="65"/>
        <v xml:space="preserve"> </v>
      </c>
      <c r="U965" s="18"/>
      <c r="V965" s="21"/>
      <c r="W965" s="22"/>
      <c r="X965" s="197" t="str">
        <f t="shared" si="66"/>
        <v xml:space="preserve"> </v>
      </c>
      <c r="Y965" s="246"/>
      <c r="Z965" s="247"/>
      <c r="AA965" s="20"/>
      <c r="AB965" s="11" t="str">
        <f t="shared" si="67"/>
        <v xml:space="preserve"> </v>
      </c>
      <c r="AC965" s="12" t="str">
        <f t="shared" si="68"/>
        <v xml:space="preserve"> </v>
      </c>
    </row>
    <row r="966" spans="1:29" ht="20.100000000000001" customHeight="1" x14ac:dyDescent="0.25">
      <c r="A966" s="16"/>
      <c r="B966" s="108"/>
      <c r="C966" s="109"/>
      <c r="D966" s="109"/>
      <c r="E966" s="109"/>
      <c r="F966" s="17"/>
      <c r="G966" s="17"/>
      <c r="H966" s="108"/>
      <c r="I966" s="107"/>
      <c r="J966" s="108"/>
      <c r="K966" s="107"/>
      <c r="L966" s="108"/>
      <c r="M966" s="110"/>
      <c r="N966" s="109"/>
      <c r="O966" s="108"/>
      <c r="P966" s="233"/>
      <c r="Q966" s="239"/>
      <c r="R966" s="19"/>
      <c r="S966" s="20"/>
      <c r="T966" s="9" t="str">
        <f t="shared" si="65"/>
        <v xml:space="preserve"> </v>
      </c>
      <c r="U966" s="18"/>
      <c r="V966" s="21"/>
      <c r="W966" s="22"/>
      <c r="X966" s="197" t="str">
        <f t="shared" si="66"/>
        <v xml:space="preserve"> </v>
      </c>
      <c r="Y966" s="246"/>
      <c r="Z966" s="247"/>
      <c r="AA966" s="20"/>
      <c r="AB966" s="11" t="str">
        <f t="shared" si="67"/>
        <v xml:space="preserve"> </v>
      </c>
      <c r="AC966" s="12" t="str">
        <f t="shared" si="68"/>
        <v xml:space="preserve"> </v>
      </c>
    </row>
    <row r="967" spans="1:29" ht="20.100000000000001" customHeight="1" x14ac:dyDescent="0.25">
      <c r="A967" s="16"/>
      <c r="B967" s="108"/>
      <c r="C967" s="109"/>
      <c r="D967" s="109"/>
      <c r="E967" s="109"/>
      <c r="F967" s="17"/>
      <c r="G967" s="17"/>
      <c r="H967" s="108"/>
      <c r="I967" s="107"/>
      <c r="J967" s="108"/>
      <c r="K967" s="107"/>
      <c r="L967" s="108"/>
      <c r="M967" s="110"/>
      <c r="N967" s="109"/>
      <c r="O967" s="108"/>
      <c r="P967" s="233"/>
      <c r="Q967" s="239"/>
      <c r="R967" s="19"/>
      <c r="S967" s="20"/>
      <c r="T967" s="9" t="str">
        <f t="shared" si="65"/>
        <v xml:space="preserve"> </v>
      </c>
      <c r="U967" s="18"/>
      <c r="V967" s="21"/>
      <c r="W967" s="22"/>
      <c r="X967" s="197" t="str">
        <f t="shared" si="66"/>
        <v xml:space="preserve"> </v>
      </c>
      <c r="Y967" s="246"/>
      <c r="Z967" s="247"/>
      <c r="AA967" s="20"/>
      <c r="AB967" s="11" t="str">
        <f t="shared" si="67"/>
        <v xml:space="preserve"> </v>
      </c>
      <c r="AC967" s="12" t="str">
        <f t="shared" si="68"/>
        <v xml:space="preserve"> </v>
      </c>
    </row>
    <row r="968" spans="1:29" ht="20.100000000000001" customHeight="1" x14ac:dyDescent="0.25">
      <c r="A968" s="16"/>
      <c r="B968" s="108"/>
      <c r="C968" s="109"/>
      <c r="D968" s="109"/>
      <c r="E968" s="109"/>
      <c r="F968" s="17"/>
      <c r="G968" s="17"/>
      <c r="H968" s="108"/>
      <c r="I968" s="107"/>
      <c r="J968" s="108"/>
      <c r="K968" s="107"/>
      <c r="L968" s="108"/>
      <c r="M968" s="110"/>
      <c r="N968" s="109"/>
      <c r="O968" s="108"/>
      <c r="P968" s="233"/>
      <c r="Q968" s="239"/>
      <c r="R968" s="19"/>
      <c r="S968" s="20"/>
      <c r="T968" s="9" t="str">
        <f t="shared" si="65"/>
        <v xml:space="preserve"> </v>
      </c>
      <c r="U968" s="18"/>
      <c r="V968" s="21"/>
      <c r="W968" s="22"/>
      <c r="X968" s="197" t="str">
        <f t="shared" si="66"/>
        <v xml:space="preserve"> </v>
      </c>
      <c r="Y968" s="246"/>
      <c r="Z968" s="247"/>
      <c r="AA968" s="20"/>
      <c r="AB968" s="11" t="str">
        <f t="shared" si="67"/>
        <v xml:space="preserve"> </v>
      </c>
      <c r="AC968" s="12" t="str">
        <f t="shared" si="68"/>
        <v xml:space="preserve"> </v>
      </c>
    </row>
    <row r="969" spans="1:29" ht="20.100000000000001" customHeight="1" x14ac:dyDescent="0.25">
      <c r="A969" s="16"/>
      <c r="B969" s="108"/>
      <c r="C969" s="109"/>
      <c r="D969" s="109"/>
      <c r="E969" s="109"/>
      <c r="F969" s="17"/>
      <c r="G969" s="17"/>
      <c r="H969" s="108"/>
      <c r="I969" s="107"/>
      <c r="J969" s="108"/>
      <c r="K969" s="107"/>
      <c r="L969" s="108"/>
      <c r="M969" s="110"/>
      <c r="N969" s="109"/>
      <c r="O969" s="108"/>
      <c r="P969" s="233"/>
      <c r="Q969" s="239"/>
      <c r="R969" s="19"/>
      <c r="S969" s="20"/>
      <c r="T969" s="9" t="str">
        <f t="shared" si="65"/>
        <v xml:space="preserve"> </v>
      </c>
      <c r="U969" s="18"/>
      <c r="V969" s="21"/>
      <c r="W969" s="22"/>
      <c r="X969" s="197" t="str">
        <f t="shared" si="66"/>
        <v xml:space="preserve"> </v>
      </c>
      <c r="Y969" s="246"/>
      <c r="Z969" s="247"/>
      <c r="AA969" s="20"/>
      <c r="AB969" s="11" t="str">
        <f t="shared" si="67"/>
        <v xml:space="preserve"> </v>
      </c>
      <c r="AC969" s="12" t="str">
        <f t="shared" si="68"/>
        <v xml:space="preserve"> </v>
      </c>
    </row>
    <row r="970" spans="1:29" ht="20.100000000000001" customHeight="1" x14ac:dyDescent="0.25">
      <c r="A970" s="16"/>
      <c r="B970" s="108"/>
      <c r="C970" s="109"/>
      <c r="D970" s="109"/>
      <c r="E970" s="109"/>
      <c r="F970" s="17"/>
      <c r="G970" s="17"/>
      <c r="H970" s="108"/>
      <c r="I970" s="107"/>
      <c r="J970" s="108"/>
      <c r="K970" s="107"/>
      <c r="L970" s="108"/>
      <c r="M970" s="110"/>
      <c r="N970" s="109"/>
      <c r="O970" s="108"/>
      <c r="P970" s="233"/>
      <c r="Q970" s="239"/>
      <c r="R970" s="19"/>
      <c r="S970" s="20"/>
      <c r="T970" s="9" t="str">
        <f t="shared" si="65"/>
        <v xml:space="preserve"> </v>
      </c>
      <c r="U970" s="18"/>
      <c r="V970" s="21"/>
      <c r="W970" s="22"/>
      <c r="X970" s="197" t="str">
        <f t="shared" si="66"/>
        <v xml:space="preserve"> </v>
      </c>
      <c r="Y970" s="246"/>
      <c r="Z970" s="247"/>
      <c r="AA970" s="20"/>
      <c r="AB970" s="11" t="str">
        <f t="shared" si="67"/>
        <v xml:space="preserve"> </v>
      </c>
      <c r="AC970" s="12" t="str">
        <f t="shared" si="68"/>
        <v xml:space="preserve"> </v>
      </c>
    </row>
    <row r="971" spans="1:29" ht="20.100000000000001" customHeight="1" x14ac:dyDescent="0.25">
      <c r="A971" s="16"/>
      <c r="B971" s="108"/>
      <c r="C971" s="109"/>
      <c r="D971" s="109"/>
      <c r="E971" s="109"/>
      <c r="F971" s="17"/>
      <c r="G971" s="17"/>
      <c r="H971" s="108"/>
      <c r="I971" s="107"/>
      <c r="J971" s="108"/>
      <c r="K971" s="107"/>
      <c r="L971" s="108"/>
      <c r="M971" s="110"/>
      <c r="N971" s="109"/>
      <c r="O971" s="108"/>
      <c r="P971" s="233"/>
      <c r="Q971" s="239"/>
      <c r="R971" s="19"/>
      <c r="S971" s="20"/>
      <c r="T971" s="9" t="str">
        <f t="shared" si="65"/>
        <v xml:space="preserve"> </v>
      </c>
      <c r="U971" s="18"/>
      <c r="V971" s="21"/>
      <c r="W971" s="22"/>
      <c r="X971" s="197" t="str">
        <f t="shared" si="66"/>
        <v xml:space="preserve"> </v>
      </c>
      <c r="Y971" s="246"/>
      <c r="Z971" s="247"/>
      <c r="AA971" s="20"/>
      <c r="AB971" s="11" t="str">
        <f t="shared" si="67"/>
        <v xml:space="preserve"> </v>
      </c>
      <c r="AC971" s="12" t="str">
        <f t="shared" si="68"/>
        <v xml:space="preserve"> </v>
      </c>
    </row>
    <row r="972" spans="1:29" ht="20.100000000000001" customHeight="1" x14ac:dyDescent="0.25">
      <c r="A972" s="16"/>
      <c r="B972" s="108"/>
      <c r="C972" s="109"/>
      <c r="D972" s="109"/>
      <c r="E972" s="109"/>
      <c r="F972" s="17"/>
      <c r="G972" s="17"/>
      <c r="H972" s="108"/>
      <c r="I972" s="107"/>
      <c r="J972" s="108"/>
      <c r="K972" s="107"/>
      <c r="L972" s="108"/>
      <c r="M972" s="110"/>
      <c r="N972" s="109"/>
      <c r="O972" s="108"/>
      <c r="P972" s="233"/>
      <c r="Q972" s="239"/>
      <c r="R972" s="19"/>
      <c r="S972" s="20"/>
      <c r="T972" s="9" t="str">
        <f t="shared" si="65"/>
        <v xml:space="preserve"> </v>
      </c>
      <c r="U972" s="18"/>
      <c r="V972" s="21"/>
      <c r="W972" s="22"/>
      <c r="X972" s="197" t="str">
        <f t="shared" si="66"/>
        <v xml:space="preserve"> </v>
      </c>
      <c r="Y972" s="246"/>
      <c r="Z972" s="247"/>
      <c r="AA972" s="20"/>
      <c r="AB972" s="11" t="str">
        <f t="shared" si="67"/>
        <v xml:space="preserve"> </v>
      </c>
      <c r="AC972" s="12" t="str">
        <f t="shared" si="68"/>
        <v xml:space="preserve"> </v>
      </c>
    </row>
    <row r="973" spans="1:29" ht="20.100000000000001" customHeight="1" x14ac:dyDescent="0.25">
      <c r="A973" s="16"/>
      <c r="B973" s="108"/>
      <c r="C973" s="109"/>
      <c r="D973" s="109"/>
      <c r="E973" s="109"/>
      <c r="F973" s="17"/>
      <c r="G973" s="17"/>
      <c r="H973" s="108"/>
      <c r="I973" s="107"/>
      <c r="J973" s="108"/>
      <c r="K973" s="107"/>
      <c r="L973" s="108"/>
      <c r="M973" s="110"/>
      <c r="N973" s="109"/>
      <c r="O973" s="108"/>
      <c r="P973" s="233"/>
      <c r="Q973" s="239"/>
      <c r="R973" s="19"/>
      <c r="S973" s="20"/>
      <c r="T973" s="9" t="str">
        <f t="shared" si="65"/>
        <v xml:space="preserve"> </v>
      </c>
      <c r="U973" s="18"/>
      <c r="V973" s="21"/>
      <c r="W973" s="22"/>
      <c r="X973" s="197" t="str">
        <f t="shared" si="66"/>
        <v xml:space="preserve"> </v>
      </c>
      <c r="Y973" s="246"/>
      <c r="Z973" s="247"/>
      <c r="AA973" s="20"/>
      <c r="AB973" s="11" t="str">
        <f t="shared" si="67"/>
        <v xml:space="preserve"> </v>
      </c>
      <c r="AC973" s="12" t="str">
        <f t="shared" si="68"/>
        <v xml:space="preserve"> </v>
      </c>
    </row>
    <row r="974" spans="1:29" ht="20.100000000000001" customHeight="1" x14ac:dyDescent="0.25">
      <c r="A974" s="16"/>
      <c r="B974" s="108"/>
      <c r="C974" s="109"/>
      <c r="D974" s="109"/>
      <c r="E974" s="109"/>
      <c r="F974" s="17"/>
      <c r="G974" s="17"/>
      <c r="H974" s="108"/>
      <c r="I974" s="107"/>
      <c r="J974" s="108"/>
      <c r="K974" s="107"/>
      <c r="L974" s="108"/>
      <c r="M974" s="110"/>
      <c r="N974" s="109"/>
      <c r="O974" s="108"/>
      <c r="P974" s="233"/>
      <c r="Q974" s="239"/>
      <c r="R974" s="19"/>
      <c r="S974" s="20"/>
      <c r="T974" s="9" t="str">
        <f t="shared" si="65"/>
        <v xml:space="preserve"> </v>
      </c>
      <c r="U974" s="18"/>
      <c r="V974" s="21"/>
      <c r="W974" s="22"/>
      <c r="X974" s="197" t="str">
        <f t="shared" si="66"/>
        <v xml:space="preserve"> </v>
      </c>
      <c r="Y974" s="246"/>
      <c r="Z974" s="247"/>
      <c r="AA974" s="20"/>
      <c r="AB974" s="11" t="str">
        <f t="shared" si="67"/>
        <v xml:space="preserve"> </v>
      </c>
      <c r="AC974" s="12" t="str">
        <f t="shared" si="68"/>
        <v xml:space="preserve"> </v>
      </c>
    </row>
    <row r="975" spans="1:29" ht="20.100000000000001" customHeight="1" x14ac:dyDescent="0.25">
      <c r="A975" s="16"/>
      <c r="B975" s="108"/>
      <c r="C975" s="109"/>
      <c r="D975" s="109"/>
      <c r="E975" s="109"/>
      <c r="F975" s="17"/>
      <c r="G975" s="17"/>
      <c r="H975" s="108"/>
      <c r="I975" s="107"/>
      <c r="J975" s="108"/>
      <c r="K975" s="107"/>
      <c r="L975" s="108"/>
      <c r="M975" s="110"/>
      <c r="N975" s="109"/>
      <c r="O975" s="108"/>
      <c r="P975" s="233"/>
      <c r="Q975" s="239"/>
      <c r="R975" s="19"/>
      <c r="S975" s="20"/>
      <c r="T975" s="9" t="str">
        <f t="shared" si="65"/>
        <v xml:space="preserve"> </v>
      </c>
      <c r="U975" s="18"/>
      <c r="V975" s="21"/>
      <c r="W975" s="22"/>
      <c r="X975" s="197" t="str">
        <f t="shared" si="66"/>
        <v xml:space="preserve"> </v>
      </c>
      <c r="Y975" s="246"/>
      <c r="Z975" s="247"/>
      <c r="AA975" s="20"/>
      <c r="AB975" s="11" t="str">
        <f t="shared" si="67"/>
        <v xml:space="preserve"> </v>
      </c>
      <c r="AC975" s="12" t="str">
        <f t="shared" si="68"/>
        <v xml:space="preserve"> </v>
      </c>
    </row>
    <row r="976" spans="1:29" ht="20.100000000000001" customHeight="1" x14ac:dyDescent="0.25">
      <c r="A976" s="16"/>
      <c r="B976" s="108"/>
      <c r="C976" s="109"/>
      <c r="D976" s="109"/>
      <c r="E976" s="109"/>
      <c r="F976" s="17"/>
      <c r="G976" s="17"/>
      <c r="H976" s="108"/>
      <c r="I976" s="107"/>
      <c r="J976" s="108"/>
      <c r="K976" s="107"/>
      <c r="L976" s="108"/>
      <c r="M976" s="110"/>
      <c r="N976" s="109"/>
      <c r="O976" s="108"/>
      <c r="P976" s="233"/>
      <c r="Q976" s="239"/>
      <c r="R976" s="19"/>
      <c r="S976" s="20"/>
      <c r="T976" s="9" t="str">
        <f t="shared" si="65"/>
        <v xml:space="preserve"> </v>
      </c>
      <c r="U976" s="18"/>
      <c r="V976" s="21"/>
      <c r="W976" s="22"/>
      <c r="X976" s="197" t="str">
        <f t="shared" si="66"/>
        <v xml:space="preserve"> </v>
      </c>
      <c r="Y976" s="246"/>
      <c r="Z976" s="247"/>
      <c r="AA976" s="20"/>
      <c r="AB976" s="11" t="str">
        <f t="shared" si="67"/>
        <v xml:space="preserve"> </v>
      </c>
      <c r="AC976" s="12" t="str">
        <f t="shared" si="68"/>
        <v xml:space="preserve"> </v>
      </c>
    </row>
    <row r="977" spans="1:29" ht="20.100000000000001" customHeight="1" x14ac:dyDescent="0.25">
      <c r="A977" s="16"/>
      <c r="B977" s="108"/>
      <c r="C977" s="109"/>
      <c r="D977" s="109"/>
      <c r="E977" s="109"/>
      <c r="F977" s="17"/>
      <c r="G977" s="17"/>
      <c r="H977" s="108"/>
      <c r="I977" s="107"/>
      <c r="J977" s="108"/>
      <c r="K977" s="107"/>
      <c r="L977" s="108"/>
      <c r="M977" s="110"/>
      <c r="N977" s="109"/>
      <c r="O977" s="108"/>
      <c r="P977" s="233"/>
      <c r="Q977" s="239"/>
      <c r="R977" s="19"/>
      <c r="S977" s="20"/>
      <c r="T977" s="9" t="str">
        <f t="shared" si="65"/>
        <v xml:space="preserve"> </v>
      </c>
      <c r="U977" s="18"/>
      <c r="V977" s="21"/>
      <c r="W977" s="22"/>
      <c r="X977" s="197" t="str">
        <f t="shared" si="66"/>
        <v xml:space="preserve"> </v>
      </c>
      <c r="Y977" s="246"/>
      <c r="Z977" s="247"/>
      <c r="AA977" s="20"/>
      <c r="AB977" s="11" t="str">
        <f t="shared" si="67"/>
        <v xml:space="preserve"> </v>
      </c>
      <c r="AC977" s="12" t="str">
        <f t="shared" si="68"/>
        <v xml:space="preserve"> </v>
      </c>
    </row>
    <row r="978" spans="1:29" ht="20.100000000000001" customHeight="1" x14ac:dyDescent="0.25">
      <c r="A978" s="16"/>
      <c r="B978" s="108"/>
      <c r="C978" s="109"/>
      <c r="D978" s="109"/>
      <c r="E978" s="109"/>
      <c r="F978" s="17"/>
      <c r="G978" s="17"/>
      <c r="H978" s="108"/>
      <c r="I978" s="107"/>
      <c r="J978" s="108"/>
      <c r="K978" s="107"/>
      <c r="L978" s="108"/>
      <c r="M978" s="110"/>
      <c r="N978" s="109"/>
      <c r="O978" s="108"/>
      <c r="P978" s="233"/>
      <c r="Q978" s="239"/>
      <c r="R978" s="19"/>
      <c r="S978" s="20"/>
      <c r="T978" s="9" t="str">
        <f t="shared" si="65"/>
        <v xml:space="preserve"> </v>
      </c>
      <c r="U978" s="18"/>
      <c r="V978" s="21"/>
      <c r="W978" s="22"/>
      <c r="X978" s="197" t="str">
        <f t="shared" si="66"/>
        <v xml:space="preserve"> </v>
      </c>
      <c r="Y978" s="246"/>
      <c r="Z978" s="247"/>
      <c r="AA978" s="20"/>
      <c r="AB978" s="11" t="str">
        <f t="shared" si="67"/>
        <v xml:space="preserve"> </v>
      </c>
      <c r="AC978" s="12" t="str">
        <f t="shared" si="68"/>
        <v xml:space="preserve"> </v>
      </c>
    </row>
    <row r="979" spans="1:29" ht="20.100000000000001" customHeight="1" x14ac:dyDescent="0.25">
      <c r="A979" s="16"/>
      <c r="B979" s="108"/>
      <c r="C979" s="109"/>
      <c r="D979" s="109"/>
      <c r="E979" s="109"/>
      <c r="F979" s="17"/>
      <c r="G979" s="17"/>
      <c r="H979" s="108"/>
      <c r="I979" s="107"/>
      <c r="J979" s="108"/>
      <c r="K979" s="107"/>
      <c r="L979" s="108"/>
      <c r="M979" s="110"/>
      <c r="N979" s="109"/>
      <c r="O979" s="108"/>
      <c r="P979" s="233"/>
      <c r="Q979" s="239"/>
      <c r="R979" s="19"/>
      <c r="S979" s="20"/>
      <c r="T979" s="9" t="str">
        <f t="shared" si="65"/>
        <v xml:space="preserve"> </v>
      </c>
      <c r="U979" s="18"/>
      <c r="V979" s="21"/>
      <c r="W979" s="22"/>
      <c r="X979" s="197" t="str">
        <f t="shared" si="66"/>
        <v xml:space="preserve"> </v>
      </c>
      <c r="Y979" s="246"/>
      <c r="Z979" s="247"/>
      <c r="AA979" s="20"/>
      <c r="AB979" s="11" t="str">
        <f t="shared" si="67"/>
        <v xml:space="preserve"> </v>
      </c>
      <c r="AC979" s="12" t="str">
        <f t="shared" si="68"/>
        <v xml:space="preserve"> </v>
      </c>
    </row>
    <row r="980" spans="1:29" ht="20.100000000000001" customHeight="1" x14ac:dyDescent="0.25">
      <c r="A980" s="16"/>
      <c r="B980" s="108"/>
      <c r="C980" s="109"/>
      <c r="D980" s="109"/>
      <c r="E980" s="109"/>
      <c r="F980" s="17"/>
      <c r="G980" s="17"/>
      <c r="H980" s="108"/>
      <c r="I980" s="107"/>
      <c r="J980" s="108"/>
      <c r="K980" s="107"/>
      <c r="L980" s="108"/>
      <c r="M980" s="110"/>
      <c r="N980" s="109"/>
      <c r="O980" s="108"/>
      <c r="P980" s="233"/>
      <c r="Q980" s="239"/>
      <c r="R980" s="19"/>
      <c r="S980" s="20"/>
      <c r="T980" s="9" t="str">
        <f t="shared" si="65"/>
        <v xml:space="preserve"> </v>
      </c>
      <c r="U980" s="18"/>
      <c r="V980" s="21"/>
      <c r="W980" s="22"/>
      <c r="X980" s="197" t="str">
        <f t="shared" si="66"/>
        <v xml:space="preserve"> </v>
      </c>
      <c r="Y980" s="246"/>
      <c r="Z980" s="247"/>
      <c r="AA980" s="20"/>
      <c r="AB980" s="11" t="str">
        <f t="shared" si="67"/>
        <v xml:space="preserve"> </v>
      </c>
      <c r="AC980" s="12" t="str">
        <f t="shared" si="68"/>
        <v xml:space="preserve"> </v>
      </c>
    </row>
    <row r="981" spans="1:29" ht="20.100000000000001" customHeight="1" x14ac:dyDescent="0.25">
      <c r="A981" s="16"/>
      <c r="B981" s="108"/>
      <c r="C981" s="109"/>
      <c r="D981" s="109"/>
      <c r="E981" s="109"/>
      <c r="F981" s="17"/>
      <c r="G981" s="17"/>
      <c r="H981" s="108"/>
      <c r="I981" s="107"/>
      <c r="J981" s="108"/>
      <c r="K981" s="107"/>
      <c r="L981" s="108"/>
      <c r="M981" s="110"/>
      <c r="N981" s="109"/>
      <c r="O981" s="108"/>
      <c r="P981" s="233"/>
      <c r="Q981" s="239"/>
      <c r="R981" s="19"/>
      <c r="S981" s="20"/>
      <c r="T981" s="9" t="str">
        <f t="shared" si="65"/>
        <v xml:space="preserve"> </v>
      </c>
      <c r="U981" s="18"/>
      <c r="V981" s="21"/>
      <c r="W981" s="22"/>
      <c r="X981" s="197" t="str">
        <f t="shared" si="66"/>
        <v xml:space="preserve"> </v>
      </c>
      <c r="Y981" s="246"/>
      <c r="Z981" s="247"/>
      <c r="AA981" s="20"/>
      <c r="AB981" s="11" t="str">
        <f t="shared" si="67"/>
        <v xml:space="preserve"> </v>
      </c>
      <c r="AC981" s="12" t="str">
        <f t="shared" si="68"/>
        <v xml:space="preserve"> </v>
      </c>
    </row>
    <row r="982" spans="1:29" ht="20.100000000000001" customHeight="1" x14ac:dyDescent="0.25">
      <c r="A982" s="16"/>
      <c r="B982" s="108"/>
      <c r="C982" s="109"/>
      <c r="D982" s="109"/>
      <c r="E982" s="109"/>
      <c r="F982" s="17"/>
      <c r="G982" s="17"/>
      <c r="H982" s="108"/>
      <c r="I982" s="107"/>
      <c r="J982" s="108"/>
      <c r="K982" s="107"/>
      <c r="L982" s="108"/>
      <c r="M982" s="110"/>
      <c r="N982" s="109"/>
      <c r="O982" s="108"/>
      <c r="P982" s="233"/>
      <c r="Q982" s="239"/>
      <c r="R982" s="19"/>
      <c r="S982" s="20"/>
      <c r="T982" s="9" t="str">
        <f t="shared" si="65"/>
        <v xml:space="preserve"> </v>
      </c>
      <c r="U982" s="18"/>
      <c r="V982" s="21"/>
      <c r="W982" s="22"/>
      <c r="X982" s="197" t="str">
        <f t="shared" si="66"/>
        <v xml:space="preserve"> </v>
      </c>
      <c r="Y982" s="246"/>
      <c r="Z982" s="247"/>
      <c r="AA982" s="20"/>
      <c r="AB982" s="11" t="str">
        <f t="shared" si="67"/>
        <v xml:space="preserve"> </v>
      </c>
      <c r="AC982" s="12" t="str">
        <f t="shared" si="68"/>
        <v xml:space="preserve"> </v>
      </c>
    </row>
    <row r="983" spans="1:29" ht="20.100000000000001" customHeight="1" x14ac:dyDescent="0.25">
      <c r="A983" s="16"/>
      <c r="B983" s="108"/>
      <c r="C983" s="109"/>
      <c r="D983" s="109"/>
      <c r="E983" s="109"/>
      <c r="F983" s="17"/>
      <c r="G983" s="17"/>
      <c r="H983" s="108"/>
      <c r="I983" s="107"/>
      <c r="J983" s="108"/>
      <c r="K983" s="107"/>
      <c r="L983" s="108"/>
      <c r="M983" s="110"/>
      <c r="N983" s="109"/>
      <c r="O983" s="108"/>
      <c r="P983" s="233"/>
      <c r="Q983" s="239"/>
      <c r="R983" s="19"/>
      <c r="S983" s="20"/>
      <c r="T983" s="9" t="str">
        <f t="shared" si="65"/>
        <v xml:space="preserve"> </v>
      </c>
      <c r="U983" s="18"/>
      <c r="V983" s="21"/>
      <c r="W983" s="22"/>
      <c r="X983" s="197" t="str">
        <f t="shared" si="66"/>
        <v xml:space="preserve"> </v>
      </c>
      <c r="Y983" s="246"/>
      <c r="Z983" s="247"/>
      <c r="AA983" s="20"/>
      <c r="AB983" s="11" t="str">
        <f t="shared" si="67"/>
        <v xml:space="preserve"> </v>
      </c>
      <c r="AC983" s="12" t="str">
        <f t="shared" si="68"/>
        <v xml:space="preserve"> </v>
      </c>
    </row>
    <row r="984" spans="1:29" ht="20.100000000000001" customHeight="1" x14ac:dyDescent="0.25">
      <c r="A984" s="16"/>
      <c r="B984" s="108"/>
      <c r="C984" s="109"/>
      <c r="D984" s="109"/>
      <c r="E984" s="109"/>
      <c r="F984" s="17"/>
      <c r="G984" s="17"/>
      <c r="H984" s="108"/>
      <c r="I984" s="107"/>
      <c r="J984" s="108"/>
      <c r="K984" s="107"/>
      <c r="L984" s="108"/>
      <c r="M984" s="110"/>
      <c r="N984" s="109"/>
      <c r="O984" s="108"/>
      <c r="P984" s="233"/>
      <c r="Q984" s="239"/>
      <c r="R984" s="19"/>
      <c r="S984" s="20"/>
      <c r="T984" s="9" t="str">
        <f t="shared" si="65"/>
        <v xml:space="preserve"> </v>
      </c>
      <c r="U984" s="18"/>
      <c r="V984" s="21"/>
      <c r="W984" s="22"/>
      <c r="X984" s="197" t="str">
        <f t="shared" si="66"/>
        <v xml:space="preserve"> </v>
      </c>
      <c r="Y984" s="246"/>
      <c r="Z984" s="247"/>
      <c r="AA984" s="20"/>
      <c r="AB984" s="11" t="str">
        <f t="shared" si="67"/>
        <v xml:space="preserve"> </v>
      </c>
      <c r="AC984" s="12" t="str">
        <f t="shared" si="68"/>
        <v xml:space="preserve"> </v>
      </c>
    </row>
    <row r="985" spans="1:29" ht="20.100000000000001" customHeight="1" x14ac:dyDescent="0.25">
      <c r="A985" s="16"/>
      <c r="B985" s="108"/>
      <c r="C985" s="109"/>
      <c r="D985" s="109"/>
      <c r="E985" s="109"/>
      <c r="F985" s="17"/>
      <c r="G985" s="17"/>
      <c r="H985" s="108"/>
      <c r="I985" s="107"/>
      <c r="J985" s="108"/>
      <c r="K985" s="107"/>
      <c r="L985" s="108"/>
      <c r="M985" s="110"/>
      <c r="N985" s="109"/>
      <c r="O985" s="108"/>
      <c r="P985" s="233"/>
      <c r="Q985" s="239"/>
      <c r="R985" s="19"/>
      <c r="S985" s="20"/>
      <c r="T985" s="9" t="str">
        <f t="shared" si="65"/>
        <v xml:space="preserve"> </v>
      </c>
      <c r="U985" s="18"/>
      <c r="V985" s="21"/>
      <c r="W985" s="22"/>
      <c r="X985" s="197" t="str">
        <f t="shared" si="66"/>
        <v xml:space="preserve"> </v>
      </c>
      <c r="Y985" s="246"/>
      <c r="Z985" s="247"/>
      <c r="AA985" s="20"/>
      <c r="AB985" s="11" t="str">
        <f t="shared" si="67"/>
        <v xml:space="preserve"> </v>
      </c>
      <c r="AC985" s="12" t="str">
        <f t="shared" si="68"/>
        <v xml:space="preserve"> </v>
      </c>
    </row>
    <row r="986" spans="1:29" ht="20.100000000000001" customHeight="1" x14ac:dyDescent="0.25">
      <c r="A986" s="16"/>
      <c r="B986" s="108"/>
      <c r="C986" s="109"/>
      <c r="D986" s="109"/>
      <c r="E986" s="109"/>
      <c r="F986" s="17"/>
      <c r="G986" s="17"/>
      <c r="H986" s="108"/>
      <c r="I986" s="107"/>
      <c r="J986" s="108"/>
      <c r="K986" s="107"/>
      <c r="L986" s="108"/>
      <c r="M986" s="110"/>
      <c r="N986" s="109"/>
      <c r="O986" s="108"/>
      <c r="P986" s="233"/>
      <c r="Q986" s="239"/>
      <c r="R986" s="19"/>
      <c r="S986" s="20"/>
      <c r="T986" s="9" t="str">
        <f t="shared" si="65"/>
        <v xml:space="preserve"> </v>
      </c>
      <c r="U986" s="18"/>
      <c r="V986" s="21"/>
      <c r="W986" s="22"/>
      <c r="X986" s="197" t="str">
        <f t="shared" si="66"/>
        <v xml:space="preserve"> </v>
      </c>
      <c r="Y986" s="246"/>
      <c r="Z986" s="247"/>
      <c r="AA986" s="20"/>
      <c r="AB986" s="11" t="str">
        <f t="shared" si="67"/>
        <v xml:space="preserve"> </v>
      </c>
      <c r="AC986" s="12" t="str">
        <f t="shared" si="68"/>
        <v xml:space="preserve"> </v>
      </c>
    </row>
    <row r="987" spans="1:29" ht="20.100000000000001" customHeight="1" x14ac:dyDescent="0.25">
      <c r="A987" s="16"/>
      <c r="B987" s="108"/>
      <c r="C987" s="109"/>
      <c r="D987" s="109"/>
      <c r="E987" s="109"/>
      <c r="F987" s="17"/>
      <c r="G987" s="17"/>
      <c r="H987" s="108"/>
      <c r="I987" s="107"/>
      <c r="J987" s="108"/>
      <c r="K987" s="107"/>
      <c r="L987" s="108"/>
      <c r="M987" s="110"/>
      <c r="N987" s="109"/>
      <c r="O987" s="108"/>
      <c r="P987" s="233"/>
      <c r="Q987" s="239"/>
      <c r="R987" s="19"/>
      <c r="S987" s="20"/>
      <c r="T987" s="9" t="str">
        <f t="shared" si="65"/>
        <v xml:space="preserve"> </v>
      </c>
      <c r="U987" s="18"/>
      <c r="V987" s="21"/>
      <c r="W987" s="22"/>
      <c r="X987" s="197" t="str">
        <f t="shared" si="66"/>
        <v xml:space="preserve"> </v>
      </c>
      <c r="Y987" s="246"/>
      <c r="Z987" s="247"/>
      <c r="AA987" s="20"/>
      <c r="AB987" s="11" t="str">
        <f t="shared" si="67"/>
        <v xml:space="preserve"> </v>
      </c>
      <c r="AC987" s="12" t="str">
        <f t="shared" si="68"/>
        <v xml:space="preserve"> </v>
      </c>
    </row>
    <row r="988" spans="1:29" ht="20.100000000000001" customHeight="1" x14ac:dyDescent="0.25">
      <c r="A988" s="16"/>
      <c r="B988" s="108"/>
      <c r="C988" s="109"/>
      <c r="D988" s="109"/>
      <c r="E988" s="109"/>
      <c r="F988" s="17"/>
      <c r="G988" s="17"/>
      <c r="H988" s="108"/>
      <c r="I988" s="107"/>
      <c r="J988" s="108"/>
      <c r="K988" s="107"/>
      <c r="L988" s="108"/>
      <c r="M988" s="110"/>
      <c r="N988" s="109"/>
      <c r="O988" s="108"/>
      <c r="P988" s="233"/>
      <c r="Q988" s="239"/>
      <c r="R988" s="19"/>
      <c r="S988" s="20"/>
      <c r="T988" s="9" t="str">
        <f t="shared" si="65"/>
        <v xml:space="preserve"> </v>
      </c>
      <c r="U988" s="18"/>
      <c r="V988" s="21"/>
      <c r="W988" s="22"/>
      <c r="X988" s="197" t="str">
        <f t="shared" si="66"/>
        <v xml:space="preserve"> </v>
      </c>
      <c r="Y988" s="246"/>
      <c r="Z988" s="247"/>
      <c r="AA988" s="20"/>
      <c r="AB988" s="11" t="str">
        <f t="shared" si="67"/>
        <v xml:space="preserve"> </v>
      </c>
      <c r="AC988" s="12" t="str">
        <f t="shared" si="68"/>
        <v xml:space="preserve"> </v>
      </c>
    </row>
    <row r="989" spans="1:29" ht="20.100000000000001" customHeight="1" x14ac:dyDescent="0.25">
      <c r="A989" s="16"/>
      <c r="B989" s="108"/>
      <c r="C989" s="109"/>
      <c r="D989" s="109"/>
      <c r="E989" s="109"/>
      <c r="F989" s="17"/>
      <c r="G989" s="17"/>
      <c r="H989" s="108"/>
      <c r="I989" s="107"/>
      <c r="J989" s="108"/>
      <c r="K989" s="107"/>
      <c r="L989" s="108"/>
      <c r="M989" s="110"/>
      <c r="N989" s="109"/>
      <c r="O989" s="108"/>
      <c r="P989" s="233"/>
      <c r="Q989" s="239"/>
      <c r="R989" s="19"/>
      <c r="S989" s="20"/>
      <c r="T989" s="9" t="str">
        <f t="shared" si="65"/>
        <v xml:space="preserve"> </v>
      </c>
      <c r="U989" s="18"/>
      <c r="V989" s="21"/>
      <c r="W989" s="22"/>
      <c r="X989" s="197" t="str">
        <f t="shared" si="66"/>
        <v xml:space="preserve"> </v>
      </c>
      <c r="Y989" s="246"/>
      <c r="Z989" s="247"/>
      <c r="AA989" s="20"/>
      <c r="AB989" s="11" t="str">
        <f t="shared" si="67"/>
        <v xml:space="preserve"> </v>
      </c>
      <c r="AC989" s="12" t="str">
        <f t="shared" si="68"/>
        <v xml:space="preserve"> </v>
      </c>
    </row>
    <row r="990" spans="1:29" ht="20.100000000000001" customHeight="1" x14ac:dyDescent="0.25">
      <c r="A990" s="16"/>
      <c r="B990" s="108"/>
      <c r="C990" s="109"/>
      <c r="D990" s="109"/>
      <c r="E990" s="109"/>
      <c r="F990" s="17"/>
      <c r="G990" s="17"/>
      <c r="H990" s="108"/>
      <c r="I990" s="107"/>
      <c r="J990" s="108"/>
      <c r="K990" s="107"/>
      <c r="L990" s="108"/>
      <c r="M990" s="110"/>
      <c r="N990" s="109"/>
      <c r="O990" s="108"/>
      <c r="P990" s="233"/>
      <c r="Q990" s="239"/>
      <c r="R990" s="19"/>
      <c r="S990" s="20"/>
      <c r="T990" s="9" t="str">
        <f t="shared" si="65"/>
        <v xml:space="preserve"> </v>
      </c>
      <c r="U990" s="18"/>
      <c r="V990" s="21"/>
      <c r="W990" s="22"/>
      <c r="X990" s="197" t="str">
        <f t="shared" si="66"/>
        <v xml:space="preserve"> </v>
      </c>
      <c r="Y990" s="246"/>
      <c r="Z990" s="247"/>
      <c r="AA990" s="20"/>
      <c r="AB990" s="11" t="str">
        <f t="shared" si="67"/>
        <v xml:space="preserve"> </v>
      </c>
      <c r="AC990" s="12" t="str">
        <f t="shared" si="68"/>
        <v xml:space="preserve"> </v>
      </c>
    </row>
    <row r="991" spans="1:29" ht="20.100000000000001" customHeight="1" x14ac:dyDescent="0.25">
      <c r="A991" s="16"/>
      <c r="B991" s="108"/>
      <c r="C991" s="109"/>
      <c r="D991" s="109"/>
      <c r="E991" s="109"/>
      <c r="F991" s="17"/>
      <c r="G991" s="17"/>
      <c r="H991" s="108"/>
      <c r="I991" s="107"/>
      <c r="J991" s="108"/>
      <c r="K991" s="107"/>
      <c r="L991" s="108"/>
      <c r="M991" s="110"/>
      <c r="N991" s="109"/>
      <c r="O991" s="108"/>
      <c r="P991" s="233"/>
      <c r="Q991" s="239"/>
      <c r="R991" s="19"/>
      <c r="S991" s="20"/>
      <c r="T991" s="9" t="str">
        <f t="shared" si="65"/>
        <v xml:space="preserve"> </v>
      </c>
      <c r="U991" s="18"/>
      <c r="V991" s="21"/>
      <c r="W991" s="22"/>
      <c r="X991" s="197" t="str">
        <f t="shared" si="66"/>
        <v xml:space="preserve"> </v>
      </c>
      <c r="Y991" s="246"/>
      <c r="Z991" s="247"/>
      <c r="AA991" s="20"/>
      <c r="AB991" s="11" t="str">
        <f t="shared" si="67"/>
        <v xml:space="preserve"> </v>
      </c>
      <c r="AC991" s="12" t="str">
        <f t="shared" si="68"/>
        <v xml:space="preserve"> </v>
      </c>
    </row>
    <row r="992" spans="1:29" ht="20.100000000000001" customHeight="1" x14ac:dyDescent="0.25">
      <c r="A992" s="16"/>
      <c r="B992" s="108"/>
      <c r="C992" s="109"/>
      <c r="D992" s="109"/>
      <c r="E992" s="109"/>
      <c r="F992" s="17"/>
      <c r="G992" s="17"/>
      <c r="H992" s="108"/>
      <c r="I992" s="107"/>
      <c r="J992" s="108"/>
      <c r="K992" s="107"/>
      <c r="L992" s="108"/>
      <c r="M992" s="110"/>
      <c r="N992" s="109"/>
      <c r="O992" s="108"/>
      <c r="P992" s="233"/>
      <c r="Q992" s="239"/>
      <c r="R992" s="19"/>
      <c r="S992" s="20"/>
      <c r="T992" s="9" t="str">
        <f t="shared" si="65"/>
        <v xml:space="preserve"> </v>
      </c>
      <c r="U992" s="18"/>
      <c r="V992" s="21"/>
      <c r="W992" s="22"/>
      <c r="X992" s="197" t="str">
        <f t="shared" si="66"/>
        <v xml:space="preserve"> </v>
      </c>
      <c r="Y992" s="246"/>
      <c r="Z992" s="247"/>
      <c r="AA992" s="20"/>
      <c r="AB992" s="11" t="str">
        <f t="shared" si="67"/>
        <v xml:space="preserve"> </v>
      </c>
      <c r="AC992" s="12" t="str">
        <f t="shared" si="68"/>
        <v xml:space="preserve"> </v>
      </c>
    </row>
    <row r="993" spans="1:29" ht="20.100000000000001" customHeight="1" x14ac:dyDescent="0.25">
      <c r="A993" s="16"/>
      <c r="B993" s="108"/>
      <c r="C993" s="109"/>
      <c r="D993" s="109"/>
      <c r="E993" s="109"/>
      <c r="F993" s="17"/>
      <c r="G993" s="17"/>
      <c r="H993" s="108"/>
      <c r="I993" s="107"/>
      <c r="J993" s="108"/>
      <c r="K993" s="107"/>
      <c r="L993" s="108"/>
      <c r="M993" s="110"/>
      <c r="N993" s="109"/>
      <c r="O993" s="108"/>
      <c r="P993" s="233"/>
      <c r="Q993" s="239"/>
      <c r="R993" s="19"/>
      <c r="S993" s="20"/>
      <c r="T993" s="9" t="str">
        <f t="shared" si="65"/>
        <v xml:space="preserve"> </v>
      </c>
      <c r="U993" s="18"/>
      <c r="V993" s="21"/>
      <c r="W993" s="22"/>
      <c r="X993" s="197" t="str">
        <f t="shared" si="66"/>
        <v xml:space="preserve"> </v>
      </c>
      <c r="Y993" s="246"/>
      <c r="Z993" s="247"/>
      <c r="AA993" s="20"/>
      <c r="AB993" s="11" t="str">
        <f t="shared" si="67"/>
        <v xml:space="preserve"> </v>
      </c>
      <c r="AC993" s="12" t="str">
        <f t="shared" si="68"/>
        <v xml:space="preserve"> </v>
      </c>
    </row>
    <row r="994" spans="1:29" ht="20.100000000000001" customHeight="1" x14ac:dyDescent="0.25">
      <c r="A994" s="16"/>
      <c r="B994" s="108"/>
      <c r="C994" s="109"/>
      <c r="D994" s="109"/>
      <c r="E994" s="109"/>
      <c r="F994" s="17"/>
      <c r="G994" s="17"/>
      <c r="H994" s="108"/>
      <c r="I994" s="107"/>
      <c r="J994" s="108"/>
      <c r="K994" s="107"/>
      <c r="L994" s="108"/>
      <c r="M994" s="110"/>
      <c r="N994" s="109"/>
      <c r="O994" s="108"/>
      <c r="P994" s="233"/>
      <c r="Q994" s="239"/>
      <c r="R994" s="19"/>
      <c r="S994" s="20"/>
      <c r="T994" s="9" t="str">
        <f t="shared" si="65"/>
        <v xml:space="preserve"> </v>
      </c>
      <c r="U994" s="18"/>
      <c r="V994" s="21"/>
      <c r="W994" s="22"/>
      <c r="X994" s="197" t="str">
        <f t="shared" si="66"/>
        <v xml:space="preserve"> </v>
      </c>
      <c r="Y994" s="246"/>
      <c r="Z994" s="247"/>
      <c r="AA994" s="20"/>
      <c r="AB994" s="11" t="str">
        <f t="shared" si="67"/>
        <v xml:space="preserve"> </v>
      </c>
      <c r="AC994" s="12" t="str">
        <f t="shared" si="68"/>
        <v xml:space="preserve"> </v>
      </c>
    </row>
    <row r="995" spans="1:29" ht="20.100000000000001" customHeight="1" x14ac:dyDescent="0.25">
      <c r="A995" s="16"/>
      <c r="B995" s="108"/>
      <c r="C995" s="109"/>
      <c r="D995" s="109"/>
      <c r="E995" s="109"/>
      <c r="F995" s="17"/>
      <c r="G995" s="17"/>
      <c r="H995" s="108"/>
      <c r="I995" s="107"/>
      <c r="J995" s="108"/>
      <c r="K995" s="107"/>
      <c r="L995" s="108"/>
      <c r="M995" s="110"/>
      <c r="N995" s="109"/>
      <c r="O995" s="108"/>
      <c r="P995" s="233"/>
      <c r="Q995" s="239"/>
      <c r="R995" s="19"/>
      <c r="S995" s="20"/>
      <c r="T995" s="9" t="str">
        <f t="shared" si="65"/>
        <v xml:space="preserve"> </v>
      </c>
      <c r="U995" s="18"/>
      <c r="V995" s="21"/>
      <c r="W995" s="22"/>
      <c r="X995" s="197" t="str">
        <f t="shared" si="66"/>
        <v xml:space="preserve"> </v>
      </c>
      <c r="Y995" s="246"/>
      <c r="Z995" s="247"/>
      <c r="AA995" s="20"/>
      <c r="AB995" s="11" t="str">
        <f t="shared" si="67"/>
        <v xml:space="preserve"> </v>
      </c>
      <c r="AC995" s="12" t="str">
        <f t="shared" si="68"/>
        <v xml:space="preserve"> </v>
      </c>
    </row>
    <row r="996" spans="1:29" ht="20.100000000000001" customHeight="1" x14ac:dyDescent="0.25">
      <c r="A996" s="16"/>
      <c r="B996" s="108"/>
      <c r="C996" s="109"/>
      <c r="D996" s="109"/>
      <c r="E996" s="109"/>
      <c r="F996" s="17"/>
      <c r="G996" s="17"/>
      <c r="H996" s="108"/>
      <c r="I996" s="107"/>
      <c r="J996" s="108"/>
      <c r="K996" s="107"/>
      <c r="L996" s="108"/>
      <c r="M996" s="110"/>
      <c r="N996" s="109"/>
      <c r="O996" s="108"/>
      <c r="P996" s="233"/>
      <c r="Q996" s="239"/>
      <c r="R996" s="19"/>
      <c r="S996" s="20"/>
      <c r="T996" s="9" t="str">
        <f t="shared" si="65"/>
        <v xml:space="preserve"> </v>
      </c>
      <c r="U996" s="18"/>
      <c r="V996" s="21"/>
      <c r="W996" s="22"/>
      <c r="X996" s="197" t="str">
        <f t="shared" si="66"/>
        <v xml:space="preserve"> </v>
      </c>
      <c r="Y996" s="246"/>
      <c r="Z996" s="247"/>
      <c r="AA996" s="20"/>
      <c r="AB996" s="11" t="str">
        <f t="shared" si="67"/>
        <v xml:space="preserve"> </v>
      </c>
      <c r="AC996" s="12" t="str">
        <f t="shared" si="68"/>
        <v xml:space="preserve"> </v>
      </c>
    </row>
    <row r="997" spans="1:29" ht="20.100000000000001" customHeight="1" x14ac:dyDescent="0.25">
      <c r="A997" s="16"/>
      <c r="B997" s="108"/>
      <c r="C997" s="109"/>
      <c r="D997" s="109"/>
      <c r="E997" s="109"/>
      <c r="F997" s="17"/>
      <c r="G997" s="17"/>
      <c r="H997" s="108"/>
      <c r="I997" s="107"/>
      <c r="J997" s="108"/>
      <c r="K997" s="107"/>
      <c r="L997" s="108"/>
      <c r="M997" s="110"/>
      <c r="N997" s="109"/>
      <c r="O997" s="108"/>
      <c r="P997" s="233"/>
      <c r="Q997" s="239"/>
      <c r="R997" s="19"/>
      <c r="S997" s="20"/>
      <c r="T997" s="9" t="str">
        <f t="shared" si="65"/>
        <v xml:space="preserve"> </v>
      </c>
      <c r="U997" s="18"/>
      <c r="V997" s="21"/>
      <c r="W997" s="22"/>
      <c r="X997" s="197" t="str">
        <f t="shared" si="66"/>
        <v xml:space="preserve"> </v>
      </c>
      <c r="Y997" s="246"/>
      <c r="Z997" s="247"/>
      <c r="AA997" s="20"/>
      <c r="AB997" s="11" t="str">
        <f t="shared" si="67"/>
        <v xml:space="preserve"> </v>
      </c>
      <c r="AC997" s="12" t="str">
        <f t="shared" si="68"/>
        <v xml:space="preserve"> </v>
      </c>
    </row>
    <row r="998" spans="1:29" ht="20.100000000000001" customHeight="1" x14ac:dyDescent="0.25">
      <c r="A998" s="16"/>
      <c r="B998" s="108"/>
      <c r="C998" s="109"/>
      <c r="D998" s="109"/>
      <c r="E998" s="109"/>
      <c r="F998" s="17"/>
      <c r="G998" s="17"/>
      <c r="H998" s="108"/>
      <c r="I998" s="107"/>
      <c r="J998" s="108"/>
      <c r="K998" s="107"/>
      <c r="L998" s="108"/>
      <c r="M998" s="110"/>
      <c r="N998" s="109"/>
      <c r="O998" s="108"/>
      <c r="P998" s="233"/>
      <c r="Q998" s="239"/>
      <c r="R998" s="19"/>
      <c r="S998" s="20"/>
      <c r="T998" s="9" t="str">
        <f t="shared" si="65"/>
        <v xml:space="preserve"> </v>
      </c>
      <c r="U998" s="18"/>
      <c r="V998" s="21"/>
      <c r="W998" s="22"/>
      <c r="X998" s="197" t="str">
        <f t="shared" si="66"/>
        <v xml:space="preserve"> </v>
      </c>
      <c r="Y998" s="246"/>
      <c r="Z998" s="247"/>
      <c r="AA998" s="20"/>
      <c r="AB998" s="11" t="str">
        <f t="shared" si="67"/>
        <v xml:space="preserve"> </v>
      </c>
      <c r="AC998" s="12" t="str">
        <f t="shared" si="68"/>
        <v xml:space="preserve"> </v>
      </c>
    </row>
    <row r="999" spans="1:29" ht="20.100000000000001" customHeight="1" x14ac:dyDescent="0.25">
      <c r="A999" s="16"/>
      <c r="B999" s="108"/>
      <c r="C999" s="109"/>
      <c r="D999" s="109"/>
      <c r="E999" s="109"/>
      <c r="F999" s="17"/>
      <c r="G999" s="17"/>
      <c r="H999" s="108"/>
      <c r="I999" s="107"/>
      <c r="J999" s="108"/>
      <c r="K999" s="107"/>
      <c r="L999" s="108"/>
      <c r="M999" s="110"/>
      <c r="N999" s="109"/>
      <c r="O999" s="108"/>
      <c r="P999" s="233"/>
      <c r="Q999" s="239"/>
      <c r="R999" s="19"/>
      <c r="S999" s="20"/>
      <c r="T999" s="9" t="str">
        <f t="shared" si="65"/>
        <v xml:space="preserve"> </v>
      </c>
      <c r="U999" s="18"/>
      <c r="V999" s="21"/>
      <c r="W999" s="22"/>
      <c r="X999" s="197" t="str">
        <f t="shared" si="66"/>
        <v xml:space="preserve"> </v>
      </c>
      <c r="Y999" s="246"/>
      <c r="Z999" s="247"/>
      <c r="AA999" s="20"/>
      <c r="AB999" s="11" t="str">
        <f t="shared" si="67"/>
        <v xml:space="preserve"> </v>
      </c>
      <c r="AC999" s="12" t="str">
        <f t="shared" si="68"/>
        <v xml:space="preserve"> </v>
      </c>
    </row>
    <row r="1000" spans="1:29" ht="20.100000000000001" customHeight="1" x14ac:dyDescent="0.25">
      <c r="A1000" s="16"/>
      <c r="B1000" s="108"/>
      <c r="C1000" s="109"/>
      <c r="D1000" s="109"/>
      <c r="E1000" s="109"/>
      <c r="F1000" s="17"/>
      <c r="G1000" s="17"/>
      <c r="H1000" s="108"/>
      <c r="I1000" s="107"/>
      <c r="J1000" s="108"/>
      <c r="K1000" s="107"/>
      <c r="L1000" s="108"/>
      <c r="M1000" s="110"/>
      <c r="N1000" s="109"/>
      <c r="O1000" s="108"/>
      <c r="P1000" s="233"/>
      <c r="Q1000" s="239"/>
      <c r="R1000" s="19"/>
      <c r="S1000" s="20"/>
      <c r="T1000" s="9" t="str">
        <f t="shared" si="65"/>
        <v xml:space="preserve"> </v>
      </c>
      <c r="U1000" s="18"/>
      <c r="V1000" s="21"/>
      <c r="W1000" s="22"/>
      <c r="X1000" s="197" t="str">
        <f t="shared" si="66"/>
        <v xml:space="preserve"> </v>
      </c>
      <c r="Y1000" s="246"/>
      <c r="Z1000" s="247"/>
      <c r="AA1000" s="20"/>
      <c r="AB1000" s="11" t="str">
        <f t="shared" si="67"/>
        <v xml:space="preserve"> </v>
      </c>
      <c r="AC1000" s="12" t="str">
        <f t="shared" si="68"/>
        <v xml:space="preserve"> </v>
      </c>
    </row>
    <row r="1001" spans="1:29" ht="20.100000000000001" customHeight="1" x14ac:dyDescent="0.25">
      <c r="A1001" s="16"/>
      <c r="B1001" s="108"/>
      <c r="C1001" s="109"/>
      <c r="D1001" s="109"/>
      <c r="E1001" s="109"/>
      <c r="F1001" s="111"/>
      <c r="G1001" s="17"/>
      <c r="H1001" s="111"/>
      <c r="I1001" s="107"/>
      <c r="J1001" s="108"/>
      <c r="K1001" s="107"/>
      <c r="L1001" s="108"/>
      <c r="M1001" s="110"/>
      <c r="N1001" s="109"/>
      <c r="O1001" s="108"/>
      <c r="P1001" s="233"/>
      <c r="Q1001" s="239"/>
      <c r="R1001" s="19"/>
      <c r="S1001" s="20"/>
      <c r="T1001" s="9" t="str">
        <f t="shared" si="65"/>
        <v xml:space="preserve"> </v>
      </c>
      <c r="U1001" s="18"/>
      <c r="V1001" s="21"/>
      <c r="W1001" s="22"/>
      <c r="X1001" s="197" t="str">
        <f t="shared" si="66"/>
        <v xml:space="preserve"> </v>
      </c>
      <c r="Y1001" s="246"/>
      <c r="Z1001" s="247"/>
      <c r="AA1001" s="20"/>
      <c r="AB1001" s="11" t="str">
        <f t="shared" si="67"/>
        <v xml:space="preserve"> </v>
      </c>
      <c r="AC1001" s="12" t="str">
        <f t="shared" si="68"/>
        <v xml:space="preserve"> </v>
      </c>
    </row>
    <row r="1002" spans="1:29" ht="20.100000000000001" customHeight="1" x14ac:dyDescent="0.25">
      <c r="A1002" s="16"/>
      <c r="B1002" s="108"/>
      <c r="C1002" s="109"/>
      <c r="D1002" s="109"/>
      <c r="E1002" s="109"/>
      <c r="F1002" s="17"/>
      <c r="G1002" s="17"/>
      <c r="H1002" s="108"/>
      <c r="I1002" s="107"/>
      <c r="J1002" s="108"/>
      <c r="K1002" s="107"/>
      <c r="L1002" s="108"/>
      <c r="M1002" s="110"/>
      <c r="N1002" s="109"/>
      <c r="O1002" s="108"/>
      <c r="P1002" s="233"/>
      <c r="Q1002" s="239"/>
      <c r="R1002" s="19"/>
      <c r="S1002" s="20"/>
      <c r="T1002" s="24" t="str">
        <f t="shared" si="65"/>
        <v xml:space="preserve"> </v>
      </c>
      <c r="U1002" s="18"/>
      <c r="V1002" s="21"/>
      <c r="W1002" s="22"/>
      <c r="X1002" s="198" t="str">
        <f t="shared" si="66"/>
        <v xml:space="preserve"> </v>
      </c>
      <c r="Y1002" s="246"/>
      <c r="Z1002" s="247"/>
      <c r="AA1002" s="20"/>
      <c r="AB1002" s="25" t="str">
        <f t="shared" si="67"/>
        <v xml:space="preserve"> </v>
      </c>
      <c r="AC1002" s="26" t="str">
        <f t="shared" si="68"/>
        <v xml:space="preserve"> </v>
      </c>
    </row>
    <row r="1004" spans="1:29" x14ac:dyDescent="0.25">
      <c r="F1004" s="134"/>
      <c r="H1004" s="114"/>
      <c r="I1004" s="114"/>
      <c r="J1004" s="114"/>
      <c r="K1004" s="114"/>
      <c r="L1004" s="114"/>
      <c r="M1004" s="114"/>
      <c r="N1004" s="114"/>
      <c r="P1004" s="234"/>
      <c r="Q1004" s="240"/>
    </row>
    <row r="1005" spans="1:29" x14ac:dyDescent="0.25">
      <c r="F1005" s="134"/>
      <c r="H1005" s="114"/>
      <c r="I1005" s="114"/>
      <c r="J1005" s="114"/>
      <c r="K1005" s="114"/>
      <c r="L1005" s="114"/>
      <c r="M1005" s="114"/>
      <c r="N1005" s="114"/>
      <c r="P1005" s="234"/>
      <c r="Q1005" s="240"/>
    </row>
    <row r="1006" spans="1:29" x14ac:dyDescent="0.25">
      <c r="F1006" s="134"/>
      <c r="H1006" s="114"/>
      <c r="I1006" s="114"/>
      <c r="J1006" s="114"/>
      <c r="K1006" s="114"/>
      <c r="L1006" s="114"/>
      <c r="M1006" s="114"/>
      <c r="N1006" s="114"/>
      <c r="P1006" s="234"/>
      <c r="Q1006" s="240"/>
    </row>
    <row r="1007" spans="1:29" x14ac:dyDescent="0.25">
      <c r="F1007" s="134"/>
      <c r="H1007" s="114"/>
      <c r="I1007" s="114"/>
      <c r="J1007" s="114"/>
      <c r="K1007" s="114"/>
      <c r="L1007" s="114"/>
      <c r="M1007" s="114"/>
      <c r="N1007" s="114"/>
      <c r="P1007" s="234"/>
      <c r="Q1007" s="240"/>
    </row>
    <row r="1008" spans="1:29" x14ac:dyDescent="0.25">
      <c r="F1008" s="134"/>
      <c r="H1008" s="114"/>
      <c r="I1008" s="114"/>
      <c r="J1008" s="114"/>
      <c r="K1008" s="114"/>
      <c r="L1008" s="114"/>
      <c r="M1008" s="114"/>
      <c r="N1008" s="114"/>
      <c r="P1008" s="234"/>
      <c r="Q1008" s="240"/>
    </row>
    <row r="1009" spans="6:17" x14ac:dyDescent="0.25">
      <c r="F1009" s="134"/>
      <c r="H1009" s="114"/>
      <c r="I1009" s="114"/>
      <c r="J1009" s="114"/>
      <c r="K1009" s="114"/>
      <c r="L1009" s="114"/>
      <c r="M1009" s="114"/>
      <c r="N1009" s="114"/>
      <c r="P1009" s="234"/>
      <c r="Q1009" s="240"/>
    </row>
    <row r="1010" spans="6:17" x14ac:dyDescent="0.25">
      <c r="F1010" s="134"/>
      <c r="H1010" s="114"/>
      <c r="I1010" s="114"/>
      <c r="J1010" s="114"/>
      <c r="K1010" s="114"/>
      <c r="L1010" s="114"/>
      <c r="M1010" s="114"/>
      <c r="N1010" s="114"/>
      <c r="P1010" s="234"/>
      <c r="Q1010" s="240"/>
    </row>
    <row r="1011" spans="6:17" x14ac:dyDescent="0.25">
      <c r="F1011" s="134"/>
      <c r="H1011" s="114"/>
      <c r="I1011" s="114"/>
      <c r="J1011" s="114"/>
      <c r="K1011" s="114"/>
      <c r="L1011" s="114"/>
      <c r="M1011" s="114"/>
      <c r="N1011" s="114"/>
      <c r="P1011" s="234"/>
      <c r="Q1011" s="240"/>
    </row>
    <row r="1012" spans="6:17" x14ac:dyDescent="0.25">
      <c r="F1012" s="134"/>
      <c r="H1012" s="114"/>
      <c r="I1012" s="114"/>
      <c r="J1012" s="114"/>
      <c r="K1012" s="114"/>
      <c r="L1012" s="114"/>
      <c r="M1012" s="114"/>
      <c r="N1012" s="114"/>
      <c r="P1012" s="234"/>
      <c r="Q1012" s="240"/>
    </row>
    <row r="1013" spans="6:17" x14ac:dyDescent="0.25">
      <c r="F1013" s="134"/>
      <c r="H1013" s="114"/>
      <c r="I1013" s="114"/>
      <c r="J1013" s="114"/>
      <c r="K1013" s="114"/>
      <c r="L1013" s="114"/>
      <c r="M1013" s="114"/>
      <c r="N1013" s="114"/>
      <c r="P1013" s="234"/>
      <c r="Q1013" s="240"/>
    </row>
    <row r="1014" spans="6:17" x14ac:dyDescent="0.25">
      <c r="F1014" s="134"/>
      <c r="H1014" s="114"/>
      <c r="I1014" s="114"/>
      <c r="J1014" s="114"/>
      <c r="K1014" s="114"/>
      <c r="L1014" s="114"/>
      <c r="M1014" s="114"/>
      <c r="N1014" s="114"/>
      <c r="P1014" s="234"/>
      <c r="Q1014" s="240"/>
    </row>
    <row r="1015" spans="6:17" x14ac:dyDescent="0.25">
      <c r="F1015" s="134"/>
      <c r="H1015" s="114"/>
      <c r="I1015" s="114"/>
      <c r="J1015" s="114"/>
      <c r="K1015" s="114"/>
      <c r="L1015" s="114"/>
      <c r="M1015" s="114"/>
      <c r="N1015" s="114"/>
      <c r="P1015" s="234"/>
      <c r="Q1015" s="240"/>
    </row>
    <row r="1016" spans="6:17" x14ac:dyDescent="0.25">
      <c r="F1016" s="134"/>
      <c r="H1016" s="114"/>
      <c r="I1016" s="114"/>
      <c r="J1016" s="114"/>
      <c r="K1016" s="114"/>
      <c r="L1016" s="114"/>
      <c r="M1016" s="114"/>
      <c r="N1016" s="114"/>
      <c r="P1016" s="234"/>
      <c r="Q1016" s="240"/>
    </row>
    <row r="1017" spans="6:17" x14ac:dyDescent="0.25">
      <c r="F1017" s="134"/>
      <c r="H1017" s="114"/>
      <c r="I1017" s="114"/>
      <c r="J1017" s="114"/>
      <c r="K1017" s="114"/>
      <c r="L1017" s="114"/>
      <c r="M1017" s="114"/>
      <c r="N1017" s="114"/>
      <c r="P1017" s="234"/>
      <c r="Q1017" s="240"/>
    </row>
    <row r="1018" spans="6:17" x14ac:dyDescent="0.25">
      <c r="F1018" s="134"/>
      <c r="H1018" s="114"/>
      <c r="I1018" s="114"/>
      <c r="J1018" s="114"/>
      <c r="K1018" s="114"/>
      <c r="L1018" s="114"/>
      <c r="M1018" s="114"/>
      <c r="N1018" s="114"/>
      <c r="P1018" s="234"/>
      <c r="Q1018" s="240"/>
    </row>
    <row r="1019" spans="6:17" x14ac:dyDescent="0.25">
      <c r="F1019" s="134"/>
      <c r="H1019" s="114"/>
      <c r="I1019" s="114"/>
      <c r="J1019" s="114"/>
      <c r="K1019" s="114"/>
      <c r="L1019" s="114"/>
      <c r="M1019" s="114"/>
      <c r="N1019" s="114"/>
      <c r="P1019" s="234"/>
      <c r="Q1019" s="240"/>
    </row>
    <row r="1020" spans="6:17" x14ac:dyDescent="0.25">
      <c r="F1020" s="134"/>
      <c r="H1020" s="114"/>
      <c r="I1020" s="114"/>
      <c r="J1020" s="114"/>
      <c r="K1020" s="114"/>
      <c r="L1020" s="114"/>
      <c r="M1020" s="114"/>
      <c r="N1020" s="114"/>
      <c r="P1020" s="234"/>
      <c r="Q1020" s="240"/>
    </row>
    <row r="1021" spans="6:17" x14ac:dyDescent="0.25">
      <c r="F1021" s="134"/>
      <c r="H1021" s="114"/>
      <c r="I1021" s="114"/>
      <c r="J1021" s="114"/>
      <c r="K1021" s="114"/>
      <c r="L1021" s="114"/>
      <c r="M1021" s="114"/>
      <c r="N1021" s="114"/>
      <c r="P1021" s="234"/>
      <c r="Q1021" s="240"/>
    </row>
    <row r="1022" spans="6:17" x14ac:dyDescent="0.25">
      <c r="F1022" s="134"/>
      <c r="H1022" s="114"/>
      <c r="I1022" s="114"/>
      <c r="J1022" s="114"/>
      <c r="K1022" s="114"/>
      <c r="L1022" s="114"/>
      <c r="M1022" s="114"/>
      <c r="N1022" s="114"/>
      <c r="P1022" s="234"/>
      <c r="Q1022" s="240"/>
    </row>
    <row r="1023" spans="6:17" x14ac:dyDescent="0.25">
      <c r="F1023" s="134"/>
      <c r="H1023" s="114"/>
      <c r="I1023" s="114"/>
      <c r="J1023" s="114"/>
      <c r="K1023" s="114"/>
      <c r="L1023" s="114"/>
      <c r="M1023" s="114"/>
      <c r="N1023" s="114"/>
      <c r="P1023" s="234"/>
      <c r="Q1023" s="240"/>
    </row>
    <row r="1024" spans="6:17" x14ac:dyDescent="0.25">
      <c r="F1024" s="134"/>
      <c r="H1024" s="114"/>
      <c r="I1024" s="114"/>
      <c r="J1024" s="114"/>
      <c r="K1024" s="114"/>
      <c r="L1024" s="114"/>
      <c r="M1024" s="114"/>
      <c r="N1024" s="114"/>
      <c r="P1024" s="234"/>
      <c r="Q1024" s="240"/>
    </row>
    <row r="1025" spans="6:17" x14ac:dyDescent="0.25">
      <c r="F1025" s="134"/>
      <c r="H1025" s="114"/>
      <c r="I1025" s="114"/>
      <c r="J1025" s="114"/>
      <c r="K1025" s="114"/>
      <c r="L1025" s="114"/>
      <c r="M1025" s="114"/>
      <c r="N1025" s="114"/>
      <c r="P1025" s="234"/>
      <c r="Q1025" s="240"/>
    </row>
    <row r="1026" spans="6:17" x14ac:dyDescent="0.25">
      <c r="F1026" s="134"/>
      <c r="H1026" s="114"/>
      <c r="I1026" s="114"/>
      <c r="J1026" s="114"/>
      <c r="K1026" s="114"/>
      <c r="L1026" s="114"/>
      <c r="M1026" s="114"/>
      <c r="N1026" s="114"/>
      <c r="P1026" s="234"/>
      <c r="Q1026" s="240"/>
    </row>
    <row r="1027" spans="6:17" x14ac:dyDescent="0.25">
      <c r="F1027" s="134"/>
      <c r="H1027" s="114"/>
      <c r="I1027" s="114"/>
      <c r="J1027" s="114"/>
      <c r="K1027" s="114"/>
      <c r="L1027" s="114"/>
      <c r="M1027" s="114"/>
      <c r="N1027" s="114"/>
      <c r="P1027" s="234"/>
      <c r="Q1027" s="240"/>
    </row>
    <row r="1028" spans="6:17" x14ac:dyDescent="0.25">
      <c r="F1028" s="134"/>
      <c r="H1028" s="114"/>
      <c r="I1028" s="114"/>
      <c r="J1028" s="114"/>
      <c r="K1028" s="114"/>
      <c r="L1028" s="114"/>
      <c r="M1028" s="114"/>
      <c r="N1028" s="114"/>
      <c r="P1028" s="234"/>
      <c r="Q1028" s="240"/>
    </row>
    <row r="1029" spans="6:17" x14ac:dyDescent="0.25">
      <c r="F1029" s="134"/>
      <c r="H1029" s="114"/>
      <c r="I1029" s="114"/>
      <c r="J1029" s="114"/>
      <c r="K1029" s="114"/>
      <c r="L1029" s="114"/>
      <c r="M1029" s="114"/>
      <c r="N1029" s="114"/>
      <c r="P1029" s="234"/>
      <c r="Q1029" s="240"/>
    </row>
    <row r="1030" spans="6:17" x14ac:dyDescent="0.25">
      <c r="F1030" s="134"/>
      <c r="H1030" s="114"/>
      <c r="I1030" s="114"/>
      <c r="J1030" s="114"/>
      <c r="K1030" s="114"/>
      <c r="L1030" s="114"/>
      <c r="M1030" s="114"/>
      <c r="N1030" s="114"/>
      <c r="P1030" s="234"/>
      <c r="Q1030" s="240"/>
    </row>
    <row r="1031" spans="6:17" x14ac:dyDescent="0.25">
      <c r="F1031" s="134"/>
      <c r="H1031" s="114"/>
      <c r="I1031" s="114"/>
      <c r="J1031" s="114"/>
      <c r="K1031" s="114"/>
      <c r="L1031" s="114"/>
      <c r="M1031" s="114"/>
      <c r="N1031" s="114"/>
      <c r="P1031" s="234"/>
      <c r="Q1031" s="240"/>
    </row>
    <row r="1032" spans="6:17" x14ac:dyDescent="0.25">
      <c r="F1032" s="134"/>
      <c r="H1032" s="114"/>
      <c r="I1032" s="114"/>
      <c r="J1032" s="114"/>
      <c r="K1032" s="114"/>
      <c r="L1032" s="114"/>
      <c r="M1032" s="114"/>
      <c r="N1032" s="114"/>
      <c r="P1032" s="234"/>
      <c r="Q1032" s="240"/>
    </row>
    <row r="1033" spans="6:17" x14ac:dyDescent="0.25">
      <c r="F1033" s="134"/>
      <c r="H1033" s="114"/>
      <c r="I1033" s="114"/>
      <c r="J1033" s="114"/>
      <c r="K1033" s="114"/>
      <c r="L1033" s="114"/>
      <c r="M1033" s="114"/>
      <c r="N1033" s="114"/>
      <c r="P1033" s="234"/>
      <c r="Q1033" s="240"/>
    </row>
    <row r="1034" spans="6:17" x14ac:dyDescent="0.25">
      <c r="F1034" s="134"/>
      <c r="H1034" s="114"/>
      <c r="I1034" s="114"/>
      <c r="J1034" s="114"/>
      <c r="K1034" s="114"/>
      <c r="L1034" s="114"/>
      <c r="M1034" s="114"/>
      <c r="N1034" s="114"/>
      <c r="P1034" s="234"/>
      <c r="Q1034" s="240"/>
    </row>
    <row r="1035" spans="6:17" x14ac:dyDescent="0.25">
      <c r="F1035" s="134"/>
      <c r="H1035" s="114"/>
      <c r="I1035" s="114"/>
      <c r="J1035" s="114"/>
      <c r="K1035" s="114"/>
      <c r="L1035" s="114"/>
      <c r="M1035" s="114"/>
      <c r="N1035" s="114"/>
      <c r="P1035" s="234"/>
      <c r="Q1035" s="240"/>
    </row>
    <row r="1036" spans="6:17" x14ac:dyDescent="0.25">
      <c r="F1036" s="134"/>
      <c r="H1036" s="114"/>
      <c r="I1036" s="114"/>
      <c r="J1036" s="114"/>
      <c r="K1036" s="114"/>
      <c r="L1036" s="114"/>
      <c r="M1036" s="114"/>
      <c r="N1036" s="114"/>
      <c r="P1036" s="234"/>
      <c r="Q1036" s="240"/>
    </row>
    <row r="1037" spans="6:17" x14ac:dyDescent="0.25">
      <c r="F1037" s="134"/>
      <c r="H1037" s="114"/>
      <c r="I1037" s="114"/>
      <c r="J1037" s="114"/>
      <c r="K1037" s="114"/>
      <c r="L1037" s="114"/>
      <c r="M1037" s="114"/>
      <c r="N1037" s="114"/>
      <c r="P1037" s="234"/>
      <c r="Q1037" s="240"/>
    </row>
    <row r="1038" spans="6:17" x14ac:dyDescent="0.25">
      <c r="F1038" s="134"/>
      <c r="H1038" s="114"/>
      <c r="I1038" s="114"/>
      <c r="J1038" s="114"/>
      <c r="K1038" s="114"/>
      <c r="L1038" s="114"/>
      <c r="M1038" s="114"/>
      <c r="N1038" s="114"/>
      <c r="P1038" s="234"/>
      <c r="Q1038" s="240"/>
    </row>
    <row r="1039" spans="6:17" x14ac:dyDescent="0.25">
      <c r="F1039" s="134"/>
      <c r="H1039" s="114"/>
      <c r="I1039" s="114"/>
      <c r="J1039" s="114"/>
      <c r="K1039" s="114"/>
      <c r="L1039" s="114"/>
      <c r="M1039" s="114"/>
      <c r="N1039" s="114"/>
      <c r="P1039" s="234"/>
      <c r="Q1039" s="240"/>
    </row>
    <row r="1040" spans="6:17" x14ac:dyDescent="0.25">
      <c r="F1040" s="134"/>
      <c r="H1040" s="114"/>
      <c r="I1040" s="114"/>
      <c r="J1040" s="114"/>
      <c r="K1040" s="114"/>
      <c r="L1040" s="114"/>
      <c r="M1040" s="114"/>
      <c r="N1040" s="114"/>
      <c r="P1040" s="234"/>
      <c r="Q1040" s="240"/>
    </row>
    <row r="1041" spans="6:17" x14ac:dyDescent="0.25">
      <c r="F1041" s="134"/>
      <c r="H1041" s="114"/>
      <c r="I1041" s="114"/>
      <c r="J1041" s="114"/>
      <c r="K1041" s="114"/>
      <c r="L1041" s="114"/>
      <c r="M1041" s="114"/>
      <c r="N1041" s="114"/>
      <c r="P1041" s="234"/>
      <c r="Q1041" s="240"/>
    </row>
    <row r="1042" spans="6:17" x14ac:dyDescent="0.25">
      <c r="F1042" s="134"/>
      <c r="H1042" s="114"/>
      <c r="I1042" s="114"/>
      <c r="J1042" s="114"/>
      <c r="K1042" s="114"/>
      <c r="L1042" s="114"/>
      <c r="M1042" s="114"/>
      <c r="N1042" s="114"/>
      <c r="P1042" s="234"/>
      <c r="Q1042" s="240"/>
    </row>
    <row r="1043" spans="6:17" x14ac:dyDescent="0.25">
      <c r="F1043" s="134"/>
      <c r="H1043" s="114"/>
      <c r="I1043" s="114"/>
      <c r="J1043" s="114"/>
      <c r="K1043" s="114"/>
      <c r="L1043" s="114"/>
      <c r="M1043" s="114"/>
      <c r="N1043" s="114"/>
      <c r="P1043" s="234"/>
      <c r="Q1043" s="240"/>
    </row>
    <row r="1044" spans="6:17" x14ac:dyDescent="0.25">
      <c r="F1044" s="134"/>
      <c r="H1044" s="114"/>
      <c r="I1044" s="114"/>
      <c r="J1044" s="114"/>
      <c r="K1044" s="114"/>
      <c r="L1044" s="114"/>
      <c r="M1044" s="114"/>
      <c r="N1044" s="114"/>
      <c r="P1044" s="234"/>
      <c r="Q1044" s="240"/>
    </row>
    <row r="1045" spans="6:17" x14ac:dyDescent="0.25">
      <c r="F1045" s="134"/>
      <c r="H1045" s="114"/>
      <c r="I1045" s="114"/>
      <c r="J1045" s="114"/>
      <c r="K1045" s="114"/>
      <c r="L1045" s="114"/>
      <c r="M1045" s="114"/>
      <c r="N1045" s="114"/>
      <c r="P1045" s="234"/>
      <c r="Q1045" s="240"/>
    </row>
    <row r="1046" spans="6:17" x14ac:dyDescent="0.25">
      <c r="F1046" s="134"/>
      <c r="H1046" s="114"/>
      <c r="I1046" s="114"/>
      <c r="J1046" s="114"/>
      <c r="K1046" s="114"/>
      <c r="L1046" s="114"/>
      <c r="M1046" s="114"/>
      <c r="N1046" s="114"/>
      <c r="P1046" s="234"/>
      <c r="Q1046" s="240"/>
    </row>
    <row r="1047" spans="6:17" x14ac:dyDescent="0.25">
      <c r="F1047" s="134"/>
      <c r="H1047" s="114"/>
      <c r="I1047" s="114"/>
      <c r="J1047" s="114"/>
      <c r="K1047" s="114"/>
      <c r="L1047" s="114"/>
      <c r="M1047" s="114"/>
      <c r="N1047" s="114"/>
      <c r="P1047" s="234"/>
      <c r="Q1047" s="240"/>
    </row>
    <row r="1048" spans="6:17" x14ac:dyDescent="0.25">
      <c r="F1048" s="134"/>
      <c r="H1048" s="114"/>
      <c r="I1048" s="114"/>
      <c r="J1048" s="114"/>
      <c r="K1048" s="114"/>
      <c r="L1048" s="114"/>
      <c r="M1048" s="114"/>
      <c r="N1048" s="114"/>
      <c r="P1048" s="234"/>
      <c r="Q1048" s="240"/>
    </row>
    <row r="1049" spans="6:17" x14ac:dyDescent="0.25">
      <c r="F1049" s="134"/>
      <c r="H1049" s="114"/>
      <c r="I1049" s="114"/>
      <c r="J1049" s="114"/>
      <c r="K1049" s="114"/>
      <c r="L1049" s="114"/>
      <c r="M1049" s="114"/>
      <c r="N1049" s="114"/>
      <c r="P1049" s="234"/>
      <c r="Q1049" s="240"/>
    </row>
    <row r="1050" spans="6:17" x14ac:dyDescent="0.25">
      <c r="F1050" s="134"/>
      <c r="H1050" s="114"/>
      <c r="I1050" s="114"/>
      <c r="J1050" s="114"/>
      <c r="K1050" s="114"/>
      <c r="L1050" s="114"/>
      <c r="M1050" s="114"/>
      <c r="N1050" s="114"/>
      <c r="P1050" s="234"/>
      <c r="Q1050" s="240"/>
    </row>
    <row r="1051" spans="6:17" x14ac:dyDescent="0.25">
      <c r="F1051" s="134"/>
      <c r="H1051" s="114"/>
      <c r="I1051" s="114"/>
      <c r="J1051" s="114"/>
      <c r="K1051" s="114"/>
      <c r="L1051" s="114"/>
      <c r="M1051" s="114"/>
      <c r="N1051" s="114"/>
      <c r="P1051" s="234"/>
      <c r="Q1051" s="240"/>
    </row>
    <row r="1052" spans="6:17" x14ac:dyDescent="0.25">
      <c r="F1052" s="134"/>
      <c r="H1052" s="114"/>
      <c r="I1052" s="114"/>
      <c r="J1052" s="114"/>
      <c r="K1052" s="114"/>
      <c r="L1052" s="114"/>
      <c r="M1052" s="114"/>
      <c r="N1052" s="114"/>
      <c r="P1052" s="234"/>
      <c r="Q1052" s="240"/>
    </row>
    <row r="1053" spans="6:17" x14ac:dyDescent="0.25">
      <c r="F1053" s="134"/>
      <c r="H1053" s="114"/>
      <c r="I1053" s="114"/>
      <c r="J1053" s="114"/>
      <c r="K1053" s="114"/>
      <c r="L1053" s="114"/>
      <c r="M1053" s="114"/>
      <c r="N1053" s="114"/>
      <c r="P1053" s="234"/>
      <c r="Q1053" s="240"/>
    </row>
    <row r="1054" spans="6:17" x14ac:dyDescent="0.25">
      <c r="F1054" s="134"/>
      <c r="H1054" s="114"/>
      <c r="I1054" s="114"/>
      <c r="J1054" s="114"/>
      <c r="K1054" s="114"/>
      <c r="L1054" s="114"/>
      <c r="M1054" s="114"/>
      <c r="N1054" s="114"/>
      <c r="P1054" s="234"/>
      <c r="Q1054" s="240"/>
    </row>
    <row r="1055" spans="6:17" x14ac:dyDescent="0.25">
      <c r="F1055" s="134"/>
      <c r="H1055" s="114"/>
      <c r="I1055" s="114"/>
      <c r="J1055" s="114"/>
      <c r="K1055" s="114"/>
      <c r="L1055" s="114"/>
      <c r="M1055" s="114"/>
      <c r="N1055" s="114"/>
      <c r="P1055" s="234"/>
      <c r="Q1055" s="240"/>
    </row>
    <row r="1056" spans="6:17" x14ac:dyDescent="0.25">
      <c r="F1056" s="134"/>
      <c r="H1056" s="114"/>
      <c r="I1056" s="114"/>
      <c r="J1056" s="114"/>
      <c r="K1056" s="114"/>
      <c r="L1056" s="114"/>
      <c r="M1056" s="114"/>
      <c r="N1056" s="114"/>
      <c r="P1056" s="234"/>
      <c r="Q1056" s="240"/>
    </row>
    <row r="1057" spans="6:17" x14ac:dyDescent="0.25">
      <c r="F1057" s="134"/>
      <c r="H1057" s="114"/>
      <c r="I1057" s="114"/>
      <c r="J1057" s="114"/>
      <c r="K1057" s="114"/>
      <c r="L1057" s="114"/>
      <c r="M1057" s="114"/>
      <c r="N1057" s="114"/>
      <c r="P1057" s="234"/>
      <c r="Q1057" s="240"/>
    </row>
    <row r="1058" spans="6:17" x14ac:dyDescent="0.25">
      <c r="F1058" s="134"/>
      <c r="H1058" s="114"/>
      <c r="I1058" s="114"/>
      <c r="J1058" s="114"/>
      <c r="K1058" s="114"/>
      <c r="L1058" s="114"/>
      <c r="M1058" s="114"/>
      <c r="N1058" s="114"/>
      <c r="P1058" s="234"/>
      <c r="Q1058" s="240"/>
    </row>
    <row r="1059" spans="6:17" x14ac:dyDescent="0.25">
      <c r="F1059" s="134"/>
      <c r="H1059" s="114"/>
      <c r="I1059" s="114"/>
      <c r="J1059" s="114"/>
      <c r="K1059" s="114"/>
      <c r="L1059" s="114"/>
      <c r="M1059" s="114"/>
      <c r="N1059" s="114"/>
      <c r="P1059" s="234"/>
      <c r="Q1059" s="240"/>
    </row>
    <row r="1060" spans="6:17" x14ac:dyDescent="0.25">
      <c r="F1060" s="134"/>
      <c r="H1060" s="114"/>
      <c r="I1060" s="114"/>
      <c r="J1060" s="114"/>
      <c r="K1060" s="114"/>
      <c r="L1060" s="114"/>
      <c r="M1060" s="114"/>
      <c r="N1060" s="114"/>
      <c r="P1060" s="234"/>
      <c r="Q1060" s="240"/>
    </row>
    <row r="1061" spans="6:17" x14ac:dyDescent="0.25">
      <c r="F1061" s="134"/>
      <c r="H1061" s="114"/>
      <c r="I1061" s="114"/>
      <c r="J1061" s="114"/>
      <c r="K1061" s="114"/>
      <c r="L1061" s="114"/>
      <c r="M1061" s="114"/>
      <c r="N1061" s="114"/>
      <c r="P1061" s="234"/>
      <c r="Q1061" s="240"/>
    </row>
    <row r="1062" spans="6:17" x14ac:dyDescent="0.25">
      <c r="F1062" s="134"/>
      <c r="H1062" s="114"/>
      <c r="I1062" s="114"/>
      <c r="J1062" s="114"/>
      <c r="K1062" s="114"/>
      <c r="L1062" s="114"/>
      <c r="M1062" s="114"/>
      <c r="N1062" s="114"/>
      <c r="P1062" s="234"/>
      <c r="Q1062" s="240"/>
    </row>
    <row r="1063" spans="6:17" x14ac:dyDescent="0.25">
      <c r="F1063" s="134"/>
      <c r="H1063" s="114"/>
      <c r="I1063" s="114"/>
      <c r="J1063" s="114"/>
      <c r="K1063" s="114"/>
      <c r="L1063" s="114"/>
      <c r="M1063" s="114"/>
      <c r="N1063" s="114"/>
      <c r="P1063" s="234"/>
      <c r="Q1063" s="240"/>
    </row>
    <row r="1064" spans="6:17" x14ac:dyDescent="0.25">
      <c r="F1064" s="134"/>
      <c r="H1064" s="114"/>
      <c r="I1064" s="114"/>
      <c r="J1064" s="114"/>
      <c r="K1064" s="114"/>
      <c r="L1064" s="114"/>
      <c r="M1064" s="114"/>
      <c r="N1064" s="114"/>
      <c r="P1064" s="234"/>
      <c r="Q1064" s="240"/>
    </row>
    <row r="1065" spans="6:17" x14ac:dyDescent="0.25">
      <c r="F1065" s="134"/>
      <c r="H1065" s="114"/>
      <c r="I1065" s="114"/>
      <c r="J1065" s="114"/>
      <c r="K1065" s="114"/>
      <c r="L1065" s="114"/>
      <c r="M1065" s="114"/>
      <c r="N1065" s="114"/>
      <c r="P1065" s="234"/>
      <c r="Q1065" s="240"/>
    </row>
    <row r="1066" spans="6:17" x14ac:dyDescent="0.25">
      <c r="F1066" s="134"/>
      <c r="H1066" s="114"/>
      <c r="I1066" s="114"/>
      <c r="J1066" s="114"/>
      <c r="K1066" s="114"/>
      <c r="L1066" s="114"/>
      <c r="M1066" s="114"/>
      <c r="N1066" s="114"/>
      <c r="P1066" s="234"/>
      <c r="Q1066" s="240"/>
    </row>
    <row r="1067" spans="6:17" x14ac:dyDescent="0.25">
      <c r="F1067" s="134"/>
      <c r="H1067" s="114"/>
      <c r="I1067" s="114"/>
      <c r="J1067" s="114"/>
      <c r="K1067" s="114"/>
      <c r="L1067" s="114"/>
      <c r="M1067" s="114"/>
      <c r="N1067" s="114"/>
      <c r="P1067" s="234"/>
      <c r="Q1067" s="240"/>
    </row>
    <row r="1068" spans="6:17" x14ac:dyDescent="0.25">
      <c r="F1068" s="134"/>
      <c r="H1068" s="114"/>
      <c r="I1068" s="114"/>
      <c r="J1068" s="114"/>
      <c r="K1068" s="114"/>
      <c r="L1068" s="114"/>
      <c r="M1068" s="114"/>
      <c r="N1068" s="114"/>
      <c r="P1068" s="234"/>
      <c r="Q1068" s="240"/>
    </row>
    <row r="1069" spans="6:17" x14ac:dyDescent="0.25">
      <c r="F1069" s="134"/>
      <c r="H1069" s="114"/>
      <c r="I1069" s="114"/>
      <c r="J1069" s="114"/>
      <c r="K1069" s="114"/>
      <c r="L1069" s="114"/>
      <c r="M1069" s="114"/>
      <c r="N1069" s="114"/>
      <c r="P1069" s="234"/>
      <c r="Q1069" s="240"/>
    </row>
    <row r="1070" spans="6:17" x14ac:dyDescent="0.25">
      <c r="F1070" s="134"/>
      <c r="H1070" s="114"/>
      <c r="I1070" s="114"/>
      <c r="J1070" s="114"/>
      <c r="K1070" s="114"/>
      <c r="L1070" s="114"/>
      <c r="M1070" s="114"/>
      <c r="N1070" s="114"/>
      <c r="P1070" s="234"/>
      <c r="Q1070" s="240"/>
    </row>
    <row r="1071" spans="6:17" x14ac:dyDescent="0.25">
      <c r="F1071" s="134"/>
      <c r="H1071" s="114"/>
      <c r="I1071" s="114"/>
      <c r="J1071" s="114"/>
      <c r="K1071" s="114"/>
      <c r="L1071" s="114"/>
      <c r="M1071" s="114"/>
      <c r="N1071" s="114"/>
      <c r="P1071" s="234"/>
      <c r="Q1071" s="240"/>
    </row>
    <row r="1072" spans="6:17" x14ac:dyDescent="0.25">
      <c r="F1072" s="134"/>
      <c r="H1072" s="114"/>
      <c r="I1072" s="114"/>
      <c r="J1072" s="114"/>
      <c r="K1072" s="114"/>
      <c r="L1072" s="114"/>
      <c r="M1072" s="114"/>
      <c r="N1072" s="114"/>
      <c r="P1072" s="234"/>
      <c r="Q1072" s="240"/>
    </row>
    <row r="1073" spans="6:17" x14ac:dyDescent="0.25">
      <c r="F1073" s="134"/>
      <c r="H1073" s="114"/>
      <c r="I1073" s="114"/>
      <c r="J1073" s="114"/>
      <c r="K1073" s="114"/>
      <c r="L1073" s="114"/>
      <c r="M1073" s="114"/>
      <c r="N1073" s="114"/>
      <c r="P1073" s="234"/>
      <c r="Q1073" s="240"/>
    </row>
    <row r="1074" spans="6:17" x14ac:dyDescent="0.25">
      <c r="F1074" s="134"/>
      <c r="H1074" s="114"/>
      <c r="I1074" s="114"/>
      <c r="J1074" s="114"/>
      <c r="K1074" s="114"/>
      <c r="L1074" s="114"/>
      <c r="M1074" s="114"/>
      <c r="N1074" s="114"/>
      <c r="P1074" s="234"/>
      <c r="Q1074" s="240"/>
    </row>
    <row r="1075" spans="6:17" x14ac:dyDescent="0.25">
      <c r="F1075" s="134"/>
      <c r="H1075" s="114"/>
      <c r="I1075" s="114"/>
      <c r="J1075" s="114"/>
      <c r="K1075" s="114"/>
      <c r="L1075" s="114"/>
      <c r="M1075" s="114"/>
      <c r="N1075" s="114"/>
      <c r="P1075" s="234"/>
      <c r="Q1075" s="240"/>
    </row>
    <row r="1076" spans="6:17" x14ac:dyDescent="0.25">
      <c r="F1076" s="134"/>
      <c r="H1076" s="114"/>
      <c r="I1076" s="114"/>
      <c r="J1076" s="114"/>
      <c r="K1076" s="114"/>
      <c r="L1076" s="114"/>
      <c r="M1076" s="114"/>
      <c r="N1076" s="114"/>
      <c r="P1076" s="234"/>
      <c r="Q1076" s="240"/>
    </row>
    <row r="1077" spans="6:17" x14ac:dyDescent="0.25">
      <c r="F1077" s="134"/>
      <c r="H1077" s="114"/>
      <c r="I1077" s="114"/>
      <c r="J1077" s="114"/>
      <c r="K1077" s="114"/>
      <c r="L1077" s="114"/>
      <c r="M1077" s="114"/>
      <c r="N1077" s="114"/>
      <c r="P1077" s="234"/>
      <c r="Q1077" s="240"/>
    </row>
    <row r="1078" spans="6:17" x14ac:dyDescent="0.25">
      <c r="F1078" s="134"/>
      <c r="H1078" s="114"/>
      <c r="I1078" s="114"/>
      <c r="J1078" s="114"/>
      <c r="K1078" s="114"/>
      <c r="L1078" s="114"/>
      <c r="M1078" s="114"/>
      <c r="N1078" s="114"/>
      <c r="P1078" s="234"/>
      <c r="Q1078" s="240"/>
    </row>
    <row r="1079" spans="6:17" x14ac:dyDescent="0.25">
      <c r="F1079" s="134"/>
      <c r="H1079" s="114"/>
      <c r="I1079" s="114"/>
      <c r="J1079" s="114"/>
      <c r="K1079" s="114"/>
      <c r="L1079" s="114"/>
      <c r="M1079" s="114"/>
      <c r="N1079" s="114"/>
      <c r="P1079" s="234"/>
      <c r="Q1079" s="240"/>
    </row>
    <row r="1080" spans="6:17" x14ac:dyDescent="0.25">
      <c r="F1080" s="134"/>
      <c r="H1080" s="114"/>
      <c r="I1080" s="114"/>
      <c r="J1080" s="114"/>
      <c r="K1080" s="114"/>
      <c r="L1080" s="114"/>
      <c r="M1080" s="114"/>
      <c r="N1080" s="114"/>
      <c r="P1080" s="234"/>
      <c r="Q1080" s="240"/>
    </row>
    <row r="1081" spans="6:17" x14ac:dyDescent="0.25">
      <c r="F1081" s="134"/>
      <c r="H1081" s="114"/>
      <c r="I1081" s="114"/>
      <c r="J1081" s="114"/>
      <c r="K1081" s="114"/>
      <c r="L1081" s="114"/>
      <c r="M1081" s="114"/>
      <c r="N1081" s="114"/>
      <c r="P1081" s="234"/>
      <c r="Q1081" s="240"/>
    </row>
    <row r="1082" spans="6:17" x14ac:dyDescent="0.25">
      <c r="F1082" s="134"/>
      <c r="H1082" s="114"/>
      <c r="I1082" s="114"/>
      <c r="J1082" s="114"/>
      <c r="K1082" s="114"/>
      <c r="L1082" s="114"/>
      <c r="M1082" s="114"/>
      <c r="N1082" s="114"/>
      <c r="P1082" s="234"/>
      <c r="Q1082" s="240"/>
    </row>
    <row r="1083" spans="6:17" x14ac:dyDescent="0.25">
      <c r="F1083" s="134"/>
      <c r="H1083" s="114"/>
      <c r="I1083" s="114"/>
      <c r="J1083" s="114"/>
      <c r="K1083" s="114"/>
      <c r="L1083" s="114"/>
      <c r="M1083" s="114"/>
      <c r="N1083" s="114"/>
      <c r="P1083" s="234"/>
      <c r="Q1083" s="240"/>
    </row>
    <row r="1084" spans="6:17" x14ac:dyDescent="0.25">
      <c r="F1084" s="134"/>
      <c r="H1084" s="114"/>
      <c r="I1084" s="114"/>
      <c r="J1084" s="114"/>
      <c r="K1084" s="114"/>
      <c r="L1084" s="114"/>
      <c r="M1084" s="114"/>
      <c r="N1084" s="114"/>
      <c r="P1084" s="234"/>
      <c r="Q1084" s="240"/>
    </row>
    <row r="1085" spans="6:17" x14ac:dyDescent="0.25">
      <c r="F1085" s="134"/>
      <c r="H1085" s="114"/>
      <c r="I1085" s="114"/>
      <c r="J1085" s="114"/>
      <c r="K1085" s="114"/>
      <c r="L1085" s="114"/>
      <c r="M1085" s="114"/>
      <c r="N1085" s="114"/>
      <c r="P1085" s="234"/>
      <c r="Q1085" s="240"/>
    </row>
    <row r="1086" spans="6:17" x14ac:dyDescent="0.25">
      <c r="F1086" s="134"/>
      <c r="H1086" s="114"/>
      <c r="I1086" s="114"/>
      <c r="J1086" s="114"/>
      <c r="K1086" s="114"/>
      <c r="L1086" s="114"/>
      <c r="M1086" s="114"/>
      <c r="N1086" s="114"/>
      <c r="P1086" s="234"/>
      <c r="Q1086" s="240"/>
    </row>
    <row r="1087" spans="6:17" x14ac:dyDescent="0.25">
      <c r="F1087" s="134"/>
      <c r="H1087" s="114"/>
      <c r="I1087" s="114"/>
      <c r="J1087" s="114"/>
      <c r="K1087" s="114"/>
      <c r="L1087" s="114"/>
      <c r="M1087" s="114"/>
      <c r="N1087" s="114"/>
      <c r="P1087" s="234"/>
      <c r="Q1087" s="240"/>
    </row>
    <row r="1088" spans="6:17" x14ac:dyDescent="0.25">
      <c r="F1088" s="134"/>
      <c r="H1088" s="114"/>
      <c r="I1088" s="114"/>
      <c r="J1088" s="114"/>
      <c r="K1088" s="114"/>
      <c r="L1088" s="114"/>
      <c r="M1088" s="114"/>
      <c r="N1088" s="114"/>
      <c r="P1088" s="234"/>
      <c r="Q1088" s="240"/>
    </row>
    <row r="1089" spans="6:17" x14ac:dyDescent="0.25">
      <c r="F1089" s="134"/>
      <c r="H1089" s="114"/>
      <c r="I1089" s="114"/>
      <c r="J1089" s="114"/>
      <c r="K1089" s="114"/>
      <c r="L1089" s="114"/>
      <c r="M1089" s="114"/>
      <c r="N1089" s="114"/>
      <c r="P1089" s="234"/>
      <c r="Q1089" s="240"/>
    </row>
    <row r="1090" spans="6:17" x14ac:dyDescent="0.25">
      <c r="F1090" s="134"/>
      <c r="H1090" s="114"/>
      <c r="I1090" s="114"/>
      <c r="J1090" s="114"/>
      <c r="K1090" s="114"/>
      <c r="L1090" s="114"/>
      <c r="M1090" s="114"/>
      <c r="N1090" s="114"/>
      <c r="P1090" s="234"/>
      <c r="Q1090" s="240"/>
    </row>
    <row r="1091" spans="6:17" x14ac:dyDescent="0.25">
      <c r="F1091" s="134"/>
      <c r="H1091" s="114"/>
      <c r="I1091" s="114"/>
      <c r="J1091" s="114"/>
      <c r="K1091" s="114"/>
      <c r="L1091" s="114"/>
      <c r="M1091" s="114"/>
      <c r="N1091" s="114"/>
      <c r="P1091" s="234"/>
      <c r="Q1091" s="240"/>
    </row>
    <row r="1092" spans="6:17" x14ac:dyDescent="0.25">
      <c r="F1092" s="134"/>
      <c r="H1092" s="114"/>
      <c r="I1092" s="114"/>
      <c r="J1092" s="114"/>
      <c r="K1092" s="114"/>
      <c r="L1092" s="114"/>
      <c r="M1092" s="114"/>
      <c r="N1092" s="114"/>
      <c r="P1092" s="234"/>
      <c r="Q1092" s="240"/>
    </row>
    <row r="1093" spans="6:17" x14ac:dyDescent="0.25">
      <c r="F1093" s="134"/>
      <c r="H1093" s="114"/>
      <c r="I1093" s="114"/>
      <c r="J1093" s="114"/>
      <c r="K1093" s="114"/>
      <c r="L1093" s="114"/>
      <c r="M1093" s="114"/>
      <c r="N1093" s="114"/>
      <c r="P1093" s="234"/>
      <c r="Q1093" s="240"/>
    </row>
    <row r="1094" spans="6:17" x14ac:dyDescent="0.25">
      <c r="F1094" s="134"/>
      <c r="H1094" s="114"/>
      <c r="I1094" s="114"/>
      <c r="J1094" s="114"/>
      <c r="K1094" s="114"/>
      <c r="L1094" s="114"/>
      <c r="M1094" s="114"/>
      <c r="N1094" s="114"/>
      <c r="P1094" s="234"/>
      <c r="Q1094" s="240"/>
    </row>
    <row r="1095" spans="6:17" x14ac:dyDescent="0.25">
      <c r="F1095" s="134"/>
      <c r="H1095" s="114"/>
      <c r="I1095" s="114"/>
      <c r="J1095" s="114"/>
      <c r="K1095" s="114"/>
      <c r="L1095" s="114"/>
      <c r="M1095" s="114"/>
      <c r="N1095" s="114"/>
      <c r="P1095" s="234"/>
      <c r="Q1095" s="240"/>
    </row>
    <row r="1096" spans="6:17" x14ac:dyDescent="0.25">
      <c r="F1096" s="134"/>
      <c r="H1096" s="114"/>
      <c r="I1096" s="114"/>
      <c r="J1096" s="114"/>
      <c r="K1096" s="114"/>
      <c r="L1096" s="114"/>
      <c r="M1096" s="114"/>
      <c r="N1096" s="114"/>
      <c r="P1096" s="234"/>
      <c r="Q1096" s="240"/>
    </row>
    <row r="1097" spans="6:17" x14ac:dyDescent="0.25">
      <c r="F1097" s="134"/>
      <c r="H1097" s="114"/>
      <c r="I1097" s="114"/>
      <c r="J1097" s="114"/>
      <c r="K1097" s="114"/>
      <c r="L1097" s="114"/>
      <c r="M1097" s="114"/>
      <c r="N1097" s="114"/>
      <c r="P1097" s="234"/>
      <c r="Q1097" s="240"/>
    </row>
    <row r="1098" spans="6:17" x14ac:dyDescent="0.25">
      <c r="F1098" s="134"/>
      <c r="H1098" s="114"/>
      <c r="I1098" s="114"/>
      <c r="J1098" s="114"/>
      <c r="K1098" s="114"/>
      <c r="L1098" s="114"/>
      <c r="M1098" s="114"/>
      <c r="N1098" s="114"/>
      <c r="P1098" s="234"/>
      <c r="Q1098" s="240"/>
    </row>
    <row r="1099" spans="6:17" x14ac:dyDescent="0.25">
      <c r="F1099" s="134"/>
      <c r="H1099" s="114"/>
      <c r="I1099" s="114"/>
      <c r="J1099" s="114"/>
      <c r="K1099" s="114"/>
      <c r="L1099" s="114"/>
      <c r="M1099" s="114"/>
      <c r="N1099" s="114"/>
      <c r="P1099" s="234"/>
      <c r="Q1099" s="240"/>
    </row>
    <row r="1100" spans="6:17" x14ac:dyDescent="0.25">
      <c r="F1100" s="134"/>
      <c r="H1100" s="114"/>
      <c r="I1100" s="114"/>
      <c r="J1100" s="114"/>
      <c r="K1100" s="114"/>
      <c r="L1100" s="114"/>
      <c r="M1100" s="114"/>
      <c r="N1100" s="114"/>
      <c r="P1100" s="234"/>
      <c r="Q1100" s="240"/>
    </row>
    <row r="1101" spans="6:17" x14ac:dyDescent="0.25">
      <c r="F1101" s="134"/>
      <c r="H1101" s="114"/>
      <c r="I1101" s="114"/>
      <c r="J1101" s="114"/>
      <c r="K1101" s="114"/>
      <c r="L1101" s="114"/>
      <c r="M1101" s="114"/>
      <c r="N1101" s="114"/>
      <c r="P1101" s="234"/>
      <c r="Q1101" s="240"/>
    </row>
    <row r="1102" spans="6:17" x14ac:dyDescent="0.25">
      <c r="F1102" s="134"/>
      <c r="H1102" s="114"/>
      <c r="I1102" s="114"/>
      <c r="J1102" s="114"/>
      <c r="K1102" s="114"/>
      <c r="L1102" s="114"/>
      <c r="M1102" s="114"/>
      <c r="N1102" s="114"/>
      <c r="P1102" s="234"/>
      <c r="Q1102" s="240"/>
    </row>
    <row r="1103" spans="6:17" x14ac:dyDescent="0.25">
      <c r="F1103" s="134"/>
      <c r="H1103" s="114"/>
      <c r="I1103" s="114"/>
      <c r="J1103" s="114"/>
      <c r="K1103" s="114"/>
      <c r="L1103" s="114"/>
      <c r="M1103" s="114"/>
      <c r="N1103" s="114"/>
      <c r="P1103" s="234"/>
      <c r="Q1103" s="240"/>
    </row>
    <row r="1104" spans="6:17" x14ac:dyDescent="0.25">
      <c r="F1104" s="134"/>
      <c r="H1104" s="114"/>
      <c r="I1104" s="114"/>
      <c r="J1104" s="114"/>
      <c r="K1104" s="114"/>
      <c r="L1104" s="114"/>
      <c r="M1104" s="114"/>
      <c r="N1104" s="114"/>
      <c r="P1104" s="234"/>
      <c r="Q1104" s="240"/>
    </row>
    <row r="1105" spans="6:17" x14ac:dyDescent="0.25">
      <c r="F1105" s="134"/>
      <c r="H1105" s="114"/>
      <c r="I1105" s="114"/>
      <c r="J1105" s="114"/>
      <c r="K1105" s="114"/>
      <c r="L1105" s="114"/>
      <c r="M1105" s="114"/>
      <c r="N1105" s="114"/>
      <c r="P1105" s="234"/>
      <c r="Q1105" s="240"/>
    </row>
    <row r="1106" spans="6:17" x14ac:dyDescent="0.25">
      <c r="F1106" s="134"/>
      <c r="H1106" s="114"/>
      <c r="I1106" s="114"/>
      <c r="J1106" s="114"/>
      <c r="K1106" s="114"/>
      <c r="L1106" s="114"/>
      <c r="M1106" s="114"/>
      <c r="N1106" s="114"/>
      <c r="P1106" s="234"/>
      <c r="Q1106" s="240"/>
    </row>
    <row r="1107" spans="6:17" x14ac:dyDescent="0.25">
      <c r="F1107" s="134"/>
      <c r="H1107" s="114"/>
      <c r="I1107" s="114"/>
      <c r="J1107" s="114"/>
      <c r="K1107" s="114"/>
      <c r="L1107" s="114"/>
      <c r="M1107" s="114"/>
      <c r="N1107" s="114"/>
      <c r="P1107" s="234"/>
      <c r="Q1107" s="240"/>
    </row>
    <row r="1108" spans="6:17" x14ac:dyDescent="0.25">
      <c r="F1108" s="134"/>
      <c r="H1108" s="114"/>
      <c r="I1108" s="114"/>
      <c r="J1108" s="114"/>
      <c r="K1108" s="114"/>
      <c r="L1108" s="114"/>
      <c r="M1108" s="114"/>
      <c r="N1108" s="114"/>
      <c r="P1108" s="234"/>
      <c r="Q1108" s="240"/>
    </row>
    <row r="1109" spans="6:17" x14ac:dyDescent="0.25">
      <c r="F1109" s="134"/>
      <c r="H1109" s="114"/>
      <c r="I1109" s="114"/>
      <c r="J1109" s="114"/>
      <c r="K1109" s="114"/>
      <c r="L1109" s="114"/>
      <c r="M1109" s="114"/>
      <c r="N1109" s="114"/>
      <c r="P1109" s="234"/>
      <c r="Q1109" s="240"/>
    </row>
    <row r="1110" spans="6:17" x14ac:dyDescent="0.25">
      <c r="F1110" s="134"/>
      <c r="H1110" s="114"/>
      <c r="I1110" s="114"/>
      <c r="J1110" s="114"/>
      <c r="K1110" s="114"/>
      <c r="L1110" s="114"/>
      <c r="M1110" s="114"/>
      <c r="N1110" s="114"/>
      <c r="P1110" s="234"/>
      <c r="Q1110" s="240"/>
    </row>
    <row r="1111" spans="6:17" x14ac:dyDescent="0.25">
      <c r="F1111" s="134"/>
      <c r="H1111" s="114"/>
      <c r="I1111" s="114"/>
      <c r="J1111" s="114"/>
      <c r="K1111" s="114"/>
      <c r="L1111" s="114"/>
      <c r="M1111" s="114"/>
      <c r="N1111" s="114"/>
      <c r="P1111" s="234"/>
      <c r="Q1111" s="240"/>
    </row>
    <row r="1112" spans="6:17" x14ac:dyDescent="0.25">
      <c r="F1112" s="134"/>
      <c r="H1112" s="114"/>
      <c r="I1112" s="114"/>
      <c r="J1112" s="114"/>
      <c r="K1112" s="114"/>
      <c r="L1112" s="114"/>
      <c r="M1112" s="114"/>
      <c r="N1112" s="114"/>
      <c r="P1112" s="234"/>
      <c r="Q1112" s="240"/>
    </row>
    <row r="1113" spans="6:17" x14ac:dyDescent="0.25">
      <c r="F1113" s="134"/>
      <c r="H1113" s="114"/>
      <c r="I1113" s="114"/>
      <c r="J1113" s="114"/>
      <c r="K1113" s="114"/>
      <c r="L1113" s="114"/>
      <c r="M1113" s="114"/>
      <c r="N1113" s="114"/>
      <c r="P1113" s="234"/>
      <c r="Q1113" s="240"/>
    </row>
    <row r="1114" spans="6:17" x14ac:dyDescent="0.25">
      <c r="F1114" s="134"/>
      <c r="H1114" s="114"/>
      <c r="I1114" s="114"/>
      <c r="J1114" s="114"/>
      <c r="K1114" s="114"/>
      <c r="L1114" s="114"/>
      <c r="M1114" s="114"/>
      <c r="N1114" s="114"/>
      <c r="P1114" s="234"/>
      <c r="Q1114" s="240"/>
    </row>
    <row r="1115" spans="6:17" x14ac:dyDescent="0.25">
      <c r="F1115" s="134"/>
      <c r="H1115" s="114"/>
      <c r="I1115" s="114"/>
      <c r="J1115" s="114"/>
      <c r="K1115" s="114"/>
      <c r="L1115" s="114"/>
      <c r="M1115" s="114"/>
      <c r="N1115" s="114"/>
      <c r="P1115" s="234"/>
      <c r="Q1115" s="240"/>
    </row>
    <row r="1116" spans="6:17" x14ac:dyDescent="0.25">
      <c r="F1116" s="134"/>
      <c r="H1116" s="114"/>
      <c r="I1116" s="114"/>
      <c r="J1116" s="114"/>
      <c r="K1116" s="114"/>
      <c r="L1116" s="114"/>
      <c r="M1116" s="114"/>
      <c r="N1116" s="114"/>
      <c r="P1116" s="234"/>
      <c r="Q1116" s="240"/>
    </row>
    <row r="1117" spans="6:17" x14ac:dyDescent="0.25">
      <c r="F1117" s="134"/>
      <c r="H1117" s="114"/>
      <c r="I1117" s="114"/>
      <c r="J1117" s="114"/>
      <c r="K1117" s="114"/>
      <c r="L1117" s="114"/>
      <c r="M1117" s="114"/>
      <c r="N1117" s="114"/>
      <c r="P1117" s="234"/>
      <c r="Q1117" s="240"/>
    </row>
    <row r="1118" spans="6:17" x14ac:dyDescent="0.25">
      <c r="F1118" s="134"/>
      <c r="H1118" s="114"/>
      <c r="I1118" s="114"/>
      <c r="J1118" s="114"/>
      <c r="K1118" s="114"/>
      <c r="L1118" s="114"/>
      <c r="M1118" s="114"/>
      <c r="N1118" s="114"/>
      <c r="P1118" s="234"/>
      <c r="Q1118" s="240"/>
    </row>
    <row r="1119" spans="6:17" x14ac:dyDescent="0.25">
      <c r="F1119" s="134"/>
      <c r="H1119" s="114"/>
      <c r="I1119" s="114"/>
      <c r="J1119" s="114"/>
      <c r="K1119" s="114"/>
      <c r="L1119" s="114"/>
      <c r="M1119" s="114"/>
      <c r="N1119" s="114"/>
      <c r="P1119" s="234"/>
      <c r="Q1119" s="240"/>
    </row>
    <row r="1120" spans="6:17" x14ac:dyDescent="0.25">
      <c r="F1120" s="134"/>
      <c r="H1120" s="114"/>
      <c r="I1120" s="114"/>
      <c r="J1120" s="114"/>
      <c r="K1120" s="114"/>
      <c r="L1120" s="114"/>
      <c r="M1120" s="114"/>
      <c r="N1120" s="114"/>
      <c r="P1120" s="234"/>
      <c r="Q1120" s="240"/>
    </row>
    <row r="1121" spans="6:17" x14ac:dyDescent="0.25">
      <c r="F1121" s="134"/>
      <c r="H1121" s="114"/>
      <c r="I1121" s="114"/>
      <c r="J1121" s="114"/>
      <c r="K1121" s="114"/>
      <c r="L1121" s="114"/>
      <c r="M1121" s="114"/>
      <c r="N1121" s="114"/>
      <c r="P1121" s="234"/>
      <c r="Q1121" s="240"/>
    </row>
    <row r="1122" spans="6:17" x14ac:dyDescent="0.25">
      <c r="F1122" s="134"/>
      <c r="H1122" s="114"/>
      <c r="I1122" s="114"/>
      <c r="J1122" s="114"/>
      <c r="K1122" s="114"/>
      <c r="L1122" s="114"/>
      <c r="M1122" s="114"/>
      <c r="N1122" s="114"/>
      <c r="P1122" s="234"/>
      <c r="Q1122" s="240"/>
    </row>
    <row r="1123" spans="6:17" x14ac:dyDescent="0.25">
      <c r="F1123" s="134"/>
      <c r="H1123" s="114"/>
      <c r="I1123" s="114"/>
      <c r="J1123" s="114"/>
      <c r="K1123" s="114"/>
      <c r="L1123" s="114"/>
      <c r="M1123" s="114"/>
      <c r="N1123" s="114"/>
      <c r="P1123" s="234"/>
      <c r="Q1123" s="240"/>
    </row>
    <row r="1124" spans="6:17" x14ac:dyDescent="0.25">
      <c r="F1124" s="134"/>
      <c r="H1124" s="114"/>
      <c r="I1124" s="114"/>
      <c r="J1124" s="114"/>
      <c r="K1124" s="114"/>
      <c r="L1124" s="114"/>
      <c r="M1124" s="114"/>
      <c r="N1124" s="114"/>
      <c r="P1124" s="234"/>
      <c r="Q1124" s="240"/>
    </row>
    <row r="1125" spans="6:17" x14ac:dyDescent="0.25">
      <c r="F1125" s="134"/>
      <c r="H1125" s="114"/>
      <c r="I1125" s="114"/>
      <c r="J1125" s="114"/>
      <c r="K1125" s="114"/>
      <c r="L1125" s="114"/>
      <c r="M1125" s="114"/>
      <c r="N1125" s="114"/>
      <c r="P1125" s="234"/>
      <c r="Q1125" s="240"/>
    </row>
    <row r="1126" spans="6:17" x14ac:dyDescent="0.25">
      <c r="F1126" s="134"/>
      <c r="H1126" s="114"/>
      <c r="I1126" s="114"/>
      <c r="J1126" s="114"/>
      <c r="K1126" s="114"/>
      <c r="L1126" s="114"/>
      <c r="M1126" s="114"/>
      <c r="N1126" s="114"/>
      <c r="P1126" s="234"/>
      <c r="Q1126" s="240"/>
    </row>
    <row r="1127" spans="6:17" x14ac:dyDescent="0.25">
      <c r="F1127" s="134"/>
      <c r="H1127" s="114"/>
      <c r="I1127" s="114"/>
      <c r="J1127" s="114"/>
      <c r="K1127" s="114"/>
      <c r="L1127" s="114"/>
      <c r="M1127" s="114"/>
      <c r="N1127" s="114"/>
      <c r="P1127" s="234"/>
      <c r="Q1127" s="240"/>
    </row>
    <row r="1128" spans="6:17" x14ac:dyDescent="0.25">
      <c r="F1128" s="134"/>
      <c r="H1128" s="114"/>
      <c r="I1128" s="114"/>
      <c r="J1128" s="114"/>
      <c r="K1128" s="114"/>
      <c r="L1128" s="114"/>
      <c r="M1128" s="114"/>
      <c r="N1128" s="114"/>
      <c r="P1128" s="234"/>
      <c r="Q1128" s="240"/>
    </row>
    <row r="1129" spans="6:17" x14ac:dyDescent="0.25">
      <c r="F1129" s="134"/>
      <c r="H1129" s="114"/>
      <c r="I1129" s="114"/>
      <c r="J1129" s="114"/>
      <c r="K1129" s="114"/>
      <c r="L1129" s="114"/>
      <c r="M1129" s="114"/>
      <c r="N1129" s="114"/>
      <c r="P1129" s="234"/>
      <c r="Q1129" s="240"/>
    </row>
    <row r="1130" spans="6:17" x14ac:dyDescent="0.25">
      <c r="F1130" s="134"/>
      <c r="H1130" s="114"/>
      <c r="I1130" s="114"/>
      <c r="J1130" s="114"/>
      <c r="K1130" s="114"/>
      <c r="L1130" s="114"/>
      <c r="M1130" s="114"/>
      <c r="N1130" s="114"/>
      <c r="P1130" s="234"/>
      <c r="Q1130" s="240"/>
    </row>
    <row r="1131" spans="6:17" x14ac:dyDescent="0.25">
      <c r="F1131" s="134"/>
      <c r="H1131" s="114"/>
      <c r="I1131" s="114"/>
      <c r="J1131" s="114"/>
      <c r="K1131" s="114"/>
      <c r="L1131" s="114"/>
      <c r="M1131" s="114"/>
      <c r="N1131" s="114"/>
      <c r="P1131" s="234"/>
      <c r="Q1131" s="240"/>
    </row>
    <row r="1132" spans="6:17" x14ac:dyDescent="0.25">
      <c r="F1132" s="134"/>
      <c r="H1132" s="114"/>
      <c r="I1132" s="114"/>
      <c r="J1132" s="114"/>
      <c r="K1132" s="114"/>
      <c r="L1132" s="114"/>
      <c r="M1132" s="114"/>
      <c r="N1132" s="114"/>
      <c r="P1132" s="234"/>
      <c r="Q1132" s="240"/>
    </row>
    <row r="1133" spans="6:17" x14ac:dyDescent="0.25">
      <c r="F1133" s="134"/>
      <c r="H1133" s="114"/>
      <c r="I1133" s="114"/>
      <c r="J1133" s="114"/>
      <c r="K1133" s="114"/>
      <c r="L1133" s="114"/>
      <c r="M1133" s="114"/>
      <c r="N1133" s="114"/>
      <c r="P1133" s="234"/>
      <c r="Q1133" s="240"/>
    </row>
    <row r="1134" spans="6:17" x14ac:dyDescent="0.25">
      <c r="F1134" s="134"/>
      <c r="H1134" s="114"/>
      <c r="I1134" s="114"/>
      <c r="J1134" s="114"/>
      <c r="K1134" s="114"/>
      <c r="L1134" s="114"/>
      <c r="M1134" s="114"/>
      <c r="N1134" s="114"/>
      <c r="P1134" s="234"/>
      <c r="Q1134" s="240"/>
    </row>
    <row r="1135" spans="6:17" x14ac:dyDescent="0.25">
      <c r="F1135" s="134"/>
      <c r="H1135" s="114"/>
      <c r="I1135" s="114"/>
      <c r="J1135" s="114"/>
      <c r="K1135" s="114"/>
      <c r="L1135" s="114"/>
      <c r="M1135" s="114"/>
      <c r="N1135" s="114"/>
      <c r="P1135" s="234"/>
      <c r="Q1135" s="240"/>
    </row>
    <row r="1136" spans="6:17" x14ac:dyDescent="0.25">
      <c r="F1136" s="134"/>
      <c r="H1136" s="114"/>
      <c r="I1136" s="114"/>
      <c r="J1136" s="114"/>
      <c r="K1136" s="114"/>
      <c r="L1136" s="114"/>
      <c r="M1136" s="114"/>
      <c r="N1136" s="114"/>
      <c r="P1136" s="234"/>
      <c r="Q1136" s="240"/>
    </row>
    <row r="1137" spans="6:17" x14ac:dyDescent="0.25">
      <c r="F1137" s="134"/>
      <c r="H1137" s="114"/>
      <c r="I1137" s="114"/>
      <c r="J1137" s="114"/>
      <c r="K1137" s="114"/>
      <c r="L1137" s="114"/>
      <c r="M1137" s="114"/>
      <c r="N1137" s="114"/>
      <c r="P1137" s="234"/>
      <c r="Q1137" s="240"/>
    </row>
    <row r="1138" spans="6:17" x14ac:dyDescent="0.25">
      <c r="F1138" s="134"/>
      <c r="H1138" s="114"/>
      <c r="I1138" s="114"/>
      <c r="J1138" s="114"/>
      <c r="K1138" s="114"/>
      <c r="L1138" s="114"/>
      <c r="M1138" s="114"/>
      <c r="N1138" s="114"/>
      <c r="P1138" s="234"/>
      <c r="Q1138" s="240"/>
    </row>
    <row r="1139" spans="6:17" x14ac:dyDescent="0.25">
      <c r="F1139" s="134"/>
      <c r="H1139" s="114"/>
      <c r="I1139" s="114"/>
      <c r="J1139" s="114"/>
      <c r="K1139" s="114"/>
      <c r="L1139" s="114"/>
      <c r="M1139" s="114"/>
      <c r="N1139" s="114"/>
      <c r="P1139" s="234"/>
      <c r="Q1139" s="240"/>
    </row>
    <row r="1140" spans="6:17" x14ac:dyDescent="0.25">
      <c r="F1140" s="134"/>
      <c r="H1140" s="114"/>
      <c r="I1140" s="114"/>
      <c r="J1140" s="114"/>
      <c r="K1140" s="114"/>
      <c r="L1140" s="114"/>
      <c r="M1140" s="114"/>
      <c r="N1140" s="114"/>
      <c r="P1140" s="234"/>
      <c r="Q1140" s="240"/>
    </row>
    <row r="1141" spans="6:17" x14ac:dyDescent="0.25">
      <c r="F1141" s="134"/>
      <c r="H1141" s="114"/>
      <c r="I1141" s="114"/>
      <c r="J1141" s="114"/>
      <c r="K1141" s="114"/>
      <c r="L1141" s="114"/>
      <c r="M1141" s="114"/>
      <c r="N1141" s="114"/>
      <c r="P1141" s="234"/>
      <c r="Q1141" s="240"/>
    </row>
    <row r="1142" spans="6:17" x14ac:dyDescent="0.25">
      <c r="F1142" s="134"/>
      <c r="H1142" s="114"/>
      <c r="I1142" s="114"/>
      <c r="J1142" s="114"/>
      <c r="K1142" s="114"/>
      <c r="L1142" s="114"/>
      <c r="M1142" s="114"/>
      <c r="N1142" s="114"/>
      <c r="P1142" s="234"/>
      <c r="Q1142" s="240"/>
    </row>
    <row r="1143" spans="6:17" x14ac:dyDescent="0.25">
      <c r="F1143" s="134"/>
      <c r="H1143" s="114"/>
      <c r="I1143" s="114"/>
      <c r="J1143" s="114"/>
      <c r="K1143" s="114"/>
      <c r="L1143" s="114"/>
      <c r="M1143" s="114"/>
      <c r="N1143" s="114"/>
      <c r="P1143" s="234"/>
      <c r="Q1143" s="240"/>
    </row>
    <row r="1144" spans="6:17" x14ac:dyDescent="0.25">
      <c r="F1144" s="134"/>
      <c r="H1144" s="114"/>
      <c r="I1144" s="114"/>
      <c r="J1144" s="114"/>
      <c r="K1144" s="114"/>
      <c r="L1144" s="114"/>
      <c r="M1144" s="114"/>
      <c r="N1144" s="114"/>
      <c r="P1144" s="234"/>
      <c r="Q1144" s="240"/>
    </row>
    <row r="1145" spans="6:17" x14ac:dyDescent="0.25">
      <c r="F1145" s="134"/>
      <c r="H1145" s="114"/>
      <c r="I1145" s="114"/>
      <c r="J1145" s="114"/>
      <c r="K1145" s="114"/>
      <c r="L1145" s="114"/>
      <c r="M1145" s="114"/>
      <c r="N1145" s="114"/>
      <c r="P1145" s="234"/>
      <c r="Q1145" s="240"/>
    </row>
    <row r="1146" spans="6:17" x14ac:dyDescent="0.25">
      <c r="F1146" s="134"/>
      <c r="H1146" s="114"/>
      <c r="I1146" s="114"/>
      <c r="J1146" s="114"/>
      <c r="K1146" s="114"/>
      <c r="L1146" s="114"/>
      <c r="M1146" s="114"/>
      <c r="N1146" s="114"/>
      <c r="P1146" s="234"/>
      <c r="Q1146" s="240"/>
    </row>
    <row r="1147" spans="6:17" x14ac:dyDescent="0.25">
      <c r="F1147" s="134"/>
      <c r="H1147" s="114"/>
      <c r="I1147" s="114"/>
      <c r="J1147" s="114"/>
      <c r="K1147" s="114"/>
      <c r="L1147" s="114"/>
      <c r="M1147" s="114"/>
      <c r="N1147" s="114"/>
      <c r="P1147" s="234"/>
      <c r="Q1147" s="240"/>
    </row>
    <row r="1148" spans="6:17" x14ac:dyDescent="0.25">
      <c r="F1148" s="134"/>
      <c r="H1148" s="114"/>
      <c r="I1148" s="114"/>
      <c r="J1148" s="114"/>
      <c r="K1148" s="114"/>
      <c r="L1148" s="114"/>
      <c r="M1148" s="114"/>
      <c r="N1148" s="114"/>
      <c r="P1148" s="234"/>
      <c r="Q1148" s="240"/>
    </row>
    <row r="1149" spans="6:17" x14ac:dyDescent="0.25">
      <c r="F1149" s="134"/>
      <c r="H1149" s="114"/>
      <c r="I1149" s="114"/>
      <c r="J1149" s="114"/>
      <c r="K1149" s="114"/>
      <c r="L1149" s="114"/>
      <c r="M1149" s="114"/>
      <c r="N1149" s="114"/>
      <c r="P1149" s="234"/>
      <c r="Q1149" s="240"/>
    </row>
    <row r="1150" spans="6:17" x14ac:dyDescent="0.25">
      <c r="F1150" s="134"/>
      <c r="H1150" s="114"/>
      <c r="I1150" s="114"/>
      <c r="J1150" s="114"/>
      <c r="K1150" s="114"/>
      <c r="L1150" s="114"/>
      <c r="M1150" s="114"/>
      <c r="N1150" s="114"/>
      <c r="P1150" s="234"/>
      <c r="Q1150" s="240"/>
    </row>
    <row r="1151" spans="6:17" x14ac:dyDescent="0.25">
      <c r="F1151" s="134"/>
      <c r="H1151" s="114"/>
      <c r="I1151" s="114"/>
      <c r="J1151" s="114"/>
      <c r="K1151" s="114"/>
      <c r="L1151" s="114"/>
      <c r="M1151" s="114"/>
      <c r="N1151" s="114"/>
      <c r="P1151" s="234"/>
      <c r="Q1151" s="240"/>
    </row>
    <row r="1152" spans="6:17" x14ac:dyDescent="0.25">
      <c r="F1152" s="134"/>
      <c r="H1152" s="114"/>
      <c r="I1152" s="114"/>
      <c r="J1152" s="114"/>
      <c r="K1152" s="114"/>
      <c r="L1152" s="114"/>
      <c r="M1152" s="114"/>
      <c r="N1152" s="114"/>
      <c r="P1152" s="234"/>
      <c r="Q1152" s="240"/>
    </row>
    <row r="1153" spans="6:17" x14ac:dyDescent="0.25">
      <c r="F1153" s="134"/>
      <c r="H1153" s="114"/>
      <c r="I1153" s="114"/>
      <c r="J1153" s="114"/>
      <c r="K1153" s="114"/>
      <c r="L1153" s="114"/>
      <c r="M1153" s="114"/>
      <c r="N1153" s="114"/>
      <c r="P1153" s="234"/>
      <c r="Q1153" s="240"/>
    </row>
    <row r="1154" spans="6:17" x14ac:dyDescent="0.25">
      <c r="F1154" s="134"/>
      <c r="H1154" s="114"/>
      <c r="I1154" s="114"/>
      <c r="J1154" s="114"/>
      <c r="K1154" s="114"/>
      <c r="L1154" s="114"/>
      <c r="M1154" s="114"/>
      <c r="N1154" s="114"/>
      <c r="P1154" s="234"/>
      <c r="Q1154" s="240"/>
    </row>
    <row r="1155" spans="6:17" x14ac:dyDescent="0.25">
      <c r="F1155" s="134"/>
      <c r="H1155" s="114"/>
      <c r="I1155" s="114"/>
      <c r="J1155" s="114"/>
      <c r="K1155" s="114"/>
      <c r="L1155" s="114"/>
      <c r="M1155" s="114"/>
      <c r="N1155" s="114"/>
      <c r="P1155" s="234"/>
      <c r="Q1155" s="240"/>
    </row>
    <row r="1156" spans="6:17" x14ac:dyDescent="0.25">
      <c r="F1156" s="134"/>
      <c r="H1156" s="114"/>
      <c r="I1156" s="114"/>
      <c r="J1156" s="114"/>
      <c r="K1156" s="114"/>
      <c r="L1156" s="114"/>
      <c r="M1156" s="114"/>
      <c r="N1156" s="114"/>
      <c r="P1156" s="234"/>
      <c r="Q1156" s="240"/>
    </row>
    <row r="1157" spans="6:17" x14ac:dyDescent="0.25">
      <c r="F1157" s="134"/>
      <c r="H1157" s="114"/>
      <c r="I1157" s="114"/>
      <c r="J1157" s="114"/>
      <c r="K1157" s="114"/>
      <c r="L1157" s="114"/>
      <c r="M1157" s="114"/>
      <c r="N1157" s="114"/>
      <c r="P1157" s="234"/>
      <c r="Q1157" s="240"/>
    </row>
    <row r="1158" spans="6:17" x14ac:dyDescent="0.25">
      <c r="F1158" s="134"/>
      <c r="H1158" s="114"/>
      <c r="I1158" s="114"/>
      <c r="J1158" s="114"/>
      <c r="K1158" s="114"/>
      <c r="L1158" s="114"/>
      <c r="M1158" s="114"/>
      <c r="N1158" s="114"/>
      <c r="P1158" s="234"/>
      <c r="Q1158" s="240"/>
    </row>
    <row r="1159" spans="6:17" x14ac:dyDescent="0.25">
      <c r="F1159" s="134"/>
      <c r="H1159" s="114"/>
      <c r="I1159" s="114"/>
      <c r="J1159" s="114"/>
      <c r="K1159" s="114"/>
      <c r="L1159" s="114"/>
      <c r="M1159" s="114"/>
      <c r="N1159" s="114"/>
      <c r="P1159" s="234"/>
      <c r="Q1159" s="240"/>
    </row>
    <row r="1160" spans="6:17" x14ac:dyDescent="0.25">
      <c r="F1160" s="134"/>
      <c r="H1160" s="114"/>
      <c r="I1160" s="114"/>
      <c r="J1160" s="114"/>
      <c r="K1160" s="114"/>
      <c r="L1160" s="114"/>
      <c r="M1160" s="114"/>
      <c r="N1160" s="114"/>
      <c r="P1160" s="234"/>
      <c r="Q1160" s="240"/>
    </row>
    <row r="1161" spans="6:17" x14ac:dyDescent="0.25">
      <c r="F1161" s="134"/>
      <c r="H1161" s="114"/>
      <c r="I1161" s="114"/>
      <c r="J1161" s="114"/>
      <c r="K1161" s="114"/>
      <c r="L1161" s="114"/>
      <c r="M1161" s="114"/>
      <c r="N1161" s="114"/>
      <c r="P1161" s="234"/>
      <c r="Q1161" s="240"/>
    </row>
    <row r="1162" spans="6:17" x14ac:dyDescent="0.25">
      <c r="F1162" s="134"/>
      <c r="H1162" s="114"/>
      <c r="I1162" s="114"/>
      <c r="J1162" s="114"/>
      <c r="K1162" s="114"/>
      <c r="L1162" s="114"/>
      <c r="M1162" s="114"/>
      <c r="N1162" s="114"/>
      <c r="P1162" s="234"/>
      <c r="Q1162" s="240"/>
    </row>
    <row r="1163" spans="6:17" x14ac:dyDescent="0.25">
      <c r="F1163" s="134"/>
      <c r="H1163" s="114"/>
      <c r="I1163" s="114"/>
      <c r="J1163" s="114"/>
      <c r="K1163" s="114"/>
      <c r="L1163" s="114"/>
      <c r="M1163" s="114"/>
      <c r="N1163" s="114"/>
      <c r="P1163" s="234"/>
      <c r="Q1163" s="240"/>
    </row>
    <row r="1164" spans="6:17" x14ac:dyDescent="0.25">
      <c r="F1164" s="134"/>
      <c r="H1164" s="114"/>
      <c r="I1164" s="114"/>
      <c r="J1164" s="114"/>
      <c r="K1164" s="114"/>
      <c r="L1164" s="114"/>
      <c r="M1164" s="114"/>
      <c r="N1164" s="114"/>
      <c r="P1164" s="234"/>
      <c r="Q1164" s="240"/>
    </row>
    <row r="1165" spans="6:17" x14ac:dyDescent="0.25">
      <c r="F1165" s="134"/>
      <c r="H1165" s="114"/>
      <c r="I1165" s="114"/>
      <c r="J1165" s="114"/>
      <c r="K1165" s="114"/>
      <c r="L1165" s="114"/>
      <c r="M1165" s="114"/>
      <c r="N1165" s="114"/>
      <c r="P1165" s="234"/>
      <c r="Q1165" s="240"/>
    </row>
    <row r="1166" spans="6:17" x14ac:dyDescent="0.25">
      <c r="F1166" s="134"/>
      <c r="H1166" s="114"/>
      <c r="I1166" s="114"/>
      <c r="J1166" s="114"/>
      <c r="K1166" s="114"/>
      <c r="L1166" s="114"/>
      <c r="M1166" s="114"/>
      <c r="N1166" s="114"/>
      <c r="P1166" s="234"/>
      <c r="Q1166" s="240"/>
    </row>
    <row r="1167" spans="6:17" x14ac:dyDescent="0.25">
      <c r="F1167" s="134"/>
      <c r="H1167" s="114"/>
      <c r="I1167" s="114"/>
      <c r="J1167" s="114"/>
      <c r="K1167" s="114"/>
      <c r="L1167" s="114"/>
      <c r="M1167" s="114"/>
      <c r="N1167" s="114"/>
      <c r="P1167" s="234"/>
      <c r="Q1167" s="240"/>
    </row>
    <row r="1168" spans="6:17" x14ac:dyDescent="0.25">
      <c r="F1168" s="134"/>
      <c r="H1168" s="114"/>
      <c r="I1168" s="114"/>
      <c r="J1168" s="114"/>
      <c r="K1168" s="114"/>
      <c r="L1168" s="114"/>
      <c r="M1168" s="114"/>
      <c r="N1168" s="114"/>
      <c r="P1168" s="234"/>
      <c r="Q1168" s="240"/>
    </row>
    <row r="1169" spans="6:17" x14ac:dyDescent="0.25">
      <c r="F1169" s="134"/>
      <c r="H1169" s="114"/>
      <c r="I1169" s="114"/>
      <c r="J1169" s="114"/>
      <c r="K1169" s="114"/>
      <c r="L1169" s="114"/>
      <c r="M1169" s="114"/>
      <c r="N1169" s="114"/>
      <c r="P1169" s="234"/>
      <c r="Q1169" s="240"/>
    </row>
    <row r="1170" spans="6:17" x14ac:dyDescent="0.25">
      <c r="F1170" s="134"/>
      <c r="H1170" s="114"/>
      <c r="I1170" s="114"/>
      <c r="J1170" s="114"/>
      <c r="K1170" s="114"/>
      <c r="L1170" s="114"/>
      <c r="M1170" s="114"/>
      <c r="N1170" s="114"/>
      <c r="P1170" s="234"/>
      <c r="Q1170" s="240"/>
    </row>
    <row r="1171" spans="6:17" x14ac:dyDescent="0.25">
      <c r="F1171" s="134"/>
      <c r="H1171" s="114"/>
      <c r="I1171" s="114"/>
      <c r="J1171" s="114"/>
      <c r="K1171" s="114"/>
      <c r="L1171" s="114"/>
      <c r="M1171" s="114"/>
      <c r="N1171" s="114"/>
      <c r="P1171" s="234"/>
      <c r="Q1171" s="240"/>
    </row>
    <row r="1172" spans="6:17" x14ac:dyDescent="0.25">
      <c r="F1172" s="134"/>
      <c r="H1172" s="114"/>
      <c r="I1172" s="114"/>
      <c r="J1172" s="114"/>
      <c r="K1172" s="114"/>
      <c r="L1172" s="114"/>
      <c r="M1172" s="114"/>
      <c r="N1172" s="114"/>
      <c r="P1172" s="234"/>
      <c r="Q1172" s="240"/>
    </row>
    <row r="1173" spans="6:17" x14ac:dyDescent="0.25">
      <c r="F1173" s="134"/>
      <c r="H1173" s="114"/>
      <c r="I1173" s="114"/>
      <c r="J1173" s="114"/>
      <c r="K1173" s="114"/>
      <c r="L1173" s="114"/>
      <c r="M1173" s="114"/>
      <c r="N1173" s="114"/>
      <c r="P1173" s="234"/>
      <c r="Q1173" s="240"/>
    </row>
    <row r="1174" spans="6:17" x14ac:dyDescent="0.25">
      <c r="F1174" s="134"/>
      <c r="H1174" s="114"/>
      <c r="I1174" s="114"/>
      <c r="J1174" s="114"/>
      <c r="K1174" s="114"/>
      <c r="L1174" s="114"/>
      <c r="M1174" s="114"/>
      <c r="N1174" s="114"/>
      <c r="P1174" s="234"/>
      <c r="Q1174" s="240"/>
    </row>
    <row r="1175" spans="6:17" x14ac:dyDescent="0.25">
      <c r="F1175" s="134"/>
      <c r="H1175" s="114"/>
      <c r="I1175" s="114"/>
      <c r="J1175" s="114"/>
      <c r="K1175" s="114"/>
      <c r="L1175" s="114"/>
      <c r="M1175" s="114"/>
      <c r="N1175" s="114"/>
      <c r="P1175" s="234"/>
      <c r="Q1175" s="240"/>
    </row>
    <row r="1176" spans="6:17" x14ac:dyDescent="0.25">
      <c r="F1176" s="134"/>
      <c r="H1176" s="114"/>
      <c r="I1176" s="114"/>
      <c r="J1176" s="114"/>
      <c r="K1176" s="114"/>
      <c r="L1176" s="114"/>
      <c r="M1176" s="114"/>
      <c r="N1176" s="114"/>
      <c r="P1176" s="234"/>
      <c r="Q1176" s="240"/>
    </row>
    <row r="1177" spans="6:17" x14ac:dyDescent="0.25">
      <c r="F1177" s="134"/>
      <c r="H1177" s="114"/>
      <c r="I1177" s="114"/>
      <c r="J1177" s="114"/>
      <c r="K1177" s="114"/>
      <c r="L1177" s="114"/>
      <c r="M1177" s="114"/>
      <c r="N1177" s="114"/>
      <c r="P1177" s="234"/>
      <c r="Q1177" s="240"/>
    </row>
    <row r="1178" spans="6:17" x14ac:dyDescent="0.25">
      <c r="F1178" s="134"/>
      <c r="H1178" s="114"/>
      <c r="I1178" s="114"/>
      <c r="J1178" s="114"/>
      <c r="K1178" s="114"/>
      <c r="L1178" s="114"/>
      <c r="M1178" s="114"/>
      <c r="N1178" s="114"/>
      <c r="P1178" s="234"/>
      <c r="Q1178" s="240"/>
    </row>
    <row r="1179" spans="6:17" x14ac:dyDescent="0.25">
      <c r="F1179" s="134"/>
      <c r="H1179" s="114"/>
      <c r="I1179" s="114"/>
      <c r="J1179" s="114"/>
      <c r="K1179" s="114"/>
      <c r="L1179" s="114"/>
      <c r="M1179" s="114"/>
      <c r="N1179" s="114"/>
      <c r="P1179" s="234"/>
      <c r="Q1179" s="240"/>
    </row>
    <row r="1180" spans="6:17" x14ac:dyDescent="0.25">
      <c r="F1180" s="134"/>
      <c r="H1180" s="114"/>
      <c r="I1180" s="114"/>
      <c r="J1180" s="114"/>
      <c r="K1180" s="114"/>
      <c r="L1180" s="114"/>
      <c r="M1180" s="114"/>
      <c r="N1180" s="114"/>
      <c r="P1180" s="234"/>
      <c r="Q1180" s="240"/>
    </row>
    <row r="1181" spans="6:17" x14ac:dyDescent="0.25">
      <c r="F1181" s="134"/>
      <c r="H1181" s="114"/>
      <c r="I1181" s="114"/>
      <c r="J1181" s="114"/>
      <c r="K1181" s="114"/>
      <c r="L1181" s="114"/>
      <c r="M1181" s="114"/>
      <c r="N1181" s="114"/>
      <c r="P1181" s="234"/>
      <c r="Q1181" s="240"/>
    </row>
    <row r="1182" spans="6:17" x14ac:dyDescent="0.25">
      <c r="F1182" s="134"/>
      <c r="H1182" s="114"/>
      <c r="I1182" s="114"/>
      <c r="J1182" s="114"/>
      <c r="K1182" s="114"/>
      <c r="L1182" s="114"/>
      <c r="M1182" s="114"/>
      <c r="N1182" s="114"/>
      <c r="P1182" s="234"/>
      <c r="Q1182" s="240"/>
    </row>
    <row r="1183" spans="6:17" x14ac:dyDescent="0.25">
      <c r="F1183" s="134"/>
      <c r="H1183" s="114"/>
      <c r="I1183" s="114"/>
      <c r="J1183" s="114"/>
      <c r="K1183" s="114"/>
      <c r="L1183" s="114"/>
      <c r="M1183" s="114"/>
      <c r="N1183" s="114"/>
      <c r="P1183" s="234"/>
      <c r="Q1183" s="240"/>
    </row>
    <row r="1184" spans="6:17" x14ac:dyDescent="0.25">
      <c r="F1184" s="134"/>
      <c r="H1184" s="114"/>
      <c r="I1184" s="114"/>
      <c r="J1184" s="114"/>
      <c r="K1184" s="114"/>
      <c r="L1184" s="114"/>
      <c r="M1184" s="114"/>
      <c r="N1184" s="114"/>
      <c r="P1184" s="234"/>
      <c r="Q1184" s="240"/>
    </row>
    <row r="1185" spans="6:17" x14ac:dyDescent="0.25">
      <c r="F1185" s="134"/>
      <c r="H1185" s="114"/>
      <c r="I1185" s="114"/>
      <c r="J1185" s="114"/>
      <c r="K1185" s="114"/>
      <c r="L1185" s="114"/>
      <c r="M1185" s="114"/>
      <c r="N1185" s="114"/>
      <c r="P1185" s="234"/>
      <c r="Q1185" s="240"/>
    </row>
    <row r="1186" spans="6:17" x14ac:dyDescent="0.25">
      <c r="F1186" s="134"/>
      <c r="H1186" s="114"/>
      <c r="I1186" s="114"/>
      <c r="J1186" s="114"/>
      <c r="K1186" s="114"/>
      <c r="L1186" s="114"/>
      <c r="M1186" s="114"/>
      <c r="N1186" s="114"/>
      <c r="P1186" s="234"/>
      <c r="Q1186" s="240"/>
    </row>
    <row r="1187" spans="6:17" x14ac:dyDescent="0.25">
      <c r="F1187" s="134"/>
      <c r="H1187" s="114"/>
      <c r="I1187" s="114"/>
      <c r="J1187" s="114"/>
      <c r="K1187" s="114"/>
      <c r="L1187" s="114"/>
      <c r="M1187" s="114"/>
      <c r="N1187" s="114"/>
      <c r="P1187" s="234"/>
      <c r="Q1187" s="240"/>
    </row>
    <row r="1188" spans="6:17" x14ac:dyDescent="0.25">
      <c r="F1188" s="134"/>
      <c r="H1188" s="114"/>
      <c r="I1188" s="114"/>
      <c r="J1188" s="114"/>
      <c r="K1188" s="114"/>
      <c r="L1188" s="114"/>
      <c r="M1188" s="114"/>
      <c r="N1188" s="114"/>
      <c r="P1188" s="234"/>
      <c r="Q1188" s="240"/>
    </row>
    <row r="1189" spans="6:17" x14ac:dyDescent="0.25">
      <c r="F1189" s="134"/>
      <c r="H1189" s="114"/>
      <c r="I1189" s="114"/>
      <c r="J1189" s="114"/>
      <c r="K1189" s="114"/>
      <c r="L1189" s="114"/>
      <c r="M1189" s="114"/>
      <c r="N1189" s="114"/>
      <c r="P1189" s="234"/>
      <c r="Q1189" s="240"/>
    </row>
    <row r="1190" spans="6:17" x14ac:dyDescent="0.25">
      <c r="F1190" s="134"/>
      <c r="H1190" s="114"/>
      <c r="I1190" s="114"/>
      <c r="J1190" s="114"/>
      <c r="K1190" s="114"/>
      <c r="L1190" s="114"/>
      <c r="M1190" s="114"/>
      <c r="N1190" s="114"/>
      <c r="P1190" s="234"/>
      <c r="Q1190" s="240"/>
    </row>
    <row r="1191" spans="6:17" x14ac:dyDescent="0.25">
      <c r="F1191" s="134"/>
      <c r="H1191" s="114"/>
      <c r="I1191" s="114"/>
      <c r="J1191" s="114"/>
      <c r="K1191" s="114"/>
      <c r="L1191" s="114"/>
      <c r="M1191" s="114"/>
      <c r="N1191" s="114"/>
      <c r="P1191" s="234"/>
      <c r="Q1191" s="240"/>
    </row>
    <row r="1192" spans="6:17" x14ac:dyDescent="0.25">
      <c r="F1192" s="134"/>
      <c r="H1192" s="114"/>
      <c r="I1192" s="114"/>
      <c r="J1192" s="114"/>
      <c r="K1192" s="114"/>
      <c r="L1192" s="114"/>
      <c r="M1192" s="114"/>
      <c r="N1192" s="114"/>
      <c r="P1192" s="234"/>
      <c r="Q1192" s="240"/>
    </row>
    <row r="1193" spans="6:17" x14ac:dyDescent="0.25">
      <c r="F1193" s="134"/>
      <c r="H1193" s="114"/>
      <c r="I1193" s="114"/>
      <c r="J1193" s="114"/>
      <c r="K1193" s="114"/>
      <c r="L1193" s="114"/>
      <c r="M1193" s="114"/>
      <c r="N1193" s="114"/>
      <c r="P1193" s="234"/>
      <c r="Q1193" s="240"/>
    </row>
    <row r="1194" spans="6:17" x14ac:dyDescent="0.25">
      <c r="F1194" s="134"/>
      <c r="H1194" s="114"/>
      <c r="I1194" s="114"/>
      <c r="J1194" s="114"/>
      <c r="K1194" s="114"/>
      <c r="L1194" s="114"/>
      <c r="M1194" s="114"/>
      <c r="N1194" s="114"/>
      <c r="P1194" s="234"/>
      <c r="Q1194" s="240"/>
    </row>
    <row r="1195" spans="6:17" x14ac:dyDescent="0.25">
      <c r="F1195" s="134"/>
      <c r="H1195" s="114"/>
      <c r="I1195" s="114"/>
      <c r="J1195" s="114"/>
      <c r="K1195" s="114"/>
      <c r="L1195" s="114"/>
      <c r="M1195" s="114"/>
      <c r="N1195" s="114"/>
      <c r="P1195" s="234"/>
      <c r="Q1195" s="240"/>
    </row>
    <row r="1196" spans="6:17" x14ac:dyDescent="0.25">
      <c r="F1196" s="134"/>
      <c r="H1196" s="114"/>
      <c r="I1196" s="114"/>
      <c r="J1196" s="114"/>
      <c r="K1196" s="114"/>
      <c r="L1196" s="114"/>
      <c r="M1196" s="114"/>
      <c r="N1196" s="114"/>
      <c r="P1196" s="234"/>
      <c r="Q1196" s="240"/>
    </row>
    <row r="1197" spans="6:17" x14ac:dyDescent="0.25">
      <c r="F1197" s="134"/>
      <c r="H1197" s="114"/>
      <c r="I1197" s="114"/>
      <c r="J1197" s="114"/>
      <c r="K1197" s="114"/>
      <c r="L1197" s="114"/>
      <c r="M1197" s="114"/>
      <c r="N1197" s="114"/>
      <c r="P1197" s="234"/>
      <c r="Q1197" s="240"/>
    </row>
    <row r="1198" spans="6:17" x14ac:dyDescent="0.25">
      <c r="F1198" s="134"/>
      <c r="H1198" s="114"/>
      <c r="I1198" s="114"/>
      <c r="J1198" s="114"/>
      <c r="K1198" s="114"/>
      <c r="L1198" s="114"/>
      <c r="M1198" s="114"/>
      <c r="N1198" s="114"/>
      <c r="P1198" s="234"/>
      <c r="Q1198" s="240"/>
    </row>
    <row r="1199" spans="6:17" x14ac:dyDescent="0.25">
      <c r="F1199" s="134"/>
      <c r="H1199" s="114"/>
      <c r="I1199" s="114"/>
      <c r="J1199" s="114"/>
      <c r="K1199" s="114"/>
      <c r="L1199" s="114"/>
      <c r="M1199" s="114"/>
      <c r="N1199" s="114"/>
      <c r="P1199" s="234"/>
      <c r="Q1199" s="240"/>
    </row>
    <row r="1200" spans="6:17" x14ac:dyDescent="0.25">
      <c r="F1200" s="134"/>
      <c r="H1200" s="114"/>
      <c r="I1200" s="114"/>
      <c r="J1200" s="114"/>
      <c r="K1200" s="114"/>
      <c r="L1200" s="114"/>
      <c r="M1200" s="114"/>
      <c r="N1200" s="114"/>
      <c r="P1200" s="234"/>
      <c r="Q1200" s="240"/>
    </row>
    <row r="1201" spans="6:17" x14ac:dyDescent="0.25">
      <c r="F1201" s="134"/>
      <c r="H1201" s="114"/>
      <c r="I1201" s="114"/>
      <c r="J1201" s="114"/>
      <c r="K1201" s="114"/>
      <c r="L1201" s="114"/>
      <c r="M1201" s="114"/>
      <c r="N1201" s="114"/>
      <c r="P1201" s="234"/>
      <c r="Q1201" s="240"/>
    </row>
    <row r="1202" spans="6:17" x14ac:dyDescent="0.25">
      <c r="F1202" s="134"/>
      <c r="H1202" s="114"/>
      <c r="I1202" s="114"/>
      <c r="J1202" s="114"/>
      <c r="K1202" s="114"/>
      <c r="L1202" s="114"/>
      <c r="M1202" s="114"/>
      <c r="N1202" s="114"/>
      <c r="P1202" s="234"/>
      <c r="Q1202" s="240"/>
    </row>
    <row r="1203" spans="6:17" x14ac:dyDescent="0.25">
      <c r="F1203" s="134"/>
      <c r="H1203" s="114"/>
      <c r="I1203" s="114"/>
      <c r="J1203" s="114"/>
      <c r="K1203" s="114"/>
      <c r="L1203" s="114"/>
      <c r="M1203" s="114"/>
      <c r="N1203" s="114"/>
      <c r="P1203" s="234"/>
      <c r="Q1203" s="240"/>
    </row>
    <row r="1204" spans="6:17" x14ac:dyDescent="0.25">
      <c r="F1204" s="134"/>
      <c r="H1204" s="114"/>
      <c r="I1204" s="114"/>
      <c r="J1204" s="114"/>
      <c r="K1204" s="114"/>
      <c r="L1204" s="114"/>
      <c r="M1204" s="114"/>
      <c r="N1204" s="114"/>
      <c r="P1204" s="234"/>
      <c r="Q1204" s="240"/>
    </row>
    <row r="1205" spans="6:17" x14ac:dyDescent="0.25">
      <c r="F1205" s="134"/>
      <c r="H1205" s="114"/>
      <c r="I1205" s="114"/>
      <c r="J1205" s="114"/>
      <c r="K1205" s="114"/>
      <c r="L1205" s="114"/>
      <c r="M1205" s="114"/>
      <c r="N1205" s="114"/>
      <c r="P1205" s="234"/>
      <c r="Q1205" s="240"/>
    </row>
    <row r="1206" spans="6:17" x14ac:dyDescent="0.25">
      <c r="F1206" s="134"/>
      <c r="H1206" s="114"/>
      <c r="I1206" s="114"/>
      <c r="J1206" s="114"/>
      <c r="K1206" s="114"/>
      <c r="L1206" s="114"/>
      <c r="M1206" s="114"/>
      <c r="N1206" s="114"/>
      <c r="P1206" s="234"/>
      <c r="Q1206" s="240"/>
    </row>
    <row r="1207" spans="6:17" x14ac:dyDescent="0.25">
      <c r="F1207" s="134"/>
      <c r="H1207" s="114"/>
      <c r="I1207" s="114"/>
      <c r="J1207" s="114"/>
      <c r="K1207" s="114"/>
      <c r="L1207" s="114"/>
      <c r="M1207" s="114"/>
      <c r="N1207" s="114"/>
      <c r="P1207" s="234"/>
      <c r="Q1207" s="240"/>
    </row>
    <row r="1208" spans="6:17" x14ac:dyDescent="0.25">
      <c r="F1208" s="134"/>
      <c r="H1208" s="114"/>
      <c r="I1208" s="114"/>
      <c r="J1208" s="114"/>
      <c r="K1208" s="114"/>
      <c r="L1208" s="114"/>
      <c r="M1208" s="114"/>
      <c r="N1208" s="114"/>
      <c r="P1208" s="234"/>
      <c r="Q1208" s="240"/>
    </row>
    <row r="1209" spans="6:17" x14ac:dyDescent="0.25">
      <c r="F1209" s="134"/>
      <c r="H1209" s="114"/>
      <c r="I1209" s="114"/>
      <c r="J1209" s="114"/>
      <c r="K1209" s="114"/>
      <c r="L1209" s="114"/>
      <c r="M1209" s="114"/>
      <c r="N1209" s="114"/>
      <c r="P1209" s="234"/>
      <c r="Q1209" s="240"/>
    </row>
    <row r="1210" spans="6:17" x14ac:dyDescent="0.25">
      <c r="F1210" s="134"/>
      <c r="H1210" s="114"/>
      <c r="I1210" s="114"/>
      <c r="J1210" s="114"/>
      <c r="K1210" s="114"/>
      <c r="L1210" s="114"/>
      <c r="M1210" s="114"/>
      <c r="N1210" s="114"/>
      <c r="P1210" s="234"/>
      <c r="Q1210" s="240"/>
    </row>
    <row r="1211" spans="6:17" x14ac:dyDescent="0.25">
      <c r="F1211" s="134"/>
      <c r="H1211" s="114"/>
      <c r="I1211" s="114"/>
      <c r="J1211" s="114"/>
      <c r="K1211" s="114"/>
      <c r="L1211" s="114"/>
      <c r="M1211" s="114"/>
      <c r="N1211" s="114"/>
      <c r="P1211" s="234"/>
      <c r="Q1211" s="240"/>
    </row>
    <row r="1212" spans="6:17" x14ac:dyDescent="0.25">
      <c r="F1212" s="134"/>
      <c r="H1212" s="114"/>
      <c r="I1212" s="114"/>
      <c r="J1212" s="114"/>
      <c r="K1212" s="114"/>
      <c r="L1212" s="114"/>
      <c r="M1212" s="114"/>
      <c r="N1212" s="114"/>
      <c r="P1212" s="234"/>
      <c r="Q1212" s="240"/>
    </row>
    <row r="1213" spans="6:17" x14ac:dyDescent="0.25">
      <c r="F1213" s="134"/>
      <c r="H1213" s="114"/>
      <c r="I1213" s="114"/>
      <c r="J1213" s="114"/>
      <c r="K1213" s="114"/>
      <c r="L1213" s="114"/>
      <c r="M1213" s="114"/>
      <c r="N1213" s="114"/>
      <c r="P1213" s="234"/>
      <c r="Q1213" s="240"/>
    </row>
    <row r="1214" spans="6:17" x14ac:dyDescent="0.25">
      <c r="F1214" s="134"/>
      <c r="H1214" s="114"/>
      <c r="I1214" s="114"/>
      <c r="J1214" s="114"/>
      <c r="K1214" s="114"/>
      <c r="L1214" s="114"/>
      <c r="M1214" s="114"/>
      <c r="N1214" s="114"/>
      <c r="P1214" s="234"/>
      <c r="Q1214" s="240"/>
    </row>
    <row r="1215" spans="6:17" x14ac:dyDescent="0.25">
      <c r="F1215" s="134"/>
      <c r="H1215" s="114"/>
      <c r="I1215" s="114"/>
      <c r="J1215" s="114"/>
      <c r="K1215" s="114"/>
      <c r="L1215" s="114"/>
      <c r="M1215" s="114"/>
      <c r="N1215" s="114"/>
      <c r="P1215" s="234"/>
      <c r="Q1215" s="240"/>
    </row>
    <row r="1216" spans="6:17" x14ac:dyDescent="0.25">
      <c r="F1216" s="134"/>
      <c r="H1216" s="114"/>
      <c r="I1216" s="114"/>
      <c r="J1216" s="114"/>
      <c r="K1216" s="114"/>
      <c r="L1216" s="114"/>
      <c r="M1216" s="114"/>
      <c r="N1216" s="114"/>
      <c r="P1216" s="234"/>
      <c r="Q1216" s="240"/>
    </row>
    <row r="1217" spans="6:17" x14ac:dyDescent="0.25">
      <c r="F1217" s="134"/>
      <c r="H1217" s="114"/>
      <c r="I1217" s="114"/>
      <c r="J1217" s="114"/>
      <c r="K1217" s="114"/>
      <c r="L1217" s="114"/>
      <c r="M1217" s="114"/>
      <c r="N1217" s="114"/>
      <c r="P1217" s="234"/>
      <c r="Q1217" s="240"/>
    </row>
    <row r="1218" spans="6:17" x14ac:dyDescent="0.25">
      <c r="F1218" s="134"/>
      <c r="H1218" s="114"/>
      <c r="I1218" s="114"/>
      <c r="J1218" s="114"/>
      <c r="K1218" s="114"/>
      <c r="L1218" s="114"/>
      <c r="M1218" s="114"/>
      <c r="N1218" s="114"/>
      <c r="P1218" s="234"/>
      <c r="Q1218" s="240"/>
    </row>
    <row r="1219" spans="6:17" x14ac:dyDescent="0.25">
      <c r="F1219" s="134"/>
      <c r="H1219" s="114"/>
      <c r="I1219" s="114"/>
      <c r="J1219" s="114"/>
      <c r="K1219" s="114"/>
      <c r="L1219" s="114"/>
      <c r="M1219" s="114"/>
      <c r="N1219" s="114"/>
      <c r="P1219" s="234"/>
      <c r="Q1219" s="240"/>
    </row>
    <row r="1220" spans="6:17" x14ac:dyDescent="0.25">
      <c r="F1220" s="134"/>
      <c r="H1220" s="114"/>
      <c r="I1220" s="114"/>
      <c r="J1220" s="114"/>
      <c r="K1220" s="114"/>
      <c r="L1220" s="114"/>
      <c r="M1220" s="114"/>
      <c r="N1220" s="114"/>
      <c r="P1220" s="234"/>
      <c r="Q1220" s="240"/>
    </row>
    <row r="1221" spans="6:17" x14ac:dyDescent="0.25">
      <c r="F1221" s="134"/>
      <c r="H1221" s="114"/>
      <c r="I1221" s="114"/>
      <c r="J1221" s="114"/>
      <c r="K1221" s="114"/>
      <c r="L1221" s="114"/>
      <c r="M1221" s="114"/>
      <c r="N1221" s="114"/>
      <c r="P1221" s="234"/>
      <c r="Q1221" s="240"/>
    </row>
    <row r="1222" spans="6:17" x14ac:dyDescent="0.25">
      <c r="F1222" s="134"/>
      <c r="H1222" s="114"/>
      <c r="I1222" s="114"/>
      <c r="J1222" s="114"/>
      <c r="K1222" s="114"/>
      <c r="L1222" s="114"/>
      <c r="M1222" s="114"/>
      <c r="N1222" s="114"/>
      <c r="P1222" s="234"/>
      <c r="Q1222" s="240"/>
    </row>
    <row r="1223" spans="6:17" x14ac:dyDescent="0.25">
      <c r="F1223" s="134"/>
      <c r="H1223" s="114"/>
      <c r="I1223" s="114"/>
      <c r="J1223" s="114"/>
      <c r="K1223" s="114"/>
      <c r="L1223" s="114"/>
      <c r="M1223" s="114"/>
      <c r="N1223" s="114"/>
      <c r="P1223" s="234"/>
      <c r="Q1223" s="240"/>
    </row>
    <row r="1224" spans="6:17" x14ac:dyDescent="0.25">
      <c r="F1224" s="134"/>
      <c r="H1224" s="114"/>
      <c r="I1224" s="114"/>
      <c r="J1224" s="114"/>
      <c r="K1224" s="114"/>
      <c r="L1224" s="114"/>
      <c r="M1224" s="114"/>
      <c r="N1224" s="114"/>
      <c r="P1224" s="234"/>
      <c r="Q1224" s="240"/>
    </row>
    <row r="1225" spans="6:17" x14ac:dyDescent="0.25">
      <c r="F1225" s="134"/>
      <c r="H1225" s="114"/>
      <c r="I1225" s="114"/>
      <c r="J1225" s="114"/>
      <c r="K1225" s="114"/>
      <c r="L1225" s="114"/>
      <c r="M1225" s="114"/>
      <c r="N1225" s="114"/>
      <c r="P1225" s="234"/>
      <c r="Q1225" s="240"/>
    </row>
    <row r="1226" spans="6:17" x14ac:dyDescent="0.25">
      <c r="F1226" s="134"/>
      <c r="H1226" s="114"/>
      <c r="I1226" s="114"/>
      <c r="J1226" s="114"/>
      <c r="K1226" s="114"/>
      <c r="L1226" s="114"/>
      <c r="M1226" s="114"/>
      <c r="N1226" s="114"/>
      <c r="P1226" s="234"/>
      <c r="Q1226" s="240"/>
    </row>
    <row r="1227" spans="6:17" x14ac:dyDescent="0.25">
      <c r="F1227" s="134"/>
      <c r="H1227" s="114"/>
      <c r="I1227" s="114"/>
      <c r="J1227" s="114"/>
      <c r="K1227" s="114"/>
      <c r="L1227" s="114"/>
      <c r="M1227" s="114"/>
      <c r="N1227" s="114"/>
      <c r="P1227" s="234"/>
      <c r="Q1227" s="240"/>
    </row>
    <row r="1228" spans="6:17" x14ac:dyDescent="0.25">
      <c r="F1228" s="134"/>
      <c r="H1228" s="114"/>
      <c r="I1228" s="114"/>
      <c r="J1228" s="114"/>
      <c r="K1228" s="114"/>
      <c r="L1228" s="114"/>
      <c r="M1228" s="114"/>
      <c r="N1228" s="114"/>
      <c r="P1228" s="234"/>
      <c r="Q1228" s="240"/>
    </row>
    <row r="1229" spans="6:17" x14ac:dyDescent="0.25">
      <c r="F1229" s="134"/>
      <c r="H1229" s="114"/>
      <c r="I1229" s="114"/>
      <c r="J1229" s="114"/>
      <c r="K1229" s="114"/>
      <c r="L1229" s="114"/>
      <c r="M1229" s="114"/>
      <c r="N1229" s="114"/>
      <c r="P1229" s="234"/>
      <c r="Q1229" s="240"/>
    </row>
    <row r="1230" spans="6:17" x14ac:dyDescent="0.25">
      <c r="F1230" s="134"/>
      <c r="H1230" s="114"/>
      <c r="I1230" s="114"/>
      <c r="J1230" s="114"/>
      <c r="K1230" s="114"/>
      <c r="L1230" s="114"/>
      <c r="M1230" s="114"/>
      <c r="N1230" s="114"/>
      <c r="P1230" s="234"/>
      <c r="Q1230" s="240"/>
    </row>
    <row r="1231" spans="6:17" x14ac:dyDescent="0.25">
      <c r="F1231" s="134"/>
      <c r="H1231" s="114"/>
      <c r="I1231" s="114"/>
      <c r="J1231" s="114"/>
      <c r="K1231" s="114"/>
      <c r="L1231" s="114"/>
      <c r="M1231" s="114"/>
      <c r="N1231" s="114"/>
      <c r="P1231" s="234"/>
      <c r="Q1231" s="240"/>
    </row>
    <row r="1232" spans="6:17" x14ac:dyDescent="0.25">
      <c r="F1232" s="134"/>
      <c r="H1232" s="114"/>
      <c r="I1232" s="114"/>
      <c r="J1232" s="114"/>
      <c r="K1232" s="114"/>
      <c r="L1232" s="114"/>
      <c r="M1232" s="114"/>
      <c r="N1232" s="114"/>
      <c r="P1232" s="234"/>
      <c r="Q1232" s="240"/>
    </row>
    <row r="1233" spans="6:17" x14ac:dyDescent="0.25">
      <c r="F1233" s="134"/>
      <c r="H1233" s="114"/>
      <c r="I1233" s="114"/>
      <c r="J1233" s="114"/>
      <c r="K1233" s="114"/>
      <c r="L1233" s="114"/>
      <c r="M1233" s="114"/>
      <c r="N1233" s="114"/>
      <c r="P1233" s="234"/>
      <c r="Q1233" s="240"/>
    </row>
    <row r="1234" spans="6:17" x14ac:dyDescent="0.25">
      <c r="F1234" s="134"/>
      <c r="H1234" s="114"/>
      <c r="I1234" s="114"/>
      <c r="J1234" s="114"/>
      <c r="K1234" s="114"/>
      <c r="L1234" s="114"/>
      <c r="M1234" s="114"/>
      <c r="N1234" s="114"/>
      <c r="P1234" s="234"/>
      <c r="Q1234" s="240"/>
    </row>
    <row r="1235" spans="6:17" x14ac:dyDescent="0.25">
      <c r="F1235" s="134"/>
      <c r="H1235" s="114"/>
      <c r="I1235" s="114"/>
      <c r="J1235" s="114"/>
      <c r="K1235" s="114"/>
      <c r="L1235" s="114"/>
      <c r="M1235" s="114"/>
      <c r="N1235" s="114"/>
      <c r="P1235" s="234"/>
      <c r="Q1235" s="240"/>
    </row>
    <row r="1236" spans="6:17" x14ac:dyDescent="0.25">
      <c r="F1236" s="134"/>
      <c r="H1236" s="114"/>
      <c r="I1236" s="114"/>
      <c r="J1236" s="114"/>
      <c r="K1236" s="114"/>
      <c r="L1236" s="114"/>
      <c r="M1236" s="114"/>
      <c r="N1236" s="114"/>
      <c r="P1236" s="234"/>
      <c r="Q1236" s="240"/>
    </row>
    <row r="1237" spans="6:17" x14ac:dyDescent="0.25">
      <c r="F1237" s="134"/>
      <c r="H1237" s="114"/>
      <c r="I1237" s="114"/>
      <c r="J1237" s="114"/>
      <c r="K1237" s="114"/>
      <c r="L1237" s="114"/>
      <c r="M1237" s="114"/>
      <c r="N1237" s="114"/>
      <c r="P1237" s="234"/>
      <c r="Q1237" s="240"/>
    </row>
    <row r="1238" spans="6:17" x14ac:dyDescent="0.25">
      <c r="F1238" s="134"/>
      <c r="H1238" s="114"/>
      <c r="I1238" s="114"/>
      <c r="J1238" s="114"/>
      <c r="K1238" s="114"/>
      <c r="L1238" s="114"/>
      <c r="M1238" s="114"/>
      <c r="N1238" s="114"/>
      <c r="P1238" s="234"/>
      <c r="Q1238" s="240"/>
    </row>
    <row r="1239" spans="6:17" x14ac:dyDescent="0.25">
      <c r="F1239" s="134"/>
      <c r="H1239" s="114"/>
      <c r="I1239" s="114"/>
      <c r="J1239" s="114"/>
      <c r="K1239" s="114"/>
      <c r="L1239" s="114"/>
      <c r="M1239" s="114"/>
      <c r="N1239" s="114"/>
      <c r="P1239" s="234"/>
      <c r="Q1239" s="240"/>
    </row>
    <row r="1240" spans="6:17" x14ac:dyDescent="0.25">
      <c r="F1240" s="134"/>
      <c r="H1240" s="114"/>
      <c r="I1240" s="114"/>
      <c r="J1240" s="114"/>
      <c r="K1240" s="114"/>
      <c r="L1240" s="114"/>
      <c r="M1240" s="114"/>
      <c r="N1240" s="114"/>
      <c r="P1240" s="234"/>
      <c r="Q1240" s="240"/>
    </row>
    <row r="1241" spans="6:17" x14ac:dyDescent="0.25">
      <c r="F1241" s="134"/>
      <c r="H1241" s="114"/>
      <c r="I1241" s="114"/>
      <c r="J1241" s="114"/>
      <c r="K1241" s="114"/>
      <c r="L1241" s="114"/>
      <c r="M1241" s="114"/>
      <c r="N1241" s="114"/>
      <c r="P1241" s="234"/>
      <c r="Q1241" s="240"/>
    </row>
    <row r="1242" spans="6:17" x14ac:dyDescent="0.25">
      <c r="F1242" s="134"/>
      <c r="H1242" s="114"/>
      <c r="I1242" s="114"/>
      <c r="J1242" s="114"/>
      <c r="K1242" s="114"/>
      <c r="L1242" s="114"/>
      <c r="M1242" s="114"/>
      <c r="N1242" s="114"/>
      <c r="P1242" s="234"/>
      <c r="Q1242" s="240"/>
    </row>
    <row r="1243" spans="6:17" x14ac:dyDescent="0.25">
      <c r="F1243" s="134"/>
      <c r="H1243" s="114"/>
      <c r="I1243" s="114"/>
      <c r="J1243" s="114"/>
      <c r="K1243" s="114"/>
      <c r="L1243" s="114"/>
      <c r="M1243" s="114"/>
      <c r="N1243" s="114"/>
      <c r="P1243" s="234"/>
      <c r="Q1243" s="240"/>
    </row>
    <row r="1244" spans="6:17" x14ac:dyDescent="0.25">
      <c r="F1244" s="134"/>
      <c r="H1244" s="114"/>
      <c r="I1244" s="114"/>
      <c r="J1244" s="114"/>
      <c r="K1244" s="114"/>
      <c r="L1244" s="114"/>
      <c r="M1244" s="114"/>
      <c r="N1244" s="114"/>
      <c r="P1244" s="234"/>
      <c r="Q1244" s="240"/>
    </row>
    <row r="1245" spans="6:17" x14ac:dyDescent="0.25">
      <c r="F1245" s="134"/>
      <c r="H1245" s="114"/>
      <c r="I1245" s="114"/>
      <c r="J1245" s="114"/>
      <c r="K1245" s="114"/>
      <c r="L1245" s="114"/>
      <c r="M1245" s="114"/>
      <c r="N1245" s="114"/>
      <c r="P1245" s="234"/>
      <c r="Q1245" s="240"/>
    </row>
    <row r="1246" spans="6:17" x14ac:dyDescent="0.25">
      <c r="F1246" s="134"/>
      <c r="H1246" s="114"/>
      <c r="I1246" s="114"/>
      <c r="J1246" s="114"/>
      <c r="K1246" s="114"/>
      <c r="L1246" s="114"/>
      <c r="M1246" s="114"/>
      <c r="N1246" s="114"/>
      <c r="P1246" s="234"/>
      <c r="Q1246" s="240"/>
    </row>
    <row r="1247" spans="6:17" x14ac:dyDescent="0.25">
      <c r="F1247" s="134"/>
      <c r="H1247" s="114"/>
      <c r="I1247" s="114"/>
      <c r="J1247" s="114"/>
      <c r="K1247" s="114"/>
      <c r="L1247" s="114"/>
      <c r="M1247" s="114"/>
      <c r="N1247" s="114"/>
      <c r="P1247" s="234"/>
      <c r="Q1247" s="240"/>
    </row>
    <row r="1248" spans="6:17" x14ac:dyDescent="0.25">
      <c r="F1248" s="134"/>
      <c r="H1248" s="114"/>
      <c r="I1248" s="114"/>
      <c r="J1248" s="114"/>
      <c r="K1248" s="114"/>
      <c r="L1248" s="114"/>
      <c r="M1248" s="114"/>
      <c r="N1248" s="114"/>
      <c r="P1248" s="234"/>
      <c r="Q1248" s="240"/>
    </row>
    <row r="1249" spans="6:17" x14ac:dyDescent="0.25">
      <c r="F1249" s="134"/>
      <c r="H1249" s="114"/>
      <c r="I1249" s="114"/>
      <c r="J1249" s="114"/>
      <c r="K1249" s="114"/>
      <c r="L1249" s="114"/>
      <c r="M1249" s="114"/>
      <c r="N1249" s="114"/>
      <c r="P1249" s="234"/>
      <c r="Q1249" s="240"/>
    </row>
    <row r="1250" spans="6:17" x14ac:dyDescent="0.25">
      <c r="F1250" s="134"/>
      <c r="H1250" s="114"/>
      <c r="I1250" s="114"/>
      <c r="J1250" s="114"/>
      <c r="K1250" s="114"/>
      <c r="L1250" s="114"/>
      <c r="M1250" s="114"/>
      <c r="N1250" s="114"/>
      <c r="P1250" s="234"/>
      <c r="Q1250" s="240"/>
    </row>
    <row r="1251" spans="6:17" x14ac:dyDescent="0.25">
      <c r="F1251" s="134"/>
      <c r="H1251" s="114"/>
      <c r="I1251" s="114"/>
      <c r="J1251" s="114"/>
      <c r="K1251" s="114"/>
      <c r="L1251" s="114"/>
      <c r="M1251" s="114"/>
      <c r="N1251" s="114"/>
      <c r="P1251" s="234"/>
      <c r="Q1251" s="240"/>
    </row>
    <row r="1252" spans="6:17" x14ac:dyDescent="0.25">
      <c r="F1252" s="134"/>
      <c r="H1252" s="114"/>
      <c r="I1252" s="114"/>
      <c r="J1252" s="114"/>
      <c r="K1252" s="114"/>
      <c r="L1252" s="114"/>
      <c r="M1252" s="114"/>
      <c r="N1252" s="114"/>
      <c r="P1252" s="234"/>
      <c r="Q1252" s="240"/>
    </row>
    <row r="1253" spans="6:17" x14ac:dyDescent="0.25">
      <c r="F1253" s="134"/>
      <c r="H1253" s="114"/>
      <c r="I1253" s="114"/>
      <c r="J1253" s="114"/>
      <c r="K1253" s="114"/>
      <c r="L1253" s="114"/>
      <c r="M1253" s="114"/>
      <c r="N1253" s="114"/>
      <c r="P1253" s="234"/>
      <c r="Q1253" s="240"/>
    </row>
    <row r="1254" spans="6:17" x14ac:dyDescent="0.25">
      <c r="F1254" s="134"/>
      <c r="H1254" s="114"/>
      <c r="I1254" s="114"/>
      <c r="J1254" s="114"/>
      <c r="K1254" s="114"/>
      <c r="L1254" s="114"/>
      <c r="M1254" s="114"/>
      <c r="N1254" s="114"/>
      <c r="P1254" s="234"/>
      <c r="Q1254" s="240"/>
    </row>
    <row r="1255" spans="6:17" x14ac:dyDescent="0.25">
      <c r="F1255" s="134"/>
      <c r="H1255" s="114"/>
      <c r="I1255" s="114"/>
      <c r="J1255" s="114"/>
      <c r="K1255" s="114"/>
      <c r="L1255" s="114"/>
      <c r="M1255" s="114"/>
      <c r="N1255" s="114"/>
      <c r="P1255" s="234"/>
      <c r="Q1255" s="240"/>
    </row>
    <row r="1256" spans="6:17" x14ac:dyDescent="0.25">
      <c r="F1256" s="134"/>
      <c r="H1256" s="114"/>
      <c r="I1256" s="114"/>
      <c r="J1256" s="114"/>
      <c r="K1256" s="114"/>
      <c r="L1256" s="114"/>
      <c r="M1256" s="114"/>
      <c r="N1256" s="114"/>
      <c r="P1256" s="234"/>
      <c r="Q1256" s="240"/>
    </row>
    <row r="1257" spans="6:17" x14ac:dyDescent="0.25">
      <c r="F1257" s="134"/>
      <c r="H1257" s="114"/>
      <c r="I1257" s="114"/>
      <c r="J1257" s="114"/>
      <c r="K1257" s="114"/>
      <c r="L1257" s="114"/>
      <c r="M1257" s="114"/>
      <c r="N1257" s="114"/>
      <c r="P1257" s="234"/>
      <c r="Q1257" s="240"/>
    </row>
    <row r="1258" spans="6:17" x14ac:dyDescent="0.25">
      <c r="F1258" s="134"/>
      <c r="H1258" s="114"/>
      <c r="I1258" s="114"/>
      <c r="J1258" s="114"/>
      <c r="K1258" s="114"/>
      <c r="L1258" s="114"/>
      <c r="M1258" s="114"/>
      <c r="N1258" s="114"/>
      <c r="P1258" s="234"/>
      <c r="Q1258" s="240"/>
    </row>
    <row r="1259" spans="6:17" x14ac:dyDescent="0.25">
      <c r="F1259" s="134"/>
      <c r="H1259" s="114"/>
      <c r="I1259" s="114"/>
      <c r="J1259" s="114"/>
      <c r="K1259" s="114"/>
      <c r="L1259" s="114"/>
      <c r="M1259" s="114"/>
      <c r="N1259" s="114"/>
      <c r="P1259" s="234"/>
      <c r="Q1259" s="240"/>
    </row>
    <row r="1260" spans="6:17" x14ac:dyDescent="0.25">
      <c r="F1260" s="134"/>
      <c r="H1260" s="114"/>
      <c r="I1260" s="114"/>
      <c r="J1260" s="114"/>
      <c r="K1260" s="114"/>
      <c r="L1260" s="114"/>
      <c r="M1260" s="114"/>
      <c r="N1260" s="114"/>
      <c r="P1260" s="234"/>
      <c r="Q1260" s="240"/>
    </row>
    <row r="1261" spans="6:17" x14ac:dyDescent="0.25">
      <c r="F1261" s="134"/>
      <c r="H1261" s="114"/>
      <c r="I1261" s="114"/>
      <c r="J1261" s="114"/>
      <c r="K1261" s="114"/>
      <c r="L1261" s="114"/>
      <c r="M1261" s="114"/>
      <c r="N1261" s="114"/>
      <c r="P1261" s="234"/>
      <c r="Q1261" s="240"/>
    </row>
    <row r="1262" spans="6:17" x14ac:dyDescent="0.25">
      <c r="F1262" s="134"/>
      <c r="H1262" s="114"/>
      <c r="I1262" s="114"/>
      <c r="J1262" s="114"/>
      <c r="K1262" s="114"/>
      <c r="L1262" s="114"/>
      <c r="M1262" s="114"/>
      <c r="N1262" s="114"/>
      <c r="P1262" s="234"/>
      <c r="Q1262" s="240"/>
    </row>
    <row r="1263" spans="6:17" x14ac:dyDescent="0.25">
      <c r="F1263" s="134"/>
      <c r="H1263" s="114"/>
      <c r="I1263" s="114"/>
      <c r="J1263" s="114"/>
      <c r="K1263" s="114"/>
      <c r="L1263" s="114"/>
      <c r="M1263" s="114"/>
      <c r="N1263" s="114"/>
      <c r="P1263" s="234"/>
      <c r="Q1263" s="240"/>
    </row>
    <row r="1264" spans="6:17" x14ac:dyDescent="0.25">
      <c r="F1264" s="134"/>
      <c r="H1264" s="114"/>
      <c r="I1264" s="114"/>
      <c r="J1264" s="114"/>
      <c r="K1264" s="114"/>
      <c r="L1264" s="114"/>
      <c r="M1264" s="114"/>
      <c r="N1264" s="114"/>
      <c r="P1264" s="234"/>
      <c r="Q1264" s="240"/>
    </row>
    <row r="1265" spans="6:17" x14ac:dyDescent="0.25">
      <c r="F1265" s="134"/>
      <c r="H1265" s="114"/>
      <c r="I1265" s="114"/>
      <c r="J1265" s="114"/>
      <c r="K1265" s="114"/>
      <c r="L1265" s="114"/>
      <c r="M1265" s="114"/>
      <c r="N1265" s="114"/>
      <c r="P1265" s="234"/>
      <c r="Q1265" s="240"/>
    </row>
    <row r="1266" spans="6:17" x14ac:dyDescent="0.25">
      <c r="F1266" s="134"/>
      <c r="H1266" s="114"/>
      <c r="I1266" s="114"/>
      <c r="J1266" s="114"/>
      <c r="K1266" s="114"/>
      <c r="L1266" s="114"/>
      <c r="M1266" s="114"/>
      <c r="N1266" s="114"/>
      <c r="P1266" s="234"/>
      <c r="Q1266" s="240"/>
    </row>
    <row r="1267" spans="6:17" x14ac:dyDescent="0.25">
      <c r="F1267" s="134"/>
      <c r="H1267" s="114"/>
      <c r="I1267" s="114"/>
      <c r="J1267" s="114"/>
      <c r="K1267" s="114"/>
      <c r="L1267" s="114"/>
      <c r="M1267" s="114"/>
      <c r="N1267" s="114"/>
      <c r="P1267" s="234"/>
      <c r="Q1267" s="240"/>
    </row>
    <row r="1268" spans="6:17" x14ac:dyDescent="0.25">
      <c r="F1268" s="134"/>
      <c r="H1268" s="114"/>
      <c r="I1268" s="114"/>
      <c r="J1268" s="114"/>
      <c r="K1268" s="114"/>
      <c r="L1268" s="114"/>
      <c r="M1268" s="114"/>
      <c r="N1268" s="114"/>
      <c r="P1268" s="234"/>
      <c r="Q1268" s="240"/>
    </row>
    <row r="1269" spans="6:17" x14ac:dyDescent="0.25">
      <c r="F1269" s="134"/>
      <c r="H1269" s="114"/>
      <c r="I1269" s="114"/>
      <c r="J1269" s="114"/>
      <c r="K1269" s="114"/>
      <c r="L1269" s="114"/>
      <c r="M1269" s="114"/>
      <c r="N1269" s="114"/>
      <c r="P1269" s="234"/>
      <c r="Q1269" s="240"/>
    </row>
    <row r="1270" spans="6:17" x14ac:dyDescent="0.25">
      <c r="F1270" s="134"/>
      <c r="H1270" s="114"/>
      <c r="I1270" s="114"/>
      <c r="J1270" s="114"/>
      <c r="K1270" s="114"/>
      <c r="L1270" s="114"/>
      <c r="M1270" s="114"/>
      <c r="N1270" s="114"/>
      <c r="P1270" s="234"/>
      <c r="Q1270" s="240"/>
    </row>
    <row r="1271" spans="6:17" x14ac:dyDescent="0.25">
      <c r="F1271" s="134"/>
      <c r="H1271" s="114"/>
      <c r="I1271" s="114"/>
      <c r="J1271" s="114"/>
      <c r="K1271" s="114"/>
      <c r="L1271" s="114"/>
      <c r="M1271" s="114"/>
      <c r="N1271" s="114"/>
      <c r="P1271" s="234"/>
      <c r="Q1271" s="240"/>
    </row>
    <row r="1272" spans="6:17" x14ac:dyDescent="0.25">
      <c r="F1272" s="134"/>
      <c r="H1272" s="114"/>
      <c r="I1272" s="114"/>
      <c r="J1272" s="114"/>
      <c r="K1272" s="114"/>
      <c r="L1272" s="114"/>
      <c r="M1272" s="114"/>
      <c r="N1272" s="114"/>
      <c r="P1272" s="234"/>
      <c r="Q1272" s="240"/>
    </row>
    <row r="1273" spans="6:17" x14ac:dyDescent="0.25">
      <c r="F1273" s="134"/>
      <c r="H1273" s="114"/>
      <c r="I1273" s="114"/>
      <c r="J1273" s="114"/>
      <c r="K1273" s="114"/>
      <c r="L1273" s="114"/>
      <c r="M1273" s="114"/>
      <c r="N1273" s="114"/>
      <c r="P1273" s="234"/>
      <c r="Q1273" s="240"/>
    </row>
    <row r="1274" spans="6:17" x14ac:dyDescent="0.25">
      <c r="F1274" s="134"/>
      <c r="H1274" s="114"/>
      <c r="I1274" s="114"/>
      <c r="J1274" s="114"/>
      <c r="K1274" s="114"/>
      <c r="L1274" s="114"/>
      <c r="M1274" s="114"/>
      <c r="N1274" s="114"/>
      <c r="P1274" s="234"/>
      <c r="Q1274" s="240"/>
    </row>
    <row r="1275" spans="6:17" x14ac:dyDescent="0.25">
      <c r="F1275" s="134"/>
      <c r="H1275" s="114"/>
      <c r="I1275" s="114"/>
      <c r="J1275" s="114"/>
      <c r="K1275" s="114"/>
      <c r="L1275" s="114"/>
      <c r="M1275" s="114"/>
      <c r="N1275" s="114"/>
      <c r="P1275" s="234"/>
      <c r="Q1275" s="240"/>
    </row>
    <row r="1276" spans="6:17" x14ac:dyDescent="0.25">
      <c r="F1276" s="134"/>
      <c r="H1276" s="114"/>
      <c r="I1276" s="114"/>
      <c r="J1276" s="114"/>
      <c r="K1276" s="114"/>
      <c r="L1276" s="114"/>
      <c r="M1276" s="114"/>
      <c r="N1276" s="114"/>
      <c r="P1276" s="234"/>
      <c r="Q1276" s="240"/>
    </row>
    <row r="1277" spans="6:17" x14ac:dyDescent="0.25">
      <c r="F1277" s="134"/>
      <c r="H1277" s="114"/>
      <c r="I1277" s="114"/>
      <c r="J1277" s="114"/>
      <c r="K1277" s="114"/>
      <c r="L1277" s="114"/>
      <c r="M1277" s="114"/>
      <c r="N1277" s="114"/>
      <c r="P1277" s="234"/>
      <c r="Q1277" s="240"/>
    </row>
    <row r="1278" spans="6:17" x14ac:dyDescent="0.25">
      <c r="F1278" s="134"/>
      <c r="H1278" s="114"/>
      <c r="I1278" s="114"/>
      <c r="J1278" s="114"/>
      <c r="K1278" s="114"/>
      <c r="L1278" s="114"/>
      <c r="M1278" s="114"/>
      <c r="N1278" s="114"/>
      <c r="P1278" s="234"/>
      <c r="Q1278" s="240"/>
    </row>
    <row r="1279" spans="6:17" x14ac:dyDescent="0.25">
      <c r="F1279" s="134"/>
      <c r="H1279" s="114"/>
      <c r="I1279" s="114"/>
      <c r="J1279" s="114"/>
      <c r="K1279" s="114"/>
      <c r="L1279" s="114"/>
      <c r="M1279" s="114"/>
      <c r="N1279" s="114"/>
      <c r="P1279" s="234"/>
      <c r="Q1279" s="240"/>
    </row>
    <row r="1280" spans="6:17" x14ac:dyDescent="0.25">
      <c r="F1280" s="134"/>
      <c r="H1280" s="114"/>
      <c r="I1280" s="114"/>
      <c r="J1280" s="114"/>
      <c r="K1280" s="114"/>
      <c r="L1280" s="114"/>
      <c r="M1280" s="114"/>
      <c r="N1280" s="114"/>
      <c r="P1280" s="234"/>
      <c r="Q1280" s="240"/>
    </row>
    <row r="1281" spans="6:17" x14ac:dyDescent="0.25">
      <c r="F1281" s="134"/>
      <c r="H1281" s="114"/>
      <c r="I1281" s="114"/>
      <c r="J1281" s="114"/>
      <c r="K1281" s="114"/>
      <c r="L1281" s="114"/>
      <c r="M1281" s="114"/>
      <c r="N1281" s="114"/>
      <c r="P1281" s="234"/>
      <c r="Q1281" s="240"/>
    </row>
    <row r="1282" spans="6:17" x14ac:dyDescent="0.25">
      <c r="F1282" s="134"/>
      <c r="H1282" s="114"/>
      <c r="I1282" s="114"/>
      <c r="J1282" s="114"/>
      <c r="K1282" s="114"/>
      <c r="L1282" s="114"/>
      <c r="M1282" s="114"/>
      <c r="N1282" s="114"/>
      <c r="P1282" s="234"/>
      <c r="Q1282" s="240"/>
    </row>
    <row r="1283" spans="6:17" x14ac:dyDescent="0.25">
      <c r="F1283" s="134"/>
      <c r="H1283" s="114"/>
      <c r="I1283" s="114"/>
      <c r="J1283" s="114"/>
      <c r="K1283" s="114"/>
      <c r="L1283" s="114"/>
      <c r="M1283" s="114"/>
      <c r="N1283" s="114"/>
      <c r="P1283" s="234"/>
      <c r="Q1283" s="240"/>
    </row>
    <row r="1284" spans="6:17" x14ac:dyDescent="0.25">
      <c r="F1284" s="134"/>
      <c r="H1284" s="114"/>
      <c r="I1284" s="114"/>
      <c r="J1284" s="114"/>
      <c r="K1284" s="114"/>
      <c r="L1284" s="114"/>
      <c r="M1284" s="114"/>
      <c r="N1284" s="114"/>
      <c r="P1284" s="234"/>
      <c r="Q1284" s="240"/>
    </row>
    <row r="1285" spans="6:17" x14ac:dyDescent="0.25">
      <c r="F1285" s="134"/>
      <c r="H1285" s="114"/>
      <c r="I1285" s="114"/>
      <c r="J1285" s="114"/>
      <c r="K1285" s="114"/>
      <c r="L1285" s="114"/>
      <c r="M1285" s="114"/>
      <c r="N1285" s="114"/>
      <c r="P1285" s="234"/>
      <c r="Q1285" s="240"/>
    </row>
    <row r="1286" spans="6:17" x14ac:dyDescent="0.25">
      <c r="F1286" s="134"/>
      <c r="H1286" s="114"/>
      <c r="I1286" s="114"/>
      <c r="J1286" s="114"/>
      <c r="K1286" s="114"/>
      <c r="L1286" s="114"/>
      <c r="M1286" s="114"/>
      <c r="N1286" s="114"/>
      <c r="P1286" s="234"/>
      <c r="Q1286" s="240"/>
    </row>
    <row r="1287" spans="6:17" x14ac:dyDescent="0.25">
      <c r="F1287" s="134"/>
      <c r="H1287" s="114"/>
      <c r="I1287" s="114"/>
      <c r="J1287" s="114"/>
      <c r="K1287" s="114"/>
      <c r="L1287" s="114"/>
      <c r="M1287" s="114"/>
      <c r="N1287" s="114"/>
      <c r="P1287" s="234"/>
      <c r="Q1287" s="240"/>
    </row>
    <row r="1288" spans="6:17" x14ac:dyDescent="0.25">
      <c r="F1288" s="134"/>
      <c r="H1288" s="114"/>
      <c r="I1288" s="114"/>
      <c r="J1288" s="114"/>
      <c r="K1288" s="114"/>
      <c r="L1288" s="114"/>
      <c r="M1288" s="114"/>
      <c r="N1288" s="114"/>
      <c r="P1288" s="234"/>
      <c r="Q1288" s="240"/>
    </row>
    <row r="1289" spans="6:17" x14ac:dyDescent="0.25">
      <c r="F1289" s="134"/>
      <c r="H1289" s="114"/>
      <c r="I1289" s="114"/>
      <c r="J1289" s="114"/>
      <c r="K1289" s="114"/>
      <c r="L1289" s="114"/>
      <c r="M1289" s="114"/>
      <c r="N1289" s="114"/>
      <c r="P1289" s="234"/>
      <c r="Q1289" s="240"/>
    </row>
    <row r="1290" spans="6:17" x14ac:dyDescent="0.25">
      <c r="F1290" s="134"/>
      <c r="H1290" s="114"/>
      <c r="I1290" s="114"/>
      <c r="J1290" s="114"/>
      <c r="K1290" s="114"/>
      <c r="L1290" s="114"/>
      <c r="M1290" s="114"/>
      <c r="N1290" s="114"/>
      <c r="P1290" s="234"/>
      <c r="Q1290" s="240"/>
    </row>
    <row r="1291" spans="6:17" x14ac:dyDescent="0.25">
      <c r="F1291" s="134"/>
      <c r="H1291" s="114"/>
      <c r="I1291" s="114"/>
      <c r="J1291" s="114"/>
      <c r="K1291" s="114"/>
      <c r="L1291" s="114"/>
      <c r="M1291" s="114"/>
      <c r="N1291" s="114"/>
      <c r="P1291" s="234"/>
      <c r="Q1291" s="240"/>
    </row>
    <row r="1292" spans="6:17" x14ac:dyDescent="0.25">
      <c r="F1292" s="134"/>
      <c r="H1292" s="114"/>
      <c r="I1292" s="114"/>
      <c r="J1292" s="114"/>
      <c r="K1292" s="114"/>
      <c r="L1292" s="114"/>
      <c r="M1292" s="114"/>
      <c r="N1292" s="114"/>
      <c r="P1292" s="234"/>
      <c r="Q1292" s="240"/>
    </row>
    <row r="1293" spans="6:17" x14ac:dyDescent="0.25">
      <c r="F1293" s="134"/>
      <c r="H1293" s="114"/>
      <c r="I1293" s="114"/>
      <c r="J1293" s="114"/>
      <c r="K1293" s="114"/>
      <c r="L1293" s="114"/>
      <c r="M1293" s="114"/>
      <c r="N1293" s="114"/>
      <c r="P1293" s="234"/>
      <c r="Q1293" s="240"/>
    </row>
    <row r="1294" spans="6:17" x14ac:dyDescent="0.25">
      <c r="F1294" s="134"/>
      <c r="H1294" s="114"/>
      <c r="I1294" s="114"/>
      <c r="J1294" s="114"/>
      <c r="K1294" s="114"/>
      <c r="L1294" s="114"/>
      <c r="M1294" s="114"/>
      <c r="N1294" s="114"/>
      <c r="P1294" s="234"/>
      <c r="Q1294" s="240"/>
    </row>
    <row r="1295" spans="6:17" x14ac:dyDescent="0.25">
      <c r="F1295" s="134"/>
      <c r="H1295" s="114"/>
      <c r="I1295" s="114"/>
      <c r="J1295" s="114"/>
      <c r="K1295" s="114"/>
      <c r="L1295" s="114"/>
      <c r="M1295" s="114"/>
      <c r="N1295" s="114"/>
      <c r="P1295" s="234"/>
      <c r="Q1295" s="240"/>
    </row>
    <row r="1296" spans="6:17" x14ac:dyDescent="0.25">
      <c r="F1296" s="134"/>
      <c r="H1296" s="114"/>
      <c r="I1296" s="114"/>
      <c r="J1296" s="114"/>
      <c r="K1296" s="114"/>
      <c r="L1296" s="114"/>
      <c r="M1296" s="114"/>
      <c r="N1296" s="114"/>
      <c r="P1296" s="234"/>
      <c r="Q1296" s="240"/>
    </row>
    <row r="1297" spans="6:17" x14ac:dyDescent="0.25">
      <c r="F1297" s="134"/>
      <c r="H1297" s="114"/>
      <c r="I1297" s="114"/>
      <c r="J1297" s="114"/>
      <c r="K1297" s="114"/>
      <c r="L1297" s="114"/>
      <c r="M1297" s="114"/>
      <c r="N1297" s="114"/>
      <c r="P1297" s="234"/>
      <c r="Q1297" s="240"/>
    </row>
    <row r="1298" spans="6:17" x14ac:dyDescent="0.25">
      <c r="F1298" s="134"/>
      <c r="H1298" s="114"/>
      <c r="I1298" s="114"/>
      <c r="J1298" s="114"/>
      <c r="K1298" s="114"/>
      <c r="L1298" s="114"/>
      <c r="M1298" s="114"/>
      <c r="N1298" s="114"/>
      <c r="P1298" s="234"/>
      <c r="Q1298" s="240"/>
    </row>
    <row r="1299" spans="6:17" x14ac:dyDescent="0.25">
      <c r="F1299" s="134"/>
      <c r="H1299" s="114"/>
      <c r="I1299" s="114"/>
      <c r="J1299" s="114"/>
      <c r="K1299" s="114"/>
      <c r="L1299" s="114"/>
      <c r="M1299" s="114"/>
      <c r="N1299" s="114"/>
      <c r="P1299" s="234"/>
      <c r="Q1299" s="240"/>
    </row>
    <row r="1300" spans="6:17" x14ac:dyDescent="0.25">
      <c r="F1300" s="134"/>
      <c r="H1300" s="114"/>
      <c r="I1300" s="114"/>
      <c r="J1300" s="114"/>
      <c r="K1300" s="114"/>
      <c r="L1300" s="114"/>
      <c r="M1300" s="114"/>
      <c r="N1300" s="114"/>
      <c r="P1300" s="234"/>
      <c r="Q1300" s="240"/>
    </row>
    <row r="1301" spans="6:17" x14ac:dyDescent="0.25">
      <c r="F1301" s="134"/>
      <c r="H1301" s="114"/>
      <c r="I1301" s="114"/>
      <c r="J1301" s="114"/>
      <c r="K1301" s="114"/>
      <c r="L1301" s="114"/>
      <c r="M1301" s="114"/>
      <c r="N1301" s="114"/>
      <c r="P1301" s="234"/>
      <c r="Q1301" s="240"/>
    </row>
    <row r="1302" spans="6:17" x14ac:dyDescent="0.25">
      <c r="F1302" s="134"/>
      <c r="H1302" s="114"/>
      <c r="I1302" s="114"/>
      <c r="J1302" s="114"/>
      <c r="K1302" s="114"/>
      <c r="L1302" s="114"/>
      <c r="M1302" s="114"/>
      <c r="N1302" s="114"/>
      <c r="P1302" s="234"/>
      <c r="Q1302" s="240"/>
    </row>
    <row r="1303" spans="6:17" x14ac:dyDescent="0.25">
      <c r="F1303" s="134"/>
      <c r="H1303" s="114"/>
      <c r="I1303" s="114"/>
      <c r="J1303" s="114"/>
      <c r="K1303" s="114"/>
      <c r="L1303" s="114"/>
      <c r="M1303" s="114"/>
      <c r="N1303" s="114"/>
      <c r="P1303" s="234"/>
      <c r="Q1303" s="240"/>
    </row>
    <row r="1304" spans="6:17" x14ac:dyDescent="0.25">
      <c r="F1304" s="134"/>
      <c r="H1304" s="114"/>
      <c r="I1304" s="114"/>
      <c r="J1304" s="114"/>
      <c r="K1304" s="114"/>
      <c r="L1304" s="114"/>
      <c r="M1304" s="114"/>
      <c r="N1304" s="114"/>
      <c r="P1304" s="234"/>
      <c r="Q1304" s="240"/>
    </row>
    <row r="1305" spans="6:17" x14ac:dyDescent="0.25">
      <c r="F1305" s="134"/>
      <c r="H1305" s="114"/>
      <c r="I1305" s="114"/>
      <c r="J1305" s="114"/>
      <c r="K1305" s="114"/>
      <c r="L1305" s="114"/>
      <c r="M1305" s="114"/>
      <c r="N1305" s="114"/>
      <c r="P1305" s="234"/>
      <c r="Q1305" s="240"/>
    </row>
    <row r="1306" spans="6:17" x14ac:dyDescent="0.25">
      <c r="F1306" s="134"/>
      <c r="H1306" s="114"/>
      <c r="I1306" s="114"/>
      <c r="J1306" s="114"/>
      <c r="K1306" s="114"/>
      <c r="L1306" s="114"/>
      <c r="M1306" s="114"/>
      <c r="N1306" s="114"/>
      <c r="P1306" s="234"/>
      <c r="Q1306" s="240"/>
    </row>
    <row r="1307" spans="6:17" x14ac:dyDescent="0.25">
      <c r="F1307" s="134"/>
      <c r="H1307" s="114"/>
      <c r="I1307" s="114"/>
      <c r="J1307" s="114"/>
      <c r="K1307" s="114"/>
      <c r="L1307" s="114"/>
      <c r="M1307" s="114"/>
      <c r="N1307" s="114"/>
      <c r="P1307" s="234"/>
      <c r="Q1307" s="240"/>
    </row>
    <row r="1308" spans="6:17" x14ac:dyDescent="0.25">
      <c r="F1308" s="134"/>
      <c r="H1308" s="114"/>
      <c r="I1308" s="114"/>
      <c r="J1308" s="114"/>
      <c r="K1308" s="114"/>
      <c r="L1308" s="114"/>
      <c r="M1308" s="114"/>
      <c r="N1308" s="114"/>
      <c r="P1308" s="234"/>
      <c r="Q1308" s="240"/>
    </row>
    <row r="1309" spans="6:17" x14ac:dyDescent="0.25">
      <c r="F1309" s="134"/>
      <c r="H1309" s="114"/>
      <c r="I1309" s="114"/>
      <c r="J1309" s="114"/>
      <c r="K1309" s="114"/>
      <c r="L1309" s="114"/>
      <c r="M1309" s="114"/>
      <c r="N1309" s="114"/>
      <c r="P1309" s="234"/>
      <c r="Q1309" s="240"/>
    </row>
    <row r="1310" spans="6:17" x14ac:dyDescent="0.25">
      <c r="F1310" s="134"/>
      <c r="H1310" s="114"/>
      <c r="I1310" s="114"/>
      <c r="J1310" s="114"/>
      <c r="K1310" s="114"/>
      <c r="L1310" s="114"/>
      <c r="M1310" s="114"/>
      <c r="N1310" s="114"/>
      <c r="P1310" s="234"/>
      <c r="Q1310" s="240"/>
    </row>
    <row r="1311" spans="6:17" x14ac:dyDescent="0.25">
      <c r="F1311" s="134"/>
      <c r="H1311" s="114"/>
      <c r="I1311" s="114"/>
      <c r="J1311" s="114"/>
      <c r="K1311" s="114"/>
      <c r="L1311" s="114"/>
      <c r="M1311" s="114"/>
      <c r="N1311" s="114"/>
      <c r="P1311" s="234"/>
      <c r="Q1311" s="240"/>
    </row>
    <row r="1312" spans="6:17" x14ac:dyDescent="0.25">
      <c r="F1312" s="134"/>
      <c r="H1312" s="114"/>
      <c r="I1312" s="114"/>
      <c r="J1312" s="114"/>
      <c r="K1312" s="114"/>
      <c r="L1312" s="114"/>
      <c r="M1312" s="114"/>
      <c r="N1312" s="114"/>
      <c r="P1312" s="234"/>
      <c r="Q1312" s="240"/>
    </row>
    <row r="1313" spans="6:17" x14ac:dyDescent="0.25">
      <c r="F1313" s="134"/>
      <c r="H1313" s="114"/>
      <c r="I1313" s="114"/>
      <c r="J1313" s="114"/>
      <c r="K1313" s="114"/>
      <c r="L1313" s="114"/>
      <c r="M1313" s="114"/>
      <c r="N1313" s="114"/>
      <c r="P1313" s="234"/>
      <c r="Q1313" s="240"/>
    </row>
    <row r="1314" spans="6:17" x14ac:dyDescent="0.25">
      <c r="F1314" s="134"/>
      <c r="H1314" s="114"/>
      <c r="I1314" s="114"/>
      <c r="J1314" s="114"/>
      <c r="K1314" s="114"/>
      <c r="L1314" s="114"/>
      <c r="M1314" s="114"/>
      <c r="N1314" s="114"/>
      <c r="P1314" s="234"/>
      <c r="Q1314" s="240"/>
    </row>
    <row r="1315" spans="6:17" x14ac:dyDescent="0.25">
      <c r="F1315" s="134"/>
      <c r="H1315" s="114"/>
      <c r="I1315" s="114"/>
      <c r="J1315" s="114"/>
      <c r="K1315" s="114"/>
      <c r="L1315" s="114"/>
      <c r="M1315" s="114"/>
      <c r="N1315" s="114"/>
      <c r="P1315" s="234"/>
      <c r="Q1315" s="240"/>
    </row>
    <row r="1316" spans="6:17" x14ac:dyDescent="0.25">
      <c r="F1316" s="134"/>
      <c r="H1316" s="114"/>
      <c r="I1316" s="114"/>
      <c r="J1316" s="114"/>
      <c r="K1316" s="114"/>
      <c r="L1316" s="114"/>
      <c r="M1316" s="114"/>
      <c r="N1316" s="114"/>
      <c r="P1316" s="234"/>
      <c r="Q1316" s="240"/>
    </row>
    <row r="1317" spans="6:17" x14ac:dyDescent="0.25">
      <c r="F1317" s="134"/>
      <c r="H1317" s="114"/>
      <c r="I1317" s="114"/>
      <c r="J1317" s="114"/>
      <c r="K1317" s="114"/>
      <c r="L1317" s="114"/>
      <c r="M1317" s="114"/>
      <c r="N1317" s="114"/>
      <c r="P1317" s="234"/>
      <c r="Q1317" s="240"/>
    </row>
    <row r="1318" spans="6:17" x14ac:dyDescent="0.25">
      <c r="F1318" s="134"/>
      <c r="H1318" s="114"/>
      <c r="I1318" s="114"/>
      <c r="J1318" s="114"/>
      <c r="K1318" s="114"/>
      <c r="L1318" s="114"/>
      <c r="M1318" s="114"/>
      <c r="N1318" s="114"/>
      <c r="P1318" s="234"/>
      <c r="Q1318" s="240"/>
    </row>
    <row r="1319" spans="6:17" x14ac:dyDescent="0.25">
      <c r="F1319" s="134"/>
      <c r="H1319" s="114"/>
      <c r="I1319" s="114"/>
      <c r="J1319" s="114"/>
      <c r="K1319" s="114"/>
      <c r="L1319" s="114"/>
      <c r="M1319" s="114"/>
      <c r="N1319" s="114"/>
      <c r="P1319" s="234"/>
      <c r="Q1319" s="240"/>
    </row>
    <row r="1320" spans="6:17" x14ac:dyDescent="0.25">
      <c r="F1320" s="134"/>
      <c r="H1320" s="114"/>
      <c r="I1320" s="114"/>
      <c r="J1320" s="114"/>
      <c r="K1320" s="114"/>
      <c r="L1320" s="114"/>
      <c r="M1320" s="114"/>
      <c r="N1320" s="114"/>
      <c r="P1320" s="234"/>
      <c r="Q1320" s="240"/>
    </row>
    <row r="1321" spans="6:17" x14ac:dyDescent="0.25">
      <c r="F1321" s="134"/>
      <c r="H1321" s="114"/>
      <c r="I1321" s="114"/>
      <c r="J1321" s="114"/>
      <c r="K1321" s="114"/>
      <c r="L1321" s="114"/>
      <c r="M1321" s="114"/>
      <c r="N1321" s="114"/>
      <c r="P1321" s="234"/>
      <c r="Q1321" s="240"/>
    </row>
    <row r="1322" spans="6:17" x14ac:dyDescent="0.25">
      <c r="F1322" s="134"/>
      <c r="H1322" s="114"/>
      <c r="I1322" s="114"/>
      <c r="J1322" s="114"/>
      <c r="K1322" s="114"/>
      <c r="L1322" s="114"/>
      <c r="M1322" s="114"/>
      <c r="N1322" s="114"/>
      <c r="P1322" s="234"/>
      <c r="Q1322" s="240"/>
    </row>
    <row r="1323" spans="6:17" x14ac:dyDescent="0.25">
      <c r="F1323" s="134"/>
      <c r="H1323" s="114"/>
      <c r="I1323" s="114"/>
      <c r="J1323" s="114"/>
      <c r="K1323" s="114"/>
      <c r="L1323" s="114"/>
      <c r="M1323" s="114"/>
      <c r="N1323" s="114"/>
      <c r="P1323" s="234"/>
      <c r="Q1323" s="240"/>
    </row>
    <row r="1324" spans="6:17" x14ac:dyDescent="0.25">
      <c r="F1324" s="134"/>
      <c r="H1324" s="114"/>
      <c r="I1324" s="114"/>
      <c r="J1324" s="114"/>
      <c r="K1324" s="114"/>
      <c r="L1324" s="114"/>
      <c r="M1324" s="114"/>
      <c r="N1324" s="114"/>
      <c r="P1324" s="234"/>
      <c r="Q1324" s="240"/>
    </row>
    <row r="1325" spans="6:17" x14ac:dyDescent="0.25">
      <c r="F1325" s="134"/>
      <c r="H1325" s="114"/>
      <c r="I1325" s="114"/>
      <c r="J1325" s="114"/>
      <c r="K1325" s="114"/>
      <c r="L1325" s="114"/>
      <c r="M1325" s="114"/>
      <c r="N1325" s="114"/>
      <c r="P1325" s="234"/>
      <c r="Q1325" s="240"/>
    </row>
    <row r="1326" spans="6:17" x14ac:dyDescent="0.25">
      <c r="F1326" s="134"/>
      <c r="H1326" s="114"/>
      <c r="I1326" s="114"/>
      <c r="J1326" s="114"/>
      <c r="K1326" s="114"/>
      <c r="L1326" s="114"/>
      <c r="M1326" s="114"/>
      <c r="N1326" s="114"/>
      <c r="P1326" s="234"/>
      <c r="Q1326" s="240"/>
    </row>
    <row r="1327" spans="6:17" x14ac:dyDescent="0.25">
      <c r="F1327" s="134"/>
      <c r="H1327" s="114"/>
      <c r="I1327" s="114"/>
      <c r="J1327" s="114"/>
      <c r="K1327" s="114"/>
      <c r="L1327" s="114"/>
      <c r="M1327" s="114"/>
      <c r="N1327" s="114"/>
      <c r="P1327" s="234"/>
      <c r="Q1327" s="240"/>
    </row>
    <row r="1328" spans="6:17" x14ac:dyDescent="0.25">
      <c r="F1328" s="134"/>
      <c r="H1328" s="114"/>
      <c r="I1328" s="114"/>
      <c r="J1328" s="114"/>
      <c r="K1328" s="114"/>
      <c r="L1328" s="114"/>
      <c r="M1328" s="114"/>
      <c r="N1328" s="114"/>
      <c r="P1328" s="234"/>
      <c r="Q1328" s="240"/>
    </row>
    <row r="1329" spans="6:17" x14ac:dyDescent="0.25">
      <c r="F1329" s="134"/>
      <c r="H1329" s="114"/>
      <c r="I1329" s="114"/>
      <c r="J1329" s="114"/>
      <c r="K1329" s="114"/>
      <c r="L1329" s="114"/>
      <c r="M1329" s="114"/>
      <c r="N1329" s="114"/>
      <c r="P1329" s="234"/>
      <c r="Q1329" s="240"/>
    </row>
    <row r="1330" spans="6:17" x14ac:dyDescent="0.25">
      <c r="F1330" s="134"/>
      <c r="H1330" s="114"/>
      <c r="I1330" s="114"/>
      <c r="J1330" s="114"/>
      <c r="K1330" s="114"/>
      <c r="L1330" s="114"/>
      <c r="M1330" s="114"/>
      <c r="N1330" s="114"/>
      <c r="P1330" s="234"/>
      <c r="Q1330" s="240"/>
    </row>
    <row r="1331" spans="6:17" x14ac:dyDescent="0.25">
      <c r="F1331" s="134"/>
      <c r="H1331" s="114"/>
      <c r="I1331" s="114"/>
      <c r="J1331" s="114"/>
      <c r="K1331" s="114"/>
      <c r="L1331" s="114"/>
      <c r="M1331" s="114"/>
      <c r="N1331" s="114"/>
      <c r="P1331" s="234"/>
      <c r="Q1331" s="240"/>
    </row>
    <row r="1332" spans="6:17" x14ac:dyDescent="0.25">
      <c r="F1332" s="134"/>
      <c r="H1332" s="114"/>
      <c r="I1332" s="114"/>
      <c r="J1332" s="114"/>
      <c r="K1332" s="114"/>
      <c r="L1332" s="114"/>
      <c r="M1332" s="114"/>
      <c r="N1332" s="114"/>
      <c r="P1332" s="234"/>
      <c r="Q1332" s="240"/>
    </row>
    <row r="1333" spans="6:17" x14ac:dyDescent="0.25">
      <c r="F1333" s="134"/>
      <c r="H1333" s="114"/>
      <c r="I1333" s="114"/>
      <c r="J1333" s="114"/>
      <c r="K1333" s="114"/>
      <c r="L1333" s="114"/>
      <c r="M1333" s="114"/>
      <c r="N1333" s="114"/>
      <c r="P1333" s="234"/>
      <c r="Q1333" s="240"/>
    </row>
    <row r="1334" spans="6:17" x14ac:dyDescent="0.25">
      <c r="F1334" s="134"/>
      <c r="H1334" s="114"/>
      <c r="I1334" s="114"/>
      <c r="J1334" s="114"/>
      <c r="K1334" s="114"/>
      <c r="L1334" s="114"/>
      <c r="M1334" s="114"/>
      <c r="N1334" s="114"/>
      <c r="P1334" s="234"/>
      <c r="Q1334" s="240"/>
    </row>
    <row r="1335" spans="6:17" x14ac:dyDescent="0.25">
      <c r="F1335" s="134"/>
      <c r="H1335" s="114"/>
      <c r="I1335" s="114"/>
      <c r="J1335" s="114"/>
      <c r="K1335" s="114"/>
      <c r="L1335" s="114"/>
      <c r="M1335" s="114"/>
      <c r="N1335" s="114"/>
      <c r="P1335" s="234"/>
      <c r="Q1335" s="240"/>
    </row>
    <row r="1336" spans="6:17" x14ac:dyDescent="0.25">
      <c r="F1336" s="134"/>
      <c r="H1336" s="114"/>
      <c r="I1336" s="114"/>
      <c r="J1336" s="114"/>
      <c r="K1336" s="114"/>
      <c r="L1336" s="114"/>
      <c r="M1336" s="114"/>
      <c r="N1336" s="114"/>
      <c r="P1336" s="234"/>
      <c r="Q1336" s="240"/>
    </row>
    <row r="1337" spans="6:17" x14ac:dyDescent="0.25">
      <c r="F1337" s="134"/>
      <c r="H1337" s="114"/>
      <c r="I1337" s="114"/>
      <c r="J1337" s="114"/>
      <c r="K1337" s="114"/>
      <c r="L1337" s="114"/>
      <c r="M1337" s="114"/>
      <c r="N1337" s="114"/>
      <c r="P1337" s="234"/>
      <c r="Q1337" s="240"/>
    </row>
    <row r="1338" spans="6:17" x14ac:dyDescent="0.25">
      <c r="F1338" s="134"/>
      <c r="H1338" s="114"/>
      <c r="I1338" s="114"/>
      <c r="J1338" s="114"/>
      <c r="K1338" s="114"/>
      <c r="L1338" s="114"/>
      <c r="M1338" s="114"/>
      <c r="N1338" s="114"/>
      <c r="P1338" s="234"/>
      <c r="Q1338" s="240"/>
    </row>
    <row r="1339" spans="6:17" x14ac:dyDescent="0.25">
      <c r="F1339" s="134"/>
      <c r="H1339" s="114"/>
      <c r="I1339" s="114"/>
      <c r="J1339" s="114"/>
      <c r="K1339" s="114"/>
      <c r="L1339" s="114"/>
      <c r="M1339" s="114"/>
      <c r="N1339" s="114"/>
      <c r="P1339" s="234"/>
      <c r="Q1339" s="240"/>
    </row>
    <row r="1340" spans="6:17" x14ac:dyDescent="0.25">
      <c r="F1340" s="134"/>
      <c r="H1340" s="114"/>
      <c r="I1340" s="114"/>
      <c r="J1340" s="114"/>
      <c r="K1340" s="114"/>
      <c r="L1340" s="114"/>
      <c r="M1340" s="114"/>
      <c r="N1340" s="114"/>
      <c r="P1340" s="234"/>
      <c r="Q1340" s="240"/>
    </row>
    <row r="1341" spans="6:17" x14ac:dyDescent="0.25">
      <c r="F1341" s="134"/>
      <c r="H1341" s="114"/>
      <c r="I1341" s="114"/>
      <c r="J1341" s="114"/>
      <c r="K1341" s="114"/>
      <c r="L1341" s="114"/>
      <c r="M1341" s="114"/>
      <c r="N1341" s="114"/>
      <c r="P1341" s="234"/>
      <c r="Q1341" s="240"/>
    </row>
    <row r="1342" spans="6:17" x14ac:dyDescent="0.25">
      <c r="F1342" s="134"/>
      <c r="H1342" s="114"/>
      <c r="I1342" s="114"/>
      <c r="J1342" s="114"/>
      <c r="K1342" s="114"/>
      <c r="L1342" s="114"/>
      <c r="M1342" s="114"/>
      <c r="N1342" s="114"/>
      <c r="P1342" s="234"/>
      <c r="Q1342" s="240"/>
    </row>
    <row r="1343" spans="6:17" x14ac:dyDescent="0.25">
      <c r="F1343" s="134"/>
      <c r="H1343" s="114"/>
      <c r="I1343" s="114"/>
      <c r="J1343" s="114"/>
      <c r="K1343" s="114"/>
      <c r="L1343" s="114"/>
      <c r="M1343" s="114"/>
      <c r="N1343" s="114"/>
      <c r="P1343" s="234"/>
      <c r="Q1343" s="240"/>
    </row>
    <row r="1344" spans="6:17" x14ac:dyDescent="0.25">
      <c r="F1344" s="134"/>
      <c r="H1344" s="114"/>
      <c r="I1344" s="114"/>
      <c r="J1344" s="114"/>
      <c r="K1344" s="114"/>
      <c r="L1344" s="114"/>
      <c r="M1344" s="114"/>
      <c r="N1344" s="114"/>
      <c r="P1344" s="234"/>
      <c r="Q1344" s="240"/>
    </row>
    <row r="1345" spans="6:17" x14ac:dyDescent="0.25">
      <c r="F1345" s="134"/>
      <c r="H1345" s="114"/>
      <c r="I1345" s="114"/>
      <c r="J1345" s="114"/>
      <c r="K1345" s="114"/>
      <c r="L1345" s="114"/>
      <c r="M1345" s="114"/>
      <c r="N1345" s="114"/>
      <c r="P1345" s="234"/>
      <c r="Q1345" s="240"/>
    </row>
    <row r="1346" spans="6:17" x14ac:dyDescent="0.25">
      <c r="F1346" s="134"/>
      <c r="H1346" s="114"/>
      <c r="I1346" s="114"/>
      <c r="J1346" s="114"/>
      <c r="K1346" s="114"/>
      <c r="L1346" s="114"/>
      <c r="M1346" s="114"/>
      <c r="N1346" s="114"/>
      <c r="P1346" s="234"/>
      <c r="Q1346" s="240"/>
    </row>
    <row r="1347" spans="6:17" x14ac:dyDescent="0.25">
      <c r="F1347" s="134"/>
      <c r="H1347" s="114"/>
      <c r="I1347" s="114"/>
      <c r="J1347" s="114"/>
      <c r="K1347" s="114"/>
      <c r="L1347" s="114"/>
      <c r="M1347" s="114"/>
      <c r="N1347" s="114"/>
      <c r="P1347" s="234"/>
      <c r="Q1347" s="240"/>
    </row>
    <row r="1348" spans="6:17" x14ac:dyDescent="0.25">
      <c r="F1348" s="134"/>
      <c r="H1348" s="114"/>
      <c r="I1348" s="114"/>
      <c r="J1348" s="114"/>
      <c r="K1348" s="114"/>
      <c r="L1348" s="114"/>
      <c r="M1348" s="114"/>
      <c r="N1348" s="114"/>
      <c r="P1348" s="234"/>
      <c r="Q1348" s="240"/>
    </row>
    <row r="1349" spans="6:17" x14ac:dyDescent="0.25">
      <c r="F1349" s="134"/>
      <c r="H1349" s="114"/>
      <c r="I1349" s="114"/>
      <c r="J1349" s="114"/>
      <c r="K1349" s="114"/>
      <c r="L1349" s="114"/>
      <c r="M1349" s="114"/>
      <c r="N1349" s="114"/>
      <c r="P1349" s="234"/>
      <c r="Q1349" s="240"/>
    </row>
    <row r="1350" spans="6:17" x14ac:dyDescent="0.25">
      <c r="F1350" s="134"/>
      <c r="H1350" s="114"/>
      <c r="I1350" s="114"/>
      <c r="J1350" s="114"/>
      <c r="K1350" s="114"/>
      <c r="L1350" s="114"/>
      <c r="M1350" s="114"/>
      <c r="N1350" s="114"/>
      <c r="P1350" s="234"/>
      <c r="Q1350" s="240"/>
    </row>
    <row r="1351" spans="6:17" x14ac:dyDescent="0.25">
      <c r="F1351" s="134"/>
      <c r="H1351" s="114"/>
      <c r="I1351" s="114"/>
      <c r="J1351" s="114"/>
      <c r="K1351" s="114"/>
      <c r="L1351" s="114"/>
      <c r="M1351" s="114"/>
      <c r="N1351" s="114"/>
      <c r="P1351" s="234"/>
      <c r="Q1351" s="240"/>
    </row>
    <row r="1352" spans="6:17" x14ac:dyDescent="0.25">
      <c r="F1352" s="134"/>
      <c r="H1352" s="114"/>
      <c r="I1352" s="114"/>
      <c r="J1352" s="114"/>
      <c r="K1352" s="114"/>
      <c r="L1352" s="114"/>
      <c r="M1352" s="114"/>
      <c r="N1352" s="114"/>
      <c r="P1352" s="234"/>
      <c r="Q1352" s="240"/>
    </row>
    <row r="1353" spans="6:17" x14ac:dyDescent="0.25">
      <c r="F1353" s="134"/>
      <c r="H1353" s="114"/>
      <c r="I1353" s="114"/>
      <c r="J1353" s="114"/>
      <c r="K1353" s="114"/>
      <c r="L1353" s="114"/>
      <c r="M1353" s="114"/>
      <c r="N1353" s="114"/>
      <c r="P1353" s="234"/>
      <c r="Q1353" s="240"/>
    </row>
    <row r="1354" spans="6:17" x14ac:dyDescent="0.25">
      <c r="F1354" s="134"/>
      <c r="H1354" s="114"/>
      <c r="I1354" s="114"/>
      <c r="J1354" s="114"/>
      <c r="K1354" s="114"/>
      <c r="L1354" s="114"/>
      <c r="M1354" s="114"/>
      <c r="N1354" s="114"/>
      <c r="P1354" s="234"/>
      <c r="Q1354" s="240"/>
    </row>
    <row r="1355" spans="6:17" x14ac:dyDescent="0.25">
      <c r="F1355" s="134"/>
      <c r="H1355" s="114"/>
      <c r="I1355" s="114"/>
      <c r="J1355" s="114"/>
      <c r="K1355" s="114"/>
      <c r="L1355" s="114"/>
      <c r="M1355" s="114"/>
      <c r="N1355" s="114"/>
      <c r="P1355" s="234"/>
      <c r="Q1355" s="240"/>
    </row>
    <row r="1356" spans="6:17" x14ac:dyDescent="0.25">
      <c r="F1356" s="134"/>
      <c r="H1356" s="114"/>
      <c r="I1356" s="114"/>
      <c r="J1356" s="114"/>
      <c r="K1356" s="114"/>
      <c r="L1356" s="114"/>
      <c r="M1356" s="114"/>
      <c r="N1356" s="114"/>
      <c r="P1356" s="234"/>
      <c r="Q1356" s="240"/>
    </row>
    <row r="1357" spans="6:17" x14ac:dyDescent="0.25">
      <c r="F1357" s="134"/>
      <c r="H1357" s="114"/>
      <c r="I1357" s="114"/>
      <c r="J1357" s="114"/>
      <c r="K1357" s="114"/>
      <c r="L1357" s="114"/>
      <c r="M1357" s="114"/>
      <c r="N1357" s="114"/>
      <c r="P1357" s="234"/>
      <c r="Q1357" s="240"/>
    </row>
    <row r="1358" spans="6:17" x14ac:dyDescent="0.25">
      <c r="F1358" s="134"/>
      <c r="H1358" s="114"/>
      <c r="I1358" s="114"/>
      <c r="J1358" s="114"/>
      <c r="K1358" s="114"/>
      <c r="L1358" s="114"/>
      <c r="M1358" s="114"/>
      <c r="N1358" s="114"/>
      <c r="P1358" s="234"/>
      <c r="Q1358" s="240"/>
    </row>
    <row r="1359" spans="6:17" x14ac:dyDescent="0.25">
      <c r="F1359" s="134"/>
      <c r="H1359" s="114"/>
      <c r="I1359" s="114"/>
      <c r="J1359" s="114"/>
      <c r="K1359" s="114"/>
      <c r="L1359" s="114"/>
      <c r="M1359" s="114"/>
      <c r="N1359" s="114"/>
      <c r="P1359" s="234"/>
      <c r="Q1359" s="240"/>
    </row>
    <row r="1360" spans="6:17" x14ac:dyDescent="0.25">
      <c r="F1360" s="134"/>
      <c r="H1360" s="114"/>
      <c r="I1360" s="114"/>
      <c r="J1360" s="114"/>
      <c r="K1360" s="114"/>
      <c r="L1360" s="114"/>
      <c r="M1360" s="114"/>
      <c r="N1360" s="114"/>
      <c r="P1360" s="234"/>
      <c r="Q1360" s="240"/>
    </row>
    <row r="1361" spans="6:17" x14ac:dyDescent="0.25">
      <c r="F1361" s="134"/>
      <c r="H1361" s="114"/>
      <c r="I1361" s="114"/>
      <c r="J1361" s="114"/>
      <c r="K1361" s="114"/>
      <c r="L1361" s="114"/>
      <c r="M1361" s="114"/>
      <c r="N1361" s="114"/>
      <c r="P1361" s="234"/>
      <c r="Q1361" s="240"/>
    </row>
    <row r="1362" spans="6:17" x14ac:dyDescent="0.25">
      <c r="F1362" s="134"/>
      <c r="H1362" s="114"/>
      <c r="I1362" s="114"/>
      <c r="J1362" s="114"/>
      <c r="K1362" s="114"/>
      <c r="L1362" s="114"/>
      <c r="M1362" s="114"/>
      <c r="N1362" s="114"/>
      <c r="P1362" s="234"/>
      <c r="Q1362" s="240"/>
    </row>
    <row r="1363" spans="6:17" x14ac:dyDescent="0.25">
      <c r="F1363" s="134"/>
      <c r="H1363" s="114"/>
      <c r="I1363" s="114"/>
      <c r="J1363" s="114"/>
      <c r="K1363" s="114"/>
      <c r="L1363" s="114"/>
      <c r="M1363" s="114"/>
      <c r="N1363" s="114"/>
      <c r="P1363" s="234"/>
      <c r="Q1363" s="240"/>
    </row>
    <row r="1364" spans="6:17" x14ac:dyDescent="0.25">
      <c r="F1364" s="134"/>
      <c r="H1364" s="114"/>
      <c r="I1364" s="114"/>
      <c r="J1364" s="114"/>
      <c r="K1364" s="114"/>
      <c r="L1364" s="114"/>
      <c r="M1364" s="114"/>
      <c r="N1364" s="114"/>
      <c r="P1364" s="234"/>
      <c r="Q1364" s="240"/>
    </row>
    <row r="1365" spans="6:17" x14ac:dyDescent="0.25">
      <c r="F1365" s="134"/>
      <c r="H1365" s="114"/>
      <c r="I1365" s="114"/>
      <c r="J1365" s="114"/>
      <c r="K1365" s="114"/>
      <c r="L1365" s="114"/>
      <c r="M1365" s="114"/>
      <c r="N1365" s="114"/>
      <c r="P1365" s="234"/>
      <c r="Q1365" s="240"/>
    </row>
    <row r="1366" spans="6:17" x14ac:dyDescent="0.25">
      <c r="F1366" s="134"/>
      <c r="H1366" s="114"/>
      <c r="I1366" s="114"/>
      <c r="J1366" s="114"/>
      <c r="K1366" s="114"/>
      <c r="L1366" s="114"/>
      <c r="M1366" s="114"/>
      <c r="N1366" s="114"/>
      <c r="P1366" s="234"/>
      <c r="Q1366" s="240"/>
    </row>
    <row r="1367" spans="6:17" x14ac:dyDescent="0.25">
      <c r="F1367" s="134"/>
      <c r="H1367" s="114"/>
      <c r="I1367" s="114"/>
      <c r="J1367" s="114"/>
      <c r="K1367" s="114"/>
      <c r="L1367" s="114"/>
      <c r="M1367" s="114"/>
      <c r="N1367" s="114"/>
      <c r="P1367" s="234"/>
      <c r="Q1367" s="240"/>
    </row>
    <row r="1368" spans="6:17" x14ac:dyDescent="0.25">
      <c r="F1368" s="134"/>
      <c r="H1368" s="114"/>
      <c r="I1368" s="114"/>
      <c r="J1368" s="114"/>
      <c r="K1368" s="114"/>
      <c r="L1368" s="114"/>
      <c r="M1368" s="114"/>
      <c r="N1368" s="114"/>
      <c r="P1368" s="234"/>
      <c r="Q1368" s="240"/>
    </row>
    <row r="1369" spans="6:17" x14ac:dyDescent="0.25">
      <c r="F1369" s="134"/>
      <c r="H1369" s="114"/>
      <c r="I1369" s="114"/>
      <c r="J1369" s="114"/>
      <c r="K1369" s="114"/>
      <c r="L1369" s="114"/>
      <c r="M1369" s="114"/>
      <c r="N1369" s="114"/>
      <c r="P1369" s="234"/>
      <c r="Q1369" s="240"/>
    </row>
    <row r="1370" spans="6:17" x14ac:dyDescent="0.25">
      <c r="F1370" s="134"/>
      <c r="H1370" s="114"/>
      <c r="I1370" s="114"/>
      <c r="J1370" s="114"/>
      <c r="K1370" s="114"/>
      <c r="L1370" s="114"/>
      <c r="M1370" s="114"/>
      <c r="N1370" s="114"/>
      <c r="P1370" s="234"/>
      <c r="Q1370" s="240"/>
    </row>
    <row r="1371" spans="6:17" x14ac:dyDescent="0.25">
      <c r="F1371" s="134"/>
      <c r="H1371" s="114"/>
      <c r="I1371" s="114"/>
      <c r="J1371" s="114"/>
      <c r="K1371" s="114"/>
      <c r="L1371" s="114"/>
      <c r="M1371" s="114"/>
      <c r="N1371" s="114"/>
      <c r="P1371" s="234"/>
      <c r="Q1371" s="240"/>
    </row>
    <row r="1372" spans="6:17" x14ac:dyDescent="0.25">
      <c r="F1372" s="134"/>
      <c r="H1372" s="114"/>
      <c r="I1372" s="114"/>
      <c r="J1372" s="114"/>
      <c r="K1372" s="114"/>
      <c r="L1372" s="114"/>
      <c r="M1372" s="114"/>
      <c r="N1372" s="114"/>
      <c r="P1372" s="234"/>
      <c r="Q1372" s="240"/>
    </row>
    <row r="1373" spans="6:17" x14ac:dyDescent="0.25">
      <c r="F1373" s="134"/>
      <c r="H1373" s="114"/>
      <c r="I1373" s="114"/>
      <c r="J1373" s="114"/>
      <c r="K1373" s="114"/>
      <c r="L1373" s="114"/>
      <c r="M1373" s="114"/>
      <c r="N1373" s="114"/>
      <c r="P1373" s="234"/>
      <c r="Q1373" s="240"/>
    </row>
    <row r="1374" spans="6:17" x14ac:dyDescent="0.25">
      <c r="F1374" s="134"/>
      <c r="H1374" s="114"/>
      <c r="I1374" s="114"/>
      <c r="J1374" s="114"/>
      <c r="K1374" s="114"/>
      <c r="L1374" s="114"/>
      <c r="M1374" s="114"/>
      <c r="N1374" s="114"/>
      <c r="P1374" s="234"/>
      <c r="Q1374" s="240"/>
    </row>
    <row r="1375" spans="6:17" x14ac:dyDescent="0.25">
      <c r="F1375" s="134"/>
      <c r="H1375" s="114"/>
      <c r="I1375" s="114"/>
      <c r="J1375" s="114"/>
      <c r="K1375" s="114"/>
      <c r="L1375" s="114"/>
      <c r="M1375" s="114"/>
      <c r="N1375" s="114"/>
      <c r="P1375" s="234"/>
      <c r="Q1375" s="240"/>
    </row>
    <row r="1376" spans="6:17" x14ac:dyDescent="0.25">
      <c r="F1376" s="134"/>
      <c r="H1376" s="114"/>
      <c r="I1376" s="114"/>
      <c r="J1376" s="114"/>
      <c r="K1376" s="114"/>
      <c r="L1376" s="114"/>
      <c r="M1376" s="114"/>
      <c r="N1376" s="114"/>
      <c r="P1376" s="234"/>
      <c r="Q1376" s="240"/>
    </row>
    <row r="1377" spans="6:17" x14ac:dyDescent="0.25">
      <c r="F1377" s="134"/>
      <c r="H1377" s="114"/>
      <c r="I1377" s="114"/>
      <c r="J1377" s="114"/>
      <c r="K1377" s="114"/>
      <c r="L1377" s="114"/>
      <c r="M1377" s="114"/>
      <c r="N1377" s="114"/>
      <c r="P1377" s="234"/>
      <c r="Q1377" s="240"/>
    </row>
    <row r="1378" spans="6:17" x14ac:dyDescent="0.25">
      <c r="F1378" s="134"/>
      <c r="H1378" s="114"/>
      <c r="I1378" s="114"/>
      <c r="J1378" s="114"/>
      <c r="K1378" s="114"/>
      <c r="L1378" s="114"/>
      <c r="M1378" s="114"/>
      <c r="N1378" s="114"/>
      <c r="P1378" s="234"/>
      <c r="Q1378" s="240"/>
    </row>
    <row r="1379" spans="6:17" x14ac:dyDescent="0.25">
      <c r="F1379" s="134"/>
      <c r="H1379" s="114"/>
      <c r="I1379" s="114"/>
      <c r="J1379" s="114"/>
      <c r="K1379" s="114"/>
      <c r="L1379" s="114"/>
      <c r="M1379" s="114"/>
      <c r="N1379" s="114"/>
      <c r="P1379" s="234"/>
      <c r="Q1379" s="240"/>
    </row>
    <row r="1380" spans="6:17" x14ac:dyDescent="0.25">
      <c r="F1380" s="134"/>
      <c r="H1380" s="114"/>
      <c r="I1380" s="114"/>
      <c r="J1380" s="114"/>
      <c r="K1380" s="114"/>
      <c r="L1380" s="114"/>
      <c r="M1380" s="114"/>
      <c r="N1380" s="114"/>
      <c r="P1380" s="234"/>
      <c r="Q1380" s="240"/>
    </row>
    <row r="1381" spans="6:17" x14ac:dyDescent="0.25">
      <c r="F1381" s="134"/>
      <c r="H1381" s="114"/>
      <c r="I1381" s="114"/>
      <c r="J1381" s="114"/>
      <c r="K1381" s="114"/>
      <c r="L1381" s="114"/>
      <c r="M1381" s="114"/>
      <c r="N1381" s="114"/>
      <c r="P1381" s="234"/>
      <c r="Q1381" s="240"/>
    </row>
    <row r="1382" spans="6:17" x14ac:dyDescent="0.25">
      <c r="F1382" s="134"/>
      <c r="H1382" s="114"/>
      <c r="I1382" s="114"/>
      <c r="J1382" s="114"/>
      <c r="K1382" s="114"/>
      <c r="L1382" s="114"/>
      <c r="M1382" s="114"/>
      <c r="N1382" s="114"/>
      <c r="P1382" s="234"/>
      <c r="Q1382" s="240"/>
    </row>
    <row r="1383" spans="6:17" x14ac:dyDescent="0.25">
      <c r="F1383" s="134"/>
      <c r="H1383" s="114"/>
      <c r="I1383" s="114"/>
      <c r="J1383" s="114"/>
      <c r="K1383" s="114"/>
      <c r="L1383" s="114"/>
      <c r="M1383" s="114"/>
      <c r="N1383" s="114"/>
      <c r="P1383" s="234"/>
      <c r="Q1383" s="240"/>
    </row>
    <row r="1384" spans="6:17" x14ac:dyDescent="0.25">
      <c r="F1384" s="134"/>
      <c r="H1384" s="114"/>
      <c r="I1384" s="114"/>
      <c r="J1384" s="114"/>
      <c r="K1384" s="114"/>
      <c r="L1384" s="114"/>
      <c r="M1384" s="114"/>
      <c r="N1384" s="114"/>
      <c r="P1384" s="234"/>
      <c r="Q1384" s="240"/>
    </row>
    <row r="1385" spans="6:17" x14ac:dyDescent="0.25">
      <c r="F1385" s="134"/>
      <c r="H1385" s="114"/>
      <c r="I1385" s="114"/>
      <c r="J1385" s="114"/>
      <c r="K1385" s="114"/>
      <c r="L1385" s="114"/>
      <c r="M1385" s="114"/>
      <c r="N1385" s="114"/>
      <c r="P1385" s="234"/>
      <c r="Q1385" s="240"/>
    </row>
    <row r="1386" spans="6:17" x14ac:dyDescent="0.25">
      <c r="F1386" s="134"/>
      <c r="H1386" s="114"/>
      <c r="I1386" s="114"/>
      <c r="J1386" s="114"/>
      <c r="K1386" s="114"/>
      <c r="L1386" s="114"/>
      <c r="M1386" s="114"/>
      <c r="N1386" s="114"/>
      <c r="P1386" s="234"/>
      <c r="Q1386" s="240"/>
    </row>
    <row r="1387" spans="6:17" x14ac:dyDescent="0.25">
      <c r="F1387" s="134"/>
      <c r="H1387" s="114"/>
      <c r="I1387" s="114"/>
      <c r="J1387" s="114"/>
      <c r="K1387" s="114"/>
      <c r="L1387" s="114"/>
      <c r="M1387" s="114"/>
      <c r="N1387" s="114"/>
      <c r="P1387" s="234"/>
      <c r="Q1387" s="240"/>
    </row>
    <row r="1388" spans="6:17" x14ac:dyDescent="0.25">
      <c r="F1388" s="134"/>
      <c r="H1388" s="114"/>
      <c r="I1388" s="114"/>
      <c r="J1388" s="114"/>
      <c r="K1388" s="114"/>
      <c r="L1388" s="114"/>
      <c r="M1388" s="114"/>
      <c r="N1388" s="114"/>
      <c r="P1388" s="234"/>
      <c r="Q1388" s="240"/>
    </row>
    <row r="1389" spans="6:17" x14ac:dyDescent="0.25">
      <c r="F1389" s="134"/>
      <c r="H1389" s="114"/>
      <c r="I1389" s="114"/>
      <c r="J1389" s="114"/>
      <c r="K1389" s="114"/>
      <c r="L1389" s="114"/>
      <c r="M1389" s="114"/>
      <c r="N1389" s="114"/>
      <c r="P1389" s="234"/>
      <c r="Q1389" s="240"/>
    </row>
    <row r="1390" spans="6:17" x14ac:dyDescent="0.25">
      <c r="F1390" s="134"/>
      <c r="H1390" s="114"/>
      <c r="I1390" s="114"/>
      <c r="J1390" s="114"/>
      <c r="K1390" s="114"/>
      <c r="L1390" s="114"/>
      <c r="M1390" s="114"/>
      <c r="N1390" s="114"/>
      <c r="P1390" s="234"/>
      <c r="Q1390" s="240"/>
    </row>
    <row r="1391" spans="6:17" x14ac:dyDescent="0.25">
      <c r="F1391" s="134"/>
      <c r="H1391" s="114"/>
      <c r="I1391" s="114"/>
      <c r="J1391" s="114"/>
      <c r="K1391" s="114"/>
      <c r="L1391" s="114"/>
      <c r="M1391" s="114"/>
      <c r="N1391" s="114"/>
      <c r="P1391" s="234"/>
      <c r="Q1391" s="240"/>
    </row>
    <row r="1392" spans="6:17" x14ac:dyDescent="0.25">
      <c r="F1392" s="134"/>
      <c r="H1392" s="114"/>
      <c r="I1392" s="114"/>
      <c r="J1392" s="114"/>
      <c r="K1392" s="114"/>
      <c r="L1392" s="114"/>
      <c r="M1392" s="114"/>
      <c r="N1392" s="114"/>
      <c r="P1392" s="234"/>
      <c r="Q1392" s="240"/>
    </row>
    <row r="1393" spans="6:17" x14ac:dyDescent="0.25">
      <c r="F1393" s="134"/>
      <c r="H1393" s="114"/>
      <c r="I1393" s="114"/>
      <c r="J1393" s="114"/>
      <c r="K1393" s="114"/>
      <c r="L1393" s="114"/>
      <c r="M1393" s="114"/>
      <c r="N1393" s="114"/>
      <c r="P1393" s="234"/>
      <c r="Q1393" s="240"/>
    </row>
    <row r="1394" spans="6:17" x14ac:dyDescent="0.25">
      <c r="F1394" s="134"/>
      <c r="H1394" s="114"/>
      <c r="I1394" s="114"/>
      <c r="J1394" s="114"/>
      <c r="K1394" s="114"/>
      <c r="L1394" s="114"/>
      <c r="M1394" s="114"/>
      <c r="N1394" s="114"/>
      <c r="P1394" s="234"/>
      <c r="Q1394" s="240"/>
    </row>
    <row r="1395" spans="6:17" x14ac:dyDescent="0.25">
      <c r="F1395" s="134"/>
      <c r="H1395" s="114"/>
      <c r="I1395" s="114"/>
      <c r="J1395" s="114"/>
      <c r="K1395" s="114"/>
      <c r="L1395" s="114"/>
      <c r="M1395" s="114"/>
      <c r="N1395" s="114"/>
      <c r="P1395" s="234"/>
      <c r="Q1395" s="240"/>
    </row>
    <row r="1396" spans="6:17" x14ac:dyDescent="0.25">
      <c r="F1396" s="134"/>
      <c r="H1396" s="114"/>
      <c r="I1396" s="114"/>
      <c r="J1396" s="114"/>
      <c r="K1396" s="114"/>
      <c r="L1396" s="114"/>
      <c r="M1396" s="114"/>
      <c r="N1396" s="114"/>
      <c r="P1396" s="234"/>
      <c r="Q1396" s="240"/>
    </row>
    <row r="1397" spans="6:17" x14ac:dyDescent="0.25">
      <c r="F1397" s="134"/>
      <c r="H1397" s="114"/>
      <c r="I1397" s="114"/>
      <c r="J1397" s="114"/>
      <c r="K1397" s="114"/>
      <c r="L1397" s="114"/>
      <c r="M1397" s="114"/>
      <c r="N1397" s="114"/>
      <c r="P1397" s="234"/>
      <c r="Q1397" s="240"/>
    </row>
    <row r="1398" spans="6:17" x14ac:dyDescent="0.25">
      <c r="F1398" s="134"/>
      <c r="H1398" s="114"/>
      <c r="I1398" s="114"/>
      <c r="J1398" s="114"/>
      <c r="K1398" s="114"/>
      <c r="L1398" s="114"/>
      <c r="M1398" s="114"/>
      <c r="N1398" s="114"/>
      <c r="P1398" s="234"/>
      <c r="Q1398" s="240"/>
    </row>
    <row r="1399" spans="6:17" x14ac:dyDescent="0.25">
      <c r="F1399" s="134"/>
      <c r="H1399" s="114"/>
      <c r="I1399" s="114"/>
      <c r="J1399" s="114"/>
      <c r="K1399" s="114"/>
      <c r="L1399" s="114"/>
      <c r="M1399" s="114"/>
      <c r="N1399" s="114"/>
      <c r="P1399" s="234"/>
      <c r="Q1399" s="240"/>
    </row>
    <row r="1400" spans="6:17" x14ac:dyDescent="0.25">
      <c r="F1400" s="134"/>
      <c r="H1400" s="114"/>
      <c r="I1400" s="114"/>
      <c r="J1400" s="114"/>
      <c r="K1400" s="114"/>
      <c r="L1400" s="114"/>
      <c r="M1400" s="114"/>
      <c r="N1400" s="114"/>
      <c r="P1400" s="234"/>
      <c r="Q1400" s="240"/>
    </row>
    <row r="1401" spans="6:17" x14ac:dyDescent="0.25">
      <c r="F1401" s="134"/>
      <c r="H1401" s="114"/>
      <c r="I1401" s="114"/>
      <c r="J1401" s="114"/>
      <c r="K1401" s="114"/>
      <c r="L1401" s="114"/>
      <c r="M1401" s="114"/>
      <c r="N1401" s="114"/>
      <c r="P1401" s="234"/>
      <c r="Q1401" s="240"/>
    </row>
    <row r="1402" spans="6:17" x14ac:dyDescent="0.25">
      <c r="F1402" s="134"/>
      <c r="H1402" s="114"/>
      <c r="I1402" s="114"/>
      <c r="J1402" s="114"/>
      <c r="K1402" s="114"/>
      <c r="L1402" s="114"/>
      <c r="M1402" s="114"/>
      <c r="N1402" s="114"/>
      <c r="P1402" s="234"/>
      <c r="Q1402" s="240"/>
    </row>
    <row r="1403" spans="6:17" x14ac:dyDescent="0.25">
      <c r="F1403" s="134"/>
      <c r="H1403" s="114"/>
      <c r="I1403" s="114"/>
      <c r="J1403" s="114"/>
      <c r="K1403" s="114"/>
      <c r="L1403" s="114"/>
      <c r="M1403" s="114"/>
      <c r="N1403" s="114"/>
      <c r="P1403" s="234"/>
      <c r="Q1403" s="240"/>
    </row>
    <row r="1404" spans="6:17" x14ac:dyDescent="0.25">
      <c r="F1404" s="134"/>
      <c r="H1404" s="114"/>
      <c r="I1404" s="114"/>
      <c r="J1404" s="114"/>
      <c r="K1404" s="114"/>
      <c r="L1404" s="114"/>
      <c r="M1404" s="114"/>
      <c r="N1404" s="114"/>
      <c r="P1404" s="234"/>
      <c r="Q1404" s="240"/>
    </row>
    <row r="1405" spans="6:17" x14ac:dyDescent="0.25">
      <c r="F1405" s="134"/>
      <c r="H1405" s="114"/>
      <c r="I1405" s="114"/>
      <c r="J1405" s="114"/>
      <c r="K1405" s="114"/>
      <c r="L1405" s="114"/>
      <c r="M1405" s="114"/>
      <c r="N1405" s="114"/>
      <c r="P1405" s="234"/>
      <c r="Q1405" s="240"/>
    </row>
    <row r="1406" spans="6:17" x14ac:dyDescent="0.25">
      <c r="F1406" s="134"/>
      <c r="H1406" s="114"/>
      <c r="I1406" s="114"/>
      <c r="J1406" s="114"/>
      <c r="K1406" s="114"/>
      <c r="L1406" s="114"/>
      <c r="M1406" s="114"/>
      <c r="N1406" s="114"/>
      <c r="P1406" s="234"/>
      <c r="Q1406" s="240"/>
    </row>
    <row r="1407" spans="6:17" x14ac:dyDescent="0.25">
      <c r="F1407" s="134"/>
      <c r="H1407" s="114"/>
      <c r="I1407" s="114"/>
      <c r="J1407" s="114"/>
      <c r="K1407" s="114"/>
      <c r="L1407" s="114"/>
      <c r="M1407" s="114"/>
      <c r="N1407" s="114"/>
      <c r="P1407" s="234"/>
      <c r="Q1407" s="240"/>
    </row>
    <row r="1408" spans="6:17" x14ac:dyDescent="0.25">
      <c r="F1408" s="134"/>
      <c r="H1408" s="114"/>
      <c r="I1408" s="114"/>
      <c r="J1408" s="114"/>
      <c r="K1408" s="114"/>
      <c r="L1408" s="114"/>
      <c r="M1408" s="114"/>
      <c r="N1408" s="114"/>
      <c r="P1408" s="234"/>
      <c r="Q1408" s="240"/>
    </row>
    <row r="1409" spans="6:17" x14ac:dyDescent="0.25">
      <c r="F1409" s="134"/>
      <c r="H1409" s="114"/>
      <c r="I1409" s="114"/>
      <c r="J1409" s="114"/>
      <c r="K1409" s="114"/>
      <c r="L1409" s="114"/>
      <c r="M1409" s="114"/>
      <c r="N1409" s="114"/>
      <c r="P1409" s="234"/>
      <c r="Q1409" s="240"/>
    </row>
    <row r="1410" spans="6:17" x14ac:dyDescent="0.25">
      <c r="F1410" s="134"/>
      <c r="H1410" s="114"/>
      <c r="I1410" s="114"/>
      <c r="J1410" s="114"/>
      <c r="K1410" s="114"/>
      <c r="L1410" s="114"/>
      <c r="M1410" s="114"/>
      <c r="N1410" s="114"/>
      <c r="P1410" s="234"/>
      <c r="Q1410" s="240"/>
    </row>
    <row r="1411" spans="6:17" x14ac:dyDescent="0.25">
      <c r="F1411" s="134"/>
      <c r="H1411" s="114"/>
      <c r="I1411" s="114"/>
      <c r="J1411" s="114"/>
      <c r="K1411" s="114"/>
      <c r="L1411" s="114"/>
      <c r="M1411" s="114"/>
      <c r="N1411" s="114"/>
      <c r="P1411" s="234"/>
      <c r="Q1411" s="240"/>
    </row>
    <row r="1412" spans="6:17" x14ac:dyDescent="0.25">
      <c r="F1412" s="134"/>
      <c r="H1412" s="114"/>
      <c r="I1412" s="114"/>
      <c r="J1412" s="114"/>
      <c r="K1412" s="114"/>
      <c r="L1412" s="114"/>
      <c r="M1412" s="114"/>
      <c r="N1412" s="114"/>
      <c r="P1412" s="234"/>
      <c r="Q1412" s="240"/>
    </row>
    <row r="1413" spans="6:17" x14ac:dyDescent="0.25">
      <c r="F1413" s="134"/>
      <c r="H1413" s="114"/>
      <c r="I1413" s="114"/>
      <c r="J1413" s="114"/>
      <c r="K1413" s="114"/>
      <c r="L1413" s="114"/>
      <c r="M1413" s="114"/>
      <c r="N1413" s="114"/>
      <c r="P1413" s="234"/>
      <c r="Q1413" s="240"/>
    </row>
    <row r="1414" spans="6:17" x14ac:dyDescent="0.25">
      <c r="F1414" s="134"/>
      <c r="H1414" s="114"/>
      <c r="I1414" s="114"/>
      <c r="J1414" s="114"/>
      <c r="K1414" s="114"/>
      <c r="L1414" s="114"/>
      <c r="M1414" s="114"/>
      <c r="N1414" s="114"/>
      <c r="P1414" s="234"/>
      <c r="Q1414" s="240"/>
    </row>
    <row r="1415" spans="6:17" x14ac:dyDescent="0.25">
      <c r="F1415" s="134"/>
      <c r="H1415" s="114"/>
      <c r="I1415" s="114"/>
      <c r="J1415" s="114"/>
      <c r="K1415" s="114"/>
      <c r="L1415" s="114"/>
      <c r="M1415" s="114"/>
      <c r="N1415" s="114"/>
      <c r="P1415" s="234"/>
      <c r="Q1415" s="240"/>
    </row>
    <row r="1416" spans="6:17" x14ac:dyDescent="0.25">
      <c r="F1416" s="134"/>
      <c r="H1416" s="114"/>
      <c r="I1416" s="114"/>
      <c r="J1416" s="114"/>
      <c r="K1416" s="114"/>
      <c r="L1416" s="114"/>
      <c r="M1416" s="114"/>
      <c r="N1416" s="114"/>
      <c r="P1416" s="234"/>
      <c r="Q1416" s="240"/>
    </row>
    <row r="1417" spans="6:17" x14ac:dyDescent="0.25">
      <c r="F1417" s="134"/>
      <c r="H1417" s="114"/>
      <c r="I1417" s="114"/>
      <c r="J1417" s="114"/>
      <c r="K1417" s="114"/>
      <c r="L1417" s="114"/>
      <c r="M1417" s="114"/>
      <c r="N1417" s="114"/>
      <c r="P1417" s="234"/>
      <c r="Q1417" s="240"/>
    </row>
    <row r="1418" spans="6:17" x14ac:dyDescent="0.25">
      <c r="F1418" s="134"/>
      <c r="H1418" s="114"/>
      <c r="I1418" s="114"/>
      <c r="J1418" s="114"/>
      <c r="K1418" s="114"/>
      <c r="L1418" s="114"/>
      <c r="M1418" s="114"/>
      <c r="N1418" s="114"/>
      <c r="P1418" s="234"/>
      <c r="Q1418" s="240"/>
    </row>
    <row r="1419" spans="6:17" x14ac:dyDescent="0.25">
      <c r="F1419" s="134"/>
      <c r="H1419" s="114"/>
      <c r="I1419" s="114"/>
      <c r="J1419" s="114"/>
      <c r="K1419" s="114"/>
      <c r="L1419" s="114"/>
      <c r="M1419" s="114"/>
      <c r="N1419" s="114"/>
      <c r="P1419" s="234"/>
      <c r="Q1419" s="240"/>
    </row>
    <row r="1420" spans="6:17" x14ac:dyDescent="0.25">
      <c r="F1420" s="134"/>
      <c r="H1420" s="114"/>
      <c r="I1420" s="114"/>
      <c r="J1420" s="114"/>
      <c r="K1420" s="114"/>
      <c r="L1420" s="114"/>
      <c r="M1420" s="114"/>
      <c r="N1420" s="114"/>
      <c r="P1420" s="234"/>
      <c r="Q1420" s="240"/>
    </row>
    <row r="1421" spans="6:17" x14ac:dyDescent="0.25">
      <c r="F1421" s="134"/>
      <c r="H1421" s="114"/>
      <c r="I1421" s="114"/>
      <c r="J1421" s="114"/>
      <c r="K1421" s="114"/>
      <c r="L1421" s="114"/>
      <c r="M1421" s="114"/>
      <c r="N1421" s="114"/>
      <c r="P1421" s="234"/>
      <c r="Q1421" s="240"/>
    </row>
    <row r="1422" spans="6:17" x14ac:dyDescent="0.25">
      <c r="F1422" s="134"/>
      <c r="H1422" s="114"/>
      <c r="I1422" s="114"/>
      <c r="J1422" s="114"/>
      <c r="K1422" s="114"/>
      <c r="L1422" s="114"/>
      <c r="M1422" s="114"/>
      <c r="N1422" s="114"/>
      <c r="P1422" s="234"/>
      <c r="Q1422" s="240"/>
    </row>
    <row r="1423" spans="6:17" x14ac:dyDescent="0.25">
      <c r="F1423" s="134"/>
      <c r="H1423" s="114"/>
      <c r="I1423" s="114"/>
      <c r="J1423" s="114"/>
      <c r="K1423" s="114"/>
      <c r="L1423" s="114"/>
      <c r="M1423" s="114"/>
      <c r="N1423" s="114"/>
      <c r="P1423" s="234"/>
      <c r="Q1423" s="240"/>
    </row>
    <row r="1424" spans="6:17" x14ac:dyDescent="0.25">
      <c r="F1424" s="134"/>
      <c r="H1424" s="114"/>
      <c r="I1424" s="114"/>
      <c r="J1424" s="114"/>
      <c r="K1424" s="114"/>
      <c r="L1424" s="114"/>
      <c r="M1424" s="114"/>
      <c r="N1424" s="114"/>
      <c r="P1424" s="234"/>
      <c r="Q1424" s="240"/>
    </row>
    <row r="1425" spans="6:17" x14ac:dyDescent="0.25">
      <c r="F1425" s="134"/>
      <c r="H1425" s="114"/>
      <c r="I1425" s="114"/>
      <c r="J1425" s="114"/>
      <c r="K1425" s="114"/>
      <c r="L1425" s="114"/>
      <c r="M1425" s="114"/>
      <c r="N1425" s="114"/>
      <c r="P1425" s="234"/>
      <c r="Q1425" s="240"/>
    </row>
    <row r="1426" spans="6:17" x14ac:dyDescent="0.25">
      <c r="F1426" s="134"/>
      <c r="H1426" s="114"/>
      <c r="I1426" s="114"/>
      <c r="J1426" s="114"/>
      <c r="K1426" s="114"/>
      <c r="L1426" s="114"/>
      <c r="M1426" s="114"/>
      <c r="N1426" s="114"/>
      <c r="P1426" s="234"/>
      <c r="Q1426" s="240"/>
    </row>
    <row r="1427" spans="6:17" x14ac:dyDescent="0.25">
      <c r="F1427" s="134"/>
      <c r="H1427" s="114"/>
      <c r="I1427" s="114"/>
      <c r="J1427" s="114"/>
      <c r="K1427" s="114"/>
      <c r="L1427" s="114"/>
      <c r="M1427" s="114"/>
      <c r="N1427" s="114"/>
      <c r="P1427" s="234"/>
      <c r="Q1427" s="240"/>
    </row>
    <row r="1428" spans="6:17" x14ac:dyDescent="0.25">
      <c r="F1428" s="134"/>
      <c r="H1428" s="114"/>
      <c r="I1428" s="114"/>
      <c r="J1428" s="114"/>
      <c r="K1428" s="114"/>
      <c r="L1428" s="114"/>
      <c r="M1428" s="114"/>
      <c r="N1428" s="114"/>
      <c r="P1428" s="234"/>
      <c r="Q1428" s="240"/>
    </row>
    <row r="1429" spans="6:17" x14ac:dyDescent="0.25">
      <c r="F1429" s="134"/>
      <c r="H1429" s="114"/>
      <c r="I1429" s="114"/>
      <c r="J1429" s="114"/>
      <c r="K1429" s="114"/>
      <c r="L1429" s="114"/>
      <c r="M1429" s="114"/>
      <c r="N1429" s="114"/>
      <c r="P1429" s="234"/>
      <c r="Q1429" s="240"/>
    </row>
    <row r="1430" spans="6:17" x14ac:dyDescent="0.25">
      <c r="F1430" s="134"/>
      <c r="H1430" s="114"/>
      <c r="I1430" s="114"/>
      <c r="J1430" s="114"/>
      <c r="K1430" s="114"/>
      <c r="L1430" s="114"/>
      <c r="M1430" s="114"/>
      <c r="N1430" s="114"/>
      <c r="P1430" s="234"/>
      <c r="Q1430" s="240"/>
    </row>
    <row r="1431" spans="6:17" x14ac:dyDescent="0.25">
      <c r="F1431" s="134"/>
      <c r="H1431" s="114"/>
      <c r="I1431" s="114"/>
      <c r="J1431" s="114"/>
      <c r="K1431" s="114"/>
      <c r="L1431" s="114"/>
      <c r="M1431" s="114"/>
      <c r="N1431" s="114"/>
      <c r="P1431" s="234"/>
      <c r="Q1431" s="240"/>
    </row>
    <row r="1432" spans="6:17" x14ac:dyDescent="0.25">
      <c r="F1432" s="134"/>
      <c r="H1432" s="114"/>
      <c r="I1432" s="114"/>
      <c r="J1432" s="114"/>
      <c r="K1432" s="114"/>
      <c r="L1432" s="114"/>
      <c r="M1432" s="114"/>
      <c r="N1432" s="114"/>
      <c r="P1432" s="234"/>
      <c r="Q1432" s="240"/>
    </row>
    <row r="1433" spans="6:17" x14ac:dyDescent="0.25">
      <c r="F1433" s="134"/>
      <c r="H1433" s="114"/>
      <c r="I1433" s="114"/>
      <c r="J1433" s="114"/>
      <c r="K1433" s="114"/>
      <c r="L1433" s="114"/>
      <c r="M1433" s="114"/>
      <c r="N1433" s="114"/>
      <c r="P1433" s="234"/>
      <c r="Q1433" s="240"/>
    </row>
    <row r="1434" spans="6:17" x14ac:dyDescent="0.25">
      <c r="F1434" s="134"/>
      <c r="H1434" s="114"/>
      <c r="I1434" s="114"/>
      <c r="J1434" s="114"/>
      <c r="K1434" s="114"/>
      <c r="L1434" s="114"/>
      <c r="M1434" s="114"/>
      <c r="N1434" s="114"/>
      <c r="P1434" s="234"/>
      <c r="Q1434" s="240"/>
    </row>
    <row r="1435" spans="6:17" x14ac:dyDescent="0.25">
      <c r="F1435" s="134"/>
      <c r="H1435" s="114"/>
      <c r="I1435" s="114"/>
      <c r="J1435" s="114"/>
      <c r="K1435" s="114"/>
      <c r="L1435" s="114"/>
      <c r="M1435" s="114"/>
      <c r="N1435" s="114"/>
      <c r="P1435" s="234"/>
      <c r="Q1435" s="240"/>
    </row>
    <row r="1436" spans="6:17" x14ac:dyDescent="0.25">
      <c r="F1436" s="134"/>
      <c r="H1436" s="114"/>
      <c r="I1436" s="114"/>
      <c r="J1436" s="114"/>
      <c r="K1436" s="114"/>
      <c r="L1436" s="114"/>
      <c r="M1436" s="114"/>
      <c r="N1436" s="114"/>
      <c r="P1436" s="234"/>
      <c r="Q1436" s="240"/>
    </row>
    <row r="1437" spans="6:17" x14ac:dyDescent="0.25">
      <c r="F1437" s="134"/>
      <c r="H1437" s="114"/>
      <c r="I1437" s="114"/>
      <c r="J1437" s="114"/>
      <c r="K1437" s="114"/>
      <c r="L1437" s="114"/>
      <c r="M1437" s="114"/>
      <c r="N1437" s="114"/>
      <c r="P1437" s="234"/>
      <c r="Q1437" s="240"/>
    </row>
    <row r="1438" spans="6:17" x14ac:dyDescent="0.25">
      <c r="F1438" s="134"/>
      <c r="H1438" s="114"/>
      <c r="I1438" s="114"/>
      <c r="J1438" s="114"/>
      <c r="K1438" s="114"/>
      <c r="L1438" s="114"/>
      <c r="M1438" s="114"/>
      <c r="N1438" s="114"/>
      <c r="P1438" s="234"/>
      <c r="Q1438" s="240"/>
    </row>
    <row r="1439" spans="6:17" x14ac:dyDescent="0.25">
      <c r="F1439" s="134"/>
      <c r="H1439" s="114"/>
      <c r="I1439" s="114"/>
      <c r="J1439" s="114"/>
      <c r="K1439" s="114"/>
      <c r="L1439" s="114"/>
      <c r="M1439" s="114"/>
      <c r="N1439" s="114"/>
      <c r="P1439" s="234"/>
      <c r="Q1439" s="240"/>
    </row>
    <row r="1440" spans="6:17" x14ac:dyDescent="0.25">
      <c r="F1440" s="134"/>
      <c r="H1440" s="114"/>
      <c r="I1440" s="114"/>
      <c r="J1440" s="114"/>
      <c r="K1440" s="114"/>
      <c r="L1440" s="114"/>
      <c r="M1440" s="114"/>
      <c r="N1440" s="114"/>
      <c r="P1440" s="234"/>
      <c r="Q1440" s="240"/>
    </row>
    <row r="1441" spans="6:17" x14ac:dyDescent="0.25">
      <c r="F1441" s="134"/>
      <c r="H1441" s="114"/>
      <c r="I1441" s="114"/>
      <c r="J1441" s="114"/>
      <c r="K1441" s="114"/>
      <c r="L1441" s="114"/>
      <c r="M1441" s="114"/>
      <c r="N1441" s="114"/>
      <c r="P1441" s="234"/>
      <c r="Q1441" s="240"/>
    </row>
    <row r="1442" spans="6:17" x14ac:dyDescent="0.25">
      <c r="F1442" s="134"/>
      <c r="H1442" s="114"/>
      <c r="I1442" s="114"/>
      <c r="J1442" s="114"/>
      <c r="K1442" s="114"/>
      <c r="L1442" s="114"/>
      <c r="M1442" s="114"/>
      <c r="N1442" s="114"/>
      <c r="P1442" s="234"/>
      <c r="Q1442" s="240"/>
    </row>
    <row r="1443" spans="6:17" x14ac:dyDescent="0.25">
      <c r="F1443" s="134"/>
      <c r="H1443" s="114"/>
      <c r="I1443" s="114"/>
      <c r="J1443" s="114"/>
      <c r="K1443" s="114"/>
      <c r="L1443" s="114"/>
      <c r="M1443" s="114"/>
      <c r="N1443" s="114"/>
      <c r="P1443" s="234"/>
      <c r="Q1443" s="240"/>
    </row>
    <row r="1444" spans="6:17" x14ac:dyDescent="0.25">
      <c r="F1444" s="134"/>
      <c r="H1444" s="114"/>
      <c r="I1444" s="114"/>
      <c r="J1444" s="114"/>
      <c r="K1444" s="114"/>
      <c r="L1444" s="114"/>
      <c r="M1444" s="114"/>
      <c r="N1444" s="114"/>
      <c r="P1444" s="234"/>
      <c r="Q1444" s="240"/>
    </row>
    <row r="1445" spans="6:17" x14ac:dyDescent="0.25">
      <c r="F1445" s="134"/>
      <c r="H1445" s="114"/>
      <c r="I1445" s="114"/>
      <c r="J1445" s="114"/>
      <c r="K1445" s="114"/>
      <c r="L1445" s="114"/>
      <c r="M1445" s="114"/>
      <c r="N1445" s="114"/>
      <c r="P1445" s="234"/>
      <c r="Q1445" s="240"/>
    </row>
    <row r="1446" spans="6:17" x14ac:dyDescent="0.25">
      <c r="F1446" s="134"/>
      <c r="H1446" s="114"/>
      <c r="I1446" s="114"/>
      <c r="J1446" s="114"/>
      <c r="K1446" s="114"/>
      <c r="L1446" s="114"/>
      <c r="M1446" s="114"/>
      <c r="N1446" s="114"/>
      <c r="P1446" s="234"/>
      <c r="Q1446" s="240"/>
    </row>
    <row r="1447" spans="6:17" x14ac:dyDescent="0.25">
      <c r="F1447" s="134"/>
      <c r="H1447" s="114"/>
      <c r="I1447" s="114"/>
      <c r="J1447" s="114"/>
      <c r="K1447" s="114"/>
      <c r="L1447" s="114"/>
      <c r="M1447" s="114"/>
      <c r="N1447" s="114"/>
      <c r="P1447" s="234"/>
      <c r="Q1447" s="240"/>
    </row>
    <row r="1448" spans="6:17" x14ac:dyDescent="0.25">
      <c r="F1448" s="134"/>
      <c r="H1448" s="114"/>
      <c r="I1448" s="114"/>
      <c r="J1448" s="114"/>
      <c r="K1448" s="114"/>
      <c r="L1448" s="114"/>
      <c r="M1448" s="114"/>
      <c r="N1448" s="114"/>
      <c r="P1448" s="234"/>
      <c r="Q1448" s="240"/>
    </row>
    <row r="1449" spans="6:17" x14ac:dyDescent="0.25">
      <c r="F1449" s="134"/>
      <c r="H1449" s="114"/>
      <c r="I1449" s="114"/>
      <c r="J1449" s="114"/>
      <c r="K1449" s="114"/>
      <c r="L1449" s="114"/>
      <c r="M1449" s="114"/>
      <c r="N1449" s="114"/>
      <c r="P1449" s="234"/>
      <c r="Q1449" s="240"/>
    </row>
    <row r="1450" spans="6:17" x14ac:dyDescent="0.25">
      <c r="F1450" s="134"/>
      <c r="H1450" s="114"/>
      <c r="I1450" s="114"/>
      <c r="J1450" s="114"/>
      <c r="K1450" s="114"/>
      <c r="L1450" s="114"/>
      <c r="M1450" s="114"/>
      <c r="N1450" s="114"/>
      <c r="P1450" s="234"/>
      <c r="Q1450" s="240"/>
    </row>
    <row r="1451" spans="6:17" x14ac:dyDescent="0.25">
      <c r="F1451" s="134"/>
      <c r="H1451" s="114"/>
      <c r="I1451" s="114"/>
      <c r="J1451" s="114"/>
      <c r="K1451" s="114"/>
      <c r="L1451" s="114"/>
      <c r="M1451" s="114"/>
      <c r="N1451" s="114"/>
      <c r="P1451" s="234"/>
      <c r="Q1451" s="240"/>
    </row>
    <row r="1452" spans="6:17" x14ac:dyDescent="0.25">
      <c r="F1452" s="134"/>
      <c r="H1452" s="114"/>
      <c r="I1452" s="114"/>
      <c r="J1452" s="114"/>
      <c r="K1452" s="114"/>
      <c r="L1452" s="114"/>
      <c r="M1452" s="114"/>
      <c r="N1452" s="114"/>
      <c r="P1452" s="234"/>
      <c r="Q1452" s="240"/>
    </row>
    <row r="1453" spans="6:17" x14ac:dyDescent="0.25">
      <c r="F1453" s="134"/>
      <c r="H1453" s="114"/>
      <c r="I1453" s="114"/>
      <c r="J1453" s="114"/>
      <c r="K1453" s="114"/>
      <c r="L1453" s="114"/>
      <c r="M1453" s="114"/>
      <c r="N1453" s="114"/>
      <c r="P1453" s="234"/>
      <c r="Q1453" s="240"/>
    </row>
    <row r="1454" spans="6:17" x14ac:dyDescent="0.25">
      <c r="F1454" s="134"/>
      <c r="H1454" s="114"/>
      <c r="I1454" s="114"/>
      <c r="J1454" s="114"/>
      <c r="K1454" s="114"/>
      <c r="L1454" s="114"/>
      <c r="M1454" s="114"/>
      <c r="N1454" s="114"/>
      <c r="P1454" s="234"/>
      <c r="Q1454" s="240"/>
    </row>
    <row r="1455" spans="6:17" x14ac:dyDescent="0.25">
      <c r="F1455" s="134"/>
      <c r="H1455" s="114"/>
      <c r="I1455" s="114"/>
      <c r="J1455" s="114"/>
      <c r="K1455" s="114"/>
      <c r="L1455" s="114"/>
      <c r="M1455" s="114"/>
      <c r="N1455" s="114"/>
      <c r="P1455" s="234"/>
      <c r="Q1455" s="240"/>
    </row>
    <row r="1456" spans="6:17" x14ac:dyDescent="0.25">
      <c r="F1456" s="134"/>
      <c r="H1456" s="114"/>
      <c r="I1456" s="114"/>
      <c r="J1456" s="114"/>
      <c r="K1456" s="114"/>
      <c r="L1456" s="114"/>
      <c r="M1456" s="114"/>
      <c r="N1456" s="114"/>
      <c r="P1456" s="234"/>
      <c r="Q1456" s="240"/>
    </row>
    <row r="1457" spans="6:17" x14ac:dyDescent="0.25">
      <c r="F1457" s="134"/>
      <c r="H1457" s="114"/>
      <c r="I1457" s="114"/>
      <c r="J1457" s="114"/>
      <c r="K1457" s="114"/>
      <c r="L1457" s="114"/>
      <c r="M1457" s="114"/>
      <c r="N1457" s="114"/>
      <c r="P1457" s="234"/>
      <c r="Q1457" s="240"/>
    </row>
    <row r="1458" spans="6:17" x14ac:dyDescent="0.25">
      <c r="F1458" s="134"/>
      <c r="H1458" s="114"/>
      <c r="I1458" s="114"/>
      <c r="J1458" s="114"/>
      <c r="K1458" s="114"/>
      <c r="L1458" s="114"/>
      <c r="M1458" s="114"/>
      <c r="N1458" s="114"/>
      <c r="P1458" s="234"/>
      <c r="Q1458" s="240"/>
    </row>
    <row r="1459" spans="6:17" x14ac:dyDescent="0.25">
      <c r="F1459" s="134"/>
      <c r="H1459" s="114"/>
      <c r="I1459" s="114"/>
      <c r="J1459" s="114"/>
      <c r="K1459" s="114"/>
      <c r="L1459" s="114"/>
      <c r="M1459" s="114"/>
      <c r="N1459" s="114"/>
      <c r="P1459" s="234"/>
      <c r="Q1459" s="240"/>
    </row>
    <row r="1460" spans="6:17" x14ac:dyDescent="0.25">
      <c r="F1460" s="134"/>
      <c r="H1460" s="114"/>
      <c r="I1460" s="114"/>
      <c r="J1460" s="114"/>
      <c r="K1460" s="114"/>
      <c r="L1460" s="114"/>
      <c r="M1460" s="114"/>
      <c r="N1460" s="114"/>
      <c r="P1460" s="234"/>
      <c r="Q1460" s="240"/>
    </row>
    <row r="1461" spans="6:17" x14ac:dyDescent="0.25">
      <c r="F1461" s="134"/>
      <c r="H1461" s="114"/>
      <c r="I1461" s="114"/>
      <c r="J1461" s="114"/>
      <c r="K1461" s="114"/>
      <c r="L1461" s="114"/>
      <c r="M1461" s="114"/>
      <c r="N1461" s="114"/>
      <c r="P1461" s="234"/>
      <c r="Q1461" s="240"/>
    </row>
    <row r="1462" spans="6:17" x14ac:dyDescent="0.25">
      <c r="F1462" s="134"/>
      <c r="H1462" s="114"/>
      <c r="I1462" s="114"/>
      <c r="J1462" s="114"/>
      <c r="K1462" s="114"/>
      <c r="L1462" s="114"/>
      <c r="M1462" s="114"/>
      <c r="N1462" s="114"/>
      <c r="P1462" s="234"/>
      <c r="Q1462" s="240"/>
    </row>
    <row r="1463" spans="6:17" x14ac:dyDescent="0.25">
      <c r="F1463" s="134"/>
      <c r="H1463" s="114"/>
      <c r="I1463" s="114"/>
      <c r="J1463" s="114"/>
      <c r="K1463" s="114"/>
      <c r="L1463" s="114"/>
      <c r="M1463" s="114"/>
      <c r="N1463" s="114"/>
      <c r="P1463" s="234"/>
      <c r="Q1463" s="240"/>
    </row>
    <row r="1464" spans="6:17" x14ac:dyDescent="0.25">
      <c r="F1464" s="134"/>
      <c r="H1464" s="114"/>
      <c r="I1464" s="114"/>
      <c r="J1464" s="114"/>
      <c r="K1464" s="114"/>
      <c r="L1464" s="114"/>
      <c r="M1464" s="114"/>
      <c r="N1464" s="114"/>
      <c r="P1464" s="234"/>
      <c r="Q1464" s="240"/>
    </row>
    <row r="1465" spans="6:17" x14ac:dyDescent="0.25">
      <c r="F1465" s="134"/>
      <c r="H1465" s="114"/>
      <c r="I1465" s="114"/>
      <c r="J1465" s="114"/>
      <c r="K1465" s="114"/>
      <c r="L1465" s="114"/>
      <c r="M1465" s="114"/>
      <c r="N1465" s="114"/>
      <c r="P1465" s="234"/>
      <c r="Q1465" s="240"/>
    </row>
    <row r="1466" spans="6:17" x14ac:dyDescent="0.25">
      <c r="F1466" s="134"/>
      <c r="H1466" s="114"/>
      <c r="I1466" s="114"/>
      <c r="J1466" s="114"/>
      <c r="K1466" s="114"/>
      <c r="L1466" s="114"/>
      <c r="M1466" s="114"/>
      <c r="N1466" s="114"/>
      <c r="P1466" s="234"/>
      <c r="Q1466" s="240"/>
    </row>
    <row r="1467" spans="6:17" x14ac:dyDescent="0.25">
      <c r="F1467" s="134"/>
      <c r="H1467" s="114"/>
      <c r="I1467" s="114"/>
      <c r="J1467" s="114"/>
      <c r="K1467" s="114"/>
      <c r="L1467" s="114"/>
      <c r="M1467" s="114"/>
      <c r="N1467" s="114"/>
      <c r="P1467" s="234"/>
      <c r="Q1467" s="240"/>
    </row>
    <row r="1468" spans="6:17" x14ac:dyDescent="0.25">
      <c r="F1468" s="134"/>
      <c r="H1468" s="114"/>
      <c r="I1468" s="114"/>
      <c r="J1468" s="114"/>
      <c r="K1468" s="114"/>
      <c r="L1468" s="114"/>
      <c r="M1468" s="114"/>
      <c r="N1468" s="114"/>
      <c r="P1468" s="234"/>
      <c r="Q1468" s="240"/>
    </row>
    <row r="1469" spans="6:17" x14ac:dyDescent="0.25">
      <c r="F1469" s="134"/>
      <c r="H1469" s="114"/>
      <c r="I1469" s="114"/>
      <c r="J1469" s="114"/>
      <c r="K1469" s="114"/>
      <c r="L1469" s="114"/>
      <c r="M1469" s="114"/>
      <c r="N1469" s="114"/>
      <c r="P1469" s="234"/>
      <c r="Q1469" s="240"/>
    </row>
    <row r="1470" spans="6:17" x14ac:dyDescent="0.25">
      <c r="F1470" s="134"/>
      <c r="H1470" s="114"/>
      <c r="I1470" s="114"/>
      <c r="J1470" s="114"/>
      <c r="K1470" s="114"/>
      <c r="L1470" s="114"/>
      <c r="M1470" s="114"/>
      <c r="N1470" s="114"/>
      <c r="P1470" s="234"/>
      <c r="Q1470" s="240"/>
    </row>
    <row r="1471" spans="6:17" x14ac:dyDescent="0.25">
      <c r="F1471" s="134"/>
      <c r="H1471" s="114"/>
      <c r="I1471" s="114"/>
      <c r="J1471" s="114"/>
      <c r="K1471" s="114"/>
      <c r="L1471" s="114"/>
      <c r="M1471" s="114"/>
      <c r="N1471" s="114"/>
      <c r="P1471" s="234"/>
      <c r="Q1471" s="240"/>
    </row>
    <row r="1472" spans="6:17" x14ac:dyDescent="0.25">
      <c r="F1472" s="134"/>
      <c r="H1472" s="114"/>
      <c r="I1472" s="114"/>
      <c r="J1472" s="114"/>
      <c r="K1472" s="114"/>
      <c r="L1472" s="114"/>
      <c r="M1472" s="114"/>
      <c r="N1472" s="114"/>
      <c r="P1472" s="234"/>
      <c r="Q1472" s="240"/>
    </row>
    <row r="1473" spans="6:17" x14ac:dyDescent="0.25">
      <c r="F1473" s="134"/>
      <c r="H1473" s="114"/>
      <c r="I1473" s="114"/>
      <c r="J1473" s="114"/>
      <c r="K1473" s="114"/>
      <c r="L1473" s="114"/>
      <c r="M1473" s="114"/>
      <c r="N1473" s="114"/>
      <c r="P1473" s="234"/>
      <c r="Q1473" s="240"/>
    </row>
    <row r="1474" spans="6:17" x14ac:dyDescent="0.25">
      <c r="F1474" s="134"/>
      <c r="H1474" s="114"/>
      <c r="I1474" s="114"/>
      <c r="J1474" s="114"/>
      <c r="K1474" s="114"/>
      <c r="L1474" s="114"/>
      <c r="M1474" s="114"/>
      <c r="N1474" s="114"/>
      <c r="P1474" s="234"/>
      <c r="Q1474" s="240"/>
    </row>
    <row r="1475" spans="6:17" x14ac:dyDescent="0.25">
      <c r="F1475" s="134"/>
      <c r="H1475" s="114"/>
      <c r="I1475" s="114"/>
      <c r="J1475" s="114"/>
      <c r="K1475" s="114"/>
      <c r="L1475" s="114"/>
      <c r="M1475" s="114"/>
      <c r="N1475" s="114"/>
      <c r="P1475" s="234"/>
      <c r="Q1475" s="240"/>
    </row>
    <row r="1476" spans="6:17" x14ac:dyDescent="0.25">
      <c r="F1476" s="134"/>
      <c r="H1476" s="114"/>
      <c r="I1476" s="114"/>
      <c r="J1476" s="114"/>
      <c r="K1476" s="114"/>
      <c r="L1476" s="114"/>
      <c r="M1476" s="114"/>
      <c r="N1476" s="114"/>
      <c r="P1476" s="234"/>
      <c r="Q1476" s="240"/>
    </row>
    <row r="1477" spans="6:17" x14ac:dyDescent="0.25">
      <c r="F1477" s="134"/>
      <c r="H1477" s="114"/>
      <c r="I1477" s="114"/>
      <c r="J1477" s="114"/>
      <c r="K1477" s="114"/>
      <c r="L1477" s="114"/>
      <c r="M1477" s="114"/>
      <c r="N1477" s="114"/>
      <c r="P1477" s="234"/>
      <c r="Q1477" s="240"/>
    </row>
    <row r="1478" spans="6:17" x14ac:dyDescent="0.25">
      <c r="F1478" s="134"/>
      <c r="H1478" s="114"/>
      <c r="I1478" s="114"/>
      <c r="J1478" s="114"/>
      <c r="K1478" s="114"/>
      <c r="L1478" s="114"/>
      <c r="M1478" s="114"/>
      <c r="N1478" s="114"/>
      <c r="P1478" s="234"/>
      <c r="Q1478" s="240"/>
    </row>
    <row r="1479" spans="6:17" x14ac:dyDescent="0.25">
      <c r="F1479" s="134"/>
      <c r="H1479" s="114"/>
      <c r="I1479" s="114"/>
      <c r="J1479" s="114"/>
      <c r="K1479" s="114"/>
      <c r="L1479" s="114"/>
      <c r="M1479" s="114"/>
      <c r="N1479" s="114"/>
      <c r="P1479" s="234"/>
      <c r="Q1479" s="240"/>
    </row>
    <row r="1480" spans="6:17" x14ac:dyDescent="0.25">
      <c r="F1480" s="134"/>
      <c r="H1480" s="114"/>
      <c r="I1480" s="114"/>
      <c r="J1480" s="114"/>
      <c r="K1480" s="114"/>
      <c r="L1480" s="114"/>
      <c r="M1480" s="114"/>
      <c r="N1480" s="114"/>
      <c r="P1480" s="234"/>
      <c r="Q1480" s="240"/>
    </row>
    <row r="1481" spans="6:17" x14ac:dyDescent="0.25">
      <c r="F1481" s="134"/>
      <c r="H1481" s="114"/>
      <c r="I1481" s="114"/>
      <c r="J1481" s="114"/>
      <c r="K1481" s="114"/>
      <c r="L1481" s="114"/>
      <c r="M1481" s="114"/>
      <c r="N1481" s="114"/>
      <c r="P1481" s="234"/>
      <c r="Q1481" s="240"/>
    </row>
    <row r="1482" spans="6:17" x14ac:dyDescent="0.25">
      <c r="F1482" s="134"/>
      <c r="H1482" s="114"/>
      <c r="I1482" s="114"/>
      <c r="J1482" s="114"/>
      <c r="K1482" s="114"/>
      <c r="L1482" s="114"/>
      <c r="M1482" s="114"/>
      <c r="N1482" s="114"/>
      <c r="P1482" s="234"/>
      <c r="Q1482" s="240"/>
    </row>
    <row r="1483" spans="6:17" x14ac:dyDescent="0.25">
      <c r="F1483" s="134"/>
      <c r="H1483" s="114"/>
      <c r="I1483" s="114"/>
      <c r="J1483" s="114"/>
      <c r="K1483" s="114"/>
      <c r="L1483" s="114"/>
      <c r="M1483" s="114"/>
      <c r="N1483" s="114"/>
      <c r="P1483" s="234"/>
      <c r="Q1483" s="240"/>
    </row>
    <row r="1484" spans="6:17" x14ac:dyDescent="0.25">
      <c r="F1484" s="134"/>
      <c r="H1484" s="114"/>
      <c r="I1484" s="114"/>
      <c r="J1484" s="114"/>
      <c r="K1484" s="114"/>
      <c r="L1484" s="114"/>
      <c r="M1484" s="114"/>
      <c r="N1484" s="114"/>
      <c r="P1484" s="234"/>
      <c r="Q1484" s="240"/>
    </row>
    <row r="1485" spans="6:17" x14ac:dyDescent="0.25">
      <c r="F1485" s="134"/>
      <c r="H1485" s="114"/>
      <c r="I1485" s="114"/>
      <c r="J1485" s="114"/>
      <c r="K1485" s="114"/>
      <c r="L1485" s="114"/>
      <c r="M1485" s="114"/>
      <c r="N1485" s="114"/>
      <c r="P1485" s="234"/>
      <c r="Q1485" s="240"/>
    </row>
    <row r="1486" spans="6:17" x14ac:dyDescent="0.25">
      <c r="F1486" s="134"/>
      <c r="H1486" s="114"/>
      <c r="I1486" s="114"/>
      <c r="J1486" s="114"/>
      <c r="K1486" s="114"/>
      <c r="L1486" s="114"/>
      <c r="M1486" s="114"/>
      <c r="N1486" s="114"/>
      <c r="P1486" s="234"/>
      <c r="Q1486" s="240"/>
    </row>
    <row r="1487" spans="6:17" x14ac:dyDescent="0.25">
      <c r="F1487" s="134"/>
      <c r="H1487" s="114"/>
      <c r="I1487" s="114"/>
      <c r="J1487" s="114"/>
      <c r="K1487" s="114"/>
      <c r="L1487" s="114"/>
      <c r="M1487" s="114"/>
      <c r="N1487" s="114"/>
      <c r="P1487" s="234"/>
      <c r="Q1487" s="240"/>
    </row>
    <row r="1488" spans="6:17" x14ac:dyDescent="0.25">
      <c r="F1488" s="134"/>
      <c r="H1488" s="114"/>
      <c r="I1488" s="114"/>
      <c r="J1488" s="114"/>
      <c r="K1488" s="114"/>
      <c r="L1488" s="114"/>
      <c r="M1488" s="114"/>
      <c r="N1488" s="114"/>
      <c r="P1488" s="234"/>
      <c r="Q1488" s="240"/>
    </row>
    <row r="1489" spans="6:17" x14ac:dyDescent="0.25">
      <c r="F1489" s="134"/>
      <c r="H1489" s="114"/>
      <c r="I1489" s="114"/>
      <c r="J1489" s="114"/>
      <c r="K1489" s="114"/>
      <c r="L1489" s="114"/>
      <c r="M1489" s="114"/>
      <c r="N1489" s="114"/>
      <c r="P1489" s="234"/>
      <c r="Q1489" s="240"/>
    </row>
    <row r="1490" spans="6:17" x14ac:dyDescent="0.25">
      <c r="F1490" s="134"/>
      <c r="H1490" s="114"/>
      <c r="I1490" s="114"/>
      <c r="J1490" s="114"/>
      <c r="K1490" s="114"/>
      <c r="L1490" s="114"/>
      <c r="M1490" s="114"/>
      <c r="N1490" s="114"/>
      <c r="P1490" s="234"/>
      <c r="Q1490" s="240"/>
    </row>
    <row r="1491" spans="6:17" x14ac:dyDescent="0.25">
      <c r="F1491" s="134"/>
      <c r="H1491" s="114"/>
      <c r="I1491" s="114"/>
      <c r="J1491" s="114"/>
      <c r="K1491" s="114"/>
      <c r="L1491" s="114"/>
      <c r="M1491" s="114"/>
      <c r="N1491" s="114"/>
      <c r="P1491" s="234"/>
      <c r="Q1491" s="240"/>
    </row>
    <row r="1492" spans="6:17" x14ac:dyDescent="0.25">
      <c r="F1492" s="134"/>
      <c r="H1492" s="114"/>
      <c r="I1492" s="114"/>
      <c r="J1492" s="114"/>
      <c r="K1492" s="114"/>
      <c r="L1492" s="114"/>
      <c r="M1492" s="114"/>
      <c r="N1492" s="114"/>
      <c r="P1492" s="234"/>
      <c r="Q1492" s="240"/>
    </row>
    <row r="1493" spans="6:17" x14ac:dyDescent="0.25">
      <c r="F1493" s="134"/>
      <c r="H1493" s="114"/>
      <c r="I1493" s="114"/>
      <c r="J1493" s="114"/>
      <c r="K1493" s="114"/>
      <c r="L1493" s="114"/>
      <c r="M1493" s="114"/>
      <c r="N1493" s="114"/>
      <c r="P1493" s="234"/>
      <c r="Q1493" s="240"/>
    </row>
    <row r="1494" spans="6:17" x14ac:dyDescent="0.25">
      <c r="F1494" s="134"/>
      <c r="H1494" s="114"/>
      <c r="I1494" s="114"/>
      <c r="J1494" s="114"/>
      <c r="K1494" s="114"/>
      <c r="L1494" s="114"/>
      <c r="M1494" s="114"/>
      <c r="N1494" s="114"/>
      <c r="P1494" s="234"/>
      <c r="Q1494" s="240"/>
    </row>
    <row r="1495" spans="6:17" x14ac:dyDescent="0.25">
      <c r="F1495" s="134"/>
      <c r="H1495" s="114"/>
      <c r="I1495" s="114"/>
      <c r="J1495" s="114"/>
      <c r="K1495" s="114"/>
      <c r="L1495" s="114"/>
      <c r="M1495" s="114"/>
      <c r="N1495" s="114"/>
      <c r="P1495" s="234"/>
      <c r="Q1495" s="240"/>
    </row>
    <row r="1496" spans="6:17" x14ac:dyDescent="0.25">
      <c r="F1496" s="134"/>
      <c r="H1496" s="114"/>
      <c r="I1496" s="114"/>
      <c r="J1496" s="114"/>
      <c r="K1496" s="114"/>
      <c r="L1496" s="114"/>
      <c r="M1496" s="114"/>
      <c r="N1496" s="114"/>
      <c r="P1496" s="234"/>
      <c r="Q1496" s="240"/>
    </row>
    <row r="1497" spans="6:17" x14ac:dyDescent="0.25">
      <c r="F1497" s="134"/>
      <c r="H1497" s="114"/>
      <c r="I1497" s="114"/>
      <c r="J1497" s="114"/>
      <c r="K1497" s="114"/>
      <c r="L1497" s="114"/>
      <c r="M1497" s="114"/>
      <c r="N1497" s="114"/>
      <c r="P1497" s="234"/>
      <c r="Q1497" s="240"/>
    </row>
    <row r="1498" spans="6:17" x14ac:dyDescent="0.25">
      <c r="F1498" s="134"/>
      <c r="H1498" s="114"/>
      <c r="I1498" s="114"/>
      <c r="J1498" s="114"/>
      <c r="K1498" s="114"/>
      <c r="L1498" s="114"/>
      <c r="M1498" s="114"/>
      <c r="N1498" s="114"/>
      <c r="P1498" s="234"/>
      <c r="Q1498" s="240"/>
    </row>
    <row r="1499" spans="6:17" x14ac:dyDescent="0.25">
      <c r="F1499" s="134"/>
      <c r="H1499" s="114"/>
      <c r="I1499" s="114"/>
      <c r="J1499" s="114"/>
      <c r="K1499" s="114"/>
      <c r="L1499" s="114"/>
      <c r="M1499" s="114"/>
      <c r="N1499" s="114"/>
      <c r="P1499" s="234"/>
      <c r="Q1499" s="240"/>
    </row>
    <row r="1500" spans="6:17" x14ac:dyDescent="0.25">
      <c r="F1500" s="134"/>
      <c r="H1500" s="114"/>
      <c r="I1500" s="114"/>
      <c r="J1500" s="114"/>
      <c r="K1500" s="114"/>
      <c r="L1500" s="114"/>
      <c r="M1500" s="114"/>
      <c r="N1500" s="114"/>
      <c r="P1500" s="234"/>
      <c r="Q1500" s="240"/>
    </row>
    <row r="1501" spans="6:17" x14ac:dyDescent="0.25">
      <c r="F1501" s="134"/>
      <c r="H1501" s="114"/>
      <c r="I1501" s="114"/>
      <c r="J1501" s="114"/>
      <c r="K1501" s="114"/>
      <c r="L1501" s="114"/>
      <c r="M1501" s="114"/>
      <c r="N1501" s="114"/>
      <c r="P1501" s="234"/>
      <c r="Q1501" s="240"/>
    </row>
    <row r="1502" spans="6:17" x14ac:dyDescent="0.25">
      <c r="F1502" s="134"/>
      <c r="H1502" s="114"/>
      <c r="I1502" s="114"/>
      <c r="J1502" s="114"/>
      <c r="K1502" s="114"/>
      <c r="L1502" s="114"/>
      <c r="M1502" s="114"/>
      <c r="N1502" s="114"/>
      <c r="P1502" s="234"/>
      <c r="Q1502" s="240"/>
    </row>
    <row r="1503" spans="6:17" x14ac:dyDescent="0.25">
      <c r="F1503" s="134"/>
      <c r="H1503" s="114"/>
      <c r="I1503" s="114"/>
      <c r="J1503" s="114"/>
      <c r="K1503" s="114"/>
      <c r="L1503" s="114"/>
      <c r="M1503" s="114"/>
      <c r="N1503" s="114"/>
      <c r="P1503" s="234"/>
      <c r="Q1503" s="240"/>
    </row>
    <row r="1504" spans="6:17" x14ac:dyDescent="0.25">
      <c r="F1504" s="134"/>
      <c r="H1504" s="114"/>
      <c r="I1504" s="114"/>
      <c r="J1504" s="114"/>
      <c r="K1504" s="114"/>
      <c r="L1504" s="114"/>
      <c r="M1504" s="114"/>
      <c r="N1504" s="114"/>
      <c r="P1504" s="234"/>
      <c r="Q1504" s="240"/>
    </row>
    <row r="1505" spans="6:17" x14ac:dyDescent="0.25">
      <c r="F1505" s="134"/>
      <c r="H1505" s="114"/>
      <c r="I1505" s="114"/>
      <c r="J1505" s="114"/>
      <c r="K1505" s="114"/>
      <c r="L1505" s="114"/>
      <c r="M1505" s="114"/>
      <c r="N1505" s="114"/>
      <c r="P1505" s="234"/>
      <c r="Q1505" s="240"/>
    </row>
    <row r="1506" spans="6:17" x14ac:dyDescent="0.25">
      <c r="F1506" s="134"/>
      <c r="H1506" s="114"/>
      <c r="I1506" s="114"/>
      <c r="J1506" s="114"/>
      <c r="K1506" s="114"/>
      <c r="L1506" s="114"/>
      <c r="M1506" s="114"/>
      <c r="N1506" s="114"/>
      <c r="P1506" s="234"/>
      <c r="Q1506" s="240"/>
    </row>
    <row r="1507" spans="6:17" x14ac:dyDescent="0.25">
      <c r="F1507" s="134"/>
      <c r="H1507" s="114"/>
      <c r="I1507" s="114"/>
      <c r="J1507" s="114"/>
      <c r="K1507" s="114"/>
      <c r="L1507" s="114"/>
      <c r="M1507" s="114"/>
      <c r="N1507" s="114"/>
      <c r="P1507" s="234"/>
      <c r="Q1507" s="240"/>
    </row>
    <row r="1508" spans="6:17" x14ac:dyDescent="0.25">
      <c r="F1508" s="134"/>
      <c r="H1508" s="114"/>
      <c r="I1508" s="114"/>
      <c r="J1508" s="114"/>
      <c r="K1508" s="114"/>
      <c r="L1508" s="114"/>
      <c r="M1508" s="114"/>
      <c r="N1508" s="114"/>
      <c r="P1508" s="234"/>
      <c r="Q1508" s="240"/>
    </row>
    <row r="1509" spans="6:17" x14ac:dyDescent="0.25">
      <c r="F1509" s="134"/>
      <c r="H1509" s="114"/>
      <c r="I1509" s="114"/>
      <c r="J1509" s="114"/>
      <c r="K1509" s="114"/>
      <c r="L1509" s="114"/>
      <c r="M1509" s="114"/>
      <c r="N1509" s="114"/>
      <c r="P1509" s="234"/>
      <c r="Q1509" s="240"/>
    </row>
    <row r="1510" spans="6:17" x14ac:dyDescent="0.25">
      <c r="F1510" s="134"/>
      <c r="H1510" s="114"/>
      <c r="I1510" s="114"/>
      <c r="J1510" s="114"/>
      <c r="K1510" s="114"/>
      <c r="L1510" s="114"/>
      <c r="M1510" s="114"/>
      <c r="N1510" s="114"/>
      <c r="P1510" s="234"/>
      <c r="Q1510" s="240"/>
    </row>
    <row r="1511" spans="6:17" x14ac:dyDescent="0.25">
      <c r="F1511" s="134"/>
      <c r="H1511" s="114"/>
      <c r="I1511" s="114"/>
      <c r="J1511" s="114"/>
      <c r="K1511" s="114"/>
      <c r="L1511" s="114"/>
      <c r="M1511" s="114"/>
      <c r="N1511" s="114"/>
      <c r="P1511" s="234"/>
      <c r="Q1511" s="240"/>
    </row>
    <row r="1512" spans="6:17" x14ac:dyDescent="0.25">
      <c r="F1512" s="134"/>
      <c r="H1512" s="114"/>
      <c r="I1512" s="114"/>
      <c r="J1512" s="114"/>
      <c r="K1512" s="114"/>
      <c r="L1512" s="114"/>
      <c r="M1512" s="114"/>
      <c r="N1512" s="114"/>
      <c r="P1512" s="234"/>
      <c r="Q1512" s="240"/>
    </row>
    <row r="1513" spans="6:17" x14ac:dyDescent="0.25">
      <c r="F1513" s="134"/>
      <c r="H1513" s="114"/>
      <c r="I1513" s="114"/>
      <c r="J1513" s="114"/>
      <c r="K1513" s="114"/>
      <c r="L1513" s="114"/>
      <c r="M1513" s="114"/>
      <c r="N1513" s="114"/>
      <c r="P1513" s="234"/>
      <c r="Q1513" s="240"/>
    </row>
    <row r="1514" spans="6:17" x14ac:dyDescent="0.25">
      <c r="F1514" s="134"/>
      <c r="H1514" s="114"/>
      <c r="I1514" s="114"/>
      <c r="J1514" s="114"/>
      <c r="K1514" s="114"/>
      <c r="L1514" s="114"/>
      <c r="M1514" s="114"/>
      <c r="N1514" s="114"/>
      <c r="P1514" s="234"/>
      <c r="Q1514" s="240"/>
    </row>
    <row r="1515" spans="6:17" x14ac:dyDescent="0.25">
      <c r="F1515" s="134"/>
      <c r="H1515" s="114"/>
      <c r="I1515" s="114"/>
      <c r="J1515" s="114"/>
      <c r="K1515" s="114"/>
      <c r="L1515" s="114"/>
      <c r="M1515" s="114"/>
      <c r="N1515" s="114"/>
      <c r="P1515" s="234"/>
      <c r="Q1515" s="240"/>
    </row>
    <row r="1516" spans="6:17" x14ac:dyDescent="0.25">
      <c r="F1516" s="134"/>
      <c r="H1516" s="114"/>
      <c r="I1516" s="114"/>
      <c r="J1516" s="114"/>
      <c r="K1516" s="114"/>
      <c r="L1516" s="114"/>
      <c r="M1516" s="114"/>
      <c r="N1516" s="114"/>
      <c r="P1516" s="234"/>
      <c r="Q1516" s="240"/>
    </row>
    <row r="1517" spans="6:17" x14ac:dyDescent="0.25">
      <c r="F1517" s="134"/>
      <c r="H1517" s="114"/>
      <c r="I1517" s="114"/>
      <c r="J1517" s="114"/>
      <c r="K1517" s="114"/>
      <c r="L1517" s="114"/>
      <c r="M1517" s="114"/>
      <c r="N1517" s="114"/>
      <c r="P1517" s="234"/>
      <c r="Q1517" s="240"/>
    </row>
    <row r="1518" spans="6:17" x14ac:dyDescent="0.25">
      <c r="F1518" s="134"/>
      <c r="H1518" s="114"/>
      <c r="I1518" s="114"/>
      <c r="J1518" s="114"/>
      <c r="K1518" s="114"/>
      <c r="L1518" s="114"/>
      <c r="M1518" s="114"/>
      <c r="N1518" s="114"/>
      <c r="P1518" s="234"/>
      <c r="Q1518" s="240"/>
    </row>
    <row r="1519" spans="6:17" x14ac:dyDescent="0.25">
      <c r="F1519" s="134"/>
      <c r="H1519" s="114"/>
      <c r="I1519" s="114"/>
      <c r="J1519" s="114"/>
      <c r="K1519" s="114"/>
      <c r="L1519" s="114"/>
      <c r="M1519" s="114"/>
      <c r="N1519" s="114"/>
      <c r="P1519" s="234"/>
      <c r="Q1519" s="240"/>
    </row>
    <row r="1520" spans="6:17" x14ac:dyDescent="0.25">
      <c r="F1520" s="134"/>
      <c r="H1520" s="114"/>
      <c r="I1520" s="114"/>
      <c r="J1520" s="114"/>
      <c r="K1520" s="114"/>
      <c r="L1520" s="114"/>
      <c r="M1520" s="114"/>
      <c r="N1520" s="114"/>
      <c r="P1520" s="234"/>
      <c r="Q1520" s="240"/>
    </row>
    <row r="1521" spans="6:17" x14ac:dyDescent="0.25">
      <c r="F1521" s="134"/>
      <c r="H1521" s="114"/>
      <c r="I1521" s="114"/>
      <c r="J1521" s="114"/>
      <c r="K1521" s="114"/>
      <c r="L1521" s="114"/>
      <c r="M1521" s="114"/>
      <c r="N1521" s="114"/>
      <c r="P1521" s="234"/>
      <c r="Q1521" s="240"/>
    </row>
    <row r="1522" spans="6:17" x14ac:dyDescent="0.25">
      <c r="F1522" s="134"/>
      <c r="H1522" s="114"/>
      <c r="I1522" s="114"/>
      <c r="J1522" s="114"/>
      <c r="K1522" s="114"/>
      <c r="L1522" s="114"/>
      <c r="M1522" s="114"/>
      <c r="N1522" s="114"/>
      <c r="P1522" s="234"/>
      <c r="Q1522" s="240"/>
    </row>
    <row r="1523" spans="6:17" x14ac:dyDescent="0.25">
      <c r="F1523" s="134"/>
      <c r="H1523" s="114"/>
      <c r="I1523" s="114"/>
      <c r="J1523" s="114"/>
      <c r="K1523" s="114"/>
      <c r="L1523" s="114"/>
      <c r="M1523" s="114"/>
      <c r="N1523" s="114"/>
      <c r="P1523" s="234"/>
      <c r="Q1523" s="240"/>
    </row>
    <row r="1524" spans="6:17" x14ac:dyDescent="0.25">
      <c r="F1524" s="134"/>
      <c r="H1524" s="114"/>
      <c r="I1524" s="114"/>
      <c r="J1524" s="114"/>
      <c r="K1524" s="114"/>
      <c r="L1524" s="114"/>
      <c r="M1524" s="114"/>
      <c r="N1524" s="114"/>
      <c r="P1524" s="234"/>
      <c r="Q1524" s="240"/>
    </row>
    <row r="1525" spans="6:17" x14ac:dyDescent="0.25">
      <c r="F1525" s="134"/>
      <c r="H1525" s="114"/>
      <c r="I1525" s="114"/>
      <c r="J1525" s="114"/>
      <c r="K1525" s="114"/>
      <c r="L1525" s="114"/>
      <c r="M1525" s="114"/>
      <c r="N1525" s="114"/>
      <c r="P1525" s="234"/>
      <c r="Q1525" s="240"/>
    </row>
    <row r="1526" spans="6:17" x14ac:dyDescent="0.25">
      <c r="F1526" s="134"/>
      <c r="H1526" s="114"/>
      <c r="I1526" s="114"/>
      <c r="J1526" s="114"/>
      <c r="K1526" s="114"/>
      <c r="L1526" s="114"/>
      <c r="M1526" s="114"/>
      <c r="N1526" s="114"/>
      <c r="P1526" s="234"/>
      <c r="Q1526" s="240"/>
    </row>
    <row r="1527" spans="6:17" x14ac:dyDescent="0.25">
      <c r="F1527" s="134"/>
      <c r="H1527" s="114"/>
      <c r="I1527" s="114"/>
      <c r="J1527" s="114"/>
      <c r="K1527" s="114"/>
      <c r="L1527" s="114"/>
      <c r="M1527" s="114"/>
      <c r="N1527" s="114"/>
      <c r="P1527" s="234"/>
      <c r="Q1527" s="240"/>
    </row>
    <row r="1528" spans="6:17" x14ac:dyDescent="0.25">
      <c r="F1528" s="134"/>
      <c r="H1528" s="114"/>
      <c r="I1528" s="114"/>
      <c r="J1528" s="114"/>
      <c r="K1528" s="114"/>
      <c r="L1528" s="114"/>
      <c r="M1528" s="114"/>
      <c r="N1528" s="114"/>
      <c r="P1528" s="234"/>
      <c r="Q1528" s="240"/>
    </row>
    <row r="1529" spans="6:17" x14ac:dyDescent="0.25">
      <c r="F1529" s="134"/>
      <c r="H1529" s="114"/>
      <c r="I1529" s="114"/>
      <c r="J1529" s="114"/>
      <c r="K1529" s="114"/>
      <c r="L1529" s="114"/>
      <c r="M1529" s="114"/>
      <c r="N1529" s="114"/>
      <c r="P1529" s="234"/>
      <c r="Q1529" s="240"/>
    </row>
    <row r="1530" spans="6:17" x14ac:dyDescent="0.25">
      <c r="F1530" s="134"/>
      <c r="H1530" s="114"/>
      <c r="I1530" s="114"/>
      <c r="J1530" s="114"/>
      <c r="K1530" s="114"/>
      <c r="L1530" s="114"/>
      <c r="M1530" s="114"/>
      <c r="N1530" s="114"/>
      <c r="P1530" s="234"/>
      <c r="Q1530" s="240"/>
    </row>
    <row r="1531" spans="6:17" x14ac:dyDescent="0.25">
      <c r="F1531" s="134"/>
      <c r="H1531" s="114"/>
      <c r="I1531" s="114"/>
      <c r="J1531" s="114"/>
      <c r="K1531" s="114"/>
      <c r="L1531" s="114"/>
      <c r="M1531" s="114"/>
      <c r="N1531" s="114"/>
      <c r="P1531" s="234"/>
      <c r="Q1531" s="240"/>
    </row>
    <row r="1532" spans="6:17" x14ac:dyDescent="0.25">
      <c r="F1532" s="134"/>
      <c r="H1532" s="114"/>
      <c r="I1532" s="114"/>
      <c r="J1532" s="114"/>
      <c r="K1532" s="114"/>
      <c r="L1532" s="114"/>
      <c r="M1532" s="114"/>
      <c r="N1532" s="114"/>
      <c r="P1532" s="234"/>
      <c r="Q1532" s="240"/>
    </row>
    <row r="1533" spans="6:17" x14ac:dyDescent="0.25">
      <c r="F1533" s="134"/>
      <c r="H1533" s="114"/>
      <c r="I1533" s="114"/>
      <c r="J1533" s="114"/>
      <c r="K1533" s="114"/>
      <c r="L1533" s="114"/>
      <c r="M1533" s="114"/>
      <c r="N1533" s="114"/>
      <c r="P1533" s="234"/>
      <c r="Q1533" s="240"/>
    </row>
    <row r="1534" spans="6:17" x14ac:dyDescent="0.25">
      <c r="F1534" s="134"/>
      <c r="H1534" s="114"/>
      <c r="I1534" s="114"/>
      <c r="J1534" s="114"/>
      <c r="K1534" s="114"/>
      <c r="L1534" s="114"/>
      <c r="M1534" s="114"/>
      <c r="N1534" s="114"/>
      <c r="P1534" s="234"/>
      <c r="Q1534" s="240"/>
    </row>
    <row r="1535" spans="6:17" x14ac:dyDescent="0.25">
      <c r="F1535" s="134"/>
      <c r="H1535" s="114"/>
      <c r="I1535" s="114"/>
      <c r="J1535" s="114"/>
      <c r="K1535" s="114"/>
      <c r="L1535" s="114"/>
      <c r="M1535" s="114"/>
      <c r="N1535" s="114"/>
      <c r="P1535" s="234"/>
      <c r="Q1535" s="240"/>
    </row>
    <row r="1536" spans="6:17" x14ac:dyDescent="0.25">
      <c r="F1536" s="134"/>
      <c r="H1536" s="114"/>
      <c r="I1536" s="114"/>
      <c r="J1536" s="114"/>
      <c r="K1536" s="114"/>
      <c r="L1536" s="114"/>
      <c r="M1536" s="114"/>
      <c r="N1536" s="114"/>
      <c r="P1536" s="234"/>
      <c r="Q1536" s="240"/>
    </row>
    <row r="1537" spans="6:17" x14ac:dyDescent="0.25">
      <c r="F1537" s="134"/>
      <c r="H1537" s="114"/>
      <c r="I1537" s="114"/>
      <c r="J1537" s="114"/>
      <c r="K1537" s="114"/>
      <c r="L1537" s="114"/>
      <c r="M1537" s="114"/>
      <c r="N1537" s="114"/>
      <c r="P1537" s="234"/>
      <c r="Q1537" s="240"/>
    </row>
    <row r="1538" spans="6:17" x14ac:dyDescent="0.25">
      <c r="F1538" s="134"/>
      <c r="H1538" s="114"/>
      <c r="I1538" s="114"/>
      <c r="J1538" s="114"/>
      <c r="K1538" s="114"/>
      <c r="L1538" s="114"/>
      <c r="M1538" s="114"/>
      <c r="N1538" s="114"/>
      <c r="P1538" s="234"/>
      <c r="Q1538" s="240"/>
    </row>
    <row r="1539" spans="6:17" x14ac:dyDescent="0.25">
      <c r="F1539" s="134"/>
      <c r="H1539" s="114"/>
      <c r="I1539" s="114"/>
      <c r="J1539" s="114"/>
      <c r="K1539" s="114"/>
      <c r="L1539" s="114"/>
      <c r="M1539" s="114"/>
      <c r="N1539" s="114"/>
      <c r="P1539" s="234"/>
      <c r="Q1539" s="240"/>
    </row>
    <row r="1540" spans="6:17" x14ac:dyDescent="0.25">
      <c r="F1540" s="134"/>
      <c r="H1540" s="114"/>
      <c r="I1540" s="114"/>
      <c r="J1540" s="114"/>
      <c r="K1540" s="114"/>
      <c r="L1540" s="114"/>
      <c r="M1540" s="114"/>
      <c r="N1540" s="114"/>
      <c r="P1540" s="234"/>
      <c r="Q1540" s="240"/>
    </row>
    <row r="1541" spans="6:17" x14ac:dyDescent="0.25">
      <c r="F1541" s="134"/>
      <c r="H1541" s="114"/>
      <c r="I1541" s="114"/>
      <c r="J1541" s="114"/>
      <c r="K1541" s="114"/>
      <c r="L1541" s="114"/>
      <c r="M1541" s="114"/>
      <c r="N1541" s="114"/>
      <c r="P1541" s="234"/>
      <c r="Q1541" s="240"/>
    </row>
    <row r="1542" spans="6:17" x14ac:dyDescent="0.25">
      <c r="F1542" s="134"/>
      <c r="H1542" s="114"/>
      <c r="I1542" s="114"/>
      <c r="J1542" s="114"/>
      <c r="K1542" s="114"/>
      <c r="L1542" s="114"/>
      <c r="M1542" s="114"/>
      <c r="N1542" s="114"/>
      <c r="P1542" s="234"/>
      <c r="Q1542" s="240"/>
    </row>
    <row r="1543" spans="6:17" x14ac:dyDescent="0.25">
      <c r="F1543" s="134"/>
      <c r="H1543" s="114"/>
      <c r="I1543" s="114"/>
      <c r="J1543" s="114"/>
      <c r="K1543" s="114"/>
      <c r="L1543" s="114"/>
      <c r="M1543" s="114"/>
      <c r="N1543" s="114"/>
      <c r="P1543" s="234"/>
      <c r="Q1543" s="240"/>
    </row>
    <row r="1544" spans="6:17" x14ac:dyDescent="0.25">
      <c r="F1544" s="134"/>
      <c r="H1544" s="114"/>
      <c r="I1544" s="114"/>
      <c r="J1544" s="114"/>
      <c r="K1544" s="114"/>
      <c r="L1544" s="114"/>
      <c r="M1544" s="114"/>
      <c r="N1544" s="114"/>
      <c r="P1544" s="234"/>
      <c r="Q1544" s="240"/>
    </row>
    <row r="1545" spans="6:17" x14ac:dyDescent="0.25">
      <c r="F1545" s="134"/>
      <c r="H1545" s="114"/>
      <c r="I1545" s="114"/>
      <c r="J1545" s="114"/>
      <c r="K1545" s="114"/>
      <c r="L1545" s="114"/>
      <c r="M1545" s="114"/>
      <c r="N1545" s="114"/>
      <c r="P1545" s="234"/>
      <c r="Q1545" s="240"/>
    </row>
    <row r="1546" spans="6:17" x14ac:dyDescent="0.25">
      <c r="F1546" s="134"/>
      <c r="H1546" s="114"/>
      <c r="I1546" s="114"/>
      <c r="J1546" s="114"/>
      <c r="K1546" s="114"/>
      <c r="L1546" s="114"/>
      <c r="M1546" s="114"/>
      <c r="N1546" s="114"/>
      <c r="P1546" s="234"/>
      <c r="Q1546" s="240"/>
    </row>
    <row r="1547" spans="6:17" x14ac:dyDescent="0.25">
      <c r="F1547" s="134"/>
      <c r="H1547" s="114"/>
      <c r="I1547" s="114"/>
      <c r="J1547" s="114"/>
      <c r="K1547" s="114"/>
      <c r="L1547" s="114"/>
      <c r="M1547" s="114"/>
      <c r="N1547" s="114"/>
      <c r="P1547" s="234"/>
      <c r="Q1547" s="240"/>
    </row>
    <row r="1548" spans="6:17" x14ac:dyDescent="0.25">
      <c r="F1548" s="134"/>
      <c r="H1548" s="114"/>
      <c r="I1548" s="114"/>
      <c r="J1548" s="114"/>
      <c r="K1548" s="114"/>
      <c r="L1548" s="114"/>
      <c r="M1548" s="114"/>
      <c r="N1548" s="114"/>
      <c r="P1548" s="234"/>
      <c r="Q1548" s="240"/>
    </row>
    <row r="1549" spans="6:17" x14ac:dyDescent="0.25">
      <c r="F1549" s="134"/>
      <c r="H1549" s="114"/>
      <c r="I1549" s="114"/>
      <c r="J1549" s="114"/>
      <c r="K1549" s="114"/>
      <c r="L1549" s="114"/>
      <c r="M1549" s="114"/>
      <c r="N1549" s="114"/>
      <c r="P1549" s="234"/>
      <c r="Q1549" s="240"/>
    </row>
    <row r="1550" spans="6:17" x14ac:dyDescent="0.25">
      <c r="F1550" s="134"/>
      <c r="H1550" s="114"/>
      <c r="I1550" s="114"/>
      <c r="J1550" s="114"/>
      <c r="K1550" s="114"/>
      <c r="L1550" s="114"/>
      <c r="M1550" s="114"/>
      <c r="N1550" s="114"/>
      <c r="P1550" s="234"/>
      <c r="Q1550" s="240"/>
    </row>
    <row r="1551" spans="6:17" x14ac:dyDescent="0.25">
      <c r="F1551" s="134"/>
      <c r="H1551" s="114"/>
      <c r="I1551" s="114"/>
      <c r="J1551" s="114"/>
      <c r="K1551" s="114"/>
      <c r="L1551" s="114"/>
      <c r="M1551" s="114"/>
      <c r="N1551" s="114"/>
      <c r="P1551" s="234"/>
      <c r="Q1551" s="240"/>
    </row>
    <row r="1552" spans="6:17" x14ac:dyDescent="0.25">
      <c r="F1552" s="134"/>
      <c r="H1552" s="114"/>
      <c r="I1552" s="114"/>
      <c r="J1552" s="114"/>
      <c r="K1552" s="114"/>
      <c r="L1552" s="114"/>
      <c r="M1552" s="114"/>
      <c r="N1552" s="114"/>
      <c r="P1552" s="234"/>
      <c r="Q1552" s="240"/>
    </row>
    <row r="1553" spans="6:17" x14ac:dyDescent="0.25">
      <c r="F1553" s="134"/>
      <c r="H1553" s="114"/>
      <c r="I1553" s="114"/>
      <c r="J1553" s="114"/>
      <c r="K1553" s="114"/>
      <c r="L1553" s="114"/>
      <c r="M1553" s="114"/>
      <c r="N1553" s="114"/>
      <c r="P1553" s="234"/>
      <c r="Q1553" s="240"/>
    </row>
    <row r="1554" spans="6:17" x14ac:dyDescent="0.25">
      <c r="F1554" s="134"/>
      <c r="H1554" s="114"/>
      <c r="I1554" s="114"/>
      <c r="J1554" s="114"/>
      <c r="K1554" s="114"/>
      <c r="L1554" s="114"/>
      <c r="M1554" s="114"/>
      <c r="N1554" s="114"/>
      <c r="P1554" s="234"/>
      <c r="Q1554" s="240"/>
    </row>
    <row r="1555" spans="6:17" x14ac:dyDescent="0.25">
      <c r="F1555" s="134"/>
      <c r="H1555" s="114"/>
      <c r="I1555" s="114"/>
      <c r="J1555" s="114"/>
      <c r="K1555" s="114"/>
      <c r="L1555" s="114"/>
      <c r="M1555" s="114"/>
      <c r="N1555" s="114"/>
      <c r="P1555" s="234"/>
      <c r="Q1555" s="240"/>
    </row>
    <row r="1556" spans="6:17" x14ac:dyDescent="0.25">
      <c r="F1556" s="134"/>
      <c r="H1556" s="114"/>
      <c r="I1556" s="114"/>
      <c r="J1556" s="114"/>
      <c r="K1556" s="114"/>
      <c r="L1556" s="114"/>
      <c r="M1556" s="114"/>
      <c r="N1556" s="114"/>
      <c r="P1556" s="234"/>
      <c r="Q1556" s="240"/>
    </row>
    <row r="1557" spans="6:17" x14ac:dyDescent="0.25">
      <c r="F1557" s="134"/>
      <c r="H1557" s="114"/>
      <c r="I1557" s="114"/>
      <c r="J1557" s="114"/>
      <c r="K1557" s="114"/>
      <c r="L1557" s="114"/>
      <c r="M1557" s="114"/>
      <c r="N1557" s="114"/>
      <c r="P1557" s="234"/>
      <c r="Q1557" s="240"/>
    </row>
    <row r="1558" spans="6:17" x14ac:dyDescent="0.25">
      <c r="F1558" s="134"/>
      <c r="H1558" s="114"/>
      <c r="I1558" s="114"/>
      <c r="J1558" s="114"/>
      <c r="K1558" s="114"/>
      <c r="L1558" s="114"/>
      <c r="M1558" s="114"/>
      <c r="N1558" s="114"/>
      <c r="P1558" s="234"/>
      <c r="Q1558" s="240"/>
    </row>
    <row r="1559" spans="6:17" x14ac:dyDescent="0.25">
      <c r="F1559" s="134"/>
      <c r="H1559" s="114"/>
      <c r="I1559" s="114"/>
      <c r="J1559" s="114"/>
      <c r="K1559" s="114"/>
      <c r="L1559" s="114"/>
      <c r="M1559" s="114"/>
      <c r="N1559" s="114"/>
      <c r="P1559" s="234"/>
      <c r="Q1559" s="240"/>
    </row>
    <row r="1560" spans="6:17" x14ac:dyDescent="0.25">
      <c r="F1560" s="134"/>
      <c r="H1560" s="114"/>
      <c r="I1560" s="114"/>
      <c r="J1560" s="114"/>
      <c r="K1560" s="114"/>
      <c r="L1560" s="114"/>
      <c r="M1560" s="114"/>
      <c r="N1560" s="114"/>
      <c r="P1560" s="234"/>
      <c r="Q1560" s="240"/>
    </row>
    <row r="1561" spans="6:17" x14ac:dyDescent="0.25">
      <c r="F1561" s="134"/>
      <c r="H1561" s="114"/>
      <c r="I1561" s="114"/>
      <c r="J1561" s="114"/>
      <c r="K1561" s="114"/>
      <c r="L1561" s="114"/>
      <c r="M1561" s="114"/>
      <c r="N1561" s="114"/>
      <c r="P1561" s="234"/>
      <c r="Q1561" s="240"/>
    </row>
    <row r="1562" spans="6:17" x14ac:dyDescent="0.25">
      <c r="F1562" s="134"/>
      <c r="H1562" s="114"/>
      <c r="I1562" s="114"/>
      <c r="J1562" s="114"/>
      <c r="K1562" s="114"/>
      <c r="L1562" s="114"/>
      <c r="M1562" s="114"/>
      <c r="N1562" s="114"/>
      <c r="P1562" s="234"/>
      <c r="Q1562" s="240"/>
    </row>
    <row r="1563" spans="6:17" x14ac:dyDescent="0.25">
      <c r="F1563" s="134"/>
      <c r="H1563" s="114"/>
      <c r="I1563" s="114"/>
      <c r="J1563" s="114"/>
      <c r="K1563" s="114"/>
      <c r="L1563" s="114"/>
      <c r="M1563" s="114"/>
      <c r="N1563" s="114"/>
      <c r="P1563" s="234"/>
      <c r="Q1563" s="240"/>
    </row>
    <row r="1564" spans="6:17" x14ac:dyDescent="0.25">
      <c r="F1564" s="134"/>
      <c r="H1564" s="114"/>
      <c r="I1564" s="114"/>
      <c r="J1564" s="114"/>
      <c r="K1564" s="114"/>
      <c r="L1564" s="114"/>
      <c r="M1564" s="114"/>
      <c r="N1564" s="114"/>
      <c r="P1564" s="234"/>
      <c r="Q1564" s="240"/>
    </row>
    <row r="1565" spans="6:17" x14ac:dyDescent="0.25">
      <c r="F1565" s="134"/>
      <c r="H1565" s="114"/>
      <c r="I1565" s="114"/>
      <c r="J1565" s="114"/>
      <c r="K1565" s="114"/>
      <c r="L1565" s="114"/>
      <c r="M1565" s="114"/>
      <c r="N1565" s="114"/>
      <c r="P1565" s="234"/>
      <c r="Q1565" s="240"/>
    </row>
    <row r="1566" spans="6:17" x14ac:dyDescent="0.25">
      <c r="F1566" s="134"/>
      <c r="H1566" s="114"/>
      <c r="I1566" s="114"/>
      <c r="J1566" s="114"/>
      <c r="K1566" s="114"/>
      <c r="L1566" s="114"/>
      <c r="M1566" s="114"/>
      <c r="N1566" s="114"/>
      <c r="P1566" s="234"/>
      <c r="Q1566" s="240"/>
    </row>
    <row r="1567" spans="6:17" x14ac:dyDescent="0.25">
      <c r="F1567" s="134"/>
      <c r="H1567" s="114"/>
      <c r="I1567" s="114"/>
      <c r="J1567" s="114"/>
      <c r="K1567" s="114"/>
      <c r="L1567" s="114"/>
      <c r="M1567" s="114"/>
      <c r="N1567" s="114"/>
      <c r="P1567" s="234"/>
      <c r="Q1567" s="240"/>
    </row>
    <row r="1568" spans="6:17" x14ac:dyDescent="0.25">
      <c r="F1568" s="134"/>
      <c r="H1568" s="114"/>
      <c r="I1568" s="114"/>
      <c r="J1568" s="114"/>
      <c r="K1568" s="114"/>
      <c r="L1568" s="114"/>
      <c r="M1568" s="114"/>
      <c r="N1568" s="114"/>
      <c r="P1568" s="234"/>
      <c r="Q1568" s="240"/>
    </row>
    <row r="1569" spans="6:17" x14ac:dyDescent="0.25">
      <c r="F1569" s="134"/>
      <c r="H1569" s="114"/>
      <c r="I1569" s="114"/>
      <c r="J1569" s="114"/>
      <c r="K1569" s="114"/>
      <c r="L1569" s="114"/>
      <c r="M1569" s="114"/>
      <c r="N1569" s="114"/>
      <c r="P1569" s="234"/>
      <c r="Q1569" s="240"/>
    </row>
    <row r="1570" spans="6:17" x14ac:dyDescent="0.25">
      <c r="F1570" s="134"/>
      <c r="H1570" s="114"/>
      <c r="I1570" s="114"/>
      <c r="J1570" s="114"/>
      <c r="K1570" s="114"/>
      <c r="L1570" s="114"/>
      <c r="M1570" s="114"/>
      <c r="N1570" s="114"/>
      <c r="P1570" s="234"/>
      <c r="Q1570" s="240"/>
    </row>
    <row r="1571" spans="6:17" x14ac:dyDescent="0.25">
      <c r="F1571" s="134"/>
      <c r="H1571" s="114"/>
      <c r="I1571" s="114"/>
      <c r="J1571" s="114"/>
      <c r="K1571" s="114"/>
      <c r="L1571" s="114"/>
      <c r="M1571" s="114"/>
      <c r="N1571" s="114"/>
      <c r="P1571" s="234"/>
      <c r="Q1571" s="240"/>
    </row>
    <row r="1572" spans="6:17" x14ac:dyDescent="0.25">
      <c r="F1572" s="134"/>
      <c r="H1572" s="114"/>
      <c r="I1572" s="114"/>
      <c r="J1572" s="114"/>
      <c r="K1572" s="114"/>
      <c r="L1572" s="114"/>
      <c r="M1572" s="114"/>
      <c r="N1572" s="114"/>
      <c r="P1572" s="234"/>
      <c r="Q1572" s="240"/>
    </row>
    <row r="1573" spans="6:17" x14ac:dyDescent="0.25">
      <c r="F1573" s="134"/>
      <c r="H1573" s="114"/>
      <c r="I1573" s="114"/>
      <c r="J1573" s="114"/>
      <c r="K1573" s="114"/>
      <c r="L1573" s="114"/>
      <c r="M1573" s="114"/>
      <c r="N1573" s="114"/>
      <c r="P1573" s="234"/>
      <c r="Q1573" s="240"/>
    </row>
    <row r="1574" spans="6:17" x14ac:dyDescent="0.25">
      <c r="F1574" s="134"/>
      <c r="H1574" s="114"/>
      <c r="I1574" s="114"/>
      <c r="J1574" s="114"/>
      <c r="K1574" s="114"/>
      <c r="L1574" s="114"/>
      <c r="M1574" s="114"/>
      <c r="N1574" s="114"/>
      <c r="P1574" s="234"/>
      <c r="Q1574" s="240"/>
    </row>
    <row r="1575" spans="6:17" x14ac:dyDescent="0.25">
      <c r="F1575" s="134"/>
      <c r="H1575" s="114"/>
      <c r="I1575" s="114"/>
      <c r="J1575" s="114"/>
      <c r="K1575" s="114"/>
      <c r="L1575" s="114"/>
      <c r="M1575" s="114"/>
      <c r="N1575" s="114"/>
      <c r="P1575" s="234"/>
      <c r="Q1575" s="240"/>
    </row>
    <row r="1576" spans="6:17" x14ac:dyDescent="0.25">
      <c r="F1576" s="134"/>
      <c r="H1576" s="114"/>
      <c r="I1576" s="114"/>
      <c r="J1576" s="114"/>
      <c r="K1576" s="114"/>
      <c r="L1576" s="114"/>
      <c r="M1576" s="114"/>
      <c r="N1576" s="114"/>
      <c r="P1576" s="234"/>
      <c r="Q1576" s="240"/>
    </row>
    <row r="1577" spans="6:17" x14ac:dyDescent="0.25">
      <c r="F1577" s="134"/>
      <c r="H1577" s="114"/>
      <c r="I1577" s="114"/>
      <c r="J1577" s="114"/>
      <c r="K1577" s="114"/>
      <c r="L1577" s="114"/>
      <c r="M1577" s="114"/>
      <c r="N1577" s="114"/>
      <c r="P1577" s="234"/>
      <c r="Q1577" s="240"/>
    </row>
    <row r="1578" spans="6:17" x14ac:dyDescent="0.25">
      <c r="F1578" s="134"/>
      <c r="H1578" s="114"/>
      <c r="I1578" s="114"/>
      <c r="J1578" s="114"/>
      <c r="K1578" s="114"/>
      <c r="L1578" s="114"/>
      <c r="M1578" s="114"/>
      <c r="N1578" s="114"/>
      <c r="P1578" s="234"/>
      <c r="Q1578" s="240"/>
    </row>
    <row r="1579" spans="6:17" x14ac:dyDescent="0.25">
      <c r="F1579" s="134"/>
      <c r="H1579" s="114"/>
      <c r="I1579" s="114"/>
      <c r="J1579" s="114"/>
      <c r="K1579" s="114"/>
      <c r="L1579" s="114"/>
      <c r="M1579" s="114"/>
      <c r="N1579" s="114"/>
      <c r="P1579" s="234"/>
      <c r="Q1579" s="240"/>
    </row>
    <row r="1580" spans="6:17" x14ac:dyDescent="0.25">
      <c r="F1580" s="134"/>
      <c r="H1580" s="114"/>
      <c r="I1580" s="114"/>
      <c r="J1580" s="114"/>
      <c r="K1580" s="114"/>
      <c r="L1580" s="114"/>
      <c r="M1580" s="114"/>
      <c r="N1580" s="114"/>
      <c r="P1580" s="234"/>
      <c r="Q1580" s="240"/>
    </row>
    <row r="1581" spans="6:17" x14ac:dyDescent="0.25">
      <c r="F1581" s="134"/>
      <c r="H1581" s="114"/>
      <c r="I1581" s="114"/>
      <c r="J1581" s="114"/>
      <c r="K1581" s="114"/>
      <c r="L1581" s="114"/>
      <c r="M1581" s="114"/>
      <c r="N1581" s="114"/>
      <c r="P1581" s="234"/>
      <c r="Q1581" s="240"/>
    </row>
    <row r="1582" spans="6:17" x14ac:dyDescent="0.25">
      <c r="F1582" s="134"/>
      <c r="H1582" s="114"/>
      <c r="I1582" s="114"/>
      <c r="J1582" s="114"/>
      <c r="K1582" s="114"/>
      <c r="L1582" s="114"/>
      <c r="M1582" s="114"/>
      <c r="N1582" s="114"/>
      <c r="P1582" s="234"/>
      <c r="Q1582" s="240"/>
    </row>
    <row r="1583" spans="6:17" x14ac:dyDescent="0.25">
      <c r="F1583" s="134"/>
      <c r="H1583" s="114"/>
      <c r="I1583" s="114"/>
      <c r="J1583" s="114"/>
      <c r="K1583" s="114"/>
      <c r="L1583" s="114"/>
      <c r="M1583" s="114"/>
      <c r="N1583" s="114"/>
      <c r="P1583" s="234"/>
      <c r="Q1583" s="240"/>
    </row>
    <row r="1584" spans="6:17" x14ac:dyDescent="0.25">
      <c r="F1584" s="134"/>
      <c r="H1584" s="114"/>
      <c r="I1584" s="114"/>
      <c r="J1584" s="114"/>
      <c r="K1584" s="114"/>
      <c r="L1584" s="114"/>
      <c r="M1584" s="114"/>
      <c r="N1584" s="114"/>
      <c r="P1584" s="234"/>
      <c r="Q1584" s="240"/>
    </row>
    <row r="1585" spans="6:17" x14ac:dyDescent="0.25">
      <c r="F1585" s="134"/>
      <c r="H1585" s="114"/>
      <c r="I1585" s="114"/>
      <c r="J1585" s="114"/>
      <c r="K1585" s="114"/>
      <c r="L1585" s="114"/>
      <c r="M1585" s="114"/>
      <c r="N1585" s="114"/>
      <c r="P1585" s="234"/>
      <c r="Q1585" s="240"/>
    </row>
    <row r="1586" spans="6:17" x14ac:dyDescent="0.25">
      <c r="F1586" s="134"/>
      <c r="H1586" s="114"/>
      <c r="I1586" s="114"/>
      <c r="J1586" s="114"/>
      <c r="K1586" s="114"/>
      <c r="L1586" s="114"/>
      <c r="M1586" s="114"/>
      <c r="N1586" s="114"/>
      <c r="P1586" s="234"/>
      <c r="Q1586" s="240"/>
    </row>
    <row r="1587" spans="6:17" x14ac:dyDescent="0.25">
      <c r="F1587" s="134"/>
      <c r="H1587" s="114"/>
      <c r="I1587" s="114"/>
      <c r="J1587" s="114"/>
      <c r="K1587" s="114"/>
      <c r="L1587" s="114"/>
      <c r="M1587" s="114"/>
      <c r="N1587" s="114"/>
      <c r="P1587" s="234"/>
      <c r="Q1587" s="240"/>
    </row>
    <row r="1588" spans="6:17" x14ac:dyDescent="0.25">
      <c r="F1588" s="134"/>
      <c r="H1588" s="114"/>
      <c r="I1588" s="114"/>
      <c r="J1588" s="114"/>
      <c r="K1588" s="114"/>
      <c r="L1588" s="114"/>
      <c r="M1588" s="114"/>
      <c r="N1588" s="114"/>
      <c r="P1588" s="234"/>
      <c r="Q1588" s="240"/>
    </row>
    <row r="1589" spans="6:17" x14ac:dyDescent="0.25">
      <c r="F1589" s="134"/>
      <c r="H1589" s="114"/>
      <c r="I1589" s="114"/>
      <c r="J1589" s="114"/>
      <c r="K1589" s="114"/>
      <c r="L1589" s="114"/>
      <c r="M1589" s="114"/>
      <c r="N1589" s="114"/>
      <c r="P1589" s="234"/>
      <c r="Q1589" s="240"/>
    </row>
    <row r="1590" spans="6:17" x14ac:dyDescent="0.25">
      <c r="F1590" s="134"/>
      <c r="H1590" s="114"/>
      <c r="I1590" s="114"/>
      <c r="J1590" s="114"/>
      <c r="K1590" s="114"/>
      <c r="L1590" s="114"/>
      <c r="M1590" s="114"/>
      <c r="N1590" s="114"/>
      <c r="P1590" s="234"/>
      <c r="Q1590" s="240"/>
    </row>
    <row r="1591" spans="6:17" x14ac:dyDescent="0.25">
      <c r="F1591" s="134"/>
      <c r="H1591" s="114"/>
      <c r="I1591" s="114"/>
      <c r="J1591" s="114"/>
      <c r="K1591" s="114"/>
      <c r="L1591" s="114"/>
      <c r="M1591" s="114"/>
      <c r="N1591" s="114"/>
      <c r="P1591" s="234"/>
      <c r="Q1591" s="240"/>
    </row>
    <row r="1592" spans="6:17" x14ac:dyDescent="0.25">
      <c r="F1592" s="134"/>
      <c r="H1592" s="114"/>
      <c r="I1592" s="114"/>
      <c r="J1592" s="114"/>
      <c r="K1592" s="114"/>
      <c r="L1592" s="114"/>
      <c r="M1592" s="114"/>
      <c r="N1592" s="114"/>
      <c r="P1592" s="234"/>
      <c r="Q1592" s="240"/>
    </row>
    <row r="1593" spans="6:17" x14ac:dyDescent="0.25">
      <c r="F1593" s="134"/>
      <c r="H1593" s="114"/>
      <c r="I1593" s="114"/>
      <c r="J1593" s="114"/>
      <c r="K1593" s="114"/>
      <c r="L1593" s="114"/>
      <c r="M1593" s="114"/>
      <c r="N1593" s="114"/>
      <c r="P1593" s="234"/>
      <c r="Q1593" s="240"/>
    </row>
    <row r="1594" spans="6:17" x14ac:dyDescent="0.25">
      <c r="F1594" s="134"/>
      <c r="H1594" s="114"/>
      <c r="I1594" s="114"/>
      <c r="J1594" s="114"/>
      <c r="K1594" s="114"/>
      <c r="L1594" s="114"/>
      <c r="M1594" s="114"/>
      <c r="N1594" s="114"/>
      <c r="P1594" s="234"/>
      <c r="Q1594" s="240"/>
    </row>
    <row r="1595" spans="6:17" x14ac:dyDescent="0.25">
      <c r="F1595" s="134"/>
      <c r="H1595" s="114"/>
      <c r="I1595" s="114"/>
      <c r="J1595" s="114"/>
      <c r="K1595" s="114"/>
      <c r="L1595" s="114"/>
      <c r="M1595" s="114"/>
      <c r="N1595" s="114"/>
      <c r="P1595" s="234"/>
      <c r="Q1595" s="240"/>
    </row>
    <row r="1596" spans="6:17" x14ac:dyDescent="0.25">
      <c r="F1596" s="134"/>
      <c r="H1596" s="114"/>
      <c r="I1596" s="114"/>
      <c r="J1596" s="114"/>
      <c r="K1596" s="114"/>
      <c r="L1596" s="114"/>
      <c r="M1596" s="114"/>
      <c r="N1596" s="114"/>
      <c r="P1596" s="234"/>
      <c r="Q1596" s="240"/>
    </row>
    <row r="1597" spans="6:17" x14ac:dyDescent="0.25">
      <c r="F1597" s="134"/>
      <c r="H1597" s="114"/>
      <c r="I1597" s="114"/>
      <c r="J1597" s="114"/>
      <c r="K1597" s="114"/>
      <c r="L1597" s="114"/>
      <c r="M1597" s="114"/>
      <c r="N1597" s="114"/>
      <c r="P1597" s="234"/>
      <c r="Q1597" s="240"/>
    </row>
    <row r="1598" spans="6:17" x14ac:dyDescent="0.25">
      <c r="F1598" s="134"/>
      <c r="H1598" s="114"/>
      <c r="I1598" s="114"/>
      <c r="J1598" s="114"/>
      <c r="K1598" s="114"/>
      <c r="L1598" s="114"/>
      <c r="M1598" s="114"/>
      <c r="N1598" s="114"/>
      <c r="P1598" s="234"/>
      <c r="Q1598" s="240"/>
    </row>
    <row r="1599" spans="6:17" x14ac:dyDescent="0.25">
      <c r="F1599" s="134"/>
      <c r="H1599" s="114"/>
      <c r="I1599" s="114"/>
      <c r="J1599" s="114"/>
      <c r="K1599" s="114"/>
      <c r="L1599" s="114"/>
      <c r="M1599" s="114"/>
      <c r="N1599" s="114"/>
      <c r="P1599" s="234"/>
      <c r="Q1599" s="240"/>
    </row>
    <row r="1600" spans="6:17" x14ac:dyDescent="0.25">
      <c r="F1600" s="134"/>
      <c r="H1600" s="114"/>
      <c r="I1600" s="114"/>
      <c r="J1600" s="114"/>
      <c r="K1600" s="114"/>
      <c r="L1600" s="114"/>
      <c r="M1600" s="114"/>
      <c r="N1600" s="114"/>
      <c r="P1600" s="234"/>
      <c r="Q1600" s="240"/>
    </row>
    <row r="1601" spans="6:17" x14ac:dyDescent="0.25">
      <c r="F1601" s="134"/>
      <c r="H1601" s="114"/>
      <c r="I1601" s="114"/>
      <c r="J1601" s="114"/>
      <c r="K1601" s="114"/>
      <c r="L1601" s="114"/>
      <c r="M1601" s="114"/>
      <c r="N1601" s="114"/>
      <c r="P1601" s="234"/>
      <c r="Q1601" s="240"/>
    </row>
    <row r="1602" spans="6:17" x14ac:dyDescent="0.25">
      <c r="F1602" s="134"/>
      <c r="H1602" s="114"/>
      <c r="I1602" s="114"/>
      <c r="J1602" s="114"/>
      <c r="K1602" s="114"/>
      <c r="L1602" s="114"/>
      <c r="M1602" s="114"/>
      <c r="N1602" s="114"/>
      <c r="P1602" s="234"/>
      <c r="Q1602" s="240"/>
    </row>
    <row r="1603" spans="6:17" x14ac:dyDescent="0.25">
      <c r="F1603" s="134"/>
      <c r="H1603" s="114"/>
      <c r="I1603" s="114"/>
      <c r="J1603" s="114"/>
      <c r="K1603" s="114"/>
      <c r="L1603" s="114"/>
      <c r="M1603" s="114"/>
      <c r="N1603" s="114"/>
      <c r="P1603" s="234"/>
      <c r="Q1603" s="240"/>
    </row>
    <row r="1604" spans="6:17" x14ac:dyDescent="0.25">
      <c r="F1604" s="134"/>
      <c r="H1604" s="114"/>
      <c r="I1604" s="114"/>
      <c r="J1604" s="114"/>
      <c r="K1604" s="114"/>
      <c r="L1604" s="114"/>
      <c r="M1604" s="114"/>
      <c r="N1604" s="114"/>
      <c r="P1604" s="234"/>
      <c r="Q1604" s="240"/>
    </row>
    <row r="1605" spans="6:17" x14ac:dyDescent="0.25">
      <c r="F1605" s="134"/>
      <c r="H1605" s="114"/>
      <c r="I1605" s="114"/>
      <c r="J1605" s="114"/>
      <c r="K1605" s="114"/>
      <c r="L1605" s="114"/>
      <c r="M1605" s="114"/>
      <c r="N1605" s="114"/>
      <c r="P1605" s="234"/>
      <c r="Q1605" s="240"/>
    </row>
    <row r="1606" spans="6:17" x14ac:dyDescent="0.25">
      <c r="F1606" s="134"/>
      <c r="H1606" s="114"/>
      <c r="I1606" s="114"/>
      <c r="J1606" s="114"/>
      <c r="K1606" s="114"/>
      <c r="L1606" s="114"/>
      <c r="M1606" s="114"/>
      <c r="N1606" s="114"/>
      <c r="P1606" s="234"/>
      <c r="Q1606" s="240"/>
    </row>
    <row r="1607" spans="6:17" x14ac:dyDescent="0.25">
      <c r="F1607" s="134"/>
      <c r="H1607" s="114"/>
      <c r="I1607" s="114"/>
      <c r="J1607" s="114"/>
      <c r="K1607" s="114"/>
      <c r="L1607" s="114"/>
      <c r="M1607" s="114"/>
      <c r="N1607" s="114"/>
      <c r="P1607" s="234"/>
      <c r="Q1607" s="240"/>
    </row>
    <row r="1608" spans="6:17" x14ac:dyDescent="0.25">
      <c r="F1608" s="134"/>
      <c r="H1608" s="114"/>
      <c r="I1608" s="114"/>
      <c r="J1608" s="114"/>
      <c r="K1608" s="114"/>
      <c r="L1608" s="114"/>
      <c r="M1608" s="114"/>
      <c r="N1608" s="114"/>
      <c r="P1608" s="234"/>
      <c r="Q1608" s="240"/>
    </row>
    <row r="1609" spans="6:17" x14ac:dyDescent="0.25">
      <c r="F1609" s="134"/>
      <c r="H1609" s="114"/>
      <c r="I1609" s="114"/>
      <c r="J1609" s="114"/>
      <c r="K1609" s="114"/>
      <c r="L1609" s="114"/>
      <c r="M1609" s="114"/>
      <c r="N1609" s="114"/>
      <c r="P1609" s="234"/>
      <c r="Q1609" s="240"/>
    </row>
    <row r="1610" spans="6:17" x14ac:dyDescent="0.25">
      <c r="F1610" s="134"/>
      <c r="H1610" s="114"/>
      <c r="I1610" s="114"/>
      <c r="J1610" s="114"/>
      <c r="K1610" s="114"/>
      <c r="L1610" s="114"/>
      <c r="M1610" s="114"/>
      <c r="N1610" s="114"/>
      <c r="P1610" s="234"/>
      <c r="Q1610" s="240"/>
    </row>
    <row r="1611" spans="6:17" x14ac:dyDescent="0.25">
      <c r="F1611" s="134"/>
      <c r="H1611" s="114"/>
      <c r="I1611" s="114"/>
      <c r="J1611" s="114"/>
      <c r="K1611" s="114"/>
      <c r="L1611" s="114"/>
      <c r="M1611" s="114"/>
      <c r="N1611" s="114"/>
      <c r="P1611" s="234"/>
      <c r="Q1611" s="240"/>
    </row>
    <row r="1612" spans="6:17" x14ac:dyDescent="0.25">
      <c r="F1612" s="134"/>
      <c r="H1612" s="114"/>
      <c r="I1612" s="114"/>
      <c r="J1612" s="114"/>
      <c r="K1612" s="114"/>
      <c r="L1612" s="114"/>
      <c r="M1612" s="114"/>
      <c r="N1612" s="114"/>
      <c r="P1612" s="234"/>
      <c r="Q1612" s="240"/>
    </row>
    <row r="1613" spans="6:17" x14ac:dyDescent="0.25">
      <c r="F1613" s="134"/>
      <c r="H1613" s="114"/>
      <c r="I1613" s="114"/>
      <c r="J1613" s="114"/>
      <c r="K1613" s="114"/>
      <c r="L1613" s="114"/>
      <c r="M1613" s="114"/>
      <c r="N1613" s="114"/>
      <c r="P1613" s="234"/>
      <c r="Q1613" s="240"/>
    </row>
    <row r="1614" spans="6:17" x14ac:dyDescent="0.25">
      <c r="F1614" s="134"/>
      <c r="H1614" s="114"/>
      <c r="I1614" s="114"/>
      <c r="J1614" s="114"/>
      <c r="K1614" s="114"/>
      <c r="L1614" s="114"/>
      <c r="M1614" s="114"/>
      <c r="N1614" s="114"/>
      <c r="P1614" s="234"/>
      <c r="Q1614" s="240"/>
    </row>
    <row r="1615" spans="6:17" x14ac:dyDescent="0.25">
      <c r="F1615" s="134"/>
      <c r="H1615" s="114"/>
      <c r="I1615" s="114"/>
      <c r="J1615" s="114"/>
      <c r="K1615" s="114"/>
      <c r="L1615" s="114"/>
      <c r="M1615" s="114"/>
      <c r="N1615" s="114"/>
      <c r="P1615" s="234"/>
      <c r="Q1615" s="240"/>
    </row>
    <row r="1616" spans="6:17" x14ac:dyDescent="0.25">
      <c r="F1616" s="134"/>
      <c r="H1616" s="114"/>
      <c r="I1616" s="114"/>
      <c r="J1616" s="114"/>
      <c r="K1616" s="114"/>
      <c r="L1616" s="114"/>
      <c r="M1616" s="114"/>
      <c r="N1616" s="114"/>
      <c r="P1616" s="234"/>
      <c r="Q1616" s="240"/>
    </row>
    <row r="1617" spans="6:17" x14ac:dyDescent="0.25">
      <c r="F1617" s="134"/>
      <c r="H1617" s="114"/>
      <c r="I1617" s="114"/>
      <c r="J1617" s="114"/>
      <c r="K1617" s="114"/>
      <c r="L1617" s="114"/>
      <c r="M1617" s="114"/>
      <c r="N1617" s="114"/>
      <c r="P1617" s="234"/>
      <c r="Q1617" s="240"/>
    </row>
    <row r="1618" spans="6:17" x14ac:dyDescent="0.25">
      <c r="F1618" s="134"/>
      <c r="H1618" s="114"/>
      <c r="I1618" s="114"/>
      <c r="J1618" s="114"/>
      <c r="K1618" s="114"/>
      <c r="L1618" s="114"/>
      <c r="M1618" s="114"/>
      <c r="N1618" s="114"/>
      <c r="P1618" s="234"/>
      <c r="Q1618" s="240"/>
    </row>
    <row r="1619" spans="6:17" x14ac:dyDescent="0.25">
      <c r="F1619" s="134"/>
      <c r="H1619" s="114"/>
      <c r="I1619" s="114"/>
      <c r="J1619" s="114"/>
      <c r="K1619" s="114"/>
      <c r="L1619" s="114"/>
      <c r="M1619" s="114"/>
      <c r="N1619" s="114"/>
      <c r="P1619" s="234"/>
      <c r="Q1619" s="240"/>
    </row>
    <row r="1620" spans="6:17" x14ac:dyDescent="0.25">
      <c r="F1620" s="134"/>
      <c r="H1620" s="114"/>
      <c r="I1620" s="114"/>
      <c r="J1620" s="114"/>
      <c r="K1620" s="114"/>
      <c r="L1620" s="114"/>
      <c r="M1620" s="114"/>
      <c r="N1620" s="114"/>
      <c r="P1620" s="234"/>
      <c r="Q1620" s="240"/>
    </row>
    <row r="1621" spans="6:17" x14ac:dyDescent="0.25">
      <c r="F1621" s="134"/>
      <c r="H1621" s="114"/>
      <c r="I1621" s="114"/>
      <c r="J1621" s="114"/>
      <c r="K1621" s="114"/>
      <c r="L1621" s="114"/>
      <c r="M1621" s="114"/>
      <c r="N1621" s="114"/>
      <c r="P1621" s="234"/>
      <c r="Q1621" s="240"/>
    </row>
    <row r="1622" spans="6:17" x14ac:dyDescent="0.25">
      <c r="F1622" s="134"/>
      <c r="H1622" s="114"/>
      <c r="I1622" s="114"/>
      <c r="J1622" s="114"/>
      <c r="K1622" s="114"/>
      <c r="L1622" s="114"/>
      <c r="M1622" s="114"/>
      <c r="N1622" s="114"/>
      <c r="P1622" s="234"/>
      <c r="Q1622" s="240"/>
    </row>
    <row r="1623" spans="6:17" x14ac:dyDescent="0.25">
      <c r="F1623" s="134"/>
      <c r="H1623" s="114"/>
      <c r="I1623" s="114"/>
      <c r="J1623" s="114"/>
      <c r="K1623" s="114"/>
      <c r="L1623" s="114"/>
      <c r="M1623" s="114"/>
      <c r="N1623" s="114"/>
      <c r="P1623" s="234"/>
      <c r="Q1623" s="240"/>
    </row>
    <row r="1624" spans="6:17" x14ac:dyDescent="0.25">
      <c r="F1624" s="134"/>
      <c r="H1624" s="114"/>
      <c r="I1624" s="114"/>
      <c r="J1624" s="114"/>
      <c r="K1624" s="114"/>
      <c r="L1624" s="114"/>
      <c r="M1624" s="114"/>
      <c r="N1624" s="114"/>
      <c r="P1624" s="234"/>
      <c r="Q1624" s="240"/>
    </row>
    <row r="1625" spans="6:17" x14ac:dyDescent="0.25">
      <c r="F1625" s="134"/>
      <c r="H1625" s="114"/>
      <c r="I1625" s="114"/>
      <c r="J1625" s="114"/>
      <c r="K1625" s="114"/>
      <c r="L1625" s="114"/>
      <c r="M1625" s="114"/>
      <c r="N1625" s="114"/>
      <c r="P1625" s="234"/>
      <c r="Q1625" s="240"/>
    </row>
    <row r="1626" spans="6:17" x14ac:dyDescent="0.25">
      <c r="F1626" s="134"/>
      <c r="H1626" s="114"/>
      <c r="I1626" s="114"/>
      <c r="J1626" s="114"/>
      <c r="K1626" s="114"/>
      <c r="L1626" s="114"/>
      <c r="M1626" s="114"/>
      <c r="N1626" s="114"/>
      <c r="P1626" s="234"/>
      <c r="Q1626" s="240"/>
    </row>
    <row r="1627" spans="6:17" x14ac:dyDescent="0.25">
      <c r="F1627" s="134"/>
      <c r="H1627" s="114"/>
      <c r="I1627" s="114"/>
      <c r="J1627" s="114"/>
      <c r="K1627" s="114"/>
      <c r="L1627" s="114"/>
      <c r="M1627" s="114"/>
      <c r="N1627" s="114"/>
      <c r="P1627" s="234"/>
      <c r="Q1627" s="240"/>
    </row>
    <row r="1628" spans="6:17" x14ac:dyDescent="0.25">
      <c r="F1628" s="134"/>
      <c r="H1628" s="114"/>
      <c r="I1628" s="114"/>
      <c r="J1628" s="114"/>
      <c r="K1628" s="114"/>
      <c r="L1628" s="114"/>
      <c r="M1628" s="114"/>
      <c r="N1628" s="114"/>
      <c r="P1628" s="234"/>
      <c r="Q1628" s="240"/>
    </row>
    <row r="1629" spans="6:17" x14ac:dyDescent="0.25">
      <c r="F1629" s="134"/>
      <c r="H1629" s="114"/>
      <c r="I1629" s="114"/>
      <c r="J1629" s="114"/>
      <c r="K1629" s="114"/>
      <c r="L1629" s="114"/>
      <c r="M1629" s="114"/>
      <c r="N1629" s="114"/>
      <c r="P1629" s="234"/>
      <c r="Q1629" s="240"/>
    </row>
    <row r="1630" spans="6:17" x14ac:dyDescent="0.25">
      <c r="F1630" s="134"/>
      <c r="H1630" s="114"/>
      <c r="I1630" s="114"/>
      <c r="J1630" s="114"/>
      <c r="K1630" s="114"/>
      <c r="L1630" s="114"/>
      <c r="M1630" s="114"/>
      <c r="N1630" s="114"/>
      <c r="P1630" s="234"/>
      <c r="Q1630" s="240"/>
    </row>
    <row r="1631" spans="6:17" x14ac:dyDescent="0.25">
      <c r="F1631" s="134"/>
      <c r="H1631" s="114"/>
      <c r="I1631" s="114"/>
      <c r="J1631" s="114"/>
      <c r="K1631" s="114"/>
      <c r="L1631" s="114"/>
      <c r="M1631" s="114"/>
      <c r="N1631" s="114"/>
      <c r="P1631" s="234"/>
      <c r="Q1631" s="240"/>
    </row>
    <row r="1632" spans="6:17" x14ac:dyDescent="0.25">
      <c r="F1632" s="134"/>
      <c r="H1632" s="114"/>
      <c r="I1632" s="114"/>
      <c r="J1632" s="114"/>
      <c r="K1632" s="114"/>
      <c r="L1632" s="114"/>
      <c r="M1632" s="114"/>
      <c r="N1632" s="114"/>
      <c r="P1632" s="234"/>
      <c r="Q1632" s="240"/>
    </row>
    <row r="1633" spans="6:17" x14ac:dyDescent="0.25">
      <c r="F1633" s="134"/>
      <c r="H1633" s="114"/>
      <c r="I1633" s="114"/>
      <c r="J1633" s="114"/>
      <c r="K1633" s="114"/>
      <c r="L1633" s="114"/>
      <c r="M1633" s="114"/>
      <c r="N1633" s="114"/>
      <c r="P1633" s="234"/>
      <c r="Q1633" s="240"/>
    </row>
    <row r="1634" spans="6:17" x14ac:dyDescent="0.25">
      <c r="F1634" s="134"/>
      <c r="H1634" s="114"/>
      <c r="I1634" s="114"/>
      <c r="J1634" s="114"/>
      <c r="K1634" s="114"/>
      <c r="L1634" s="114"/>
      <c r="M1634" s="114"/>
      <c r="N1634" s="114"/>
      <c r="P1634" s="234"/>
      <c r="Q1634" s="240"/>
    </row>
    <row r="1635" spans="6:17" x14ac:dyDescent="0.25">
      <c r="F1635" s="134"/>
      <c r="H1635" s="114"/>
      <c r="I1635" s="114"/>
      <c r="J1635" s="114"/>
      <c r="K1635" s="114"/>
      <c r="L1635" s="114"/>
      <c r="M1635" s="114"/>
      <c r="N1635" s="114"/>
      <c r="P1635" s="234"/>
      <c r="Q1635" s="240"/>
    </row>
    <row r="1636" spans="6:17" x14ac:dyDescent="0.25">
      <c r="F1636" s="134"/>
      <c r="H1636" s="114"/>
      <c r="I1636" s="114"/>
      <c r="J1636" s="114"/>
      <c r="K1636" s="114"/>
      <c r="L1636" s="114"/>
      <c r="M1636" s="114"/>
      <c r="N1636" s="114"/>
      <c r="P1636" s="234"/>
      <c r="Q1636" s="240"/>
    </row>
    <row r="1637" spans="6:17" x14ac:dyDescent="0.25">
      <c r="F1637" s="134"/>
      <c r="H1637" s="114"/>
      <c r="I1637" s="114"/>
      <c r="J1637" s="114"/>
      <c r="K1637" s="114"/>
      <c r="L1637" s="114"/>
      <c r="M1637" s="114"/>
      <c r="N1637" s="114"/>
      <c r="P1637" s="234"/>
      <c r="Q1637" s="240"/>
    </row>
    <row r="1638" spans="6:17" x14ac:dyDescent="0.25">
      <c r="F1638" s="134"/>
      <c r="H1638" s="114"/>
      <c r="I1638" s="114"/>
      <c r="J1638" s="114"/>
      <c r="K1638" s="114"/>
      <c r="L1638" s="114"/>
      <c r="M1638" s="114"/>
      <c r="N1638" s="114"/>
      <c r="P1638" s="234"/>
      <c r="Q1638" s="240"/>
    </row>
    <row r="1639" spans="6:17" x14ac:dyDescent="0.25">
      <c r="F1639" s="134"/>
      <c r="H1639" s="114"/>
      <c r="I1639" s="114"/>
      <c r="J1639" s="114"/>
      <c r="K1639" s="114"/>
      <c r="L1639" s="114"/>
      <c r="M1639" s="114"/>
      <c r="N1639" s="114"/>
      <c r="P1639" s="234"/>
      <c r="Q1639" s="240"/>
    </row>
    <row r="1640" spans="6:17" x14ac:dyDescent="0.25">
      <c r="F1640" s="134"/>
      <c r="H1640" s="114"/>
      <c r="I1640" s="114"/>
      <c r="J1640" s="114"/>
      <c r="K1640" s="114"/>
      <c r="L1640" s="114"/>
      <c r="M1640" s="114"/>
      <c r="N1640" s="114"/>
      <c r="P1640" s="234"/>
      <c r="Q1640" s="240"/>
    </row>
    <row r="1641" spans="6:17" x14ac:dyDescent="0.25">
      <c r="F1641" s="134"/>
      <c r="H1641" s="114"/>
      <c r="I1641" s="114"/>
      <c r="J1641" s="114"/>
      <c r="K1641" s="114"/>
      <c r="L1641" s="114"/>
      <c r="M1641" s="114"/>
      <c r="N1641" s="114"/>
      <c r="P1641" s="234"/>
      <c r="Q1641" s="240"/>
    </row>
    <row r="1642" spans="6:17" x14ac:dyDescent="0.25">
      <c r="F1642" s="134"/>
      <c r="H1642" s="114"/>
      <c r="I1642" s="114"/>
      <c r="J1642" s="114"/>
      <c r="K1642" s="114"/>
      <c r="L1642" s="114"/>
      <c r="M1642" s="114"/>
      <c r="N1642" s="114"/>
      <c r="P1642" s="234"/>
      <c r="Q1642" s="240"/>
    </row>
    <row r="1643" spans="6:17" x14ac:dyDescent="0.25">
      <c r="F1643" s="134"/>
      <c r="H1643" s="114"/>
      <c r="I1643" s="114"/>
      <c r="J1643" s="114"/>
      <c r="K1643" s="114"/>
      <c r="L1643" s="114"/>
      <c r="M1643" s="114"/>
      <c r="N1643" s="114"/>
      <c r="P1643" s="234"/>
      <c r="Q1643" s="240"/>
    </row>
    <row r="1644" spans="6:17" x14ac:dyDescent="0.25">
      <c r="F1644" s="134"/>
      <c r="H1644" s="114"/>
      <c r="I1644" s="114"/>
      <c r="J1644" s="114"/>
      <c r="K1644" s="114"/>
      <c r="L1644" s="114"/>
      <c r="M1644" s="114"/>
      <c r="N1644" s="114"/>
      <c r="P1644" s="234"/>
      <c r="Q1644" s="240"/>
    </row>
    <row r="1645" spans="6:17" x14ac:dyDescent="0.25">
      <c r="F1645" s="134"/>
      <c r="H1645" s="114"/>
      <c r="I1645" s="114"/>
      <c r="J1645" s="114"/>
      <c r="K1645" s="114"/>
      <c r="L1645" s="114"/>
      <c r="M1645" s="114"/>
      <c r="N1645" s="114"/>
      <c r="P1645" s="234"/>
      <c r="Q1645" s="240"/>
    </row>
    <row r="1646" spans="6:17" x14ac:dyDescent="0.25">
      <c r="F1646" s="134"/>
      <c r="H1646" s="114"/>
      <c r="I1646" s="114"/>
      <c r="J1646" s="114"/>
      <c r="K1646" s="114"/>
      <c r="L1646" s="114"/>
      <c r="M1646" s="114"/>
      <c r="N1646" s="114"/>
      <c r="P1646" s="234"/>
      <c r="Q1646" s="240"/>
    </row>
    <row r="1647" spans="6:17" x14ac:dyDescent="0.25">
      <c r="F1647" s="134"/>
      <c r="H1647" s="114"/>
      <c r="I1647" s="114"/>
      <c r="J1647" s="114"/>
      <c r="K1647" s="114"/>
      <c r="L1647" s="114"/>
      <c r="M1647" s="114"/>
      <c r="N1647" s="114"/>
      <c r="P1647" s="234"/>
      <c r="Q1647" s="240"/>
    </row>
    <row r="1648" spans="6:17" x14ac:dyDescent="0.25">
      <c r="F1648" s="134"/>
      <c r="H1648" s="114"/>
      <c r="I1648" s="114"/>
      <c r="J1648" s="114"/>
      <c r="K1648" s="114"/>
      <c r="L1648" s="114"/>
      <c r="M1648" s="114"/>
      <c r="N1648" s="114"/>
      <c r="P1648" s="234"/>
      <c r="Q1648" s="240"/>
    </row>
    <row r="1649" spans="6:17" x14ac:dyDescent="0.25">
      <c r="F1649" s="134"/>
      <c r="H1649" s="114"/>
      <c r="I1649" s="114"/>
      <c r="J1649" s="114"/>
      <c r="K1649" s="114"/>
      <c r="L1649" s="114"/>
      <c r="M1649" s="114"/>
      <c r="N1649" s="114"/>
      <c r="P1649" s="234"/>
      <c r="Q1649" s="240"/>
    </row>
    <row r="1650" spans="6:17" x14ac:dyDescent="0.25">
      <c r="F1650" s="134"/>
      <c r="H1650" s="114"/>
      <c r="I1650" s="114"/>
      <c r="J1650" s="114"/>
      <c r="K1650" s="114"/>
      <c r="L1650" s="114"/>
      <c r="M1650" s="114"/>
      <c r="N1650" s="114"/>
      <c r="P1650" s="234"/>
      <c r="Q1650" s="240"/>
    </row>
    <row r="1651" spans="6:17" x14ac:dyDescent="0.25">
      <c r="F1651" s="134"/>
      <c r="H1651" s="114"/>
      <c r="I1651" s="114"/>
      <c r="J1651" s="114"/>
      <c r="K1651" s="114"/>
      <c r="L1651" s="114"/>
      <c r="M1651" s="114"/>
      <c r="N1651" s="114"/>
      <c r="P1651" s="234"/>
      <c r="Q1651" s="240"/>
    </row>
    <row r="1652" spans="6:17" x14ac:dyDescent="0.25">
      <c r="F1652" s="134"/>
      <c r="H1652" s="114"/>
      <c r="I1652" s="114"/>
      <c r="J1652" s="114"/>
      <c r="K1652" s="114"/>
      <c r="L1652" s="114"/>
      <c r="M1652" s="114"/>
      <c r="N1652" s="114"/>
      <c r="P1652" s="234"/>
      <c r="Q1652" s="240"/>
    </row>
    <row r="1653" spans="6:17" x14ac:dyDescent="0.25">
      <c r="F1653" s="134"/>
      <c r="H1653" s="114"/>
      <c r="I1653" s="114"/>
      <c r="J1653" s="114"/>
      <c r="K1653" s="114"/>
      <c r="L1653" s="114"/>
      <c r="M1653" s="114"/>
      <c r="N1653" s="114"/>
      <c r="P1653" s="234"/>
      <c r="Q1653" s="240"/>
    </row>
    <row r="1654" spans="6:17" x14ac:dyDescent="0.25">
      <c r="F1654" s="134"/>
      <c r="H1654" s="114"/>
      <c r="I1654" s="114"/>
      <c r="J1654" s="114"/>
      <c r="K1654" s="114"/>
      <c r="L1654" s="114"/>
      <c r="M1654" s="114"/>
      <c r="N1654" s="114"/>
      <c r="P1654" s="234"/>
      <c r="Q1654" s="240"/>
    </row>
    <row r="1655" spans="6:17" x14ac:dyDescent="0.25">
      <c r="F1655" s="134"/>
      <c r="H1655" s="114"/>
      <c r="I1655" s="114"/>
      <c r="J1655" s="114"/>
      <c r="K1655" s="114"/>
      <c r="L1655" s="114"/>
      <c r="M1655" s="114"/>
      <c r="N1655" s="114"/>
      <c r="P1655" s="234"/>
      <c r="Q1655" s="240"/>
    </row>
    <row r="1656" spans="6:17" x14ac:dyDescent="0.25">
      <c r="F1656" s="134"/>
      <c r="H1656" s="114"/>
      <c r="I1656" s="114"/>
      <c r="J1656" s="114"/>
      <c r="K1656" s="114"/>
      <c r="L1656" s="114"/>
      <c r="M1656" s="114"/>
      <c r="N1656" s="114"/>
      <c r="P1656" s="234"/>
      <c r="Q1656" s="240"/>
    </row>
    <row r="1657" spans="6:17" x14ac:dyDescent="0.25">
      <c r="F1657" s="134"/>
      <c r="H1657" s="114"/>
      <c r="I1657" s="114"/>
      <c r="J1657" s="114"/>
      <c r="K1657" s="114"/>
      <c r="L1657" s="114"/>
      <c r="M1657" s="114"/>
      <c r="N1657" s="114"/>
      <c r="P1657" s="234"/>
      <c r="Q1657" s="240"/>
    </row>
    <row r="1658" spans="6:17" x14ac:dyDescent="0.25">
      <c r="F1658" s="134"/>
      <c r="H1658" s="114"/>
      <c r="I1658" s="114"/>
      <c r="J1658" s="114"/>
      <c r="K1658" s="114"/>
      <c r="L1658" s="114"/>
      <c r="M1658" s="114"/>
      <c r="N1658" s="114"/>
      <c r="P1658" s="234"/>
      <c r="Q1658" s="240"/>
    </row>
    <row r="1659" spans="6:17" x14ac:dyDescent="0.25">
      <c r="F1659" s="134"/>
      <c r="H1659" s="114"/>
      <c r="I1659" s="114"/>
      <c r="J1659" s="114"/>
      <c r="K1659" s="114"/>
      <c r="L1659" s="114"/>
      <c r="M1659" s="114"/>
      <c r="N1659" s="114"/>
      <c r="P1659" s="234"/>
      <c r="Q1659" s="240"/>
    </row>
    <row r="1660" spans="6:17" x14ac:dyDescent="0.25">
      <c r="F1660" s="134"/>
      <c r="H1660" s="114"/>
      <c r="I1660" s="114"/>
      <c r="J1660" s="114"/>
      <c r="K1660" s="114"/>
      <c r="L1660" s="114"/>
      <c r="M1660" s="114"/>
      <c r="N1660" s="114"/>
      <c r="P1660" s="234"/>
      <c r="Q1660" s="240"/>
    </row>
    <row r="1661" spans="6:17" x14ac:dyDescent="0.25">
      <c r="F1661" s="134"/>
      <c r="H1661" s="114"/>
      <c r="I1661" s="114"/>
      <c r="J1661" s="114"/>
      <c r="K1661" s="114"/>
      <c r="L1661" s="114"/>
      <c r="M1661" s="114"/>
      <c r="N1661" s="114"/>
      <c r="P1661" s="234"/>
      <c r="Q1661" s="240"/>
    </row>
    <row r="1662" spans="6:17" x14ac:dyDescent="0.25">
      <c r="F1662" s="134"/>
      <c r="H1662" s="114"/>
      <c r="I1662" s="114"/>
      <c r="J1662" s="114"/>
      <c r="K1662" s="114"/>
      <c r="L1662" s="114"/>
      <c r="M1662" s="114"/>
      <c r="N1662" s="114"/>
      <c r="P1662" s="234"/>
      <c r="Q1662" s="240"/>
    </row>
    <row r="1663" spans="6:17" x14ac:dyDescent="0.25">
      <c r="F1663" s="134"/>
      <c r="H1663" s="114"/>
      <c r="I1663" s="114"/>
      <c r="J1663" s="114"/>
      <c r="K1663" s="114"/>
      <c r="L1663" s="114"/>
      <c r="M1663" s="114"/>
      <c r="N1663" s="114"/>
      <c r="P1663" s="234"/>
      <c r="Q1663" s="240"/>
    </row>
    <row r="1664" spans="6:17" x14ac:dyDescent="0.25">
      <c r="F1664" s="134"/>
      <c r="H1664" s="114"/>
      <c r="I1664" s="114"/>
      <c r="J1664" s="114"/>
      <c r="K1664" s="114"/>
      <c r="L1664" s="114"/>
      <c r="M1664" s="114"/>
      <c r="N1664" s="114"/>
      <c r="P1664" s="234"/>
      <c r="Q1664" s="240"/>
    </row>
    <row r="1665" spans="6:17" x14ac:dyDescent="0.25">
      <c r="F1665" s="134"/>
      <c r="H1665" s="114"/>
      <c r="I1665" s="114"/>
      <c r="J1665" s="114"/>
      <c r="K1665" s="114"/>
      <c r="L1665" s="114"/>
      <c r="M1665" s="114"/>
      <c r="N1665" s="114"/>
      <c r="P1665" s="234"/>
      <c r="Q1665" s="240"/>
    </row>
    <row r="1666" spans="6:17" x14ac:dyDescent="0.25">
      <c r="F1666" s="134"/>
      <c r="H1666" s="114"/>
      <c r="I1666" s="114"/>
      <c r="J1666" s="114"/>
      <c r="K1666" s="114"/>
      <c r="L1666" s="114"/>
      <c r="M1666" s="114"/>
      <c r="N1666" s="114"/>
      <c r="P1666" s="234"/>
      <c r="Q1666" s="240"/>
    </row>
    <row r="1667" spans="6:17" x14ac:dyDescent="0.25">
      <c r="F1667" s="134"/>
      <c r="H1667" s="114"/>
      <c r="I1667" s="114"/>
      <c r="J1667" s="114"/>
      <c r="K1667" s="114"/>
      <c r="L1667" s="114"/>
      <c r="M1667" s="114"/>
      <c r="N1667" s="114"/>
      <c r="P1667" s="234"/>
      <c r="Q1667" s="240"/>
    </row>
    <row r="1668" spans="6:17" x14ac:dyDescent="0.25">
      <c r="F1668" s="134"/>
      <c r="H1668" s="114"/>
      <c r="I1668" s="114"/>
      <c r="J1668" s="114"/>
      <c r="K1668" s="114"/>
      <c r="L1668" s="114"/>
      <c r="M1668" s="114"/>
      <c r="N1668" s="114"/>
      <c r="P1668" s="234"/>
      <c r="Q1668" s="240"/>
    </row>
    <row r="1669" spans="6:17" x14ac:dyDescent="0.25">
      <c r="F1669" s="134"/>
      <c r="H1669" s="114"/>
      <c r="I1669" s="114"/>
      <c r="J1669" s="114"/>
      <c r="K1669" s="114"/>
      <c r="L1669" s="114"/>
      <c r="M1669" s="114"/>
      <c r="N1669" s="114"/>
      <c r="P1669" s="234"/>
      <c r="Q1669" s="240"/>
    </row>
    <row r="1670" spans="6:17" x14ac:dyDescent="0.25">
      <c r="F1670" s="134"/>
      <c r="H1670" s="114"/>
      <c r="I1670" s="114"/>
      <c r="J1670" s="114"/>
      <c r="K1670" s="114"/>
      <c r="L1670" s="114"/>
      <c r="M1670" s="114"/>
      <c r="N1670" s="114"/>
      <c r="P1670" s="234"/>
      <c r="Q1670" s="240"/>
    </row>
    <row r="1671" spans="6:17" x14ac:dyDescent="0.25">
      <c r="F1671" s="134"/>
      <c r="H1671" s="114"/>
      <c r="I1671" s="114"/>
      <c r="J1671" s="114"/>
      <c r="K1671" s="114"/>
      <c r="L1671" s="114"/>
      <c r="M1671" s="114"/>
      <c r="N1671" s="114"/>
      <c r="P1671" s="234"/>
      <c r="Q1671" s="240"/>
    </row>
    <row r="1672" spans="6:17" x14ac:dyDescent="0.25">
      <c r="F1672" s="134"/>
      <c r="H1672" s="114"/>
      <c r="I1672" s="114"/>
      <c r="J1672" s="114"/>
      <c r="K1672" s="114"/>
      <c r="L1672" s="114"/>
      <c r="M1672" s="114"/>
      <c r="N1672" s="114"/>
      <c r="P1672" s="234"/>
      <c r="Q1672" s="240"/>
    </row>
    <row r="1673" spans="6:17" x14ac:dyDescent="0.25">
      <c r="F1673" s="134"/>
      <c r="H1673" s="114"/>
      <c r="I1673" s="114"/>
      <c r="J1673" s="114"/>
      <c r="K1673" s="114"/>
      <c r="L1673" s="114"/>
      <c r="M1673" s="114"/>
      <c r="N1673" s="114"/>
      <c r="P1673" s="234"/>
      <c r="Q1673" s="240"/>
    </row>
    <row r="1674" spans="6:17" x14ac:dyDescent="0.25">
      <c r="F1674" s="134"/>
      <c r="H1674" s="114"/>
      <c r="I1674" s="114"/>
      <c r="J1674" s="114"/>
      <c r="K1674" s="114"/>
      <c r="L1674" s="114"/>
      <c r="M1674" s="114"/>
      <c r="N1674" s="114"/>
      <c r="P1674" s="234"/>
      <c r="Q1674" s="240"/>
    </row>
    <row r="1675" spans="6:17" x14ac:dyDescent="0.25">
      <c r="F1675" s="134"/>
      <c r="H1675" s="114"/>
      <c r="I1675" s="114"/>
      <c r="J1675" s="114"/>
      <c r="K1675" s="114"/>
      <c r="L1675" s="114"/>
      <c r="M1675" s="114"/>
      <c r="N1675" s="114"/>
      <c r="P1675" s="234"/>
      <c r="Q1675" s="240"/>
    </row>
    <row r="1676" spans="6:17" x14ac:dyDescent="0.25">
      <c r="F1676" s="134"/>
      <c r="H1676" s="114"/>
      <c r="I1676" s="114"/>
      <c r="J1676" s="114"/>
      <c r="K1676" s="114"/>
      <c r="L1676" s="114"/>
      <c r="M1676" s="114"/>
      <c r="N1676" s="114"/>
      <c r="P1676" s="234"/>
      <c r="Q1676" s="240"/>
    </row>
    <row r="1677" spans="6:17" x14ac:dyDescent="0.25">
      <c r="F1677" s="134"/>
      <c r="H1677" s="114"/>
      <c r="I1677" s="114"/>
      <c r="J1677" s="114"/>
      <c r="K1677" s="114"/>
      <c r="L1677" s="114"/>
      <c r="M1677" s="114"/>
      <c r="N1677" s="114"/>
      <c r="P1677" s="234"/>
      <c r="Q1677" s="240"/>
    </row>
    <row r="1678" spans="6:17" x14ac:dyDescent="0.25">
      <c r="F1678" s="134"/>
      <c r="H1678" s="114"/>
      <c r="I1678" s="114"/>
      <c r="J1678" s="114"/>
      <c r="K1678" s="114"/>
      <c r="L1678" s="114"/>
      <c r="M1678" s="114"/>
      <c r="N1678" s="114"/>
      <c r="P1678" s="234"/>
      <c r="Q1678" s="240"/>
    </row>
    <row r="1679" spans="6:17" x14ac:dyDescent="0.25">
      <c r="F1679" s="134"/>
      <c r="H1679" s="114"/>
      <c r="I1679" s="114"/>
      <c r="J1679" s="114"/>
      <c r="K1679" s="114"/>
      <c r="L1679" s="114"/>
      <c r="M1679" s="114"/>
      <c r="N1679" s="114"/>
      <c r="P1679" s="234"/>
      <c r="Q1679" s="240"/>
    </row>
    <row r="1680" spans="6:17" x14ac:dyDescent="0.25">
      <c r="F1680" s="134"/>
      <c r="H1680" s="114"/>
      <c r="I1680" s="114"/>
      <c r="J1680" s="114"/>
      <c r="K1680" s="114"/>
      <c r="L1680" s="114"/>
      <c r="M1680" s="114"/>
      <c r="N1680" s="114"/>
      <c r="P1680" s="234"/>
      <c r="Q1680" s="240"/>
    </row>
    <row r="1681" spans="6:17" x14ac:dyDescent="0.25">
      <c r="F1681" s="134"/>
      <c r="H1681" s="114"/>
      <c r="I1681" s="114"/>
      <c r="J1681" s="114"/>
      <c r="K1681" s="114"/>
      <c r="L1681" s="114"/>
      <c r="M1681" s="114"/>
      <c r="N1681" s="114"/>
      <c r="P1681" s="234"/>
      <c r="Q1681" s="240"/>
    </row>
    <row r="1682" spans="6:17" x14ac:dyDescent="0.25">
      <c r="F1682" s="134"/>
      <c r="H1682" s="114"/>
      <c r="I1682" s="114"/>
      <c r="J1682" s="114"/>
      <c r="K1682" s="114"/>
      <c r="L1682" s="114"/>
      <c r="M1682" s="114"/>
      <c r="N1682" s="114"/>
      <c r="P1682" s="234"/>
      <c r="Q1682" s="240"/>
    </row>
    <row r="1683" spans="6:17" x14ac:dyDescent="0.25">
      <c r="F1683" s="134"/>
      <c r="H1683" s="114"/>
      <c r="I1683" s="114"/>
      <c r="J1683" s="114"/>
      <c r="K1683" s="114"/>
      <c r="L1683" s="114"/>
      <c r="M1683" s="114"/>
      <c r="N1683" s="114"/>
      <c r="P1683" s="234"/>
      <c r="Q1683" s="240"/>
    </row>
    <row r="1684" spans="6:17" x14ac:dyDescent="0.25">
      <c r="F1684" s="134"/>
      <c r="H1684" s="114"/>
      <c r="I1684" s="114"/>
      <c r="J1684" s="114"/>
      <c r="K1684" s="114"/>
      <c r="L1684" s="114"/>
      <c r="M1684" s="114"/>
      <c r="N1684" s="114"/>
      <c r="P1684" s="234"/>
      <c r="Q1684" s="240"/>
    </row>
    <row r="1685" spans="6:17" x14ac:dyDescent="0.25">
      <c r="F1685" s="134"/>
      <c r="H1685" s="114"/>
      <c r="I1685" s="114"/>
      <c r="J1685" s="114"/>
      <c r="K1685" s="114"/>
      <c r="L1685" s="114"/>
      <c r="M1685" s="114"/>
      <c r="N1685" s="114"/>
      <c r="P1685" s="234"/>
      <c r="Q1685" s="240"/>
    </row>
    <row r="1686" spans="6:17" x14ac:dyDescent="0.25">
      <c r="F1686" s="134"/>
      <c r="H1686" s="114"/>
      <c r="I1686" s="114"/>
      <c r="J1686" s="114"/>
      <c r="K1686" s="114"/>
      <c r="L1686" s="114"/>
      <c r="M1686" s="114"/>
      <c r="N1686" s="114"/>
      <c r="P1686" s="234"/>
      <c r="Q1686" s="240"/>
    </row>
    <row r="1687" spans="6:17" x14ac:dyDescent="0.25">
      <c r="F1687" s="134"/>
      <c r="H1687" s="114"/>
      <c r="I1687" s="114"/>
      <c r="J1687" s="114"/>
      <c r="K1687" s="114"/>
      <c r="L1687" s="114"/>
      <c r="M1687" s="114"/>
      <c r="N1687" s="114"/>
      <c r="P1687" s="234"/>
      <c r="Q1687" s="240"/>
    </row>
    <row r="1688" spans="6:17" x14ac:dyDescent="0.25">
      <c r="F1688" s="134"/>
      <c r="H1688" s="114"/>
      <c r="I1688" s="114"/>
      <c r="J1688" s="114"/>
      <c r="K1688" s="114"/>
      <c r="L1688" s="114"/>
      <c r="M1688" s="114"/>
      <c r="N1688" s="114"/>
      <c r="P1688" s="234"/>
      <c r="Q1688" s="240"/>
    </row>
    <row r="1689" spans="6:17" x14ac:dyDescent="0.25">
      <c r="F1689" s="134"/>
      <c r="H1689" s="114"/>
      <c r="I1689" s="114"/>
      <c r="J1689" s="114"/>
      <c r="K1689" s="114"/>
      <c r="L1689" s="114"/>
      <c r="M1689" s="114"/>
      <c r="N1689" s="114"/>
      <c r="P1689" s="234"/>
      <c r="Q1689" s="240"/>
    </row>
    <row r="1690" spans="6:17" x14ac:dyDescent="0.25">
      <c r="F1690" s="134"/>
      <c r="H1690" s="114"/>
      <c r="I1690" s="114"/>
      <c r="J1690" s="114"/>
      <c r="K1690" s="114"/>
      <c r="L1690" s="114"/>
      <c r="M1690" s="114"/>
      <c r="N1690" s="114"/>
      <c r="P1690" s="234"/>
      <c r="Q1690" s="240"/>
    </row>
    <row r="1691" spans="6:17" x14ac:dyDescent="0.25">
      <c r="F1691" s="134"/>
      <c r="H1691" s="114"/>
      <c r="I1691" s="114"/>
      <c r="J1691" s="114"/>
      <c r="K1691" s="114"/>
      <c r="L1691" s="114"/>
      <c r="M1691" s="114"/>
      <c r="N1691" s="114"/>
      <c r="P1691" s="234"/>
      <c r="Q1691" s="240"/>
    </row>
    <row r="1692" spans="6:17" x14ac:dyDescent="0.25">
      <c r="F1692" s="134"/>
      <c r="H1692" s="114"/>
      <c r="I1692" s="114"/>
      <c r="J1692" s="114"/>
      <c r="K1692" s="114"/>
      <c r="L1692" s="114"/>
      <c r="M1692" s="114"/>
      <c r="N1692" s="114"/>
      <c r="P1692" s="234"/>
      <c r="Q1692" s="240"/>
    </row>
    <row r="1693" spans="6:17" x14ac:dyDescent="0.25">
      <c r="F1693" s="134"/>
      <c r="H1693" s="114"/>
      <c r="I1693" s="114"/>
      <c r="J1693" s="114"/>
      <c r="K1693" s="114"/>
      <c r="L1693" s="114"/>
      <c r="M1693" s="114"/>
      <c r="N1693" s="114"/>
      <c r="P1693" s="234"/>
      <c r="Q1693" s="240"/>
    </row>
    <row r="1694" spans="6:17" x14ac:dyDescent="0.25">
      <c r="F1694" s="134"/>
      <c r="H1694" s="114"/>
      <c r="I1694" s="114"/>
      <c r="J1694" s="114"/>
      <c r="K1694" s="114"/>
      <c r="L1694" s="114"/>
      <c r="M1694" s="114"/>
      <c r="N1694" s="114"/>
      <c r="P1694" s="234"/>
      <c r="Q1694" s="240"/>
    </row>
    <row r="1695" spans="6:17" x14ac:dyDescent="0.25">
      <c r="F1695" s="134"/>
      <c r="H1695" s="114"/>
      <c r="I1695" s="114"/>
      <c r="J1695" s="114"/>
      <c r="K1695" s="114"/>
      <c r="L1695" s="114"/>
      <c r="M1695" s="114"/>
      <c r="N1695" s="114"/>
      <c r="P1695" s="234"/>
      <c r="Q1695" s="240"/>
    </row>
    <row r="1696" spans="6:17" x14ac:dyDescent="0.25">
      <c r="F1696" s="134"/>
      <c r="H1696" s="114"/>
      <c r="I1696" s="114"/>
      <c r="J1696" s="114"/>
      <c r="K1696" s="114"/>
      <c r="L1696" s="114"/>
      <c r="M1696" s="114"/>
      <c r="N1696" s="114"/>
      <c r="P1696" s="234"/>
      <c r="Q1696" s="240"/>
    </row>
    <row r="1697" spans="6:17" x14ac:dyDescent="0.25">
      <c r="F1697" s="134"/>
      <c r="H1697" s="114"/>
      <c r="I1697" s="114"/>
      <c r="J1697" s="114"/>
      <c r="K1697" s="114"/>
      <c r="L1697" s="114"/>
      <c r="M1697" s="114"/>
      <c r="N1697" s="114"/>
      <c r="P1697" s="234"/>
      <c r="Q1697" s="240"/>
    </row>
    <row r="1698" spans="6:17" x14ac:dyDescent="0.25">
      <c r="F1698" s="134"/>
      <c r="H1698" s="114"/>
      <c r="I1698" s="114"/>
      <c r="J1698" s="114"/>
      <c r="K1698" s="114"/>
      <c r="L1698" s="114"/>
      <c r="M1698" s="114"/>
      <c r="N1698" s="114"/>
      <c r="P1698" s="234"/>
      <c r="Q1698" s="240"/>
    </row>
    <row r="1699" spans="6:17" x14ac:dyDescent="0.25">
      <c r="F1699" s="134"/>
      <c r="H1699" s="114"/>
      <c r="I1699" s="114"/>
      <c r="J1699" s="114"/>
      <c r="K1699" s="114"/>
      <c r="L1699" s="114"/>
      <c r="M1699" s="114"/>
      <c r="N1699" s="114"/>
      <c r="P1699" s="234"/>
      <c r="Q1699" s="240"/>
    </row>
    <row r="1700" spans="6:17" x14ac:dyDescent="0.25">
      <c r="F1700" s="134"/>
      <c r="H1700" s="114"/>
      <c r="I1700" s="114"/>
      <c r="J1700" s="114"/>
      <c r="K1700" s="114"/>
      <c r="L1700" s="114"/>
      <c r="M1700" s="114"/>
      <c r="N1700" s="114"/>
      <c r="P1700" s="234"/>
      <c r="Q1700" s="240"/>
    </row>
    <row r="1701" spans="6:17" x14ac:dyDescent="0.25">
      <c r="F1701" s="134"/>
      <c r="H1701" s="114"/>
      <c r="I1701" s="114"/>
      <c r="J1701" s="114"/>
      <c r="K1701" s="114"/>
      <c r="L1701" s="114"/>
      <c r="M1701" s="114"/>
      <c r="N1701" s="114"/>
      <c r="P1701" s="234"/>
      <c r="Q1701" s="240"/>
    </row>
    <row r="1702" spans="6:17" x14ac:dyDescent="0.25">
      <c r="F1702" s="134"/>
      <c r="H1702" s="114"/>
      <c r="I1702" s="114"/>
      <c r="J1702" s="114"/>
      <c r="K1702" s="114"/>
      <c r="L1702" s="114"/>
      <c r="M1702" s="114"/>
      <c r="N1702" s="114"/>
      <c r="P1702" s="234"/>
      <c r="Q1702" s="240"/>
    </row>
    <row r="1703" spans="6:17" x14ac:dyDescent="0.25">
      <c r="F1703" s="134"/>
      <c r="H1703" s="114"/>
      <c r="I1703" s="114"/>
      <c r="J1703" s="114"/>
      <c r="K1703" s="114"/>
      <c r="L1703" s="114"/>
      <c r="M1703" s="114"/>
      <c r="N1703" s="114"/>
      <c r="P1703" s="234"/>
      <c r="Q1703" s="240"/>
    </row>
    <row r="1704" spans="6:17" x14ac:dyDescent="0.25">
      <c r="F1704" s="134"/>
      <c r="H1704" s="114"/>
      <c r="I1704" s="114"/>
      <c r="J1704" s="114"/>
      <c r="K1704" s="114"/>
      <c r="L1704" s="114"/>
      <c r="M1704" s="114"/>
      <c r="N1704" s="114"/>
      <c r="P1704" s="234"/>
      <c r="Q1704" s="240"/>
    </row>
    <row r="1705" spans="6:17" x14ac:dyDescent="0.25">
      <c r="F1705" s="134"/>
      <c r="H1705" s="114"/>
      <c r="I1705" s="114"/>
      <c r="J1705" s="114"/>
      <c r="K1705" s="114"/>
      <c r="L1705" s="114"/>
      <c r="M1705" s="114"/>
      <c r="N1705" s="114"/>
      <c r="P1705" s="234"/>
      <c r="Q1705" s="240"/>
    </row>
    <row r="1706" spans="6:17" x14ac:dyDescent="0.25">
      <c r="F1706" s="134"/>
      <c r="H1706" s="114"/>
      <c r="I1706" s="114"/>
      <c r="J1706" s="114"/>
      <c r="K1706" s="114"/>
      <c r="L1706" s="114"/>
      <c r="M1706" s="114"/>
      <c r="N1706" s="114"/>
      <c r="P1706" s="234"/>
      <c r="Q1706" s="240"/>
    </row>
    <row r="1707" spans="6:17" x14ac:dyDescent="0.25">
      <c r="F1707" s="134"/>
      <c r="H1707" s="114"/>
      <c r="I1707" s="114"/>
      <c r="J1707" s="114"/>
      <c r="K1707" s="114"/>
      <c r="L1707" s="114"/>
      <c r="M1707" s="114"/>
      <c r="N1707" s="114"/>
      <c r="P1707" s="234"/>
      <c r="Q1707" s="240"/>
    </row>
    <row r="1708" spans="6:17" x14ac:dyDescent="0.25">
      <c r="F1708" s="134"/>
      <c r="H1708" s="114"/>
      <c r="I1708" s="114"/>
      <c r="J1708" s="114"/>
      <c r="K1708" s="114"/>
      <c r="L1708" s="114"/>
      <c r="M1708" s="114"/>
      <c r="N1708" s="114"/>
      <c r="P1708" s="234"/>
      <c r="Q1708" s="240"/>
    </row>
    <row r="1709" spans="6:17" x14ac:dyDescent="0.25">
      <c r="F1709" s="134"/>
      <c r="H1709" s="114"/>
      <c r="I1709" s="114"/>
      <c r="J1709" s="114"/>
      <c r="K1709" s="114"/>
      <c r="L1709" s="114"/>
      <c r="M1709" s="114"/>
      <c r="N1709" s="114"/>
      <c r="P1709" s="234"/>
      <c r="Q1709" s="240"/>
    </row>
    <row r="1710" spans="6:17" x14ac:dyDescent="0.25">
      <c r="F1710" s="134"/>
      <c r="H1710" s="114"/>
      <c r="I1710" s="114"/>
      <c r="J1710" s="114"/>
      <c r="K1710" s="114"/>
      <c r="L1710" s="114"/>
      <c r="M1710" s="114"/>
      <c r="N1710" s="114"/>
      <c r="P1710" s="234"/>
      <c r="Q1710" s="240"/>
    </row>
    <row r="1711" spans="6:17" x14ac:dyDescent="0.25">
      <c r="F1711" s="134"/>
      <c r="H1711" s="114"/>
      <c r="I1711" s="114"/>
      <c r="J1711" s="114"/>
      <c r="K1711" s="114"/>
      <c r="L1711" s="114"/>
      <c r="M1711" s="114"/>
      <c r="N1711" s="114"/>
      <c r="P1711" s="234"/>
      <c r="Q1711" s="240"/>
    </row>
    <row r="1712" spans="6:17" x14ac:dyDescent="0.25">
      <c r="F1712" s="134"/>
      <c r="H1712" s="114"/>
      <c r="I1712" s="114"/>
      <c r="J1712" s="114"/>
      <c r="K1712" s="114"/>
      <c r="L1712" s="114"/>
      <c r="M1712" s="114"/>
      <c r="N1712" s="114"/>
      <c r="P1712" s="234"/>
      <c r="Q1712" s="240"/>
    </row>
    <row r="1713" spans="6:17" x14ac:dyDescent="0.25">
      <c r="F1713" s="134"/>
      <c r="H1713" s="114"/>
      <c r="I1713" s="114"/>
      <c r="J1713" s="114"/>
      <c r="K1713" s="114"/>
      <c r="L1713" s="114"/>
      <c r="M1713" s="114"/>
      <c r="N1713" s="114"/>
      <c r="P1713" s="234"/>
      <c r="Q1713" s="240"/>
    </row>
    <row r="1714" spans="6:17" x14ac:dyDescent="0.25">
      <c r="F1714" s="134"/>
      <c r="H1714" s="114"/>
      <c r="I1714" s="114"/>
      <c r="J1714" s="114"/>
      <c r="K1714" s="114"/>
      <c r="L1714" s="114"/>
      <c r="M1714" s="114"/>
      <c r="N1714" s="114"/>
      <c r="P1714" s="234"/>
      <c r="Q1714" s="240"/>
    </row>
    <row r="1715" spans="6:17" x14ac:dyDescent="0.25">
      <c r="F1715" s="134"/>
      <c r="H1715" s="114"/>
      <c r="I1715" s="114"/>
      <c r="J1715" s="114"/>
      <c r="K1715" s="114"/>
      <c r="L1715" s="114"/>
      <c r="M1715" s="114"/>
      <c r="N1715" s="114"/>
      <c r="P1715" s="234"/>
      <c r="Q1715" s="240"/>
    </row>
    <row r="1716" spans="6:17" x14ac:dyDescent="0.25">
      <c r="F1716" s="134"/>
      <c r="H1716" s="114"/>
      <c r="I1716" s="114"/>
      <c r="J1716" s="114"/>
      <c r="K1716" s="114"/>
      <c r="L1716" s="114"/>
      <c r="M1716" s="114"/>
      <c r="N1716" s="114"/>
      <c r="P1716" s="234"/>
      <c r="Q1716" s="240"/>
    </row>
    <row r="1717" spans="6:17" x14ac:dyDescent="0.25">
      <c r="F1717" s="134"/>
      <c r="H1717" s="114"/>
      <c r="I1717" s="114"/>
      <c r="J1717" s="114"/>
      <c r="K1717" s="114"/>
      <c r="L1717" s="114"/>
      <c r="M1717" s="114"/>
      <c r="N1717" s="114"/>
      <c r="P1717" s="234"/>
      <c r="Q1717" s="240"/>
    </row>
    <row r="1718" spans="6:17" x14ac:dyDescent="0.25">
      <c r="F1718" s="134"/>
      <c r="H1718" s="114"/>
      <c r="I1718" s="114"/>
      <c r="J1718" s="114"/>
      <c r="K1718" s="114"/>
      <c r="L1718" s="114"/>
      <c r="M1718" s="114"/>
      <c r="N1718" s="114"/>
      <c r="P1718" s="234"/>
      <c r="Q1718" s="240"/>
    </row>
    <row r="1719" spans="6:17" x14ac:dyDescent="0.25">
      <c r="F1719" s="134"/>
      <c r="H1719" s="114"/>
      <c r="I1719" s="114"/>
      <c r="J1719" s="114"/>
      <c r="K1719" s="114"/>
      <c r="L1719" s="114"/>
      <c r="M1719" s="114"/>
      <c r="N1719" s="114"/>
      <c r="P1719" s="234"/>
      <c r="Q1719" s="240"/>
    </row>
    <row r="1720" spans="6:17" x14ac:dyDescent="0.25">
      <c r="F1720" s="134"/>
      <c r="H1720" s="114"/>
      <c r="I1720" s="114"/>
      <c r="J1720" s="114"/>
      <c r="K1720" s="114"/>
      <c r="L1720" s="114"/>
      <c r="M1720" s="114"/>
      <c r="N1720" s="114"/>
      <c r="P1720" s="234"/>
      <c r="Q1720" s="240"/>
    </row>
    <row r="1721" spans="6:17" x14ac:dyDescent="0.25">
      <c r="F1721" s="134"/>
      <c r="H1721" s="114"/>
      <c r="I1721" s="114"/>
      <c r="J1721" s="114"/>
      <c r="K1721" s="114"/>
      <c r="L1721" s="114"/>
      <c r="M1721" s="114"/>
      <c r="N1721" s="114"/>
      <c r="P1721" s="234"/>
      <c r="Q1721" s="240"/>
    </row>
    <row r="1722" spans="6:17" x14ac:dyDescent="0.25">
      <c r="F1722" s="134"/>
      <c r="H1722" s="114"/>
      <c r="I1722" s="114"/>
      <c r="J1722" s="114"/>
      <c r="K1722" s="114"/>
      <c r="L1722" s="114"/>
      <c r="M1722" s="114"/>
      <c r="N1722" s="114"/>
      <c r="P1722" s="234"/>
      <c r="Q1722" s="240"/>
    </row>
    <row r="1723" spans="6:17" x14ac:dyDescent="0.25">
      <c r="F1723" s="134"/>
      <c r="H1723" s="114"/>
      <c r="I1723" s="114"/>
      <c r="J1723" s="114"/>
      <c r="K1723" s="114"/>
      <c r="L1723" s="114"/>
      <c r="M1723" s="114"/>
      <c r="N1723" s="114"/>
      <c r="P1723" s="234"/>
      <c r="Q1723" s="240"/>
    </row>
    <row r="1724" spans="6:17" x14ac:dyDescent="0.25">
      <c r="F1724" s="134"/>
      <c r="H1724" s="114"/>
      <c r="I1724" s="114"/>
      <c r="J1724" s="114"/>
      <c r="K1724" s="114"/>
      <c r="L1724" s="114"/>
      <c r="M1724" s="114"/>
      <c r="N1724" s="114"/>
      <c r="P1724" s="234"/>
      <c r="Q1724" s="240"/>
    </row>
    <row r="1725" spans="6:17" x14ac:dyDescent="0.25">
      <c r="F1725" s="134"/>
      <c r="H1725" s="114"/>
      <c r="I1725" s="114"/>
      <c r="J1725" s="114"/>
      <c r="K1725" s="114"/>
      <c r="L1725" s="114"/>
      <c r="M1725" s="114"/>
      <c r="N1725" s="114"/>
      <c r="P1725" s="234"/>
      <c r="Q1725" s="240"/>
    </row>
    <row r="1726" spans="6:17" x14ac:dyDescent="0.25">
      <c r="F1726" s="134"/>
      <c r="H1726" s="114"/>
      <c r="I1726" s="114"/>
      <c r="J1726" s="114"/>
      <c r="K1726" s="114"/>
      <c r="L1726" s="114"/>
      <c r="M1726" s="114"/>
      <c r="N1726" s="114"/>
      <c r="P1726" s="234"/>
      <c r="Q1726" s="240"/>
    </row>
    <row r="1727" spans="6:17" x14ac:dyDescent="0.25">
      <c r="F1727" s="134"/>
      <c r="H1727" s="114"/>
      <c r="I1727" s="114"/>
      <c r="J1727" s="114"/>
      <c r="K1727" s="114"/>
      <c r="L1727" s="114"/>
      <c r="M1727" s="114"/>
      <c r="N1727" s="114"/>
      <c r="P1727" s="234"/>
      <c r="Q1727" s="240"/>
    </row>
    <row r="1728" spans="6:17" x14ac:dyDescent="0.25">
      <c r="F1728" s="134"/>
      <c r="H1728" s="114"/>
      <c r="I1728" s="114"/>
      <c r="J1728" s="114"/>
      <c r="K1728" s="114"/>
      <c r="L1728" s="114"/>
      <c r="M1728" s="114"/>
      <c r="N1728" s="114"/>
      <c r="P1728" s="234"/>
      <c r="Q1728" s="240"/>
    </row>
    <row r="1729" spans="6:17" x14ac:dyDescent="0.25">
      <c r="F1729" s="134"/>
      <c r="H1729" s="114"/>
      <c r="I1729" s="114"/>
      <c r="J1729" s="114"/>
      <c r="K1729" s="114"/>
      <c r="L1729" s="114"/>
      <c r="M1729" s="114"/>
      <c r="N1729" s="114"/>
      <c r="P1729" s="234"/>
      <c r="Q1729" s="240"/>
    </row>
    <row r="1730" spans="6:17" x14ac:dyDescent="0.25">
      <c r="F1730" s="134"/>
      <c r="H1730" s="114"/>
      <c r="I1730" s="114"/>
      <c r="J1730" s="114"/>
      <c r="K1730" s="114"/>
      <c r="L1730" s="114"/>
      <c r="M1730" s="114"/>
      <c r="N1730" s="114"/>
      <c r="P1730" s="234"/>
      <c r="Q1730" s="240"/>
    </row>
    <row r="1731" spans="6:17" x14ac:dyDescent="0.25">
      <c r="F1731" s="134"/>
      <c r="H1731" s="114"/>
      <c r="I1731" s="114"/>
      <c r="J1731" s="114"/>
      <c r="K1731" s="114"/>
      <c r="L1731" s="114"/>
      <c r="M1731" s="114"/>
      <c r="N1731" s="114"/>
      <c r="P1731" s="234"/>
      <c r="Q1731" s="240"/>
    </row>
    <row r="1732" spans="6:17" x14ac:dyDescent="0.25">
      <c r="F1732" s="134"/>
      <c r="H1732" s="114"/>
      <c r="I1732" s="114"/>
      <c r="J1732" s="114"/>
      <c r="K1732" s="114"/>
      <c r="L1732" s="114"/>
      <c r="M1732" s="114"/>
      <c r="N1732" s="114"/>
      <c r="P1732" s="234"/>
      <c r="Q1732" s="240"/>
    </row>
    <row r="1733" spans="6:17" x14ac:dyDescent="0.25">
      <c r="F1733" s="134"/>
      <c r="H1733" s="114"/>
      <c r="I1733" s="114"/>
      <c r="J1733" s="114"/>
      <c r="K1733" s="114"/>
      <c r="L1733" s="114"/>
      <c r="M1733" s="114"/>
      <c r="N1733" s="114"/>
      <c r="P1733" s="234"/>
      <c r="Q1733" s="240"/>
    </row>
    <row r="1734" spans="6:17" x14ac:dyDescent="0.25">
      <c r="F1734" s="134"/>
      <c r="H1734" s="114"/>
      <c r="I1734" s="114"/>
      <c r="J1734" s="114"/>
      <c r="K1734" s="114"/>
      <c r="L1734" s="114"/>
      <c r="M1734" s="114"/>
      <c r="N1734" s="114"/>
      <c r="P1734" s="234"/>
      <c r="Q1734" s="240"/>
    </row>
    <row r="1735" spans="6:17" x14ac:dyDescent="0.25">
      <c r="F1735" s="134"/>
      <c r="H1735" s="114"/>
      <c r="I1735" s="114"/>
      <c r="J1735" s="114"/>
      <c r="K1735" s="114"/>
      <c r="L1735" s="114"/>
      <c r="M1735" s="114"/>
      <c r="N1735" s="114"/>
      <c r="P1735" s="234"/>
      <c r="Q1735" s="240"/>
    </row>
    <row r="1736" spans="6:17" x14ac:dyDescent="0.25">
      <c r="F1736" s="134"/>
      <c r="H1736" s="114"/>
      <c r="I1736" s="114"/>
      <c r="J1736" s="114"/>
      <c r="K1736" s="114"/>
      <c r="L1736" s="114"/>
      <c r="M1736" s="114"/>
      <c r="N1736" s="114"/>
      <c r="P1736" s="234"/>
      <c r="Q1736" s="240"/>
    </row>
    <row r="1737" spans="6:17" x14ac:dyDescent="0.25">
      <c r="F1737" s="134"/>
      <c r="H1737" s="114"/>
      <c r="I1737" s="114"/>
      <c r="J1737" s="114"/>
      <c r="K1737" s="114"/>
      <c r="L1737" s="114"/>
      <c r="M1737" s="114"/>
      <c r="N1737" s="114"/>
      <c r="P1737" s="234"/>
      <c r="Q1737" s="240"/>
    </row>
    <row r="1738" spans="6:17" x14ac:dyDescent="0.25">
      <c r="F1738" s="134"/>
      <c r="H1738" s="114"/>
      <c r="I1738" s="114"/>
      <c r="J1738" s="114"/>
      <c r="K1738" s="114"/>
      <c r="L1738" s="114"/>
      <c r="M1738" s="114"/>
      <c r="N1738" s="114"/>
      <c r="P1738" s="234"/>
      <c r="Q1738" s="240"/>
    </row>
    <row r="1739" spans="6:17" x14ac:dyDescent="0.25">
      <c r="F1739" s="134"/>
      <c r="H1739" s="114"/>
      <c r="I1739" s="114"/>
      <c r="J1739" s="114"/>
      <c r="K1739" s="114"/>
      <c r="L1739" s="114"/>
      <c r="M1739" s="114"/>
      <c r="N1739" s="114"/>
      <c r="P1739" s="234"/>
      <c r="Q1739" s="240"/>
    </row>
    <row r="1740" spans="6:17" x14ac:dyDescent="0.25">
      <c r="F1740" s="134"/>
      <c r="H1740" s="114"/>
      <c r="I1740" s="114"/>
      <c r="J1740" s="114"/>
      <c r="K1740" s="114"/>
      <c r="L1740" s="114"/>
      <c r="M1740" s="114"/>
      <c r="N1740" s="114"/>
      <c r="P1740" s="234"/>
      <c r="Q1740" s="240"/>
    </row>
    <row r="1741" spans="6:17" x14ac:dyDescent="0.25">
      <c r="F1741" s="134"/>
      <c r="H1741" s="114"/>
      <c r="I1741" s="114"/>
      <c r="J1741" s="114"/>
      <c r="K1741" s="114"/>
      <c r="L1741" s="114"/>
      <c r="M1741" s="114"/>
      <c r="N1741" s="114"/>
      <c r="P1741" s="234"/>
      <c r="Q1741" s="240"/>
    </row>
    <row r="1742" spans="6:17" x14ac:dyDescent="0.25">
      <c r="F1742" s="134"/>
      <c r="H1742" s="114"/>
      <c r="I1742" s="114"/>
      <c r="J1742" s="114"/>
      <c r="K1742" s="114"/>
      <c r="L1742" s="114"/>
      <c r="M1742" s="114"/>
      <c r="N1742" s="114"/>
      <c r="P1742" s="234"/>
      <c r="Q1742" s="240"/>
    </row>
    <row r="1743" spans="6:17" x14ac:dyDescent="0.25">
      <c r="F1743" s="134"/>
      <c r="H1743" s="114"/>
      <c r="I1743" s="114"/>
      <c r="J1743" s="114"/>
      <c r="K1743" s="114"/>
      <c r="L1743" s="114"/>
      <c r="M1743" s="114"/>
      <c r="N1743" s="114"/>
      <c r="P1743" s="234"/>
      <c r="Q1743" s="240"/>
    </row>
    <row r="1744" spans="6:17" x14ac:dyDescent="0.25">
      <c r="F1744" s="134"/>
      <c r="H1744" s="114"/>
      <c r="I1744" s="114"/>
      <c r="J1744" s="114"/>
      <c r="K1744" s="114"/>
      <c r="L1744" s="114"/>
      <c r="M1744" s="114"/>
      <c r="N1744" s="114"/>
      <c r="P1744" s="234"/>
      <c r="Q1744" s="240"/>
    </row>
    <row r="1745" spans="6:17" x14ac:dyDescent="0.25">
      <c r="F1745" s="134"/>
      <c r="H1745" s="114"/>
      <c r="I1745" s="114"/>
      <c r="J1745" s="114"/>
      <c r="K1745" s="114"/>
      <c r="L1745" s="114"/>
      <c r="M1745" s="114"/>
      <c r="N1745" s="114"/>
      <c r="P1745" s="234"/>
      <c r="Q1745" s="240"/>
    </row>
    <row r="1746" spans="6:17" x14ac:dyDescent="0.25">
      <c r="F1746" s="134"/>
      <c r="H1746" s="114"/>
      <c r="I1746" s="114"/>
      <c r="J1746" s="114"/>
      <c r="K1746" s="114"/>
      <c r="L1746" s="114"/>
      <c r="M1746" s="114"/>
      <c r="N1746" s="114"/>
      <c r="P1746" s="234"/>
      <c r="Q1746" s="240"/>
    </row>
    <row r="1747" spans="6:17" x14ac:dyDescent="0.25">
      <c r="F1747" s="134"/>
      <c r="H1747" s="114"/>
      <c r="I1747" s="114"/>
      <c r="J1747" s="114"/>
      <c r="K1747" s="114"/>
      <c r="L1747" s="114"/>
      <c r="M1747" s="114"/>
      <c r="N1747" s="114"/>
      <c r="P1747" s="234"/>
      <c r="Q1747" s="240"/>
    </row>
    <row r="1748" spans="6:17" x14ac:dyDescent="0.25">
      <c r="F1748" s="134"/>
      <c r="H1748" s="114"/>
      <c r="I1748" s="114"/>
      <c r="J1748" s="114"/>
      <c r="K1748" s="114"/>
      <c r="L1748" s="114"/>
      <c r="M1748" s="114"/>
      <c r="N1748" s="114"/>
      <c r="P1748" s="234"/>
      <c r="Q1748" s="240"/>
    </row>
    <row r="1749" spans="6:17" x14ac:dyDescent="0.25">
      <c r="F1749" s="134"/>
      <c r="H1749" s="114"/>
      <c r="I1749" s="114"/>
      <c r="J1749" s="114"/>
      <c r="K1749" s="114"/>
      <c r="L1749" s="114"/>
      <c r="M1749" s="114"/>
      <c r="N1749" s="114"/>
      <c r="P1749" s="234"/>
      <c r="Q1749" s="240"/>
    </row>
    <row r="1750" spans="6:17" x14ac:dyDescent="0.25">
      <c r="F1750" s="134"/>
      <c r="H1750" s="114"/>
      <c r="I1750" s="114"/>
      <c r="J1750" s="114"/>
      <c r="K1750" s="114"/>
      <c r="L1750" s="114"/>
      <c r="M1750" s="114"/>
      <c r="N1750" s="114"/>
      <c r="P1750" s="234"/>
      <c r="Q1750" s="240"/>
    </row>
    <row r="1751" spans="6:17" x14ac:dyDescent="0.25">
      <c r="F1751" s="134"/>
      <c r="H1751" s="114"/>
      <c r="I1751" s="114"/>
      <c r="J1751" s="114"/>
      <c r="K1751" s="114"/>
      <c r="L1751" s="114"/>
      <c r="M1751" s="114"/>
      <c r="N1751" s="114"/>
      <c r="P1751" s="234"/>
      <c r="Q1751" s="240"/>
    </row>
    <row r="1752" spans="6:17" x14ac:dyDescent="0.25">
      <c r="F1752" s="134"/>
      <c r="H1752" s="114"/>
      <c r="I1752" s="114"/>
      <c r="J1752" s="114"/>
      <c r="K1752" s="114"/>
      <c r="L1752" s="114"/>
      <c r="M1752" s="114"/>
      <c r="N1752" s="114"/>
      <c r="P1752" s="234"/>
      <c r="Q1752" s="240"/>
    </row>
    <row r="1753" spans="6:17" x14ac:dyDescent="0.25">
      <c r="F1753" s="134"/>
      <c r="H1753" s="114"/>
      <c r="I1753" s="114"/>
      <c r="J1753" s="114"/>
      <c r="K1753" s="114"/>
      <c r="L1753" s="114"/>
      <c r="M1753" s="114"/>
      <c r="N1753" s="114"/>
      <c r="P1753" s="234"/>
      <c r="Q1753" s="240"/>
    </row>
    <row r="1754" spans="6:17" x14ac:dyDescent="0.25">
      <c r="F1754" s="134"/>
      <c r="H1754" s="114"/>
      <c r="I1754" s="114"/>
      <c r="J1754" s="114"/>
      <c r="K1754" s="114"/>
      <c r="L1754" s="114"/>
      <c r="M1754" s="114"/>
      <c r="N1754" s="114"/>
      <c r="P1754" s="234"/>
      <c r="Q1754" s="240"/>
    </row>
    <row r="1755" spans="6:17" x14ac:dyDescent="0.25">
      <c r="F1755" s="134"/>
      <c r="H1755" s="114"/>
      <c r="I1755" s="114"/>
      <c r="J1755" s="114"/>
      <c r="K1755" s="114"/>
      <c r="L1755" s="114"/>
      <c r="M1755" s="114"/>
      <c r="N1755" s="114"/>
      <c r="P1755" s="234"/>
      <c r="Q1755" s="240"/>
    </row>
    <row r="1756" spans="6:17" x14ac:dyDescent="0.25">
      <c r="F1756" s="134"/>
      <c r="H1756" s="114"/>
      <c r="I1756" s="114"/>
      <c r="J1756" s="114"/>
      <c r="K1756" s="114"/>
      <c r="L1756" s="114"/>
      <c r="M1756" s="114"/>
      <c r="N1756" s="114"/>
      <c r="P1756" s="234"/>
      <c r="Q1756" s="240"/>
    </row>
    <row r="1757" spans="6:17" x14ac:dyDescent="0.25">
      <c r="F1757" s="134"/>
      <c r="H1757" s="114"/>
      <c r="I1757" s="114"/>
      <c r="J1757" s="114"/>
      <c r="K1757" s="114"/>
      <c r="L1757" s="114"/>
      <c r="M1757" s="114"/>
      <c r="N1757" s="114"/>
      <c r="P1757" s="234"/>
      <c r="Q1757" s="240"/>
    </row>
    <row r="1758" spans="6:17" x14ac:dyDescent="0.25">
      <c r="F1758" s="134"/>
      <c r="H1758" s="114"/>
      <c r="I1758" s="114"/>
      <c r="J1758" s="114"/>
      <c r="K1758" s="114"/>
      <c r="L1758" s="114"/>
      <c r="M1758" s="114"/>
      <c r="N1758" s="114"/>
      <c r="P1758" s="234"/>
      <c r="Q1758" s="240"/>
    </row>
    <row r="1759" spans="6:17" x14ac:dyDescent="0.25">
      <c r="F1759" s="134"/>
      <c r="H1759" s="114"/>
      <c r="I1759" s="114"/>
      <c r="J1759" s="114"/>
      <c r="K1759" s="114"/>
      <c r="L1759" s="114"/>
      <c r="M1759" s="114"/>
      <c r="N1759" s="114"/>
      <c r="P1759" s="234"/>
      <c r="Q1759" s="240"/>
    </row>
    <row r="1760" spans="6:17" x14ac:dyDescent="0.25">
      <c r="F1760" s="134"/>
      <c r="H1760" s="114"/>
      <c r="I1760" s="114"/>
      <c r="J1760" s="114"/>
      <c r="K1760" s="114"/>
      <c r="L1760" s="114"/>
      <c r="M1760" s="114"/>
      <c r="N1760" s="114"/>
      <c r="P1760" s="234"/>
      <c r="Q1760" s="240"/>
    </row>
    <row r="1761" spans="6:17" x14ac:dyDescent="0.25">
      <c r="F1761" s="134"/>
      <c r="H1761" s="114"/>
      <c r="I1761" s="114"/>
      <c r="J1761" s="114"/>
      <c r="K1761" s="114"/>
      <c r="L1761" s="114"/>
      <c r="M1761" s="114"/>
      <c r="N1761" s="114"/>
      <c r="P1761" s="234"/>
      <c r="Q1761" s="240"/>
    </row>
    <row r="1762" spans="6:17" x14ac:dyDescent="0.25">
      <c r="F1762" s="134"/>
      <c r="H1762" s="114"/>
      <c r="I1762" s="114"/>
      <c r="J1762" s="114"/>
      <c r="K1762" s="114"/>
      <c r="L1762" s="114"/>
      <c r="M1762" s="114"/>
      <c r="N1762" s="114"/>
      <c r="P1762" s="234"/>
      <c r="Q1762" s="240"/>
    </row>
    <row r="1763" spans="6:17" x14ac:dyDescent="0.25">
      <c r="F1763" s="134"/>
      <c r="H1763" s="114"/>
      <c r="I1763" s="114"/>
      <c r="J1763" s="114"/>
      <c r="K1763" s="114"/>
      <c r="L1763" s="114"/>
      <c r="M1763" s="114"/>
      <c r="N1763" s="114"/>
      <c r="P1763" s="234"/>
      <c r="Q1763" s="240"/>
    </row>
    <row r="1764" spans="6:17" x14ac:dyDescent="0.25">
      <c r="F1764" s="134"/>
      <c r="H1764" s="114"/>
      <c r="I1764" s="114"/>
      <c r="J1764" s="114"/>
      <c r="K1764" s="114"/>
      <c r="L1764" s="114"/>
      <c r="M1764" s="114"/>
      <c r="N1764" s="114"/>
      <c r="P1764" s="234"/>
      <c r="Q1764" s="240"/>
    </row>
    <row r="1765" spans="6:17" x14ac:dyDescent="0.25">
      <c r="F1765" s="134"/>
      <c r="H1765" s="114"/>
      <c r="I1765" s="114"/>
      <c r="J1765" s="114"/>
      <c r="K1765" s="114"/>
      <c r="L1765" s="114"/>
      <c r="M1765" s="114"/>
      <c r="N1765" s="114"/>
      <c r="P1765" s="234"/>
      <c r="Q1765" s="240"/>
    </row>
    <row r="1766" spans="6:17" x14ac:dyDescent="0.25">
      <c r="F1766" s="134"/>
      <c r="H1766" s="114"/>
      <c r="I1766" s="114"/>
      <c r="J1766" s="114"/>
      <c r="K1766" s="114"/>
      <c r="L1766" s="114"/>
      <c r="M1766" s="114"/>
      <c r="N1766" s="114"/>
      <c r="P1766" s="234"/>
      <c r="Q1766" s="240"/>
    </row>
    <row r="1767" spans="6:17" x14ac:dyDescent="0.25">
      <c r="F1767" s="134"/>
      <c r="H1767" s="114"/>
      <c r="I1767" s="114"/>
      <c r="J1767" s="114"/>
      <c r="K1767" s="114"/>
      <c r="L1767" s="114"/>
      <c r="M1767" s="114"/>
      <c r="N1767" s="114"/>
      <c r="P1767" s="234"/>
      <c r="Q1767" s="240"/>
    </row>
    <row r="1768" spans="6:17" x14ac:dyDescent="0.25">
      <c r="F1768" s="134"/>
      <c r="H1768" s="114"/>
      <c r="I1768" s="114"/>
      <c r="J1768" s="114"/>
      <c r="K1768" s="114"/>
      <c r="L1768" s="114"/>
      <c r="M1768" s="114"/>
      <c r="N1768" s="114"/>
      <c r="P1768" s="234"/>
      <c r="Q1768" s="240"/>
    </row>
    <row r="1769" spans="6:17" x14ac:dyDescent="0.25">
      <c r="F1769" s="134"/>
      <c r="H1769" s="114"/>
      <c r="I1769" s="114"/>
      <c r="J1769" s="114"/>
      <c r="K1769" s="114"/>
      <c r="L1769" s="114"/>
      <c r="M1769" s="114"/>
      <c r="N1769" s="114"/>
      <c r="P1769" s="234"/>
      <c r="Q1769" s="240"/>
    </row>
    <row r="1770" spans="6:17" x14ac:dyDescent="0.25">
      <c r="F1770" s="134"/>
      <c r="H1770" s="114"/>
      <c r="I1770" s="114"/>
      <c r="J1770" s="114"/>
      <c r="K1770" s="114"/>
      <c r="L1770" s="114"/>
      <c r="M1770" s="114"/>
      <c r="N1770" s="114"/>
      <c r="P1770" s="234"/>
      <c r="Q1770" s="240"/>
    </row>
    <row r="1771" spans="6:17" x14ac:dyDescent="0.25">
      <c r="F1771" s="134"/>
      <c r="H1771" s="114"/>
      <c r="I1771" s="114"/>
      <c r="J1771" s="114"/>
      <c r="K1771" s="114"/>
      <c r="L1771" s="114"/>
      <c r="M1771" s="114"/>
      <c r="N1771" s="114"/>
      <c r="P1771" s="234"/>
      <c r="Q1771" s="240"/>
    </row>
    <row r="1772" spans="6:17" x14ac:dyDescent="0.25">
      <c r="F1772" s="134"/>
      <c r="H1772" s="114"/>
      <c r="I1772" s="114"/>
      <c r="J1772" s="114"/>
      <c r="K1772" s="114"/>
      <c r="L1772" s="114"/>
      <c r="M1772" s="114"/>
      <c r="N1772" s="114"/>
      <c r="P1772" s="234"/>
      <c r="Q1772" s="240"/>
    </row>
    <row r="1773" spans="6:17" x14ac:dyDescent="0.25">
      <c r="F1773" s="134"/>
      <c r="H1773" s="114"/>
      <c r="I1773" s="114"/>
      <c r="J1773" s="114"/>
      <c r="K1773" s="114"/>
      <c r="L1773" s="114"/>
      <c r="M1773" s="114"/>
      <c r="N1773" s="114"/>
      <c r="P1773" s="234"/>
      <c r="Q1773" s="240"/>
    </row>
    <row r="1774" spans="6:17" x14ac:dyDescent="0.25">
      <c r="F1774" s="134"/>
      <c r="H1774" s="114"/>
      <c r="I1774" s="114"/>
      <c r="J1774" s="114"/>
      <c r="K1774" s="114"/>
      <c r="L1774" s="114"/>
      <c r="M1774" s="114"/>
      <c r="N1774" s="114"/>
      <c r="P1774" s="234"/>
      <c r="Q1774" s="240"/>
    </row>
    <row r="1775" spans="6:17" x14ac:dyDescent="0.25">
      <c r="F1775" s="134"/>
      <c r="H1775" s="114"/>
      <c r="I1775" s="114"/>
      <c r="J1775" s="114"/>
      <c r="K1775" s="114"/>
      <c r="L1775" s="114"/>
      <c r="M1775" s="114"/>
      <c r="N1775" s="114"/>
      <c r="P1775" s="234"/>
      <c r="Q1775" s="240"/>
    </row>
    <row r="1776" spans="6:17" x14ac:dyDescent="0.25">
      <c r="F1776" s="134"/>
      <c r="H1776" s="114"/>
      <c r="I1776" s="114"/>
      <c r="J1776" s="114"/>
      <c r="K1776" s="114"/>
      <c r="L1776" s="114"/>
      <c r="M1776" s="114"/>
      <c r="N1776" s="114"/>
      <c r="P1776" s="234"/>
      <c r="Q1776" s="240"/>
    </row>
    <row r="1777" spans="6:17" x14ac:dyDescent="0.25">
      <c r="F1777" s="134"/>
      <c r="H1777" s="114"/>
      <c r="I1777" s="114"/>
      <c r="J1777" s="114"/>
      <c r="K1777" s="114"/>
      <c r="L1777" s="114"/>
      <c r="M1777" s="114"/>
      <c r="N1777" s="114"/>
      <c r="P1777" s="234"/>
      <c r="Q1777" s="240"/>
    </row>
    <row r="1778" spans="6:17" x14ac:dyDescent="0.25">
      <c r="F1778" s="134"/>
      <c r="H1778" s="114"/>
      <c r="I1778" s="114"/>
      <c r="J1778" s="114"/>
      <c r="K1778" s="114"/>
      <c r="L1778" s="114"/>
      <c r="M1778" s="114"/>
      <c r="N1778" s="114"/>
      <c r="P1778" s="234"/>
      <c r="Q1778" s="240"/>
    </row>
    <row r="1779" spans="6:17" x14ac:dyDescent="0.25">
      <c r="F1779" s="134"/>
      <c r="H1779" s="114"/>
      <c r="I1779" s="114"/>
      <c r="J1779" s="114"/>
      <c r="K1779" s="114"/>
      <c r="L1779" s="114"/>
      <c r="M1779" s="114"/>
      <c r="N1779" s="114"/>
      <c r="P1779" s="234"/>
      <c r="Q1779" s="240"/>
    </row>
    <row r="1780" spans="6:17" x14ac:dyDescent="0.25">
      <c r="F1780" s="134"/>
      <c r="H1780" s="114"/>
      <c r="I1780" s="114"/>
      <c r="J1780" s="114"/>
      <c r="K1780" s="114"/>
      <c r="L1780" s="114"/>
      <c r="M1780" s="114"/>
      <c r="N1780" s="114"/>
      <c r="P1780" s="234"/>
      <c r="Q1780" s="240"/>
    </row>
    <row r="1781" spans="6:17" x14ac:dyDescent="0.25">
      <c r="F1781" s="134"/>
      <c r="H1781" s="114"/>
      <c r="I1781" s="114"/>
      <c r="J1781" s="114"/>
      <c r="K1781" s="114"/>
      <c r="L1781" s="114"/>
      <c r="M1781" s="114"/>
      <c r="N1781" s="114"/>
      <c r="P1781" s="234"/>
      <c r="Q1781" s="240"/>
    </row>
    <row r="1782" spans="6:17" x14ac:dyDescent="0.25">
      <c r="F1782" s="134"/>
      <c r="H1782" s="114"/>
      <c r="I1782" s="114"/>
      <c r="J1782" s="114"/>
      <c r="K1782" s="114"/>
      <c r="L1782" s="114"/>
      <c r="M1782" s="114"/>
      <c r="N1782" s="114"/>
      <c r="P1782" s="234"/>
      <c r="Q1782" s="240"/>
    </row>
    <row r="1783" spans="6:17" x14ac:dyDescent="0.25">
      <c r="F1783" s="134"/>
      <c r="H1783" s="114"/>
      <c r="I1783" s="114"/>
      <c r="J1783" s="114"/>
      <c r="K1783" s="114"/>
      <c r="L1783" s="114"/>
      <c r="M1783" s="114"/>
      <c r="N1783" s="114"/>
      <c r="P1783" s="234"/>
      <c r="Q1783" s="240"/>
    </row>
    <row r="1784" spans="6:17" x14ac:dyDescent="0.25">
      <c r="F1784" s="134"/>
      <c r="H1784" s="114"/>
      <c r="I1784" s="114"/>
      <c r="J1784" s="114"/>
      <c r="K1784" s="114"/>
      <c r="L1784" s="114"/>
      <c r="M1784" s="114"/>
      <c r="N1784" s="114"/>
      <c r="P1784" s="234"/>
      <c r="Q1784" s="240"/>
    </row>
    <row r="1785" spans="6:17" x14ac:dyDescent="0.25">
      <c r="F1785" s="134"/>
      <c r="H1785" s="114"/>
      <c r="I1785" s="114"/>
      <c r="J1785" s="114"/>
      <c r="K1785" s="114"/>
      <c r="L1785" s="114"/>
      <c r="M1785" s="114"/>
      <c r="N1785" s="114"/>
      <c r="P1785" s="234"/>
      <c r="Q1785" s="240"/>
    </row>
    <row r="1786" spans="6:17" x14ac:dyDescent="0.25">
      <c r="F1786" s="134"/>
      <c r="H1786" s="114"/>
      <c r="I1786" s="114"/>
      <c r="J1786" s="114"/>
      <c r="K1786" s="114"/>
      <c r="L1786" s="114"/>
      <c r="M1786" s="114"/>
      <c r="N1786" s="114"/>
      <c r="P1786" s="234"/>
      <c r="Q1786" s="240"/>
    </row>
    <row r="1787" spans="6:17" x14ac:dyDescent="0.25">
      <c r="F1787" s="134"/>
      <c r="H1787" s="114"/>
      <c r="I1787" s="114"/>
      <c r="J1787" s="114"/>
      <c r="K1787" s="114"/>
      <c r="L1787" s="114"/>
      <c r="M1787" s="114"/>
      <c r="N1787" s="114"/>
      <c r="P1787" s="234"/>
      <c r="Q1787" s="240"/>
    </row>
    <row r="1788" spans="6:17" x14ac:dyDescent="0.25">
      <c r="F1788" s="134"/>
      <c r="H1788" s="114"/>
      <c r="I1788" s="114"/>
      <c r="J1788" s="114"/>
      <c r="K1788" s="114"/>
      <c r="L1788" s="114"/>
      <c r="M1788" s="114"/>
      <c r="N1788" s="114"/>
      <c r="P1788" s="234"/>
      <c r="Q1788" s="240"/>
    </row>
    <row r="1789" spans="6:17" x14ac:dyDescent="0.25">
      <c r="F1789" s="134"/>
      <c r="H1789" s="114"/>
      <c r="I1789" s="114"/>
      <c r="J1789" s="114"/>
      <c r="K1789" s="114"/>
      <c r="L1789" s="114"/>
      <c r="M1789" s="114"/>
      <c r="N1789" s="114"/>
      <c r="P1789" s="234"/>
      <c r="Q1789" s="240"/>
    </row>
    <row r="1790" spans="6:17" x14ac:dyDescent="0.25">
      <c r="F1790" s="134"/>
      <c r="H1790" s="114"/>
      <c r="I1790" s="114"/>
      <c r="J1790" s="114"/>
      <c r="K1790" s="114"/>
      <c r="L1790" s="114"/>
      <c r="M1790" s="114"/>
      <c r="N1790" s="114"/>
      <c r="P1790" s="234"/>
      <c r="Q1790" s="240"/>
    </row>
    <row r="1791" spans="6:17" x14ac:dyDescent="0.25">
      <c r="F1791" s="134"/>
      <c r="H1791" s="114"/>
      <c r="I1791" s="114"/>
      <c r="J1791" s="114"/>
      <c r="K1791" s="114"/>
      <c r="L1791" s="114"/>
      <c r="M1791" s="114"/>
      <c r="N1791" s="114"/>
      <c r="P1791" s="234"/>
      <c r="Q1791" s="240"/>
    </row>
    <row r="1792" spans="6:17" x14ac:dyDescent="0.25">
      <c r="F1792" s="134"/>
      <c r="H1792" s="114"/>
      <c r="I1792" s="114"/>
      <c r="J1792" s="114"/>
      <c r="K1792" s="114"/>
      <c r="L1792" s="114"/>
      <c r="M1792" s="114"/>
      <c r="N1792" s="114"/>
      <c r="P1792" s="234"/>
      <c r="Q1792" s="240"/>
    </row>
    <row r="1793" spans="6:17" x14ac:dyDescent="0.25">
      <c r="F1793" s="134"/>
      <c r="H1793" s="114"/>
      <c r="I1793" s="114"/>
      <c r="J1793" s="114"/>
      <c r="K1793" s="114"/>
      <c r="L1793" s="114"/>
      <c r="M1793" s="114"/>
      <c r="N1793" s="114"/>
      <c r="P1793" s="234"/>
      <c r="Q1793" s="240"/>
    </row>
    <row r="1794" spans="6:17" x14ac:dyDescent="0.25">
      <c r="F1794" s="134"/>
      <c r="H1794" s="114"/>
      <c r="I1794" s="114"/>
      <c r="J1794" s="114"/>
      <c r="K1794" s="114"/>
      <c r="L1794" s="114"/>
      <c r="M1794" s="114"/>
      <c r="N1794" s="114"/>
      <c r="P1794" s="234"/>
      <c r="Q1794" s="240"/>
    </row>
    <row r="1795" spans="6:17" x14ac:dyDescent="0.25">
      <c r="F1795" s="134"/>
      <c r="H1795" s="114"/>
      <c r="I1795" s="114"/>
      <c r="J1795" s="114"/>
      <c r="K1795" s="114"/>
      <c r="L1795" s="114"/>
      <c r="M1795" s="114"/>
      <c r="N1795" s="114"/>
      <c r="P1795" s="234"/>
      <c r="Q1795" s="240"/>
    </row>
    <row r="1796" spans="6:17" x14ac:dyDescent="0.25">
      <c r="F1796" s="134"/>
      <c r="H1796" s="114"/>
      <c r="I1796" s="114"/>
      <c r="J1796" s="114"/>
      <c r="K1796" s="114"/>
      <c r="L1796" s="114"/>
      <c r="M1796" s="114"/>
      <c r="N1796" s="114"/>
      <c r="P1796" s="234"/>
      <c r="Q1796" s="240"/>
    </row>
    <row r="1797" spans="6:17" x14ac:dyDescent="0.25">
      <c r="F1797" s="134"/>
      <c r="H1797" s="114"/>
      <c r="I1797" s="114"/>
      <c r="J1797" s="114"/>
      <c r="K1797" s="114"/>
      <c r="L1797" s="114"/>
      <c r="M1797" s="114"/>
      <c r="N1797" s="114"/>
      <c r="P1797" s="234"/>
      <c r="Q1797" s="240"/>
    </row>
    <row r="1798" spans="6:17" x14ac:dyDescent="0.25">
      <c r="F1798" s="134"/>
      <c r="H1798" s="114"/>
      <c r="I1798" s="114"/>
      <c r="J1798" s="114"/>
      <c r="K1798" s="114"/>
      <c r="L1798" s="114"/>
      <c r="M1798" s="114"/>
      <c r="N1798" s="114"/>
      <c r="P1798" s="234"/>
      <c r="Q1798" s="240"/>
    </row>
    <row r="1799" spans="6:17" x14ac:dyDescent="0.25">
      <c r="F1799" s="134"/>
      <c r="H1799" s="114"/>
      <c r="I1799" s="114"/>
      <c r="J1799" s="114"/>
      <c r="K1799" s="114"/>
      <c r="L1799" s="114"/>
      <c r="M1799" s="114"/>
      <c r="N1799" s="114"/>
      <c r="P1799" s="234"/>
      <c r="Q1799" s="240"/>
    </row>
    <row r="1800" spans="6:17" x14ac:dyDescent="0.25">
      <c r="F1800" s="134"/>
      <c r="H1800" s="114"/>
      <c r="I1800" s="114"/>
      <c r="J1800" s="114"/>
      <c r="K1800" s="114"/>
      <c r="L1800" s="114"/>
      <c r="M1800" s="114"/>
      <c r="N1800" s="114"/>
      <c r="P1800" s="234"/>
      <c r="Q1800" s="240"/>
    </row>
    <row r="1801" spans="6:17" x14ac:dyDescent="0.25">
      <c r="F1801" s="134"/>
      <c r="H1801" s="114"/>
      <c r="I1801" s="114"/>
      <c r="J1801" s="114"/>
      <c r="K1801" s="114"/>
      <c r="L1801" s="114"/>
      <c r="M1801" s="114"/>
      <c r="N1801" s="114"/>
      <c r="P1801" s="234"/>
      <c r="Q1801" s="240"/>
    </row>
    <row r="1802" spans="6:17" x14ac:dyDescent="0.25">
      <c r="F1802" s="134"/>
      <c r="H1802" s="114"/>
      <c r="I1802" s="114"/>
      <c r="J1802" s="114"/>
      <c r="K1802" s="114"/>
      <c r="L1802" s="114"/>
      <c r="M1802" s="114"/>
      <c r="N1802" s="114"/>
      <c r="P1802" s="234"/>
      <c r="Q1802" s="240"/>
    </row>
    <row r="1803" spans="6:17" x14ac:dyDescent="0.25">
      <c r="F1803" s="134"/>
      <c r="H1803" s="114"/>
      <c r="I1803" s="114"/>
      <c r="J1803" s="114"/>
      <c r="K1803" s="114"/>
      <c r="L1803" s="114"/>
      <c r="M1803" s="114"/>
      <c r="N1803" s="114"/>
      <c r="P1803" s="234"/>
      <c r="Q1803" s="240"/>
    </row>
    <row r="1804" spans="6:17" x14ac:dyDescent="0.25">
      <c r="F1804" s="134"/>
      <c r="H1804" s="114"/>
      <c r="I1804" s="114"/>
      <c r="J1804" s="114"/>
      <c r="K1804" s="114"/>
      <c r="L1804" s="114"/>
      <c r="M1804" s="114"/>
      <c r="N1804" s="114"/>
      <c r="P1804" s="234"/>
      <c r="Q1804" s="240"/>
    </row>
    <row r="1805" spans="6:17" x14ac:dyDescent="0.25">
      <c r="F1805" s="134"/>
      <c r="H1805" s="114"/>
      <c r="I1805" s="114"/>
      <c r="J1805" s="114"/>
      <c r="K1805" s="114"/>
      <c r="L1805" s="114"/>
      <c r="M1805" s="114"/>
      <c r="N1805" s="114"/>
      <c r="P1805" s="234"/>
      <c r="Q1805" s="240"/>
    </row>
    <row r="1806" spans="6:17" x14ac:dyDescent="0.25">
      <c r="F1806" s="134"/>
      <c r="H1806" s="114"/>
      <c r="I1806" s="114"/>
      <c r="J1806" s="114"/>
      <c r="K1806" s="114"/>
      <c r="L1806" s="114"/>
      <c r="M1806" s="114"/>
      <c r="N1806" s="114"/>
      <c r="P1806" s="234"/>
      <c r="Q1806" s="240"/>
    </row>
    <row r="1807" spans="6:17" x14ac:dyDescent="0.25">
      <c r="F1807" s="134"/>
      <c r="H1807" s="114"/>
      <c r="I1807" s="114"/>
      <c r="J1807" s="114"/>
      <c r="K1807" s="114"/>
      <c r="L1807" s="114"/>
      <c r="M1807" s="114"/>
      <c r="N1807" s="114"/>
      <c r="P1807" s="234"/>
      <c r="Q1807" s="240"/>
    </row>
    <row r="1808" spans="6:17" x14ac:dyDescent="0.25">
      <c r="F1808" s="134"/>
      <c r="H1808" s="114"/>
      <c r="I1808" s="114"/>
      <c r="J1808" s="114"/>
      <c r="K1808" s="114"/>
      <c r="L1808" s="114"/>
      <c r="M1808" s="114"/>
      <c r="N1808" s="114"/>
      <c r="P1808" s="234"/>
      <c r="Q1808" s="240"/>
    </row>
    <row r="1809" spans="6:17" x14ac:dyDescent="0.25">
      <c r="F1809" s="134"/>
      <c r="H1809" s="114"/>
      <c r="I1809" s="114"/>
      <c r="J1809" s="114"/>
      <c r="K1809" s="114"/>
      <c r="L1809" s="114"/>
      <c r="M1809" s="114"/>
      <c r="N1809" s="114"/>
      <c r="P1809" s="234"/>
      <c r="Q1809" s="240"/>
    </row>
    <row r="1810" spans="6:17" x14ac:dyDescent="0.25">
      <c r="F1810" s="134"/>
      <c r="H1810" s="114"/>
      <c r="I1810" s="114"/>
      <c r="J1810" s="114"/>
      <c r="K1810" s="114"/>
      <c r="L1810" s="114"/>
      <c r="M1810" s="114"/>
      <c r="N1810" s="114"/>
      <c r="P1810" s="234"/>
      <c r="Q1810" s="240"/>
    </row>
    <row r="1811" spans="6:17" x14ac:dyDescent="0.25">
      <c r="F1811" s="134"/>
      <c r="H1811" s="114"/>
      <c r="I1811" s="114"/>
      <c r="J1811" s="114"/>
      <c r="K1811" s="114"/>
      <c r="L1811" s="114"/>
      <c r="M1811" s="114"/>
      <c r="N1811" s="114"/>
      <c r="P1811" s="234"/>
      <c r="Q1811" s="240"/>
    </row>
    <row r="1812" spans="6:17" x14ac:dyDescent="0.25">
      <c r="F1812" s="134"/>
      <c r="H1812" s="114"/>
      <c r="I1812" s="114"/>
      <c r="J1812" s="114"/>
      <c r="K1812" s="114"/>
      <c r="L1812" s="114"/>
      <c r="M1812" s="114"/>
      <c r="N1812" s="114"/>
      <c r="P1812" s="234"/>
      <c r="Q1812" s="240"/>
    </row>
    <row r="1813" spans="6:17" x14ac:dyDescent="0.25">
      <c r="F1813" s="134"/>
      <c r="H1813" s="114"/>
      <c r="I1813" s="114"/>
      <c r="J1813" s="114"/>
      <c r="K1813" s="114"/>
      <c r="L1813" s="114"/>
      <c r="M1813" s="114"/>
      <c r="N1813" s="114"/>
      <c r="P1813" s="234"/>
      <c r="Q1813" s="240"/>
    </row>
    <row r="1814" spans="6:17" x14ac:dyDescent="0.25">
      <c r="F1814" s="134"/>
      <c r="H1814" s="114"/>
      <c r="I1814" s="114"/>
      <c r="J1814" s="114"/>
      <c r="K1814" s="114"/>
      <c r="L1814" s="114"/>
      <c r="M1814" s="114"/>
      <c r="N1814" s="114"/>
      <c r="P1814" s="234"/>
      <c r="Q1814" s="240"/>
    </row>
    <row r="1815" spans="6:17" x14ac:dyDescent="0.25">
      <c r="F1815" s="134"/>
      <c r="H1815" s="114"/>
      <c r="I1815" s="114"/>
      <c r="J1815" s="114"/>
      <c r="K1815" s="114"/>
      <c r="L1815" s="114"/>
      <c r="M1815" s="114"/>
      <c r="N1815" s="114"/>
      <c r="P1815" s="234"/>
      <c r="Q1815" s="240"/>
    </row>
    <row r="1816" spans="6:17" x14ac:dyDescent="0.25">
      <c r="F1816" s="134"/>
      <c r="H1816" s="114"/>
      <c r="I1816" s="114"/>
      <c r="J1816" s="114"/>
      <c r="K1816" s="114"/>
      <c r="L1816" s="114"/>
      <c r="M1816" s="114"/>
      <c r="N1816" s="114"/>
      <c r="P1816" s="234"/>
      <c r="Q1816" s="240"/>
    </row>
    <row r="1817" spans="6:17" x14ac:dyDescent="0.25">
      <c r="F1817" s="134"/>
      <c r="H1817" s="114"/>
      <c r="I1817" s="114"/>
      <c r="J1817" s="114"/>
      <c r="K1817" s="114"/>
      <c r="L1817" s="114"/>
      <c r="M1817" s="114"/>
      <c r="N1817" s="114"/>
      <c r="P1817" s="234"/>
      <c r="Q1817" s="240"/>
    </row>
    <row r="1818" spans="6:17" x14ac:dyDescent="0.25">
      <c r="F1818" s="134"/>
      <c r="H1818" s="114"/>
      <c r="I1818" s="114"/>
      <c r="J1818" s="114"/>
      <c r="K1818" s="114"/>
      <c r="L1818" s="114"/>
      <c r="M1818" s="114"/>
      <c r="N1818" s="114"/>
      <c r="P1818" s="234"/>
      <c r="Q1818" s="240"/>
    </row>
    <row r="1819" spans="6:17" x14ac:dyDescent="0.25">
      <c r="F1819" s="134"/>
      <c r="H1819" s="114"/>
      <c r="I1819" s="114"/>
      <c r="J1819" s="114"/>
      <c r="K1819" s="114"/>
      <c r="L1819" s="114"/>
      <c r="M1819" s="114"/>
      <c r="N1819" s="114"/>
      <c r="P1819" s="234"/>
      <c r="Q1819" s="240"/>
    </row>
    <row r="1820" spans="6:17" x14ac:dyDescent="0.25">
      <c r="F1820" s="134"/>
      <c r="H1820" s="114"/>
      <c r="I1820" s="114"/>
      <c r="J1820" s="114"/>
      <c r="K1820" s="114"/>
      <c r="L1820" s="114"/>
      <c r="M1820" s="114"/>
      <c r="N1820" s="114"/>
      <c r="P1820" s="234"/>
      <c r="Q1820" s="240"/>
    </row>
    <row r="1821" spans="6:17" x14ac:dyDescent="0.25">
      <c r="F1821" s="134"/>
      <c r="H1821" s="114"/>
      <c r="I1821" s="114"/>
      <c r="J1821" s="114"/>
      <c r="K1821" s="114"/>
      <c r="L1821" s="114"/>
      <c r="M1821" s="114"/>
      <c r="N1821" s="114"/>
      <c r="P1821" s="234"/>
      <c r="Q1821" s="240"/>
    </row>
    <row r="1822" spans="6:17" x14ac:dyDescent="0.25">
      <c r="F1822" s="134"/>
      <c r="H1822" s="114"/>
      <c r="I1822" s="114"/>
      <c r="J1822" s="114"/>
      <c r="K1822" s="114"/>
      <c r="L1822" s="114"/>
      <c r="M1822" s="114"/>
      <c r="N1822" s="114"/>
      <c r="P1822" s="234"/>
      <c r="Q1822" s="240"/>
    </row>
    <row r="1823" spans="6:17" x14ac:dyDescent="0.25">
      <c r="F1823" s="134"/>
      <c r="H1823" s="114"/>
      <c r="I1823" s="114"/>
      <c r="J1823" s="114"/>
      <c r="K1823" s="114"/>
      <c r="L1823" s="114"/>
      <c r="M1823" s="114"/>
      <c r="N1823" s="114"/>
      <c r="P1823" s="234"/>
      <c r="Q1823" s="240"/>
    </row>
    <row r="1824" spans="6:17" x14ac:dyDescent="0.25">
      <c r="F1824" s="134"/>
      <c r="H1824" s="114"/>
      <c r="I1824" s="114"/>
      <c r="J1824" s="114"/>
      <c r="K1824" s="114"/>
      <c r="L1824" s="114"/>
      <c r="M1824" s="114"/>
      <c r="N1824" s="114"/>
      <c r="P1824" s="234"/>
      <c r="Q1824" s="240"/>
    </row>
    <row r="1825" spans="6:17" x14ac:dyDescent="0.25">
      <c r="F1825" s="134"/>
      <c r="H1825" s="114"/>
      <c r="I1825" s="114"/>
      <c r="J1825" s="114"/>
      <c r="K1825" s="114"/>
      <c r="L1825" s="114"/>
      <c r="M1825" s="114"/>
      <c r="N1825" s="114"/>
      <c r="P1825" s="234"/>
      <c r="Q1825" s="240"/>
    </row>
    <row r="1826" spans="6:17" x14ac:dyDescent="0.25">
      <c r="F1826" s="134"/>
      <c r="H1826" s="114"/>
      <c r="I1826" s="114"/>
      <c r="J1826" s="114"/>
      <c r="K1826" s="114"/>
      <c r="L1826" s="114"/>
      <c r="M1826" s="114"/>
      <c r="N1826" s="114"/>
      <c r="P1826" s="234"/>
      <c r="Q1826" s="240"/>
    </row>
    <row r="1827" spans="6:17" x14ac:dyDescent="0.25">
      <c r="F1827" s="134"/>
      <c r="H1827" s="114"/>
      <c r="I1827" s="114"/>
      <c r="J1827" s="114"/>
      <c r="K1827" s="114"/>
      <c r="L1827" s="114"/>
      <c r="M1827" s="114"/>
      <c r="N1827" s="114"/>
      <c r="P1827" s="234"/>
      <c r="Q1827" s="240"/>
    </row>
    <row r="1828" spans="6:17" x14ac:dyDescent="0.25">
      <c r="F1828" s="134"/>
      <c r="H1828" s="114"/>
      <c r="I1828" s="114"/>
      <c r="J1828" s="114"/>
      <c r="K1828" s="114"/>
      <c r="L1828" s="114"/>
      <c r="M1828" s="114"/>
      <c r="N1828" s="114"/>
      <c r="P1828" s="234"/>
      <c r="Q1828" s="240"/>
    </row>
    <row r="1829" spans="6:17" x14ac:dyDescent="0.25">
      <c r="F1829" s="134"/>
      <c r="H1829" s="114"/>
      <c r="I1829" s="114"/>
      <c r="J1829" s="114"/>
      <c r="K1829" s="114"/>
      <c r="L1829" s="114"/>
      <c r="M1829" s="114"/>
      <c r="N1829" s="114"/>
      <c r="P1829" s="234"/>
      <c r="Q1829" s="240"/>
    </row>
    <row r="1830" spans="6:17" x14ac:dyDescent="0.25">
      <c r="F1830" s="134"/>
      <c r="H1830" s="114"/>
      <c r="I1830" s="114"/>
      <c r="J1830" s="114"/>
      <c r="K1830" s="114"/>
      <c r="L1830" s="114"/>
      <c r="M1830" s="114"/>
      <c r="N1830" s="114"/>
      <c r="P1830" s="234"/>
      <c r="Q1830" s="240"/>
    </row>
    <row r="1831" spans="6:17" x14ac:dyDescent="0.25">
      <c r="F1831" s="134"/>
      <c r="H1831" s="114"/>
      <c r="I1831" s="114"/>
      <c r="J1831" s="114"/>
      <c r="K1831" s="114"/>
      <c r="L1831" s="114"/>
      <c r="M1831" s="114"/>
      <c r="N1831" s="114"/>
      <c r="P1831" s="234"/>
      <c r="Q1831" s="240"/>
    </row>
    <row r="1832" spans="6:17" x14ac:dyDescent="0.25">
      <c r="F1832" s="134"/>
      <c r="H1832" s="114"/>
      <c r="I1832" s="114"/>
      <c r="J1832" s="114"/>
      <c r="K1832" s="114"/>
      <c r="L1832" s="114"/>
      <c r="M1832" s="114"/>
      <c r="N1832" s="114"/>
      <c r="P1832" s="234"/>
      <c r="Q1832" s="240"/>
    </row>
    <row r="1833" spans="6:17" x14ac:dyDescent="0.25">
      <c r="F1833" s="134"/>
      <c r="H1833" s="114"/>
      <c r="I1833" s="114"/>
      <c r="J1833" s="114"/>
      <c r="K1833" s="114"/>
      <c r="L1833" s="114"/>
      <c r="M1833" s="114"/>
      <c r="N1833" s="114"/>
      <c r="P1833" s="234"/>
      <c r="Q1833" s="240"/>
    </row>
    <row r="1834" spans="6:17" x14ac:dyDescent="0.25">
      <c r="F1834" s="134"/>
      <c r="H1834" s="114"/>
      <c r="I1834" s="114"/>
      <c r="J1834" s="114"/>
      <c r="K1834" s="114"/>
      <c r="L1834" s="114"/>
      <c r="M1834" s="114"/>
      <c r="N1834" s="114"/>
      <c r="P1834" s="234"/>
      <c r="Q1834" s="240"/>
    </row>
    <row r="1835" spans="6:17" x14ac:dyDescent="0.25">
      <c r="F1835" s="134"/>
      <c r="H1835" s="114"/>
      <c r="I1835" s="114"/>
      <c r="J1835" s="114"/>
      <c r="K1835" s="114"/>
      <c r="L1835" s="114"/>
      <c r="M1835" s="114"/>
      <c r="N1835" s="114"/>
      <c r="P1835" s="234"/>
      <c r="Q1835" s="240"/>
    </row>
    <row r="1836" spans="6:17" x14ac:dyDescent="0.25">
      <c r="F1836" s="134"/>
      <c r="H1836" s="114"/>
      <c r="I1836" s="114"/>
      <c r="J1836" s="114"/>
      <c r="K1836" s="114"/>
      <c r="L1836" s="114"/>
      <c r="M1836" s="114"/>
      <c r="N1836" s="114"/>
      <c r="P1836" s="234"/>
      <c r="Q1836" s="240"/>
    </row>
    <row r="1837" spans="6:17" x14ac:dyDescent="0.25">
      <c r="F1837" s="134"/>
      <c r="H1837" s="114"/>
      <c r="I1837" s="114"/>
      <c r="J1837" s="114"/>
      <c r="K1837" s="114"/>
      <c r="L1837" s="114"/>
      <c r="M1837" s="114"/>
      <c r="N1837" s="114"/>
      <c r="P1837" s="234"/>
      <c r="Q1837" s="240"/>
    </row>
    <row r="1838" spans="6:17" x14ac:dyDescent="0.25">
      <c r="F1838" s="134"/>
      <c r="H1838" s="114"/>
      <c r="I1838" s="114"/>
      <c r="J1838" s="114"/>
      <c r="K1838" s="114"/>
      <c r="L1838" s="114"/>
      <c r="M1838" s="114"/>
      <c r="N1838" s="114"/>
      <c r="P1838" s="234"/>
      <c r="Q1838" s="240"/>
    </row>
    <row r="1839" spans="6:17" x14ac:dyDescent="0.25">
      <c r="F1839" s="134"/>
      <c r="H1839" s="114"/>
      <c r="I1839" s="114"/>
      <c r="J1839" s="114"/>
      <c r="K1839" s="114"/>
      <c r="L1839" s="114"/>
      <c r="M1839" s="114"/>
      <c r="N1839" s="114"/>
      <c r="P1839" s="234"/>
      <c r="Q1839" s="240"/>
    </row>
    <row r="1840" spans="6:17" x14ac:dyDescent="0.25">
      <c r="F1840" s="134"/>
      <c r="H1840" s="114"/>
      <c r="I1840" s="114"/>
      <c r="J1840" s="114"/>
      <c r="K1840" s="114"/>
      <c r="L1840" s="114"/>
      <c r="M1840" s="114"/>
      <c r="N1840" s="114"/>
      <c r="P1840" s="234"/>
      <c r="Q1840" s="240"/>
    </row>
    <row r="1841" spans="6:17" x14ac:dyDescent="0.25">
      <c r="F1841" s="134"/>
      <c r="H1841" s="114"/>
      <c r="I1841" s="114"/>
      <c r="J1841" s="114"/>
      <c r="K1841" s="114"/>
      <c r="L1841" s="114"/>
      <c r="M1841" s="114"/>
      <c r="N1841" s="114"/>
      <c r="P1841" s="234"/>
      <c r="Q1841" s="240"/>
    </row>
    <row r="1842" spans="6:17" x14ac:dyDescent="0.25">
      <c r="F1842" s="134"/>
      <c r="H1842" s="114"/>
      <c r="I1842" s="114"/>
      <c r="J1842" s="114"/>
      <c r="K1842" s="114"/>
      <c r="L1842" s="114"/>
      <c r="M1842" s="114"/>
      <c r="N1842" s="114"/>
      <c r="P1842" s="234"/>
      <c r="Q1842" s="240"/>
    </row>
    <row r="1843" spans="6:17" x14ac:dyDescent="0.25">
      <c r="F1843" s="134"/>
      <c r="H1843" s="114"/>
      <c r="I1843" s="114"/>
      <c r="J1843" s="114"/>
      <c r="K1843" s="114"/>
      <c r="L1843" s="114"/>
      <c r="M1843" s="114"/>
      <c r="N1843" s="114"/>
      <c r="P1843" s="234"/>
      <c r="Q1843" s="240"/>
    </row>
    <row r="1844" spans="6:17" x14ac:dyDescent="0.25">
      <c r="F1844" s="134"/>
      <c r="H1844" s="114"/>
      <c r="I1844" s="114"/>
      <c r="J1844" s="114"/>
      <c r="K1844" s="114"/>
      <c r="L1844" s="114"/>
      <c r="M1844" s="114"/>
      <c r="N1844" s="114"/>
      <c r="P1844" s="234"/>
      <c r="Q1844" s="240"/>
    </row>
    <row r="1845" spans="6:17" x14ac:dyDescent="0.25">
      <c r="F1845" s="134"/>
      <c r="H1845" s="114"/>
      <c r="I1845" s="114"/>
      <c r="J1845" s="114"/>
      <c r="K1845" s="114"/>
      <c r="L1845" s="114"/>
      <c r="M1845" s="114"/>
      <c r="N1845" s="114"/>
      <c r="P1845" s="234"/>
      <c r="Q1845" s="240"/>
    </row>
    <row r="1846" spans="6:17" x14ac:dyDescent="0.25">
      <c r="F1846" s="134"/>
      <c r="H1846" s="114"/>
      <c r="I1846" s="114"/>
      <c r="J1846" s="114"/>
      <c r="K1846" s="114"/>
      <c r="L1846" s="114"/>
      <c r="M1846" s="114"/>
      <c r="N1846" s="114"/>
      <c r="P1846" s="234"/>
      <c r="Q1846" s="240"/>
    </row>
    <row r="1847" spans="6:17" x14ac:dyDescent="0.25">
      <c r="F1847" s="134"/>
      <c r="H1847" s="114"/>
      <c r="I1847" s="114"/>
      <c r="J1847" s="114"/>
      <c r="K1847" s="114"/>
      <c r="L1847" s="114"/>
      <c r="M1847" s="114"/>
      <c r="N1847" s="114"/>
      <c r="P1847" s="234"/>
      <c r="Q1847" s="240"/>
    </row>
    <row r="1848" spans="6:17" x14ac:dyDescent="0.25">
      <c r="F1848" s="134"/>
      <c r="H1848" s="114"/>
      <c r="I1848" s="114"/>
      <c r="J1848" s="114"/>
      <c r="K1848" s="114"/>
      <c r="L1848" s="114"/>
      <c r="M1848" s="114"/>
      <c r="N1848" s="114"/>
      <c r="P1848" s="234"/>
      <c r="Q1848" s="240"/>
    </row>
    <row r="1849" spans="6:17" x14ac:dyDescent="0.25">
      <c r="F1849" s="134"/>
      <c r="H1849" s="114"/>
      <c r="I1849" s="114"/>
      <c r="J1849" s="114"/>
      <c r="K1849" s="114"/>
      <c r="L1849" s="114"/>
      <c r="M1849" s="114"/>
      <c r="N1849" s="114"/>
      <c r="P1849" s="234"/>
      <c r="Q1849" s="240"/>
    </row>
    <row r="1850" spans="6:17" x14ac:dyDescent="0.25">
      <c r="F1850" s="134"/>
      <c r="H1850" s="114"/>
      <c r="I1850" s="114"/>
      <c r="J1850" s="114"/>
      <c r="K1850" s="114"/>
      <c r="L1850" s="114"/>
      <c r="M1850" s="114"/>
      <c r="N1850" s="114"/>
      <c r="P1850" s="234"/>
      <c r="Q1850" s="240"/>
    </row>
    <row r="1851" spans="6:17" x14ac:dyDescent="0.25">
      <c r="F1851" s="134"/>
      <c r="H1851" s="114"/>
      <c r="I1851" s="114"/>
      <c r="J1851" s="114"/>
      <c r="K1851" s="114"/>
      <c r="L1851" s="114"/>
      <c r="M1851" s="114"/>
      <c r="N1851" s="114"/>
      <c r="P1851" s="234"/>
      <c r="Q1851" s="240"/>
    </row>
    <row r="1852" spans="6:17" x14ac:dyDescent="0.25">
      <c r="F1852" s="134"/>
      <c r="H1852" s="114"/>
      <c r="I1852" s="114"/>
      <c r="J1852" s="114"/>
      <c r="K1852" s="114"/>
      <c r="L1852" s="114"/>
      <c r="M1852" s="114"/>
      <c r="N1852" s="114"/>
      <c r="P1852" s="234"/>
      <c r="Q1852" s="240"/>
    </row>
    <row r="1853" spans="6:17" x14ac:dyDescent="0.25">
      <c r="F1853" s="134"/>
      <c r="H1853" s="114"/>
      <c r="I1853" s="114"/>
      <c r="J1853" s="114"/>
      <c r="K1853" s="114"/>
      <c r="L1853" s="114"/>
      <c r="M1853" s="114"/>
      <c r="N1853" s="114"/>
      <c r="P1853" s="234"/>
      <c r="Q1853" s="240"/>
    </row>
    <row r="1854" spans="6:17" x14ac:dyDescent="0.25">
      <c r="F1854" s="134"/>
      <c r="H1854" s="114"/>
      <c r="I1854" s="114"/>
      <c r="J1854" s="114"/>
      <c r="K1854" s="114"/>
      <c r="L1854" s="114"/>
      <c r="M1854" s="114"/>
      <c r="N1854" s="114"/>
      <c r="P1854" s="234"/>
      <c r="Q1854" s="240"/>
    </row>
    <row r="1855" spans="6:17" x14ac:dyDescent="0.25">
      <c r="F1855" s="134"/>
      <c r="H1855" s="114"/>
      <c r="I1855" s="114"/>
      <c r="J1855" s="114"/>
      <c r="K1855" s="114"/>
      <c r="L1855" s="114"/>
      <c r="M1855" s="114"/>
      <c r="N1855" s="114"/>
      <c r="P1855" s="234"/>
      <c r="Q1855" s="240"/>
    </row>
    <row r="1856" spans="6:17" x14ac:dyDescent="0.25">
      <c r="F1856" s="134"/>
      <c r="H1856" s="114"/>
      <c r="I1856" s="114"/>
      <c r="J1856" s="114"/>
      <c r="K1856" s="114"/>
      <c r="L1856" s="114"/>
      <c r="M1856" s="114"/>
      <c r="N1856" s="114"/>
      <c r="P1856" s="234"/>
      <c r="Q1856" s="240"/>
    </row>
    <row r="1857" spans="6:17" x14ac:dyDescent="0.25">
      <c r="F1857" s="134"/>
      <c r="H1857" s="114"/>
      <c r="I1857" s="114"/>
      <c r="J1857" s="114"/>
      <c r="K1857" s="114"/>
      <c r="L1857" s="114"/>
      <c r="M1857" s="114"/>
      <c r="N1857" s="114"/>
      <c r="P1857" s="234"/>
      <c r="Q1857" s="240"/>
    </row>
    <row r="1858" spans="6:17" x14ac:dyDescent="0.25">
      <c r="F1858" s="134"/>
      <c r="H1858" s="114"/>
      <c r="I1858" s="114"/>
      <c r="J1858" s="114"/>
      <c r="K1858" s="114"/>
      <c r="L1858" s="114"/>
      <c r="M1858" s="114"/>
      <c r="N1858" s="114"/>
      <c r="P1858" s="234"/>
      <c r="Q1858" s="240"/>
    </row>
    <row r="1859" spans="6:17" x14ac:dyDescent="0.25">
      <c r="F1859" s="134"/>
      <c r="H1859" s="114"/>
      <c r="I1859" s="114"/>
      <c r="J1859" s="114"/>
      <c r="K1859" s="114"/>
      <c r="L1859" s="114"/>
      <c r="M1859" s="114"/>
      <c r="N1859" s="114"/>
      <c r="P1859" s="234"/>
      <c r="Q1859" s="240"/>
    </row>
    <row r="1860" spans="6:17" x14ac:dyDescent="0.25">
      <c r="F1860" s="134"/>
      <c r="H1860" s="114"/>
      <c r="I1860" s="114"/>
      <c r="J1860" s="114"/>
      <c r="K1860" s="114"/>
      <c r="L1860" s="114"/>
      <c r="M1860" s="114"/>
      <c r="N1860" s="114"/>
      <c r="P1860" s="234"/>
      <c r="Q1860" s="240"/>
    </row>
    <row r="1861" spans="6:17" x14ac:dyDescent="0.25">
      <c r="F1861" s="134"/>
      <c r="H1861" s="114"/>
      <c r="I1861" s="114"/>
      <c r="J1861" s="114"/>
      <c r="K1861" s="114"/>
      <c r="L1861" s="114"/>
      <c r="M1861" s="114"/>
      <c r="N1861" s="114"/>
      <c r="P1861" s="234"/>
      <c r="Q1861" s="240"/>
    </row>
    <row r="1862" spans="6:17" x14ac:dyDescent="0.25">
      <c r="F1862" s="134"/>
      <c r="H1862" s="114"/>
      <c r="I1862" s="114"/>
      <c r="J1862" s="114"/>
      <c r="K1862" s="114"/>
      <c r="L1862" s="114"/>
      <c r="M1862" s="114"/>
      <c r="N1862" s="114"/>
      <c r="P1862" s="234"/>
      <c r="Q1862" s="240"/>
    </row>
    <row r="1863" spans="6:17" x14ac:dyDescent="0.25">
      <c r="F1863" s="134"/>
      <c r="H1863" s="114"/>
      <c r="I1863" s="114"/>
      <c r="J1863" s="114"/>
      <c r="K1863" s="114"/>
      <c r="L1863" s="114"/>
      <c r="M1863" s="114"/>
      <c r="N1863" s="114"/>
      <c r="P1863" s="234"/>
      <c r="Q1863" s="240"/>
    </row>
    <row r="1864" spans="6:17" x14ac:dyDescent="0.25">
      <c r="F1864" s="134"/>
      <c r="H1864" s="114"/>
      <c r="I1864" s="114"/>
      <c r="J1864" s="114"/>
      <c r="K1864" s="114"/>
      <c r="L1864" s="114"/>
      <c r="M1864" s="114"/>
      <c r="N1864" s="114"/>
      <c r="P1864" s="234"/>
      <c r="Q1864" s="240"/>
    </row>
    <row r="1865" spans="6:17" x14ac:dyDescent="0.25">
      <c r="F1865" s="134"/>
      <c r="H1865" s="114"/>
      <c r="I1865" s="114"/>
      <c r="J1865" s="114"/>
      <c r="K1865" s="114"/>
      <c r="L1865" s="114"/>
      <c r="M1865" s="114"/>
      <c r="N1865" s="114"/>
      <c r="P1865" s="234"/>
      <c r="Q1865" s="240"/>
    </row>
    <row r="1866" spans="6:17" x14ac:dyDescent="0.25">
      <c r="F1866" s="134"/>
      <c r="H1866" s="114"/>
      <c r="I1866" s="114"/>
      <c r="J1866" s="114"/>
      <c r="K1866" s="114"/>
      <c r="L1866" s="114"/>
      <c r="M1866" s="114"/>
      <c r="N1866" s="114"/>
      <c r="P1866" s="234"/>
      <c r="Q1866" s="240"/>
    </row>
    <row r="1867" spans="6:17" x14ac:dyDescent="0.25">
      <c r="F1867" s="134"/>
      <c r="H1867" s="114"/>
      <c r="I1867" s="114"/>
      <c r="J1867" s="114"/>
      <c r="K1867" s="114"/>
      <c r="L1867" s="114"/>
      <c r="M1867" s="114"/>
      <c r="N1867" s="114"/>
      <c r="P1867" s="234"/>
      <c r="Q1867" s="240"/>
    </row>
    <row r="1868" spans="6:17" x14ac:dyDescent="0.25">
      <c r="F1868" s="134"/>
      <c r="H1868" s="114"/>
      <c r="I1868" s="114"/>
      <c r="J1868" s="114"/>
      <c r="K1868" s="114"/>
      <c r="L1868" s="114"/>
      <c r="M1868" s="114"/>
      <c r="N1868" s="114"/>
      <c r="P1868" s="234"/>
      <c r="Q1868" s="240"/>
    </row>
    <row r="1869" spans="6:17" x14ac:dyDescent="0.25">
      <c r="F1869" s="134"/>
      <c r="H1869" s="114"/>
      <c r="I1869" s="114"/>
      <c r="J1869" s="114"/>
      <c r="K1869" s="114"/>
      <c r="L1869" s="114"/>
      <c r="M1869" s="114"/>
      <c r="N1869" s="114"/>
      <c r="P1869" s="234"/>
      <c r="Q1869" s="240"/>
    </row>
    <row r="1870" spans="6:17" x14ac:dyDescent="0.25">
      <c r="F1870" s="134"/>
      <c r="H1870" s="114"/>
      <c r="I1870" s="114"/>
      <c r="J1870" s="114"/>
      <c r="K1870" s="114"/>
      <c r="L1870" s="114"/>
      <c r="M1870" s="114"/>
      <c r="N1870" s="114"/>
      <c r="P1870" s="234"/>
      <c r="Q1870" s="240"/>
    </row>
    <row r="1871" spans="6:17" x14ac:dyDescent="0.25">
      <c r="F1871" s="134"/>
      <c r="H1871" s="114"/>
      <c r="I1871" s="114"/>
      <c r="J1871" s="114"/>
      <c r="K1871" s="114"/>
      <c r="L1871" s="114"/>
      <c r="M1871" s="114"/>
      <c r="N1871" s="114"/>
      <c r="P1871" s="234"/>
      <c r="Q1871" s="240"/>
    </row>
    <row r="1872" spans="6:17" x14ac:dyDescent="0.25">
      <c r="F1872" s="134"/>
      <c r="H1872" s="114"/>
      <c r="I1872" s="114"/>
      <c r="J1872" s="114"/>
      <c r="K1872" s="114"/>
      <c r="L1872" s="114"/>
      <c r="M1872" s="114"/>
      <c r="N1872" s="114"/>
      <c r="P1872" s="234"/>
      <c r="Q1872" s="240"/>
    </row>
    <row r="1873" spans="6:17" x14ac:dyDescent="0.25">
      <c r="F1873" s="134"/>
      <c r="H1873" s="114"/>
      <c r="I1873" s="114"/>
      <c r="J1873" s="114"/>
      <c r="K1873" s="114"/>
      <c r="L1873" s="114"/>
      <c r="M1873" s="114"/>
      <c r="N1873" s="114"/>
      <c r="P1873" s="234"/>
      <c r="Q1873" s="240"/>
    </row>
    <row r="1874" spans="6:17" x14ac:dyDescent="0.25">
      <c r="F1874" s="134"/>
      <c r="H1874" s="114"/>
      <c r="I1874" s="114"/>
      <c r="J1874" s="114"/>
      <c r="K1874" s="114"/>
      <c r="L1874" s="114"/>
      <c r="M1874" s="114"/>
      <c r="N1874" s="114"/>
      <c r="P1874" s="234"/>
      <c r="Q1874" s="240"/>
    </row>
    <row r="1875" spans="6:17" x14ac:dyDescent="0.25">
      <c r="F1875" s="134"/>
      <c r="H1875" s="114"/>
      <c r="I1875" s="114"/>
      <c r="J1875" s="114"/>
      <c r="K1875" s="114"/>
      <c r="L1875" s="114"/>
      <c r="M1875" s="114"/>
      <c r="N1875" s="114"/>
      <c r="P1875" s="234"/>
      <c r="Q1875" s="240"/>
    </row>
    <row r="1876" spans="6:17" x14ac:dyDescent="0.25">
      <c r="F1876" s="134"/>
      <c r="H1876" s="114"/>
      <c r="I1876" s="114"/>
      <c r="J1876" s="114"/>
      <c r="K1876" s="114"/>
      <c r="L1876" s="114"/>
      <c r="M1876" s="114"/>
      <c r="N1876" s="114"/>
      <c r="P1876" s="234"/>
      <c r="Q1876" s="240"/>
    </row>
    <row r="1877" spans="6:17" x14ac:dyDescent="0.25">
      <c r="F1877" s="134"/>
      <c r="H1877" s="114"/>
      <c r="I1877" s="114"/>
      <c r="J1877" s="114"/>
      <c r="K1877" s="114"/>
      <c r="L1877" s="114"/>
      <c r="M1877" s="114"/>
      <c r="N1877" s="114"/>
      <c r="P1877" s="234"/>
      <c r="Q1877" s="240"/>
    </row>
    <row r="1878" spans="6:17" x14ac:dyDescent="0.25">
      <c r="F1878" s="134"/>
      <c r="H1878" s="114"/>
      <c r="I1878" s="114"/>
      <c r="J1878" s="114"/>
      <c r="K1878" s="114"/>
      <c r="L1878" s="114"/>
      <c r="M1878" s="114"/>
      <c r="N1878" s="114"/>
      <c r="P1878" s="234"/>
      <c r="Q1878" s="240"/>
    </row>
    <row r="1879" spans="6:17" x14ac:dyDescent="0.25">
      <c r="F1879" s="134"/>
      <c r="H1879" s="114"/>
      <c r="I1879" s="114"/>
      <c r="J1879" s="114"/>
      <c r="K1879" s="114"/>
      <c r="L1879" s="114"/>
      <c r="M1879" s="114"/>
      <c r="N1879" s="114"/>
      <c r="P1879" s="234"/>
      <c r="Q1879" s="240"/>
    </row>
    <row r="1880" spans="6:17" x14ac:dyDescent="0.25">
      <c r="F1880" s="134"/>
      <c r="H1880" s="114"/>
      <c r="I1880" s="114"/>
      <c r="J1880" s="114"/>
      <c r="K1880" s="114"/>
      <c r="L1880" s="114"/>
      <c r="M1880" s="114"/>
      <c r="N1880" s="114"/>
      <c r="P1880" s="234"/>
      <c r="Q1880" s="240"/>
    </row>
    <row r="1881" spans="6:17" x14ac:dyDescent="0.25">
      <c r="F1881" s="134"/>
      <c r="H1881" s="114"/>
      <c r="I1881" s="114"/>
      <c r="J1881" s="114"/>
      <c r="K1881" s="114"/>
      <c r="L1881" s="114"/>
      <c r="M1881" s="114"/>
      <c r="N1881" s="114"/>
      <c r="P1881" s="234"/>
      <c r="Q1881" s="240"/>
    </row>
    <row r="1882" spans="6:17" x14ac:dyDescent="0.25">
      <c r="F1882" s="134"/>
      <c r="H1882" s="114"/>
      <c r="I1882" s="114"/>
      <c r="J1882" s="114"/>
      <c r="K1882" s="114"/>
      <c r="L1882" s="114"/>
      <c r="M1882" s="114"/>
      <c r="N1882" s="114"/>
      <c r="P1882" s="234"/>
      <c r="Q1882" s="240"/>
    </row>
    <row r="1883" spans="6:17" x14ac:dyDescent="0.25">
      <c r="F1883" s="134"/>
      <c r="H1883" s="114"/>
      <c r="I1883" s="114"/>
      <c r="J1883" s="114"/>
      <c r="K1883" s="114"/>
      <c r="L1883" s="114"/>
      <c r="M1883" s="114"/>
      <c r="N1883" s="114"/>
      <c r="P1883" s="234"/>
      <c r="Q1883" s="240"/>
    </row>
    <row r="1884" spans="6:17" x14ac:dyDescent="0.25">
      <c r="F1884" s="134"/>
      <c r="H1884" s="114"/>
      <c r="I1884" s="114"/>
      <c r="J1884" s="114"/>
      <c r="K1884" s="114"/>
      <c r="L1884" s="114"/>
      <c r="M1884" s="114"/>
      <c r="N1884" s="114"/>
      <c r="P1884" s="234"/>
      <c r="Q1884" s="240"/>
    </row>
    <row r="1885" spans="6:17" x14ac:dyDescent="0.25">
      <c r="F1885" s="134"/>
      <c r="H1885" s="114"/>
      <c r="I1885" s="114"/>
      <c r="J1885" s="114"/>
      <c r="K1885" s="114"/>
      <c r="L1885" s="114"/>
      <c r="M1885" s="114"/>
      <c r="N1885" s="114"/>
      <c r="P1885" s="234"/>
      <c r="Q1885" s="240"/>
    </row>
    <row r="1886" spans="6:17" x14ac:dyDescent="0.25">
      <c r="F1886" s="134"/>
      <c r="H1886" s="114"/>
      <c r="I1886" s="114"/>
      <c r="J1886" s="114"/>
      <c r="K1886" s="114"/>
      <c r="L1886" s="114"/>
      <c r="M1886" s="114"/>
      <c r="N1886" s="114"/>
      <c r="P1886" s="234"/>
      <c r="Q1886" s="240"/>
    </row>
    <row r="1887" spans="6:17" x14ac:dyDescent="0.25">
      <c r="F1887" s="134"/>
      <c r="H1887" s="114"/>
      <c r="I1887" s="114"/>
      <c r="J1887" s="114"/>
      <c r="K1887" s="114"/>
      <c r="L1887" s="114"/>
      <c r="M1887" s="114"/>
      <c r="N1887" s="114"/>
      <c r="P1887" s="234"/>
      <c r="Q1887" s="240"/>
    </row>
    <row r="1888" spans="6:17" x14ac:dyDescent="0.25">
      <c r="F1888" s="134"/>
      <c r="H1888" s="114"/>
      <c r="I1888" s="114"/>
      <c r="J1888" s="114"/>
      <c r="K1888" s="114"/>
      <c r="L1888" s="114"/>
      <c r="M1888" s="114"/>
      <c r="N1888" s="114"/>
      <c r="P1888" s="234"/>
      <c r="Q1888" s="240"/>
    </row>
    <row r="1889" spans="6:17" x14ac:dyDescent="0.25">
      <c r="F1889" s="134"/>
      <c r="H1889" s="114"/>
      <c r="I1889" s="114"/>
      <c r="J1889" s="114"/>
      <c r="K1889" s="114"/>
      <c r="L1889" s="114"/>
      <c r="M1889" s="114"/>
      <c r="N1889" s="114"/>
      <c r="P1889" s="234"/>
      <c r="Q1889" s="240"/>
    </row>
    <row r="1890" spans="6:17" x14ac:dyDescent="0.25">
      <c r="F1890" s="134"/>
      <c r="H1890" s="114"/>
      <c r="I1890" s="114"/>
      <c r="J1890" s="114"/>
      <c r="K1890" s="114"/>
      <c r="L1890" s="114"/>
      <c r="M1890" s="114"/>
      <c r="N1890" s="114"/>
      <c r="P1890" s="234"/>
      <c r="Q1890" s="240"/>
    </row>
    <row r="1891" spans="6:17" x14ac:dyDescent="0.25">
      <c r="F1891" s="134"/>
      <c r="H1891" s="114"/>
      <c r="I1891" s="114"/>
      <c r="J1891" s="114"/>
      <c r="K1891" s="114"/>
      <c r="L1891" s="114"/>
      <c r="M1891" s="114"/>
      <c r="N1891" s="114"/>
      <c r="P1891" s="234"/>
      <c r="Q1891" s="240"/>
    </row>
    <row r="1892" spans="6:17" x14ac:dyDescent="0.25">
      <c r="F1892" s="134"/>
      <c r="H1892" s="114"/>
      <c r="I1892" s="114"/>
      <c r="J1892" s="114"/>
      <c r="K1892" s="114"/>
      <c r="L1892" s="114"/>
      <c r="M1892" s="114"/>
      <c r="N1892" s="114"/>
      <c r="P1892" s="234"/>
      <c r="Q1892" s="240"/>
    </row>
    <row r="1893" spans="6:17" x14ac:dyDescent="0.25">
      <c r="F1893" s="134"/>
      <c r="H1893" s="114"/>
      <c r="I1893" s="114"/>
      <c r="J1893" s="114"/>
      <c r="K1893" s="114"/>
      <c r="L1893" s="114"/>
      <c r="M1893" s="114"/>
      <c r="N1893" s="114"/>
      <c r="P1893" s="234"/>
      <c r="Q1893" s="240"/>
    </row>
    <row r="1894" spans="6:17" x14ac:dyDescent="0.25">
      <c r="F1894" s="134"/>
      <c r="H1894" s="114"/>
      <c r="I1894" s="114"/>
      <c r="J1894" s="114"/>
      <c r="K1894" s="114"/>
      <c r="L1894" s="114"/>
      <c r="M1894" s="114"/>
      <c r="N1894" s="114"/>
      <c r="P1894" s="234"/>
      <c r="Q1894" s="240"/>
    </row>
    <row r="1895" spans="6:17" x14ac:dyDescent="0.25">
      <c r="F1895" s="134"/>
      <c r="H1895" s="114"/>
      <c r="I1895" s="114"/>
      <c r="J1895" s="114"/>
      <c r="K1895" s="114"/>
      <c r="L1895" s="114"/>
      <c r="M1895" s="114"/>
      <c r="N1895" s="114"/>
      <c r="P1895" s="234"/>
      <c r="Q1895" s="240"/>
    </row>
    <row r="1896" spans="6:17" x14ac:dyDescent="0.25">
      <c r="F1896" s="134"/>
      <c r="H1896" s="114"/>
      <c r="I1896" s="114"/>
      <c r="J1896" s="114"/>
      <c r="K1896" s="114"/>
      <c r="L1896" s="114"/>
      <c r="M1896" s="114"/>
      <c r="N1896" s="114"/>
      <c r="P1896" s="234"/>
      <c r="Q1896" s="240"/>
    </row>
    <row r="1897" spans="6:17" x14ac:dyDescent="0.25">
      <c r="F1897" s="134"/>
      <c r="H1897" s="114"/>
      <c r="I1897" s="114"/>
      <c r="J1897" s="114"/>
      <c r="K1897" s="114"/>
      <c r="L1897" s="114"/>
      <c r="M1897" s="114"/>
      <c r="N1897" s="114"/>
      <c r="P1897" s="234"/>
      <c r="Q1897" s="240"/>
    </row>
    <row r="1898" spans="6:17" x14ac:dyDescent="0.25">
      <c r="F1898" s="134"/>
      <c r="H1898" s="114"/>
      <c r="I1898" s="114"/>
      <c r="J1898" s="114"/>
      <c r="K1898" s="114"/>
      <c r="L1898" s="114"/>
      <c r="M1898" s="114"/>
      <c r="N1898" s="114"/>
      <c r="P1898" s="234"/>
      <c r="Q1898" s="240"/>
    </row>
    <row r="1899" spans="6:17" x14ac:dyDescent="0.25">
      <c r="F1899" s="134"/>
      <c r="H1899" s="114"/>
      <c r="I1899" s="114"/>
      <c r="J1899" s="114"/>
      <c r="K1899" s="114"/>
      <c r="L1899" s="114"/>
      <c r="M1899" s="114"/>
      <c r="N1899" s="114"/>
      <c r="P1899" s="234"/>
      <c r="Q1899" s="240"/>
    </row>
    <row r="1900" spans="6:17" x14ac:dyDescent="0.25">
      <c r="F1900" s="134"/>
      <c r="H1900" s="114"/>
      <c r="I1900" s="114"/>
      <c r="J1900" s="114"/>
      <c r="K1900" s="114"/>
      <c r="L1900" s="114"/>
      <c r="M1900" s="114"/>
      <c r="N1900" s="114"/>
      <c r="P1900" s="234"/>
      <c r="Q1900" s="240"/>
    </row>
    <row r="1901" spans="6:17" x14ac:dyDescent="0.25">
      <c r="F1901" s="134"/>
      <c r="H1901" s="114"/>
      <c r="I1901" s="114"/>
      <c r="J1901" s="114"/>
      <c r="K1901" s="114"/>
      <c r="L1901" s="114"/>
      <c r="M1901" s="114"/>
      <c r="N1901" s="114"/>
      <c r="P1901" s="234"/>
      <c r="Q1901" s="240"/>
    </row>
    <row r="1902" spans="6:17" x14ac:dyDescent="0.25">
      <c r="F1902" s="134"/>
      <c r="H1902" s="114"/>
      <c r="I1902" s="114"/>
      <c r="J1902" s="114"/>
      <c r="K1902" s="114"/>
      <c r="L1902" s="114"/>
      <c r="M1902" s="114"/>
      <c r="N1902" s="114"/>
      <c r="P1902" s="234"/>
      <c r="Q1902" s="240"/>
    </row>
    <row r="1903" spans="6:17" x14ac:dyDescent="0.25">
      <c r="F1903" s="134"/>
      <c r="H1903" s="114"/>
      <c r="I1903" s="114"/>
      <c r="J1903" s="114"/>
      <c r="K1903" s="114"/>
      <c r="L1903" s="114"/>
      <c r="M1903" s="114"/>
      <c r="N1903" s="114"/>
      <c r="P1903" s="234"/>
      <c r="Q1903" s="240"/>
    </row>
    <row r="1904" spans="6:17" x14ac:dyDescent="0.25">
      <c r="F1904" s="134"/>
      <c r="H1904" s="114"/>
      <c r="I1904" s="114"/>
      <c r="J1904" s="114"/>
      <c r="K1904" s="114"/>
      <c r="L1904" s="114"/>
      <c r="M1904" s="114"/>
      <c r="N1904" s="114"/>
      <c r="P1904" s="234"/>
      <c r="Q1904" s="240"/>
    </row>
    <row r="1905" spans="6:17" x14ac:dyDescent="0.25">
      <c r="F1905" s="134"/>
      <c r="H1905" s="114"/>
      <c r="I1905" s="114"/>
      <c r="J1905" s="114"/>
      <c r="K1905" s="114"/>
      <c r="L1905" s="114"/>
      <c r="M1905" s="114"/>
      <c r="N1905" s="114"/>
      <c r="P1905" s="234"/>
      <c r="Q1905" s="240"/>
    </row>
    <row r="1906" spans="6:17" x14ac:dyDescent="0.25">
      <c r="F1906" s="134"/>
      <c r="H1906" s="114"/>
      <c r="I1906" s="114"/>
      <c r="J1906" s="114"/>
      <c r="K1906" s="114"/>
      <c r="L1906" s="114"/>
      <c r="M1906" s="114"/>
      <c r="N1906" s="114"/>
      <c r="P1906" s="234"/>
      <c r="Q1906" s="240"/>
    </row>
    <row r="1907" spans="6:17" x14ac:dyDescent="0.25">
      <c r="F1907" s="134"/>
      <c r="H1907" s="114"/>
      <c r="I1907" s="114"/>
      <c r="J1907" s="114"/>
      <c r="K1907" s="114"/>
      <c r="L1907" s="114"/>
      <c r="M1907" s="114"/>
      <c r="N1907" s="114"/>
      <c r="P1907" s="234"/>
      <c r="Q1907" s="240"/>
    </row>
    <row r="1908" spans="6:17" x14ac:dyDescent="0.25">
      <c r="F1908" s="134"/>
      <c r="H1908" s="114"/>
      <c r="I1908" s="114"/>
      <c r="J1908" s="114"/>
      <c r="K1908" s="114"/>
      <c r="L1908" s="114"/>
      <c r="M1908" s="114"/>
      <c r="N1908" s="114"/>
      <c r="P1908" s="234"/>
      <c r="Q1908" s="240"/>
    </row>
    <row r="1909" spans="6:17" x14ac:dyDescent="0.25">
      <c r="F1909" s="134"/>
      <c r="H1909" s="114"/>
      <c r="I1909" s="114"/>
      <c r="J1909" s="114"/>
      <c r="K1909" s="114"/>
      <c r="L1909" s="114"/>
      <c r="M1909" s="114"/>
      <c r="N1909" s="114"/>
      <c r="P1909" s="234"/>
      <c r="Q1909" s="240"/>
    </row>
    <row r="1910" spans="6:17" x14ac:dyDescent="0.25">
      <c r="F1910" s="134"/>
      <c r="H1910" s="114"/>
      <c r="I1910" s="114"/>
      <c r="J1910" s="114"/>
      <c r="K1910" s="114"/>
      <c r="L1910" s="114"/>
      <c r="M1910" s="114"/>
      <c r="N1910" s="114"/>
      <c r="P1910" s="234"/>
      <c r="Q1910" s="240"/>
    </row>
    <row r="1911" spans="6:17" x14ac:dyDescent="0.25">
      <c r="F1911" s="134"/>
      <c r="H1911" s="114"/>
      <c r="I1911" s="114"/>
      <c r="J1911" s="114"/>
      <c r="K1911" s="114"/>
      <c r="L1911" s="114"/>
      <c r="M1911" s="114"/>
      <c r="N1911" s="114"/>
      <c r="P1911" s="234"/>
      <c r="Q1911" s="240"/>
    </row>
    <row r="1912" spans="6:17" x14ac:dyDescent="0.25">
      <c r="F1912" s="134"/>
      <c r="H1912" s="114"/>
      <c r="I1912" s="114"/>
      <c r="J1912" s="114"/>
      <c r="K1912" s="114"/>
      <c r="L1912" s="114"/>
      <c r="M1912" s="114"/>
      <c r="N1912" s="114"/>
      <c r="P1912" s="234"/>
      <c r="Q1912" s="240"/>
    </row>
    <row r="1913" spans="6:17" x14ac:dyDescent="0.25">
      <c r="F1913" s="134"/>
      <c r="H1913" s="114"/>
      <c r="I1913" s="114"/>
      <c r="J1913" s="114"/>
      <c r="K1913" s="114"/>
      <c r="L1913" s="114"/>
      <c r="M1913" s="114"/>
      <c r="N1913" s="114"/>
      <c r="P1913" s="234"/>
      <c r="Q1913" s="240"/>
    </row>
    <row r="1914" spans="6:17" x14ac:dyDescent="0.25">
      <c r="F1914" s="134"/>
      <c r="H1914" s="114"/>
      <c r="I1914" s="114"/>
      <c r="J1914" s="114"/>
      <c r="K1914" s="114"/>
      <c r="L1914" s="114"/>
      <c r="M1914" s="114"/>
      <c r="N1914" s="114"/>
      <c r="P1914" s="234"/>
      <c r="Q1914" s="240"/>
    </row>
    <row r="1915" spans="6:17" x14ac:dyDescent="0.25">
      <c r="F1915" s="134"/>
      <c r="H1915" s="114"/>
      <c r="I1915" s="114"/>
      <c r="J1915" s="114"/>
      <c r="K1915" s="114"/>
      <c r="L1915" s="114"/>
      <c r="M1915" s="114"/>
      <c r="N1915" s="114"/>
      <c r="P1915" s="234"/>
      <c r="Q1915" s="240"/>
    </row>
    <row r="1916" spans="6:17" x14ac:dyDescent="0.25">
      <c r="F1916" s="134"/>
      <c r="H1916" s="114"/>
      <c r="I1916" s="114"/>
      <c r="J1916" s="114"/>
      <c r="K1916" s="114"/>
      <c r="L1916" s="114"/>
      <c r="M1916" s="114"/>
      <c r="N1916" s="114"/>
      <c r="P1916" s="234"/>
      <c r="Q1916" s="240"/>
    </row>
    <row r="1917" spans="6:17" x14ac:dyDescent="0.25">
      <c r="F1917" s="134"/>
      <c r="H1917" s="114"/>
      <c r="I1917" s="114"/>
      <c r="J1917" s="114"/>
      <c r="K1917" s="114"/>
      <c r="L1917" s="114"/>
      <c r="M1917" s="114"/>
      <c r="N1917" s="114"/>
      <c r="P1917" s="234"/>
      <c r="Q1917" s="240"/>
    </row>
    <row r="1918" spans="6:17" x14ac:dyDescent="0.25">
      <c r="F1918" s="134"/>
      <c r="H1918" s="114"/>
      <c r="I1918" s="114"/>
      <c r="J1918" s="114"/>
      <c r="K1918" s="114"/>
      <c r="L1918" s="114"/>
      <c r="M1918" s="114"/>
      <c r="N1918" s="114"/>
      <c r="P1918" s="234"/>
      <c r="Q1918" s="240"/>
    </row>
    <row r="1919" spans="6:17" x14ac:dyDescent="0.25">
      <c r="F1919" s="134"/>
      <c r="H1919" s="114"/>
      <c r="I1919" s="114"/>
      <c r="J1919" s="114"/>
      <c r="K1919" s="114"/>
      <c r="L1919" s="114"/>
      <c r="M1919" s="114"/>
      <c r="N1919" s="114"/>
      <c r="P1919" s="234"/>
      <c r="Q1919" s="240"/>
    </row>
    <row r="1920" spans="6:17" x14ac:dyDescent="0.25">
      <c r="F1920" s="134"/>
      <c r="H1920" s="114"/>
      <c r="I1920" s="114"/>
      <c r="J1920" s="114"/>
      <c r="K1920" s="114"/>
      <c r="L1920" s="114"/>
      <c r="M1920" s="114"/>
      <c r="N1920" s="114"/>
      <c r="P1920" s="234"/>
      <c r="Q1920" s="240"/>
    </row>
    <row r="1921" spans="6:17" x14ac:dyDescent="0.25">
      <c r="F1921" s="134"/>
      <c r="H1921" s="114"/>
      <c r="I1921" s="114"/>
      <c r="J1921" s="114"/>
      <c r="K1921" s="114"/>
      <c r="L1921" s="114"/>
      <c r="M1921" s="114"/>
      <c r="N1921" s="114"/>
      <c r="P1921" s="234"/>
      <c r="Q1921" s="240"/>
    </row>
    <row r="1922" spans="6:17" x14ac:dyDescent="0.25">
      <c r="F1922" s="134"/>
      <c r="H1922" s="114"/>
      <c r="I1922" s="114"/>
      <c r="J1922" s="114"/>
      <c r="K1922" s="114"/>
      <c r="L1922" s="114"/>
      <c r="M1922" s="114"/>
      <c r="N1922" s="114"/>
      <c r="P1922" s="234"/>
      <c r="Q1922" s="240"/>
    </row>
    <row r="1923" spans="6:17" x14ac:dyDescent="0.25">
      <c r="F1923" s="134"/>
      <c r="H1923" s="114"/>
      <c r="I1923" s="114"/>
      <c r="J1923" s="114"/>
      <c r="K1923" s="114"/>
      <c r="L1923" s="114"/>
      <c r="M1923" s="114"/>
      <c r="N1923" s="114"/>
      <c r="P1923" s="234"/>
      <c r="Q1923" s="240"/>
    </row>
    <row r="1924" spans="6:17" x14ac:dyDescent="0.25">
      <c r="F1924" s="134"/>
      <c r="H1924" s="114"/>
      <c r="I1924" s="114"/>
      <c r="J1924" s="114"/>
      <c r="K1924" s="114"/>
      <c r="L1924" s="114"/>
      <c r="M1924" s="114"/>
      <c r="N1924" s="114"/>
      <c r="P1924" s="234"/>
      <c r="Q1924" s="240"/>
    </row>
    <row r="1925" spans="6:17" x14ac:dyDescent="0.25">
      <c r="F1925" s="134"/>
      <c r="H1925" s="114"/>
      <c r="I1925" s="114"/>
      <c r="J1925" s="114"/>
      <c r="K1925" s="114"/>
      <c r="L1925" s="114"/>
      <c r="M1925" s="114"/>
      <c r="N1925" s="114"/>
      <c r="P1925" s="234"/>
      <c r="Q1925" s="240"/>
    </row>
    <row r="1926" spans="6:17" x14ac:dyDescent="0.25">
      <c r="F1926" s="134"/>
      <c r="H1926" s="114"/>
      <c r="I1926" s="114"/>
      <c r="J1926" s="114"/>
      <c r="K1926" s="114"/>
      <c r="L1926" s="114"/>
      <c r="M1926" s="114"/>
      <c r="N1926" s="114"/>
      <c r="P1926" s="234"/>
      <c r="Q1926" s="240"/>
    </row>
    <row r="1927" spans="6:17" x14ac:dyDescent="0.25">
      <c r="F1927" s="134"/>
      <c r="H1927" s="114"/>
      <c r="I1927" s="114"/>
      <c r="J1927" s="114"/>
      <c r="K1927" s="114"/>
      <c r="L1927" s="114"/>
      <c r="M1927" s="114"/>
      <c r="N1927" s="114"/>
      <c r="P1927" s="234"/>
      <c r="Q1927" s="240"/>
    </row>
    <row r="1928" spans="6:17" x14ac:dyDescent="0.25">
      <c r="F1928" s="134"/>
      <c r="H1928" s="114"/>
      <c r="I1928" s="114"/>
      <c r="J1928" s="114"/>
      <c r="K1928" s="114"/>
      <c r="L1928" s="114"/>
      <c r="M1928" s="114"/>
      <c r="N1928" s="114"/>
      <c r="P1928" s="234"/>
      <c r="Q1928" s="240"/>
    </row>
    <row r="1929" spans="6:17" x14ac:dyDescent="0.25">
      <c r="F1929" s="134"/>
      <c r="H1929" s="114"/>
      <c r="I1929" s="114"/>
      <c r="J1929" s="114"/>
      <c r="K1929" s="114"/>
      <c r="L1929" s="114"/>
      <c r="M1929" s="114"/>
      <c r="N1929" s="114"/>
      <c r="P1929" s="234"/>
      <c r="Q1929" s="240"/>
    </row>
    <row r="1930" spans="6:17" x14ac:dyDescent="0.25">
      <c r="F1930" s="134"/>
      <c r="H1930" s="114"/>
      <c r="I1930" s="114"/>
      <c r="J1930" s="114"/>
      <c r="K1930" s="114"/>
      <c r="L1930" s="114"/>
      <c r="M1930" s="114"/>
      <c r="N1930" s="114"/>
      <c r="P1930" s="234"/>
      <c r="Q1930" s="240"/>
    </row>
    <row r="1931" spans="6:17" x14ac:dyDescent="0.25">
      <c r="F1931" s="134"/>
      <c r="H1931" s="114"/>
      <c r="I1931" s="114"/>
      <c r="J1931" s="114"/>
      <c r="K1931" s="114"/>
      <c r="L1931" s="114"/>
      <c r="M1931" s="114"/>
      <c r="N1931" s="114"/>
      <c r="P1931" s="234"/>
      <c r="Q1931" s="240"/>
    </row>
    <row r="1932" spans="6:17" x14ac:dyDescent="0.25">
      <c r="F1932" s="134"/>
      <c r="H1932" s="114"/>
      <c r="I1932" s="114"/>
      <c r="J1932" s="114"/>
      <c r="K1932" s="114"/>
      <c r="L1932" s="114"/>
      <c r="M1932" s="114"/>
      <c r="N1932" s="114"/>
      <c r="P1932" s="234"/>
      <c r="Q1932" s="240"/>
    </row>
    <row r="1933" spans="6:17" x14ac:dyDescent="0.25">
      <c r="F1933" s="134"/>
      <c r="H1933" s="114"/>
      <c r="I1933" s="114"/>
      <c r="J1933" s="114"/>
      <c r="K1933" s="114"/>
      <c r="L1933" s="114"/>
      <c r="M1933" s="114"/>
      <c r="N1933" s="114"/>
      <c r="P1933" s="234"/>
      <c r="Q1933" s="240"/>
    </row>
    <row r="1934" spans="6:17" x14ac:dyDescent="0.25">
      <c r="F1934" s="134"/>
      <c r="H1934" s="114"/>
      <c r="I1934" s="114"/>
      <c r="J1934" s="114"/>
      <c r="K1934" s="114"/>
      <c r="L1934" s="114"/>
      <c r="M1934" s="114"/>
      <c r="N1934" s="114"/>
      <c r="P1934" s="234"/>
      <c r="Q1934" s="240"/>
    </row>
    <row r="1935" spans="6:17" x14ac:dyDescent="0.25">
      <c r="F1935" s="134"/>
      <c r="H1935" s="114"/>
      <c r="I1935" s="114"/>
      <c r="J1935" s="114"/>
      <c r="K1935" s="114"/>
      <c r="L1935" s="114"/>
      <c r="M1935" s="114"/>
      <c r="N1935" s="114"/>
      <c r="P1935" s="234"/>
      <c r="Q1935" s="240"/>
    </row>
    <row r="1936" spans="6:17" x14ac:dyDescent="0.25">
      <c r="F1936" s="134"/>
      <c r="H1936" s="114"/>
      <c r="I1936" s="114"/>
      <c r="J1936" s="114"/>
      <c r="K1936" s="114"/>
      <c r="L1936" s="114"/>
      <c r="M1936" s="114"/>
      <c r="N1936" s="114"/>
      <c r="P1936" s="234"/>
      <c r="Q1936" s="240"/>
    </row>
    <row r="1937" spans="6:17" x14ac:dyDescent="0.25">
      <c r="F1937" s="134"/>
      <c r="H1937" s="114"/>
      <c r="I1937" s="114"/>
      <c r="J1937" s="114"/>
      <c r="K1937" s="114"/>
      <c r="L1937" s="114"/>
      <c r="M1937" s="114"/>
      <c r="N1937" s="114"/>
      <c r="P1937" s="234"/>
      <c r="Q1937" s="240"/>
    </row>
    <row r="1938" spans="6:17" x14ac:dyDescent="0.25">
      <c r="F1938" s="134"/>
      <c r="H1938" s="114"/>
      <c r="I1938" s="114"/>
      <c r="J1938" s="114"/>
      <c r="K1938" s="114"/>
      <c r="L1938" s="114"/>
      <c r="M1938" s="114"/>
      <c r="N1938" s="114"/>
      <c r="P1938" s="234"/>
      <c r="Q1938" s="240"/>
    </row>
    <row r="1939" spans="6:17" x14ac:dyDescent="0.25">
      <c r="F1939" s="134"/>
      <c r="H1939" s="114"/>
      <c r="I1939" s="114"/>
      <c r="J1939" s="114"/>
      <c r="K1939" s="114"/>
      <c r="L1939" s="114"/>
      <c r="M1939" s="114"/>
      <c r="N1939" s="114"/>
      <c r="P1939" s="234"/>
      <c r="Q1939" s="240"/>
    </row>
    <row r="1940" spans="6:17" x14ac:dyDescent="0.25">
      <c r="F1940" s="134"/>
      <c r="H1940" s="114"/>
      <c r="I1940" s="114"/>
      <c r="J1940" s="114"/>
      <c r="K1940" s="114"/>
      <c r="L1940" s="114"/>
      <c r="M1940" s="114"/>
      <c r="N1940" s="114"/>
      <c r="P1940" s="234"/>
      <c r="Q1940" s="240"/>
    </row>
    <row r="1941" spans="6:17" x14ac:dyDescent="0.25">
      <c r="F1941" s="134"/>
      <c r="H1941" s="114"/>
      <c r="I1941" s="114"/>
      <c r="J1941" s="114"/>
      <c r="K1941" s="114"/>
      <c r="L1941" s="114"/>
      <c r="M1941" s="114"/>
      <c r="N1941" s="114"/>
      <c r="P1941" s="234"/>
      <c r="Q1941" s="240"/>
    </row>
    <row r="1942" spans="6:17" x14ac:dyDescent="0.25">
      <c r="F1942" s="134"/>
      <c r="H1942" s="114"/>
      <c r="I1942" s="114"/>
      <c r="J1942" s="114"/>
      <c r="K1942" s="114"/>
      <c r="L1942" s="114"/>
      <c r="M1942" s="114"/>
      <c r="N1942" s="114"/>
      <c r="P1942" s="234"/>
      <c r="Q1942" s="240"/>
    </row>
    <row r="1943" spans="6:17" x14ac:dyDescent="0.25">
      <c r="F1943" s="134"/>
      <c r="H1943" s="114"/>
      <c r="I1943" s="114"/>
      <c r="J1943" s="114"/>
      <c r="K1943" s="114"/>
      <c r="L1943" s="114"/>
      <c r="M1943" s="114"/>
      <c r="N1943" s="114"/>
      <c r="P1943" s="234"/>
      <c r="Q1943" s="240"/>
    </row>
    <row r="1944" spans="6:17" x14ac:dyDescent="0.25">
      <c r="F1944" s="134"/>
      <c r="H1944" s="114"/>
      <c r="I1944" s="114"/>
      <c r="J1944" s="114"/>
      <c r="K1944" s="114"/>
      <c r="L1944" s="114"/>
      <c r="M1944" s="114"/>
      <c r="N1944" s="114"/>
      <c r="P1944" s="234"/>
      <c r="Q1944" s="240"/>
    </row>
    <row r="1945" spans="6:17" x14ac:dyDescent="0.25">
      <c r="F1945" s="134"/>
      <c r="H1945" s="114"/>
      <c r="I1945" s="114"/>
      <c r="J1945" s="114"/>
      <c r="K1945" s="114"/>
      <c r="L1945" s="114"/>
      <c r="M1945" s="114"/>
      <c r="N1945" s="114"/>
      <c r="P1945" s="234"/>
      <c r="Q1945" s="240"/>
    </row>
    <row r="1946" spans="6:17" x14ac:dyDescent="0.25">
      <c r="F1946" s="134"/>
      <c r="H1946" s="114"/>
      <c r="I1946" s="114"/>
      <c r="J1946" s="114"/>
      <c r="K1946" s="114"/>
      <c r="L1946" s="114"/>
      <c r="M1946" s="114"/>
      <c r="N1946" s="114"/>
      <c r="P1946" s="234"/>
      <c r="Q1946" s="240"/>
    </row>
    <row r="1947" spans="6:17" x14ac:dyDescent="0.25">
      <c r="F1947" s="134"/>
      <c r="H1947" s="114"/>
      <c r="I1947" s="114"/>
      <c r="J1947" s="114"/>
      <c r="K1947" s="114"/>
      <c r="L1947" s="114"/>
      <c r="M1947" s="114"/>
      <c r="N1947" s="114"/>
      <c r="P1947" s="234"/>
      <c r="Q1947" s="240"/>
    </row>
    <row r="1948" spans="6:17" x14ac:dyDescent="0.25">
      <c r="F1948" s="134"/>
      <c r="H1948" s="114"/>
      <c r="I1948" s="114"/>
      <c r="J1948" s="114"/>
      <c r="K1948" s="114"/>
      <c r="L1948" s="114"/>
      <c r="M1948" s="114"/>
      <c r="N1948" s="114"/>
      <c r="P1948" s="234"/>
      <c r="Q1948" s="240"/>
    </row>
    <row r="1949" spans="6:17" x14ac:dyDescent="0.25">
      <c r="F1949" s="134"/>
      <c r="H1949" s="114"/>
      <c r="I1949" s="114"/>
      <c r="J1949" s="114"/>
      <c r="K1949" s="114"/>
      <c r="L1949" s="114"/>
      <c r="M1949" s="114"/>
      <c r="N1949" s="114"/>
      <c r="P1949" s="234"/>
      <c r="Q1949" s="240"/>
    </row>
    <row r="1950" spans="6:17" x14ac:dyDescent="0.25">
      <c r="F1950" s="134"/>
      <c r="H1950" s="114"/>
      <c r="I1950" s="114"/>
      <c r="J1950" s="114"/>
      <c r="K1950" s="114"/>
      <c r="L1950" s="114"/>
      <c r="M1950" s="114"/>
      <c r="N1950" s="114"/>
      <c r="P1950" s="234"/>
      <c r="Q1950" s="240"/>
    </row>
    <row r="1951" spans="6:17" x14ac:dyDescent="0.25">
      <c r="F1951" s="134"/>
      <c r="H1951" s="114"/>
      <c r="I1951" s="114"/>
      <c r="J1951" s="114"/>
      <c r="K1951" s="114"/>
      <c r="L1951" s="114"/>
      <c r="M1951" s="114"/>
      <c r="N1951" s="114"/>
      <c r="P1951" s="234"/>
      <c r="Q1951" s="240"/>
    </row>
    <row r="1952" spans="6:17" x14ac:dyDescent="0.25">
      <c r="F1952" s="134"/>
      <c r="H1952" s="114"/>
      <c r="I1952" s="114"/>
      <c r="J1952" s="114"/>
      <c r="K1952" s="114"/>
      <c r="L1952" s="114"/>
      <c r="M1952" s="114"/>
      <c r="N1952" s="114"/>
      <c r="P1952" s="234"/>
      <c r="Q1952" s="240"/>
    </row>
    <row r="1953" spans="6:17" x14ac:dyDescent="0.25">
      <c r="F1953" s="134"/>
      <c r="H1953" s="114"/>
      <c r="I1953" s="114"/>
      <c r="J1953" s="114"/>
      <c r="K1953" s="114"/>
      <c r="L1953" s="114"/>
      <c r="M1953" s="114"/>
      <c r="N1953" s="114"/>
      <c r="P1953" s="234"/>
      <c r="Q1953" s="240"/>
    </row>
    <row r="1954" spans="6:17" x14ac:dyDescent="0.25">
      <c r="F1954" s="134"/>
      <c r="H1954" s="114"/>
      <c r="I1954" s="114"/>
      <c r="J1954" s="114"/>
      <c r="K1954" s="114"/>
      <c r="L1954" s="114"/>
      <c r="M1954" s="114"/>
      <c r="N1954" s="114"/>
      <c r="P1954" s="234"/>
      <c r="Q1954" s="240"/>
    </row>
    <row r="1955" spans="6:17" x14ac:dyDescent="0.25">
      <c r="F1955" s="134"/>
      <c r="H1955" s="114"/>
      <c r="I1955" s="114"/>
      <c r="J1955" s="114"/>
      <c r="K1955" s="114"/>
      <c r="L1955" s="114"/>
      <c r="M1955" s="114"/>
      <c r="N1955" s="114"/>
      <c r="P1955" s="234"/>
      <c r="Q1955" s="240"/>
    </row>
    <row r="1956" spans="6:17" x14ac:dyDescent="0.25">
      <c r="F1956" s="134"/>
      <c r="H1956" s="114"/>
      <c r="I1956" s="114"/>
      <c r="J1956" s="114"/>
      <c r="K1956" s="114"/>
      <c r="L1956" s="114"/>
      <c r="M1956" s="114"/>
      <c r="N1956" s="114"/>
      <c r="P1956" s="234"/>
      <c r="Q1956" s="240"/>
    </row>
    <row r="1957" spans="6:17" x14ac:dyDescent="0.25">
      <c r="F1957" s="134"/>
      <c r="H1957" s="114"/>
      <c r="I1957" s="114"/>
      <c r="J1957" s="114"/>
      <c r="K1957" s="114"/>
      <c r="L1957" s="114"/>
      <c r="M1957" s="114"/>
      <c r="N1957" s="114"/>
      <c r="P1957" s="234"/>
      <c r="Q1957" s="240"/>
    </row>
    <row r="1958" spans="6:17" x14ac:dyDescent="0.25">
      <c r="F1958" s="134"/>
      <c r="H1958" s="114"/>
      <c r="I1958" s="114"/>
      <c r="J1958" s="114"/>
      <c r="K1958" s="114"/>
      <c r="L1958" s="114"/>
      <c r="M1958" s="114"/>
      <c r="N1958" s="114"/>
      <c r="P1958" s="234"/>
      <c r="Q1958" s="240"/>
    </row>
    <row r="1959" spans="6:17" x14ac:dyDescent="0.25">
      <c r="F1959" s="134"/>
      <c r="H1959" s="114"/>
      <c r="I1959" s="114"/>
      <c r="J1959" s="114"/>
      <c r="K1959" s="114"/>
      <c r="L1959" s="114"/>
      <c r="M1959" s="114"/>
      <c r="N1959" s="114"/>
      <c r="P1959" s="234"/>
      <c r="Q1959" s="240"/>
    </row>
    <row r="1960" spans="6:17" x14ac:dyDescent="0.25">
      <c r="F1960" s="134"/>
      <c r="H1960" s="114"/>
      <c r="I1960" s="114"/>
      <c r="J1960" s="114"/>
      <c r="K1960" s="114"/>
      <c r="L1960" s="114"/>
      <c r="M1960" s="114"/>
      <c r="N1960" s="114"/>
      <c r="P1960" s="234"/>
      <c r="Q1960" s="240"/>
    </row>
    <row r="1961" spans="6:17" x14ac:dyDescent="0.25">
      <c r="F1961" s="134"/>
      <c r="H1961" s="114"/>
      <c r="I1961" s="114"/>
      <c r="J1961" s="114"/>
      <c r="K1961" s="114"/>
      <c r="L1961" s="114"/>
      <c r="M1961" s="114"/>
      <c r="N1961" s="114"/>
      <c r="P1961" s="234"/>
      <c r="Q1961" s="240"/>
    </row>
    <row r="1962" spans="6:17" x14ac:dyDescent="0.25">
      <c r="F1962" s="134"/>
      <c r="H1962" s="114"/>
      <c r="I1962" s="114"/>
      <c r="J1962" s="114"/>
      <c r="K1962" s="114"/>
      <c r="L1962" s="114"/>
      <c r="M1962" s="114"/>
      <c r="N1962" s="114"/>
      <c r="P1962" s="234"/>
      <c r="Q1962" s="240"/>
    </row>
    <row r="1963" spans="6:17" x14ac:dyDescent="0.25">
      <c r="F1963" s="134"/>
      <c r="H1963" s="114"/>
      <c r="I1963" s="114"/>
      <c r="J1963" s="114"/>
      <c r="K1963" s="114"/>
      <c r="L1963" s="114"/>
      <c r="M1963" s="114"/>
      <c r="N1963" s="114"/>
      <c r="P1963" s="234"/>
      <c r="Q1963" s="240"/>
    </row>
    <row r="1964" spans="6:17" x14ac:dyDescent="0.25">
      <c r="F1964" s="134"/>
      <c r="H1964" s="114"/>
      <c r="I1964" s="114"/>
      <c r="J1964" s="114"/>
      <c r="K1964" s="114"/>
      <c r="L1964" s="114"/>
      <c r="M1964" s="114"/>
      <c r="N1964" s="114"/>
      <c r="P1964" s="234"/>
      <c r="Q1964" s="240"/>
    </row>
    <row r="1965" spans="6:17" x14ac:dyDescent="0.25">
      <c r="F1965" s="134"/>
      <c r="H1965" s="114"/>
      <c r="I1965" s="114"/>
      <c r="J1965" s="114"/>
      <c r="K1965" s="114"/>
      <c r="L1965" s="114"/>
      <c r="M1965" s="114"/>
      <c r="N1965" s="114"/>
      <c r="P1965" s="234"/>
      <c r="Q1965" s="240"/>
    </row>
    <row r="1966" spans="6:17" x14ac:dyDescent="0.25">
      <c r="F1966" s="134"/>
      <c r="H1966" s="114"/>
      <c r="I1966" s="114"/>
      <c r="J1966" s="114"/>
      <c r="K1966" s="114"/>
      <c r="L1966" s="114"/>
      <c r="M1966" s="114"/>
      <c r="N1966" s="114"/>
      <c r="P1966" s="234"/>
      <c r="Q1966" s="240"/>
    </row>
    <row r="1967" spans="6:17" x14ac:dyDescent="0.25">
      <c r="F1967" s="134"/>
      <c r="H1967" s="114"/>
      <c r="I1967" s="114"/>
      <c r="J1967" s="114"/>
      <c r="K1967" s="114"/>
      <c r="L1967" s="114"/>
      <c r="M1967" s="114"/>
      <c r="N1967" s="114"/>
      <c r="P1967" s="234"/>
      <c r="Q1967" s="240"/>
    </row>
    <row r="1968" spans="6:17" x14ac:dyDescent="0.25">
      <c r="F1968" s="134"/>
      <c r="H1968" s="114"/>
      <c r="I1968" s="114"/>
      <c r="J1968" s="114"/>
      <c r="K1968" s="114"/>
      <c r="L1968" s="114"/>
      <c r="M1968" s="114"/>
      <c r="N1968" s="114"/>
      <c r="P1968" s="234"/>
      <c r="Q1968" s="240"/>
    </row>
    <row r="1969" spans="6:17" x14ac:dyDescent="0.25">
      <c r="F1969" s="134"/>
      <c r="H1969" s="114"/>
      <c r="I1969" s="114"/>
      <c r="J1969" s="114"/>
      <c r="K1969" s="114"/>
      <c r="L1969" s="114"/>
      <c r="M1969" s="114"/>
      <c r="N1969" s="114"/>
      <c r="P1969" s="234"/>
      <c r="Q1969" s="240"/>
    </row>
    <row r="1970" spans="6:17" x14ac:dyDescent="0.25">
      <c r="F1970" s="134"/>
      <c r="H1970" s="114"/>
      <c r="I1970" s="114"/>
      <c r="J1970" s="114"/>
      <c r="K1970" s="114"/>
      <c r="L1970" s="114"/>
      <c r="M1970" s="114"/>
      <c r="N1970" s="114"/>
      <c r="P1970" s="234"/>
      <c r="Q1970" s="240"/>
    </row>
    <row r="1971" spans="6:17" x14ac:dyDescent="0.25">
      <c r="F1971" s="134"/>
      <c r="H1971" s="114"/>
      <c r="I1971" s="114"/>
      <c r="J1971" s="114"/>
      <c r="K1971" s="114"/>
      <c r="L1971" s="114"/>
      <c r="M1971" s="114"/>
      <c r="N1971" s="114"/>
      <c r="P1971" s="234"/>
      <c r="Q1971" s="240"/>
    </row>
    <row r="1972" spans="6:17" x14ac:dyDescent="0.25">
      <c r="F1972" s="134"/>
      <c r="H1972" s="114"/>
      <c r="I1972" s="114"/>
      <c r="J1972" s="114"/>
      <c r="K1972" s="114"/>
      <c r="L1972" s="114"/>
      <c r="M1972" s="114"/>
      <c r="N1972" s="114"/>
      <c r="P1972" s="234"/>
      <c r="Q1972" s="240"/>
    </row>
    <row r="1973" spans="6:17" x14ac:dyDescent="0.25">
      <c r="F1973" s="134"/>
      <c r="H1973" s="114"/>
      <c r="I1973" s="114"/>
      <c r="J1973" s="114"/>
      <c r="K1973" s="114"/>
      <c r="L1973" s="114"/>
      <c r="M1973" s="114"/>
      <c r="N1973" s="114"/>
      <c r="P1973" s="234"/>
      <c r="Q1973" s="240"/>
    </row>
    <row r="1974" spans="6:17" x14ac:dyDescent="0.25">
      <c r="F1974" s="134"/>
      <c r="H1974" s="114"/>
      <c r="I1974" s="114"/>
      <c r="J1974" s="114"/>
      <c r="K1974" s="114"/>
      <c r="L1974" s="114"/>
      <c r="M1974" s="114"/>
      <c r="N1974" s="114"/>
      <c r="P1974" s="234"/>
      <c r="Q1974" s="240"/>
    </row>
    <row r="1975" spans="6:17" x14ac:dyDescent="0.25">
      <c r="F1975" s="134"/>
      <c r="H1975" s="114"/>
      <c r="I1975" s="114"/>
      <c r="J1975" s="114"/>
      <c r="K1975" s="114"/>
      <c r="L1975" s="114"/>
      <c r="M1975" s="114"/>
      <c r="N1975" s="114"/>
      <c r="P1975" s="234"/>
      <c r="Q1975" s="240"/>
    </row>
    <row r="1976" spans="6:17" x14ac:dyDescent="0.25">
      <c r="F1976" s="134"/>
      <c r="H1976" s="114"/>
      <c r="I1976" s="114"/>
      <c r="J1976" s="114"/>
      <c r="K1976" s="114"/>
      <c r="L1976" s="114"/>
      <c r="M1976" s="114"/>
      <c r="N1976" s="114"/>
      <c r="P1976" s="234"/>
      <c r="Q1976" s="240"/>
    </row>
    <row r="1977" spans="6:17" x14ac:dyDescent="0.25">
      <c r="F1977" s="134"/>
      <c r="H1977" s="114"/>
      <c r="I1977" s="114"/>
      <c r="J1977" s="114"/>
      <c r="K1977" s="114"/>
      <c r="L1977" s="114"/>
      <c r="M1977" s="114"/>
      <c r="N1977" s="114"/>
      <c r="P1977" s="234"/>
      <c r="Q1977" s="240"/>
    </row>
    <row r="1978" spans="6:17" x14ac:dyDescent="0.25">
      <c r="F1978" s="134"/>
      <c r="H1978" s="114"/>
      <c r="I1978" s="114"/>
      <c r="J1978" s="114"/>
      <c r="K1978" s="114"/>
      <c r="L1978" s="114"/>
      <c r="M1978" s="114"/>
      <c r="N1978" s="114"/>
      <c r="P1978" s="234"/>
      <c r="Q1978" s="240"/>
    </row>
    <row r="1979" spans="6:17" x14ac:dyDescent="0.25">
      <c r="F1979" s="134"/>
      <c r="H1979" s="114"/>
      <c r="I1979" s="114"/>
      <c r="J1979" s="114"/>
      <c r="K1979" s="114"/>
      <c r="L1979" s="114"/>
      <c r="M1979" s="114"/>
      <c r="N1979" s="114"/>
      <c r="P1979" s="234"/>
      <c r="Q1979" s="240"/>
    </row>
    <row r="1980" spans="6:17" x14ac:dyDescent="0.25">
      <c r="F1980" s="134"/>
      <c r="H1980" s="114"/>
      <c r="I1980" s="114"/>
      <c r="J1980" s="114"/>
      <c r="K1980" s="114"/>
      <c r="L1980" s="114"/>
      <c r="M1980" s="114"/>
      <c r="N1980" s="114"/>
      <c r="P1980" s="234"/>
      <c r="Q1980" s="240"/>
    </row>
    <row r="1981" spans="6:17" x14ac:dyDescent="0.25">
      <c r="F1981" s="134"/>
      <c r="H1981" s="114"/>
      <c r="I1981" s="114"/>
      <c r="J1981" s="114"/>
      <c r="K1981" s="114"/>
      <c r="L1981" s="114"/>
      <c r="M1981" s="114"/>
      <c r="N1981" s="114"/>
      <c r="P1981" s="234"/>
      <c r="Q1981" s="240"/>
    </row>
    <row r="1982" spans="6:17" x14ac:dyDescent="0.25">
      <c r="F1982" s="134"/>
      <c r="H1982" s="114"/>
      <c r="I1982" s="114"/>
      <c r="J1982" s="114"/>
      <c r="K1982" s="114"/>
      <c r="L1982" s="114"/>
      <c r="M1982" s="114"/>
      <c r="N1982" s="114"/>
      <c r="P1982" s="234"/>
      <c r="Q1982" s="240"/>
    </row>
    <row r="1983" spans="6:17" x14ac:dyDescent="0.25">
      <c r="F1983" s="134"/>
      <c r="H1983" s="114"/>
      <c r="I1983" s="114"/>
      <c r="J1983" s="114"/>
      <c r="K1983" s="114"/>
      <c r="L1983" s="114"/>
      <c r="M1983" s="114"/>
      <c r="N1983" s="114"/>
      <c r="P1983" s="234"/>
      <c r="Q1983" s="240"/>
    </row>
    <row r="1984" spans="6:17" x14ac:dyDescent="0.25">
      <c r="F1984" s="134"/>
      <c r="H1984" s="114"/>
      <c r="I1984" s="114"/>
      <c r="J1984" s="114"/>
      <c r="K1984" s="114"/>
      <c r="L1984" s="114"/>
      <c r="M1984" s="114"/>
      <c r="N1984" s="114"/>
      <c r="P1984" s="234"/>
      <c r="Q1984" s="240"/>
    </row>
    <row r="1985" spans="6:17" x14ac:dyDescent="0.25">
      <c r="F1985" s="134"/>
      <c r="H1985" s="114"/>
      <c r="I1985" s="114"/>
      <c r="J1985" s="114"/>
      <c r="K1985" s="114"/>
      <c r="L1985" s="114"/>
      <c r="M1985" s="114"/>
      <c r="N1985" s="114"/>
      <c r="P1985" s="234"/>
      <c r="Q1985" s="240"/>
    </row>
    <row r="1986" spans="6:17" x14ac:dyDescent="0.25">
      <c r="F1986" s="134"/>
      <c r="H1986" s="114"/>
      <c r="I1986" s="114"/>
      <c r="J1986" s="114"/>
      <c r="K1986" s="114"/>
      <c r="L1986" s="114"/>
      <c r="M1986" s="114"/>
      <c r="N1986" s="114"/>
      <c r="P1986" s="234"/>
      <c r="Q1986" s="240"/>
    </row>
    <row r="1987" spans="6:17" x14ac:dyDescent="0.25">
      <c r="F1987" s="134"/>
      <c r="H1987" s="114"/>
      <c r="I1987" s="114"/>
      <c r="J1987" s="114"/>
      <c r="K1987" s="114"/>
      <c r="L1987" s="114"/>
      <c r="M1987" s="114"/>
      <c r="N1987" s="114"/>
      <c r="P1987" s="234"/>
      <c r="Q1987" s="240"/>
    </row>
    <row r="1988" spans="6:17" x14ac:dyDescent="0.25">
      <c r="F1988" s="134"/>
      <c r="H1988" s="114"/>
      <c r="I1988" s="114"/>
      <c r="J1988" s="114"/>
      <c r="K1988" s="114"/>
      <c r="L1988" s="114"/>
      <c r="M1988" s="114"/>
      <c r="N1988" s="114"/>
      <c r="P1988" s="234"/>
      <c r="Q1988" s="240"/>
    </row>
    <row r="1989" spans="6:17" x14ac:dyDescent="0.25">
      <c r="F1989" s="134"/>
      <c r="H1989" s="114"/>
      <c r="I1989" s="114"/>
      <c r="J1989" s="114"/>
      <c r="K1989" s="114"/>
      <c r="L1989" s="114"/>
      <c r="M1989" s="114"/>
      <c r="N1989" s="114"/>
      <c r="P1989" s="234"/>
      <c r="Q1989" s="240"/>
    </row>
    <row r="1990" spans="6:17" x14ac:dyDescent="0.25">
      <c r="F1990" s="134"/>
      <c r="H1990" s="114"/>
      <c r="I1990" s="114"/>
      <c r="J1990" s="114"/>
      <c r="K1990" s="114"/>
      <c r="L1990" s="114"/>
      <c r="M1990" s="114"/>
      <c r="N1990" s="114"/>
      <c r="P1990" s="234"/>
      <c r="Q1990" s="240"/>
    </row>
    <row r="1991" spans="6:17" x14ac:dyDescent="0.25">
      <c r="F1991" s="134"/>
      <c r="H1991" s="114"/>
      <c r="I1991" s="114"/>
      <c r="J1991" s="114"/>
      <c r="K1991" s="114"/>
      <c r="L1991" s="114"/>
      <c r="M1991" s="114"/>
      <c r="N1991" s="114"/>
      <c r="P1991" s="234"/>
      <c r="Q1991" s="240"/>
    </row>
    <row r="1992" spans="6:17" x14ac:dyDescent="0.25">
      <c r="F1992" s="134"/>
      <c r="H1992" s="114"/>
      <c r="I1992" s="114"/>
      <c r="J1992" s="114"/>
      <c r="K1992" s="114"/>
      <c r="L1992" s="114"/>
      <c r="M1992" s="114"/>
      <c r="N1992" s="114"/>
      <c r="P1992" s="234"/>
      <c r="Q1992" s="240"/>
    </row>
    <row r="1993" spans="6:17" x14ac:dyDescent="0.25">
      <c r="F1993" s="134"/>
      <c r="H1993" s="114"/>
      <c r="I1993" s="114"/>
      <c r="J1993" s="114"/>
      <c r="K1993" s="114"/>
      <c r="L1993" s="114"/>
      <c r="M1993" s="114"/>
      <c r="N1993" s="114"/>
      <c r="P1993" s="234"/>
      <c r="Q1993" s="240"/>
    </row>
    <row r="1994" spans="6:17" x14ac:dyDescent="0.25">
      <c r="F1994" s="134"/>
      <c r="H1994" s="114"/>
      <c r="I1994" s="114"/>
      <c r="J1994" s="114"/>
      <c r="K1994" s="114"/>
      <c r="L1994" s="114"/>
      <c r="M1994" s="114"/>
      <c r="N1994" s="114"/>
      <c r="P1994" s="234"/>
      <c r="Q1994" s="240"/>
    </row>
    <row r="1995" spans="6:17" x14ac:dyDescent="0.25">
      <c r="F1995" s="134"/>
      <c r="H1995" s="114"/>
      <c r="I1995" s="114"/>
      <c r="J1995" s="114"/>
      <c r="K1995" s="114"/>
      <c r="L1995" s="114"/>
      <c r="M1995" s="114"/>
      <c r="N1995" s="114"/>
      <c r="P1995" s="234"/>
      <c r="Q1995" s="240"/>
    </row>
    <row r="1996" spans="6:17" x14ac:dyDescent="0.25">
      <c r="F1996" s="134"/>
      <c r="H1996" s="114"/>
      <c r="I1996" s="114"/>
      <c r="J1996" s="114"/>
      <c r="K1996" s="114"/>
      <c r="L1996" s="114"/>
      <c r="M1996" s="114"/>
      <c r="N1996" s="114"/>
      <c r="P1996" s="234"/>
      <c r="Q1996" s="240"/>
    </row>
    <row r="1997" spans="6:17" x14ac:dyDescent="0.25">
      <c r="F1997" s="134"/>
      <c r="H1997" s="114"/>
      <c r="I1997" s="114"/>
      <c r="J1997" s="114"/>
      <c r="K1997" s="114"/>
      <c r="L1997" s="114"/>
      <c r="M1997" s="114"/>
      <c r="N1997" s="114"/>
      <c r="P1997" s="234"/>
      <c r="Q1997" s="240"/>
    </row>
    <row r="1998" spans="6:17" x14ac:dyDescent="0.25">
      <c r="F1998" s="134"/>
      <c r="H1998" s="114"/>
      <c r="I1998" s="114"/>
      <c r="J1998" s="114"/>
      <c r="K1998" s="114"/>
      <c r="L1998" s="114"/>
      <c r="M1998" s="114"/>
      <c r="N1998" s="114"/>
      <c r="P1998" s="234"/>
      <c r="Q1998" s="240"/>
    </row>
    <row r="1999" spans="6:17" x14ac:dyDescent="0.25">
      <c r="F1999" s="134"/>
      <c r="H1999" s="114"/>
      <c r="I1999" s="114"/>
      <c r="J1999" s="114"/>
      <c r="K1999" s="114"/>
      <c r="L1999" s="114"/>
      <c r="M1999" s="114"/>
      <c r="N1999" s="114"/>
      <c r="P1999" s="234"/>
      <c r="Q1999" s="240"/>
    </row>
    <row r="2000" spans="6:17" x14ac:dyDescent="0.25">
      <c r="F2000" s="134"/>
      <c r="H2000" s="114"/>
      <c r="I2000" s="114"/>
      <c r="J2000" s="114"/>
      <c r="K2000" s="114"/>
      <c r="L2000" s="114"/>
      <c r="M2000" s="114"/>
      <c r="N2000" s="114"/>
      <c r="P2000" s="234"/>
      <c r="Q2000" s="240"/>
    </row>
    <row r="2001" spans="6:17" x14ac:dyDescent="0.25">
      <c r="F2001" s="134"/>
      <c r="H2001" s="114"/>
      <c r="I2001" s="114"/>
      <c r="J2001" s="114"/>
      <c r="K2001" s="114"/>
      <c r="L2001" s="114"/>
      <c r="M2001" s="114"/>
      <c r="N2001" s="114"/>
      <c r="P2001" s="234"/>
      <c r="Q2001" s="240"/>
    </row>
    <row r="2002" spans="6:17" x14ac:dyDescent="0.25">
      <c r="F2002" s="134"/>
      <c r="H2002" s="114"/>
      <c r="I2002" s="114"/>
      <c r="J2002" s="114"/>
      <c r="K2002" s="114"/>
      <c r="L2002" s="114"/>
      <c r="M2002" s="114"/>
      <c r="N2002" s="114"/>
      <c r="P2002" s="234"/>
      <c r="Q2002" s="240"/>
    </row>
    <row r="2003" spans="6:17" x14ac:dyDescent="0.25">
      <c r="F2003" s="134"/>
      <c r="H2003" s="114"/>
      <c r="I2003" s="114"/>
      <c r="J2003" s="114"/>
      <c r="K2003" s="114"/>
      <c r="L2003" s="114"/>
      <c r="M2003" s="114"/>
      <c r="N2003" s="114"/>
      <c r="P2003" s="234"/>
      <c r="Q2003" s="240"/>
    </row>
    <row r="2004" spans="6:17" x14ac:dyDescent="0.25">
      <c r="F2004" s="134"/>
      <c r="H2004" s="114"/>
      <c r="I2004" s="114"/>
      <c r="J2004" s="114"/>
      <c r="K2004" s="114"/>
      <c r="L2004" s="114"/>
      <c r="M2004" s="114"/>
      <c r="N2004" s="114"/>
      <c r="P2004" s="234"/>
      <c r="Q2004" s="240"/>
    </row>
    <row r="2005" spans="6:17" x14ac:dyDescent="0.25">
      <c r="F2005" s="134"/>
      <c r="H2005" s="114"/>
      <c r="I2005" s="114"/>
      <c r="J2005" s="114"/>
      <c r="K2005" s="114"/>
      <c r="L2005" s="114"/>
      <c r="M2005" s="114"/>
      <c r="N2005" s="114"/>
      <c r="P2005" s="234"/>
      <c r="Q2005" s="240"/>
    </row>
    <row r="2006" spans="6:17" x14ac:dyDescent="0.25">
      <c r="F2006" s="134"/>
      <c r="H2006" s="114"/>
      <c r="I2006" s="114"/>
      <c r="J2006" s="114"/>
      <c r="K2006" s="114"/>
      <c r="L2006" s="114"/>
      <c r="M2006" s="114"/>
      <c r="N2006" s="114"/>
      <c r="P2006" s="234"/>
      <c r="Q2006" s="240"/>
    </row>
    <row r="2007" spans="6:17" x14ac:dyDescent="0.25">
      <c r="F2007" s="134"/>
      <c r="H2007" s="114"/>
      <c r="I2007" s="114"/>
      <c r="J2007" s="114"/>
      <c r="K2007" s="114"/>
      <c r="L2007" s="114"/>
      <c r="M2007" s="114"/>
      <c r="N2007" s="114"/>
      <c r="P2007" s="234"/>
      <c r="Q2007" s="240"/>
    </row>
    <row r="2008" spans="6:17" x14ac:dyDescent="0.25">
      <c r="F2008" s="134"/>
      <c r="H2008" s="114"/>
      <c r="I2008" s="114"/>
      <c r="J2008" s="114"/>
      <c r="K2008" s="114"/>
      <c r="L2008" s="114"/>
      <c r="M2008" s="114"/>
      <c r="N2008" s="114"/>
      <c r="P2008" s="234"/>
      <c r="Q2008" s="240"/>
    </row>
    <row r="2009" spans="6:17" x14ac:dyDescent="0.25">
      <c r="F2009" s="134"/>
      <c r="H2009" s="114"/>
      <c r="I2009" s="114"/>
      <c r="J2009" s="114"/>
      <c r="K2009" s="114"/>
      <c r="L2009" s="114"/>
      <c r="M2009" s="114"/>
      <c r="N2009" s="114"/>
      <c r="P2009" s="234"/>
      <c r="Q2009" s="240"/>
    </row>
    <row r="2010" spans="6:17" x14ac:dyDescent="0.25">
      <c r="F2010" s="134"/>
      <c r="H2010" s="114"/>
      <c r="I2010" s="114"/>
      <c r="J2010" s="114"/>
      <c r="K2010" s="114"/>
      <c r="L2010" s="114"/>
      <c r="M2010" s="114"/>
      <c r="N2010" s="114"/>
      <c r="P2010" s="234"/>
      <c r="Q2010" s="240"/>
    </row>
    <row r="2011" spans="6:17" x14ac:dyDescent="0.25">
      <c r="F2011" s="134"/>
      <c r="H2011" s="114"/>
      <c r="I2011" s="114"/>
      <c r="J2011" s="114"/>
      <c r="K2011" s="114"/>
      <c r="L2011" s="114"/>
      <c r="M2011" s="114"/>
      <c r="N2011" s="114"/>
      <c r="P2011" s="234"/>
      <c r="Q2011" s="240"/>
    </row>
    <row r="2012" spans="6:17" x14ac:dyDescent="0.25">
      <c r="F2012" s="134"/>
      <c r="H2012" s="114"/>
      <c r="I2012" s="114"/>
      <c r="J2012" s="114"/>
      <c r="K2012" s="114"/>
      <c r="L2012" s="114"/>
      <c r="M2012" s="114"/>
      <c r="N2012" s="114"/>
      <c r="P2012" s="234"/>
      <c r="Q2012" s="240"/>
    </row>
    <row r="2013" spans="6:17" x14ac:dyDescent="0.25">
      <c r="F2013" s="134"/>
      <c r="H2013" s="114"/>
      <c r="I2013" s="114"/>
      <c r="J2013" s="114"/>
      <c r="K2013" s="114"/>
      <c r="L2013" s="114"/>
      <c r="M2013" s="114"/>
      <c r="N2013" s="114"/>
      <c r="P2013" s="234"/>
      <c r="Q2013" s="240"/>
    </row>
    <row r="2014" spans="6:17" x14ac:dyDescent="0.25">
      <c r="F2014" s="134"/>
      <c r="H2014" s="114"/>
      <c r="I2014" s="114"/>
      <c r="J2014" s="114"/>
      <c r="K2014" s="114"/>
      <c r="L2014" s="114"/>
      <c r="M2014" s="114"/>
      <c r="N2014" s="114"/>
      <c r="P2014" s="234"/>
      <c r="Q2014" s="240"/>
    </row>
    <row r="2015" spans="6:17" x14ac:dyDescent="0.25">
      <c r="F2015" s="134"/>
      <c r="H2015" s="114"/>
      <c r="I2015" s="114"/>
      <c r="J2015" s="114"/>
      <c r="K2015" s="114"/>
      <c r="L2015" s="114"/>
      <c r="M2015" s="114"/>
      <c r="N2015" s="114"/>
      <c r="P2015" s="234"/>
      <c r="Q2015" s="240"/>
    </row>
    <row r="2016" spans="6:17" x14ac:dyDescent="0.25">
      <c r="F2016" s="134"/>
      <c r="H2016" s="114"/>
      <c r="I2016" s="114"/>
      <c r="J2016" s="114"/>
      <c r="K2016" s="114"/>
      <c r="L2016" s="114"/>
      <c r="M2016" s="114"/>
      <c r="N2016" s="114"/>
      <c r="P2016" s="234"/>
      <c r="Q2016" s="240"/>
    </row>
    <row r="2017" spans="6:17" x14ac:dyDescent="0.25">
      <c r="F2017" s="134"/>
      <c r="H2017" s="114"/>
      <c r="I2017" s="114"/>
      <c r="J2017" s="114"/>
      <c r="K2017" s="114"/>
      <c r="L2017" s="114"/>
      <c r="M2017" s="114"/>
      <c r="N2017" s="114"/>
      <c r="P2017" s="234"/>
      <c r="Q2017" s="240"/>
    </row>
    <row r="2018" spans="6:17" x14ac:dyDescent="0.25">
      <c r="F2018" s="134"/>
      <c r="H2018" s="114"/>
      <c r="I2018" s="114"/>
      <c r="J2018" s="114"/>
      <c r="K2018" s="114"/>
      <c r="L2018" s="114"/>
      <c r="M2018" s="114"/>
      <c r="N2018" s="114"/>
      <c r="P2018" s="234"/>
      <c r="Q2018" s="240"/>
    </row>
    <row r="2019" spans="6:17" x14ac:dyDescent="0.25">
      <c r="F2019" s="134"/>
      <c r="H2019" s="114"/>
      <c r="I2019" s="114"/>
      <c r="J2019" s="114"/>
      <c r="K2019" s="114"/>
      <c r="L2019" s="114"/>
      <c r="M2019" s="114"/>
      <c r="N2019" s="114"/>
      <c r="P2019" s="234"/>
      <c r="Q2019" s="240"/>
    </row>
    <row r="2020" spans="6:17" x14ac:dyDescent="0.25">
      <c r="F2020" s="134"/>
      <c r="H2020" s="114"/>
      <c r="I2020" s="114"/>
      <c r="J2020" s="114"/>
      <c r="K2020" s="114"/>
      <c r="L2020" s="114"/>
      <c r="M2020" s="114"/>
      <c r="N2020" s="114"/>
      <c r="P2020" s="234"/>
      <c r="Q2020" s="240"/>
    </row>
    <row r="2021" spans="6:17" x14ac:dyDescent="0.25">
      <c r="F2021" s="134"/>
      <c r="H2021" s="114"/>
      <c r="I2021" s="114"/>
      <c r="J2021" s="114"/>
      <c r="K2021" s="114"/>
      <c r="L2021" s="114"/>
      <c r="M2021" s="114"/>
      <c r="N2021" s="114"/>
      <c r="P2021" s="234"/>
      <c r="Q2021" s="240"/>
    </row>
    <row r="2022" spans="6:17" x14ac:dyDescent="0.25">
      <c r="F2022" s="134"/>
      <c r="H2022" s="114"/>
      <c r="I2022" s="114"/>
      <c r="J2022" s="114"/>
      <c r="K2022" s="114"/>
      <c r="L2022" s="114"/>
      <c r="M2022" s="114"/>
      <c r="N2022" s="114"/>
      <c r="P2022" s="234"/>
      <c r="Q2022" s="240"/>
    </row>
    <row r="2023" spans="6:17" x14ac:dyDescent="0.25">
      <c r="F2023" s="134"/>
      <c r="H2023" s="114"/>
      <c r="I2023" s="114"/>
      <c r="J2023" s="114"/>
      <c r="K2023" s="114"/>
      <c r="L2023" s="114"/>
      <c r="M2023" s="114"/>
      <c r="N2023" s="114"/>
      <c r="P2023" s="234"/>
      <c r="Q2023" s="240"/>
    </row>
    <row r="2024" spans="6:17" x14ac:dyDescent="0.25">
      <c r="F2024" s="134"/>
      <c r="H2024" s="114"/>
      <c r="I2024" s="114"/>
      <c r="J2024" s="114"/>
      <c r="K2024" s="114"/>
      <c r="L2024" s="114"/>
      <c r="M2024" s="114"/>
      <c r="N2024" s="114"/>
      <c r="P2024" s="234"/>
      <c r="Q2024" s="240"/>
    </row>
    <row r="2025" spans="6:17" x14ac:dyDescent="0.25">
      <c r="F2025" s="134"/>
      <c r="H2025" s="114"/>
      <c r="I2025" s="114"/>
      <c r="J2025" s="114"/>
      <c r="K2025" s="114"/>
      <c r="L2025" s="114"/>
      <c r="M2025" s="114"/>
      <c r="N2025" s="114"/>
      <c r="P2025" s="234"/>
      <c r="Q2025" s="240"/>
    </row>
    <row r="2026" spans="6:17" x14ac:dyDescent="0.25">
      <c r="F2026" s="134"/>
      <c r="H2026" s="114"/>
      <c r="I2026" s="114"/>
      <c r="J2026" s="114"/>
      <c r="K2026" s="114"/>
      <c r="L2026" s="114"/>
      <c r="M2026" s="114"/>
      <c r="N2026" s="114"/>
      <c r="P2026" s="234"/>
      <c r="Q2026" s="240"/>
    </row>
    <row r="2027" spans="6:17" x14ac:dyDescent="0.25">
      <c r="F2027" s="134"/>
      <c r="H2027" s="114"/>
      <c r="I2027" s="114"/>
      <c r="J2027" s="114"/>
      <c r="K2027" s="114"/>
      <c r="L2027" s="114"/>
      <c r="M2027" s="114"/>
      <c r="N2027" s="114"/>
      <c r="P2027" s="234"/>
      <c r="Q2027" s="240"/>
    </row>
    <row r="2028" spans="6:17" x14ac:dyDescent="0.25">
      <c r="F2028" s="134"/>
      <c r="H2028" s="114"/>
      <c r="I2028" s="114"/>
      <c r="J2028" s="114"/>
      <c r="K2028" s="114"/>
      <c r="L2028" s="114"/>
      <c r="M2028" s="114"/>
      <c r="N2028" s="114"/>
      <c r="P2028" s="234"/>
      <c r="Q2028" s="240"/>
    </row>
    <row r="2029" spans="6:17" x14ac:dyDescent="0.25">
      <c r="F2029" s="134"/>
      <c r="H2029" s="114"/>
      <c r="I2029" s="114"/>
      <c r="J2029" s="114"/>
      <c r="K2029" s="114"/>
      <c r="L2029" s="114"/>
      <c r="M2029" s="114"/>
      <c r="N2029" s="114"/>
      <c r="P2029" s="234"/>
      <c r="Q2029" s="240"/>
    </row>
    <row r="2030" spans="6:17" x14ac:dyDescent="0.25">
      <c r="F2030" s="134"/>
      <c r="H2030" s="114"/>
      <c r="I2030" s="114"/>
      <c r="J2030" s="114"/>
      <c r="K2030" s="114"/>
      <c r="L2030" s="114"/>
      <c r="M2030" s="114"/>
      <c r="N2030" s="114"/>
      <c r="P2030" s="234"/>
      <c r="Q2030" s="240"/>
    </row>
    <row r="2031" spans="6:17" x14ac:dyDescent="0.25">
      <c r="F2031" s="134"/>
      <c r="H2031" s="114"/>
      <c r="I2031" s="114"/>
      <c r="J2031" s="114"/>
      <c r="K2031" s="114"/>
      <c r="L2031" s="114"/>
      <c r="M2031" s="114"/>
      <c r="N2031" s="114"/>
      <c r="P2031" s="234"/>
      <c r="Q2031" s="240"/>
    </row>
    <row r="2032" spans="6:17" x14ac:dyDescent="0.25">
      <c r="F2032" s="134"/>
      <c r="H2032" s="114"/>
      <c r="I2032" s="114"/>
      <c r="J2032" s="114"/>
      <c r="K2032" s="114"/>
      <c r="L2032" s="114"/>
      <c r="M2032" s="114"/>
      <c r="N2032" s="114"/>
      <c r="P2032" s="234"/>
      <c r="Q2032" s="240"/>
    </row>
    <row r="2033" spans="6:17" x14ac:dyDescent="0.25">
      <c r="F2033" s="134"/>
      <c r="H2033" s="114"/>
      <c r="I2033" s="114"/>
      <c r="J2033" s="114"/>
      <c r="K2033" s="114"/>
      <c r="L2033" s="114"/>
      <c r="M2033" s="114"/>
      <c r="N2033" s="114"/>
      <c r="P2033" s="234"/>
      <c r="Q2033" s="240"/>
    </row>
    <row r="2034" spans="6:17" x14ac:dyDescent="0.25">
      <c r="F2034" s="134"/>
      <c r="H2034" s="114"/>
      <c r="I2034" s="114"/>
      <c r="J2034" s="114"/>
      <c r="K2034" s="114"/>
      <c r="L2034" s="114"/>
      <c r="M2034" s="114"/>
      <c r="N2034" s="114"/>
      <c r="P2034" s="234"/>
      <c r="Q2034" s="240"/>
    </row>
    <row r="2035" spans="6:17" x14ac:dyDescent="0.25">
      <c r="F2035" s="134"/>
      <c r="H2035" s="114"/>
      <c r="I2035" s="114"/>
      <c r="J2035" s="114"/>
      <c r="K2035" s="114"/>
      <c r="L2035" s="114"/>
      <c r="M2035" s="114"/>
      <c r="N2035" s="114"/>
      <c r="P2035" s="234"/>
      <c r="Q2035" s="240"/>
    </row>
    <row r="2036" spans="6:17" x14ac:dyDescent="0.25">
      <c r="F2036" s="134"/>
      <c r="H2036" s="114"/>
      <c r="I2036" s="114"/>
      <c r="J2036" s="114"/>
      <c r="K2036" s="114"/>
      <c r="L2036" s="114"/>
      <c r="M2036" s="114"/>
      <c r="N2036" s="114"/>
      <c r="P2036" s="234"/>
      <c r="Q2036" s="240"/>
    </row>
    <row r="2037" spans="6:17" x14ac:dyDescent="0.25">
      <c r="F2037" s="134"/>
      <c r="H2037" s="114"/>
      <c r="I2037" s="114"/>
      <c r="J2037" s="114"/>
      <c r="K2037" s="114"/>
      <c r="L2037" s="114"/>
      <c r="M2037" s="114"/>
      <c r="N2037" s="114"/>
      <c r="P2037" s="234"/>
      <c r="Q2037" s="240"/>
    </row>
    <row r="2038" spans="6:17" x14ac:dyDescent="0.25">
      <c r="F2038" s="134"/>
      <c r="H2038" s="114"/>
      <c r="I2038" s="114"/>
      <c r="J2038" s="114"/>
      <c r="K2038" s="114"/>
      <c r="L2038" s="114"/>
      <c r="M2038" s="114"/>
      <c r="N2038" s="114"/>
      <c r="P2038" s="234"/>
      <c r="Q2038" s="240"/>
    </row>
    <row r="2039" spans="6:17" x14ac:dyDescent="0.25">
      <c r="F2039" s="134"/>
      <c r="H2039" s="114"/>
      <c r="I2039" s="114"/>
      <c r="J2039" s="114"/>
      <c r="K2039" s="114"/>
      <c r="L2039" s="114"/>
      <c r="M2039" s="114"/>
      <c r="N2039" s="114"/>
      <c r="P2039" s="234"/>
      <c r="Q2039" s="240"/>
    </row>
    <row r="2040" spans="6:17" x14ac:dyDescent="0.25">
      <c r="F2040" s="134"/>
      <c r="H2040" s="114"/>
      <c r="I2040" s="114"/>
      <c r="J2040" s="114"/>
      <c r="K2040" s="114"/>
      <c r="L2040" s="114"/>
      <c r="M2040" s="114"/>
      <c r="N2040" s="114"/>
      <c r="P2040" s="234"/>
      <c r="Q2040" s="240"/>
    </row>
    <row r="2041" spans="6:17" x14ac:dyDescent="0.25">
      <c r="F2041" s="134"/>
      <c r="H2041" s="114"/>
      <c r="I2041" s="114"/>
      <c r="J2041" s="114"/>
      <c r="K2041" s="114"/>
      <c r="L2041" s="114"/>
      <c r="M2041" s="114"/>
      <c r="N2041" s="114"/>
      <c r="P2041" s="234"/>
      <c r="Q2041" s="240"/>
    </row>
    <row r="2042" spans="6:17" x14ac:dyDescent="0.25">
      <c r="F2042" s="134"/>
      <c r="H2042" s="114"/>
      <c r="I2042" s="114"/>
      <c r="J2042" s="114"/>
      <c r="K2042" s="114"/>
      <c r="L2042" s="114"/>
      <c r="M2042" s="114"/>
      <c r="N2042" s="114"/>
      <c r="P2042" s="234"/>
      <c r="Q2042" s="240"/>
    </row>
    <row r="2043" spans="6:17" x14ac:dyDescent="0.25">
      <c r="F2043" s="134"/>
      <c r="H2043" s="114"/>
      <c r="I2043" s="114"/>
      <c r="J2043" s="114"/>
      <c r="K2043" s="114"/>
      <c r="L2043" s="114"/>
      <c r="M2043" s="114"/>
      <c r="N2043" s="114"/>
      <c r="P2043" s="234"/>
      <c r="Q2043" s="240"/>
    </row>
    <row r="2044" spans="6:17" x14ac:dyDescent="0.25">
      <c r="F2044" s="134"/>
      <c r="H2044" s="114"/>
      <c r="I2044" s="114"/>
      <c r="J2044" s="114"/>
      <c r="K2044" s="114"/>
      <c r="L2044" s="114"/>
      <c r="M2044" s="114"/>
      <c r="N2044" s="114"/>
      <c r="P2044" s="234"/>
      <c r="Q2044" s="240"/>
    </row>
    <row r="2045" spans="6:17" x14ac:dyDescent="0.25">
      <c r="F2045" s="134"/>
      <c r="H2045" s="114"/>
      <c r="I2045" s="114"/>
      <c r="J2045" s="114"/>
      <c r="K2045" s="114"/>
      <c r="L2045" s="114"/>
      <c r="M2045" s="114"/>
      <c r="N2045" s="114"/>
      <c r="P2045" s="234"/>
      <c r="Q2045" s="240"/>
    </row>
    <row r="2046" spans="6:17" x14ac:dyDescent="0.25">
      <c r="F2046" s="134"/>
      <c r="H2046" s="114"/>
      <c r="I2046" s="114"/>
      <c r="J2046" s="114"/>
      <c r="K2046" s="114"/>
      <c r="L2046" s="114"/>
      <c r="M2046" s="114"/>
      <c r="N2046" s="114"/>
      <c r="P2046" s="234"/>
      <c r="Q2046" s="240"/>
    </row>
    <row r="2047" spans="6:17" x14ac:dyDescent="0.25">
      <c r="F2047" s="134"/>
      <c r="H2047" s="114"/>
      <c r="I2047" s="114"/>
      <c r="J2047" s="114"/>
      <c r="K2047" s="114"/>
      <c r="L2047" s="114"/>
      <c r="M2047" s="114"/>
      <c r="N2047" s="114"/>
      <c r="P2047" s="234"/>
      <c r="Q2047" s="240"/>
    </row>
    <row r="2048" spans="6:17" x14ac:dyDescent="0.25">
      <c r="F2048" s="134"/>
      <c r="H2048" s="114"/>
      <c r="I2048" s="114"/>
      <c r="J2048" s="114"/>
      <c r="K2048" s="114"/>
      <c r="L2048" s="114"/>
      <c r="M2048" s="114"/>
      <c r="N2048" s="114"/>
      <c r="P2048" s="234"/>
      <c r="Q2048" s="240"/>
    </row>
    <row r="2049" spans="6:17" x14ac:dyDescent="0.25">
      <c r="F2049" s="134"/>
      <c r="H2049" s="114"/>
      <c r="I2049" s="114"/>
      <c r="J2049" s="114"/>
      <c r="K2049" s="114"/>
      <c r="L2049" s="114"/>
      <c r="M2049" s="114"/>
      <c r="N2049" s="114"/>
      <c r="P2049" s="234"/>
      <c r="Q2049" s="240"/>
    </row>
    <row r="2050" spans="6:17" x14ac:dyDescent="0.25">
      <c r="F2050" s="134"/>
      <c r="H2050" s="114"/>
      <c r="I2050" s="114"/>
      <c r="J2050" s="114"/>
      <c r="K2050" s="114"/>
      <c r="L2050" s="114"/>
      <c r="M2050" s="114"/>
      <c r="N2050" s="114"/>
      <c r="P2050" s="234"/>
      <c r="Q2050" s="240"/>
    </row>
    <row r="2051" spans="6:17" x14ac:dyDescent="0.25">
      <c r="F2051" s="134"/>
      <c r="H2051" s="114"/>
      <c r="I2051" s="114"/>
      <c r="J2051" s="114"/>
      <c r="K2051" s="114"/>
      <c r="L2051" s="114"/>
      <c r="M2051" s="114"/>
      <c r="N2051" s="114"/>
      <c r="P2051" s="234"/>
      <c r="Q2051" s="240"/>
    </row>
    <row r="2052" spans="6:17" x14ac:dyDescent="0.25">
      <c r="F2052" s="134"/>
      <c r="H2052" s="114"/>
      <c r="I2052" s="114"/>
      <c r="J2052" s="114"/>
      <c r="K2052" s="114"/>
      <c r="L2052" s="114"/>
      <c r="M2052" s="114"/>
      <c r="N2052" s="114"/>
      <c r="P2052" s="234"/>
      <c r="Q2052" s="240"/>
    </row>
    <row r="2053" spans="6:17" x14ac:dyDescent="0.25">
      <c r="F2053" s="134"/>
      <c r="H2053" s="114"/>
      <c r="I2053" s="114"/>
      <c r="J2053" s="114"/>
      <c r="K2053" s="114"/>
      <c r="L2053" s="114"/>
      <c r="M2053" s="114"/>
      <c r="N2053" s="114"/>
      <c r="P2053" s="234"/>
      <c r="Q2053" s="240"/>
    </row>
    <row r="2054" spans="6:17" x14ac:dyDescent="0.25">
      <c r="F2054" s="134"/>
      <c r="H2054" s="114"/>
      <c r="I2054" s="114"/>
      <c r="J2054" s="114"/>
      <c r="K2054" s="114"/>
      <c r="L2054" s="114"/>
      <c r="M2054" s="114"/>
      <c r="N2054" s="114"/>
      <c r="P2054" s="234"/>
      <c r="Q2054" s="240"/>
    </row>
    <row r="2055" spans="6:17" x14ac:dyDescent="0.25">
      <c r="F2055" s="134"/>
      <c r="H2055" s="114"/>
      <c r="I2055" s="114"/>
      <c r="J2055" s="114"/>
      <c r="K2055" s="114"/>
      <c r="L2055" s="114"/>
      <c r="M2055" s="114"/>
      <c r="N2055" s="114"/>
      <c r="P2055" s="234"/>
      <c r="Q2055" s="240"/>
    </row>
    <row r="2056" spans="6:17" x14ac:dyDescent="0.25">
      <c r="F2056" s="134"/>
      <c r="H2056" s="114"/>
      <c r="I2056" s="114"/>
      <c r="J2056" s="114"/>
      <c r="K2056" s="114"/>
      <c r="L2056" s="114"/>
      <c r="M2056" s="114"/>
      <c r="N2056" s="114"/>
      <c r="P2056" s="234"/>
      <c r="Q2056" s="240"/>
    </row>
    <row r="2057" spans="6:17" x14ac:dyDescent="0.25">
      <c r="F2057" s="134"/>
      <c r="H2057" s="114"/>
      <c r="I2057" s="114"/>
      <c r="J2057" s="114"/>
      <c r="K2057" s="114"/>
      <c r="L2057" s="114"/>
      <c r="M2057" s="114"/>
      <c r="N2057" s="114"/>
      <c r="P2057" s="234"/>
      <c r="Q2057" s="240"/>
    </row>
    <row r="2058" spans="6:17" x14ac:dyDescent="0.25">
      <c r="F2058" s="134"/>
      <c r="H2058" s="114"/>
      <c r="I2058" s="114"/>
      <c r="J2058" s="114"/>
      <c r="K2058" s="114"/>
      <c r="L2058" s="114"/>
      <c r="M2058" s="114"/>
      <c r="N2058" s="114"/>
      <c r="P2058" s="234"/>
      <c r="Q2058" s="240"/>
    </row>
    <row r="2059" spans="6:17" x14ac:dyDescent="0.25">
      <c r="F2059" s="134"/>
      <c r="H2059" s="114"/>
      <c r="I2059" s="114"/>
      <c r="J2059" s="114"/>
      <c r="K2059" s="114"/>
      <c r="L2059" s="114"/>
      <c r="M2059" s="114"/>
      <c r="N2059" s="114"/>
      <c r="P2059" s="234"/>
      <c r="Q2059" s="240"/>
    </row>
    <row r="2060" spans="6:17" x14ac:dyDescent="0.25">
      <c r="F2060" s="134"/>
      <c r="H2060" s="114"/>
      <c r="I2060" s="114"/>
      <c r="J2060" s="114"/>
      <c r="K2060" s="114"/>
      <c r="L2060" s="114"/>
      <c r="M2060" s="114"/>
      <c r="N2060" s="114"/>
      <c r="P2060" s="234"/>
      <c r="Q2060" s="240"/>
    </row>
    <row r="2061" spans="6:17" x14ac:dyDescent="0.25">
      <c r="F2061" s="134"/>
      <c r="H2061" s="114"/>
      <c r="I2061" s="114"/>
      <c r="J2061" s="114"/>
      <c r="K2061" s="114"/>
      <c r="L2061" s="114"/>
      <c r="M2061" s="114"/>
      <c r="N2061" s="114"/>
      <c r="P2061" s="234"/>
      <c r="Q2061" s="240"/>
    </row>
    <row r="2062" spans="6:17" x14ac:dyDescent="0.25">
      <c r="F2062" s="134"/>
      <c r="H2062" s="114"/>
      <c r="I2062" s="114"/>
      <c r="J2062" s="114"/>
      <c r="K2062" s="114"/>
      <c r="L2062" s="114"/>
      <c r="M2062" s="114"/>
      <c r="N2062" s="114"/>
      <c r="P2062" s="234"/>
      <c r="Q2062" s="240"/>
    </row>
    <row r="2063" spans="6:17" x14ac:dyDescent="0.25">
      <c r="F2063" s="134"/>
      <c r="H2063" s="114"/>
      <c r="I2063" s="114"/>
      <c r="J2063" s="114"/>
      <c r="K2063" s="114"/>
      <c r="L2063" s="114"/>
      <c r="M2063" s="114"/>
      <c r="N2063" s="114"/>
      <c r="P2063" s="234"/>
      <c r="Q2063" s="240"/>
    </row>
    <row r="2064" spans="6:17" x14ac:dyDescent="0.25">
      <c r="F2064" s="134"/>
      <c r="H2064" s="114"/>
      <c r="I2064" s="114"/>
      <c r="J2064" s="114"/>
      <c r="K2064" s="114"/>
      <c r="L2064" s="114"/>
      <c r="M2064" s="114"/>
      <c r="N2064" s="114"/>
      <c r="P2064" s="234"/>
      <c r="Q2064" s="240"/>
    </row>
    <row r="2065" spans="6:17" x14ac:dyDescent="0.25">
      <c r="F2065" s="134"/>
      <c r="H2065" s="114"/>
      <c r="I2065" s="114"/>
      <c r="J2065" s="114"/>
      <c r="K2065" s="114"/>
      <c r="L2065" s="114"/>
      <c r="M2065" s="114"/>
      <c r="N2065" s="114"/>
      <c r="P2065" s="234"/>
      <c r="Q2065" s="240"/>
    </row>
    <row r="2066" spans="6:17" x14ac:dyDescent="0.25">
      <c r="F2066" s="134"/>
      <c r="H2066" s="114"/>
      <c r="I2066" s="114"/>
      <c r="J2066" s="114"/>
      <c r="K2066" s="114"/>
      <c r="L2066" s="114"/>
      <c r="M2066" s="114"/>
      <c r="N2066" s="114"/>
      <c r="P2066" s="234"/>
      <c r="Q2066" s="240"/>
    </row>
    <row r="2067" spans="6:17" x14ac:dyDescent="0.25">
      <c r="F2067" s="134"/>
      <c r="H2067" s="114"/>
      <c r="I2067" s="114"/>
      <c r="J2067" s="114"/>
      <c r="K2067" s="114"/>
      <c r="L2067" s="114"/>
      <c r="M2067" s="114"/>
      <c r="N2067" s="114"/>
      <c r="P2067" s="234"/>
      <c r="Q2067" s="240"/>
    </row>
    <row r="2068" spans="6:17" x14ac:dyDescent="0.25">
      <c r="F2068" s="134"/>
      <c r="H2068" s="114"/>
      <c r="I2068" s="114"/>
      <c r="J2068" s="114"/>
      <c r="K2068" s="114"/>
      <c r="L2068" s="114"/>
      <c r="M2068" s="114"/>
      <c r="N2068" s="114"/>
      <c r="P2068" s="234"/>
      <c r="Q2068" s="240"/>
    </row>
    <row r="2069" spans="6:17" x14ac:dyDescent="0.25">
      <c r="F2069" s="134"/>
      <c r="H2069" s="114"/>
      <c r="I2069" s="114"/>
      <c r="J2069" s="114"/>
      <c r="K2069" s="114"/>
      <c r="L2069" s="114"/>
      <c r="M2069" s="114"/>
      <c r="N2069" s="114"/>
      <c r="P2069" s="234"/>
      <c r="Q2069" s="240"/>
    </row>
    <row r="2070" spans="6:17" x14ac:dyDescent="0.25">
      <c r="F2070" s="134"/>
      <c r="H2070" s="114"/>
      <c r="I2070" s="114"/>
      <c r="J2070" s="114"/>
      <c r="K2070" s="114"/>
      <c r="L2070" s="114"/>
      <c r="M2070" s="114"/>
      <c r="N2070" s="114"/>
      <c r="P2070" s="234"/>
      <c r="Q2070" s="240"/>
    </row>
    <row r="2071" spans="6:17" x14ac:dyDescent="0.25">
      <c r="F2071" s="134"/>
      <c r="H2071" s="114"/>
      <c r="I2071" s="114"/>
      <c r="J2071" s="114"/>
      <c r="K2071" s="114"/>
      <c r="L2071" s="114"/>
      <c r="M2071" s="114"/>
      <c r="N2071" s="114"/>
      <c r="P2071" s="234"/>
      <c r="Q2071" s="240"/>
    </row>
    <row r="2072" spans="6:17" x14ac:dyDescent="0.25">
      <c r="F2072" s="134"/>
      <c r="H2072" s="114"/>
      <c r="I2072" s="114"/>
      <c r="J2072" s="114"/>
      <c r="K2072" s="114"/>
      <c r="L2072" s="114"/>
      <c r="M2072" s="114"/>
      <c r="N2072" s="114"/>
      <c r="P2072" s="234"/>
      <c r="Q2072" s="240"/>
    </row>
    <row r="2073" spans="6:17" x14ac:dyDescent="0.25">
      <c r="F2073" s="134"/>
      <c r="H2073" s="114"/>
      <c r="I2073" s="114"/>
      <c r="J2073" s="114"/>
      <c r="K2073" s="114"/>
      <c r="L2073" s="114"/>
      <c r="M2073" s="114"/>
      <c r="N2073" s="114"/>
      <c r="P2073" s="234"/>
      <c r="Q2073" s="240"/>
    </row>
    <row r="2074" spans="6:17" x14ac:dyDescent="0.25">
      <c r="F2074" s="134"/>
      <c r="H2074" s="114"/>
      <c r="I2074" s="114"/>
      <c r="J2074" s="114"/>
      <c r="K2074" s="114"/>
      <c r="L2074" s="114"/>
      <c r="M2074" s="114"/>
      <c r="N2074" s="114"/>
      <c r="P2074" s="234"/>
      <c r="Q2074" s="240"/>
    </row>
    <row r="2075" spans="6:17" x14ac:dyDescent="0.25">
      <c r="F2075" s="134"/>
      <c r="H2075" s="114"/>
      <c r="I2075" s="114"/>
      <c r="J2075" s="114"/>
      <c r="K2075" s="114"/>
      <c r="L2075" s="114"/>
      <c r="M2075" s="114"/>
      <c r="N2075" s="114"/>
      <c r="P2075" s="234"/>
      <c r="Q2075" s="240"/>
    </row>
    <row r="2076" spans="6:17" x14ac:dyDescent="0.25">
      <c r="F2076" s="134"/>
      <c r="H2076" s="114"/>
      <c r="I2076" s="114"/>
      <c r="J2076" s="114"/>
      <c r="K2076" s="114"/>
      <c r="L2076" s="114"/>
      <c r="M2076" s="114"/>
      <c r="N2076" s="114"/>
      <c r="P2076" s="234"/>
      <c r="Q2076" s="240"/>
    </row>
    <row r="2077" spans="6:17" x14ac:dyDescent="0.25">
      <c r="F2077" s="134"/>
      <c r="H2077" s="114"/>
      <c r="I2077" s="114"/>
      <c r="J2077" s="114"/>
      <c r="K2077" s="114"/>
      <c r="L2077" s="114"/>
      <c r="M2077" s="114"/>
      <c r="N2077" s="114"/>
      <c r="P2077" s="234"/>
      <c r="Q2077" s="240"/>
    </row>
    <row r="2078" spans="6:17" x14ac:dyDescent="0.25">
      <c r="F2078" s="134"/>
      <c r="H2078" s="114"/>
      <c r="I2078" s="114"/>
      <c r="J2078" s="114"/>
      <c r="K2078" s="114"/>
      <c r="L2078" s="114"/>
      <c r="M2078" s="114"/>
      <c r="N2078" s="114"/>
      <c r="P2078" s="234"/>
      <c r="Q2078" s="240"/>
    </row>
    <row r="2079" spans="6:17" x14ac:dyDescent="0.25">
      <c r="F2079" s="134"/>
      <c r="H2079" s="114"/>
      <c r="I2079" s="114"/>
      <c r="J2079" s="114"/>
      <c r="K2079" s="114"/>
      <c r="L2079" s="114"/>
      <c r="M2079" s="114"/>
      <c r="N2079" s="114"/>
      <c r="P2079" s="234"/>
      <c r="Q2079" s="240"/>
    </row>
    <row r="2080" spans="6:17" x14ac:dyDescent="0.25">
      <c r="F2080" s="134"/>
      <c r="H2080" s="114"/>
      <c r="I2080" s="114"/>
      <c r="J2080" s="114"/>
      <c r="K2080" s="114"/>
      <c r="L2080" s="114"/>
      <c r="M2080" s="114"/>
      <c r="N2080" s="114"/>
      <c r="P2080" s="234"/>
      <c r="Q2080" s="240"/>
    </row>
    <row r="2081" spans="6:17" x14ac:dyDescent="0.25">
      <c r="F2081" s="134"/>
      <c r="H2081" s="114"/>
      <c r="I2081" s="114"/>
      <c r="J2081" s="114"/>
      <c r="K2081" s="114"/>
      <c r="L2081" s="114"/>
      <c r="M2081" s="114"/>
      <c r="N2081" s="114"/>
      <c r="P2081" s="234"/>
      <c r="Q2081" s="240"/>
    </row>
    <row r="2082" spans="6:17" x14ac:dyDescent="0.25">
      <c r="F2082" s="134"/>
      <c r="H2082" s="114"/>
      <c r="I2082" s="114"/>
      <c r="J2082" s="114"/>
      <c r="K2082" s="114"/>
      <c r="L2082" s="114"/>
      <c r="M2082" s="114"/>
      <c r="N2082" s="114"/>
      <c r="P2082" s="234"/>
      <c r="Q2082" s="240"/>
    </row>
    <row r="2083" spans="6:17" x14ac:dyDescent="0.25">
      <c r="F2083" s="134"/>
      <c r="H2083" s="114"/>
      <c r="I2083" s="114"/>
      <c r="J2083" s="114"/>
      <c r="K2083" s="114"/>
      <c r="L2083" s="114"/>
      <c r="M2083" s="114"/>
      <c r="N2083" s="114"/>
      <c r="P2083" s="234"/>
      <c r="Q2083" s="240"/>
    </row>
    <row r="2084" spans="6:17" x14ac:dyDescent="0.25">
      <c r="F2084" s="134"/>
      <c r="H2084" s="114"/>
      <c r="I2084" s="114"/>
      <c r="J2084" s="114"/>
      <c r="K2084" s="114"/>
      <c r="L2084" s="114"/>
      <c r="M2084" s="114"/>
      <c r="N2084" s="114"/>
      <c r="P2084" s="234"/>
      <c r="Q2084" s="240"/>
    </row>
    <row r="2085" spans="6:17" x14ac:dyDescent="0.25">
      <c r="F2085" s="134"/>
      <c r="H2085" s="114"/>
      <c r="I2085" s="114"/>
      <c r="J2085" s="114"/>
      <c r="K2085" s="114"/>
      <c r="L2085" s="114"/>
      <c r="M2085" s="114"/>
      <c r="N2085" s="114"/>
      <c r="P2085" s="234"/>
      <c r="Q2085" s="240"/>
    </row>
    <row r="2086" spans="6:17" x14ac:dyDescent="0.25">
      <c r="F2086" s="134"/>
      <c r="H2086" s="114"/>
      <c r="I2086" s="114"/>
      <c r="J2086" s="114"/>
      <c r="K2086" s="114"/>
      <c r="L2086" s="114"/>
      <c r="M2086" s="114"/>
      <c r="N2086" s="114"/>
      <c r="P2086" s="234"/>
      <c r="Q2086" s="240"/>
    </row>
    <row r="2087" spans="6:17" x14ac:dyDescent="0.25">
      <c r="F2087" s="134"/>
      <c r="H2087" s="114"/>
      <c r="I2087" s="114"/>
      <c r="J2087" s="114"/>
      <c r="K2087" s="114"/>
      <c r="L2087" s="114"/>
      <c r="M2087" s="114"/>
      <c r="N2087" s="114"/>
      <c r="P2087" s="234"/>
      <c r="Q2087" s="240"/>
    </row>
    <row r="2088" spans="6:17" x14ac:dyDescent="0.25">
      <c r="F2088" s="134"/>
      <c r="H2088" s="114"/>
      <c r="I2088" s="114"/>
      <c r="J2088" s="114"/>
      <c r="K2088" s="114"/>
      <c r="L2088" s="114"/>
      <c r="M2088" s="114"/>
      <c r="N2088" s="114"/>
      <c r="P2088" s="234"/>
      <c r="Q2088" s="240"/>
    </row>
    <row r="2089" spans="6:17" x14ac:dyDescent="0.25">
      <c r="F2089" s="134"/>
      <c r="H2089" s="114"/>
      <c r="I2089" s="114"/>
      <c r="J2089" s="114"/>
      <c r="K2089" s="114"/>
      <c r="L2089" s="114"/>
      <c r="M2089" s="114"/>
      <c r="N2089" s="114"/>
      <c r="P2089" s="234"/>
      <c r="Q2089" s="240"/>
    </row>
    <row r="2090" spans="6:17" x14ac:dyDescent="0.25">
      <c r="F2090" s="134"/>
      <c r="H2090" s="114"/>
      <c r="I2090" s="114"/>
      <c r="J2090" s="114"/>
      <c r="K2090" s="114"/>
      <c r="L2090" s="114"/>
      <c r="M2090" s="114"/>
      <c r="N2090" s="114"/>
      <c r="P2090" s="234"/>
      <c r="Q2090" s="240"/>
    </row>
    <row r="2091" spans="6:17" x14ac:dyDescent="0.25">
      <c r="F2091" s="134"/>
      <c r="H2091" s="114"/>
      <c r="I2091" s="114"/>
      <c r="J2091" s="114"/>
      <c r="K2091" s="114"/>
      <c r="L2091" s="114"/>
      <c r="M2091" s="114"/>
      <c r="N2091" s="114"/>
      <c r="P2091" s="234"/>
      <c r="Q2091" s="240"/>
    </row>
    <row r="2092" spans="6:17" x14ac:dyDescent="0.25">
      <c r="F2092" s="134"/>
      <c r="H2092" s="114"/>
      <c r="I2092" s="114"/>
      <c r="J2092" s="114"/>
      <c r="K2092" s="114"/>
      <c r="L2092" s="114"/>
      <c r="M2092" s="114"/>
      <c r="N2092" s="114"/>
      <c r="P2092" s="234"/>
      <c r="Q2092" s="240"/>
    </row>
    <row r="2093" spans="6:17" x14ac:dyDescent="0.25">
      <c r="F2093" s="134"/>
      <c r="H2093" s="114"/>
      <c r="I2093" s="114"/>
      <c r="J2093" s="114"/>
      <c r="K2093" s="114"/>
      <c r="L2093" s="114"/>
      <c r="M2093" s="114"/>
      <c r="N2093" s="114"/>
      <c r="P2093" s="234"/>
      <c r="Q2093" s="240"/>
    </row>
    <row r="2094" spans="6:17" x14ac:dyDescent="0.25">
      <c r="F2094" s="134"/>
      <c r="H2094" s="114"/>
      <c r="I2094" s="114"/>
      <c r="J2094" s="114"/>
      <c r="K2094" s="114"/>
      <c r="L2094" s="114"/>
      <c r="M2094" s="114"/>
      <c r="N2094" s="114"/>
      <c r="P2094" s="234"/>
      <c r="Q2094" s="240"/>
    </row>
    <row r="2095" spans="6:17" x14ac:dyDescent="0.25">
      <c r="F2095" s="134"/>
      <c r="H2095" s="114"/>
      <c r="I2095" s="114"/>
      <c r="J2095" s="114"/>
      <c r="K2095" s="114"/>
      <c r="L2095" s="114"/>
      <c r="M2095" s="114"/>
      <c r="N2095" s="114"/>
      <c r="P2095" s="234"/>
      <c r="Q2095" s="240"/>
    </row>
    <row r="2096" spans="6:17" x14ac:dyDescent="0.25">
      <c r="F2096" s="134"/>
      <c r="H2096" s="114"/>
      <c r="I2096" s="114"/>
      <c r="J2096" s="114"/>
      <c r="K2096" s="114"/>
      <c r="L2096" s="114"/>
      <c r="M2096" s="114"/>
      <c r="N2096" s="114"/>
      <c r="P2096" s="234"/>
      <c r="Q2096" s="240"/>
    </row>
    <row r="2097" spans="6:17" x14ac:dyDescent="0.25">
      <c r="F2097" s="134"/>
      <c r="H2097" s="114"/>
      <c r="I2097" s="114"/>
      <c r="J2097" s="114"/>
      <c r="K2097" s="114"/>
      <c r="L2097" s="114"/>
      <c r="M2097" s="114"/>
      <c r="N2097" s="114"/>
      <c r="P2097" s="234"/>
      <c r="Q2097" s="240"/>
    </row>
    <row r="2098" spans="6:17" x14ac:dyDescent="0.25">
      <c r="F2098" s="134"/>
      <c r="H2098" s="114"/>
      <c r="I2098" s="114"/>
      <c r="J2098" s="114"/>
      <c r="K2098" s="114"/>
      <c r="L2098" s="114"/>
      <c r="M2098" s="114"/>
      <c r="N2098" s="114"/>
      <c r="P2098" s="234"/>
      <c r="Q2098" s="240"/>
    </row>
    <row r="2099" spans="6:17" x14ac:dyDescent="0.25">
      <c r="F2099" s="134"/>
      <c r="H2099" s="114"/>
      <c r="I2099" s="114"/>
      <c r="J2099" s="114"/>
      <c r="K2099" s="114"/>
      <c r="L2099" s="114"/>
      <c r="M2099" s="114"/>
      <c r="N2099" s="114"/>
      <c r="P2099" s="234"/>
      <c r="Q2099" s="240"/>
    </row>
    <row r="2100" spans="6:17" x14ac:dyDescent="0.25">
      <c r="F2100" s="134"/>
      <c r="H2100" s="114"/>
      <c r="I2100" s="114"/>
      <c r="J2100" s="114"/>
      <c r="K2100" s="114"/>
      <c r="L2100" s="114"/>
      <c r="M2100" s="114"/>
      <c r="N2100" s="114"/>
      <c r="P2100" s="234"/>
      <c r="Q2100" s="240"/>
    </row>
    <row r="2101" spans="6:17" x14ac:dyDescent="0.25">
      <c r="F2101" s="134"/>
      <c r="H2101" s="114"/>
      <c r="I2101" s="114"/>
      <c r="J2101" s="114"/>
      <c r="K2101" s="114"/>
      <c r="L2101" s="114"/>
      <c r="M2101" s="114"/>
      <c r="N2101" s="114"/>
      <c r="P2101" s="234"/>
      <c r="Q2101" s="240"/>
    </row>
    <row r="2102" spans="6:17" x14ac:dyDescent="0.25">
      <c r="F2102" s="134"/>
      <c r="H2102" s="114"/>
      <c r="I2102" s="114"/>
      <c r="J2102" s="114"/>
      <c r="K2102" s="114"/>
      <c r="L2102" s="114"/>
      <c r="M2102" s="114"/>
      <c r="N2102" s="114"/>
      <c r="P2102" s="234"/>
      <c r="Q2102" s="240"/>
    </row>
    <row r="2103" spans="6:17" x14ac:dyDescent="0.25">
      <c r="F2103" s="134"/>
      <c r="H2103" s="114"/>
      <c r="I2103" s="114"/>
      <c r="J2103" s="114"/>
      <c r="K2103" s="114"/>
      <c r="L2103" s="114"/>
      <c r="M2103" s="114"/>
      <c r="N2103" s="114"/>
      <c r="P2103" s="234"/>
      <c r="Q2103" s="240"/>
    </row>
    <row r="2104" spans="6:17" x14ac:dyDescent="0.25">
      <c r="F2104" s="134"/>
      <c r="H2104" s="114"/>
      <c r="I2104" s="114"/>
      <c r="J2104" s="114"/>
      <c r="K2104" s="114"/>
      <c r="L2104" s="114"/>
      <c r="M2104" s="114"/>
      <c r="N2104" s="114"/>
      <c r="P2104" s="234"/>
      <c r="Q2104" s="240"/>
    </row>
    <row r="2105" spans="6:17" x14ac:dyDescent="0.25">
      <c r="F2105" s="134"/>
      <c r="H2105" s="114"/>
      <c r="I2105" s="114"/>
      <c r="J2105" s="114"/>
      <c r="K2105" s="114"/>
      <c r="L2105" s="114"/>
      <c r="M2105" s="114"/>
      <c r="N2105" s="114"/>
      <c r="P2105" s="234"/>
      <c r="Q2105" s="240"/>
    </row>
    <row r="2106" spans="6:17" x14ac:dyDescent="0.25">
      <c r="F2106" s="134"/>
      <c r="H2106" s="114"/>
      <c r="I2106" s="114"/>
      <c r="J2106" s="114"/>
      <c r="K2106" s="114"/>
      <c r="L2106" s="114"/>
      <c r="M2106" s="114"/>
      <c r="N2106" s="114"/>
      <c r="P2106" s="234"/>
      <c r="Q2106" s="240"/>
    </row>
    <row r="2107" spans="6:17" x14ac:dyDescent="0.25">
      <c r="F2107" s="134"/>
      <c r="H2107" s="114"/>
      <c r="I2107" s="114"/>
      <c r="J2107" s="114"/>
      <c r="K2107" s="114"/>
      <c r="L2107" s="114"/>
      <c r="M2107" s="114"/>
      <c r="N2107" s="114"/>
      <c r="P2107" s="234"/>
      <c r="Q2107" s="240"/>
    </row>
    <row r="2108" spans="6:17" x14ac:dyDescent="0.25">
      <c r="F2108" s="134"/>
      <c r="H2108" s="114"/>
      <c r="I2108" s="114"/>
      <c r="J2108" s="114"/>
      <c r="K2108" s="114"/>
      <c r="L2108" s="114"/>
      <c r="M2108" s="114"/>
      <c r="N2108" s="114"/>
      <c r="P2108" s="234"/>
      <c r="Q2108" s="240"/>
    </row>
    <row r="2109" spans="6:17" x14ac:dyDescent="0.25">
      <c r="F2109" s="134"/>
      <c r="H2109" s="114"/>
      <c r="I2109" s="114"/>
      <c r="J2109" s="114"/>
      <c r="K2109" s="114"/>
      <c r="L2109" s="114"/>
      <c r="M2109" s="114"/>
      <c r="N2109" s="114"/>
      <c r="P2109" s="234"/>
      <c r="Q2109" s="240"/>
    </row>
    <row r="2110" spans="6:17" x14ac:dyDescent="0.25">
      <c r="F2110" s="134"/>
      <c r="H2110" s="114"/>
      <c r="I2110" s="114"/>
      <c r="J2110" s="114"/>
      <c r="K2110" s="114"/>
      <c r="L2110" s="114"/>
      <c r="M2110" s="114"/>
      <c r="N2110" s="114"/>
      <c r="P2110" s="234"/>
      <c r="Q2110" s="240"/>
    </row>
    <row r="2111" spans="6:17" x14ac:dyDescent="0.25">
      <c r="F2111" s="134"/>
      <c r="H2111" s="114"/>
      <c r="I2111" s="114"/>
      <c r="J2111" s="114"/>
      <c r="K2111" s="114"/>
      <c r="L2111" s="114"/>
      <c r="M2111" s="114"/>
      <c r="N2111" s="114"/>
      <c r="P2111" s="234"/>
      <c r="Q2111" s="240"/>
    </row>
    <row r="2112" spans="6:17" x14ac:dyDescent="0.25">
      <c r="F2112" s="134"/>
      <c r="H2112" s="114"/>
      <c r="I2112" s="114"/>
      <c r="J2112" s="114"/>
      <c r="K2112" s="114"/>
      <c r="L2112" s="114"/>
      <c r="M2112" s="114"/>
      <c r="N2112" s="114"/>
      <c r="P2112" s="234"/>
      <c r="Q2112" s="240"/>
    </row>
    <row r="2113" spans="6:17" x14ac:dyDescent="0.25">
      <c r="F2113" s="134"/>
      <c r="H2113" s="114"/>
      <c r="I2113" s="114"/>
      <c r="J2113" s="114"/>
      <c r="K2113" s="114"/>
      <c r="L2113" s="114"/>
      <c r="M2113" s="114"/>
      <c r="N2113" s="114"/>
      <c r="P2113" s="234"/>
      <c r="Q2113" s="240"/>
    </row>
    <row r="2114" spans="6:17" x14ac:dyDescent="0.25">
      <c r="F2114" s="134"/>
      <c r="H2114" s="114"/>
      <c r="I2114" s="114"/>
      <c r="J2114" s="114"/>
      <c r="K2114" s="114"/>
      <c r="L2114" s="114"/>
      <c r="M2114" s="114"/>
      <c r="N2114" s="114"/>
      <c r="P2114" s="234"/>
      <c r="Q2114" s="240"/>
    </row>
    <row r="2115" spans="6:17" x14ac:dyDescent="0.25">
      <c r="F2115" s="134"/>
      <c r="H2115" s="114"/>
      <c r="I2115" s="114"/>
      <c r="J2115" s="114"/>
      <c r="K2115" s="114"/>
      <c r="L2115" s="114"/>
      <c r="M2115" s="114"/>
      <c r="N2115" s="114"/>
      <c r="P2115" s="234"/>
      <c r="Q2115" s="240"/>
    </row>
    <row r="2116" spans="6:17" x14ac:dyDescent="0.25">
      <c r="F2116" s="134"/>
      <c r="H2116" s="114"/>
      <c r="I2116" s="114"/>
      <c r="J2116" s="114"/>
      <c r="K2116" s="114"/>
      <c r="L2116" s="114"/>
      <c r="M2116" s="114"/>
      <c r="N2116" s="114"/>
      <c r="P2116" s="234"/>
      <c r="Q2116" s="240"/>
    </row>
    <row r="2117" spans="6:17" x14ac:dyDescent="0.25">
      <c r="F2117" s="134"/>
      <c r="H2117" s="114"/>
      <c r="I2117" s="114"/>
      <c r="J2117" s="114"/>
      <c r="K2117" s="114"/>
      <c r="L2117" s="114"/>
      <c r="M2117" s="114"/>
      <c r="N2117" s="114"/>
      <c r="P2117" s="234"/>
      <c r="Q2117" s="240"/>
    </row>
    <row r="2118" spans="6:17" x14ac:dyDescent="0.25">
      <c r="F2118" s="134"/>
      <c r="H2118" s="114"/>
      <c r="I2118" s="114"/>
      <c r="J2118" s="114"/>
      <c r="K2118" s="114"/>
      <c r="L2118" s="114"/>
      <c r="M2118" s="114"/>
      <c r="N2118" s="114"/>
      <c r="P2118" s="234"/>
      <c r="Q2118" s="240"/>
    </row>
    <row r="2119" spans="6:17" x14ac:dyDescent="0.25">
      <c r="F2119" s="134"/>
      <c r="H2119" s="114"/>
      <c r="I2119" s="114"/>
      <c r="J2119" s="114"/>
      <c r="K2119" s="114"/>
      <c r="L2119" s="114"/>
      <c r="M2119" s="114"/>
      <c r="N2119" s="114"/>
      <c r="P2119" s="234"/>
      <c r="Q2119" s="240"/>
    </row>
    <row r="2120" spans="6:17" x14ac:dyDescent="0.25">
      <c r="F2120" s="134"/>
      <c r="H2120" s="114"/>
      <c r="I2120" s="114"/>
      <c r="J2120" s="114"/>
      <c r="K2120" s="114"/>
      <c r="L2120" s="114"/>
      <c r="M2120" s="114"/>
      <c r="N2120" s="114"/>
      <c r="P2120" s="234"/>
      <c r="Q2120" s="240"/>
    </row>
    <row r="2121" spans="6:17" x14ac:dyDescent="0.25">
      <c r="F2121" s="134"/>
      <c r="H2121" s="114"/>
      <c r="I2121" s="114"/>
      <c r="J2121" s="114"/>
      <c r="K2121" s="114"/>
      <c r="L2121" s="114"/>
      <c r="M2121" s="114"/>
      <c r="N2121" s="114"/>
      <c r="P2121" s="234"/>
      <c r="Q2121" s="240"/>
    </row>
    <row r="2122" spans="6:17" x14ac:dyDescent="0.25">
      <c r="F2122" s="134"/>
      <c r="H2122" s="114"/>
      <c r="I2122" s="114"/>
      <c r="J2122" s="114"/>
      <c r="K2122" s="114"/>
      <c r="L2122" s="114"/>
      <c r="M2122" s="114"/>
      <c r="N2122" s="114"/>
      <c r="P2122" s="234"/>
      <c r="Q2122" s="240"/>
    </row>
    <row r="2123" spans="6:17" x14ac:dyDescent="0.25">
      <c r="F2123" s="134"/>
      <c r="H2123" s="114"/>
      <c r="I2123" s="114"/>
      <c r="J2123" s="114"/>
      <c r="K2123" s="114"/>
      <c r="L2123" s="114"/>
      <c r="M2123" s="114"/>
      <c r="N2123" s="114"/>
      <c r="P2123" s="234"/>
      <c r="Q2123" s="240"/>
    </row>
    <row r="2124" spans="6:17" x14ac:dyDescent="0.25">
      <c r="F2124" s="134"/>
      <c r="H2124" s="114"/>
      <c r="I2124" s="114"/>
      <c r="J2124" s="114"/>
      <c r="K2124" s="114"/>
      <c r="L2124" s="114"/>
      <c r="M2124" s="114"/>
      <c r="N2124" s="114"/>
      <c r="P2124" s="234"/>
      <c r="Q2124" s="240"/>
    </row>
    <row r="2125" spans="6:17" x14ac:dyDescent="0.25">
      <c r="F2125" s="134"/>
      <c r="H2125" s="114"/>
      <c r="I2125" s="114"/>
      <c r="J2125" s="114"/>
      <c r="K2125" s="114"/>
      <c r="L2125" s="114"/>
      <c r="M2125" s="114"/>
      <c r="N2125" s="114"/>
      <c r="P2125" s="234"/>
      <c r="Q2125" s="240"/>
    </row>
    <row r="2126" spans="6:17" x14ac:dyDescent="0.25">
      <c r="F2126" s="134"/>
      <c r="H2126" s="114"/>
      <c r="I2126" s="114"/>
      <c r="J2126" s="114"/>
      <c r="K2126" s="114"/>
      <c r="L2126" s="114"/>
      <c r="M2126" s="114"/>
      <c r="N2126" s="114"/>
      <c r="P2126" s="234"/>
      <c r="Q2126" s="240"/>
    </row>
    <row r="2127" spans="6:17" x14ac:dyDescent="0.25">
      <c r="F2127" s="134"/>
      <c r="H2127" s="114"/>
      <c r="I2127" s="114"/>
      <c r="J2127" s="114"/>
      <c r="K2127" s="114"/>
      <c r="L2127" s="114"/>
      <c r="M2127" s="114"/>
      <c r="N2127" s="114"/>
      <c r="P2127" s="234"/>
      <c r="Q2127" s="240"/>
    </row>
    <row r="2128" spans="6:17" x14ac:dyDescent="0.25">
      <c r="F2128" s="134"/>
      <c r="H2128" s="114"/>
      <c r="I2128" s="114"/>
      <c r="J2128" s="114"/>
      <c r="K2128" s="114"/>
      <c r="L2128" s="114"/>
      <c r="M2128" s="114"/>
      <c r="N2128" s="114"/>
      <c r="P2128" s="234"/>
      <c r="Q2128" s="240"/>
    </row>
    <row r="2129" spans="6:17" x14ac:dyDescent="0.25">
      <c r="F2129" s="134"/>
      <c r="H2129" s="114"/>
      <c r="I2129" s="114"/>
      <c r="J2129" s="114"/>
      <c r="K2129" s="114"/>
      <c r="L2129" s="114"/>
      <c r="M2129" s="114"/>
      <c r="N2129" s="114"/>
      <c r="P2129" s="234"/>
      <c r="Q2129" s="240"/>
    </row>
    <row r="2130" spans="6:17" x14ac:dyDescent="0.25">
      <c r="F2130" s="134"/>
      <c r="H2130" s="114"/>
      <c r="I2130" s="114"/>
      <c r="J2130" s="114"/>
      <c r="K2130" s="114"/>
      <c r="L2130" s="114"/>
      <c r="M2130" s="114"/>
      <c r="N2130" s="114"/>
      <c r="P2130" s="234"/>
      <c r="Q2130" s="240"/>
    </row>
    <row r="2131" spans="6:17" x14ac:dyDescent="0.25">
      <c r="F2131" s="134"/>
      <c r="H2131" s="114"/>
      <c r="I2131" s="114"/>
      <c r="J2131" s="114"/>
      <c r="K2131" s="114"/>
      <c r="L2131" s="114"/>
      <c r="M2131" s="114"/>
      <c r="N2131" s="114"/>
      <c r="P2131" s="234"/>
      <c r="Q2131" s="240"/>
    </row>
    <row r="2132" spans="6:17" x14ac:dyDescent="0.25">
      <c r="F2132" s="134"/>
      <c r="H2132" s="114"/>
      <c r="I2132" s="114"/>
      <c r="J2132" s="114"/>
      <c r="K2132" s="114"/>
      <c r="L2132" s="114"/>
      <c r="M2132" s="114"/>
      <c r="N2132" s="114"/>
      <c r="P2132" s="234"/>
      <c r="Q2132" s="240"/>
    </row>
    <row r="2133" spans="6:17" x14ac:dyDescent="0.25">
      <c r="F2133" s="134"/>
      <c r="H2133" s="114"/>
      <c r="I2133" s="114"/>
      <c r="J2133" s="114"/>
      <c r="K2133" s="114"/>
      <c r="L2133" s="114"/>
      <c r="M2133" s="114"/>
      <c r="N2133" s="114"/>
      <c r="P2133" s="234"/>
      <c r="Q2133" s="240"/>
    </row>
    <row r="2134" spans="6:17" x14ac:dyDescent="0.25">
      <c r="F2134" s="134"/>
      <c r="H2134" s="114"/>
      <c r="I2134" s="114"/>
      <c r="J2134" s="114"/>
      <c r="K2134" s="114"/>
      <c r="L2134" s="114"/>
      <c r="M2134" s="114"/>
      <c r="N2134" s="114"/>
      <c r="P2134" s="234"/>
      <c r="Q2134" s="240"/>
    </row>
    <row r="2135" spans="6:17" x14ac:dyDescent="0.25">
      <c r="F2135" s="134"/>
      <c r="H2135" s="114"/>
      <c r="I2135" s="114"/>
      <c r="J2135" s="114"/>
      <c r="K2135" s="114"/>
      <c r="L2135" s="114"/>
      <c r="M2135" s="114"/>
      <c r="N2135" s="114"/>
      <c r="P2135" s="234"/>
      <c r="Q2135" s="240"/>
    </row>
    <row r="2136" spans="6:17" x14ac:dyDescent="0.25">
      <c r="F2136" s="134"/>
      <c r="H2136" s="114"/>
      <c r="I2136" s="114"/>
      <c r="J2136" s="114"/>
      <c r="K2136" s="114"/>
      <c r="L2136" s="114"/>
      <c r="M2136" s="114"/>
      <c r="N2136" s="114"/>
      <c r="P2136" s="234"/>
      <c r="Q2136" s="240"/>
    </row>
    <row r="2137" spans="6:17" x14ac:dyDescent="0.25">
      <c r="F2137" s="134"/>
      <c r="H2137" s="114"/>
      <c r="I2137" s="114"/>
      <c r="J2137" s="114"/>
      <c r="K2137" s="114"/>
      <c r="L2137" s="114"/>
      <c r="M2137" s="114"/>
      <c r="N2137" s="114"/>
      <c r="P2137" s="234"/>
      <c r="Q2137" s="240"/>
    </row>
    <row r="2138" spans="6:17" x14ac:dyDescent="0.25">
      <c r="F2138" s="134"/>
      <c r="H2138" s="114"/>
      <c r="I2138" s="114"/>
      <c r="J2138" s="114"/>
      <c r="K2138" s="114"/>
      <c r="L2138" s="114"/>
      <c r="M2138" s="114"/>
      <c r="N2138" s="114"/>
      <c r="P2138" s="234"/>
      <c r="Q2138" s="240"/>
    </row>
    <row r="2139" spans="6:17" x14ac:dyDescent="0.25">
      <c r="F2139" s="134"/>
      <c r="H2139" s="114"/>
      <c r="I2139" s="114"/>
      <c r="J2139" s="114"/>
      <c r="K2139" s="114"/>
      <c r="L2139" s="114"/>
      <c r="M2139" s="114"/>
      <c r="N2139" s="114"/>
      <c r="P2139" s="234"/>
      <c r="Q2139" s="240"/>
    </row>
    <row r="2140" spans="6:17" x14ac:dyDescent="0.25">
      <c r="F2140" s="134"/>
      <c r="H2140" s="114"/>
      <c r="I2140" s="114"/>
      <c r="J2140" s="114"/>
      <c r="K2140" s="114"/>
      <c r="L2140" s="114"/>
      <c r="M2140" s="114"/>
      <c r="N2140" s="114"/>
      <c r="P2140" s="234"/>
      <c r="Q2140" s="240"/>
    </row>
    <row r="2141" spans="6:17" x14ac:dyDescent="0.25">
      <c r="F2141" s="134"/>
      <c r="H2141" s="114"/>
      <c r="I2141" s="114"/>
      <c r="J2141" s="114"/>
      <c r="K2141" s="114"/>
      <c r="L2141" s="114"/>
      <c r="M2141" s="114"/>
      <c r="N2141" s="114"/>
      <c r="P2141" s="234"/>
      <c r="Q2141" s="240"/>
    </row>
    <row r="2142" spans="6:17" x14ac:dyDescent="0.25">
      <c r="F2142" s="134"/>
      <c r="H2142" s="114"/>
      <c r="I2142" s="114"/>
      <c r="J2142" s="114"/>
      <c r="K2142" s="114"/>
      <c r="L2142" s="114"/>
      <c r="M2142" s="114"/>
      <c r="N2142" s="114"/>
      <c r="P2142" s="234"/>
      <c r="Q2142" s="240"/>
    </row>
    <row r="2143" spans="6:17" x14ac:dyDescent="0.25">
      <c r="F2143" s="134"/>
      <c r="H2143" s="114"/>
      <c r="I2143" s="114"/>
      <c r="J2143" s="114"/>
      <c r="K2143" s="114"/>
      <c r="L2143" s="114"/>
      <c r="M2143" s="114"/>
      <c r="N2143" s="114"/>
      <c r="P2143" s="234"/>
      <c r="Q2143" s="240"/>
    </row>
    <row r="2144" spans="6:17" x14ac:dyDescent="0.25">
      <c r="F2144" s="134"/>
      <c r="H2144" s="114"/>
      <c r="I2144" s="114"/>
      <c r="J2144" s="114"/>
      <c r="K2144" s="114"/>
      <c r="L2144" s="114"/>
      <c r="M2144" s="114"/>
      <c r="N2144" s="114"/>
      <c r="P2144" s="234"/>
      <c r="Q2144" s="240"/>
    </row>
    <row r="2145" spans="6:17" x14ac:dyDescent="0.25">
      <c r="F2145" s="134"/>
      <c r="H2145" s="114"/>
      <c r="I2145" s="114"/>
      <c r="J2145" s="114"/>
      <c r="K2145" s="114"/>
      <c r="L2145" s="114"/>
      <c r="M2145" s="114"/>
      <c r="N2145" s="114"/>
      <c r="P2145" s="234"/>
      <c r="Q2145" s="240"/>
    </row>
    <row r="2146" spans="6:17" x14ac:dyDescent="0.25">
      <c r="F2146" s="134"/>
      <c r="H2146" s="114"/>
      <c r="I2146" s="114"/>
      <c r="J2146" s="114"/>
      <c r="K2146" s="114"/>
      <c r="L2146" s="114"/>
      <c r="M2146" s="114"/>
      <c r="N2146" s="114"/>
      <c r="P2146" s="234"/>
      <c r="Q2146" s="240"/>
    </row>
    <row r="2147" spans="6:17" x14ac:dyDescent="0.25">
      <c r="F2147" s="134"/>
      <c r="H2147" s="114"/>
      <c r="I2147" s="114"/>
      <c r="J2147" s="114"/>
      <c r="K2147" s="114"/>
      <c r="L2147" s="114"/>
      <c r="M2147" s="114"/>
      <c r="N2147" s="114"/>
      <c r="P2147" s="234"/>
      <c r="Q2147" s="240"/>
    </row>
    <row r="2148" spans="6:17" x14ac:dyDescent="0.25">
      <c r="F2148" s="134"/>
      <c r="H2148" s="114"/>
      <c r="I2148" s="114"/>
      <c r="J2148" s="114"/>
      <c r="K2148" s="114"/>
      <c r="L2148" s="114"/>
      <c r="M2148" s="114"/>
      <c r="N2148" s="114"/>
      <c r="P2148" s="234"/>
      <c r="Q2148" s="240"/>
    </row>
    <row r="2149" spans="6:17" x14ac:dyDescent="0.25">
      <c r="F2149" s="134"/>
      <c r="H2149" s="114"/>
      <c r="I2149" s="114"/>
      <c r="J2149" s="114"/>
      <c r="K2149" s="114"/>
      <c r="L2149" s="114"/>
      <c r="M2149" s="114"/>
      <c r="N2149" s="114"/>
      <c r="P2149" s="234"/>
      <c r="Q2149" s="240"/>
    </row>
    <row r="2150" spans="6:17" x14ac:dyDescent="0.25">
      <c r="F2150" s="134"/>
      <c r="H2150" s="114"/>
      <c r="I2150" s="114"/>
      <c r="J2150" s="114"/>
      <c r="K2150" s="114"/>
      <c r="L2150" s="114"/>
      <c r="M2150" s="114"/>
      <c r="N2150" s="114"/>
      <c r="P2150" s="234"/>
      <c r="Q2150" s="240"/>
    </row>
    <row r="2151" spans="6:17" x14ac:dyDescent="0.25">
      <c r="F2151" s="134"/>
      <c r="H2151" s="114"/>
      <c r="I2151" s="114"/>
      <c r="J2151" s="114"/>
      <c r="K2151" s="114"/>
      <c r="L2151" s="114"/>
      <c r="M2151" s="114"/>
      <c r="N2151" s="114"/>
      <c r="P2151" s="234"/>
      <c r="Q2151" s="240"/>
    </row>
    <row r="2152" spans="6:17" x14ac:dyDescent="0.25">
      <c r="F2152" s="134"/>
      <c r="H2152" s="114"/>
      <c r="I2152" s="114"/>
      <c r="J2152" s="114"/>
      <c r="K2152" s="114"/>
      <c r="L2152" s="114"/>
      <c r="M2152" s="114"/>
      <c r="N2152" s="114"/>
      <c r="P2152" s="234"/>
      <c r="Q2152" s="240"/>
    </row>
    <row r="2153" spans="6:17" x14ac:dyDescent="0.25">
      <c r="F2153" s="134"/>
      <c r="H2153" s="114"/>
      <c r="I2153" s="114"/>
      <c r="J2153" s="114"/>
      <c r="K2153" s="114"/>
      <c r="L2153" s="114"/>
      <c r="M2153" s="114"/>
      <c r="N2153" s="114"/>
      <c r="P2153" s="234"/>
      <c r="Q2153" s="240"/>
    </row>
    <row r="2154" spans="6:17" x14ac:dyDescent="0.25">
      <c r="F2154" s="134"/>
      <c r="H2154" s="114"/>
      <c r="I2154" s="114"/>
      <c r="J2154" s="114"/>
      <c r="K2154" s="114"/>
      <c r="L2154" s="114"/>
      <c r="M2154" s="114"/>
      <c r="N2154" s="114"/>
      <c r="P2154" s="234"/>
      <c r="Q2154" s="240"/>
    </row>
    <row r="2155" spans="6:17" x14ac:dyDescent="0.25">
      <c r="F2155" s="134"/>
      <c r="H2155" s="114"/>
      <c r="I2155" s="114"/>
      <c r="J2155" s="114"/>
      <c r="K2155" s="114"/>
      <c r="L2155" s="114"/>
      <c r="M2155" s="114"/>
      <c r="N2155" s="114"/>
      <c r="P2155" s="234"/>
      <c r="Q2155" s="240"/>
    </row>
    <row r="2156" spans="6:17" x14ac:dyDescent="0.25">
      <c r="F2156" s="134"/>
      <c r="H2156" s="114"/>
      <c r="I2156" s="114"/>
      <c r="J2156" s="114"/>
      <c r="K2156" s="114"/>
      <c r="L2156" s="114"/>
      <c r="M2156" s="114"/>
      <c r="N2156" s="114"/>
      <c r="P2156" s="234"/>
      <c r="Q2156" s="240"/>
    </row>
    <row r="2157" spans="6:17" x14ac:dyDescent="0.25">
      <c r="F2157" s="134"/>
      <c r="H2157" s="114"/>
      <c r="I2157" s="114"/>
      <c r="J2157" s="114"/>
      <c r="K2157" s="114"/>
      <c r="L2157" s="114"/>
      <c r="M2157" s="114"/>
      <c r="N2157" s="114"/>
      <c r="P2157" s="234"/>
      <c r="Q2157" s="240"/>
    </row>
    <row r="2158" spans="6:17" x14ac:dyDescent="0.25">
      <c r="F2158" s="134"/>
      <c r="H2158" s="114"/>
      <c r="I2158" s="114"/>
      <c r="J2158" s="114"/>
      <c r="K2158" s="114"/>
      <c r="L2158" s="114"/>
      <c r="M2158" s="114"/>
      <c r="N2158" s="114"/>
      <c r="P2158" s="234"/>
      <c r="Q2158" s="240"/>
    </row>
    <row r="2159" spans="6:17" x14ac:dyDescent="0.25">
      <c r="F2159" s="134"/>
      <c r="H2159" s="114"/>
      <c r="I2159" s="114"/>
      <c r="J2159" s="114"/>
      <c r="K2159" s="114"/>
      <c r="L2159" s="114"/>
      <c r="M2159" s="114"/>
      <c r="N2159" s="114"/>
      <c r="P2159" s="234"/>
      <c r="Q2159" s="240"/>
    </row>
    <row r="2160" spans="6:17" x14ac:dyDescent="0.25">
      <c r="F2160" s="134"/>
      <c r="H2160" s="114"/>
      <c r="I2160" s="114"/>
      <c r="J2160" s="114"/>
      <c r="K2160" s="114"/>
      <c r="L2160" s="114"/>
      <c r="M2160" s="114"/>
      <c r="N2160" s="114"/>
      <c r="P2160" s="234"/>
      <c r="Q2160" s="240"/>
    </row>
    <row r="2161" spans="6:17" x14ac:dyDescent="0.25">
      <c r="F2161" s="134"/>
      <c r="H2161" s="114"/>
      <c r="I2161" s="114"/>
      <c r="J2161" s="114"/>
      <c r="K2161" s="114"/>
      <c r="L2161" s="114"/>
      <c r="M2161" s="114"/>
      <c r="N2161" s="114"/>
      <c r="P2161" s="234"/>
      <c r="Q2161" s="240"/>
    </row>
    <row r="2162" spans="6:17" x14ac:dyDescent="0.25">
      <c r="F2162" s="134"/>
      <c r="H2162" s="114"/>
      <c r="I2162" s="114"/>
      <c r="J2162" s="114"/>
      <c r="K2162" s="114"/>
      <c r="L2162" s="114"/>
      <c r="M2162" s="114"/>
      <c r="N2162" s="114"/>
      <c r="P2162" s="234"/>
      <c r="Q2162" s="240"/>
    </row>
    <row r="2163" spans="6:17" x14ac:dyDescent="0.25">
      <c r="F2163" s="134"/>
      <c r="H2163" s="114"/>
      <c r="I2163" s="114"/>
      <c r="J2163" s="114"/>
      <c r="K2163" s="114"/>
      <c r="L2163" s="114"/>
      <c r="M2163" s="114"/>
      <c r="N2163" s="114"/>
      <c r="P2163" s="234"/>
      <c r="Q2163" s="240"/>
    </row>
    <row r="2164" spans="6:17" x14ac:dyDescent="0.25">
      <c r="F2164" s="134"/>
      <c r="H2164" s="114"/>
      <c r="I2164" s="114"/>
      <c r="J2164" s="114"/>
      <c r="K2164" s="114"/>
      <c r="L2164" s="114"/>
      <c r="M2164" s="114"/>
      <c r="N2164" s="114"/>
      <c r="P2164" s="234"/>
      <c r="Q2164" s="240"/>
    </row>
    <row r="2165" spans="6:17" x14ac:dyDescent="0.25">
      <c r="F2165" s="134"/>
      <c r="H2165" s="114"/>
      <c r="I2165" s="114"/>
      <c r="J2165" s="114"/>
      <c r="K2165" s="114"/>
      <c r="L2165" s="114"/>
      <c r="M2165" s="114"/>
      <c r="N2165" s="114"/>
      <c r="P2165" s="234"/>
      <c r="Q2165" s="240"/>
    </row>
    <row r="2166" spans="6:17" x14ac:dyDescent="0.25">
      <c r="F2166" s="134"/>
      <c r="H2166" s="114"/>
      <c r="I2166" s="114"/>
      <c r="J2166" s="114"/>
      <c r="K2166" s="114"/>
      <c r="L2166" s="114"/>
      <c r="M2166" s="114"/>
      <c r="N2166" s="114"/>
      <c r="P2166" s="234"/>
      <c r="Q2166" s="240"/>
    </row>
    <row r="2167" spans="6:17" x14ac:dyDescent="0.25">
      <c r="F2167" s="134"/>
      <c r="H2167" s="114"/>
      <c r="I2167" s="114"/>
      <c r="J2167" s="114"/>
      <c r="K2167" s="114"/>
      <c r="L2167" s="114"/>
      <c r="M2167" s="114"/>
      <c r="N2167" s="114"/>
      <c r="P2167" s="234"/>
      <c r="Q2167" s="240"/>
    </row>
    <row r="2168" spans="6:17" x14ac:dyDescent="0.25">
      <c r="F2168" s="134"/>
      <c r="H2168" s="114"/>
      <c r="I2168" s="114"/>
      <c r="J2168" s="114"/>
      <c r="K2168" s="114"/>
      <c r="L2168" s="114"/>
      <c r="M2168" s="114"/>
      <c r="N2168" s="114"/>
      <c r="P2168" s="234"/>
      <c r="Q2168" s="240"/>
    </row>
    <row r="2169" spans="6:17" x14ac:dyDescent="0.25">
      <c r="F2169" s="134"/>
      <c r="H2169" s="114"/>
      <c r="I2169" s="114"/>
      <c r="J2169" s="114"/>
      <c r="K2169" s="114"/>
      <c r="L2169" s="114"/>
      <c r="M2169" s="114"/>
      <c r="N2169" s="114"/>
      <c r="P2169" s="234"/>
      <c r="Q2169" s="240"/>
    </row>
    <row r="2170" spans="6:17" x14ac:dyDescent="0.25">
      <c r="F2170" s="134"/>
      <c r="H2170" s="114"/>
      <c r="I2170" s="114"/>
      <c r="J2170" s="114"/>
      <c r="K2170" s="114"/>
      <c r="L2170" s="114"/>
      <c r="M2170" s="114"/>
      <c r="N2170" s="114"/>
      <c r="P2170" s="234"/>
      <c r="Q2170" s="240"/>
    </row>
    <row r="2171" spans="6:17" x14ac:dyDescent="0.25">
      <c r="F2171" s="134"/>
      <c r="H2171" s="114"/>
      <c r="I2171" s="114"/>
      <c r="J2171" s="114"/>
      <c r="K2171" s="114"/>
      <c r="L2171" s="114"/>
      <c r="M2171" s="114"/>
      <c r="N2171" s="114"/>
      <c r="P2171" s="234"/>
      <c r="Q2171" s="240"/>
    </row>
    <row r="2172" spans="6:17" x14ac:dyDescent="0.25">
      <c r="F2172" s="134"/>
      <c r="H2172" s="114"/>
      <c r="I2172" s="114"/>
      <c r="J2172" s="114"/>
      <c r="K2172" s="114"/>
      <c r="L2172" s="114"/>
      <c r="M2172" s="114"/>
      <c r="N2172" s="114"/>
      <c r="P2172" s="234"/>
      <c r="Q2172" s="240"/>
    </row>
    <row r="2173" spans="6:17" x14ac:dyDescent="0.25">
      <c r="F2173" s="134"/>
      <c r="H2173" s="114"/>
      <c r="I2173" s="114"/>
      <c r="J2173" s="114"/>
      <c r="K2173" s="114"/>
      <c r="L2173" s="114"/>
      <c r="M2173" s="114"/>
      <c r="N2173" s="114"/>
      <c r="P2173" s="234"/>
      <c r="Q2173" s="240"/>
    </row>
    <row r="2174" spans="6:17" x14ac:dyDescent="0.25">
      <c r="F2174" s="134"/>
      <c r="H2174" s="114"/>
      <c r="I2174" s="114"/>
      <c r="J2174" s="114"/>
      <c r="K2174" s="114"/>
      <c r="L2174" s="114"/>
      <c r="M2174" s="114"/>
      <c r="N2174" s="114"/>
      <c r="P2174" s="234"/>
      <c r="Q2174" s="240"/>
    </row>
    <row r="2175" spans="6:17" x14ac:dyDescent="0.25">
      <c r="F2175" s="134"/>
      <c r="H2175" s="114"/>
      <c r="I2175" s="114"/>
      <c r="J2175" s="114"/>
      <c r="K2175" s="114"/>
      <c r="L2175" s="114"/>
      <c r="M2175" s="114"/>
      <c r="N2175" s="114"/>
      <c r="P2175" s="234"/>
      <c r="Q2175" s="240"/>
    </row>
    <row r="2176" spans="6:17" x14ac:dyDescent="0.25">
      <c r="F2176" s="134"/>
      <c r="H2176" s="114"/>
      <c r="I2176" s="114"/>
      <c r="J2176" s="114"/>
      <c r="K2176" s="114"/>
      <c r="L2176" s="114"/>
      <c r="M2176" s="114"/>
      <c r="N2176" s="114"/>
      <c r="P2176" s="234"/>
      <c r="Q2176" s="240"/>
    </row>
    <row r="2177" spans="6:17" x14ac:dyDescent="0.25">
      <c r="F2177" s="134"/>
      <c r="H2177" s="114"/>
      <c r="I2177" s="114"/>
      <c r="J2177" s="114"/>
      <c r="K2177" s="114"/>
      <c r="L2177" s="114"/>
      <c r="M2177" s="114"/>
      <c r="N2177" s="114"/>
      <c r="P2177" s="234"/>
      <c r="Q2177" s="240"/>
    </row>
    <row r="2178" spans="6:17" x14ac:dyDescent="0.25">
      <c r="F2178" s="134"/>
      <c r="H2178" s="114"/>
      <c r="I2178" s="114"/>
      <c r="J2178" s="114"/>
      <c r="K2178" s="114"/>
      <c r="L2178" s="114"/>
      <c r="M2178" s="114"/>
      <c r="N2178" s="114"/>
      <c r="P2178" s="234"/>
      <c r="Q2178" s="240"/>
    </row>
    <row r="2179" spans="6:17" x14ac:dyDescent="0.25">
      <c r="F2179" s="134"/>
      <c r="H2179" s="114"/>
      <c r="I2179" s="114"/>
      <c r="J2179" s="114"/>
      <c r="K2179" s="114"/>
      <c r="L2179" s="114"/>
      <c r="M2179" s="114"/>
      <c r="N2179" s="114"/>
      <c r="P2179" s="234"/>
      <c r="Q2179" s="240"/>
    </row>
    <row r="2180" spans="6:17" x14ac:dyDescent="0.25">
      <c r="F2180" s="134"/>
      <c r="H2180" s="114"/>
      <c r="I2180" s="114"/>
      <c r="J2180" s="114"/>
      <c r="K2180" s="114"/>
      <c r="L2180" s="114"/>
      <c r="M2180" s="114"/>
      <c r="N2180" s="114"/>
      <c r="P2180" s="234"/>
      <c r="Q2180" s="240"/>
    </row>
    <row r="2181" spans="6:17" x14ac:dyDescent="0.25">
      <c r="F2181" s="134"/>
      <c r="H2181" s="114"/>
      <c r="I2181" s="114"/>
      <c r="J2181" s="114"/>
      <c r="K2181" s="114"/>
      <c r="L2181" s="114"/>
      <c r="M2181" s="114"/>
      <c r="N2181" s="114"/>
      <c r="P2181" s="234"/>
      <c r="Q2181" s="240"/>
    </row>
    <row r="2182" spans="6:17" x14ac:dyDescent="0.25">
      <c r="F2182" s="134"/>
      <c r="H2182" s="114"/>
      <c r="I2182" s="114"/>
      <c r="J2182" s="114"/>
      <c r="K2182" s="114"/>
      <c r="L2182" s="114"/>
      <c r="M2182" s="114"/>
      <c r="N2182" s="114"/>
      <c r="P2182" s="234"/>
      <c r="Q2182" s="240"/>
    </row>
    <row r="2183" spans="6:17" x14ac:dyDescent="0.25">
      <c r="F2183" s="134"/>
      <c r="H2183" s="114"/>
      <c r="I2183" s="114"/>
      <c r="J2183" s="114"/>
      <c r="K2183" s="114"/>
      <c r="L2183" s="114"/>
      <c r="M2183" s="114"/>
      <c r="N2183" s="114"/>
      <c r="P2183" s="234"/>
      <c r="Q2183" s="240"/>
    </row>
    <row r="2184" spans="6:17" x14ac:dyDescent="0.25">
      <c r="F2184" s="134"/>
      <c r="H2184" s="114"/>
      <c r="I2184" s="114"/>
      <c r="J2184" s="114"/>
      <c r="K2184" s="114"/>
      <c r="L2184" s="114"/>
      <c r="M2184" s="114"/>
      <c r="N2184" s="114"/>
      <c r="P2184" s="234"/>
      <c r="Q2184" s="240"/>
    </row>
    <row r="2185" spans="6:17" x14ac:dyDescent="0.25">
      <c r="F2185" s="134"/>
      <c r="H2185" s="114"/>
      <c r="I2185" s="114"/>
      <c r="J2185" s="114"/>
      <c r="K2185" s="114"/>
      <c r="L2185" s="114"/>
      <c r="M2185" s="114"/>
      <c r="N2185" s="114"/>
      <c r="P2185" s="234"/>
      <c r="Q2185" s="240"/>
    </row>
    <row r="2186" spans="6:17" x14ac:dyDescent="0.25">
      <c r="F2186" s="134"/>
      <c r="H2186" s="114"/>
      <c r="I2186" s="114"/>
      <c r="J2186" s="114"/>
      <c r="K2186" s="114"/>
      <c r="L2186" s="114"/>
      <c r="M2186" s="114"/>
      <c r="N2186" s="114"/>
      <c r="P2186" s="234"/>
      <c r="Q2186" s="240"/>
    </row>
    <row r="2187" spans="6:17" x14ac:dyDescent="0.25">
      <c r="F2187" s="134"/>
      <c r="H2187" s="114"/>
      <c r="I2187" s="114"/>
      <c r="J2187" s="114"/>
      <c r="K2187" s="114"/>
      <c r="L2187" s="114"/>
      <c r="M2187" s="114"/>
      <c r="N2187" s="114"/>
      <c r="P2187" s="234"/>
      <c r="Q2187" s="240"/>
    </row>
    <row r="2188" spans="6:17" x14ac:dyDescent="0.25">
      <c r="F2188" s="134"/>
      <c r="H2188" s="114"/>
      <c r="I2188" s="114"/>
      <c r="J2188" s="114"/>
      <c r="K2188" s="114"/>
      <c r="L2188" s="114"/>
      <c r="M2188" s="114"/>
      <c r="N2188" s="114"/>
      <c r="P2188" s="234"/>
      <c r="Q2188" s="240"/>
    </row>
    <row r="2189" spans="6:17" x14ac:dyDescent="0.25">
      <c r="F2189" s="134"/>
      <c r="H2189" s="114"/>
      <c r="I2189" s="114"/>
      <c r="J2189" s="114"/>
      <c r="K2189" s="114"/>
      <c r="L2189" s="114"/>
      <c r="M2189" s="114"/>
      <c r="N2189" s="114"/>
      <c r="P2189" s="234"/>
      <c r="Q2189" s="240"/>
    </row>
    <row r="2190" spans="6:17" x14ac:dyDescent="0.25">
      <c r="F2190" s="134"/>
      <c r="H2190" s="114"/>
      <c r="I2190" s="114"/>
      <c r="J2190" s="114"/>
      <c r="K2190" s="114"/>
      <c r="L2190" s="114"/>
      <c r="M2190" s="114"/>
      <c r="N2190" s="114"/>
      <c r="P2190" s="234"/>
      <c r="Q2190" s="240"/>
    </row>
    <row r="2191" spans="6:17" x14ac:dyDescent="0.25">
      <c r="F2191" s="134"/>
      <c r="H2191" s="114"/>
      <c r="I2191" s="114"/>
      <c r="J2191" s="114"/>
      <c r="K2191" s="114"/>
      <c r="L2191" s="114"/>
      <c r="M2191" s="114"/>
      <c r="N2191" s="114"/>
      <c r="P2191" s="234"/>
      <c r="Q2191" s="240"/>
    </row>
    <row r="2192" spans="6:17" x14ac:dyDescent="0.25">
      <c r="F2192" s="134"/>
      <c r="H2192" s="114"/>
      <c r="I2192" s="114"/>
      <c r="J2192" s="114"/>
      <c r="K2192" s="114"/>
      <c r="L2192" s="114"/>
      <c r="M2192" s="114"/>
      <c r="N2192" s="114"/>
      <c r="P2192" s="234"/>
      <c r="Q2192" s="240"/>
    </row>
    <row r="2193" spans="6:17" x14ac:dyDescent="0.25">
      <c r="F2193" s="134"/>
      <c r="H2193" s="114"/>
      <c r="I2193" s="114"/>
      <c r="J2193" s="114"/>
      <c r="K2193" s="114"/>
      <c r="L2193" s="114"/>
      <c r="M2193" s="114"/>
      <c r="N2193" s="114"/>
      <c r="P2193" s="234"/>
      <c r="Q2193" s="240"/>
    </row>
    <row r="2194" spans="6:17" x14ac:dyDescent="0.25">
      <c r="F2194" s="134"/>
      <c r="H2194" s="114"/>
      <c r="I2194" s="114"/>
      <c r="J2194" s="114"/>
      <c r="K2194" s="114"/>
      <c r="L2194" s="114"/>
      <c r="M2194" s="114"/>
      <c r="N2194" s="114"/>
      <c r="P2194" s="234"/>
      <c r="Q2194" s="240"/>
    </row>
    <row r="2195" spans="6:17" x14ac:dyDescent="0.25">
      <c r="F2195" s="134"/>
      <c r="H2195" s="114"/>
      <c r="I2195" s="114"/>
      <c r="J2195" s="114"/>
      <c r="K2195" s="114"/>
      <c r="L2195" s="114"/>
      <c r="M2195" s="114"/>
      <c r="N2195" s="114"/>
      <c r="P2195" s="234"/>
      <c r="Q2195" s="240"/>
    </row>
    <row r="2196" spans="6:17" x14ac:dyDescent="0.25">
      <c r="F2196" s="134"/>
      <c r="H2196" s="114"/>
      <c r="I2196" s="114"/>
      <c r="J2196" s="114"/>
      <c r="K2196" s="114"/>
      <c r="L2196" s="114"/>
      <c r="M2196" s="114"/>
      <c r="N2196" s="114"/>
      <c r="P2196" s="234"/>
      <c r="Q2196" s="240"/>
    </row>
    <row r="2197" spans="6:17" x14ac:dyDescent="0.25">
      <c r="F2197" s="134"/>
      <c r="H2197" s="114"/>
      <c r="I2197" s="114"/>
      <c r="J2197" s="114"/>
      <c r="K2197" s="114"/>
      <c r="L2197" s="114"/>
      <c r="M2197" s="114"/>
      <c r="N2197" s="114"/>
      <c r="P2197" s="234"/>
      <c r="Q2197" s="240"/>
    </row>
    <row r="2198" spans="6:17" x14ac:dyDescent="0.25">
      <c r="F2198" s="134"/>
      <c r="H2198" s="114"/>
      <c r="I2198" s="114"/>
      <c r="J2198" s="114"/>
      <c r="K2198" s="114"/>
      <c r="L2198" s="114"/>
      <c r="M2198" s="114"/>
      <c r="N2198" s="114"/>
      <c r="P2198" s="234"/>
      <c r="Q2198" s="240"/>
    </row>
    <row r="2199" spans="6:17" x14ac:dyDescent="0.25">
      <c r="F2199" s="134"/>
      <c r="H2199" s="114"/>
      <c r="I2199" s="114"/>
      <c r="J2199" s="114"/>
      <c r="K2199" s="114"/>
      <c r="L2199" s="114"/>
      <c r="M2199" s="114"/>
      <c r="N2199" s="114"/>
      <c r="P2199" s="234"/>
      <c r="Q2199" s="240"/>
    </row>
    <row r="2200" spans="6:17" x14ac:dyDescent="0.25">
      <c r="F2200" s="134"/>
      <c r="H2200" s="114"/>
      <c r="I2200" s="114"/>
      <c r="J2200" s="114"/>
      <c r="K2200" s="114"/>
      <c r="L2200" s="114"/>
      <c r="M2200" s="114"/>
      <c r="N2200" s="114"/>
      <c r="P2200" s="234"/>
      <c r="Q2200" s="240"/>
    </row>
    <row r="2201" spans="6:17" x14ac:dyDescent="0.25">
      <c r="F2201" s="134"/>
      <c r="H2201" s="114"/>
      <c r="I2201" s="114"/>
      <c r="J2201" s="114"/>
      <c r="K2201" s="114"/>
      <c r="L2201" s="114"/>
      <c r="M2201" s="114"/>
      <c r="N2201" s="114"/>
      <c r="P2201" s="234"/>
      <c r="Q2201" s="240"/>
    </row>
    <row r="2202" spans="6:17" x14ac:dyDescent="0.25">
      <c r="F2202" s="134"/>
      <c r="H2202" s="114"/>
      <c r="I2202" s="114"/>
      <c r="J2202" s="114"/>
      <c r="K2202" s="114"/>
      <c r="L2202" s="114"/>
      <c r="M2202" s="114"/>
      <c r="N2202" s="114"/>
      <c r="P2202" s="234"/>
      <c r="Q2202" s="240"/>
    </row>
    <row r="2203" spans="6:17" x14ac:dyDescent="0.25">
      <c r="F2203" s="134"/>
      <c r="H2203" s="114"/>
      <c r="I2203" s="114"/>
      <c r="J2203" s="114"/>
      <c r="K2203" s="114"/>
      <c r="L2203" s="114"/>
      <c r="M2203" s="114"/>
      <c r="N2203" s="114"/>
      <c r="P2203" s="234"/>
      <c r="Q2203" s="240"/>
    </row>
    <row r="2204" spans="6:17" x14ac:dyDescent="0.25">
      <c r="F2204" s="134"/>
      <c r="H2204" s="114"/>
      <c r="I2204" s="114"/>
      <c r="J2204" s="114"/>
      <c r="K2204" s="114"/>
      <c r="L2204" s="114"/>
      <c r="M2204" s="114"/>
      <c r="N2204" s="114"/>
      <c r="P2204" s="234"/>
      <c r="Q2204" s="240"/>
    </row>
    <row r="2205" spans="6:17" x14ac:dyDescent="0.25">
      <c r="F2205" s="134"/>
      <c r="H2205" s="114"/>
      <c r="I2205" s="114"/>
      <c r="J2205" s="114"/>
      <c r="K2205" s="114"/>
      <c r="L2205" s="114"/>
      <c r="M2205" s="114"/>
      <c r="N2205" s="114"/>
      <c r="P2205" s="234"/>
      <c r="Q2205" s="240"/>
    </row>
    <row r="2206" spans="6:17" x14ac:dyDescent="0.25">
      <c r="F2206" s="134"/>
      <c r="H2206" s="114"/>
      <c r="I2206" s="114"/>
      <c r="J2206" s="114"/>
      <c r="K2206" s="114"/>
      <c r="L2206" s="114"/>
      <c r="M2206" s="114"/>
      <c r="N2206" s="114"/>
      <c r="P2206" s="234"/>
      <c r="Q2206" s="240"/>
    </row>
    <row r="2207" spans="6:17" x14ac:dyDescent="0.25">
      <c r="F2207" s="134"/>
      <c r="H2207" s="114"/>
      <c r="I2207" s="114"/>
      <c r="J2207" s="114"/>
      <c r="K2207" s="114"/>
      <c r="L2207" s="114"/>
      <c r="M2207" s="114"/>
      <c r="N2207" s="114"/>
      <c r="P2207" s="234"/>
      <c r="Q2207" s="240"/>
    </row>
    <row r="2208" spans="6:17" x14ac:dyDescent="0.25">
      <c r="F2208" s="134"/>
      <c r="H2208" s="114"/>
      <c r="I2208" s="114"/>
      <c r="J2208" s="114"/>
      <c r="K2208" s="114"/>
      <c r="L2208" s="114"/>
      <c r="M2208" s="114"/>
      <c r="N2208" s="114"/>
      <c r="P2208" s="234"/>
      <c r="Q2208" s="240"/>
    </row>
    <row r="2209" spans="6:17" x14ac:dyDescent="0.25">
      <c r="F2209" s="134"/>
      <c r="H2209" s="114"/>
      <c r="I2209" s="114"/>
      <c r="J2209" s="114"/>
      <c r="K2209" s="114"/>
      <c r="L2209" s="114"/>
      <c r="M2209" s="114"/>
      <c r="N2209" s="114"/>
      <c r="P2209" s="234"/>
      <c r="Q2209" s="240"/>
    </row>
    <row r="2210" spans="6:17" x14ac:dyDescent="0.25">
      <c r="F2210" s="134"/>
      <c r="H2210" s="114"/>
      <c r="I2210" s="114"/>
      <c r="J2210" s="114"/>
      <c r="K2210" s="114"/>
      <c r="L2210" s="114"/>
      <c r="M2210" s="114"/>
      <c r="N2210" s="114"/>
      <c r="P2210" s="234"/>
      <c r="Q2210" s="240"/>
    </row>
    <row r="2211" spans="6:17" x14ac:dyDescent="0.25">
      <c r="F2211" s="134"/>
      <c r="H2211" s="114"/>
      <c r="I2211" s="114"/>
      <c r="J2211" s="114"/>
      <c r="K2211" s="114"/>
      <c r="L2211" s="114"/>
      <c r="M2211" s="114"/>
      <c r="N2211" s="114"/>
      <c r="P2211" s="234"/>
      <c r="Q2211" s="240"/>
    </row>
    <row r="2212" spans="6:17" x14ac:dyDescent="0.25">
      <c r="F2212" s="134"/>
      <c r="H2212" s="114"/>
      <c r="I2212" s="114"/>
      <c r="J2212" s="114"/>
      <c r="K2212" s="114"/>
      <c r="L2212" s="114"/>
      <c r="M2212" s="114"/>
      <c r="N2212" s="114"/>
      <c r="P2212" s="234"/>
      <c r="Q2212" s="240"/>
    </row>
    <row r="2213" spans="6:17" x14ac:dyDescent="0.25">
      <c r="F2213" s="134"/>
      <c r="H2213" s="114"/>
      <c r="I2213" s="114"/>
      <c r="J2213" s="114"/>
      <c r="K2213" s="114"/>
      <c r="L2213" s="114"/>
      <c r="M2213" s="114"/>
      <c r="N2213" s="114"/>
      <c r="P2213" s="234"/>
      <c r="Q2213" s="240"/>
    </row>
    <row r="2214" spans="6:17" x14ac:dyDescent="0.25">
      <c r="F2214" s="134"/>
      <c r="H2214" s="114"/>
      <c r="I2214" s="114"/>
      <c r="J2214" s="114"/>
      <c r="K2214" s="114"/>
      <c r="L2214" s="114"/>
      <c r="M2214" s="114"/>
      <c r="N2214" s="114"/>
      <c r="P2214" s="234"/>
      <c r="Q2214" s="240"/>
    </row>
    <row r="2215" spans="6:17" x14ac:dyDescent="0.25">
      <c r="F2215" s="134"/>
      <c r="H2215" s="114"/>
      <c r="I2215" s="114"/>
      <c r="J2215" s="114"/>
      <c r="K2215" s="114"/>
      <c r="L2215" s="114"/>
      <c r="M2215" s="114"/>
      <c r="N2215" s="114"/>
      <c r="P2215" s="234"/>
      <c r="Q2215" s="240"/>
    </row>
    <row r="2216" spans="6:17" x14ac:dyDescent="0.25">
      <c r="F2216" s="134"/>
      <c r="H2216" s="114"/>
      <c r="I2216" s="114"/>
      <c r="J2216" s="114"/>
      <c r="K2216" s="114"/>
      <c r="L2216" s="114"/>
      <c r="M2216" s="114"/>
      <c r="N2216" s="114"/>
      <c r="P2216" s="234"/>
      <c r="Q2216" s="240"/>
    </row>
    <row r="2217" spans="6:17" x14ac:dyDescent="0.25">
      <c r="F2217" s="134"/>
      <c r="H2217" s="114"/>
      <c r="I2217" s="114"/>
      <c r="J2217" s="114"/>
      <c r="K2217" s="114"/>
      <c r="L2217" s="114"/>
      <c r="M2217" s="114"/>
      <c r="N2217" s="114"/>
      <c r="P2217" s="234"/>
      <c r="Q2217" s="240"/>
    </row>
    <row r="2218" spans="6:17" x14ac:dyDescent="0.25">
      <c r="F2218" s="134"/>
      <c r="H2218" s="114"/>
      <c r="I2218" s="114"/>
      <c r="J2218" s="114"/>
      <c r="K2218" s="114"/>
      <c r="L2218" s="114"/>
      <c r="M2218" s="114"/>
      <c r="N2218" s="114"/>
      <c r="P2218" s="234"/>
      <c r="Q2218" s="240"/>
    </row>
    <row r="2219" spans="6:17" x14ac:dyDescent="0.25">
      <c r="F2219" s="134"/>
      <c r="H2219" s="114"/>
      <c r="I2219" s="114"/>
      <c r="J2219" s="114"/>
      <c r="K2219" s="114"/>
      <c r="L2219" s="114"/>
      <c r="M2219" s="114"/>
      <c r="N2219" s="114"/>
      <c r="P2219" s="234"/>
      <c r="Q2219" s="240"/>
    </row>
    <row r="2220" spans="6:17" x14ac:dyDescent="0.25">
      <c r="F2220" s="134"/>
      <c r="H2220" s="114"/>
      <c r="I2220" s="114"/>
      <c r="J2220" s="114"/>
      <c r="K2220" s="114"/>
      <c r="L2220" s="114"/>
      <c r="M2220" s="114"/>
      <c r="N2220" s="114"/>
      <c r="P2220" s="234"/>
      <c r="Q2220" s="240"/>
    </row>
    <row r="2221" spans="6:17" x14ac:dyDescent="0.25">
      <c r="F2221" s="134"/>
      <c r="H2221" s="114"/>
      <c r="I2221" s="114"/>
      <c r="J2221" s="114"/>
      <c r="K2221" s="114"/>
      <c r="L2221" s="114"/>
      <c r="M2221" s="114"/>
      <c r="N2221" s="114"/>
      <c r="P2221" s="234"/>
      <c r="Q2221" s="240"/>
    </row>
    <row r="2222" spans="6:17" x14ac:dyDescent="0.25">
      <c r="F2222" s="134"/>
      <c r="H2222" s="114"/>
      <c r="I2222" s="114"/>
      <c r="J2222" s="114"/>
      <c r="K2222" s="114"/>
      <c r="L2222" s="114"/>
      <c r="M2222" s="114"/>
      <c r="N2222" s="114"/>
      <c r="P2222" s="234"/>
      <c r="Q2222" s="240"/>
    </row>
    <row r="2223" spans="6:17" x14ac:dyDescent="0.25">
      <c r="F2223" s="134"/>
      <c r="H2223" s="114"/>
      <c r="I2223" s="114"/>
      <c r="J2223" s="114"/>
      <c r="K2223" s="114"/>
      <c r="L2223" s="114"/>
      <c r="M2223" s="114"/>
      <c r="N2223" s="114"/>
      <c r="P2223" s="234"/>
      <c r="Q2223" s="240"/>
    </row>
    <row r="2224" spans="6:17" x14ac:dyDescent="0.25">
      <c r="F2224" s="134"/>
      <c r="H2224" s="114"/>
      <c r="I2224" s="114"/>
      <c r="J2224" s="114"/>
      <c r="K2224" s="114"/>
      <c r="L2224" s="114"/>
      <c r="M2224" s="114"/>
      <c r="N2224" s="114"/>
      <c r="P2224" s="234"/>
      <c r="Q2224" s="240"/>
    </row>
    <row r="2225" spans="6:17" x14ac:dyDescent="0.25">
      <c r="F2225" s="134"/>
      <c r="H2225" s="114"/>
      <c r="I2225" s="114"/>
      <c r="J2225" s="114"/>
      <c r="K2225" s="114"/>
      <c r="L2225" s="114"/>
      <c r="M2225" s="114"/>
      <c r="N2225" s="114"/>
      <c r="P2225" s="234"/>
      <c r="Q2225" s="240"/>
    </row>
    <row r="2226" spans="6:17" x14ac:dyDescent="0.25">
      <c r="F2226" s="134"/>
      <c r="H2226" s="114"/>
      <c r="I2226" s="114"/>
      <c r="J2226" s="114"/>
      <c r="K2226" s="114"/>
      <c r="L2226" s="114"/>
      <c r="M2226" s="114"/>
      <c r="N2226" s="114"/>
      <c r="P2226" s="234"/>
      <c r="Q2226" s="240"/>
    </row>
    <row r="2227" spans="6:17" x14ac:dyDescent="0.25">
      <c r="F2227" s="134"/>
      <c r="H2227" s="114"/>
      <c r="I2227" s="114"/>
      <c r="J2227" s="114"/>
      <c r="K2227" s="114"/>
      <c r="L2227" s="114"/>
      <c r="M2227" s="114"/>
      <c r="N2227" s="114"/>
      <c r="P2227" s="234"/>
      <c r="Q2227" s="240"/>
    </row>
    <row r="2228" spans="6:17" x14ac:dyDescent="0.25">
      <c r="F2228" s="134"/>
      <c r="H2228" s="114"/>
      <c r="I2228" s="114"/>
      <c r="J2228" s="114"/>
      <c r="K2228" s="114"/>
      <c r="L2228" s="114"/>
      <c r="M2228" s="114"/>
      <c r="N2228" s="114"/>
      <c r="P2228" s="234"/>
      <c r="Q2228" s="240"/>
    </row>
    <row r="2229" spans="6:17" x14ac:dyDescent="0.25">
      <c r="F2229" s="134"/>
      <c r="H2229" s="114"/>
      <c r="I2229" s="114"/>
      <c r="J2229" s="114"/>
      <c r="K2229" s="114"/>
      <c r="L2229" s="114"/>
      <c r="M2229" s="114"/>
      <c r="N2229" s="114"/>
      <c r="P2229" s="234"/>
      <c r="Q2229" s="240"/>
    </row>
    <row r="2230" spans="6:17" x14ac:dyDescent="0.25">
      <c r="F2230" s="134"/>
      <c r="H2230" s="114"/>
      <c r="I2230" s="114"/>
      <c r="J2230" s="114"/>
      <c r="K2230" s="114"/>
      <c r="L2230" s="114"/>
      <c r="M2230" s="114"/>
      <c r="N2230" s="114"/>
      <c r="P2230" s="234"/>
      <c r="Q2230" s="240"/>
    </row>
    <row r="2231" spans="6:17" x14ac:dyDescent="0.25">
      <c r="F2231" s="134"/>
      <c r="H2231" s="114"/>
      <c r="I2231" s="114"/>
      <c r="J2231" s="114"/>
      <c r="K2231" s="114"/>
      <c r="L2231" s="114"/>
      <c r="M2231" s="114"/>
      <c r="N2231" s="114"/>
      <c r="P2231" s="234"/>
      <c r="Q2231" s="240"/>
    </row>
    <row r="2232" spans="6:17" x14ac:dyDescent="0.25">
      <c r="F2232" s="134"/>
      <c r="H2232" s="114"/>
      <c r="I2232" s="114"/>
      <c r="J2232" s="114"/>
      <c r="K2232" s="114"/>
      <c r="L2232" s="114"/>
      <c r="M2232" s="114"/>
      <c r="N2232" s="114"/>
      <c r="P2232" s="234"/>
      <c r="Q2232" s="240"/>
    </row>
    <row r="2233" spans="6:17" x14ac:dyDescent="0.25">
      <c r="F2233" s="134"/>
      <c r="H2233" s="114"/>
      <c r="I2233" s="114"/>
      <c r="J2233" s="114"/>
      <c r="K2233" s="114"/>
      <c r="L2233" s="114"/>
      <c r="M2233" s="114"/>
      <c r="N2233" s="114"/>
      <c r="P2233" s="234"/>
      <c r="Q2233" s="240"/>
    </row>
    <row r="2234" spans="6:17" x14ac:dyDescent="0.25">
      <c r="F2234" s="134"/>
      <c r="H2234" s="114"/>
      <c r="I2234" s="114"/>
      <c r="J2234" s="114"/>
      <c r="K2234" s="114"/>
      <c r="L2234" s="114"/>
      <c r="M2234" s="114"/>
      <c r="N2234" s="114"/>
      <c r="P2234" s="234"/>
      <c r="Q2234" s="240"/>
    </row>
    <row r="2235" spans="6:17" x14ac:dyDescent="0.25">
      <c r="F2235" s="134"/>
      <c r="H2235" s="114"/>
      <c r="I2235" s="114"/>
      <c r="J2235" s="114"/>
      <c r="K2235" s="114"/>
      <c r="L2235" s="114"/>
      <c r="M2235" s="114"/>
      <c r="N2235" s="114"/>
      <c r="P2235" s="234"/>
      <c r="Q2235" s="240"/>
    </row>
    <row r="2236" spans="6:17" x14ac:dyDescent="0.25">
      <c r="F2236" s="134"/>
      <c r="H2236" s="114"/>
      <c r="I2236" s="114"/>
      <c r="J2236" s="114"/>
      <c r="K2236" s="114"/>
      <c r="L2236" s="114"/>
      <c r="M2236" s="114"/>
      <c r="N2236" s="114"/>
      <c r="P2236" s="234"/>
      <c r="Q2236" s="240"/>
    </row>
    <row r="2237" spans="6:17" x14ac:dyDescent="0.25">
      <c r="F2237" s="134"/>
      <c r="H2237" s="114"/>
      <c r="I2237" s="114"/>
      <c r="J2237" s="114"/>
      <c r="K2237" s="114"/>
      <c r="L2237" s="114"/>
      <c r="M2237" s="114"/>
      <c r="N2237" s="114"/>
      <c r="P2237" s="234"/>
      <c r="Q2237" s="240"/>
    </row>
    <row r="2238" spans="6:17" x14ac:dyDescent="0.25">
      <c r="F2238" s="134"/>
      <c r="H2238" s="114"/>
      <c r="I2238" s="114"/>
      <c r="J2238" s="114"/>
      <c r="K2238" s="114"/>
      <c r="L2238" s="114"/>
      <c r="M2238" s="114"/>
      <c r="N2238" s="114"/>
      <c r="P2238" s="234"/>
      <c r="Q2238" s="240"/>
    </row>
    <row r="2239" spans="6:17" x14ac:dyDescent="0.25">
      <c r="F2239" s="134"/>
      <c r="H2239" s="114"/>
      <c r="I2239" s="114"/>
      <c r="J2239" s="114"/>
      <c r="K2239" s="114"/>
      <c r="L2239" s="114"/>
      <c r="M2239" s="114"/>
      <c r="N2239" s="114"/>
      <c r="P2239" s="234"/>
      <c r="Q2239" s="240"/>
    </row>
    <row r="2240" spans="6:17" x14ac:dyDescent="0.25">
      <c r="F2240" s="134"/>
      <c r="H2240" s="114"/>
      <c r="I2240" s="114"/>
      <c r="J2240" s="114"/>
      <c r="K2240" s="114"/>
      <c r="L2240" s="114"/>
      <c r="M2240" s="114"/>
      <c r="N2240" s="114"/>
      <c r="P2240" s="234"/>
      <c r="Q2240" s="240"/>
    </row>
    <row r="2241" spans="6:17" x14ac:dyDescent="0.25">
      <c r="F2241" s="134"/>
      <c r="H2241" s="114"/>
      <c r="I2241" s="114"/>
      <c r="J2241" s="114"/>
      <c r="K2241" s="114"/>
      <c r="L2241" s="114"/>
      <c r="M2241" s="114"/>
      <c r="N2241" s="114"/>
      <c r="P2241" s="234"/>
      <c r="Q2241" s="240"/>
    </row>
    <row r="2242" spans="6:17" x14ac:dyDescent="0.25">
      <c r="F2242" s="134"/>
      <c r="H2242" s="114"/>
      <c r="I2242" s="114"/>
      <c r="J2242" s="114"/>
      <c r="K2242" s="114"/>
      <c r="L2242" s="114"/>
      <c r="M2242" s="114"/>
      <c r="N2242" s="114"/>
      <c r="P2242" s="234"/>
      <c r="Q2242" s="240"/>
    </row>
    <row r="2243" spans="6:17" x14ac:dyDescent="0.25">
      <c r="F2243" s="134"/>
      <c r="H2243" s="114"/>
      <c r="I2243" s="114"/>
      <c r="J2243" s="114"/>
      <c r="K2243" s="114"/>
      <c r="L2243" s="114"/>
      <c r="M2243" s="114"/>
      <c r="N2243" s="114"/>
      <c r="P2243" s="234"/>
      <c r="Q2243" s="240"/>
    </row>
    <row r="2244" spans="6:17" x14ac:dyDescent="0.25">
      <c r="F2244" s="134"/>
      <c r="H2244" s="114"/>
      <c r="I2244" s="114"/>
      <c r="J2244" s="114"/>
      <c r="K2244" s="114"/>
      <c r="L2244" s="114"/>
      <c r="M2244" s="114"/>
      <c r="N2244" s="114"/>
      <c r="P2244" s="234"/>
      <c r="Q2244" s="240"/>
    </row>
    <row r="2245" spans="6:17" x14ac:dyDescent="0.25">
      <c r="F2245" s="134"/>
      <c r="H2245" s="114"/>
      <c r="I2245" s="114"/>
      <c r="J2245" s="114"/>
      <c r="K2245" s="114"/>
      <c r="L2245" s="114"/>
      <c r="M2245" s="114"/>
      <c r="N2245" s="114"/>
      <c r="P2245" s="234"/>
      <c r="Q2245" s="240"/>
    </row>
    <row r="2246" spans="6:17" x14ac:dyDescent="0.25">
      <c r="F2246" s="134"/>
      <c r="H2246" s="114"/>
      <c r="I2246" s="114"/>
      <c r="J2246" s="114"/>
      <c r="K2246" s="114"/>
      <c r="L2246" s="114"/>
      <c r="M2246" s="114"/>
      <c r="N2246" s="114"/>
      <c r="P2246" s="234"/>
      <c r="Q2246" s="240"/>
    </row>
    <row r="2247" spans="6:17" x14ac:dyDescent="0.25">
      <c r="F2247" s="134"/>
      <c r="H2247" s="114"/>
      <c r="I2247" s="114"/>
      <c r="J2247" s="114"/>
      <c r="K2247" s="114"/>
      <c r="L2247" s="114"/>
      <c r="M2247" s="114"/>
      <c r="N2247" s="114"/>
      <c r="P2247" s="234"/>
      <c r="Q2247" s="240"/>
    </row>
    <row r="2248" spans="6:17" x14ac:dyDescent="0.25">
      <c r="F2248" s="134"/>
      <c r="H2248" s="114"/>
      <c r="I2248" s="114"/>
      <c r="J2248" s="114"/>
      <c r="K2248" s="114"/>
      <c r="L2248" s="114"/>
      <c r="M2248" s="114"/>
      <c r="N2248" s="114"/>
      <c r="P2248" s="234"/>
      <c r="Q2248" s="240"/>
    </row>
    <row r="2249" spans="6:17" x14ac:dyDescent="0.25">
      <c r="F2249" s="134"/>
      <c r="H2249" s="114"/>
      <c r="I2249" s="114"/>
      <c r="J2249" s="114"/>
      <c r="K2249" s="114"/>
      <c r="L2249" s="114"/>
      <c r="M2249" s="114"/>
      <c r="N2249" s="114"/>
      <c r="P2249" s="234"/>
      <c r="Q2249" s="240"/>
    </row>
    <row r="2250" spans="6:17" x14ac:dyDescent="0.25">
      <c r="F2250" s="134"/>
      <c r="H2250" s="114"/>
      <c r="I2250" s="114"/>
      <c r="J2250" s="114"/>
      <c r="K2250" s="114"/>
      <c r="L2250" s="114"/>
      <c r="M2250" s="114"/>
      <c r="N2250" s="114"/>
      <c r="P2250" s="234"/>
      <c r="Q2250" s="240"/>
    </row>
    <row r="2251" spans="6:17" x14ac:dyDescent="0.25">
      <c r="F2251" s="134"/>
      <c r="H2251" s="114"/>
      <c r="I2251" s="114"/>
      <c r="J2251" s="114"/>
      <c r="K2251" s="114"/>
      <c r="L2251" s="114"/>
      <c r="M2251" s="114"/>
      <c r="N2251" s="114"/>
      <c r="P2251" s="234"/>
      <c r="Q2251" s="240"/>
    </row>
    <row r="2252" spans="6:17" x14ac:dyDescent="0.25">
      <c r="F2252" s="134"/>
      <c r="H2252" s="114"/>
      <c r="I2252" s="114"/>
      <c r="J2252" s="114"/>
      <c r="K2252" s="114"/>
      <c r="L2252" s="114"/>
      <c r="M2252" s="114"/>
      <c r="N2252" s="114"/>
      <c r="P2252" s="234"/>
      <c r="Q2252" s="240"/>
    </row>
    <row r="2253" spans="6:17" x14ac:dyDescent="0.25">
      <c r="F2253" s="134"/>
      <c r="H2253" s="114"/>
      <c r="I2253" s="114"/>
      <c r="J2253" s="114"/>
      <c r="K2253" s="114"/>
      <c r="L2253" s="114"/>
      <c r="M2253" s="114"/>
      <c r="N2253" s="114"/>
      <c r="P2253" s="234"/>
      <c r="Q2253" s="240"/>
    </row>
    <row r="2254" spans="6:17" x14ac:dyDescent="0.25">
      <c r="F2254" s="134"/>
      <c r="H2254" s="114"/>
      <c r="I2254" s="114"/>
      <c r="J2254" s="114"/>
      <c r="K2254" s="114"/>
      <c r="L2254" s="114"/>
      <c r="M2254" s="114"/>
      <c r="N2254" s="114"/>
      <c r="P2254" s="234"/>
      <c r="Q2254" s="240"/>
    </row>
    <row r="2255" spans="6:17" x14ac:dyDescent="0.25">
      <c r="F2255" s="134"/>
      <c r="H2255" s="114"/>
      <c r="I2255" s="114"/>
      <c r="J2255" s="114"/>
      <c r="K2255" s="114"/>
      <c r="L2255" s="114"/>
      <c r="M2255" s="114"/>
      <c r="N2255" s="114"/>
      <c r="P2255" s="234"/>
      <c r="Q2255" s="240"/>
    </row>
    <row r="2256" spans="6:17" x14ac:dyDescent="0.25">
      <c r="F2256" s="134"/>
      <c r="H2256" s="114"/>
      <c r="I2256" s="114"/>
      <c r="J2256" s="114"/>
      <c r="K2256" s="114"/>
      <c r="L2256" s="114"/>
      <c r="M2256" s="114"/>
      <c r="N2256" s="114"/>
      <c r="P2256" s="234"/>
      <c r="Q2256" s="240"/>
    </row>
    <row r="2257" spans="6:17" x14ac:dyDescent="0.25">
      <c r="F2257" s="134"/>
      <c r="H2257" s="114"/>
      <c r="I2257" s="114"/>
      <c r="J2257" s="114"/>
      <c r="K2257" s="114"/>
      <c r="L2257" s="114"/>
      <c r="M2257" s="114"/>
      <c r="N2257" s="114"/>
      <c r="P2257" s="234"/>
      <c r="Q2257" s="240"/>
    </row>
    <row r="2258" spans="6:17" x14ac:dyDescent="0.25">
      <c r="F2258" s="134"/>
      <c r="H2258" s="114"/>
      <c r="I2258" s="114"/>
      <c r="J2258" s="114"/>
      <c r="K2258" s="114"/>
      <c r="L2258" s="114"/>
      <c r="M2258" s="114"/>
      <c r="N2258" s="114"/>
      <c r="P2258" s="234"/>
      <c r="Q2258" s="240"/>
    </row>
    <row r="2259" spans="6:17" x14ac:dyDescent="0.25">
      <c r="F2259" s="134"/>
      <c r="H2259" s="114"/>
      <c r="I2259" s="114"/>
      <c r="J2259" s="114"/>
      <c r="K2259" s="114"/>
      <c r="L2259" s="114"/>
      <c r="M2259" s="114"/>
      <c r="N2259" s="114"/>
      <c r="P2259" s="234"/>
      <c r="Q2259" s="240"/>
    </row>
    <row r="2260" spans="6:17" x14ac:dyDescent="0.25">
      <c r="F2260" s="134"/>
      <c r="H2260" s="114"/>
      <c r="I2260" s="114"/>
      <c r="J2260" s="114"/>
      <c r="K2260" s="114"/>
      <c r="L2260" s="114"/>
      <c r="M2260" s="114"/>
      <c r="N2260" s="114"/>
      <c r="P2260" s="234"/>
      <c r="Q2260" s="240"/>
    </row>
    <row r="2261" spans="6:17" x14ac:dyDescent="0.25">
      <c r="F2261" s="134"/>
      <c r="H2261" s="114"/>
      <c r="I2261" s="114"/>
      <c r="J2261" s="114"/>
      <c r="K2261" s="114"/>
      <c r="L2261" s="114"/>
      <c r="M2261" s="114"/>
      <c r="N2261" s="114"/>
      <c r="P2261" s="234"/>
      <c r="Q2261" s="240"/>
    </row>
    <row r="2262" spans="6:17" x14ac:dyDescent="0.25">
      <c r="F2262" s="134"/>
      <c r="H2262" s="114"/>
      <c r="I2262" s="114"/>
      <c r="J2262" s="114"/>
      <c r="K2262" s="114"/>
      <c r="L2262" s="114"/>
      <c r="M2262" s="114"/>
      <c r="N2262" s="114"/>
      <c r="P2262" s="234"/>
      <c r="Q2262" s="240"/>
    </row>
    <row r="2263" spans="6:17" x14ac:dyDescent="0.25">
      <c r="F2263" s="134"/>
      <c r="H2263" s="114"/>
      <c r="I2263" s="114"/>
      <c r="J2263" s="114"/>
      <c r="K2263" s="114"/>
      <c r="L2263" s="114"/>
      <c r="M2263" s="114"/>
      <c r="N2263" s="114"/>
      <c r="P2263" s="234"/>
      <c r="Q2263" s="240"/>
    </row>
    <row r="2264" spans="6:17" x14ac:dyDescent="0.25">
      <c r="F2264" s="134"/>
      <c r="H2264" s="114"/>
      <c r="I2264" s="114"/>
      <c r="J2264" s="114"/>
      <c r="K2264" s="114"/>
      <c r="L2264" s="114"/>
      <c r="M2264" s="114"/>
      <c r="N2264" s="114"/>
      <c r="P2264" s="234"/>
      <c r="Q2264" s="240"/>
    </row>
    <row r="2265" spans="6:17" x14ac:dyDescent="0.25">
      <c r="F2265" s="134"/>
      <c r="H2265" s="114"/>
      <c r="I2265" s="114"/>
      <c r="J2265" s="114"/>
      <c r="K2265" s="114"/>
      <c r="L2265" s="114"/>
      <c r="M2265" s="114"/>
      <c r="N2265" s="114"/>
      <c r="P2265" s="234"/>
      <c r="Q2265" s="240"/>
    </row>
    <row r="2266" spans="6:17" x14ac:dyDescent="0.25">
      <c r="F2266" s="134"/>
      <c r="H2266" s="114"/>
      <c r="I2266" s="114"/>
      <c r="J2266" s="114"/>
      <c r="K2266" s="114"/>
      <c r="L2266" s="114"/>
      <c r="M2266" s="114"/>
      <c r="N2266" s="114"/>
      <c r="P2266" s="234"/>
      <c r="Q2266" s="240"/>
    </row>
    <row r="2267" spans="6:17" x14ac:dyDescent="0.25">
      <c r="F2267" s="134"/>
      <c r="H2267" s="114"/>
      <c r="I2267" s="114"/>
      <c r="J2267" s="114"/>
      <c r="K2267" s="114"/>
      <c r="L2267" s="114"/>
      <c r="M2267" s="114"/>
      <c r="N2267" s="114"/>
      <c r="P2267" s="234"/>
      <c r="Q2267" s="240"/>
    </row>
    <row r="2268" spans="6:17" x14ac:dyDescent="0.25">
      <c r="F2268" s="134"/>
      <c r="H2268" s="114"/>
      <c r="I2268" s="114"/>
      <c r="J2268" s="114"/>
      <c r="K2268" s="114"/>
      <c r="L2268" s="114"/>
      <c r="M2268" s="114"/>
      <c r="N2268" s="114"/>
      <c r="P2268" s="234"/>
      <c r="Q2268" s="240"/>
    </row>
    <row r="2269" spans="6:17" x14ac:dyDescent="0.25">
      <c r="F2269" s="134"/>
      <c r="H2269" s="114"/>
      <c r="I2269" s="114"/>
      <c r="J2269" s="114"/>
      <c r="K2269" s="114"/>
      <c r="L2269" s="114"/>
      <c r="M2269" s="114"/>
      <c r="N2269" s="114"/>
      <c r="P2269" s="234"/>
      <c r="Q2269" s="240"/>
    </row>
    <row r="2270" spans="6:17" x14ac:dyDescent="0.25">
      <c r="F2270" s="134"/>
      <c r="H2270" s="114"/>
      <c r="I2270" s="114"/>
      <c r="J2270" s="114"/>
      <c r="K2270" s="114"/>
      <c r="L2270" s="114"/>
      <c r="M2270" s="114"/>
      <c r="N2270" s="114"/>
      <c r="P2270" s="234"/>
      <c r="Q2270" s="240"/>
    </row>
    <row r="2271" spans="6:17" x14ac:dyDescent="0.25">
      <c r="F2271" s="134"/>
      <c r="H2271" s="114"/>
      <c r="I2271" s="114"/>
      <c r="J2271" s="114"/>
      <c r="K2271" s="114"/>
      <c r="L2271" s="114"/>
      <c r="M2271" s="114"/>
      <c r="N2271" s="114"/>
      <c r="P2271" s="234"/>
      <c r="Q2271" s="240"/>
    </row>
    <row r="2272" spans="6:17" x14ac:dyDescent="0.25">
      <c r="F2272" s="134"/>
      <c r="H2272" s="114"/>
      <c r="I2272" s="114"/>
      <c r="J2272" s="114"/>
      <c r="K2272" s="114"/>
      <c r="L2272" s="114"/>
      <c r="M2272" s="114"/>
      <c r="N2272" s="114"/>
      <c r="P2272" s="234"/>
      <c r="Q2272" s="240"/>
    </row>
    <row r="2273" spans="6:17" x14ac:dyDescent="0.25">
      <c r="F2273" s="134"/>
      <c r="H2273" s="114"/>
      <c r="I2273" s="114"/>
      <c r="J2273" s="114"/>
      <c r="K2273" s="114"/>
      <c r="L2273" s="114"/>
      <c r="M2273" s="114"/>
      <c r="N2273" s="114"/>
      <c r="P2273" s="234"/>
      <c r="Q2273" s="240"/>
    </row>
    <row r="2274" spans="6:17" x14ac:dyDescent="0.25">
      <c r="F2274" s="134"/>
      <c r="H2274" s="114"/>
      <c r="I2274" s="114"/>
      <c r="J2274" s="114"/>
      <c r="K2274" s="114"/>
      <c r="L2274" s="114"/>
      <c r="M2274" s="114"/>
      <c r="N2274" s="114"/>
      <c r="P2274" s="234"/>
      <c r="Q2274" s="240"/>
    </row>
    <row r="2275" spans="6:17" x14ac:dyDescent="0.25">
      <c r="F2275" s="134"/>
      <c r="H2275" s="114"/>
      <c r="I2275" s="114"/>
      <c r="J2275" s="114"/>
      <c r="K2275" s="114"/>
      <c r="L2275" s="114"/>
      <c r="M2275" s="114"/>
      <c r="N2275" s="114"/>
      <c r="P2275" s="234"/>
      <c r="Q2275" s="240"/>
    </row>
    <row r="2276" spans="6:17" x14ac:dyDescent="0.25">
      <c r="F2276" s="134"/>
      <c r="H2276" s="114"/>
      <c r="I2276" s="114"/>
      <c r="J2276" s="114"/>
      <c r="K2276" s="114"/>
      <c r="L2276" s="114"/>
      <c r="M2276" s="114"/>
      <c r="N2276" s="114"/>
      <c r="P2276" s="234"/>
      <c r="Q2276" s="240"/>
    </row>
    <row r="2277" spans="6:17" x14ac:dyDescent="0.25">
      <c r="F2277" s="134"/>
      <c r="H2277" s="114"/>
      <c r="I2277" s="114"/>
      <c r="J2277" s="114"/>
      <c r="K2277" s="114"/>
      <c r="L2277" s="114"/>
      <c r="M2277" s="114"/>
      <c r="N2277" s="114"/>
      <c r="P2277" s="234"/>
      <c r="Q2277" s="240"/>
    </row>
    <row r="2278" spans="6:17" x14ac:dyDescent="0.25">
      <c r="F2278" s="134"/>
      <c r="H2278" s="114"/>
      <c r="I2278" s="114"/>
      <c r="J2278" s="114"/>
      <c r="K2278" s="114"/>
      <c r="L2278" s="114"/>
      <c r="M2278" s="114"/>
      <c r="N2278" s="114"/>
      <c r="P2278" s="234"/>
      <c r="Q2278" s="240"/>
    </row>
    <row r="2279" spans="6:17" x14ac:dyDescent="0.25">
      <c r="F2279" s="134"/>
      <c r="H2279" s="114"/>
      <c r="I2279" s="114"/>
      <c r="J2279" s="114"/>
      <c r="K2279" s="114"/>
      <c r="L2279" s="114"/>
      <c r="M2279" s="114"/>
      <c r="N2279" s="114"/>
      <c r="P2279" s="234"/>
      <c r="Q2279" s="240"/>
    </row>
    <row r="2280" spans="6:17" x14ac:dyDescent="0.25">
      <c r="F2280" s="134"/>
      <c r="H2280" s="114"/>
      <c r="I2280" s="114"/>
      <c r="J2280" s="114"/>
      <c r="K2280" s="114"/>
      <c r="L2280" s="114"/>
      <c r="M2280" s="114"/>
      <c r="N2280" s="114"/>
      <c r="P2280" s="234"/>
      <c r="Q2280" s="240"/>
    </row>
    <row r="2281" spans="6:17" x14ac:dyDescent="0.25">
      <c r="F2281" s="134"/>
      <c r="H2281" s="114"/>
      <c r="I2281" s="114"/>
      <c r="J2281" s="114"/>
      <c r="K2281" s="114"/>
      <c r="L2281" s="114"/>
      <c r="M2281" s="114"/>
      <c r="N2281" s="114"/>
      <c r="P2281" s="234"/>
      <c r="Q2281" s="240"/>
    </row>
    <row r="2282" spans="6:17" x14ac:dyDescent="0.25">
      <c r="F2282" s="134"/>
      <c r="H2282" s="114"/>
      <c r="I2282" s="114"/>
      <c r="J2282" s="114"/>
      <c r="K2282" s="114"/>
      <c r="L2282" s="114"/>
      <c r="M2282" s="114"/>
      <c r="N2282" s="114"/>
      <c r="P2282" s="234"/>
      <c r="Q2282" s="240"/>
    </row>
    <row r="2283" spans="6:17" x14ac:dyDescent="0.25">
      <c r="F2283" s="134"/>
      <c r="H2283" s="114"/>
      <c r="I2283" s="114"/>
      <c r="J2283" s="114"/>
      <c r="K2283" s="114"/>
      <c r="L2283" s="114"/>
      <c r="M2283" s="114"/>
      <c r="N2283" s="114"/>
      <c r="P2283" s="234"/>
      <c r="Q2283" s="240"/>
    </row>
    <row r="2284" spans="6:17" x14ac:dyDescent="0.25">
      <c r="F2284" s="134"/>
      <c r="H2284" s="114"/>
      <c r="I2284" s="114"/>
      <c r="J2284" s="114"/>
      <c r="K2284" s="114"/>
      <c r="L2284" s="114"/>
      <c r="M2284" s="114"/>
      <c r="N2284" s="114"/>
      <c r="P2284" s="234"/>
      <c r="Q2284" s="240"/>
    </row>
    <row r="2285" spans="6:17" x14ac:dyDescent="0.25">
      <c r="F2285" s="134"/>
      <c r="H2285" s="114"/>
      <c r="I2285" s="114"/>
      <c r="J2285" s="114"/>
      <c r="K2285" s="114"/>
      <c r="L2285" s="114"/>
      <c r="M2285" s="114"/>
      <c r="N2285" s="114"/>
      <c r="P2285" s="234"/>
      <c r="Q2285" s="240"/>
    </row>
    <row r="2286" spans="6:17" x14ac:dyDescent="0.25">
      <c r="F2286" s="134"/>
      <c r="H2286" s="114"/>
      <c r="I2286" s="114"/>
      <c r="J2286" s="114"/>
      <c r="K2286" s="114"/>
      <c r="L2286" s="114"/>
      <c r="M2286" s="114"/>
      <c r="N2286" s="114"/>
      <c r="P2286" s="234"/>
      <c r="Q2286" s="240"/>
    </row>
    <row r="2287" spans="6:17" x14ac:dyDescent="0.25">
      <c r="F2287" s="134"/>
      <c r="H2287" s="114"/>
      <c r="I2287" s="114"/>
      <c r="J2287" s="114"/>
      <c r="K2287" s="114"/>
      <c r="L2287" s="114"/>
      <c r="M2287" s="114"/>
      <c r="N2287" s="114"/>
      <c r="P2287" s="234"/>
      <c r="Q2287" s="240"/>
    </row>
    <row r="2288" spans="6:17" x14ac:dyDescent="0.25">
      <c r="F2288" s="134"/>
      <c r="H2288" s="114"/>
      <c r="I2288" s="114"/>
      <c r="J2288" s="114"/>
      <c r="K2288" s="114"/>
      <c r="L2288" s="114"/>
      <c r="M2288" s="114"/>
      <c r="N2288" s="114"/>
      <c r="P2288" s="234"/>
      <c r="Q2288" s="240"/>
    </row>
    <row r="2289" spans="6:17" x14ac:dyDescent="0.25">
      <c r="F2289" s="134"/>
      <c r="H2289" s="114"/>
      <c r="I2289" s="114"/>
      <c r="J2289" s="114"/>
      <c r="K2289" s="114"/>
      <c r="L2289" s="114"/>
      <c r="M2289" s="114"/>
      <c r="N2289" s="114"/>
      <c r="P2289" s="234"/>
      <c r="Q2289" s="240"/>
    </row>
    <row r="2290" spans="6:17" x14ac:dyDescent="0.25">
      <c r="F2290" s="134"/>
      <c r="H2290" s="114"/>
      <c r="I2290" s="114"/>
      <c r="J2290" s="114"/>
      <c r="K2290" s="114"/>
      <c r="L2290" s="114"/>
      <c r="M2290" s="114"/>
      <c r="N2290" s="114"/>
      <c r="P2290" s="234"/>
      <c r="Q2290" s="240"/>
    </row>
    <row r="2291" spans="6:17" x14ac:dyDescent="0.25">
      <c r="F2291" s="134"/>
      <c r="H2291" s="114"/>
      <c r="I2291" s="114"/>
      <c r="J2291" s="114"/>
      <c r="K2291" s="114"/>
      <c r="L2291" s="114"/>
      <c r="M2291" s="114"/>
      <c r="N2291" s="114"/>
      <c r="P2291" s="234"/>
      <c r="Q2291" s="240"/>
    </row>
    <row r="2292" spans="6:17" x14ac:dyDescent="0.25">
      <c r="F2292" s="134"/>
      <c r="H2292" s="114"/>
      <c r="I2292" s="114"/>
      <c r="J2292" s="114"/>
      <c r="K2292" s="114"/>
      <c r="L2292" s="114"/>
      <c r="M2292" s="114"/>
      <c r="N2292" s="114"/>
      <c r="P2292" s="234"/>
      <c r="Q2292" s="240"/>
    </row>
    <row r="2293" spans="6:17" x14ac:dyDescent="0.25">
      <c r="F2293" s="134"/>
      <c r="H2293" s="114"/>
      <c r="I2293" s="114"/>
      <c r="J2293" s="114"/>
      <c r="K2293" s="114"/>
      <c r="L2293" s="114"/>
      <c r="M2293" s="114"/>
      <c r="N2293" s="114"/>
      <c r="P2293" s="234"/>
      <c r="Q2293" s="240"/>
    </row>
    <row r="2294" spans="6:17" x14ac:dyDescent="0.25">
      <c r="F2294" s="134"/>
      <c r="H2294" s="114"/>
      <c r="I2294" s="114"/>
      <c r="J2294" s="114"/>
      <c r="K2294" s="114"/>
      <c r="L2294" s="114"/>
      <c r="M2294" s="114"/>
      <c r="N2294" s="114"/>
      <c r="P2294" s="234"/>
      <c r="Q2294" s="240"/>
    </row>
    <row r="2295" spans="6:17" x14ac:dyDescent="0.25">
      <c r="F2295" s="134"/>
      <c r="H2295" s="114"/>
      <c r="I2295" s="114"/>
      <c r="J2295" s="114"/>
      <c r="K2295" s="114"/>
      <c r="L2295" s="114"/>
      <c r="M2295" s="114"/>
      <c r="N2295" s="114"/>
      <c r="P2295" s="234"/>
      <c r="Q2295" s="240"/>
    </row>
    <row r="2296" spans="6:17" x14ac:dyDescent="0.25">
      <c r="F2296" s="134"/>
      <c r="H2296" s="114"/>
      <c r="I2296" s="114"/>
      <c r="J2296" s="114"/>
      <c r="K2296" s="114"/>
      <c r="L2296" s="114"/>
      <c r="M2296" s="114"/>
      <c r="N2296" s="114"/>
      <c r="P2296" s="234"/>
      <c r="Q2296" s="240"/>
    </row>
    <row r="2297" spans="6:17" x14ac:dyDescent="0.25">
      <c r="F2297" s="134"/>
      <c r="H2297" s="114"/>
      <c r="I2297" s="114"/>
      <c r="J2297" s="114"/>
      <c r="K2297" s="114"/>
      <c r="L2297" s="114"/>
      <c r="M2297" s="114"/>
      <c r="N2297" s="114"/>
      <c r="P2297" s="234"/>
      <c r="Q2297" s="240"/>
    </row>
    <row r="2298" spans="6:17" x14ac:dyDescent="0.25">
      <c r="F2298" s="134"/>
      <c r="H2298" s="114"/>
      <c r="I2298" s="114"/>
      <c r="J2298" s="114"/>
      <c r="K2298" s="114"/>
      <c r="L2298" s="114"/>
      <c r="M2298" s="114"/>
      <c r="N2298" s="114"/>
      <c r="P2298" s="234"/>
      <c r="Q2298" s="240"/>
    </row>
    <row r="2299" spans="6:17" x14ac:dyDescent="0.25">
      <c r="F2299" s="134"/>
      <c r="H2299" s="114"/>
      <c r="I2299" s="114"/>
      <c r="J2299" s="114"/>
      <c r="K2299" s="114"/>
      <c r="L2299" s="114"/>
      <c r="M2299" s="114"/>
      <c r="N2299" s="114"/>
      <c r="P2299" s="234"/>
      <c r="Q2299" s="240"/>
    </row>
    <row r="2300" spans="6:17" x14ac:dyDescent="0.25">
      <c r="F2300" s="134"/>
      <c r="H2300" s="114"/>
      <c r="I2300" s="114"/>
      <c r="J2300" s="114"/>
      <c r="K2300" s="114"/>
      <c r="L2300" s="114"/>
      <c r="M2300" s="114"/>
      <c r="N2300" s="114"/>
      <c r="P2300" s="234"/>
      <c r="Q2300" s="240"/>
    </row>
    <row r="2301" spans="6:17" x14ac:dyDescent="0.25">
      <c r="F2301" s="134"/>
      <c r="H2301" s="114"/>
      <c r="I2301" s="114"/>
      <c r="J2301" s="114"/>
      <c r="K2301" s="114"/>
      <c r="L2301" s="114"/>
      <c r="M2301" s="114"/>
      <c r="N2301" s="114"/>
      <c r="P2301" s="234"/>
      <c r="Q2301" s="240"/>
    </row>
    <row r="2302" spans="6:17" x14ac:dyDescent="0.25">
      <c r="F2302" s="134"/>
      <c r="H2302" s="114"/>
      <c r="I2302" s="114"/>
      <c r="J2302" s="114"/>
      <c r="K2302" s="114"/>
      <c r="L2302" s="114"/>
      <c r="M2302" s="114"/>
      <c r="N2302" s="114"/>
      <c r="P2302" s="234"/>
      <c r="Q2302" s="240"/>
    </row>
    <row r="2303" spans="6:17" x14ac:dyDescent="0.25">
      <c r="F2303" s="134"/>
      <c r="H2303" s="114"/>
      <c r="I2303" s="114"/>
      <c r="J2303" s="114"/>
      <c r="K2303" s="114"/>
      <c r="L2303" s="114"/>
      <c r="M2303" s="114"/>
      <c r="N2303" s="114"/>
      <c r="P2303" s="234"/>
      <c r="Q2303" s="240"/>
    </row>
    <row r="2304" spans="6:17" x14ac:dyDescent="0.25">
      <c r="F2304" s="134"/>
      <c r="H2304" s="114"/>
      <c r="I2304" s="114"/>
      <c r="J2304" s="114"/>
      <c r="K2304" s="114"/>
      <c r="L2304" s="114"/>
      <c r="M2304" s="114"/>
      <c r="N2304" s="114"/>
      <c r="P2304" s="234"/>
      <c r="Q2304" s="240"/>
    </row>
    <row r="2305" spans="6:17" x14ac:dyDescent="0.25">
      <c r="F2305" s="134"/>
      <c r="H2305" s="114"/>
      <c r="I2305" s="114"/>
      <c r="J2305" s="114"/>
      <c r="K2305" s="114"/>
      <c r="L2305" s="114"/>
      <c r="M2305" s="114"/>
      <c r="N2305" s="114"/>
      <c r="P2305" s="234"/>
      <c r="Q2305" s="240"/>
    </row>
    <row r="2306" spans="6:17" x14ac:dyDescent="0.25">
      <c r="F2306" s="134"/>
      <c r="H2306" s="114"/>
      <c r="I2306" s="114"/>
      <c r="J2306" s="114"/>
      <c r="K2306" s="114"/>
      <c r="L2306" s="114"/>
      <c r="M2306" s="114"/>
      <c r="N2306" s="114"/>
      <c r="P2306" s="234"/>
      <c r="Q2306" s="240"/>
    </row>
    <row r="2307" spans="6:17" x14ac:dyDescent="0.25">
      <c r="F2307" s="134"/>
      <c r="H2307" s="114"/>
      <c r="I2307" s="114"/>
      <c r="J2307" s="114"/>
      <c r="K2307" s="114"/>
      <c r="L2307" s="114"/>
      <c r="M2307" s="114"/>
      <c r="N2307" s="114"/>
      <c r="P2307" s="234"/>
      <c r="Q2307" s="240"/>
    </row>
    <row r="2308" spans="6:17" x14ac:dyDescent="0.25">
      <c r="F2308" s="134"/>
      <c r="H2308" s="114"/>
      <c r="I2308" s="114"/>
      <c r="J2308" s="114"/>
      <c r="K2308" s="114"/>
      <c r="L2308" s="114"/>
      <c r="M2308" s="114"/>
      <c r="N2308" s="114"/>
      <c r="P2308" s="234"/>
      <c r="Q2308" s="240"/>
    </row>
    <row r="2309" spans="6:17" x14ac:dyDescent="0.25">
      <c r="F2309" s="134"/>
      <c r="H2309" s="114"/>
      <c r="I2309" s="114"/>
      <c r="J2309" s="114"/>
      <c r="K2309" s="114"/>
      <c r="L2309" s="114"/>
      <c r="M2309" s="114"/>
      <c r="N2309" s="114"/>
      <c r="P2309" s="234"/>
      <c r="Q2309" s="240"/>
    </row>
    <row r="2310" spans="6:17" x14ac:dyDescent="0.25">
      <c r="F2310" s="134"/>
      <c r="H2310" s="114"/>
      <c r="I2310" s="114"/>
      <c r="J2310" s="114"/>
      <c r="K2310" s="114"/>
      <c r="L2310" s="114"/>
      <c r="M2310" s="114"/>
      <c r="N2310" s="114"/>
      <c r="P2310" s="234"/>
      <c r="Q2310" s="240"/>
    </row>
    <row r="2311" spans="6:17" x14ac:dyDescent="0.25">
      <c r="F2311" s="134"/>
      <c r="H2311" s="114"/>
      <c r="I2311" s="114"/>
      <c r="J2311" s="114"/>
      <c r="K2311" s="114"/>
      <c r="L2311" s="114"/>
      <c r="M2311" s="114"/>
      <c r="N2311" s="114"/>
      <c r="P2311" s="234"/>
      <c r="Q2311" s="240"/>
    </row>
    <row r="2312" spans="6:17" x14ac:dyDescent="0.25">
      <c r="F2312" s="134"/>
      <c r="H2312" s="114"/>
      <c r="I2312" s="114"/>
      <c r="J2312" s="114"/>
      <c r="K2312" s="114"/>
      <c r="L2312" s="114"/>
      <c r="M2312" s="114"/>
      <c r="N2312" s="114"/>
      <c r="P2312" s="234"/>
      <c r="Q2312" s="240"/>
    </row>
    <row r="2313" spans="6:17" x14ac:dyDescent="0.25">
      <c r="F2313" s="134"/>
      <c r="H2313" s="114"/>
      <c r="I2313" s="114"/>
      <c r="J2313" s="114"/>
      <c r="K2313" s="114"/>
      <c r="L2313" s="114"/>
      <c r="M2313" s="114"/>
      <c r="N2313" s="114"/>
      <c r="P2313" s="234"/>
      <c r="Q2313" s="240"/>
    </row>
    <row r="2314" spans="6:17" x14ac:dyDescent="0.25">
      <c r="F2314" s="134"/>
      <c r="H2314" s="114"/>
      <c r="I2314" s="114"/>
      <c r="J2314" s="114"/>
      <c r="K2314" s="114"/>
      <c r="L2314" s="114"/>
      <c r="M2314" s="114"/>
      <c r="N2314" s="114"/>
      <c r="P2314" s="234"/>
      <c r="Q2314" s="240"/>
    </row>
    <row r="2315" spans="6:17" x14ac:dyDescent="0.25">
      <c r="F2315" s="134"/>
      <c r="H2315" s="114"/>
      <c r="I2315" s="114"/>
      <c r="J2315" s="114"/>
      <c r="K2315" s="114"/>
      <c r="L2315" s="114"/>
      <c r="M2315" s="114"/>
      <c r="N2315" s="114"/>
      <c r="P2315" s="234"/>
      <c r="Q2315" s="240"/>
    </row>
    <row r="2316" spans="6:17" x14ac:dyDescent="0.25">
      <c r="F2316" s="134"/>
      <c r="H2316" s="114"/>
      <c r="I2316" s="114"/>
      <c r="J2316" s="114"/>
      <c r="K2316" s="114"/>
      <c r="L2316" s="114"/>
      <c r="M2316" s="114"/>
      <c r="N2316" s="114"/>
      <c r="P2316" s="234"/>
      <c r="Q2316" s="240"/>
    </row>
    <row r="2317" spans="6:17" x14ac:dyDescent="0.25">
      <c r="F2317" s="134"/>
      <c r="H2317" s="114"/>
      <c r="I2317" s="114"/>
      <c r="J2317" s="114"/>
      <c r="K2317" s="114"/>
      <c r="L2317" s="114"/>
      <c r="M2317" s="114"/>
      <c r="N2317" s="114"/>
      <c r="P2317" s="234"/>
      <c r="Q2317" s="240"/>
    </row>
    <row r="2318" spans="6:17" x14ac:dyDescent="0.25">
      <c r="F2318" s="134"/>
      <c r="H2318" s="114"/>
      <c r="I2318" s="114"/>
      <c r="J2318" s="114"/>
      <c r="K2318" s="114"/>
      <c r="L2318" s="114"/>
      <c r="M2318" s="114"/>
      <c r="N2318" s="114"/>
      <c r="P2318" s="234"/>
      <c r="Q2318" s="240"/>
    </row>
    <row r="2319" spans="6:17" x14ac:dyDescent="0.25">
      <c r="F2319" s="134"/>
      <c r="H2319" s="114"/>
      <c r="I2319" s="114"/>
      <c r="J2319" s="114"/>
      <c r="K2319" s="114"/>
      <c r="L2319" s="114"/>
      <c r="M2319" s="114"/>
      <c r="N2319" s="114"/>
      <c r="P2319" s="234"/>
      <c r="Q2319" s="240"/>
    </row>
    <row r="2320" spans="6:17" x14ac:dyDescent="0.25">
      <c r="F2320" s="134"/>
      <c r="H2320" s="114"/>
      <c r="I2320" s="114"/>
      <c r="J2320" s="114"/>
      <c r="K2320" s="114"/>
      <c r="L2320" s="114"/>
      <c r="M2320" s="114"/>
      <c r="N2320" s="114"/>
      <c r="P2320" s="234"/>
      <c r="Q2320" s="240"/>
    </row>
    <row r="2321" spans="6:17" x14ac:dyDescent="0.25">
      <c r="F2321" s="134"/>
      <c r="H2321" s="114"/>
      <c r="I2321" s="114"/>
      <c r="J2321" s="114"/>
      <c r="K2321" s="114"/>
      <c r="L2321" s="114"/>
      <c r="M2321" s="114"/>
      <c r="N2321" s="114"/>
      <c r="P2321" s="234"/>
      <c r="Q2321" s="240"/>
    </row>
    <row r="2322" spans="6:17" x14ac:dyDescent="0.25">
      <c r="F2322" s="134"/>
      <c r="H2322" s="114"/>
      <c r="I2322" s="114"/>
      <c r="J2322" s="114"/>
      <c r="K2322" s="114"/>
      <c r="L2322" s="114"/>
      <c r="M2322" s="114"/>
      <c r="N2322" s="114"/>
      <c r="P2322" s="234"/>
      <c r="Q2322" s="240"/>
    </row>
    <row r="2323" spans="6:17" x14ac:dyDescent="0.25">
      <c r="F2323" s="134"/>
      <c r="H2323" s="114"/>
      <c r="I2323" s="114"/>
      <c r="J2323" s="114"/>
      <c r="K2323" s="114"/>
      <c r="L2323" s="114"/>
      <c r="M2323" s="114"/>
      <c r="N2323" s="114"/>
      <c r="P2323" s="234"/>
      <c r="Q2323" s="240"/>
    </row>
    <row r="2324" spans="6:17" x14ac:dyDescent="0.25">
      <c r="F2324" s="134"/>
      <c r="H2324" s="114"/>
      <c r="I2324" s="114"/>
      <c r="J2324" s="114"/>
      <c r="K2324" s="114"/>
      <c r="L2324" s="114"/>
      <c r="M2324" s="114"/>
      <c r="N2324" s="114"/>
      <c r="P2324" s="234"/>
      <c r="Q2324" s="240"/>
    </row>
    <row r="2325" spans="6:17" x14ac:dyDescent="0.25">
      <c r="F2325" s="134"/>
      <c r="H2325" s="114"/>
      <c r="I2325" s="114"/>
      <c r="J2325" s="114"/>
      <c r="K2325" s="114"/>
      <c r="L2325" s="114"/>
      <c r="M2325" s="114"/>
      <c r="N2325" s="114"/>
      <c r="P2325" s="234"/>
      <c r="Q2325" s="240"/>
    </row>
    <row r="2326" spans="6:17" x14ac:dyDescent="0.25">
      <c r="F2326" s="134"/>
      <c r="H2326" s="114"/>
      <c r="I2326" s="114"/>
      <c r="J2326" s="114"/>
      <c r="K2326" s="114"/>
      <c r="L2326" s="114"/>
      <c r="M2326" s="114"/>
      <c r="N2326" s="114"/>
      <c r="P2326" s="234"/>
      <c r="Q2326" s="240"/>
    </row>
    <row r="2327" spans="6:17" x14ac:dyDescent="0.25">
      <c r="F2327" s="134"/>
      <c r="H2327" s="114"/>
      <c r="I2327" s="114"/>
      <c r="J2327" s="114"/>
      <c r="K2327" s="114"/>
      <c r="L2327" s="114"/>
      <c r="M2327" s="114"/>
      <c r="N2327" s="114"/>
      <c r="P2327" s="234"/>
      <c r="Q2327" s="240"/>
    </row>
    <row r="2328" spans="6:17" x14ac:dyDescent="0.25">
      <c r="F2328" s="134"/>
      <c r="H2328" s="114"/>
      <c r="I2328" s="114"/>
      <c r="J2328" s="114"/>
      <c r="K2328" s="114"/>
      <c r="L2328" s="114"/>
      <c r="M2328" s="114"/>
      <c r="N2328" s="114"/>
      <c r="P2328" s="234"/>
      <c r="Q2328" s="240"/>
    </row>
    <row r="2329" spans="6:17" x14ac:dyDescent="0.25">
      <c r="F2329" s="134"/>
      <c r="H2329" s="114"/>
      <c r="I2329" s="114"/>
      <c r="J2329" s="114"/>
      <c r="K2329" s="114"/>
      <c r="L2329" s="114"/>
      <c r="M2329" s="114"/>
      <c r="N2329" s="114"/>
      <c r="P2329" s="234"/>
      <c r="Q2329" s="240"/>
    </row>
    <row r="2330" spans="6:17" x14ac:dyDescent="0.25">
      <c r="F2330" s="134"/>
      <c r="H2330" s="114"/>
      <c r="I2330" s="114"/>
      <c r="J2330" s="114"/>
      <c r="K2330" s="114"/>
      <c r="L2330" s="114"/>
      <c r="M2330" s="114"/>
      <c r="N2330" s="114"/>
      <c r="P2330" s="234"/>
      <c r="Q2330" s="240"/>
    </row>
    <row r="2331" spans="6:17" x14ac:dyDescent="0.25">
      <c r="F2331" s="134"/>
      <c r="H2331" s="114"/>
      <c r="I2331" s="114"/>
      <c r="J2331" s="114"/>
      <c r="K2331" s="114"/>
      <c r="L2331" s="114"/>
      <c r="M2331" s="114"/>
      <c r="N2331" s="114"/>
      <c r="P2331" s="234"/>
      <c r="Q2331" s="240"/>
    </row>
    <row r="2332" spans="6:17" x14ac:dyDescent="0.25">
      <c r="F2332" s="134"/>
      <c r="H2332" s="114"/>
      <c r="I2332" s="114"/>
      <c r="J2332" s="114"/>
      <c r="K2332" s="114"/>
      <c r="L2332" s="114"/>
      <c r="M2332" s="114"/>
      <c r="N2332" s="114"/>
      <c r="P2332" s="234"/>
      <c r="Q2332" s="240"/>
    </row>
    <row r="2333" spans="6:17" x14ac:dyDescent="0.25">
      <c r="F2333" s="134"/>
      <c r="H2333" s="114"/>
      <c r="I2333" s="114"/>
      <c r="J2333" s="114"/>
      <c r="K2333" s="114"/>
      <c r="L2333" s="114"/>
      <c r="M2333" s="114"/>
      <c r="N2333" s="114"/>
      <c r="P2333" s="234"/>
      <c r="Q2333" s="240"/>
    </row>
    <row r="2334" spans="6:17" x14ac:dyDescent="0.25">
      <c r="F2334" s="134"/>
      <c r="H2334" s="114"/>
      <c r="I2334" s="114"/>
      <c r="J2334" s="114"/>
      <c r="K2334" s="114"/>
      <c r="L2334" s="114"/>
      <c r="M2334" s="114"/>
      <c r="N2334" s="114"/>
      <c r="P2334" s="234"/>
      <c r="Q2334" s="240"/>
    </row>
    <row r="2335" spans="6:17" x14ac:dyDescent="0.25">
      <c r="F2335" s="134"/>
      <c r="H2335" s="114"/>
      <c r="I2335" s="114"/>
      <c r="J2335" s="114"/>
      <c r="K2335" s="114"/>
      <c r="L2335" s="114"/>
      <c r="M2335" s="114"/>
      <c r="N2335" s="114"/>
      <c r="P2335" s="234"/>
      <c r="Q2335" s="240"/>
    </row>
    <row r="2336" spans="6:17" x14ac:dyDescent="0.25">
      <c r="F2336" s="134"/>
      <c r="H2336" s="114"/>
      <c r="I2336" s="114"/>
      <c r="J2336" s="114"/>
      <c r="K2336" s="114"/>
      <c r="L2336" s="114"/>
      <c r="M2336" s="114"/>
      <c r="N2336" s="114"/>
      <c r="P2336" s="234"/>
      <c r="Q2336" s="240"/>
    </row>
    <row r="2337" spans="6:17" x14ac:dyDescent="0.25">
      <c r="F2337" s="134"/>
      <c r="H2337" s="114"/>
      <c r="I2337" s="114"/>
      <c r="J2337" s="114"/>
      <c r="K2337" s="114"/>
      <c r="L2337" s="114"/>
      <c r="M2337" s="114"/>
      <c r="N2337" s="114"/>
      <c r="P2337" s="234"/>
      <c r="Q2337" s="240"/>
    </row>
    <row r="2338" spans="6:17" x14ac:dyDescent="0.25">
      <c r="F2338" s="134"/>
      <c r="H2338" s="114"/>
      <c r="I2338" s="114"/>
      <c r="J2338" s="114"/>
      <c r="K2338" s="114"/>
      <c r="L2338" s="114"/>
      <c r="M2338" s="114"/>
      <c r="N2338" s="114"/>
      <c r="P2338" s="234"/>
      <c r="Q2338" s="240"/>
    </row>
    <row r="2339" spans="6:17" x14ac:dyDescent="0.25">
      <c r="F2339" s="134"/>
      <c r="H2339" s="114"/>
      <c r="I2339" s="114"/>
      <c r="J2339" s="114"/>
      <c r="K2339" s="114"/>
      <c r="L2339" s="114"/>
      <c r="M2339" s="114"/>
      <c r="N2339" s="114"/>
      <c r="P2339" s="234"/>
      <c r="Q2339" s="240"/>
    </row>
    <row r="2340" spans="6:17" x14ac:dyDescent="0.25">
      <c r="F2340" s="134"/>
      <c r="H2340" s="114"/>
      <c r="I2340" s="114"/>
      <c r="J2340" s="114"/>
      <c r="K2340" s="114"/>
      <c r="L2340" s="114"/>
      <c r="M2340" s="114"/>
      <c r="N2340" s="114"/>
      <c r="P2340" s="234"/>
      <c r="Q2340" s="240"/>
    </row>
    <row r="2341" spans="6:17" x14ac:dyDescent="0.25">
      <c r="F2341" s="134"/>
      <c r="H2341" s="114"/>
      <c r="I2341" s="114"/>
      <c r="J2341" s="114"/>
      <c r="K2341" s="114"/>
      <c r="L2341" s="114"/>
      <c r="M2341" s="114"/>
      <c r="N2341" s="114"/>
      <c r="P2341" s="234"/>
      <c r="Q2341" s="240"/>
    </row>
    <row r="2342" spans="6:17" x14ac:dyDescent="0.25">
      <c r="F2342" s="134"/>
      <c r="H2342" s="114"/>
      <c r="I2342" s="114"/>
      <c r="J2342" s="114"/>
      <c r="K2342" s="114"/>
      <c r="L2342" s="114"/>
      <c r="M2342" s="114"/>
      <c r="N2342" s="114"/>
      <c r="P2342" s="234"/>
      <c r="Q2342" s="240"/>
    </row>
    <row r="2343" spans="6:17" x14ac:dyDescent="0.25">
      <c r="F2343" s="134"/>
      <c r="H2343" s="114"/>
      <c r="I2343" s="114"/>
      <c r="J2343" s="114"/>
      <c r="K2343" s="114"/>
      <c r="L2343" s="114"/>
      <c r="M2343" s="114"/>
      <c r="N2343" s="114"/>
      <c r="P2343" s="234"/>
      <c r="Q2343" s="240"/>
    </row>
    <row r="2344" spans="6:17" x14ac:dyDescent="0.25">
      <c r="F2344" s="134"/>
      <c r="H2344" s="114"/>
      <c r="I2344" s="114"/>
      <c r="J2344" s="114"/>
      <c r="K2344" s="114"/>
      <c r="L2344" s="114"/>
      <c r="M2344" s="114"/>
      <c r="N2344" s="114"/>
      <c r="P2344" s="234"/>
      <c r="Q2344" s="240"/>
    </row>
    <row r="2345" spans="6:17" x14ac:dyDescent="0.25">
      <c r="F2345" s="134"/>
      <c r="H2345" s="114"/>
      <c r="I2345" s="114"/>
      <c r="J2345" s="114"/>
      <c r="K2345" s="114"/>
      <c r="L2345" s="114"/>
      <c r="M2345" s="114"/>
      <c r="N2345" s="114"/>
      <c r="P2345" s="234"/>
      <c r="Q2345" s="240"/>
    </row>
    <row r="2346" spans="6:17" x14ac:dyDescent="0.25">
      <c r="F2346" s="134"/>
      <c r="H2346" s="114"/>
      <c r="I2346" s="114"/>
      <c r="J2346" s="114"/>
      <c r="K2346" s="114"/>
      <c r="L2346" s="114"/>
      <c r="M2346" s="114"/>
      <c r="N2346" s="114"/>
      <c r="P2346" s="234"/>
      <c r="Q2346" s="240"/>
    </row>
    <row r="2347" spans="6:17" x14ac:dyDescent="0.25">
      <c r="F2347" s="134"/>
      <c r="H2347" s="114"/>
      <c r="I2347" s="114"/>
      <c r="J2347" s="114"/>
      <c r="K2347" s="114"/>
      <c r="L2347" s="114"/>
      <c r="M2347" s="114"/>
      <c r="N2347" s="114"/>
      <c r="P2347" s="234"/>
      <c r="Q2347" s="240"/>
    </row>
    <row r="2348" spans="6:17" x14ac:dyDescent="0.25">
      <c r="F2348" s="134"/>
      <c r="H2348" s="114"/>
      <c r="I2348" s="114"/>
      <c r="J2348" s="114"/>
      <c r="K2348" s="114"/>
      <c r="L2348" s="114"/>
      <c r="M2348" s="114"/>
      <c r="N2348" s="114"/>
      <c r="P2348" s="234"/>
      <c r="Q2348" s="240"/>
    </row>
    <row r="2349" spans="6:17" x14ac:dyDescent="0.25">
      <c r="F2349" s="134"/>
      <c r="H2349" s="114"/>
      <c r="I2349" s="114"/>
      <c r="J2349" s="114"/>
      <c r="K2349" s="114"/>
      <c r="L2349" s="114"/>
      <c r="M2349" s="114"/>
      <c r="N2349" s="114"/>
      <c r="P2349" s="234"/>
      <c r="Q2349" s="240"/>
    </row>
    <row r="2350" spans="6:17" x14ac:dyDescent="0.25">
      <c r="F2350" s="134"/>
      <c r="H2350" s="114"/>
      <c r="I2350" s="114"/>
      <c r="J2350" s="114"/>
      <c r="K2350" s="114"/>
      <c r="L2350" s="114"/>
      <c r="M2350" s="114"/>
      <c r="N2350" s="114"/>
      <c r="P2350" s="234"/>
      <c r="Q2350" s="240"/>
    </row>
    <row r="2351" spans="6:17" x14ac:dyDescent="0.25">
      <c r="F2351" s="134"/>
      <c r="H2351" s="114"/>
      <c r="I2351" s="114"/>
      <c r="J2351" s="114"/>
      <c r="K2351" s="114"/>
      <c r="L2351" s="114"/>
      <c r="M2351" s="114"/>
      <c r="N2351" s="114"/>
      <c r="P2351" s="234"/>
      <c r="Q2351" s="240"/>
    </row>
    <row r="2352" spans="6:17" x14ac:dyDescent="0.25">
      <c r="F2352" s="134"/>
      <c r="H2352" s="114"/>
      <c r="I2352" s="114"/>
      <c r="J2352" s="114"/>
      <c r="K2352" s="114"/>
      <c r="L2352" s="114"/>
      <c r="M2352" s="114"/>
      <c r="N2352" s="114"/>
      <c r="P2352" s="234"/>
      <c r="Q2352" s="240"/>
    </row>
    <row r="2353" spans="6:17" x14ac:dyDescent="0.25">
      <c r="F2353" s="134"/>
      <c r="H2353" s="114"/>
      <c r="I2353" s="114"/>
      <c r="J2353" s="114"/>
      <c r="K2353" s="114"/>
      <c r="L2353" s="114"/>
      <c r="M2353" s="114"/>
      <c r="N2353" s="114"/>
      <c r="P2353" s="234"/>
      <c r="Q2353" s="240"/>
    </row>
    <row r="2354" spans="6:17" x14ac:dyDescent="0.25">
      <c r="F2354" s="134"/>
      <c r="H2354" s="114"/>
      <c r="I2354" s="114"/>
      <c r="J2354" s="114"/>
      <c r="K2354" s="114"/>
      <c r="L2354" s="114"/>
      <c r="M2354" s="114"/>
      <c r="N2354" s="114"/>
      <c r="P2354" s="234"/>
      <c r="Q2354" s="240"/>
    </row>
    <row r="2355" spans="6:17" x14ac:dyDescent="0.25">
      <c r="F2355" s="134"/>
      <c r="H2355" s="114"/>
      <c r="I2355" s="114"/>
      <c r="J2355" s="114"/>
      <c r="K2355" s="114"/>
      <c r="L2355" s="114"/>
      <c r="M2355" s="114"/>
      <c r="N2355" s="114"/>
      <c r="P2355" s="234"/>
      <c r="Q2355" s="240"/>
    </row>
    <row r="2356" spans="6:17" x14ac:dyDescent="0.25">
      <c r="F2356" s="134"/>
      <c r="H2356" s="114"/>
      <c r="I2356" s="114"/>
      <c r="J2356" s="114"/>
      <c r="K2356" s="114"/>
      <c r="L2356" s="114"/>
      <c r="M2356" s="114"/>
      <c r="N2356" s="114"/>
      <c r="P2356" s="234"/>
      <c r="Q2356" s="240"/>
    </row>
    <row r="2357" spans="6:17" x14ac:dyDescent="0.25">
      <c r="F2357" s="134"/>
      <c r="H2357" s="114"/>
      <c r="I2357" s="114"/>
      <c r="J2357" s="114"/>
      <c r="K2357" s="114"/>
      <c r="L2357" s="114"/>
      <c r="M2357" s="114"/>
      <c r="N2357" s="114"/>
      <c r="P2357" s="234"/>
      <c r="Q2357" s="240"/>
    </row>
    <row r="2358" spans="6:17" x14ac:dyDescent="0.25">
      <c r="F2358" s="134"/>
      <c r="H2358" s="114"/>
      <c r="I2358" s="114"/>
      <c r="J2358" s="114"/>
      <c r="K2358" s="114"/>
      <c r="L2358" s="114"/>
      <c r="M2358" s="114"/>
      <c r="N2358" s="114"/>
      <c r="P2358" s="234"/>
      <c r="Q2358" s="240"/>
    </row>
    <row r="2359" spans="6:17" x14ac:dyDescent="0.25">
      <c r="F2359" s="134"/>
      <c r="H2359" s="114"/>
      <c r="I2359" s="114"/>
      <c r="J2359" s="114"/>
      <c r="K2359" s="114"/>
      <c r="L2359" s="114"/>
      <c r="M2359" s="114"/>
      <c r="N2359" s="114"/>
      <c r="P2359" s="234"/>
      <c r="Q2359" s="240"/>
    </row>
    <row r="2360" spans="6:17" x14ac:dyDescent="0.25">
      <c r="F2360" s="134"/>
      <c r="H2360" s="114"/>
      <c r="I2360" s="114"/>
      <c r="J2360" s="114"/>
      <c r="K2360" s="114"/>
      <c r="L2360" s="114"/>
      <c r="M2360" s="114"/>
      <c r="N2360" s="114"/>
      <c r="P2360" s="234"/>
      <c r="Q2360" s="240"/>
    </row>
    <row r="2361" spans="6:17" x14ac:dyDescent="0.25">
      <c r="F2361" s="134"/>
      <c r="H2361" s="114"/>
      <c r="I2361" s="114"/>
      <c r="J2361" s="114"/>
      <c r="K2361" s="114"/>
      <c r="L2361" s="114"/>
      <c r="M2361" s="114"/>
      <c r="N2361" s="114"/>
      <c r="P2361" s="234"/>
      <c r="Q2361" s="240"/>
    </row>
    <row r="2362" spans="6:17" x14ac:dyDescent="0.25">
      <c r="F2362" s="134"/>
      <c r="H2362" s="114"/>
      <c r="I2362" s="114"/>
      <c r="J2362" s="114"/>
      <c r="K2362" s="114"/>
      <c r="L2362" s="114"/>
      <c r="M2362" s="114"/>
      <c r="N2362" s="114"/>
      <c r="P2362" s="234"/>
      <c r="Q2362" s="240"/>
    </row>
    <row r="2363" spans="6:17" x14ac:dyDescent="0.25">
      <c r="F2363" s="134"/>
      <c r="H2363" s="114"/>
      <c r="I2363" s="114"/>
      <c r="J2363" s="114"/>
      <c r="K2363" s="114"/>
      <c r="L2363" s="114"/>
      <c r="M2363" s="114"/>
      <c r="N2363" s="114"/>
      <c r="P2363" s="234"/>
      <c r="Q2363" s="240"/>
    </row>
    <row r="2364" spans="6:17" x14ac:dyDescent="0.25">
      <c r="F2364" s="134"/>
      <c r="H2364" s="114"/>
      <c r="I2364" s="114"/>
      <c r="J2364" s="114"/>
      <c r="K2364" s="114"/>
      <c r="L2364" s="114"/>
      <c r="M2364" s="114"/>
      <c r="N2364" s="114"/>
      <c r="P2364" s="234"/>
      <c r="Q2364" s="240"/>
    </row>
    <row r="2365" spans="6:17" x14ac:dyDescent="0.25">
      <c r="F2365" s="134"/>
      <c r="H2365" s="114"/>
      <c r="I2365" s="114"/>
      <c r="J2365" s="114"/>
      <c r="K2365" s="114"/>
      <c r="L2365" s="114"/>
      <c r="M2365" s="114"/>
      <c r="N2365" s="114"/>
      <c r="P2365" s="234"/>
      <c r="Q2365" s="240"/>
    </row>
    <row r="2366" spans="6:17" x14ac:dyDescent="0.25">
      <c r="F2366" s="134"/>
      <c r="H2366" s="114"/>
      <c r="I2366" s="114"/>
      <c r="J2366" s="114"/>
      <c r="K2366" s="114"/>
      <c r="L2366" s="114"/>
      <c r="M2366" s="114"/>
      <c r="N2366" s="114"/>
      <c r="P2366" s="234"/>
      <c r="Q2366" s="240"/>
    </row>
    <row r="2367" spans="6:17" x14ac:dyDescent="0.25">
      <c r="F2367" s="134"/>
      <c r="H2367" s="114"/>
      <c r="I2367" s="114"/>
      <c r="J2367" s="114"/>
      <c r="K2367" s="114"/>
      <c r="L2367" s="114"/>
      <c r="M2367" s="114"/>
      <c r="N2367" s="114"/>
      <c r="P2367" s="234"/>
      <c r="Q2367" s="240"/>
    </row>
    <row r="2368" spans="6:17" x14ac:dyDescent="0.25">
      <c r="F2368" s="134"/>
      <c r="H2368" s="114"/>
      <c r="I2368" s="114"/>
      <c r="J2368" s="114"/>
      <c r="K2368" s="114"/>
      <c r="L2368" s="114"/>
      <c r="M2368" s="114"/>
      <c r="N2368" s="114"/>
      <c r="P2368" s="234"/>
      <c r="Q2368" s="240"/>
    </row>
    <row r="2369" spans="6:17" x14ac:dyDescent="0.25">
      <c r="F2369" s="134"/>
      <c r="H2369" s="114"/>
      <c r="I2369" s="114"/>
      <c r="J2369" s="114"/>
      <c r="K2369" s="114"/>
      <c r="L2369" s="114"/>
      <c r="M2369" s="114"/>
      <c r="N2369" s="114"/>
      <c r="P2369" s="234"/>
      <c r="Q2369" s="240"/>
    </row>
    <row r="2370" spans="6:17" x14ac:dyDescent="0.25">
      <c r="F2370" s="134"/>
      <c r="H2370" s="114"/>
      <c r="I2370" s="114"/>
      <c r="J2370" s="114"/>
      <c r="K2370" s="114"/>
      <c r="L2370" s="114"/>
      <c r="M2370" s="114"/>
      <c r="N2370" s="114"/>
      <c r="P2370" s="234"/>
      <c r="Q2370" s="240"/>
    </row>
    <row r="2371" spans="6:17" x14ac:dyDescent="0.25">
      <c r="F2371" s="134"/>
      <c r="H2371" s="114"/>
      <c r="I2371" s="114"/>
      <c r="J2371" s="114"/>
      <c r="K2371" s="114"/>
      <c r="L2371" s="114"/>
      <c r="M2371" s="114"/>
      <c r="N2371" s="114"/>
      <c r="P2371" s="234"/>
      <c r="Q2371" s="240"/>
    </row>
    <row r="2372" spans="6:17" x14ac:dyDescent="0.25">
      <c r="F2372" s="134"/>
      <c r="H2372" s="114"/>
      <c r="I2372" s="114"/>
      <c r="J2372" s="114"/>
      <c r="K2372" s="114"/>
      <c r="L2372" s="114"/>
      <c r="M2372" s="114"/>
      <c r="N2372" s="114"/>
      <c r="P2372" s="234"/>
      <c r="Q2372" s="240"/>
    </row>
    <row r="2373" spans="6:17" x14ac:dyDescent="0.25">
      <c r="F2373" s="134"/>
      <c r="H2373" s="114"/>
      <c r="I2373" s="114"/>
      <c r="J2373" s="114"/>
      <c r="K2373" s="114"/>
      <c r="L2373" s="114"/>
      <c r="M2373" s="114"/>
      <c r="N2373" s="114"/>
      <c r="P2373" s="234"/>
      <c r="Q2373" s="240"/>
    </row>
    <row r="2374" spans="6:17" x14ac:dyDescent="0.25">
      <c r="F2374" s="134"/>
      <c r="H2374" s="114"/>
      <c r="I2374" s="114"/>
      <c r="J2374" s="114"/>
      <c r="K2374" s="114"/>
      <c r="L2374" s="114"/>
      <c r="M2374" s="114"/>
      <c r="N2374" s="114"/>
      <c r="P2374" s="234"/>
      <c r="Q2374" s="240"/>
    </row>
    <row r="2375" spans="6:17" x14ac:dyDescent="0.25">
      <c r="F2375" s="134"/>
      <c r="H2375" s="114"/>
      <c r="I2375" s="114"/>
      <c r="J2375" s="114"/>
      <c r="K2375" s="114"/>
      <c r="L2375" s="114"/>
      <c r="M2375" s="114"/>
      <c r="N2375" s="114"/>
      <c r="P2375" s="234"/>
      <c r="Q2375" s="240"/>
    </row>
    <row r="2376" spans="6:17" x14ac:dyDescent="0.25">
      <c r="F2376" s="134"/>
      <c r="H2376" s="114"/>
      <c r="I2376" s="114"/>
      <c r="J2376" s="114"/>
      <c r="K2376" s="114"/>
      <c r="L2376" s="114"/>
      <c r="M2376" s="114"/>
      <c r="N2376" s="114"/>
      <c r="P2376" s="234"/>
      <c r="Q2376" s="240"/>
    </row>
    <row r="2377" spans="6:17" x14ac:dyDescent="0.25">
      <c r="F2377" s="134"/>
      <c r="H2377" s="114"/>
      <c r="I2377" s="114"/>
      <c r="J2377" s="114"/>
      <c r="K2377" s="114"/>
      <c r="L2377" s="114"/>
      <c r="M2377" s="114"/>
      <c r="N2377" s="114"/>
      <c r="P2377" s="234"/>
      <c r="Q2377" s="240"/>
    </row>
    <row r="2378" spans="6:17" x14ac:dyDescent="0.25">
      <c r="F2378" s="134"/>
      <c r="H2378" s="114"/>
      <c r="I2378" s="114"/>
      <c r="J2378" s="114"/>
      <c r="K2378" s="114"/>
      <c r="L2378" s="114"/>
      <c r="M2378" s="114"/>
      <c r="N2378" s="114"/>
      <c r="P2378" s="234"/>
      <c r="Q2378" s="240"/>
    </row>
    <row r="2379" spans="6:17" x14ac:dyDescent="0.25">
      <c r="F2379" s="134"/>
      <c r="H2379" s="114"/>
      <c r="I2379" s="114"/>
      <c r="J2379" s="114"/>
      <c r="K2379" s="114"/>
      <c r="L2379" s="114"/>
      <c r="M2379" s="114"/>
      <c r="N2379" s="114"/>
      <c r="P2379" s="234"/>
      <c r="Q2379" s="240"/>
    </row>
    <row r="2380" spans="6:17" x14ac:dyDescent="0.25">
      <c r="F2380" s="134"/>
      <c r="H2380" s="114"/>
      <c r="I2380" s="114"/>
      <c r="J2380" s="114"/>
      <c r="K2380" s="114"/>
      <c r="L2380" s="114"/>
      <c r="M2380" s="114"/>
      <c r="N2380" s="114"/>
      <c r="P2380" s="234"/>
      <c r="Q2380" s="240"/>
    </row>
    <row r="2381" spans="6:17" x14ac:dyDescent="0.25">
      <c r="F2381" s="134"/>
      <c r="H2381" s="114"/>
      <c r="I2381" s="114"/>
      <c r="J2381" s="114"/>
      <c r="K2381" s="114"/>
      <c r="L2381" s="114"/>
      <c r="M2381" s="114"/>
      <c r="N2381" s="114"/>
      <c r="P2381" s="234"/>
      <c r="Q2381" s="240"/>
    </row>
    <row r="2382" spans="6:17" x14ac:dyDescent="0.25">
      <c r="F2382" s="134"/>
      <c r="H2382" s="114"/>
      <c r="I2382" s="114"/>
      <c r="J2382" s="114"/>
      <c r="K2382" s="114"/>
      <c r="L2382" s="114"/>
      <c r="M2382" s="114"/>
      <c r="N2382" s="114"/>
      <c r="P2382" s="234"/>
      <c r="Q2382" s="240"/>
    </row>
    <row r="2383" spans="6:17" x14ac:dyDescent="0.25">
      <c r="F2383" s="134"/>
      <c r="H2383" s="114"/>
      <c r="I2383" s="114"/>
      <c r="J2383" s="114"/>
      <c r="K2383" s="114"/>
      <c r="L2383" s="114"/>
      <c r="M2383" s="114"/>
      <c r="N2383" s="114"/>
      <c r="P2383" s="234"/>
      <c r="Q2383" s="240"/>
    </row>
    <row r="2384" spans="6:17" x14ac:dyDescent="0.25">
      <c r="F2384" s="134"/>
      <c r="H2384" s="114"/>
      <c r="I2384" s="114"/>
      <c r="J2384" s="114"/>
      <c r="K2384" s="114"/>
      <c r="L2384" s="114"/>
      <c r="M2384" s="114"/>
      <c r="N2384" s="114"/>
      <c r="P2384" s="234"/>
      <c r="Q2384" s="240"/>
    </row>
    <row r="2385" spans="6:17" x14ac:dyDescent="0.25">
      <c r="F2385" s="134"/>
      <c r="H2385" s="114"/>
      <c r="I2385" s="114"/>
      <c r="J2385" s="114"/>
      <c r="K2385" s="114"/>
      <c r="L2385" s="114"/>
      <c r="M2385" s="114"/>
      <c r="N2385" s="114"/>
      <c r="P2385" s="234"/>
      <c r="Q2385" s="240"/>
    </row>
    <row r="2386" spans="6:17" x14ac:dyDescent="0.25">
      <c r="F2386" s="134"/>
      <c r="H2386" s="114"/>
      <c r="I2386" s="114"/>
      <c r="J2386" s="114"/>
      <c r="K2386" s="114"/>
      <c r="L2386" s="114"/>
      <c r="M2386" s="114"/>
      <c r="N2386" s="114"/>
      <c r="P2386" s="234"/>
      <c r="Q2386" s="240"/>
    </row>
    <row r="2387" spans="6:17" x14ac:dyDescent="0.25">
      <c r="F2387" s="134"/>
      <c r="H2387" s="114"/>
      <c r="I2387" s="114"/>
      <c r="J2387" s="114"/>
      <c r="K2387" s="114"/>
      <c r="L2387" s="114"/>
      <c r="M2387" s="114"/>
      <c r="N2387" s="114"/>
      <c r="P2387" s="234"/>
      <c r="Q2387" s="240"/>
    </row>
    <row r="2388" spans="6:17" x14ac:dyDescent="0.25">
      <c r="F2388" s="134"/>
      <c r="H2388" s="114"/>
      <c r="I2388" s="114"/>
      <c r="J2388" s="114"/>
      <c r="K2388" s="114"/>
      <c r="L2388" s="114"/>
      <c r="M2388" s="114"/>
      <c r="N2388" s="114"/>
      <c r="P2388" s="234"/>
      <c r="Q2388" s="240"/>
    </row>
    <row r="2389" spans="6:17" x14ac:dyDescent="0.25">
      <c r="F2389" s="134"/>
      <c r="H2389" s="114"/>
      <c r="I2389" s="114"/>
      <c r="J2389" s="114"/>
      <c r="K2389" s="114"/>
      <c r="L2389" s="114"/>
      <c r="M2389" s="114"/>
      <c r="N2389" s="114"/>
      <c r="P2389" s="234"/>
      <c r="Q2389" s="240"/>
    </row>
    <row r="2390" spans="6:17" x14ac:dyDescent="0.25">
      <c r="F2390" s="134"/>
      <c r="H2390" s="114"/>
      <c r="I2390" s="114"/>
      <c r="J2390" s="114"/>
      <c r="K2390" s="114"/>
      <c r="L2390" s="114"/>
      <c r="M2390" s="114"/>
      <c r="N2390" s="114"/>
      <c r="P2390" s="234"/>
      <c r="Q2390" s="240"/>
    </row>
    <row r="2391" spans="6:17" x14ac:dyDescent="0.25">
      <c r="F2391" s="134"/>
      <c r="H2391" s="114"/>
      <c r="I2391" s="114"/>
      <c r="J2391" s="114"/>
      <c r="K2391" s="114"/>
      <c r="L2391" s="114"/>
      <c r="M2391" s="114"/>
      <c r="N2391" s="114"/>
      <c r="P2391" s="234"/>
      <c r="Q2391" s="240"/>
    </row>
    <row r="2392" spans="6:17" x14ac:dyDescent="0.25">
      <c r="F2392" s="134"/>
      <c r="H2392" s="114"/>
      <c r="I2392" s="114"/>
      <c r="J2392" s="114"/>
      <c r="K2392" s="114"/>
      <c r="L2392" s="114"/>
      <c r="M2392" s="114"/>
      <c r="N2392" s="114"/>
      <c r="P2392" s="234"/>
      <c r="Q2392" s="240"/>
    </row>
    <row r="2393" spans="6:17" x14ac:dyDescent="0.25">
      <c r="F2393" s="134"/>
      <c r="H2393" s="114"/>
      <c r="I2393" s="114"/>
      <c r="J2393" s="114"/>
      <c r="K2393" s="114"/>
      <c r="L2393" s="114"/>
      <c r="M2393" s="114"/>
      <c r="N2393" s="114"/>
      <c r="P2393" s="234"/>
      <c r="Q2393" s="240"/>
    </row>
    <row r="2394" spans="6:17" x14ac:dyDescent="0.25">
      <c r="F2394" s="134"/>
      <c r="H2394" s="114"/>
      <c r="I2394" s="114"/>
      <c r="J2394" s="114"/>
      <c r="K2394" s="114"/>
      <c r="L2394" s="114"/>
      <c r="M2394" s="114"/>
      <c r="N2394" s="114"/>
      <c r="P2394" s="234"/>
      <c r="Q2394" s="240"/>
    </row>
    <row r="2395" spans="6:17" x14ac:dyDescent="0.25">
      <c r="F2395" s="134"/>
      <c r="H2395" s="114"/>
      <c r="I2395" s="114"/>
      <c r="J2395" s="114"/>
      <c r="K2395" s="114"/>
      <c r="L2395" s="114"/>
      <c r="M2395" s="114"/>
      <c r="N2395" s="114"/>
      <c r="P2395" s="234"/>
      <c r="Q2395" s="240"/>
    </row>
    <row r="2396" spans="6:17" x14ac:dyDescent="0.25">
      <c r="F2396" s="134"/>
      <c r="H2396" s="114"/>
      <c r="I2396" s="114"/>
      <c r="J2396" s="114"/>
      <c r="K2396" s="114"/>
      <c r="L2396" s="114"/>
      <c r="M2396" s="114"/>
      <c r="N2396" s="114"/>
      <c r="P2396" s="234"/>
      <c r="Q2396" s="240"/>
    </row>
    <row r="2397" spans="6:17" x14ac:dyDescent="0.25">
      <c r="F2397" s="134"/>
      <c r="H2397" s="114"/>
      <c r="I2397" s="114"/>
      <c r="J2397" s="114"/>
      <c r="K2397" s="114"/>
      <c r="L2397" s="114"/>
      <c r="M2397" s="114"/>
      <c r="N2397" s="114"/>
      <c r="P2397" s="234"/>
      <c r="Q2397" s="240"/>
    </row>
    <row r="2398" spans="6:17" x14ac:dyDescent="0.25">
      <c r="F2398" s="134"/>
      <c r="H2398" s="114"/>
      <c r="I2398" s="114"/>
      <c r="J2398" s="114"/>
      <c r="K2398" s="114"/>
      <c r="L2398" s="114"/>
      <c r="M2398" s="114"/>
      <c r="N2398" s="114"/>
      <c r="P2398" s="234"/>
      <c r="Q2398" s="240"/>
    </row>
    <row r="2399" spans="6:17" x14ac:dyDescent="0.25">
      <c r="F2399" s="134"/>
      <c r="H2399" s="114"/>
      <c r="I2399" s="114"/>
      <c r="J2399" s="114"/>
      <c r="K2399" s="114"/>
      <c r="L2399" s="114"/>
      <c r="M2399" s="114"/>
      <c r="N2399" s="114"/>
      <c r="P2399" s="234"/>
      <c r="Q2399" s="240"/>
    </row>
    <row r="2400" spans="6:17" x14ac:dyDescent="0.25">
      <c r="F2400" s="134"/>
      <c r="H2400" s="114"/>
      <c r="I2400" s="114"/>
      <c r="J2400" s="114"/>
      <c r="K2400" s="114"/>
      <c r="L2400" s="114"/>
      <c r="M2400" s="114"/>
      <c r="N2400" s="114"/>
      <c r="P2400" s="234"/>
      <c r="Q2400" s="240"/>
    </row>
    <row r="2401" spans="6:17" x14ac:dyDescent="0.25">
      <c r="F2401" s="134"/>
      <c r="H2401" s="114"/>
      <c r="I2401" s="114"/>
      <c r="J2401" s="114"/>
      <c r="K2401" s="114"/>
      <c r="L2401" s="114"/>
      <c r="M2401" s="114"/>
      <c r="N2401" s="114"/>
      <c r="P2401" s="234"/>
      <c r="Q2401" s="240"/>
    </row>
    <row r="2402" spans="6:17" x14ac:dyDescent="0.25">
      <c r="F2402" s="134"/>
      <c r="H2402" s="114"/>
      <c r="I2402" s="114"/>
      <c r="J2402" s="114"/>
      <c r="K2402" s="114"/>
      <c r="L2402" s="114"/>
      <c r="M2402" s="114"/>
      <c r="N2402" s="114"/>
      <c r="P2402" s="234"/>
      <c r="Q2402" s="240"/>
    </row>
    <row r="2403" spans="6:17" x14ac:dyDescent="0.25">
      <c r="F2403" s="134"/>
      <c r="H2403" s="114"/>
      <c r="I2403" s="114"/>
      <c r="J2403" s="114"/>
      <c r="K2403" s="114"/>
      <c r="L2403" s="114"/>
      <c r="M2403" s="114"/>
      <c r="N2403" s="114"/>
      <c r="P2403" s="234"/>
      <c r="Q2403" s="240"/>
    </row>
    <row r="2404" spans="6:17" x14ac:dyDescent="0.25">
      <c r="F2404" s="134"/>
      <c r="H2404" s="114"/>
      <c r="I2404" s="114"/>
      <c r="J2404" s="114"/>
      <c r="K2404" s="114"/>
      <c r="L2404" s="114"/>
      <c r="M2404" s="114"/>
      <c r="N2404" s="114"/>
      <c r="P2404" s="234"/>
      <c r="Q2404" s="240"/>
    </row>
    <row r="2405" spans="6:17" x14ac:dyDescent="0.25">
      <c r="F2405" s="134"/>
      <c r="H2405" s="114"/>
      <c r="I2405" s="114"/>
      <c r="J2405" s="114"/>
      <c r="K2405" s="114"/>
      <c r="L2405" s="114"/>
      <c r="M2405" s="114"/>
      <c r="N2405" s="114"/>
      <c r="P2405" s="234"/>
      <c r="Q2405" s="240"/>
    </row>
    <row r="2406" spans="6:17" x14ac:dyDescent="0.25">
      <c r="F2406" s="134"/>
      <c r="H2406" s="114"/>
      <c r="I2406" s="114"/>
      <c r="J2406" s="114"/>
      <c r="K2406" s="114"/>
      <c r="L2406" s="114"/>
      <c r="M2406" s="114"/>
      <c r="N2406" s="114"/>
      <c r="P2406" s="234"/>
      <c r="Q2406" s="240"/>
    </row>
    <row r="2407" spans="6:17" x14ac:dyDescent="0.25">
      <c r="F2407" s="134"/>
      <c r="H2407" s="114"/>
      <c r="I2407" s="114"/>
      <c r="J2407" s="114"/>
      <c r="K2407" s="114"/>
      <c r="L2407" s="114"/>
      <c r="M2407" s="114"/>
      <c r="N2407" s="114"/>
      <c r="P2407" s="234"/>
      <c r="Q2407" s="240"/>
    </row>
    <row r="2408" spans="6:17" x14ac:dyDescent="0.25">
      <c r="F2408" s="134"/>
      <c r="H2408" s="114"/>
      <c r="I2408" s="114"/>
      <c r="J2408" s="114"/>
      <c r="K2408" s="114"/>
      <c r="L2408" s="114"/>
      <c r="M2408" s="114"/>
      <c r="N2408" s="114"/>
      <c r="P2408" s="234"/>
      <c r="Q2408" s="240"/>
    </row>
    <row r="2409" spans="6:17" x14ac:dyDescent="0.25">
      <c r="F2409" s="134"/>
      <c r="H2409" s="114"/>
      <c r="I2409" s="114"/>
      <c r="J2409" s="114"/>
      <c r="K2409" s="114"/>
      <c r="L2409" s="114"/>
      <c r="M2409" s="114"/>
      <c r="N2409" s="114"/>
      <c r="P2409" s="234"/>
      <c r="Q2409" s="240"/>
    </row>
    <row r="2410" spans="6:17" x14ac:dyDescent="0.25">
      <c r="F2410" s="134"/>
      <c r="H2410" s="114"/>
      <c r="I2410" s="114"/>
      <c r="J2410" s="114"/>
      <c r="K2410" s="114"/>
      <c r="L2410" s="114"/>
      <c r="M2410" s="114"/>
      <c r="N2410" s="114"/>
      <c r="P2410" s="234"/>
      <c r="Q2410" s="240"/>
    </row>
    <row r="2411" spans="6:17" x14ac:dyDescent="0.25">
      <c r="F2411" s="134"/>
      <c r="H2411" s="114"/>
      <c r="I2411" s="114"/>
      <c r="J2411" s="114"/>
      <c r="K2411" s="114"/>
      <c r="L2411" s="114"/>
      <c r="M2411" s="114"/>
      <c r="N2411" s="114"/>
      <c r="P2411" s="234"/>
      <c r="Q2411" s="240"/>
    </row>
    <row r="2412" spans="6:17" x14ac:dyDescent="0.25">
      <c r="F2412" s="134"/>
      <c r="H2412" s="114"/>
      <c r="I2412" s="114"/>
      <c r="J2412" s="114"/>
      <c r="K2412" s="114"/>
      <c r="L2412" s="114"/>
      <c r="M2412" s="114"/>
      <c r="N2412" s="114"/>
      <c r="P2412" s="234"/>
      <c r="Q2412" s="240"/>
    </row>
    <row r="2413" spans="6:17" x14ac:dyDescent="0.25">
      <c r="F2413" s="134"/>
      <c r="H2413" s="114"/>
      <c r="I2413" s="114"/>
      <c r="J2413" s="114"/>
      <c r="K2413" s="114"/>
      <c r="L2413" s="114"/>
      <c r="M2413" s="114"/>
      <c r="N2413" s="114"/>
      <c r="P2413" s="234"/>
      <c r="Q2413" s="240"/>
    </row>
    <row r="2414" spans="6:17" x14ac:dyDescent="0.25">
      <c r="F2414" s="134"/>
      <c r="H2414" s="114"/>
      <c r="I2414" s="114"/>
      <c r="J2414" s="114"/>
      <c r="K2414" s="114"/>
      <c r="L2414" s="114"/>
      <c r="M2414" s="114"/>
      <c r="N2414" s="114"/>
      <c r="P2414" s="234"/>
      <c r="Q2414" s="240"/>
    </row>
    <row r="2415" spans="6:17" x14ac:dyDescent="0.25">
      <c r="F2415" s="134"/>
      <c r="H2415" s="114"/>
      <c r="I2415" s="114"/>
      <c r="J2415" s="114"/>
      <c r="K2415" s="114"/>
      <c r="L2415" s="114"/>
      <c r="M2415" s="114"/>
      <c r="N2415" s="114"/>
      <c r="P2415" s="234"/>
      <c r="Q2415" s="240"/>
    </row>
    <row r="2416" spans="6:17" x14ac:dyDescent="0.25">
      <c r="F2416" s="134"/>
      <c r="H2416" s="114"/>
      <c r="I2416" s="114"/>
      <c r="J2416" s="114"/>
      <c r="K2416" s="114"/>
      <c r="L2416" s="114"/>
      <c r="M2416" s="114"/>
      <c r="N2416" s="114"/>
      <c r="P2416" s="234"/>
      <c r="Q2416" s="240"/>
    </row>
    <row r="2417" spans="6:17" x14ac:dyDescent="0.25">
      <c r="F2417" s="134"/>
      <c r="H2417" s="114"/>
      <c r="I2417" s="114"/>
      <c r="J2417" s="114"/>
      <c r="K2417" s="114"/>
      <c r="L2417" s="114"/>
      <c r="M2417" s="114"/>
      <c r="N2417" s="114"/>
      <c r="P2417" s="234"/>
      <c r="Q2417" s="240"/>
    </row>
    <row r="2418" spans="6:17" x14ac:dyDescent="0.25">
      <c r="F2418" s="134"/>
      <c r="H2418" s="114"/>
      <c r="I2418" s="114"/>
      <c r="J2418" s="114"/>
      <c r="K2418" s="114"/>
      <c r="L2418" s="114"/>
      <c r="M2418" s="114"/>
      <c r="N2418" s="114"/>
      <c r="P2418" s="234"/>
      <c r="Q2418" s="240"/>
    </row>
    <row r="2419" spans="6:17" x14ac:dyDescent="0.25">
      <c r="F2419" s="134"/>
      <c r="H2419" s="114"/>
      <c r="I2419" s="114"/>
      <c r="J2419" s="114"/>
      <c r="K2419" s="114"/>
      <c r="L2419" s="114"/>
      <c r="M2419" s="114"/>
      <c r="N2419" s="114"/>
      <c r="P2419" s="234"/>
      <c r="Q2419" s="240"/>
    </row>
    <row r="2420" spans="6:17" x14ac:dyDescent="0.25">
      <c r="F2420" s="134"/>
      <c r="H2420" s="114"/>
      <c r="I2420" s="114"/>
      <c r="J2420" s="114"/>
      <c r="K2420" s="114"/>
      <c r="L2420" s="114"/>
      <c r="M2420" s="114"/>
      <c r="N2420" s="114"/>
      <c r="P2420" s="234"/>
      <c r="Q2420" s="240"/>
    </row>
    <row r="2421" spans="6:17" x14ac:dyDescent="0.25">
      <c r="F2421" s="134"/>
      <c r="H2421" s="114"/>
      <c r="I2421" s="114"/>
      <c r="J2421" s="114"/>
      <c r="K2421" s="114"/>
      <c r="L2421" s="114"/>
      <c r="M2421" s="114"/>
      <c r="N2421" s="114"/>
      <c r="P2421" s="234"/>
      <c r="Q2421" s="240"/>
    </row>
    <row r="2422" spans="6:17" x14ac:dyDescent="0.25">
      <c r="F2422" s="134"/>
      <c r="H2422" s="114"/>
      <c r="I2422" s="114"/>
      <c r="J2422" s="114"/>
      <c r="K2422" s="114"/>
      <c r="L2422" s="114"/>
      <c r="M2422" s="114"/>
      <c r="N2422" s="114"/>
      <c r="P2422" s="234"/>
      <c r="Q2422" s="240"/>
    </row>
    <row r="2423" spans="6:17" x14ac:dyDescent="0.25">
      <c r="F2423" s="134"/>
      <c r="H2423" s="114"/>
      <c r="I2423" s="114"/>
      <c r="J2423" s="114"/>
      <c r="K2423" s="114"/>
      <c r="L2423" s="114"/>
      <c r="M2423" s="114"/>
      <c r="N2423" s="114"/>
      <c r="P2423" s="234"/>
      <c r="Q2423" s="240"/>
    </row>
    <row r="2424" spans="6:17" x14ac:dyDescent="0.25">
      <c r="F2424" s="134"/>
      <c r="H2424" s="114"/>
      <c r="I2424" s="114"/>
      <c r="J2424" s="114"/>
      <c r="K2424" s="114"/>
      <c r="L2424" s="114"/>
      <c r="M2424" s="114"/>
      <c r="N2424" s="114"/>
      <c r="P2424" s="234"/>
      <c r="Q2424" s="240"/>
    </row>
    <row r="2425" spans="6:17" x14ac:dyDescent="0.25">
      <c r="F2425" s="134"/>
      <c r="H2425" s="114"/>
      <c r="I2425" s="114"/>
      <c r="J2425" s="114"/>
      <c r="K2425" s="114"/>
      <c r="L2425" s="114"/>
      <c r="M2425" s="114"/>
      <c r="N2425" s="114"/>
      <c r="P2425" s="234"/>
      <c r="Q2425" s="240"/>
    </row>
    <row r="2426" spans="6:17" x14ac:dyDescent="0.25">
      <c r="F2426" s="134"/>
      <c r="H2426" s="114"/>
      <c r="I2426" s="114"/>
      <c r="J2426" s="114"/>
      <c r="K2426" s="114"/>
      <c r="L2426" s="114"/>
      <c r="M2426" s="114"/>
      <c r="N2426" s="114"/>
      <c r="P2426" s="234"/>
      <c r="Q2426" s="240"/>
    </row>
    <row r="2427" spans="6:17" x14ac:dyDescent="0.25">
      <c r="F2427" s="134"/>
      <c r="H2427" s="114"/>
      <c r="I2427" s="114"/>
      <c r="J2427" s="114"/>
      <c r="K2427" s="114"/>
      <c r="L2427" s="114"/>
      <c r="M2427" s="114"/>
      <c r="N2427" s="114"/>
      <c r="P2427" s="234"/>
      <c r="Q2427" s="240"/>
    </row>
    <row r="2428" spans="6:17" x14ac:dyDescent="0.25">
      <c r="F2428" s="134"/>
      <c r="H2428" s="114"/>
      <c r="I2428" s="114"/>
      <c r="J2428" s="114"/>
      <c r="K2428" s="114"/>
      <c r="L2428" s="114"/>
      <c r="M2428" s="114"/>
      <c r="N2428" s="114"/>
      <c r="P2428" s="234"/>
      <c r="Q2428" s="240"/>
    </row>
    <row r="2429" spans="6:17" x14ac:dyDescent="0.25">
      <c r="F2429" s="134"/>
      <c r="H2429" s="114"/>
      <c r="I2429" s="114"/>
      <c r="J2429" s="114"/>
      <c r="K2429" s="114"/>
      <c r="L2429" s="114"/>
      <c r="M2429" s="114"/>
      <c r="N2429" s="114"/>
      <c r="P2429" s="234"/>
      <c r="Q2429" s="240"/>
    </row>
    <row r="2430" spans="6:17" x14ac:dyDescent="0.25">
      <c r="F2430" s="134"/>
      <c r="H2430" s="114"/>
      <c r="I2430" s="114"/>
      <c r="J2430" s="114"/>
      <c r="K2430" s="114"/>
      <c r="L2430" s="114"/>
      <c r="M2430" s="114"/>
      <c r="N2430" s="114"/>
      <c r="P2430" s="234"/>
      <c r="Q2430" s="240"/>
    </row>
    <row r="2431" spans="6:17" x14ac:dyDescent="0.25">
      <c r="F2431" s="134"/>
      <c r="H2431" s="114"/>
      <c r="I2431" s="114"/>
      <c r="J2431" s="114"/>
      <c r="K2431" s="114"/>
      <c r="L2431" s="114"/>
      <c r="M2431" s="114"/>
      <c r="N2431" s="114"/>
      <c r="P2431" s="234"/>
      <c r="Q2431" s="240"/>
    </row>
    <row r="2432" spans="6:17" x14ac:dyDescent="0.25">
      <c r="F2432" s="134"/>
      <c r="H2432" s="114"/>
      <c r="I2432" s="114"/>
      <c r="J2432" s="114"/>
      <c r="K2432" s="114"/>
      <c r="L2432" s="114"/>
      <c r="M2432" s="114"/>
      <c r="N2432" s="114"/>
      <c r="P2432" s="234"/>
      <c r="Q2432" s="240"/>
    </row>
    <row r="2433" spans="6:17" x14ac:dyDescent="0.25">
      <c r="F2433" s="134"/>
      <c r="H2433" s="114"/>
      <c r="I2433" s="114"/>
      <c r="J2433" s="114"/>
      <c r="K2433" s="114"/>
      <c r="L2433" s="114"/>
      <c r="M2433" s="114"/>
      <c r="N2433" s="114"/>
      <c r="P2433" s="234"/>
      <c r="Q2433" s="240"/>
    </row>
    <row r="2434" spans="6:17" x14ac:dyDescent="0.25">
      <c r="F2434" s="134"/>
      <c r="H2434" s="114"/>
      <c r="I2434" s="114"/>
      <c r="J2434" s="114"/>
      <c r="K2434" s="114"/>
      <c r="L2434" s="114"/>
      <c r="M2434" s="114"/>
      <c r="N2434" s="114"/>
      <c r="P2434" s="234"/>
      <c r="Q2434" s="240"/>
    </row>
    <row r="2435" spans="6:17" x14ac:dyDescent="0.25">
      <c r="F2435" s="134"/>
      <c r="H2435" s="114"/>
      <c r="I2435" s="114"/>
      <c r="J2435" s="114"/>
      <c r="K2435" s="114"/>
      <c r="L2435" s="114"/>
      <c r="M2435" s="114"/>
      <c r="N2435" s="114"/>
      <c r="P2435" s="234"/>
      <c r="Q2435" s="240"/>
    </row>
    <row r="2436" spans="6:17" x14ac:dyDescent="0.25">
      <c r="F2436" s="134"/>
      <c r="H2436" s="114"/>
      <c r="I2436" s="114"/>
      <c r="J2436" s="114"/>
      <c r="K2436" s="114"/>
      <c r="L2436" s="114"/>
      <c r="M2436" s="114"/>
      <c r="N2436" s="114"/>
      <c r="P2436" s="234"/>
      <c r="Q2436" s="240"/>
    </row>
    <row r="2437" spans="6:17" x14ac:dyDescent="0.25">
      <c r="F2437" s="134"/>
      <c r="H2437" s="114"/>
      <c r="I2437" s="114"/>
      <c r="J2437" s="114"/>
      <c r="K2437" s="114"/>
      <c r="L2437" s="114"/>
      <c r="M2437" s="114"/>
      <c r="N2437" s="114"/>
      <c r="P2437" s="234"/>
      <c r="Q2437" s="240"/>
    </row>
    <row r="2438" spans="6:17" x14ac:dyDescent="0.25">
      <c r="F2438" s="134"/>
      <c r="H2438" s="114"/>
      <c r="I2438" s="114"/>
      <c r="J2438" s="114"/>
      <c r="K2438" s="114"/>
      <c r="L2438" s="114"/>
      <c r="M2438" s="114"/>
      <c r="N2438" s="114"/>
      <c r="P2438" s="234"/>
      <c r="Q2438" s="240"/>
    </row>
    <row r="2439" spans="6:17" x14ac:dyDescent="0.25">
      <c r="F2439" s="134"/>
      <c r="H2439" s="114"/>
      <c r="I2439" s="114"/>
      <c r="J2439" s="114"/>
      <c r="K2439" s="114"/>
      <c r="L2439" s="114"/>
      <c r="M2439" s="114"/>
      <c r="N2439" s="114"/>
      <c r="P2439" s="234"/>
      <c r="Q2439" s="240"/>
    </row>
    <row r="2440" spans="6:17" x14ac:dyDescent="0.25">
      <c r="F2440" s="134"/>
      <c r="H2440" s="114"/>
      <c r="I2440" s="114"/>
      <c r="J2440" s="114"/>
      <c r="K2440" s="114"/>
      <c r="L2440" s="114"/>
      <c r="M2440" s="114"/>
      <c r="N2440" s="114"/>
      <c r="P2440" s="234"/>
      <c r="Q2440" s="240"/>
    </row>
    <row r="2441" spans="6:17" x14ac:dyDescent="0.25">
      <c r="F2441" s="134"/>
      <c r="H2441" s="114"/>
      <c r="I2441" s="114"/>
      <c r="J2441" s="114"/>
      <c r="K2441" s="114"/>
      <c r="L2441" s="114"/>
      <c r="M2441" s="114"/>
      <c r="N2441" s="114"/>
      <c r="P2441" s="234"/>
      <c r="Q2441" s="240"/>
    </row>
    <row r="2442" spans="6:17" x14ac:dyDescent="0.25">
      <c r="F2442" s="134"/>
      <c r="H2442" s="114"/>
      <c r="I2442" s="114"/>
      <c r="J2442" s="114"/>
      <c r="K2442" s="114"/>
      <c r="L2442" s="114"/>
      <c r="M2442" s="114"/>
      <c r="N2442" s="114"/>
      <c r="P2442" s="234"/>
      <c r="Q2442" s="240"/>
    </row>
    <row r="2443" spans="6:17" x14ac:dyDescent="0.25">
      <c r="F2443" s="134"/>
      <c r="H2443" s="114"/>
      <c r="I2443" s="114"/>
      <c r="J2443" s="114"/>
      <c r="K2443" s="114"/>
      <c r="L2443" s="114"/>
      <c r="M2443" s="114"/>
      <c r="N2443" s="114"/>
      <c r="P2443" s="234"/>
      <c r="Q2443" s="240"/>
    </row>
    <row r="2444" spans="6:17" x14ac:dyDescent="0.25">
      <c r="F2444" s="134"/>
      <c r="H2444" s="114"/>
      <c r="I2444" s="114"/>
      <c r="J2444" s="114"/>
      <c r="K2444" s="114"/>
      <c r="L2444" s="114"/>
      <c r="M2444" s="114"/>
      <c r="N2444" s="114"/>
      <c r="P2444" s="234"/>
      <c r="Q2444" s="240"/>
    </row>
    <row r="2445" spans="6:17" x14ac:dyDescent="0.25">
      <c r="F2445" s="134"/>
      <c r="H2445" s="114"/>
      <c r="I2445" s="114"/>
      <c r="J2445" s="114"/>
      <c r="K2445" s="114"/>
      <c r="L2445" s="114"/>
      <c r="M2445" s="114"/>
      <c r="N2445" s="114"/>
      <c r="P2445" s="234"/>
      <c r="Q2445" s="240"/>
    </row>
    <row r="2446" spans="6:17" x14ac:dyDescent="0.25">
      <c r="F2446" s="134"/>
      <c r="H2446" s="114"/>
      <c r="I2446" s="114"/>
      <c r="J2446" s="114"/>
      <c r="K2446" s="114"/>
      <c r="L2446" s="114"/>
      <c r="M2446" s="114"/>
      <c r="N2446" s="114"/>
      <c r="P2446" s="234"/>
      <c r="Q2446" s="240"/>
    </row>
    <row r="2447" spans="6:17" x14ac:dyDescent="0.25">
      <c r="F2447" s="134"/>
      <c r="H2447" s="114"/>
      <c r="I2447" s="114"/>
      <c r="J2447" s="114"/>
      <c r="K2447" s="114"/>
      <c r="L2447" s="114"/>
      <c r="M2447" s="114"/>
      <c r="N2447" s="114"/>
      <c r="P2447" s="234"/>
      <c r="Q2447" s="240"/>
    </row>
    <row r="2448" spans="6:17" x14ac:dyDescent="0.25">
      <c r="F2448" s="134"/>
      <c r="H2448" s="114"/>
      <c r="I2448" s="114"/>
      <c r="J2448" s="114"/>
      <c r="K2448" s="114"/>
      <c r="L2448" s="114"/>
      <c r="M2448" s="114"/>
      <c r="N2448" s="114"/>
      <c r="P2448" s="234"/>
      <c r="Q2448" s="240"/>
    </row>
    <row r="2449" spans="6:17" x14ac:dyDescent="0.25">
      <c r="F2449" s="134"/>
      <c r="H2449" s="114"/>
      <c r="I2449" s="114"/>
      <c r="J2449" s="114"/>
      <c r="K2449" s="114"/>
      <c r="L2449" s="114"/>
      <c r="M2449" s="114"/>
      <c r="N2449" s="114"/>
      <c r="P2449" s="234"/>
      <c r="Q2449" s="240"/>
    </row>
    <row r="2450" spans="6:17" x14ac:dyDescent="0.25">
      <c r="F2450" s="134"/>
      <c r="H2450" s="114"/>
      <c r="I2450" s="114"/>
      <c r="J2450" s="114"/>
      <c r="K2450" s="114"/>
      <c r="L2450" s="114"/>
      <c r="M2450" s="114"/>
      <c r="N2450" s="114"/>
      <c r="P2450" s="234"/>
      <c r="Q2450" s="240"/>
    </row>
    <row r="2451" spans="6:17" x14ac:dyDescent="0.25">
      <c r="F2451" s="134"/>
      <c r="H2451" s="114"/>
      <c r="I2451" s="114"/>
      <c r="J2451" s="114"/>
      <c r="K2451" s="114"/>
      <c r="L2451" s="114"/>
      <c r="M2451" s="114"/>
      <c r="N2451" s="114"/>
      <c r="P2451" s="234"/>
      <c r="Q2451" s="240"/>
    </row>
    <row r="2452" spans="6:17" x14ac:dyDescent="0.25">
      <c r="F2452" s="134"/>
      <c r="H2452" s="114"/>
      <c r="I2452" s="114"/>
      <c r="J2452" s="114"/>
      <c r="K2452" s="114"/>
      <c r="L2452" s="114"/>
      <c r="M2452" s="114"/>
      <c r="N2452" s="114"/>
      <c r="P2452" s="234"/>
      <c r="Q2452" s="240"/>
    </row>
    <row r="2453" spans="6:17" x14ac:dyDescent="0.25">
      <c r="F2453" s="134"/>
      <c r="H2453" s="114"/>
      <c r="I2453" s="114"/>
      <c r="J2453" s="114"/>
      <c r="K2453" s="114"/>
      <c r="L2453" s="114"/>
      <c r="M2453" s="114"/>
      <c r="N2453" s="114"/>
      <c r="P2453" s="234"/>
      <c r="Q2453" s="240"/>
    </row>
    <row r="2454" spans="6:17" x14ac:dyDescent="0.25">
      <c r="F2454" s="134"/>
      <c r="H2454" s="114"/>
      <c r="I2454" s="114"/>
      <c r="J2454" s="114"/>
      <c r="K2454" s="114"/>
      <c r="L2454" s="114"/>
      <c r="M2454" s="114"/>
      <c r="N2454" s="114"/>
      <c r="P2454" s="234"/>
      <c r="Q2454" s="240"/>
    </row>
    <row r="2455" spans="6:17" x14ac:dyDescent="0.25">
      <c r="F2455" s="134"/>
      <c r="H2455" s="114"/>
      <c r="I2455" s="114"/>
      <c r="J2455" s="114"/>
      <c r="K2455" s="114"/>
      <c r="L2455" s="114"/>
      <c r="M2455" s="114"/>
      <c r="N2455" s="114"/>
      <c r="P2455" s="234"/>
      <c r="Q2455" s="240"/>
    </row>
    <row r="2456" spans="6:17" x14ac:dyDescent="0.25">
      <c r="F2456" s="134"/>
      <c r="H2456" s="114"/>
      <c r="I2456" s="114"/>
      <c r="J2456" s="114"/>
      <c r="K2456" s="114"/>
      <c r="L2456" s="114"/>
      <c r="M2456" s="114"/>
      <c r="N2456" s="114"/>
      <c r="P2456" s="234"/>
      <c r="Q2456" s="240"/>
    </row>
    <row r="2457" spans="6:17" x14ac:dyDescent="0.25">
      <c r="F2457" s="134"/>
      <c r="H2457" s="114"/>
      <c r="I2457" s="114"/>
      <c r="J2457" s="114"/>
      <c r="K2457" s="114"/>
      <c r="L2457" s="114"/>
      <c r="M2457" s="114"/>
      <c r="N2457" s="114"/>
      <c r="P2457" s="234"/>
      <c r="Q2457" s="240"/>
    </row>
    <row r="2458" spans="6:17" x14ac:dyDescent="0.25">
      <c r="F2458" s="134"/>
      <c r="H2458" s="114"/>
      <c r="I2458" s="114"/>
      <c r="J2458" s="114"/>
      <c r="K2458" s="114"/>
      <c r="L2458" s="114"/>
      <c r="M2458" s="114"/>
      <c r="N2458" s="114"/>
      <c r="P2458" s="234"/>
      <c r="Q2458" s="240"/>
    </row>
    <row r="2459" spans="6:17" x14ac:dyDescent="0.25">
      <c r="F2459" s="134"/>
      <c r="H2459" s="114"/>
      <c r="I2459" s="114"/>
      <c r="J2459" s="114"/>
      <c r="K2459" s="114"/>
      <c r="L2459" s="114"/>
      <c r="M2459" s="114"/>
      <c r="N2459" s="114"/>
      <c r="P2459" s="234"/>
      <c r="Q2459" s="240"/>
    </row>
    <row r="2460" spans="6:17" x14ac:dyDescent="0.25">
      <c r="F2460" s="134"/>
      <c r="H2460" s="114"/>
      <c r="I2460" s="114"/>
      <c r="J2460" s="114"/>
      <c r="K2460" s="114"/>
      <c r="L2460" s="114"/>
      <c r="M2460" s="114"/>
      <c r="N2460" s="114"/>
      <c r="P2460" s="234"/>
      <c r="Q2460" s="240"/>
    </row>
    <row r="2461" spans="6:17" x14ac:dyDescent="0.25">
      <c r="F2461" s="134"/>
      <c r="H2461" s="114"/>
      <c r="I2461" s="114"/>
      <c r="J2461" s="114"/>
      <c r="K2461" s="114"/>
      <c r="L2461" s="114"/>
      <c r="M2461" s="114"/>
      <c r="N2461" s="114"/>
      <c r="P2461" s="234"/>
      <c r="Q2461" s="240"/>
    </row>
    <row r="2462" spans="6:17" x14ac:dyDescent="0.25">
      <c r="F2462" s="134"/>
      <c r="H2462" s="114"/>
      <c r="I2462" s="114"/>
      <c r="J2462" s="114"/>
      <c r="K2462" s="114"/>
      <c r="L2462" s="114"/>
      <c r="M2462" s="114"/>
      <c r="N2462" s="114"/>
      <c r="P2462" s="234"/>
      <c r="Q2462" s="240"/>
    </row>
    <row r="2463" spans="6:17" x14ac:dyDescent="0.25">
      <c r="F2463" s="134"/>
      <c r="H2463" s="114"/>
      <c r="I2463" s="114"/>
      <c r="J2463" s="114"/>
      <c r="K2463" s="114"/>
      <c r="L2463" s="114"/>
      <c r="M2463" s="114"/>
      <c r="N2463" s="114"/>
      <c r="P2463" s="234"/>
      <c r="Q2463" s="240"/>
    </row>
    <row r="2464" spans="6:17" x14ac:dyDescent="0.25">
      <c r="F2464" s="134"/>
      <c r="H2464" s="114"/>
      <c r="I2464" s="114"/>
      <c r="J2464" s="114"/>
      <c r="K2464" s="114"/>
      <c r="L2464" s="114"/>
      <c r="M2464" s="114"/>
      <c r="N2464" s="114"/>
      <c r="P2464" s="234"/>
      <c r="Q2464" s="240"/>
    </row>
    <row r="2465" spans="6:17" x14ac:dyDescent="0.25">
      <c r="F2465" s="134"/>
      <c r="H2465" s="114"/>
      <c r="I2465" s="114"/>
      <c r="J2465" s="114"/>
      <c r="K2465" s="114"/>
      <c r="L2465" s="114"/>
      <c r="M2465" s="114"/>
      <c r="N2465" s="114"/>
      <c r="P2465" s="234"/>
      <c r="Q2465" s="240"/>
    </row>
    <row r="2466" spans="6:17" x14ac:dyDescent="0.25">
      <c r="F2466" s="134"/>
      <c r="H2466" s="114"/>
      <c r="I2466" s="114"/>
      <c r="J2466" s="114"/>
      <c r="K2466" s="114"/>
      <c r="L2466" s="114"/>
      <c r="M2466" s="114"/>
      <c r="N2466" s="114"/>
      <c r="P2466" s="234"/>
      <c r="Q2466" s="240"/>
    </row>
    <row r="2467" spans="6:17" x14ac:dyDescent="0.25">
      <c r="F2467" s="134"/>
      <c r="H2467" s="114"/>
      <c r="I2467" s="114"/>
      <c r="J2467" s="114"/>
      <c r="K2467" s="114"/>
      <c r="L2467" s="114"/>
      <c r="M2467" s="114"/>
      <c r="N2467" s="114"/>
      <c r="P2467" s="234"/>
      <c r="Q2467" s="240"/>
    </row>
    <row r="2468" spans="6:17" x14ac:dyDescent="0.25">
      <c r="F2468" s="134"/>
      <c r="H2468" s="114"/>
      <c r="I2468" s="114"/>
      <c r="J2468" s="114"/>
      <c r="K2468" s="114"/>
      <c r="L2468" s="114"/>
      <c r="M2468" s="114"/>
      <c r="N2468" s="114"/>
      <c r="P2468" s="234"/>
      <c r="Q2468" s="240"/>
    </row>
    <row r="2469" spans="6:17" x14ac:dyDescent="0.25">
      <c r="F2469" s="134"/>
      <c r="H2469" s="114"/>
      <c r="I2469" s="114"/>
      <c r="J2469" s="114"/>
      <c r="K2469" s="114"/>
      <c r="L2469" s="114"/>
      <c r="M2469" s="114"/>
      <c r="N2469" s="114"/>
      <c r="P2469" s="234"/>
      <c r="Q2469" s="240"/>
    </row>
    <row r="2470" spans="6:17" x14ac:dyDescent="0.25">
      <c r="F2470" s="134"/>
      <c r="H2470" s="114"/>
      <c r="I2470" s="114"/>
      <c r="J2470" s="114"/>
      <c r="K2470" s="114"/>
      <c r="L2470" s="114"/>
      <c r="M2470" s="114"/>
      <c r="N2470" s="114"/>
      <c r="P2470" s="234"/>
      <c r="Q2470" s="240"/>
    </row>
    <row r="2471" spans="6:17" x14ac:dyDescent="0.25">
      <c r="F2471" s="134"/>
      <c r="H2471" s="114"/>
      <c r="I2471" s="114"/>
      <c r="J2471" s="114"/>
      <c r="K2471" s="114"/>
      <c r="L2471" s="114"/>
      <c r="M2471" s="114"/>
      <c r="N2471" s="114"/>
      <c r="P2471" s="234"/>
      <c r="Q2471" s="240"/>
    </row>
    <row r="2472" spans="6:17" x14ac:dyDescent="0.25">
      <c r="F2472" s="134"/>
      <c r="H2472" s="114"/>
      <c r="I2472" s="114"/>
      <c r="J2472" s="114"/>
      <c r="K2472" s="114"/>
      <c r="L2472" s="114"/>
      <c r="M2472" s="114"/>
      <c r="N2472" s="114"/>
      <c r="P2472" s="234"/>
      <c r="Q2472" s="240"/>
    </row>
    <row r="2473" spans="6:17" x14ac:dyDescent="0.25">
      <c r="F2473" s="134"/>
      <c r="H2473" s="114"/>
      <c r="I2473" s="114"/>
      <c r="J2473" s="114"/>
      <c r="K2473" s="114"/>
      <c r="L2473" s="114"/>
      <c r="M2473" s="114"/>
      <c r="N2473" s="114"/>
      <c r="P2473" s="234"/>
      <c r="Q2473" s="240"/>
    </row>
    <row r="2474" spans="6:17" x14ac:dyDescent="0.25">
      <c r="F2474" s="134"/>
      <c r="H2474" s="114"/>
      <c r="I2474" s="114"/>
      <c r="J2474" s="114"/>
      <c r="K2474" s="114"/>
      <c r="L2474" s="114"/>
      <c r="M2474" s="114"/>
      <c r="N2474" s="114"/>
      <c r="P2474" s="234"/>
      <c r="Q2474" s="240"/>
    </row>
    <row r="2475" spans="6:17" x14ac:dyDescent="0.25">
      <c r="F2475" s="134"/>
      <c r="H2475" s="114"/>
      <c r="I2475" s="114"/>
      <c r="J2475" s="114"/>
      <c r="K2475" s="114"/>
      <c r="L2475" s="114"/>
      <c r="M2475" s="114"/>
      <c r="N2475" s="114"/>
      <c r="P2475" s="234"/>
      <c r="Q2475" s="240"/>
    </row>
    <row r="2476" spans="6:17" x14ac:dyDescent="0.25">
      <c r="F2476" s="134"/>
      <c r="H2476" s="114"/>
      <c r="I2476" s="114"/>
      <c r="J2476" s="114"/>
      <c r="K2476" s="114"/>
      <c r="L2476" s="114"/>
      <c r="M2476" s="114"/>
      <c r="N2476" s="114"/>
      <c r="P2476" s="234"/>
      <c r="Q2476" s="240"/>
    </row>
    <row r="2477" spans="6:17" x14ac:dyDescent="0.25">
      <c r="F2477" s="134"/>
      <c r="H2477" s="114"/>
      <c r="I2477" s="114"/>
      <c r="J2477" s="114"/>
      <c r="K2477" s="114"/>
      <c r="L2477" s="114"/>
      <c r="M2477" s="114"/>
      <c r="N2477" s="114"/>
      <c r="P2477" s="234"/>
      <c r="Q2477" s="240"/>
    </row>
    <row r="2478" spans="6:17" x14ac:dyDescent="0.25">
      <c r="F2478" s="134"/>
      <c r="H2478" s="114"/>
      <c r="I2478" s="114"/>
      <c r="J2478" s="114"/>
      <c r="K2478" s="114"/>
      <c r="L2478" s="114"/>
      <c r="M2478" s="114"/>
      <c r="N2478" s="114"/>
      <c r="P2478" s="234"/>
      <c r="Q2478" s="240"/>
    </row>
    <row r="2479" spans="6:17" x14ac:dyDescent="0.25">
      <c r="F2479" s="134"/>
      <c r="H2479" s="114"/>
      <c r="I2479" s="114"/>
      <c r="J2479" s="114"/>
      <c r="K2479" s="114"/>
      <c r="L2479" s="114"/>
      <c r="M2479" s="114"/>
      <c r="N2479" s="114"/>
      <c r="P2479" s="234"/>
      <c r="Q2479" s="240"/>
    </row>
    <row r="2480" spans="6:17" x14ac:dyDescent="0.25">
      <c r="F2480" s="134"/>
      <c r="H2480" s="114"/>
      <c r="I2480" s="114"/>
      <c r="J2480" s="114"/>
      <c r="K2480" s="114"/>
      <c r="L2480" s="114"/>
      <c r="M2480" s="114"/>
      <c r="N2480" s="114"/>
      <c r="P2480" s="234"/>
      <c r="Q2480" s="240"/>
    </row>
    <row r="2481" spans="6:17" x14ac:dyDescent="0.25">
      <c r="F2481" s="134"/>
      <c r="H2481" s="114"/>
      <c r="I2481" s="114"/>
      <c r="J2481" s="114"/>
      <c r="K2481" s="114"/>
      <c r="L2481" s="114"/>
      <c r="M2481" s="114"/>
      <c r="N2481" s="114"/>
      <c r="P2481" s="234"/>
      <c r="Q2481" s="240"/>
    </row>
    <row r="2482" spans="6:17" x14ac:dyDescent="0.25">
      <c r="F2482" s="134"/>
      <c r="H2482" s="114"/>
      <c r="I2482" s="114"/>
      <c r="J2482" s="114"/>
      <c r="K2482" s="114"/>
      <c r="L2482" s="114"/>
      <c r="M2482" s="114"/>
      <c r="N2482" s="114"/>
      <c r="P2482" s="234"/>
      <c r="Q2482" s="240"/>
    </row>
    <row r="2483" spans="6:17" x14ac:dyDescent="0.25">
      <c r="F2483" s="134"/>
      <c r="H2483" s="114"/>
      <c r="I2483" s="114"/>
      <c r="J2483" s="114"/>
      <c r="K2483" s="114"/>
      <c r="L2483" s="114"/>
      <c r="M2483" s="114"/>
      <c r="N2483" s="114"/>
      <c r="P2483" s="234"/>
      <c r="Q2483" s="240"/>
    </row>
    <row r="2484" spans="6:17" x14ac:dyDescent="0.25">
      <c r="F2484" s="134"/>
      <c r="H2484" s="114"/>
      <c r="I2484" s="114"/>
      <c r="J2484" s="114"/>
      <c r="K2484" s="114"/>
      <c r="L2484" s="114"/>
      <c r="M2484" s="114"/>
      <c r="N2484" s="114"/>
      <c r="P2484" s="234"/>
      <c r="Q2484" s="240"/>
    </row>
    <row r="2485" spans="6:17" x14ac:dyDescent="0.25">
      <c r="F2485" s="134"/>
      <c r="H2485" s="114"/>
      <c r="I2485" s="114"/>
      <c r="J2485" s="114"/>
      <c r="K2485" s="114"/>
      <c r="L2485" s="114"/>
      <c r="M2485" s="114"/>
      <c r="N2485" s="114"/>
      <c r="P2485" s="234"/>
      <c r="Q2485" s="240"/>
    </row>
    <row r="2486" spans="6:17" x14ac:dyDescent="0.25">
      <c r="F2486" s="134"/>
      <c r="H2486" s="114"/>
      <c r="I2486" s="114"/>
      <c r="J2486" s="114"/>
      <c r="K2486" s="114"/>
      <c r="L2486" s="114"/>
      <c r="M2486" s="114"/>
      <c r="N2486" s="114"/>
      <c r="P2486" s="234"/>
      <c r="Q2486" s="240"/>
    </row>
    <row r="2487" spans="6:17" x14ac:dyDescent="0.25">
      <c r="F2487" s="134"/>
      <c r="H2487" s="114"/>
      <c r="I2487" s="114"/>
      <c r="J2487" s="114"/>
      <c r="K2487" s="114"/>
      <c r="L2487" s="114"/>
      <c r="M2487" s="114"/>
      <c r="N2487" s="114"/>
      <c r="P2487" s="234"/>
      <c r="Q2487" s="240"/>
    </row>
    <row r="2488" spans="6:17" x14ac:dyDescent="0.25">
      <c r="F2488" s="134"/>
      <c r="H2488" s="114"/>
      <c r="I2488" s="114"/>
      <c r="J2488" s="114"/>
      <c r="K2488" s="114"/>
      <c r="L2488" s="114"/>
      <c r="M2488" s="114"/>
      <c r="N2488" s="114"/>
      <c r="P2488" s="234"/>
      <c r="Q2488" s="240"/>
    </row>
    <row r="2489" spans="6:17" x14ac:dyDescent="0.25">
      <c r="F2489" s="134"/>
      <c r="H2489" s="114"/>
      <c r="I2489" s="114"/>
      <c r="J2489" s="114"/>
      <c r="K2489" s="114"/>
      <c r="L2489" s="114"/>
      <c r="M2489" s="114"/>
      <c r="N2489" s="114"/>
      <c r="P2489" s="234"/>
      <c r="Q2489" s="240"/>
    </row>
    <row r="2490" spans="6:17" x14ac:dyDescent="0.25">
      <c r="F2490" s="134"/>
      <c r="H2490" s="114"/>
      <c r="I2490" s="114"/>
      <c r="J2490" s="114"/>
      <c r="K2490" s="114"/>
      <c r="L2490" s="114"/>
      <c r="M2490" s="114"/>
      <c r="N2490" s="114"/>
      <c r="P2490" s="234"/>
      <c r="Q2490" s="240"/>
    </row>
    <row r="2491" spans="6:17" x14ac:dyDescent="0.25">
      <c r="F2491" s="134"/>
      <c r="H2491" s="114"/>
      <c r="I2491" s="114"/>
      <c r="J2491" s="114"/>
      <c r="K2491" s="114"/>
      <c r="L2491" s="114"/>
      <c r="M2491" s="114"/>
      <c r="N2491" s="114"/>
      <c r="P2491" s="234"/>
      <c r="Q2491" s="240"/>
    </row>
    <row r="2492" spans="6:17" x14ac:dyDescent="0.25">
      <c r="F2492" s="134"/>
      <c r="H2492" s="114"/>
      <c r="I2492" s="114"/>
      <c r="J2492" s="114"/>
      <c r="K2492" s="114"/>
      <c r="L2492" s="114"/>
      <c r="M2492" s="114"/>
      <c r="N2492" s="114"/>
      <c r="P2492" s="234"/>
      <c r="Q2492" s="240"/>
    </row>
    <row r="2493" spans="6:17" x14ac:dyDescent="0.25">
      <c r="F2493" s="134"/>
      <c r="H2493" s="114"/>
      <c r="I2493" s="114"/>
      <c r="J2493" s="114"/>
      <c r="K2493" s="114"/>
      <c r="L2493" s="114"/>
      <c r="M2493" s="114"/>
      <c r="N2493" s="114"/>
      <c r="P2493" s="234"/>
      <c r="Q2493" s="240"/>
    </row>
    <row r="2494" spans="6:17" x14ac:dyDescent="0.25">
      <c r="F2494" s="134"/>
      <c r="H2494" s="114"/>
      <c r="I2494" s="114"/>
      <c r="J2494" s="114"/>
      <c r="K2494" s="114"/>
      <c r="L2494" s="114"/>
      <c r="M2494" s="114"/>
      <c r="N2494" s="114"/>
      <c r="P2494" s="234"/>
      <c r="Q2494" s="240"/>
    </row>
    <row r="2495" spans="6:17" x14ac:dyDescent="0.25">
      <c r="F2495" s="134"/>
      <c r="H2495" s="114"/>
      <c r="I2495" s="114"/>
      <c r="J2495" s="114"/>
      <c r="K2495" s="114"/>
      <c r="L2495" s="114"/>
      <c r="M2495" s="114"/>
      <c r="N2495" s="114"/>
      <c r="P2495" s="234"/>
      <c r="Q2495" s="240"/>
    </row>
    <row r="2496" spans="6:17" x14ac:dyDescent="0.25">
      <c r="F2496" s="134"/>
      <c r="H2496" s="114"/>
      <c r="I2496" s="114"/>
      <c r="J2496" s="114"/>
      <c r="K2496" s="114"/>
      <c r="L2496" s="114"/>
      <c r="M2496" s="114"/>
      <c r="N2496" s="114"/>
      <c r="P2496" s="234"/>
      <c r="Q2496" s="240"/>
    </row>
    <row r="2497" spans="6:17" x14ac:dyDescent="0.25">
      <c r="F2497" s="134"/>
      <c r="H2497" s="114"/>
      <c r="I2497" s="114"/>
      <c r="J2497" s="114"/>
      <c r="K2497" s="114"/>
      <c r="L2497" s="114"/>
      <c r="M2497" s="114"/>
      <c r="N2497" s="114"/>
      <c r="P2497" s="234"/>
      <c r="Q2497" s="240"/>
    </row>
    <row r="2498" spans="6:17" x14ac:dyDescent="0.25">
      <c r="F2498" s="134"/>
      <c r="H2498" s="114"/>
      <c r="I2498" s="114"/>
      <c r="J2498" s="114"/>
      <c r="K2498" s="114"/>
      <c r="L2498" s="114"/>
      <c r="M2498" s="114"/>
      <c r="N2498" s="114"/>
      <c r="P2498" s="234"/>
      <c r="Q2498" s="240"/>
    </row>
    <row r="2499" spans="6:17" x14ac:dyDescent="0.25">
      <c r="F2499" s="134"/>
      <c r="H2499" s="114"/>
      <c r="I2499" s="114"/>
      <c r="J2499" s="114"/>
      <c r="K2499" s="114"/>
      <c r="L2499" s="114"/>
      <c r="M2499" s="114"/>
      <c r="N2499" s="114"/>
      <c r="P2499" s="234"/>
      <c r="Q2499" s="240"/>
    </row>
    <row r="2500" spans="6:17" x14ac:dyDescent="0.25">
      <c r="F2500" s="134"/>
      <c r="H2500" s="114"/>
      <c r="I2500" s="114"/>
      <c r="J2500" s="114"/>
      <c r="K2500" s="114"/>
      <c r="L2500" s="114"/>
      <c r="M2500" s="114"/>
      <c r="N2500" s="114"/>
      <c r="P2500" s="234"/>
      <c r="Q2500" s="240"/>
    </row>
    <row r="2501" spans="6:17" x14ac:dyDescent="0.25">
      <c r="F2501" s="134"/>
      <c r="H2501" s="114"/>
      <c r="I2501" s="114"/>
      <c r="J2501" s="114"/>
      <c r="K2501" s="114"/>
      <c r="L2501" s="114"/>
      <c r="M2501" s="114"/>
      <c r="N2501" s="114"/>
      <c r="P2501" s="234"/>
      <c r="Q2501" s="240"/>
    </row>
    <row r="2502" spans="6:17" x14ac:dyDescent="0.25">
      <c r="F2502" s="134"/>
      <c r="H2502" s="114"/>
      <c r="I2502" s="114"/>
      <c r="J2502" s="114"/>
      <c r="K2502" s="114"/>
      <c r="L2502" s="114"/>
      <c r="M2502" s="114"/>
      <c r="N2502" s="114"/>
      <c r="P2502" s="234"/>
      <c r="Q2502" s="240"/>
    </row>
    <row r="2503" spans="6:17" x14ac:dyDescent="0.25">
      <c r="F2503" s="134"/>
      <c r="H2503" s="114"/>
      <c r="I2503" s="114"/>
      <c r="J2503" s="114"/>
      <c r="K2503" s="114"/>
      <c r="L2503" s="114"/>
      <c r="M2503" s="114"/>
      <c r="N2503" s="114"/>
      <c r="P2503" s="234"/>
      <c r="Q2503" s="240"/>
    </row>
    <row r="2504" spans="6:17" x14ac:dyDescent="0.25">
      <c r="F2504" s="134"/>
      <c r="H2504" s="114"/>
      <c r="I2504" s="114"/>
      <c r="J2504" s="114"/>
      <c r="K2504" s="114"/>
      <c r="L2504" s="114"/>
      <c r="M2504" s="114"/>
      <c r="N2504" s="114"/>
      <c r="P2504" s="234"/>
      <c r="Q2504" s="240"/>
    </row>
    <row r="2505" spans="6:17" x14ac:dyDescent="0.25">
      <c r="F2505" s="134"/>
      <c r="H2505" s="114"/>
      <c r="I2505" s="114"/>
      <c r="J2505" s="114"/>
      <c r="K2505" s="114"/>
      <c r="L2505" s="114"/>
      <c r="M2505" s="114"/>
      <c r="N2505" s="114"/>
      <c r="P2505" s="234"/>
      <c r="Q2505" s="240"/>
    </row>
    <row r="2506" spans="6:17" x14ac:dyDescent="0.25">
      <c r="F2506" s="134"/>
      <c r="H2506" s="114"/>
      <c r="I2506" s="114"/>
      <c r="J2506" s="114"/>
      <c r="K2506" s="114"/>
      <c r="L2506" s="114"/>
      <c r="M2506" s="114"/>
      <c r="N2506" s="114"/>
      <c r="P2506" s="234"/>
      <c r="Q2506" s="240"/>
    </row>
    <row r="2507" spans="6:17" x14ac:dyDescent="0.25">
      <c r="F2507" s="134"/>
      <c r="H2507" s="114"/>
      <c r="I2507" s="114"/>
      <c r="J2507" s="114"/>
      <c r="K2507" s="114"/>
      <c r="L2507" s="114"/>
      <c r="M2507" s="114"/>
      <c r="N2507" s="114"/>
      <c r="P2507" s="234"/>
      <c r="Q2507" s="240"/>
    </row>
    <row r="2508" spans="6:17" x14ac:dyDescent="0.25">
      <c r="F2508" s="134"/>
      <c r="H2508" s="114"/>
      <c r="I2508" s="114"/>
      <c r="J2508" s="114"/>
      <c r="K2508" s="114"/>
      <c r="L2508" s="114"/>
      <c r="M2508" s="114"/>
      <c r="N2508" s="114"/>
      <c r="P2508" s="234"/>
      <c r="Q2508" s="240"/>
    </row>
    <row r="2509" spans="6:17" x14ac:dyDescent="0.25">
      <c r="F2509" s="134"/>
      <c r="H2509" s="114"/>
      <c r="I2509" s="114"/>
      <c r="J2509" s="114"/>
      <c r="K2509" s="114"/>
      <c r="L2509" s="114"/>
      <c r="M2509" s="114"/>
      <c r="N2509" s="114"/>
      <c r="P2509" s="234"/>
      <c r="Q2509" s="240"/>
    </row>
    <row r="2510" spans="6:17" x14ac:dyDescent="0.25">
      <c r="F2510" s="134"/>
      <c r="H2510" s="114"/>
      <c r="I2510" s="114"/>
      <c r="J2510" s="114"/>
      <c r="K2510" s="114"/>
      <c r="L2510" s="114"/>
      <c r="M2510" s="114"/>
      <c r="N2510" s="114"/>
      <c r="P2510" s="234"/>
      <c r="Q2510" s="240"/>
    </row>
    <row r="2511" spans="6:17" x14ac:dyDescent="0.25">
      <c r="F2511" s="134"/>
      <c r="H2511" s="114"/>
      <c r="I2511" s="114"/>
      <c r="J2511" s="114"/>
      <c r="K2511" s="114"/>
      <c r="L2511" s="114"/>
      <c r="M2511" s="114"/>
      <c r="N2511" s="114"/>
      <c r="P2511" s="234"/>
      <c r="Q2511" s="240"/>
    </row>
    <row r="2512" spans="6:17" x14ac:dyDescent="0.25">
      <c r="F2512" s="134"/>
      <c r="H2512" s="114"/>
      <c r="I2512" s="114"/>
      <c r="J2512" s="114"/>
      <c r="K2512" s="114"/>
      <c r="L2512" s="114"/>
      <c r="M2512" s="114"/>
      <c r="N2512" s="114"/>
      <c r="P2512" s="234"/>
      <c r="Q2512" s="240"/>
    </row>
    <row r="2513" spans="6:17" x14ac:dyDescent="0.25">
      <c r="F2513" s="134"/>
      <c r="H2513" s="114"/>
      <c r="I2513" s="114"/>
      <c r="J2513" s="114"/>
      <c r="K2513" s="114"/>
      <c r="L2513" s="114"/>
      <c r="M2513" s="114"/>
      <c r="N2513" s="114"/>
      <c r="P2513" s="234"/>
      <c r="Q2513" s="240"/>
    </row>
    <row r="2514" spans="6:17" x14ac:dyDescent="0.25">
      <c r="F2514" s="134"/>
      <c r="H2514" s="114"/>
      <c r="I2514" s="114"/>
      <c r="J2514" s="114"/>
      <c r="K2514" s="114"/>
      <c r="L2514" s="114"/>
      <c r="M2514" s="114"/>
      <c r="N2514" s="114"/>
      <c r="P2514" s="234"/>
      <c r="Q2514" s="240"/>
    </row>
    <row r="2515" spans="6:17" x14ac:dyDescent="0.25">
      <c r="F2515" s="134"/>
      <c r="H2515" s="114"/>
      <c r="I2515" s="114"/>
      <c r="J2515" s="114"/>
      <c r="K2515" s="114"/>
      <c r="L2515" s="114"/>
      <c r="M2515" s="114"/>
      <c r="N2515" s="114"/>
      <c r="P2515" s="234"/>
      <c r="Q2515" s="240"/>
    </row>
    <row r="2516" spans="6:17" x14ac:dyDescent="0.25">
      <c r="F2516" s="134"/>
      <c r="H2516" s="114"/>
      <c r="I2516" s="114"/>
      <c r="J2516" s="114"/>
      <c r="K2516" s="114"/>
      <c r="L2516" s="114"/>
      <c r="M2516" s="114"/>
      <c r="N2516" s="114"/>
      <c r="P2516" s="234"/>
      <c r="Q2516" s="240"/>
    </row>
    <row r="2517" spans="6:17" x14ac:dyDescent="0.25">
      <c r="F2517" s="134"/>
      <c r="H2517" s="114"/>
      <c r="I2517" s="114"/>
      <c r="J2517" s="114"/>
      <c r="K2517" s="114"/>
      <c r="L2517" s="114"/>
      <c r="M2517" s="114"/>
      <c r="N2517" s="114"/>
      <c r="P2517" s="234"/>
      <c r="Q2517" s="240"/>
    </row>
    <row r="2518" spans="6:17" x14ac:dyDescent="0.25">
      <c r="F2518" s="134"/>
      <c r="H2518" s="114"/>
      <c r="I2518" s="114"/>
      <c r="J2518" s="114"/>
      <c r="K2518" s="114"/>
      <c r="L2518" s="114"/>
      <c r="M2518" s="114"/>
      <c r="N2518" s="114"/>
      <c r="P2518" s="234"/>
      <c r="Q2518" s="240"/>
    </row>
    <row r="2519" spans="6:17" x14ac:dyDescent="0.25">
      <c r="F2519" s="134"/>
      <c r="H2519" s="114"/>
      <c r="I2519" s="114"/>
      <c r="J2519" s="114"/>
      <c r="K2519" s="114"/>
      <c r="L2519" s="114"/>
      <c r="M2519" s="114"/>
      <c r="N2519" s="114"/>
      <c r="P2519" s="234"/>
      <c r="Q2519" s="240"/>
    </row>
    <row r="2520" spans="6:17" x14ac:dyDescent="0.25">
      <c r="F2520" s="134"/>
      <c r="H2520" s="114"/>
      <c r="I2520" s="114"/>
      <c r="J2520" s="114"/>
      <c r="K2520" s="114"/>
      <c r="L2520" s="114"/>
      <c r="M2520" s="114"/>
      <c r="N2520" s="114"/>
      <c r="P2520" s="234"/>
      <c r="Q2520" s="240"/>
    </row>
    <row r="2521" spans="6:17" x14ac:dyDescent="0.25">
      <c r="F2521" s="134"/>
      <c r="H2521" s="114"/>
      <c r="I2521" s="114"/>
      <c r="J2521" s="114"/>
      <c r="K2521" s="114"/>
      <c r="L2521" s="114"/>
      <c r="M2521" s="114"/>
      <c r="N2521" s="114"/>
      <c r="P2521" s="234"/>
      <c r="Q2521" s="240"/>
    </row>
    <row r="2522" spans="6:17" x14ac:dyDescent="0.25">
      <c r="F2522" s="134"/>
      <c r="H2522" s="114"/>
      <c r="I2522" s="114"/>
      <c r="J2522" s="114"/>
      <c r="K2522" s="114"/>
      <c r="L2522" s="114"/>
      <c r="M2522" s="114"/>
      <c r="N2522" s="114"/>
      <c r="P2522" s="234"/>
      <c r="Q2522" s="240"/>
    </row>
    <row r="2523" spans="6:17" x14ac:dyDescent="0.25">
      <c r="F2523" s="134"/>
      <c r="H2523" s="114"/>
      <c r="I2523" s="114"/>
      <c r="J2523" s="114"/>
      <c r="K2523" s="114"/>
      <c r="L2523" s="114"/>
      <c r="M2523" s="114"/>
      <c r="N2523" s="114"/>
      <c r="P2523" s="234"/>
      <c r="Q2523" s="240"/>
    </row>
    <row r="2524" spans="6:17" x14ac:dyDescent="0.25">
      <c r="F2524" s="134"/>
      <c r="H2524" s="114"/>
      <c r="I2524" s="114"/>
      <c r="J2524" s="114"/>
      <c r="K2524" s="114"/>
      <c r="L2524" s="114"/>
      <c r="M2524" s="114"/>
      <c r="N2524" s="114"/>
      <c r="P2524" s="234"/>
      <c r="Q2524" s="240"/>
    </row>
    <row r="2525" spans="6:17" x14ac:dyDescent="0.25">
      <c r="F2525" s="134"/>
      <c r="H2525" s="114"/>
      <c r="I2525" s="114"/>
      <c r="J2525" s="114"/>
      <c r="K2525" s="114"/>
      <c r="L2525" s="114"/>
      <c r="M2525" s="114"/>
      <c r="N2525" s="114"/>
      <c r="P2525" s="234"/>
      <c r="Q2525" s="240"/>
    </row>
    <row r="2526" spans="6:17" x14ac:dyDescent="0.25">
      <c r="F2526" s="134"/>
      <c r="H2526" s="114"/>
      <c r="I2526" s="114"/>
      <c r="J2526" s="114"/>
      <c r="K2526" s="114"/>
      <c r="L2526" s="114"/>
      <c r="M2526" s="114"/>
      <c r="N2526" s="114"/>
      <c r="P2526" s="234"/>
      <c r="Q2526" s="240"/>
    </row>
    <row r="2527" spans="6:17" x14ac:dyDescent="0.25">
      <c r="F2527" s="134"/>
      <c r="H2527" s="114"/>
      <c r="I2527" s="114"/>
      <c r="J2527" s="114"/>
      <c r="K2527" s="114"/>
      <c r="L2527" s="114"/>
      <c r="M2527" s="114"/>
      <c r="N2527" s="114"/>
      <c r="P2527" s="234"/>
      <c r="Q2527" s="240"/>
    </row>
    <row r="2528" spans="6:17" x14ac:dyDescent="0.25">
      <c r="F2528" s="134"/>
      <c r="H2528" s="114"/>
      <c r="I2528" s="114"/>
      <c r="J2528" s="114"/>
      <c r="K2528" s="114"/>
      <c r="L2528" s="114"/>
      <c r="M2528" s="114"/>
      <c r="N2528" s="114"/>
      <c r="P2528" s="234"/>
      <c r="Q2528" s="240"/>
    </row>
    <row r="2529" spans="6:17" x14ac:dyDescent="0.25">
      <c r="F2529" s="134"/>
      <c r="H2529" s="114"/>
      <c r="I2529" s="114"/>
      <c r="J2529" s="114"/>
      <c r="K2529" s="114"/>
      <c r="L2529" s="114"/>
      <c r="M2529" s="114"/>
      <c r="N2529" s="114"/>
      <c r="P2529" s="234"/>
      <c r="Q2529" s="240"/>
    </row>
    <row r="2530" spans="6:17" x14ac:dyDescent="0.25">
      <c r="F2530" s="134"/>
      <c r="H2530" s="114"/>
      <c r="I2530" s="114"/>
      <c r="J2530" s="114"/>
      <c r="K2530" s="114"/>
      <c r="L2530" s="114"/>
      <c r="M2530" s="114"/>
      <c r="N2530" s="114"/>
      <c r="P2530" s="234"/>
      <c r="Q2530" s="240"/>
    </row>
    <row r="2531" spans="6:17" x14ac:dyDescent="0.25">
      <c r="F2531" s="134"/>
      <c r="H2531" s="114"/>
      <c r="I2531" s="114"/>
      <c r="J2531" s="114"/>
      <c r="K2531" s="114"/>
      <c r="L2531" s="114"/>
      <c r="M2531" s="114"/>
      <c r="N2531" s="114"/>
      <c r="P2531" s="234"/>
      <c r="Q2531" s="240"/>
    </row>
    <row r="2532" spans="6:17" x14ac:dyDescent="0.25">
      <c r="F2532" s="134"/>
      <c r="H2532" s="114"/>
      <c r="I2532" s="114"/>
      <c r="J2532" s="114"/>
      <c r="K2532" s="114"/>
      <c r="L2532" s="114"/>
      <c r="M2532" s="114"/>
      <c r="N2532" s="114"/>
      <c r="P2532" s="234"/>
      <c r="Q2532" s="240"/>
    </row>
    <row r="2533" spans="6:17" x14ac:dyDescent="0.25">
      <c r="F2533" s="134"/>
      <c r="H2533" s="114"/>
      <c r="I2533" s="114"/>
      <c r="J2533" s="114"/>
      <c r="K2533" s="114"/>
      <c r="L2533" s="114"/>
      <c r="M2533" s="114"/>
      <c r="N2533" s="114"/>
      <c r="P2533" s="234"/>
      <c r="Q2533" s="240"/>
    </row>
    <row r="2534" spans="6:17" x14ac:dyDescent="0.25">
      <c r="F2534" s="134"/>
      <c r="H2534" s="114"/>
      <c r="I2534" s="114"/>
      <c r="J2534" s="114"/>
      <c r="K2534" s="114"/>
      <c r="L2534" s="114"/>
      <c r="M2534" s="114"/>
      <c r="N2534" s="114"/>
      <c r="P2534" s="234"/>
      <c r="Q2534" s="240"/>
    </row>
    <row r="2535" spans="6:17" x14ac:dyDescent="0.25">
      <c r="F2535" s="134"/>
      <c r="H2535" s="114"/>
      <c r="I2535" s="114"/>
      <c r="J2535" s="114"/>
      <c r="K2535" s="114"/>
      <c r="L2535" s="114"/>
      <c r="M2535" s="114"/>
      <c r="N2535" s="114"/>
      <c r="P2535" s="234"/>
      <c r="Q2535" s="240"/>
    </row>
    <row r="2536" spans="6:17" x14ac:dyDescent="0.25">
      <c r="F2536" s="134"/>
      <c r="H2536" s="114"/>
      <c r="I2536" s="114"/>
      <c r="J2536" s="114"/>
      <c r="K2536" s="114"/>
      <c r="L2536" s="114"/>
      <c r="M2536" s="114"/>
      <c r="N2536" s="114"/>
      <c r="P2536" s="234"/>
      <c r="Q2536" s="240"/>
    </row>
    <row r="2537" spans="6:17" x14ac:dyDescent="0.25">
      <c r="F2537" s="134"/>
      <c r="H2537" s="114"/>
      <c r="I2537" s="114"/>
      <c r="J2537" s="114"/>
      <c r="K2537" s="114"/>
      <c r="L2537" s="114"/>
      <c r="M2537" s="114"/>
      <c r="N2537" s="114"/>
      <c r="P2537" s="234"/>
      <c r="Q2537" s="240"/>
    </row>
    <row r="2538" spans="6:17" x14ac:dyDescent="0.25">
      <c r="F2538" s="134"/>
      <c r="H2538" s="114"/>
      <c r="I2538" s="114"/>
      <c r="J2538" s="114"/>
      <c r="K2538" s="114"/>
      <c r="L2538" s="114"/>
      <c r="M2538" s="114"/>
      <c r="N2538" s="114"/>
      <c r="P2538" s="234"/>
      <c r="Q2538" s="240"/>
    </row>
    <row r="2539" spans="6:17" x14ac:dyDescent="0.25">
      <c r="F2539" s="134"/>
      <c r="H2539" s="114"/>
      <c r="I2539" s="114"/>
      <c r="J2539" s="114"/>
      <c r="K2539" s="114"/>
      <c r="L2539" s="114"/>
      <c r="M2539" s="114"/>
      <c r="N2539" s="114"/>
      <c r="P2539" s="234"/>
      <c r="Q2539" s="240"/>
    </row>
    <row r="2540" spans="6:17" x14ac:dyDescent="0.25">
      <c r="F2540" s="134"/>
      <c r="H2540" s="114"/>
      <c r="I2540" s="114"/>
      <c r="J2540" s="114"/>
      <c r="K2540" s="114"/>
      <c r="L2540" s="114"/>
      <c r="M2540" s="114"/>
      <c r="N2540" s="114"/>
      <c r="P2540" s="234"/>
      <c r="Q2540" s="240"/>
    </row>
    <row r="2541" spans="6:17" x14ac:dyDescent="0.25">
      <c r="F2541" s="134"/>
      <c r="H2541" s="114"/>
      <c r="I2541" s="114"/>
      <c r="J2541" s="114"/>
      <c r="K2541" s="114"/>
      <c r="L2541" s="114"/>
      <c r="M2541" s="114"/>
      <c r="N2541" s="114"/>
      <c r="P2541" s="234"/>
      <c r="Q2541" s="240"/>
    </row>
    <row r="2542" spans="6:17" x14ac:dyDescent="0.25">
      <c r="F2542" s="134"/>
      <c r="H2542" s="114"/>
      <c r="I2542" s="114"/>
      <c r="J2542" s="114"/>
      <c r="K2542" s="114"/>
      <c r="L2542" s="114"/>
      <c r="M2542" s="114"/>
      <c r="N2542" s="114"/>
      <c r="P2542" s="234"/>
      <c r="Q2542" s="240"/>
    </row>
    <row r="2543" spans="6:17" x14ac:dyDescent="0.25">
      <c r="F2543" s="134"/>
      <c r="H2543" s="114"/>
      <c r="I2543" s="114"/>
      <c r="J2543" s="114"/>
      <c r="K2543" s="114"/>
      <c r="L2543" s="114"/>
      <c r="M2543" s="114"/>
      <c r="N2543" s="114"/>
      <c r="P2543" s="234"/>
      <c r="Q2543" s="240"/>
    </row>
    <row r="2544" spans="6:17" x14ac:dyDescent="0.25">
      <c r="F2544" s="134"/>
      <c r="H2544" s="114"/>
      <c r="I2544" s="114"/>
      <c r="J2544" s="114"/>
      <c r="K2544" s="114"/>
      <c r="L2544" s="114"/>
      <c r="M2544" s="114"/>
      <c r="N2544" s="114"/>
      <c r="P2544" s="234"/>
      <c r="Q2544" s="240"/>
    </row>
    <row r="2545" spans="6:17" x14ac:dyDescent="0.25">
      <c r="F2545" s="134"/>
      <c r="H2545" s="114"/>
      <c r="I2545" s="114"/>
      <c r="J2545" s="114"/>
      <c r="K2545" s="114"/>
      <c r="L2545" s="114"/>
      <c r="M2545" s="114"/>
      <c r="N2545" s="114"/>
      <c r="P2545" s="234"/>
      <c r="Q2545" s="240"/>
    </row>
    <row r="2546" spans="6:17" x14ac:dyDescent="0.25">
      <c r="F2546" s="134"/>
      <c r="H2546" s="114"/>
      <c r="I2546" s="114"/>
      <c r="J2546" s="114"/>
      <c r="K2546" s="114"/>
      <c r="L2546" s="114"/>
      <c r="M2546" s="114"/>
      <c r="N2546" s="114"/>
      <c r="P2546" s="234"/>
      <c r="Q2546" s="240"/>
    </row>
    <row r="2547" spans="6:17" x14ac:dyDescent="0.25">
      <c r="F2547" s="134"/>
      <c r="H2547" s="114"/>
      <c r="I2547" s="114"/>
      <c r="J2547" s="114"/>
      <c r="K2547" s="114"/>
      <c r="L2547" s="114"/>
      <c r="M2547" s="114"/>
      <c r="N2547" s="114"/>
      <c r="P2547" s="234"/>
      <c r="Q2547" s="240"/>
    </row>
    <row r="2548" spans="6:17" x14ac:dyDescent="0.25">
      <c r="F2548" s="134"/>
      <c r="H2548" s="114"/>
      <c r="I2548" s="114"/>
      <c r="J2548" s="114"/>
      <c r="K2548" s="114"/>
      <c r="L2548" s="114"/>
      <c r="M2548" s="114"/>
      <c r="N2548" s="114"/>
      <c r="P2548" s="234"/>
      <c r="Q2548" s="240"/>
    </row>
    <row r="2549" spans="6:17" x14ac:dyDescent="0.25">
      <c r="F2549" s="134"/>
      <c r="H2549" s="114"/>
      <c r="I2549" s="114"/>
      <c r="J2549" s="114"/>
      <c r="K2549" s="114"/>
      <c r="L2549" s="114"/>
      <c r="M2549" s="114"/>
      <c r="N2549" s="114"/>
      <c r="P2549" s="234"/>
      <c r="Q2549" s="240"/>
    </row>
    <row r="2550" spans="6:17" x14ac:dyDescent="0.25">
      <c r="F2550" s="134"/>
      <c r="H2550" s="114"/>
      <c r="I2550" s="114"/>
      <c r="J2550" s="114"/>
      <c r="K2550" s="114"/>
      <c r="L2550" s="114"/>
      <c r="M2550" s="114"/>
      <c r="N2550" s="114"/>
      <c r="P2550" s="234"/>
      <c r="Q2550" s="240"/>
    </row>
    <row r="2551" spans="6:17" x14ac:dyDescent="0.25">
      <c r="F2551" s="134"/>
      <c r="H2551" s="114"/>
      <c r="I2551" s="114"/>
      <c r="J2551" s="114"/>
      <c r="K2551" s="114"/>
      <c r="L2551" s="114"/>
      <c r="M2551" s="114"/>
      <c r="N2551" s="114"/>
      <c r="P2551" s="234"/>
      <c r="Q2551" s="240"/>
    </row>
    <row r="2552" spans="6:17" x14ac:dyDescent="0.25">
      <c r="F2552" s="134"/>
      <c r="H2552" s="114"/>
      <c r="I2552" s="114"/>
      <c r="J2552" s="114"/>
      <c r="K2552" s="114"/>
      <c r="L2552" s="114"/>
      <c r="M2552" s="114"/>
      <c r="N2552" s="114"/>
      <c r="P2552" s="234"/>
      <c r="Q2552" s="240"/>
    </row>
    <row r="2553" spans="6:17" x14ac:dyDescent="0.25">
      <c r="F2553" s="134"/>
      <c r="H2553" s="114"/>
      <c r="I2553" s="114"/>
      <c r="J2553" s="114"/>
      <c r="K2553" s="114"/>
      <c r="L2553" s="114"/>
      <c r="M2553" s="114"/>
      <c r="N2553" s="114"/>
      <c r="P2553" s="234"/>
      <c r="Q2553" s="240"/>
    </row>
    <row r="2554" spans="6:17" x14ac:dyDescent="0.25">
      <c r="F2554" s="134"/>
      <c r="H2554" s="114"/>
      <c r="I2554" s="114"/>
      <c r="J2554" s="114"/>
      <c r="K2554" s="114"/>
      <c r="L2554" s="114"/>
      <c r="M2554" s="114"/>
      <c r="N2554" s="114"/>
      <c r="P2554" s="234"/>
      <c r="Q2554" s="240"/>
    </row>
    <row r="2555" spans="6:17" x14ac:dyDescent="0.25">
      <c r="F2555" s="134"/>
      <c r="H2555" s="114"/>
      <c r="I2555" s="114"/>
      <c r="J2555" s="114"/>
      <c r="K2555" s="114"/>
      <c r="L2555" s="114"/>
      <c r="M2555" s="114"/>
      <c r="N2555" s="114"/>
      <c r="P2555" s="234"/>
      <c r="Q2555" s="240"/>
    </row>
    <row r="2556" spans="6:17" x14ac:dyDescent="0.25">
      <c r="F2556" s="134"/>
      <c r="H2556" s="114"/>
      <c r="I2556" s="114"/>
      <c r="J2556" s="114"/>
      <c r="K2556" s="114"/>
      <c r="L2556" s="114"/>
      <c r="M2556" s="114"/>
      <c r="N2556" s="114"/>
      <c r="P2556" s="234"/>
      <c r="Q2556" s="240"/>
    </row>
    <row r="2557" spans="6:17" x14ac:dyDescent="0.25">
      <c r="F2557" s="134"/>
      <c r="H2557" s="114"/>
      <c r="I2557" s="114"/>
      <c r="J2557" s="114"/>
      <c r="K2557" s="114"/>
      <c r="L2557" s="114"/>
      <c r="M2557" s="114"/>
      <c r="N2557" s="114"/>
      <c r="P2557" s="234"/>
      <c r="Q2557" s="240"/>
    </row>
    <row r="2558" spans="6:17" x14ac:dyDescent="0.25">
      <c r="F2558" s="134"/>
      <c r="H2558" s="114"/>
      <c r="I2558" s="114"/>
      <c r="J2558" s="114"/>
      <c r="K2558" s="114"/>
      <c r="L2558" s="114"/>
      <c r="M2558" s="114"/>
      <c r="N2558" s="114"/>
      <c r="P2558" s="234"/>
      <c r="Q2558" s="240"/>
    </row>
    <row r="2559" spans="6:17" x14ac:dyDescent="0.25">
      <c r="F2559" s="134"/>
      <c r="H2559" s="114"/>
      <c r="I2559" s="114"/>
      <c r="J2559" s="114"/>
      <c r="K2559" s="114"/>
      <c r="L2559" s="114"/>
      <c r="M2559" s="114"/>
      <c r="N2559" s="114"/>
      <c r="P2559" s="234"/>
      <c r="Q2559" s="240"/>
    </row>
    <row r="2560" spans="6:17" x14ac:dyDescent="0.25">
      <c r="F2560" s="134"/>
      <c r="H2560" s="114"/>
      <c r="I2560" s="114"/>
      <c r="J2560" s="114"/>
      <c r="K2560" s="114"/>
      <c r="L2560" s="114"/>
      <c r="M2560" s="114"/>
      <c r="N2560" s="114"/>
      <c r="P2560" s="234"/>
      <c r="Q2560" s="240"/>
    </row>
    <row r="2561" spans="6:17" x14ac:dyDescent="0.25">
      <c r="F2561" s="134"/>
      <c r="H2561" s="114"/>
      <c r="I2561" s="114"/>
      <c r="J2561" s="114"/>
      <c r="K2561" s="114"/>
      <c r="L2561" s="114"/>
      <c r="M2561" s="114"/>
      <c r="N2561" s="114"/>
      <c r="P2561" s="234"/>
      <c r="Q2561" s="240"/>
    </row>
    <row r="2562" spans="6:17" x14ac:dyDescent="0.25">
      <c r="F2562" s="134"/>
      <c r="H2562" s="114"/>
      <c r="I2562" s="114"/>
      <c r="J2562" s="114"/>
      <c r="K2562" s="114"/>
      <c r="L2562" s="114"/>
      <c r="M2562" s="114"/>
      <c r="N2562" s="114"/>
      <c r="P2562" s="234"/>
      <c r="Q2562" s="240"/>
    </row>
    <row r="2563" spans="6:17" x14ac:dyDescent="0.25">
      <c r="F2563" s="134"/>
      <c r="H2563" s="114"/>
      <c r="I2563" s="114"/>
      <c r="J2563" s="114"/>
      <c r="K2563" s="114"/>
      <c r="L2563" s="114"/>
      <c r="M2563" s="114"/>
      <c r="N2563" s="114"/>
      <c r="P2563" s="234"/>
      <c r="Q2563" s="240"/>
    </row>
    <row r="2564" spans="6:17" x14ac:dyDescent="0.25">
      <c r="F2564" s="134"/>
      <c r="H2564" s="114"/>
      <c r="I2564" s="114"/>
      <c r="J2564" s="114"/>
      <c r="K2564" s="114"/>
      <c r="L2564" s="114"/>
      <c r="M2564" s="114"/>
      <c r="N2564" s="114"/>
      <c r="P2564" s="234"/>
      <c r="Q2564" s="240"/>
    </row>
    <row r="2565" spans="6:17" x14ac:dyDescent="0.25">
      <c r="F2565" s="134"/>
      <c r="H2565" s="114"/>
      <c r="I2565" s="114"/>
      <c r="J2565" s="114"/>
      <c r="K2565" s="114"/>
      <c r="L2565" s="114"/>
      <c r="M2565" s="114"/>
      <c r="N2565" s="114"/>
      <c r="P2565" s="234"/>
      <c r="Q2565" s="240"/>
    </row>
    <row r="2566" spans="6:17" x14ac:dyDescent="0.25">
      <c r="F2566" s="134"/>
      <c r="H2566" s="114"/>
      <c r="I2566" s="114"/>
      <c r="J2566" s="114"/>
      <c r="K2566" s="114"/>
      <c r="L2566" s="114"/>
      <c r="M2566" s="114"/>
      <c r="N2566" s="114"/>
      <c r="P2566" s="234"/>
      <c r="Q2566" s="240"/>
    </row>
    <row r="2567" spans="6:17" x14ac:dyDescent="0.25">
      <c r="F2567" s="134"/>
      <c r="H2567" s="114"/>
      <c r="I2567" s="114"/>
      <c r="J2567" s="114"/>
      <c r="K2567" s="114"/>
      <c r="L2567" s="114"/>
      <c r="M2567" s="114"/>
      <c r="N2567" s="114"/>
      <c r="P2567" s="234"/>
      <c r="Q2567" s="240"/>
    </row>
    <row r="2568" spans="6:17" x14ac:dyDescent="0.25">
      <c r="F2568" s="134"/>
      <c r="H2568" s="114"/>
      <c r="I2568" s="114"/>
      <c r="J2568" s="114"/>
      <c r="K2568" s="114"/>
      <c r="L2568" s="114"/>
      <c r="M2568" s="114"/>
      <c r="N2568" s="114"/>
      <c r="P2568" s="234"/>
      <c r="Q2568" s="240"/>
    </row>
    <row r="2569" spans="6:17" x14ac:dyDescent="0.25">
      <c r="F2569" s="134"/>
      <c r="H2569" s="114"/>
      <c r="I2569" s="114"/>
      <c r="J2569" s="114"/>
      <c r="K2569" s="114"/>
      <c r="L2569" s="114"/>
      <c r="M2569" s="114"/>
      <c r="N2569" s="114"/>
      <c r="P2569" s="234"/>
      <c r="Q2569" s="240"/>
    </row>
    <row r="2570" spans="6:17" x14ac:dyDescent="0.25">
      <c r="F2570" s="134"/>
      <c r="H2570" s="114"/>
      <c r="I2570" s="114"/>
      <c r="J2570" s="114"/>
      <c r="K2570" s="114"/>
      <c r="L2570" s="114"/>
      <c r="M2570" s="114"/>
      <c r="N2570" s="114"/>
      <c r="P2570" s="234"/>
      <c r="Q2570" s="240"/>
    </row>
    <row r="2571" spans="6:17" x14ac:dyDescent="0.25">
      <c r="F2571" s="134"/>
      <c r="H2571" s="114"/>
      <c r="I2571" s="114"/>
      <c r="J2571" s="114"/>
      <c r="K2571" s="114"/>
      <c r="L2571" s="114"/>
      <c r="M2571" s="114"/>
      <c r="N2571" s="114"/>
      <c r="P2571" s="234"/>
      <c r="Q2571" s="240"/>
    </row>
    <row r="2572" spans="6:17" x14ac:dyDescent="0.25">
      <c r="F2572" s="134"/>
      <c r="H2572" s="114"/>
      <c r="I2572" s="114"/>
      <c r="J2572" s="114"/>
      <c r="K2572" s="114"/>
      <c r="L2572" s="114"/>
      <c r="M2572" s="114"/>
      <c r="N2572" s="114"/>
      <c r="P2572" s="234"/>
      <c r="Q2572" s="240"/>
    </row>
    <row r="2573" spans="6:17" x14ac:dyDescent="0.25">
      <c r="F2573" s="134"/>
      <c r="H2573" s="114"/>
      <c r="I2573" s="114"/>
      <c r="J2573" s="114"/>
      <c r="K2573" s="114"/>
      <c r="L2573" s="114"/>
      <c r="M2573" s="114"/>
      <c r="N2573" s="114"/>
      <c r="P2573" s="234"/>
      <c r="Q2573" s="240"/>
    </row>
    <row r="2574" spans="6:17" x14ac:dyDescent="0.25">
      <c r="F2574" s="134"/>
      <c r="H2574" s="114"/>
      <c r="I2574" s="114"/>
      <c r="J2574" s="114"/>
      <c r="K2574" s="114"/>
      <c r="L2574" s="114"/>
      <c r="M2574" s="114"/>
      <c r="N2574" s="114"/>
      <c r="P2574" s="234"/>
      <c r="Q2574" s="240"/>
    </row>
    <row r="2575" spans="6:17" x14ac:dyDescent="0.25">
      <c r="F2575" s="134"/>
      <c r="H2575" s="114"/>
      <c r="I2575" s="114"/>
      <c r="J2575" s="114"/>
      <c r="K2575" s="114"/>
      <c r="L2575" s="114"/>
      <c r="M2575" s="114"/>
      <c r="N2575" s="114"/>
      <c r="P2575" s="234"/>
      <c r="Q2575" s="240"/>
    </row>
    <row r="2576" spans="6:17" x14ac:dyDescent="0.25">
      <c r="F2576" s="134"/>
      <c r="H2576" s="114"/>
      <c r="I2576" s="114"/>
      <c r="J2576" s="114"/>
      <c r="K2576" s="114"/>
      <c r="L2576" s="114"/>
      <c r="M2576" s="114"/>
      <c r="N2576" s="114"/>
      <c r="P2576" s="234"/>
      <c r="Q2576" s="240"/>
    </row>
    <row r="2577" spans="6:17" x14ac:dyDescent="0.25">
      <c r="F2577" s="134"/>
      <c r="H2577" s="114"/>
      <c r="I2577" s="114"/>
      <c r="J2577" s="114"/>
      <c r="K2577" s="114"/>
      <c r="L2577" s="114"/>
      <c r="M2577" s="114"/>
      <c r="N2577" s="114"/>
      <c r="P2577" s="234"/>
      <c r="Q2577" s="240"/>
    </row>
    <row r="2578" spans="6:17" x14ac:dyDescent="0.25">
      <c r="F2578" s="134"/>
      <c r="H2578" s="114"/>
      <c r="I2578" s="114"/>
      <c r="J2578" s="114"/>
      <c r="K2578" s="114"/>
      <c r="L2578" s="114"/>
      <c r="M2578" s="114"/>
      <c r="N2578" s="114"/>
      <c r="P2578" s="234"/>
      <c r="Q2578" s="240"/>
    </row>
    <row r="2579" spans="6:17" x14ac:dyDescent="0.25">
      <c r="F2579" s="134"/>
      <c r="H2579" s="114"/>
      <c r="I2579" s="114"/>
      <c r="J2579" s="114"/>
      <c r="K2579" s="114"/>
      <c r="L2579" s="114"/>
      <c r="M2579" s="114"/>
      <c r="N2579" s="114"/>
      <c r="P2579" s="234"/>
      <c r="Q2579" s="240"/>
    </row>
    <row r="2580" spans="6:17" x14ac:dyDescent="0.25">
      <c r="F2580" s="134"/>
      <c r="H2580" s="114"/>
      <c r="I2580" s="114"/>
      <c r="J2580" s="114"/>
      <c r="K2580" s="114"/>
      <c r="L2580" s="114"/>
      <c r="M2580" s="114"/>
      <c r="N2580" s="114"/>
      <c r="P2580" s="234"/>
      <c r="Q2580" s="240"/>
    </row>
    <row r="2581" spans="6:17" x14ac:dyDescent="0.25">
      <c r="F2581" s="134"/>
      <c r="H2581" s="114"/>
      <c r="I2581" s="114"/>
      <c r="J2581" s="114"/>
      <c r="K2581" s="114"/>
      <c r="L2581" s="114"/>
      <c r="M2581" s="114"/>
      <c r="N2581" s="114"/>
      <c r="P2581" s="234"/>
      <c r="Q2581" s="240"/>
    </row>
    <row r="2582" spans="6:17" x14ac:dyDescent="0.25">
      <c r="F2582" s="134"/>
      <c r="H2582" s="114"/>
      <c r="I2582" s="114"/>
      <c r="J2582" s="114"/>
      <c r="K2582" s="114"/>
      <c r="L2582" s="114"/>
      <c r="M2582" s="114"/>
      <c r="N2582" s="114"/>
      <c r="P2582" s="234"/>
      <c r="Q2582" s="240"/>
    </row>
    <row r="2583" spans="6:17" x14ac:dyDescent="0.25">
      <c r="F2583" s="134"/>
      <c r="H2583" s="114"/>
      <c r="I2583" s="114"/>
      <c r="J2583" s="114"/>
      <c r="K2583" s="114"/>
      <c r="L2583" s="114"/>
      <c r="M2583" s="114"/>
      <c r="N2583" s="114"/>
      <c r="P2583" s="234"/>
      <c r="Q2583" s="240"/>
    </row>
    <row r="2584" spans="6:17" x14ac:dyDescent="0.25">
      <c r="F2584" s="134"/>
      <c r="H2584" s="114"/>
      <c r="I2584" s="114"/>
      <c r="J2584" s="114"/>
      <c r="K2584" s="114"/>
      <c r="L2584" s="114"/>
      <c r="M2584" s="114"/>
      <c r="N2584" s="114"/>
      <c r="P2584" s="234"/>
      <c r="Q2584" s="240"/>
    </row>
    <row r="2585" spans="6:17" x14ac:dyDescent="0.25">
      <c r="F2585" s="134"/>
      <c r="H2585" s="114"/>
      <c r="I2585" s="114"/>
      <c r="J2585" s="114"/>
      <c r="K2585" s="114"/>
      <c r="L2585" s="114"/>
      <c r="M2585" s="114"/>
      <c r="N2585" s="114"/>
      <c r="P2585" s="234"/>
      <c r="Q2585" s="240"/>
    </row>
    <row r="2586" spans="6:17" x14ac:dyDescent="0.25">
      <c r="F2586" s="134"/>
      <c r="H2586" s="114"/>
      <c r="I2586" s="114"/>
      <c r="J2586" s="114"/>
      <c r="K2586" s="114"/>
      <c r="L2586" s="114"/>
      <c r="M2586" s="114"/>
      <c r="N2586" s="114"/>
      <c r="P2586" s="234"/>
      <c r="Q2586" s="240"/>
    </row>
    <row r="2587" spans="6:17" x14ac:dyDescent="0.25">
      <c r="F2587" s="134"/>
      <c r="H2587" s="114"/>
      <c r="I2587" s="114"/>
      <c r="J2587" s="114"/>
      <c r="K2587" s="114"/>
      <c r="L2587" s="114"/>
      <c r="M2587" s="114"/>
      <c r="N2587" s="114"/>
      <c r="P2587" s="234"/>
      <c r="Q2587" s="240"/>
    </row>
    <row r="2588" spans="6:17" x14ac:dyDescent="0.25">
      <c r="F2588" s="134"/>
      <c r="H2588" s="114"/>
      <c r="I2588" s="114"/>
      <c r="J2588" s="114"/>
      <c r="K2588" s="114"/>
      <c r="L2588" s="114"/>
      <c r="M2588" s="114"/>
      <c r="N2588" s="114"/>
      <c r="P2588" s="234"/>
      <c r="Q2588" s="240"/>
    </row>
    <row r="2589" spans="6:17" x14ac:dyDescent="0.25">
      <c r="F2589" s="134"/>
      <c r="H2589" s="114"/>
      <c r="I2589" s="114"/>
      <c r="J2589" s="114"/>
      <c r="K2589" s="114"/>
      <c r="L2589" s="114"/>
      <c r="M2589" s="114"/>
      <c r="N2589" s="114"/>
      <c r="P2589" s="234"/>
      <c r="Q2589" s="240"/>
    </row>
    <row r="2590" spans="6:17" x14ac:dyDescent="0.25">
      <c r="F2590" s="134"/>
      <c r="H2590" s="114"/>
      <c r="I2590" s="114"/>
      <c r="J2590" s="114"/>
      <c r="K2590" s="114"/>
      <c r="L2590" s="114"/>
      <c r="M2590" s="114"/>
      <c r="N2590" s="114"/>
      <c r="P2590" s="234"/>
      <c r="Q2590" s="240"/>
    </row>
    <row r="2591" spans="6:17" x14ac:dyDescent="0.25">
      <c r="F2591" s="134"/>
      <c r="H2591" s="114"/>
      <c r="I2591" s="114"/>
      <c r="J2591" s="114"/>
      <c r="K2591" s="114"/>
      <c r="L2591" s="114"/>
      <c r="M2591" s="114"/>
      <c r="N2591" s="114"/>
      <c r="P2591" s="234"/>
      <c r="Q2591" s="240"/>
    </row>
    <row r="2592" spans="6:17" x14ac:dyDescent="0.25">
      <c r="F2592" s="134"/>
      <c r="H2592" s="114"/>
      <c r="I2592" s="114"/>
      <c r="J2592" s="114"/>
      <c r="K2592" s="114"/>
      <c r="L2592" s="114"/>
      <c r="M2592" s="114"/>
      <c r="N2592" s="114"/>
      <c r="P2592" s="234"/>
      <c r="Q2592" s="240"/>
    </row>
    <row r="2593" spans="6:17" x14ac:dyDescent="0.25">
      <c r="F2593" s="134"/>
      <c r="H2593" s="114"/>
      <c r="I2593" s="114"/>
      <c r="J2593" s="114"/>
      <c r="K2593" s="114"/>
      <c r="L2593" s="114"/>
      <c r="M2593" s="114"/>
      <c r="N2593" s="114"/>
      <c r="P2593" s="234"/>
      <c r="Q2593" s="240"/>
    </row>
    <row r="2594" spans="6:17" x14ac:dyDescent="0.25">
      <c r="F2594" s="134"/>
      <c r="H2594" s="114"/>
      <c r="I2594" s="114"/>
      <c r="J2594" s="114"/>
      <c r="K2594" s="114"/>
      <c r="L2594" s="114"/>
      <c r="M2594" s="114"/>
      <c r="N2594" s="114"/>
      <c r="P2594" s="234"/>
      <c r="Q2594" s="240"/>
    </row>
    <row r="2595" spans="6:17" x14ac:dyDescent="0.25">
      <c r="F2595" s="134"/>
      <c r="H2595" s="114"/>
      <c r="I2595" s="114"/>
      <c r="J2595" s="114"/>
      <c r="K2595" s="114"/>
      <c r="L2595" s="114"/>
      <c r="M2595" s="114"/>
      <c r="N2595" s="114"/>
      <c r="P2595" s="234"/>
      <c r="Q2595" s="240"/>
    </row>
    <row r="2596" spans="6:17" x14ac:dyDescent="0.25">
      <c r="F2596" s="134"/>
      <c r="H2596" s="114"/>
      <c r="I2596" s="114"/>
      <c r="J2596" s="114"/>
      <c r="K2596" s="114"/>
      <c r="L2596" s="114"/>
      <c r="M2596" s="114"/>
      <c r="N2596" s="114"/>
      <c r="P2596" s="234"/>
      <c r="Q2596" s="240"/>
    </row>
    <row r="2597" spans="6:17" x14ac:dyDescent="0.25">
      <c r="F2597" s="134"/>
      <c r="H2597" s="114"/>
      <c r="I2597" s="114"/>
      <c r="J2597" s="114"/>
      <c r="K2597" s="114"/>
      <c r="L2597" s="114"/>
      <c r="M2597" s="114"/>
      <c r="N2597" s="114"/>
      <c r="P2597" s="234"/>
      <c r="Q2597" s="240"/>
    </row>
    <row r="2598" spans="6:17" x14ac:dyDescent="0.25">
      <c r="F2598" s="134"/>
      <c r="H2598" s="114"/>
      <c r="I2598" s="114"/>
      <c r="J2598" s="114"/>
      <c r="K2598" s="114"/>
      <c r="L2598" s="114"/>
      <c r="M2598" s="114"/>
      <c r="N2598" s="114"/>
      <c r="P2598" s="234"/>
      <c r="Q2598" s="240"/>
    </row>
    <row r="2599" spans="6:17" x14ac:dyDescent="0.25">
      <c r="F2599" s="134"/>
      <c r="H2599" s="114"/>
      <c r="I2599" s="114"/>
      <c r="J2599" s="114"/>
      <c r="K2599" s="114"/>
      <c r="L2599" s="114"/>
      <c r="M2599" s="114"/>
      <c r="N2599" s="114"/>
      <c r="P2599" s="234"/>
      <c r="Q2599" s="240"/>
    </row>
    <row r="2600" spans="6:17" x14ac:dyDescent="0.25">
      <c r="F2600" s="134"/>
      <c r="H2600" s="114"/>
      <c r="I2600" s="114"/>
      <c r="J2600" s="114"/>
      <c r="K2600" s="114"/>
      <c r="L2600" s="114"/>
      <c r="M2600" s="114"/>
      <c r="N2600" s="114"/>
      <c r="P2600" s="234"/>
      <c r="Q2600" s="240"/>
    </row>
    <row r="2601" spans="6:17" x14ac:dyDescent="0.25">
      <c r="F2601" s="134"/>
      <c r="H2601" s="114"/>
      <c r="I2601" s="114"/>
      <c r="J2601" s="114"/>
      <c r="K2601" s="114"/>
      <c r="L2601" s="114"/>
      <c r="M2601" s="114"/>
      <c r="N2601" s="114"/>
      <c r="P2601" s="234"/>
      <c r="Q2601" s="240"/>
    </row>
    <row r="2602" spans="6:17" x14ac:dyDescent="0.25">
      <c r="F2602" s="134"/>
      <c r="H2602" s="114"/>
      <c r="I2602" s="114"/>
      <c r="J2602" s="114"/>
      <c r="K2602" s="114"/>
      <c r="L2602" s="114"/>
      <c r="M2602" s="114"/>
      <c r="N2602" s="114"/>
      <c r="P2602" s="234"/>
      <c r="Q2602" s="240"/>
    </row>
    <row r="2603" spans="6:17" x14ac:dyDescent="0.25">
      <c r="F2603" s="134"/>
      <c r="H2603" s="114"/>
      <c r="I2603" s="114"/>
      <c r="J2603" s="114"/>
      <c r="K2603" s="114"/>
      <c r="L2603" s="114"/>
      <c r="M2603" s="114"/>
      <c r="N2603" s="114"/>
      <c r="P2603" s="234"/>
      <c r="Q2603" s="240"/>
    </row>
    <row r="2604" spans="6:17" x14ac:dyDescent="0.25">
      <c r="F2604" s="134"/>
      <c r="H2604" s="114"/>
      <c r="I2604" s="114"/>
      <c r="J2604" s="114"/>
      <c r="K2604" s="114"/>
      <c r="L2604" s="114"/>
      <c r="M2604" s="114"/>
      <c r="N2604" s="114"/>
      <c r="P2604" s="234"/>
      <c r="Q2604" s="240"/>
    </row>
    <row r="2605" spans="6:17" x14ac:dyDescent="0.25">
      <c r="F2605" s="134"/>
      <c r="H2605" s="114"/>
      <c r="I2605" s="114"/>
      <c r="J2605" s="114"/>
      <c r="K2605" s="114"/>
      <c r="L2605" s="114"/>
      <c r="M2605" s="114"/>
      <c r="N2605" s="114"/>
      <c r="P2605" s="234"/>
      <c r="Q2605" s="240"/>
    </row>
    <row r="2606" spans="6:17" x14ac:dyDescent="0.25">
      <c r="F2606" s="134"/>
      <c r="H2606" s="114"/>
      <c r="I2606" s="114"/>
      <c r="J2606" s="114"/>
      <c r="K2606" s="114"/>
      <c r="L2606" s="114"/>
      <c r="M2606" s="114"/>
      <c r="N2606" s="114"/>
      <c r="P2606" s="234"/>
      <c r="Q2606" s="240"/>
    </row>
    <row r="2607" spans="6:17" x14ac:dyDescent="0.25">
      <c r="F2607" s="134"/>
      <c r="H2607" s="114"/>
      <c r="I2607" s="114"/>
      <c r="J2607" s="114"/>
      <c r="K2607" s="114"/>
      <c r="L2607" s="114"/>
      <c r="M2607" s="114"/>
      <c r="N2607" s="114"/>
      <c r="P2607" s="234"/>
      <c r="Q2607" s="240"/>
    </row>
    <row r="2608" spans="6:17" x14ac:dyDescent="0.25">
      <c r="F2608" s="134"/>
      <c r="H2608" s="114"/>
      <c r="I2608" s="114"/>
      <c r="J2608" s="114"/>
      <c r="K2608" s="114"/>
      <c r="L2608" s="114"/>
      <c r="M2608" s="114"/>
      <c r="N2608" s="114"/>
      <c r="P2608" s="234"/>
      <c r="Q2608" s="240"/>
    </row>
    <row r="2609" spans="6:17" x14ac:dyDescent="0.25">
      <c r="F2609" s="134"/>
      <c r="H2609" s="114"/>
      <c r="I2609" s="114"/>
      <c r="J2609" s="114"/>
      <c r="K2609" s="114"/>
      <c r="L2609" s="114"/>
      <c r="M2609" s="114"/>
      <c r="N2609" s="114"/>
      <c r="P2609" s="234"/>
      <c r="Q2609" s="240"/>
    </row>
    <row r="2610" spans="6:17" x14ac:dyDescent="0.25">
      <c r="F2610" s="134"/>
      <c r="H2610" s="114"/>
      <c r="I2610" s="114"/>
      <c r="J2610" s="114"/>
      <c r="K2610" s="114"/>
      <c r="L2610" s="114"/>
      <c r="M2610" s="114"/>
      <c r="N2610" s="114"/>
      <c r="P2610" s="234"/>
      <c r="Q2610" s="240"/>
    </row>
    <row r="2611" spans="6:17" x14ac:dyDescent="0.25">
      <c r="F2611" s="134"/>
      <c r="H2611" s="114"/>
      <c r="I2611" s="114"/>
      <c r="J2611" s="114"/>
      <c r="K2611" s="114"/>
      <c r="L2611" s="114"/>
      <c r="M2611" s="114"/>
      <c r="N2611" s="114"/>
      <c r="P2611" s="234"/>
      <c r="Q2611" s="240"/>
    </row>
    <row r="2612" spans="6:17" x14ac:dyDescent="0.25">
      <c r="F2612" s="134"/>
      <c r="H2612" s="114"/>
      <c r="I2612" s="114"/>
      <c r="J2612" s="114"/>
      <c r="K2612" s="114"/>
      <c r="L2612" s="114"/>
      <c r="M2612" s="114"/>
      <c r="N2612" s="114"/>
      <c r="P2612" s="234"/>
      <c r="Q2612" s="240"/>
    </row>
    <row r="2613" spans="6:17" x14ac:dyDescent="0.25">
      <c r="F2613" s="134"/>
      <c r="H2613" s="114"/>
      <c r="I2613" s="114"/>
      <c r="J2613" s="114"/>
      <c r="K2613" s="114"/>
      <c r="L2613" s="114"/>
      <c r="M2613" s="114"/>
      <c r="N2613" s="114"/>
      <c r="P2613" s="234"/>
      <c r="Q2613" s="240"/>
    </row>
    <row r="2614" spans="6:17" x14ac:dyDescent="0.25">
      <c r="F2614" s="134"/>
      <c r="H2614" s="114"/>
      <c r="I2614" s="114"/>
      <c r="J2614" s="114"/>
      <c r="K2614" s="114"/>
      <c r="L2614" s="114"/>
      <c r="M2614" s="114"/>
      <c r="N2614" s="114"/>
      <c r="P2614" s="234"/>
      <c r="Q2614" s="240"/>
    </row>
    <row r="2615" spans="6:17" x14ac:dyDescent="0.25">
      <c r="F2615" s="134"/>
      <c r="H2615" s="114"/>
      <c r="I2615" s="114"/>
      <c r="J2615" s="114"/>
      <c r="K2615" s="114"/>
      <c r="L2615" s="114"/>
      <c r="M2615" s="114"/>
      <c r="N2615" s="114"/>
      <c r="P2615" s="234"/>
      <c r="Q2615" s="240"/>
    </row>
    <row r="2616" spans="6:17" x14ac:dyDescent="0.25">
      <c r="F2616" s="134"/>
      <c r="H2616" s="114"/>
      <c r="I2616" s="114"/>
      <c r="J2616" s="114"/>
      <c r="K2616" s="114"/>
      <c r="L2616" s="114"/>
      <c r="M2616" s="114"/>
      <c r="N2616" s="114"/>
      <c r="P2616" s="234"/>
      <c r="Q2616" s="240"/>
    </row>
    <row r="2617" spans="6:17" x14ac:dyDescent="0.25">
      <c r="F2617" s="134"/>
      <c r="H2617" s="114"/>
      <c r="I2617" s="114"/>
      <c r="J2617" s="114"/>
      <c r="K2617" s="114"/>
      <c r="L2617" s="114"/>
      <c r="M2617" s="114"/>
      <c r="N2617" s="114"/>
      <c r="P2617" s="234"/>
      <c r="Q2617" s="240"/>
    </row>
    <row r="2618" spans="6:17" x14ac:dyDescent="0.25">
      <c r="F2618" s="134"/>
      <c r="H2618" s="114"/>
      <c r="I2618" s="114"/>
      <c r="J2618" s="114"/>
      <c r="K2618" s="114"/>
      <c r="L2618" s="114"/>
      <c r="M2618" s="114"/>
      <c r="N2618" s="114"/>
      <c r="P2618" s="234"/>
      <c r="Q2618" s="240"/>
    </row>
    <row r="2619" spans="6:17" x14ac:dyDescent="0.25">
      <c r="F2619" s="134"/>
      <c r="H2619" s="114"/>
      <c r="I2619" s="114"/>
      <c r="J2619" s="114"/>
      <c r="K2619" s="114"/>
      <c r="L2619" s="114"/>
      <c r="M2619" s="114"/>
      <c r="N2619" s="114"/>
      <c r="P2619" s="234"/>
      <c r="Q2619" s="240"/>
    </row>
    <row r="2620" spans="6:17" x14ac:dyDescent="0.25">
      <c r="F2620" s="134"/>
      <c r="H2620" s="114"/>
      <c r="I2620" s="114"/>
      <c r="J2620" s="114"/>
      <c r="K2620" s="114"/>
      <c r="L2620" s="114"/>
      <c r="M2620" s="114"/>
      <c r="N2620" s="114"/>
      <c r="P2620" s="234"/>
      <c r="Q2620" s="240"/>
    </row>
    <row r="2621" spans="6:17" x14ac:dyDescent="0.25">
      <c r="F2621" s="134"/>
      <c r="H2621" s="114"/>
      <c r="I2621" s="114"/>
      <c r="J2621" s="114"/>
      <c r="K2621" s="114"/>
      <c r="L2621" s="114"/>
      <c r="M2621" s="114"/>
      <c r="N2621" s="114"/>
      <c r="P2621" s="234"/>
      <c r="Q2621" s="240"/>
    </row>
    <row r="2622" spans="6:17" x14ac:dyDescent="0.25">
      <c r="F2622" s="134"/>
      <c r="H2622" s="114"/>
      <c r="I2622" s="114"/>
      <c r="J2622" s="114"/>
      <c r="K2622" s="114"/>
      <c r="L2622" s="114"/>
      <c r="M2622" s="114"/>
      <c r="N2622" s="114"/>
      <c r="P2622" s="234"/>
      <c r="Q2622" s="240"/>
    </row>
    <row r="2623" spans="6:17" x14ac:dyDescent="0.25">
      <c r="F2623" s="134"/>
      <c r="H2623" s="114"/>
      <c r="I2623" s="114"/>
      <c r="J2623" s="114"/>
      <c r="K2623" s="114"/>
      <c r="L2623" s="114"/>
      <c r="M2623" s="114"/>
      <c r="N2623" s="114"/>
      <c r="P2623" s="234"/>
      <c r="Q2623" s="240"/>
    </row>
    <row r="2624" spans="6:17" x14ac:dyDescent="0.25">
      <c r="F2624" s="134"/>
      <c r="H2624" s="114"/>
      <c r="I2624" s="114"/>
      <c r="J2624" s="114"/>
      <c r="K2624" s="114"/>
      <c r="L2624" s="114"/>
      <c r="M2624" s="114"/>
      <c r="N2624" s="114"/>
      <c r="P2624" s="234"/>
      <c r="Q2624" s="240"/>
    </row>
    <row r="2625" spans="6:17" x14ac:dyDescent="0.25">
      <c r="F2625" s="134"/>
      <c r="H2625" s="114"/>
      <c r="I2625" s="114"/>
      <c r="J2625" s="114"/>
      <c r="K2625" s="114"/>
      <c r="L2625" s="114"/>
      <c r="M2625" s="114"/>
      <c r="N2625" s="114"/>
      <c r="P2625" s="234"/>
      <c r="Q2625" s="240"/>
    </row>
    <row r="2626" spans="6:17" x14ac:dyDescent="0.25">
      <c r="F2626" s="134"/>
      <c r="H2626" s="114"/>
      <c r="I2626" s="114"/>
      <c r="J2626" s="114"/>
      <c r="K2626" s="114"/>
      <c r="L2626" s="114"/>
      <c r="M2626" s="114"/>
      <c r="N2626" s="114"/>
      <c r="P2626" s="234"/>
      <c r="Q2626" s="240"/>
    </row>
    <row r="2627" spans="6:17" x14ac:dyDescent="0.25">
      <c r="F2627" s="134"/>
      <c r="H2627" s="114"/>
      <c r="I2627" s="114"/>
      <c r="J2627" s="114"/>
      <c r="K2627" s="114"/>
      <c r="L2627" s="114"/>
      <c r="M2627" s="114"/>
      <c r="N2627" s="114"/>
      <c r="P2627" s="234"/>
      <c r="Q2627" s="240"/>
    </row>
    <row r="2628" spans="6:17" x14ac:dyDescent="0.25">
      <c r="F2628" s="134"/>
      <c r="H2628" s="114"/>
      <c r="I2628" s="114"/>
      <c r="J2628" s="114"/>
      <c r="K2628" s="114"/>
      <c r="L2628" s="114"/>
      <c r="M2628" s="114"/>
      <c r="N2628" s="114"/>
      <c r="P2628" s="234"/>
      <c r="Q2628" s="240"/>
    </row>
    <row r="2629" spans="6:17" x14ac:dyDescent="0.25">
      <c r="F2629" s="134"/>
      <c r="H2629" s="114"/>
      <c r="I2629" s="114"/>
      <c r="J2629" s="114"/>
      <c r="K2629" s="114"/>
      <c r="L2629" s="114"/>
      <c r="M2629" s="114"/>
      <c r="N2629" s="114"/>
      <c r="P2629" s="234"/>
      <c r="Q2629" s="240"/>
    </row>
    <row r="2630" spans="6:17" x14ac:dyDescent="0.25">
      <c r="F2630" s="134"/>
      <c r="H2630" s="114"/>
      <c r="I2630" s="114"/>
      <c r="J2630" s="114"/>
      <c r="K2630" s="114"/>
      <c r="L2630" s="114"/>
      <c r="M2630" s="114"/>
      <c r="N2630" s="114"/>
      <c r="P2630" s="234"/>
      <c r="Q2630" s="240"/>
    </row>
    <row r="2631" spans="6:17" x14ac:dyDescent="0.25">
      <c r="F2631" s="134"/>
      <c r="H2631" s="114"/>
      <c r="I2631" s="114"/>
      <c r="J2631" s="114"/>
      <c r="K2631" s="114"/>
      <c r="L2631" s="114"/>
      <c r="M2631" s="114"/>
      <c r="N2631" s="114"/>
      <c r="P2631" s="234"/>
      <c r="Q2631" s="240"/>
    </row>
    <row r="2632" spans="6:17" x14ac:dyDescent="0.25">
      <c r="F2632" s="134"/>
      <c r="H2632" s="114"/>
      <c r="I2632" s="114"/>
      <c r="J2632" s="114"/>
      <c r="K2632" s="114"/>
      <c r="L2632" s="114"/>
      <c r="M2632" s="114"/>
      <c r="N2632" s="114"/>
      <c r="P2632" s="234"/>
      <c r="Q2632" s="240"/>
    </row>
    <row r="2633" spans="6:17" x14ac:dyDescent="0.25">
      <c r="F2633" s="134"/>
      <c r="H2633" s="114"/>
      <c r="I2633" s="114"/>
      <c r="J2633" s="114"/>
      <c r="K2633" s="114"/>
      <c r="L2633" s="114"/>
      <c r="M2633" s="114"/>
      <c r="N2633" s="114"/>
      <c r="P2633" s="234"/>
      <c r="Q2633" s="240"/>
    </row>
    <row r="2634" spans="6:17" x14ac:dyDescent="0.25">
      <c r="F2634" s="134"/>
      <c r="H2634" s="114"/>
      <c r="I2634" s="114"/>
      <c r="J2634" s="114"/>
      <c r="K2634" s="114"/>
      <c r="L2634" s="114"/>
      <c r="M2634" s="114"/>
      <c r="N2634" s="114"/>
      <c r="P2634" s="234"/>
      <c r="Q2634" s="240"/>
    </row>
    <row r="2635" spans="6:17" x14ac:dyDescent="0.25">
      <c r="F2635" s="134"/>
      <c r="H2635" s="114"/>
      <c r="I2635" s="114"/>
      <c r="J2635" s="114"/>
      <c r="K2635" s="114"/>
      <c r="L2635" s="114"/>
      <c r="M2635" s="114"/>
      <c r="N2635" s="114"/>
      <c r="P2635" s="234"/>
      <c r="Q2635" s="240"/>
    </row>
    <row r="2636" spans="6:17" x14ac:dyDescent="0.25">
      <c r="F2636" s="134"/>
      <c r="H2636" s="114"/>
      <c r="I2636" s="114"/>
      <c r="J2636" s="114"/>
      <c r="K2636" s="114"/>
      <c r="L2636" s="114"/>
      <c r="M2636" s="114"/>
      <c r="N2636" s="114"/>
      <c r="P2636" s="234"/>
      <c r="Q2636" s="240"/>
    </row>
    <row r="2637" spans="6:17" x14ac:dyDescent="0.25">
      <c r="F2637" s="134"/>
      <c r="H2637" s="114"/>
      <c r="I2637" s="114"/>
      <c r="J2637" s="114"/>
      <c r="K2637" s="114"/>
      <c r="L2637" s="114"/>
      <c r="M2637" s="114"/>
      <c r="N2637" s="114"/>
      <c r="P2637" s="234"/>
      <c r="Q2637" s="240"/>
    </row>
    <row r="2638" spans="6:17" x14ac:dyDescent="0.25">
      <c r="F2638" s="134"/>
      <c r="H2638" s="114"/>
      <c r="I2638" s="114"/>
      <c r="J2638" s="114"/>
      <c r="K2638" s="114"/>
      <c r="L2638" s="114"/>
      <c r="M2638" s="114"/>
      <c r="N2638" s="114"/>
      <c r="P2638" s="234"/>
      <c r="Q2638" s="240"/>
    </row>
    <row r="2639" spans="6:17" x14ac:dyDescent="0.25">
      <c r="F2639" s="134"/>
      <c r="H2639" s="114"/>
      <c r="I2639" s="114"/>
      <c r="J2639" s="114"/>
      <c r="K2639" s="114"/>
      <c r="L2639" s="114"/>
      <c r="M2639" s="114"/>
      <c r="N2639" s="114"/>
      <c r="P2639" s="234"/>
      <c r="Q2639" s="240"/>
    </row>
    <row r="2640" spans="6:17" x14ac:dyDescent="0.25">
      <c r="F2640" s="134"/>
      <c r="H2640" s="114"/>
      <c r="I2640" s="114"/>
      <c r="J2640" s="114"/>
      <c r="K2640" s="114"/>
      <c r="L2640" s="114"/>
      <c r="M2640" s="114"/>
      <c r="N2640" s="114"/>
      <c r="P2640" s="234"/>
      <c r="Q2640" s="240"/>
    </row>
    <row r="2641" spans="6:17" x14ac:dyDescent="0.25">
      <c r="F2641" s="134"/>
      <c r="H2641" s="114"/>
      <c r="I2641" s="114"/>
      <c r="J2641" s="114"/>
      <c r="K2641" s="114"/>
      <c r="L2641" s="114"/>
      <c r="M2641" s="114"/>
      <c r="N2641" s="114"/>
      <c r="P2641" s="234"/>
      <c r="Q2641" s="240"/>
    </row>
    <row r="2642" spans="6:17" x14ac:dyDescent="0.25">
      <c r="F2642" s="134"/>
      <c r="H2642" s="114"/>
      <c r="I2642" s="114"/>
      <c r="J2642" s="114"/>
      <c r="K2642" s="114"/>
      <c r="L2642" s="114"/>
      <c r="M2642" s="114"/>
      <c r="N2642" s="114"/>
      <c r="P2642" s="234"/>
      <c r="Q2642" s="240"/>
    </row>
    <row r="2643" spans="6:17" x14ac:dyDescent="0.25">
      <c r="F2643" s="134"/>
      <c r="H2643" s="114"/>
      <c r="I2643" s="114"/>
      <c r="J2643" s="114"/>
      <c r="K2643" s="114"/>
      <c r="L2643" s="114"/>
      <c r="M2643" s="114"/>
      <c r="N2643" s="114"/>
      <c r="P2643" s="234"/>
      <c r="Q2643" s="240"/>
    </row>
    <row r="2644" spans="6:17" x14ac:dyDescent="0.25">
      <c r="F2644" s="134"/>
      <c r="H2644" s="114"/>
      <c r="I2644" s="114"/>
      <c r="J2644" s="114"/>
      <c r="K2644" s="114"/>
      <c r="L2644" s="114"/>
      <c r="M2644" s="114"/>
      <c r="N2644" s="114"/>
      <c r="P2644" s="234"/>
      <c r="Q2644" s="240"/>
    </row>
    <row r="2645" spans="6:17" x14ac:dyDescent="0.25">
      <c r="F2645" s="134"/>
      <c r="H2645" s="114"/>
      <c r="I2645" s="114"/>
      <c r="J2645" s="114"/>
      <c r="K2645" s="114"/>
      <c r="L2645" s="114"/>
      <c r="M2645" s="114"/>
      <c r="N2645" s="114"/>
      <c r="P2645" s="234"/>
      <c r="Q2645" s="240"/>
    </row>
    <row r="2646" spans="6:17" x14ac:dyDescent="0.25">
      <c r="F2646" s="134"/>
      <c r="H2646" s="114"/>
      <c r="I2646" s="114"/>
      <c r="J2646" s="114"/>
      <c r="K2646" s="114"/>
      <c r="L2646" s="114"/>
      <c r="M2646" s="114"/>
      <c r="N2646" s="114"/>
      <c r="P2646" s="234"/>
      <c r="Q2646" s="240"/>
    </row>
    <row r="2647" spans="6:17" x14ac:dyDescent="0.25">
      <c r="F2647" s="134"/>
      <c r="H2647" s="114"/>
      <c r="I2647" s="114"/>
      <c r="J2647" s="114"/>
      <c r="K2647" s="114"/>
      <c r="L2647" s="114"/>
      <c r="M2647" s="114"/>
      <c r="N2647" s="114"/>
      <c r="P2647" s="234"/>
      <c r="Q2647" s="240"/>
    </row>
    <row r="2648" spans="6:17" x14ac:dyDescent="0.25">
      <c r="F2648" s="134"/>
      <c r="H2648" s="114"/>
      <c r="I2648" s="114"/>
      <c r="J2648" s="114"/>
      <c r="K2648" s="114"/>
      <c r="L2648" s="114"/>
      <c r="M2648" s="114"/>
      <c r="N2648" s="114"/>
      <c r="P2648" s="234"/>
      <c r="Q2648" s="240"/>
    </row>
    <row r="2649" spans="6:17" x14ac:dyDescent="0.25">
      <c r="F2649" s="134"/>
      <c r="H2649" s="114"/>
      <c r="I2649" s="114"/>
      <c r="J2649" s="114"/>
      <c r="K2649" s="114"/>
      <c r="L2649" s="114"/>
      <c r="M2649" s="114"/>
      <c r="N2649" s="114"/>
      <c r="P2649" s="234"/>
      <c r="Q2649" s="240"/>
    </row>
    <row r="2650" spans="6:17" x14ac:dyDescent="0.25">
      <c r="F2650" s="134"/>
      <c r="H2650" s="114"/>
      <c r="I2650" s="114"/>
      <c r="J2650" s="114"/>
      <c r="K2650" s="114"/>
      <c r="L2650" s="114"/>
      <c r="M2650" s="114"/>
      <c r="N2650" s="114"/>
      <c r="P2650" s="234"/>
      <c r="Q2650" s="240"/>
    </row>
    <row r="2651" spans="6:17" x14ac:dyDescent="0.25">
      <c r="F2651" s="134"/>
      <c r="H2651" s="114"/>
      <c r="I2651" s="114"/>
      <c r="J2651" s="114"/>
      <c r="K2651" s="114"/>
      <c r="L2651" s="114"/>
      <c r="M2651" s="114"/>
      <c r="N2651" s="114"/>
      <c r="P2651" s="234"/>
      <c r="Q2651" s="240"/>
    </row>
    <row r="2652" spans="6:17" x14ac:dyDescent="0.25">
      <c r="F2652" s="134"/>
      <c r="H2652" s="114"/>
      <c r="I2652" s="114"/>
      <c r="J2652" s="114"/>
      <c r="K2652" s="114"/>
      <c r="L2652" s="114"/>
      <c r="M2652" s="114"/>
      <c r="N2652" s="114"/>
      <c r="P2652" s="234"/>
      <c r="Q2652" s="240"/>
    </row>
    <row r="2653" spans="6:17" x14ac:dyDescent="0.25">
      <c r="F2653" s="134"/>
      <c r="H2653" s="114"/>
      <c r="I2653" s="114"/>
      <c r="J2653" s="114"/>
      <c r="K2653" s="114"/>
      <c r="L2653" s="114"/>
      <c r="M2653" s="114"/>
      <c r="N2653" s="114"/>
      <c r="P2653" s="234"/>
      <c r="Q2653" s="240"/>
    </row>
    <row r="2654" spans="6:17" x14ac:dyDescent="0.25">
      <c r="F2654" s="134"/>
      <c r="H2654" s="114"/>
      <c r="I2654" s="114"/>
      <c r="J2654" s="114"/>
      <c r="K2654" s="114"/>
      <c r="L2654" s="114"/>
      <c r="M2654" s="114"/>
      <c r="N2654" s="114"/>
      <c r="P2654" s="234"/>
      <c r="Q2654" s="240"/>
    </row>
    <row r="2655" spans="6:17" x14ac:dyDescent="0.25">
      <c r="F2655" s="134"/>
      <c r="H2655" s="114"/>
      <c r="I2655" s="114"/>
      <c r="J2655" s="114"/>
      <c r="K2655" s="114"/>
      <c r="L2655" s="114"/>
      <c r="M2655" s="114"/>
      <c r="N2655" s="114"/>
      <c r="P2655" s="234"/>
      <c r="Q2655" s="240"/>
    </row>
    <row r="2656" spans="6:17" x14ac:dyDescent="0.25">
      <c r="F2656" s="134"/>
      <c r="H2656" s="114"/>
      <c r="I2656" s="114"/>
      <c r="J2656" s="114"/>
      <c r="K2656" s="114"/>
      <c r="L2656" s="114"/>
      <c r="M2656" s="114"/>
      <c r="N2656" s="114"/>
      <c r="P2656" s="234"/>
      <c r="Q2656" s="240"/>
    </row>
    <row r="2657" spans="6:17" x14ac:dyDescent="0.25">
      <c r="F2657" s="134"/>
      <c r="H2657" s="114"/>
      <c r="I2657" s="114"/>
      <c r="J2657" s="114"/>
      <c r="K2657" s="114"/>
      <c r="L2657" s="114"/>
      <c r="M2657" s="114"/>
      <c r="N2657" s="114"/>
      <c r="P2657" s="234"/>
      <c r="Q2657" s="240"/>
    </row>
    <row r="2658" spans="6:17" x14ac:dyDescent="0.25">
      <c r="F2658" s="134"/>
      <c r="H2658" s="114"/>
      <c r="I2658" s="114"/>
      <c r="J2658" s="114"/>
      <c r="K2658" s="114"/>
      <c r="L2658" s="114"/>
      <c r="M2658" s="114"/>
      <c r="N2658" s="114"/>
      <c r="P2658" s="234"/>
      <c r="Q2658" s="240"/>
    </row>
    <row r="2659" spans="6:17" x14ac:dyDescent="0.25">
      <c r="F2659" s="134"/>
      <c r="H2659" s="114"/>
      <c r="I2659" s="114"/>
      <c r="J2659" s="114"/>
      <c r="K2659" s="114"/>
      <c r="L2659" s="114"/>
      <c r="M2659" s="114"/>
      <c r="N2659" s="114"/>
      <c r="P2659" s="234"/>
      <c r="Q2659" s="240"/>
    </row>
    <row r="2660" spans="6:17" x14ac:dyDescent="0.25">
      <c r="F2660" s="134"/>
      <c r="H2660" s="114"/>
      <c r="I2660" s="114"/>
      <c r="J2660" s="114"/>
      <c r="K2660" s="114"/>
      <c r="L2660" s="114"/>
      <c r="M2660" s="114"/>
      <c r="N2660" s="114"/>
      <c r="P2660" s="234"/>
      <c r="Q2660" s="240"/>
    </row>
    <row r="2661" spans="6:17" x14ac:dyDescent="0.25">
      <c r="F2661" s="134"/>
      <c r="H2661" s="114"/>
      <c r="I2661" s="114"/>
      <c r="J2661" s="114"/>
      <c r="K2661" s="114"/>
      <c r="L2661" s="114"/>
      <c r="M2661" s="114"/>
      <c r="N2661" s="114"/>
      <c r="P2661" s="234"/>
      <c r="Q2661" s="240"/>
    </row>
    <row r="2662" spans="6:17" x14ac:dyDescent="0.25">
      <c r="F2662" s="134"/>
      <c r="H2662" s="114"/>
      <c r="I2662" s="114"/>
      <c r="J2662" s="114"/>
      <c r="K2662" s="114"/>
      <c r="L2662" s="114"/>
      <c r="M2662" s="114"/>
      <c r="N2662" s="114"/>
      <c r="P2662" s="234"/>
      <c r="Q2662" s="240"/>
    </row>
    <row r="2663" spans="6:17" x14ac:dyDescent="0.25">
      <c r="F2663" s="134"/>
      <c r="H2663" s="114"/>
      <c r="I2663" s="114"/>
      <c r="J2663" s="114"/>
      <c r="K2663" s="114"/>
      <c r="L2663" s="114"/>
      <c r="M2663" s="114"/>
      <c r="N2663" s="114"/>
      <c r="P2663" s="234"/>
      <c r="Q2663" s="240"/>
    </row>
    <row r="2664" spans="6:17" x14ac:dyDescent="0.25">
      <c r="F2664" s="134"/>
      <c r="H2664" s="114"/>
      <c r="I2664" s="114"/>
      <c r="J2664" s="114"/>
      <c r="K2664" s="114"/>
      <c r="L2664" s="114"/>
      <c r="M2664" s="114"/>
      <c r="N2664" s="114"/>
      <c r="P2664" s="234"/>
      <c r="Q2664" s="240"/>
    </row>
    <row r="2665" spans="6:17" x14ac:dyDescent="0.25">
      <c r="F2665" s="134"/>
      <c r="H2665" s="114"/>
      <c r="I2665" s="114"/>
      <c r="J2665" s="114"/>
      <c r="K2665" s="114"/>
      <c r="L2665" s="114"/>
      <c r="M2665" s="114"/>
      <c r="N2665" s="114"/>
      <c r="P2665" s="234"/>
      <c r="Q2665" s="240"/>
    </row>
    <row r="2666" spans="6:17" x14ac:dyDescent="0.25">
      <c r="F2666" s="134"/>
      <c r="H2666" s="114"/>
      <c r="I2666" s="114"/>
      <c r="J2666" s="114"/>
      <c r="K2666" s="114"/>
      <c r="L2666" s="114"/>
      <c r="M2666" s="114"/>
      <c r="N2666" s="114"/>
      <c r="P2666" s="234"/>
      <c r="Q2666" s="240"/>
    </row>
    <row r="2667" spans="6:17" x14ac:dyDescent="0.25">
      <c r="F2667" s="134"/>
      <c r="H2667" s="114"/>
      <c r="I2667" s="114"/>
      <c r="J2667" s="114"/>
      <c r="K2667" s="114"/>
      <c r="L2667" s="114"/>
      <c r="M2667" s="114"/>
      <c r="N2667" s="114"/>
      <c r="P2667" s="234"/>
      <c r="Q2667" s="240"/>
    </row>
    <row r="2668" spans="6:17" x14ac:dyDescent="0.25">
      <c r="F2668" s="134"/>
      <c r="H2668" s="114"/>
      <c r="I2668" s="114"/>
      <c r="J2668" s="114"/>
      <c r="K2668" s="114"/>
      <c r="L2668" s="114"/>
      <c r="M2668" s="114"/>
      <c r="N2668" s="114"/>
      <c r="P2668" s="234"/>
      <c r="Q2668" s="240"/>
    </row>
    <row r="2669" spans="6:17" x14ac:dyDescent="0.25">
      <c r="F2669" s="134"/>
      <c r="H2669" s="114"/>
      <c r="I2669" s="114"/>
      <c r="J2669" s="114"/>
      <c r="K2669" s="114"/>
      <c r="L2669" s="114"/>
      <c r="M2669" s="114"/>
      <c r="N2669" s="114"/>
      <c r="P2669" s="234"/>
      <c r="Q2669" s="240"/>
    </row>
    <row r="2670" spans="6:17" x14ac:dyDescent="0.25">
      <c r="F2670" s="134"/>
      <c r="H2670" s="114"/>
      <c r="I2670" s="114"/>
      <c r="J2670" s="114"/>
      <c r="K2670" s="114"/>
      <c r="L2670" s="114"/>
      <c r="M2670" s="114"/>
      <c r="N2670" s="114"/>
      <c r="P2670" s="234"/>
      <c r="Q2670" s="240"/>
    </row>
    <row r="2671" spans="6:17" x14ac:dyDescent="0.25">
      <c r="F2671" s="134"/>
      <c r="H2671" s="114"/>
      <c r="I2671" s="114"/>
      <c r="J2671" s="114"/>
      <c r="K2671" s="114"/>
      <c r="L2671" s="114"/>
      <c r="M2671" s="114"/>
      <c r="N2671" s="114"/>
      <c r="P2671" s="234"/>
      <c r="Q2671" s="240"/>
    </row>
    <row r="2672" spans="6:17" x14ac:dyDescent="0.25">
      <c r="F2672" s="134"/>
      <c r="H2672" s="114"/>
      <c r="I2672" s="114"/>
      <c r="J2672" s="114"/>
      <c r="K2672" s="114"/>
      <c r="L2672" s="114"/>
      <c r="M2672" s="114"/>
      <c r="N2672" s="114"/>
      <c r="P2672" s="234"/>
      <c r="Q2672" s="240"/>
    </row>
    <row r="2673" spans="6:17" x14ac:dyDescent="0.25">
      <c r="F2673" s="134"/>
      <c r="H2673" s="114"/>
      <c r="I2673" s="114"/>
      <c r="J2673" s="114"/>
      <c r="K2673" s="114"/>
      <c r="L2673" s="114"/>
      <c r="M2673" s="114"/>
      <c r="N2673" s="114"/>
      <c r="P2673" s="234"/>
      <c r="Q2673" s="240"/>
    </row>
    <row r="2674" spans="6:17" x14ac:dyDescent="0.25">
      <c r="F2674" s="134"/>
      <c r="H2674" s="114"/>
      <c r="I2674" s="114"/>
      <c r="J2674" s="114"/>
      <c r="K2674" s="114"/>
      <c r="L2674" s="114"/>
      <c r="M2674" s="114"/>
      <c r="N2674" s="114"/>
      <c r="P2674" s="234"/>
      <c r="Q2674" s="240"/>
    </row>
    <row r="2675" spans="6:17" x14ac:dyDescent="0.25">
      <c r="F2675" s="134"/>
      <c r="H2675" s="114"/>
      <c r="I2675" s="114"/>
      <c r="J2675" s="114"/>
      <c r="K2675" s="114"/>
      <c r="L2675" s="114"/>
      <c r="M2675" s="114"/>
      <c r="N2675" s="114"/>
      <c r="P2675" s="234"/>
      <c r="Q2675" s="240"/>
    </row>
    <row r="2676" spans="6:17" x14ac:dyDescent="0.25">
      <c r="F2676" s="134"/>
      <c r="H2676" s="114"/>
      <c r="I2676" s="114"/>
      <c r="J2676" s="114"/>
      <c r="K2676" s="114"/>
      <c r="L2676" s="114"/>
      <c r="M2676" s="114"/>
      <c r="N2676" s="114"/>
      <c r="P2676" s="234"/>
      <c r="Q2676" s="240"/>
    </row>
    <row r="2677" spans="6:17" x14ac:dyDescent="0.25">
      <c r="F2677" s="134"/>
      <c r="H2677" s="114"/>
      <c r="I2677" s="114"/>
      <c r="J2677" s="114"/>
      <c r="K2677" s="114"/>
      <c r="L2677" s="114"/>
      <c r="M2677" s="114"/>
      <c r="N2677" s="114"/>
      <c r="P2677" s="234"/>
      <c r="Q2677" s="240"/>
    </row>
    <row r="2678" spans="6:17" x14ac:dyDescent="0.25">
      <c r="F2678" s="134"/>
      <c r="H2678" s="114"/>
      <c r="I2678" s="114"/>
      <c r="J2678" s="114"/>
      <c r="K2678" s="114"/>
      <c r="L2678" s="114"/>
      <c r="M2678" s="114"/>
      <c r="N2678" s="114"/>
      <c r="P2678" s="234"/>
      <c r="Q2678" s="240"/>
    </row>
    <row r="2679" spans="6:17" x14ac:dyDescent="0.25">
      <c r="F2679" s="134"/>
      <c r="H2679" s="114"/>
      <c r="I2679" s="114"/>
      <c r="J2679" s="114"/>
      <c r="K2679" s="114"/>
      <c r="L2679" s="114"/>
      <c r="M2679" s="114"/>
      <c r="N2679" s="114"/>
      <c r="P2679" s="234"/>
      <c r="Q2679" s="240"/>
    </row>
    <row r="2680" spans="6:17" x14ac:dyDescent="0.25">
      <c r="F2680" s="134"/>
      <c r="H2680" s="114"/>
      <c r="I2680" s="114"/>
      <c r="J2680" s="114"/>
      <c r="K2680" s="114"/>
      <c r="L2680" s="114"/>
      <c r="M2680" s="114"/>
      <c r="N2680" s="114"/>
      <c r="P2680" s="234"/>
      <c r="Q2680" s="240"/>
    </row>
    <row r="2681" spans="6:17" x14ac:dyDescent="0.25">
      <c r="F2681" s="134"/>
      <c r="H2681" s="114"/>
      <c r="I2681" s="114"/>
      <c r="J2681" s="114"/>
      <c r="K2681" s="114"/>
      <c r="L2681" s="114"/>
      <c r="M2681" s="114"/>
      <c r="N2681" s="114"/>
      <c r="P2681" s="234"/>
      <c r="Q2681" s="240"/>
    </row>
    <row r="2682" spans="6:17" x14ac:dyDescent="0.25">
      <c r="F2682" s="134"/>
      <c r="H2682" s="114"/>
      <c r="I2682" s="114"/>
      <c r="J2682" s="114"/>
      <c r="K2682" s="114"/>
      <c r="L2682" s="114"/>
      <c r="M2682" s="114"/>
      <c r="N2682" s="114"/>
      <c r="P2682" s="234"/>
      <c r="Q2682" s="240"/>
    </row>
    <row r="2683" spans="6:17" x14ac:dyDescent="0.25">
      <c r="F2683" s="134"/>
      <c r="H2683" s="114"/>
      <c r="I2683" s="114"/>
      <c r="J2683" s="114"/>
      <c r="K2683" s="114"/>
      <c r="L2683" s="114"/>
      <c r="M2683" s="114"/>
      <c r="N2683" s="114"/>
      <c r="P2683" s="234"/>
      <c r="Q2683" s="240"/>
    </row>
    <row r="2684" spans="6:17" x14ac:dyDescent="0.25">
      <c r="F2684" s="134"/>
      <c r="H2684" s="114"/>
      <c r="I2684" s="114"/>
      <c r="J2684" s="114"/>
      <c r="K2684" s="114"/>
      <c r="L2684" s="114"/>
      <c r="M2684" s="114"/>
      <c r="N2684" s="114"/>
      <c r="P2684" s="234"/>
      <c r="Q2684" s="240"/>
    </row>
    <row r="2685" spans="6:17" x14ac:dyDescent="0.25">
      <c r="F2685" s="134"/>
      <c r="H2685" s="114"/>
      <c r="I2685" s="114"/>
      <c r="J2685" s="114"/>
      <c r="K2685" s="114"/>
      <c r="L2685" s="114"/>
      <c r="M2685" s="114"/>
      <c r="N2685" s="114"/>
      <c r="P2685" s="234"/>
      <c r="Q2685" s="240"/>
    </row>
    <row r="2686" spans="6:17" x14ac:dyDescent="0.25">
      <c r="F2686" s="134"/>
      <c r="H2686" s="114"/>
      <c r="I2686" s="114"/>
      <c r="J2686" s="114"/>
      <c r="K2686" s="114"/>
      <c r="L2686" s="114"/>
      <c r="M2686" s="114"/>
      <c r="N2686" s="114"/>
      <c r="P2686" s="234"/>
      <c r="Q2686" s="240"/>
    </row>
    <row r="2687" spans="6:17" x14ac:dyDescent="0.25">
      <c r="F2687" s="134"/>
      <c r="H2687" s="114"/>
      <c r="I2687" s="114"/>
      <c r="J2687" s="114"/>
      <c r="K2687" s="114"/>
      <c r="L2687" s="114"/>
      <c r="M2687" s="114"/>
      <c r="N2687" s="114"/>
      <c r="P2687" s="234"/>
      <c r="Q2687" s="240"/>
    </row>
    <row r="2688" spans="6:17" x14ac:dyDescent="0.25">
      <c r="F2688" s="134"/>
      <c r="H2688" s="114"/>
      <c r="I2688" s="114"/>
      <c r="J2688" s="114"/>
      <c r="K2688" s="114"/>
      <c r="L2688" s="114"/>
      <c r="M2688" s="114"/>
      <c r="N2688" s="114"/>
      <c r="P2688" s="234"/>
      <c r="Q2688" s="240"/>
    </row>
    <row r="2689" spans="6:17" x14ac:dyDescent="0.25">
      <c r="F2689" s="134"/>
      <c r="H2689" s="114"/>
      <c r="I2689" s="114"/>
      <c r="J2689" s="114"/>
      <c r="K2689" s="114"/>
      <c r="L2689" s="114"/>
      <c r="M2689" s="114"/>
      <c r="N2689" s="114"/>
      <c r="P2689" s="234"/>
      <c r="Q2689" s="240"/>
    </row>
    <row r="2690" spans="6:17" x14ac:dyDescent="0.25">
      <c r="F2690" s="134"/>
      <c r="H2690" s="114"/>
      <c r="I2690" s="114"/>
      <c r="J2690" s="114"/>
      <c r="K2690" s="114"/>
      <c r="L2690" s="114"/>
      <c r="M2690" s="114"/>
      <c r="N2690" s="114"/>
      <c r="P2690" s="234"/>
      <c r="Q2690" s="240"/>
    </row>
    <row r="2691" spans="6:17" x14ac:dyDescent="0.25">
      <c r="F2691" s="134"/>
      <c r="H2691" s="114"/>
      <c r="I2691" s="114"/>
      <c r="J2691" s="114"/>
      <c r="K2691" s="114"/>
      <c r="L2691" s="114"/>
      <c r="M2691" s="114"/>
      <c r="N2691" s="114"/>
      <c r="P2691" s="234"/>
      <c r="Q2691" s="240"/>
    </row>
    <row r="2692" spans="6:17" x14ac:dyDescent="0.25">
      <c r="F2692" s="134"/>
      <c r="H2692" s="114"/>
      <c r="I2692" s="114"/>
      <c r="J2692" s="114"/>
      <c r="K2692" s="114"/>
      <c r="L2692" s="114"/>
      <c r="M2692" s="114"/>
      <c r="N2692" s="114"/>
      <c r="P2692" s="234"/>
      <c r="Q2692" s="240"/>
    </row>
    <row r="2693" spans="6:17" x14ac:dyDescent="0.25">
      <c r="F2693" s="134"/>
      <c r="H2693" s="114"/>
      <c r="I2693" s="114"/>
      <c r="J2693" s="114"/>
      <c r="K2693" s="114"/>
      <c r="L2693" s="114"/>
      <c r="M2693" s="114"/>
      <c r="N2693" s="114"/>
      <c r="P2693" s="234"/>
      <c r="Q2693" s="240"/>
    </row>
    <row r="2694" spans="6:17" x14ac:dyDescent="0.25">
      <c r="F2694" s="134"/>
      <c r="H2694" s="114"/>
      <c r="I2694" s="114"/>
      <c r="J2694" s="114"/>
      <c r="K2694" s="114"/>
      <c r="L2694" s="114"/>
      <c r="M2694" s="114"/>
      <c r="N2694" s="114"/>
      <c r="P2694" s="234"/>
      <c r="Q2694" s="240"/>
    </row>
    <row r="2695" spans="6:17" x14ac:dyDescent="0.25">
      <c r="F2695" s="134"/>
      <c r="H2695" s="114"/>
      <c r="I2695" s="114"/>
      <c r="J2695" s="114"/>
      <c r="K2695" s="114"/>
      <c r="L2695" s="114"/>
      <c r="M2695" s="114"/>
      <c r="N2695" s="114"/>
      <c r="P2695" s="234"/>
      <c r="Q2695" s="240"/>
    </row>
    <row r="2696" spans="6:17" x14ac:dyDescent="0.25">
      <c r="F2696" s="134"/>
      <c r="H2696" s="114"/>
      <c r="I2696" s="114"/>
      <c r="J2696" s="114"/>
      <c r="K2696" s="114"/>
      <c r="L2696" s="114"/>
      <c r="M2696" s="114"/>
      <c r="N2696" s="114"/>
      <c r="P2696" s="234"/>
      <c r="Q2696" s="240"/>
    </row>
    <row r="2697" spans="6:17" x14ac:dyDescent="0.25">
      <c r="F2697" s="134"/>
      <c r="H2697" s="114"/>
      <c r="I2697" s="114"/>
      <c r="J2697" s="114"/>
      <c r="K2697" s="114"/>
      <c r="L2697" s="114"/>
      <c r="M2697" s="114"/>
      <c r="N2697" s="114"/>
      <c r="P2697" s="234"/>
      <c r="Q2697" s="240"/>
    </row>
    <row r="2698" spans="6:17" x14ac:dyDescent="0.25">
      <c r="F2698" s="134"/>
      <c r="H2698" s="114"/>
      <c r="I2698" s="114"/>
      <c r="J2698" s="114"/>
      <c r="K2698" s="114"/>
      <c r="L2698" s="114"/>
      <c r="M2698" s="114"/>
      <c r="N2698" s="114"/>
      <c r="P2698" s="234"/>
      <c r="Q2698" s="240"/>
    </row>
    <row r="2699" spans="6:17" x14ac:dyDescent="0.25">
      <c r="F2699" s="134"/>
      <c r="H2699" s="114"/>
      <c r="I2699" s="114"/>
      <c r="J2699" s="114"/>
      <c r="K2699" s="114"/>
      <c r="L2699" s="114"/>
      <c r="M2699" s="114"/>
      <c r="N2699" s="114"/>
      <c r="P2699" s="234"/>
      <c r="Q2699" s="240"/>
    </row>
    <row r="2700" spans="6:17" x14ac:dyDescent="0.25">
      <c r="F2700" s="134"/>
      <c r="H2700" s="114"/>
      <c r="I2700" s="114"/>
      <c r="J2700" s="114"/>
      <c r="K2700" s="114"/>
      <c r="L2700" s="114"/>
      <c r="M2700" s="114"/>
      <c r="N2700" s="114"/>
      <c r="P2700" s="234"/>
      <c r="Q2700" s="240"/>
    </row>
    <row r="2701" spans="6:17" x14ac:dyDescent="0.25">
      <c r="F2701" s="134"/>
      <c r="H2701" s="114"/>
      <c r="I2701" s="114"/>
      <c r="J2701" s="114"/>
      <c r="K2701" s="114"/>
      <c r="L2701" s="114"/>
      <c r="M2701" s="114"/>
      <c r="N2701" s="114"/>
      <c r="P2701" s="234"/>
      <c r="Q2701" s="240"/>
    </row>
    <row r="2702" spans="6:17" x14ac:dyDescent="0.25">
      <c r="F2702" s="134"/>
      <c r="H2702" s="114"/>
      <c r="I2702" s="114"/>
      <c r="J2702" s="114"/>
      <c r="K2702" s="114"/>
      <c r="L2702" s="114"/>
      <c r="M2702" s="114"/>
      <c r="N2702" s="114"/>
      <c r="P2702" s="234"/>
      <c r="Q2702" s="240"/>
    </row>
    <row r="2703" spans="6:17" x14ac:dyDescent="0.25">
      <c r="F2703" s="134"/>
      <c r="H2703" s="114"/>
      <c r="I2703" s="114"/>
      <c r="J2703" s="114"/>
      <c r="K2703" s="114"/>
      <c r="L2703" s="114"/>
      <c r="M2703" s="114"/>
      <c r="N2703" s="114"/>
      <c r="P2703" s="234"/>
      <c r="Q2703" s="240"/>
    </row>
    <row r="2704" spans="6:17" x14ac:dyDescent="0.25">
      <c r="F2704" s="134"/>
      <c r="H2704" s="114"/>
      <c r="I2704" s="114"/>
      <c r="J2704" s="114"/>
      <c r="K2704" s="114"/>
      <c r="L2704" s="114"/>
      <c r="M2704" s="114"/>
      <c r="N2704" s="114"/>
      <c r="P2704" s="234"/>
      <c r="Q2704" s="240"/>
    </row>
    <row r="2705" spans="6:17" x14ac:dyDescent="0.25">
      <c r="F2705" s="134"/>
      <c r="H2705" s="114"/>
      <c r="I2705" s="114"/>
      <c r="J2705" s="114"/>
      <c r="K2705" s="114"/>
      <c r="L2705" s="114"/>
      <c r="M2705" s="114"/>
      <c r="N2705" s="114"/>
      <c r="P2705" s="234"/>
      <c r="Q2705" s="240"/>
    </row>
    <row r="2706" spans="6:17" x14ac:dyDescent="0.25">
      <c r="F2706" s="134"/>
      <c r="H2706" s="114"/>
      <c r="I2706" s="114"/>
      <c r="J2706" s="114"/>
      <c r="K2706" s="114"/>
      <c r="L2706" s="114"/>
      <c r="M2706" s="114"/>
      <c r="N2706" s="114"/>
      <c r="P2706" s="234"/>
      <c r="Q2706" s="240"/>
    </row>
    <row r="2707" spans="6:17" x14ac:dyDescent="0.25">
      <c r="F2707" s="134"/>
      <c r="H2707" s="114"/>
      <c r="I2707" s="114"/>
      <c r="J2707" s="114"/>
      <c r="K2707" s="114"/>
      <c r="L2707" s="114"/>
      <c r="M2707" s="114"/>
      <c r="N2707" s="114"/>
      <c r="P2707" s="234"/>
      <c r="Q2707" s="240"/>
    </row>
    <row r="2708" spans="6:17" x14ac:dyDescent="0.25">
      <c r="F2708" s="134"/>
      <c r="H2708" s="114"/>
      <c r="I2708" s="114"/>
      <c r="J2708" s="114"/>
      <c r="K2708" s="114"/>
      <c r="L2708" s="114"/>
      <c r="M2708" s="114"/>
      <c r="N2708" s="114"/>
      <c r="P2708" s="234"/>
      <c r="Q2708" s="240"/>
    </row>
    <row r="2709" spans="6:17" x14ac:dyDescent="0.25">
      <c r="F2709" s="134"/>
      <c r="H2709" s="114"/>
      <c r="I2709" s="114"/>
      <c r="J2709" s="114"/>
      <c r="K2709" s="114"/>
      <c r="L2709" s="114"/>
      <c r="M2709" s="114"/>
      <c r="N2709" s="114"/>
      <c r="P2709" s="234"/>
      <c r="Q2709" s="240"/>
    </row>
    <row r="2710" spans="6:17" x14ac:dyDescent="0.25">
      <c r="F2710" s="134"/>
      <c r="H2710" s="114"/>
      <c r="I2710" s="114"/>
      <c r="J2710" s="114"/>
      <c r="K2710" s="114"/>
      <c r="L2710" s="114"/>
      <c r="M2710" s="114"/>
      <c r="N2710" s="114"/>
      <c r="P2710" s="234"/>
      <c r="Q2710" s="240"/>
    </row>
    <row r="2711" spans="6:17" x14ac:dyDescent="0.25">
      <c r="F2711" s="134"/>
      <c r="H2711" s="114"/>
      <c r="I2711" s="114"/>
      <c r="J2711" s="114"/>
      <c r="K2711" s="114"/>
      <c r="L2711" s="114"/>
      <c r="M2711" s="114"/>
      <c r="N2711" s="114"/>
      <c r="P2711" s="234"/>
      <c r="Q2711" s="240"/>
    </row>
    <row r="2712" spans="6:17" x14ac:dyDescent="0.25">
      <c r="F2712" s="134"/>
      <c r="H2712" s="114"/>
      <c r="I2712" s="114"/>
      <c r="J2712" s="114"/>
      <c r="K2712" s="114"/>
      <c r="L2712" s="114"/>
      <c r="M2712" s="114"/>
      <c r="N2712" s="114"/>
      <c r="P2712" s="234"/>
      <c r="Q2712" s="240"/>
    </row>
    <row r="2713" spans="6:17" x14ac:dyDescent="0.25">
      <c r="F2713" s="134"/>
      <c r="H2713" s="114"/>
      <c r="I2713" s="114"/>
      <c r="J2713" s="114"/>
      <c r="K2713" s="114"/>
      <c r="L2713" s="114"/>
      <c r="M2713" s="114"/>
      <c r="N2713" s="114"/>
      <c r="P2713" s="234"/>
      <c r="Q2713" s="240"/>
    </row>
    <row r="2714" spans="6:17" x14ac:dyDescent="0.25">
      <c r="F2714" s="134"/>
      <c r="H2714" s="114"/>
      <c r="I2714" s="114"/>
      <c r="J2714" s="114"/>
      <c r="K2714" s="114"/>
      <c r="L2714" s="114"/>
      <c r="M2714" s="114"/>
      <c r="N2714" s="114"/>
      <c r="P2714" s="234"/>
      <c r="Q2714" s="240"/>
    </row>
    <row r="2715" spans="6:17" x14ac:dyDescent="0.25">
      <c r="F2715" s="134"/>
      <c r="H2715" s="114"/>
      <c r="I2715" s="114"/>
      <c r="J2715" s="114"/>
      <c r="K2715" s="114"/>
      <c r="L2715" s="114"/>
      <c r="M2715" s="114"/>
      <c r="N2715" s="114"/>
      <c r="P2715" s="234"/>
      <c r="Q2715" s="240"/>
    </row>
    <row r="2716" spans="6:17" x14ac:dyDescent="0.25">
      <c r="F2716" s="134"/>
      <c r="H2716" s="114"/>
      <c r="I2716" s="114"/>
      <c r="J2716" s="114"/>
      <c r="K2716" s="114"/>
      <c r="L2716" s="114"/>
      <c r="M2716" s="114"/>
      <c r="N2716" s="114"/>
      <c r="P2716" s="234"/>
      <c r="Q2716" s="240"/>
    </row>
    <row r="2717" spans="6:17" x14ac:dyDescent="0.25">
      <c r="F2717" s="134"/>
      <c r="H2717" s="114"/>
      <c r="I2717" s="114"/>
      <c r="J2717" s="114"/>
      <c r="K2717" s="114"/>
      <c r="L2717" s="114"/>
      <c r="M2717" s="114"/>
      <c r="N2717" s="114"/>
      <c r="P2717" s="234"/>
      <c r="Q2717" s="240"/>
    </row>
    <row r="2718" spans="6:17" x14ac:dyDescent="0.25">
      <c r="F2718" s="134"/>
      <c r="H2718" s="114"/>
      <c r="I2718" s="114"/>
      <c r="J2718" s="114"/>
      <c r="K2718" s="114"/>
      <c r="L2718" s="114"/>
      <c r="M2718" s="114"/>
      <c r="N2718" s="114"/>
      <c r="P2718" s="234"/>
      <c r="Q2718" s="240"/>
    </row>
    <row r="2719" spans="6:17" x14ac:dyDescent="0.25">
      <c r="F2719" s="134"/>
      <c r="H2719" s="114"/>
      <c r="I2719" s="114"/>
      <c r="J2719" s="114"/>
      <c r="K2719" s="114"/>
      <c r="L2719" s="114"/>
      <c r="M2719" s="114"/>
      <c r="N2719" s="114"/>
      <c r="P2719" s="234"/>
      <c r="Q2719" s="240"/>
    </row>
    <row r="2720" spans="6:17" x14ac:dyDescent="0.25">
      <c r="F2720" s="134"/>
      <c r="H2720" s="114"/>
      <c r="I2720" s="114"/>
      <c r="J2720" s="114"/>
      <c r="K2720" s="114"/>
      <c r="L2720" s="114"/>
      <c r="M2720" s="114"/>
      <c r="N2720" s="114"/>
      <c r="P2720" s="234"/>
      <c r="Q2720" s="240"/>
    </row>
    <row r="2721" spans="6:17" x14ac:dyDescent="0.25">
      <c r="F2721" s="134"/>
      <c r="H2721" s="114"/>
      <c r="I2721" s="114"/>
      <c r="J2721" s="114"/>
      <c r="K2721" s="114"/>
      <c r="L2721" s="114"/>
      <c r="M2721" s="114"/>
      <c r="N2721" s="114"/>
      <c r="P2721" s="234"/>
      <c r="Q2721" s="240"/>
    </row>
    <row r="2722" spans="6:17" x14ac:dyDescent="0.25">
      <c r="F2722" s="134"/>
      <c r="H2722" s="114"/>
      <c r="I2722" s="114"/>
      <c r="J2722" s="114"/>
      <c r="K2722" s="114"/>
      <c r="L2722" s="114"/>
      <c r="M2722" s="114"/>
      <c r="N2722" s="114"/>
      <c r="P2722" s="234"/>
      <c r="Q2722" s="240"/>
    </row>
    <row r="2723" spans="6:17" x14ac:dyDescent="0.25">
      <c r="F2723" s="134"/>
      <c r="H2723" s="114"/>
      <c r="I2723" s="114"/>
      <c r="J2723" s="114"/>
      <c r="K2723" s="114"/>
      <c r="L2723" s="114"/>
      <c r="M2723" s="114"/>
      <c r="N2723" s="114"/>
      <c r="P2723" s="234"/>
      <c r="Q2723" s="240"/>
    </row>
    <row r="2724" spans="6:17" x14ac:dyDescent="0.25">
      <c r="F2724" s="134"/>
      <c r="H2724" s="114"/>
      <c r="I2724" s="114"/>
      <c r="J2724" s="114"/>
      <c r="K2724" s="114"/>
      <c r="L2724" s="114"/>
      <c r="M2724" s="114"/>
      <c r="N2724" s="114"/>
      <c r="P2724" s="234"/>
      <c r="Q2724" s="240"/>
    </row>
    <row r="2725" spans="6:17" x14ac:dyDescent="0.25">
      <c r="F2725" s="134"/>
      <c r="H2725" s="114"/>
      <c r="I2725" s="114"/>
      <c r="J2725" s="114"/>
      <c r="K2725" s="114"/>
      <c r="L2725" s="114"/>
      <c r="M2725" s="114"/>
      <c r="N2725" s="114"/>
      <c r="P2725" s="234"/>
      <c r="Q2725" s="240"/>
    </row>
    <row r="2726" spans="6:17" x14ac:dyDescent="0.25">
      <c r="F2726" s="134"/>
      <c r="H2726" s="114"/>
      <c r="I2726" s="114"/>
      <c r="J2726" s="114"/>
      <c r="K2726" s="114"/>
      <c r="L2726" s="114"/>
      <c r="M2726" s="114"/>
      <c r="N2726" s="114"/>
      <c r="P2726" s="234"/>
      <c r="Q2726" s="240"/>
    </row>
    <row r="2727" spans="6:17" x14ac:dyDescent="0.25">
      <c r="F2727" s="134"/>
      <c r="H2727" s="114"/>
      <c r="I2727" s="114"/>
      <c r="J2727" s="114"/>
      <c r="K2727" s="114"/>
      <c r="L2727" s="114"/>
      <c r="M2727" s="114"/>
      <c r="N2727" s="114"/>
      <c r="P2727" s="234"/>
      <c r="Q2727" s="240"/>
    </row>
    <row r="2728" spans="6:17" x14ac:dyDescent="0.25">
      <c r="F2728" s="134"/>
      <c r="H2728" s="114"/>
      <c r="I2728" s="114"/>
      <c r="J2728" s="114"/>
      <c r="K2728" s="114"/>
      <c r="L2728" s="114"/>
      <c r="M2728" s="114"/>
      <c r="N2728" s="114"/>
      <c r="P2728" s="234"/>
      <c r="Q2728" s="240"/>
    </row>
    <row r="2729" spans="6:17" x14ac:dyDescent="0.25">
      <c r="F2729" s="134"/>
      <c r="H2729" s="114"/>
      <c r="I2729" s="114"/>
      <c r="J2729" s="114"/>
      <c r="K2729" s="114"/>
      <c r="L2729" s="114"/>
      <c r="M2729" s="114"/>
      <c r="N2729" s="114"/>
      <c r="P2729" s="234"/>
      <c r="Q2729" s="240"/>
    </row>
    <row r="2730" spans="6:17" x14ac:dyDescent="0.25">
      <c r="F2730" s="134"/>
      <c r="H2730" s="114"/>
      <c r="I2730" s="114"/>
      <c r="J2730" s="114"/>
      <c r="K2730" s="114"/>
      <c r="L2730" s="114"/>
      <c r="M2730" s="114"/>
      <c r="N2730" s="114"/>
      <c r="P2730" s="234"/>
      <c r="Q2730" s="240"/>
    </row>
    <row r="2731" spans="6:17" x14ac:dyDescent="0.25">
      <c r="F2731" s="134"/>
      <c r="H2731" s="114"/>
      <c r="I2731" s="114"/>
      <c r="J2731" s="114"/>
      <c r="K2731" s="114"/>
      <c r="L2731" s="114"/>
      <c r="M2731" s="114"/>
      <c r="N2731" s="114"/>
      <c r="P2731" s="234"/>
      <c r="Q2731" s="240"/>
    </row>
    <row r="2732" spans="6:17" x14ac:dyDescent="0.25">
      <c r="F2732" s="134"/>
      <c r="H2732" s="114"/>
      <c r="I2732" s="114"/>
      <c r="J2732" s="114"/>
      <c r="K2732" s="114"/>
      <c r="L2732" s="114"/>
      <c r="M2732" s="114"/>
      <c r="N2732" s="114"/>
      <c r="P2732" s="234"/>
      <c r="Q2732" s="240"/>
    </row>
    <row r="2733" spans="6:17" x14ac:dyDescent="0.25">
      <c r="F2733" s="134"/>
      <c r="H2733" s="114"/>
      <c r="I2733" s="114"/>
      <c r="J2733" s="114"/>
      <c r="K2733" s="114"/>
      <c r="L2733" s="114"/>
      <c r="M2733" s="114"/>
      <c r="N2733" s="114"/>
      <c r="P2733" s="234"/>
      <c r="Q2733" s="240"/>
    </row>
    <row r="2734" spans="6:17" x14ac:dyDescent="0.25">
      <c r="F2734" s="134"/>
      <c r="H2734" s="114"/>
      <c r="I2734" s="114"/>
      <c r="J2734" s="114"/>
      <c r="K2734" s="114"/>
      <c r="L2734" s="114"/>
      <c r="M2734" s="114"/>
      <c r="N2734" s="114"/>
      <c r="P2734" s="234"/>
      <c r="Q2734" s="240"/>
    </row>
    <row r="2735" spans="6:17" x14ac:dyDescent="0.25">
      <c r="F2735" s="134"/>
      <c r="H2735" s="114"/>
      <c r="I2735" s="114"/>
      <c r="J2735" s="114"/>
      <c r="K2735" s="114"/>
      <c r="L2735" s="114"/>
      <c r="M2735" s="114"/>
      <c r="N2735" s="114"/>
      <c r="P2735" s="234"/>
      <c r="Q2735" s="240"/>
    </row>
    <row r="2736" spans="6:17" x14ac:dyDescent="0.25">
      <c r="F2736" s="134"/>
      <c r="H2736" s="114"/>
      <c r="I2736" s="114"/>
      <c r="J2736" s="114"/>
      <c r="K2736" s="114"/>
      <c r="L2736" s="114"/>
      <c r="M2736" s="114"/>
      <c r="N2736" s="114"/>
      <c r="P2736" s="234"/>
      <c r="Q2736" s="240"/>
    </row>
    <row r="2737" spans="6:17" x14ac:dyDescent="0.25">
      <c r="F2737" s="134"/>
      <c r="H2737" s="114"/>
      <c r="I2737" s="114"/>
      <c r="J2737" s="114"/>
      <c r="K2737" s="114"/>
      <c r="L2737" s="114"/>
      <c r="M2737" s="114"/>
      <c r="N2737" s="114"/>
      <c r="P2737" s="234"/>
      <c r="Q2737" s="240"/>
    </row>
    <row r="2738" spans="6:17" x14ac:dyDescent="0.25">
      <c r="F2738" s="134"/>
      <c r="H2738" s="114"/>
      <c r="I2738" s="114"/>
      <c r="J2738" s="114"/>
      <c r="K2738" s="114"/>
      <c r="L2738" s="114"/>
      <c r="M2738" s="114"/>
      <c r="N2738" s="114"/>
      <c r="P2738" s="234"/>
      <c r="Q2738" s="240"/>
    </row>
    <row r="2739" spans="6:17" x14ac:dyDescent="0.25">
      <c r="F2739" s="134"/>
      <c r="H2739" s="114"/>
      <c r="I2739" s="114"/>
      <c r="J2739" s="114"/>
      <c r="K2739" s="114"/>
      <c r="L2739" s="114"/>
      <c r="M2739" s="114"/>
      <c r="N2739" s="114"/>
      <c r="P2739" s="234"/>
      <c r="Q2739" s="240"/>
    </row>
    <row r="2740" spans="6:17" x14ac:dyDescent="0.25">
      <c r="F2740" s="134"/>
      <c r="H2740" s="114"/>
      <c r="I2740" s="114"/>
      <c r="J2740" s="114"/>
      <c r="K2740" s="114"/>
      <c r="L2740" s="114"/>
      <c r="M2740" s="114"/>
      <c r="N2740" s="114"/>
      <c r="P2740" s="234"/>
      <c r="Q2740" s="240"/>
    </row>
    <row r="2741" spans="6:17" x14ac:dyDescent="0.25">
      <c r="F2741" s="134"/>
      <c r="H2741" s="114"/>
      <c r="I2741" s="114"/>
      <c r="J2741" s="114"/>
      <c r="K2741" s="114"/>
      <c r="L2741" s="114"/>
      <c r="M2741" s="114"/>
      <c r="N2741" s="114"/>
      <c r="P2741" s="234"/>
      <c r="Q2741" s="240"/>
    </row>
    <row r="2742" spans="6:17" x14ac:dyDescent="0.25">
      <c r="F2742" s="134"/>
      <c r="H2742" s="114"/>
      <c r="I2742" s="114"/>
      <c r="J2742" s="114"/>
      <c r="K2742" s="114"/>
      <c r="L2742" s="114"/>
      <c r="M2742" s="114"/>
      <c r="N2742" s="114"/>
      <c r="P2742" s="234"/>
      <c r="Q2742" s="240"/>
    </row>
    <row r="2743" spans="6:17" x14ac:dyDescent="0.25">
      <c r="F2743" s="134"/>
      <c r="H2743" s="114"/>
      <c r="I2743" s="114"/>
      <c r="J2743" s="114"/>
      <c r="K2743" s="114"/>
      <c r="L2743" s="114"/>
      <c r="M2743" s="114"/>
      <c r="N2743" s="114"/>
      <c r="P2743" s="234"/>
      <c r="Q2743" s="240"/>
    </row>
    <row r="2744" spans="6:17" x14ac:dyDescent="0.25">
      <c r="F2744" s="134"/>
      <c r="H2744" s="114"/>
      <c r="I2744" s="114"/>
      <c r="J2744" s="114"/>
      <c r="K2744" s="114"/>
      <c r="L2744" s="114"/>
      <c r="M2744" s="114"/>
      <c r="N2744" s="114"/>
      <c r="P2744" s="234"/>
      <c r="Q2744" s="240"/>
    </row>
    <row r="2745" spans="6:17" x14ac:dyDescent="0.25">
      <c r="F2745" s="134"/>
      <c r="H2745" s="114"/>
      <c r="I2745" s="114"/>
      <c r="J2745" s="114"/>
      <c r="K2745" s="114"/>
      <c r="L2745" s="114"/>
      <c r="M2745" s="114"/>
      <c r="N2745" s="114"/>
      <c r="P2745" s="234"/>
      <c r="Q2745" s="240"/>
    </row>
    <row r="2746" spans="6:17" x14ac:dyDescent="0.25">
      <c r="F2746" s="134"/>
      <c r="H2746" s="114"/>
      <c r="I2746" s="114"/>
      <c r="J2746" s="114"/>
      <c r="K2746" s="114"/>
      <c r="L2746" s="114"/>
      <c r="M2746" s="114"/>
      <c r="N2746" s="114"/>
      <c r="P2746" s="234"/>
      <c r="Q2746" s="240"/>
    </row>
    <row r="2747" spans="6:17" x14ac:dyDescent="0.25">
      <c r="F2747" s="134"/>
      <c r="H2747" s="114"/>
      <c r="I2747" s="114"/>
      <c r="J2747" s="114"/>
      <c r="K2747" s="114"/>
      <c r="L2747" s="114"/>
      <c r="M2747" s="114"/>
      <c r="N2747" s="114"/>
      <c r="P2747" s="234"/>
      <c r="Q2747" s="240"/>
    </row>
    <row r="2748" spans="6:17" x14ac:dyDescent="0.25">
      <c r="F2748" s="134"/>
      <c r="H2748" s="114"/>
      <c r="I2748" s="114"/>
      <c r="J2748" s="114"/>
      <c r="K2748" s="114"/>
      <c r="L2748" s="114"/>
      <c r="M2748" s="114"/>
      <c r="N2748" s="114"/>
      <c r="P2748" s="234"/>
      <c r="Q2748" s="240"/>
    </row>
    <row r="2749" spans="6:17" x14ac:dyDescent="0.25">
      <c r="F2749" s="134"/>
      <c r="H2749" s="114"/>
      <c r="I2749" s="114"/>
      <c r="J2749" s="114"/>
      <c r="K2749" s="114"/>
      <c r="L2749" s="114"/>
      <c r="M2749" s="114"/>
      <c r="N2749" s="114"/>
      <c r="P2749" s="234"/>
      <c r="Q2749" s="240"/>
    </row>
    <row r="2750" spans="6:17" x14ac:dyDescent="0.25">
      <c r="F2750" s="134"/>
      <c r="H2750" s="114"/>
      <c r="I2750" s="114"/>
      <c r="J2750" s="114"/>
      <c r="K2750" s="114"/>
      <c r="L2750" s="114"/>
      <c r="M2750" s="114"/>
      <c r="N2750" s="114"/>
      <c r="P2750" s="234"/>
      <c r="Q2750" s="240"/>
    </row>
    <row r="2751" spans="6:17" x14ac:dyDescent="0.25">
      <c r="F2751" s="134"/>
      <c r="H2751" s="114"/>
      <c r="I2751" s="114"/>
      <c r="J2751" s="114"/>
      <c r="K2751" s="114"/>
      <c r="L2751" s="114"/>
      <c r="M2751" s="114"/>
      <c r="N2751" s="114"/>
      <c r="P2751" s="234"/>
      <c r="Q2751" s="240"/>
    </row>
    <row r="2752" spans="6:17" x14ac:dyDescent="0.25">
      <c r="F2752" s="134"/>
      <c r="H2752" s="114"/>
      <c r="I2752" s="114"/>
      <c r="J2752" s="114"/>
      <c r="K2752" s="114"/>
      <c r="L2752" s="114"/>
      <c r="M2752" s="114"/>
      <c r="N2752" s="114"/>
      <c r="P2752" s="234"/>
      <c r="Q2752" s="240"/>
    </row>
    <row r="2753" spans="6:17" x14ac:dyDescent="0.25">
      <c r="F2753" s="134"/>
      <c r="H2753" s="114"/>
      <c r="I2753" s="114"/>
      <c r="J2753" s="114"/>
      <c r="K2753" s="114"/>
      <c r="L2753" s="114"/>
      <c r="M2753" s="114"/>
      <c r="N2753" s="114"/>
      <c r="P2753" s="234"/>
      <c r="Q2753" s="240"/>
    </row>
    <row r="2754" spans="6:17" x14ac:dyDescent="0.25">
      <c r="F2754" s="134"/>
      <c r="H2754" s="114"/>
      <c r="I2754" s="114"/>
      <c r="J2754" s="114"/>
      <c r="K2754" s="114"/>
      <c r="L2754" s="114"/>
      <c r="M2754" s="114"/>
      <c r="N2754" s="114"/>
      <c r="P2754" s="234"/>
      <c r="Q2754" s="240"/>
    </row>
    <row r="2755" spans="6:17" x14ac:dyDescent="0.25">
      <c r="F2755" s="134"/>
      <c r="H2755" s="114"/>
      <c r="I2755" s="114"/>
      <c r="J2755" s="114"/>
      <c r="K2755" s="114"/>
      <c r="L2755" s="114"/>
      <c r="M2755" s="114"/>
      <c r="N2755" s="114"/>
      <c r="P2755" s="234"/>
      <c r="Q2755" s="240"/>
    </row>
    <row r="2756" spans="6:17" x14ac:dyDescent="0.25">
      <c r="F2756" s="134"/>
      <c r="H2756" s="114"/>
      <c r="I2756" s="114"/>
      <c r="J2756" s="114"/>
      <c r="K2756" s="114"/>
      <c r="L2756" s="114"/>
      <c r="M2756" s="114"/>
      <c r="N2756" s="114"/>
      <c r="P2756" s="234"/>
      <c r="Q2756" s="240"/>
    </row>
    <row r="2757" spans="6:17" x14ac:dyDescent="0.25">
      <c r="F2757" s="134"/>
      <c r="H2757" s="114"/>
      <c r="I2757" s="114"/>
      <c r="J2757" s="114"/>
      <c r="K2757" s="114"/>
      <c r="L2757" s="114"/>
      <c r="M2757" s="114"/>
      <c r="N2757" s="114"/>
      <c r="P2757" s="234"/>
      <c r="Q2757" s="240"/>
    </row>
    <row r="2758" spans="6:17" x14ac:dyDescent="0.25">
      <c r="F2758" s="134"/>
      <c r="H2758" s="114"/>
      <c r="I2758" s="114"/>
      <c r="J2758" s="114"/>
      <c r="K2758" s="114"/>
      <c r="L2758" s="114"/>
      <c r="M2758" s="114"/>
      <c r="N2758" s="114"/>
      <c r="P2758" s="234"/>
      <c r="Q2758" s="240"/>
    </row>
    <row r="2759" spans="6:17" x14ac:dyDescent="0.25">
      <c r="F2759" s="134"/>
      <c r="H2759" s="114"/>
      <c r="I2759" s="114"/>
      <c r="J2759" s="114"/>
      <c r="K2759" s="114"/>
      <c r="L2759" s="114"/>
      <c r="M2759" s="114"/>
      <c r="N2759" s="114"/>
      <c r="P2759" s="234"/>
      <c r="Q2759" s="240"/>
    </row>
    <row r="2760" spans="6:17" x14ac:dyDescent="0.25">
      <c r="F2760" s="134"/>
      <c r="H2760" s="114"/>
      <c r="I2760" s="114"/>
      <c r="J2760" s="114"/>
      <c r="K2760" s="114"/>
      <c r="L2760" s="114"/>
      <c r="M2760" s="114"/>
      <c r="N2760" s="114"/>
      <c r="P2760" s="234"/>
      <c r="Q2760" s="240"/>
    </row>
    <row r="2761" spans="6:17" x14ac:dyDescent="0.25">
      <c r="F2761" s="134"/>
      <c r="H2761" s="114"/>
      <c r="I2761" s="114"/>
      <c r="J2761" s="114"/>
      <c r="K2761" s="114"/>
      <c r="L2761" s="114"/>
      <c r="M2761" s="114"/>
      <c r="N2761" s="114"/>
      <c r="P2761" s="234"/>
      <c r="Q2761" s="240"/>
    </row>
    <row r="2762" spans="6:17" x14ac:dyDescent="0.25">
      <c r="F2762" s="134"/>
      <c r="H2762" s="114"/>
      <c r="I2762" s="114"/>
      <c r="J2762" s="114"/>
      <c r="K2762" s="114"/>
      <c r="L2762" s="114"/>
      <c r="M2762" s="114"/>
      <c r="N2762" s="114"/>
      <c r="P2762" s="234"/>
      <c r="Q2762" s="240"/>
    </row>
    <row r="2763" spans="6:17" x14ac:dyDescent="0.25">
      <c r="F2763" s="134"/>
      <c r="H2763" s="114"/>
      <c r="I2763" s="114"/>
      <c r="J2763" s="114"/>
      <c r="K2763" s="114"/>
      <c r="L2763" s="114"/>
      <c r="M2763" s="114"/>
      <c r="N2763" s="114"/>
      <c r="P2763" s="234"/>
      <c r="Q2763" s="240"/>
    </row>
    <row r="2764" spans="6:17" x14ac:dyDescent="0.25">
      <c r="F2764" s="134"/>
      <c r="H2764" s="114"/>
      <c r="I2764" s="114"/>
      <c r="J2764" s="114"/>
      <c r="K2764" s="114"/>
      <c r="L2764" s="114"/>
      <c r="M2764" s="114"/>
      <c r="N2764" s="114"/>
      <c r="P2764" s="234"/>
      <c r="Q2764" s="240"/>
    </row>
    <row r="2765" spans="6:17" x14ac:dyDescent="0.25">
      <c r="F2765" s="134"/>
      <c r="H2765" s="114"/>
      <c r="I2765" s="114"/>
      <c r="J2765" s="114"/>
      <c r="K2765" s="114"/>
      <c r="L2765" s="114"/>
      <c r="M2765" s="114"/>
      <c r="N2765" s="114"/>
      <c r="P2765" s="234"/>
      <c r="Q2765" s="240"/>
    </row>
    <row r="2766" spans="6:17" x14ac:dyDescent="0.25">
      <c r="F2766" s="134"/>
      <c r="H2766" s="114"/>
      <c r="I2766" s="114"/>
      <c r="J2766" s="114"/>
      <c r="K2766" s="114"/>
      <c r="L2766" s="114"/>
      <c r="M2766" s="114"/>
      <c r="N2766" s="114"/>
      <c r="P2766" s="234"/>
      <c r="Q2766" s="240"/>
    </row>
    <row r="2767" spans="6:17" x14ac:dyDescent="0.25">
      <c r="F2767" s="134"/>
      <c r="H2767" s="114"/>
      <c r="I2767" s="114"/>
      <c r="J2767" s="114"/>
      <c r="K2767" s="114"/>
      <c r="L2767" s="114"/>
      <c r="M2767" s="114"/>
      <c r="N2767" s="114"/>
      <c r="P2767" s="234"/>
      <c r="Q2767" s="240"/>
    </row>
    <row r="2768" spans="6:17" x14ac:dyDescent="0.25">
      <c r="F2768" s="134"/>
      <c r="H2768" s="114"/>
      <c r="I2768" s="114"/>
      <c r="J2768" s="114"/>
      <c r="K2768" s="114"/>
      <c r="L2768" s="114"/>
      <c r="M2768" s="114"/>
      <c r="N2768" s="114"/>
      <c r="P2768" s="234"/>
      <c r="Q2768" s="240"/>
    </row>
    <row r="2769" spans="6:17" x14ac:dyDescent="0.25">
      <c r="F2769" s="134"/>
      <c r="H2769" s="114"/>
      <c r="I2769" s="114"/>
      <c r="J2769" s="114"/>
      <c r="K2769" s="114"/>
      <c r="L2769" s="114"/>
      <c r="M2769" s="114"/>
      <c r="N2769" s="114"/>
      <c r="P2769" s="234"/>
      <c r="Q2769" s="240"/>
    </row>
    <row r="2770" spans="6:17" x14ac:dyDescent="0.25">
      <c r="F2770" s="134"/>
      <c r="H2770" s="114"/>
      <c r="I2770" s="114"/>
      <c r="J2770" s="114"/>
      <c r="K2770" s="114"/>
      <c r="L2770" s="114"/>
      <c r="M2770" s="114"/>
      <c r="N2770" s="114"/>
      <c r="P2770" s="234"/>
      <c r="Q2770" s="240"/>
    </row>
    <row r="2771" spans="6:17" x14ac:dyDescent="0.25">
      <c r="F2771" s="134"/>
      <c r="H2771" s="114"/>
      <c r="I2771" s="114"/>
      <c r="J2771" s="114"/>
      <c r="K2771" s="114"/>
      <c r="L2771" s="114"/>
      <c r="M2771" s="114"/>
      <c r="N2771" s="114"/>
      <c r="P2771" s="234"/>
      <c r="Q2771" s="240"/>
    </row>
    <row r="2772" spans="6:17" x14ac:dyDescent="0.25">
      <c r="F2772" s="134"/>
      <c r="H2772" s="114"/>
      <c r="I2772" s="114"/>
      <c r="J2772" s="114"/>
      <c r="K2772" s="114"/>
      <c r="L2772" s="114"/>
      <c r="M2772" s="114"/>
      <c r="N2772" s="114"/>
      <c r="P2772" s="234"/>
      <c r="Q2772" s="240"/>
    </row>
    <row r="2773" spans="6:17" x14ac:dyDescent="0.25">
      <c r="F2773" s="134"/>
      <c r="H2773" s="114"/>
      <c r="I2773" s="114"/>
      <c r="J2773" s="114"/>
      <c r="K2773" s="114"/>
      <c r="L2773" s="114"/>
      <c r="M2773" s="114"/>
      <c r="N2773" s="114"/>
      <c r="P2773" s="234"/>
      <c r="Q2773" s="240"/>
    </row>
    <row r="2774" spans="6:17" x14ac:dyDescent="0.25">
      <c r="F2774" s="134"/>
      <c r="H2774" s="114"/>
      <c r="I2774" s="114"/>
      <c r="J2774" s="114"/>
      <c r="K2774" s="114"/>
      <c r="L2774" s="114"/>
      <c r="M2774" s="114"/>
      <c r="N2774" s="114"/>
      <c r="P2774" s="234"/>
      <c r="Q2774" s="240"/>
    </row>
    <row r="2775" spans="6:17" x14ac:dyDescent="0.25">
      <c r="F2775" s="134"/>
      <c r="H2775" s="114"/>
      <c r="I2775" s="114"/>
      <c r="J2775" s="114"/>
      <c r="K2775" s="114"/>
      <c r="L2775" s="114"/>
      <c r="M2775" s="114"/>
      <c r="N2775" s="114"/>
      <c r="P2775" s="234"/>
      <c r="Q2775" s="240"/>
    </row>
    <row r="2776" spans="6:17" x14ac:dyDescent="0.25">
      <c r="F2776" s="134"/>
      <c r="H2776" s="114"/>
      <c r="I2776" s="114"/>
      <c r="J2776" s="114"/>
      <c r="K2776" s="114"/>
      <c r="L2776" s="114"/>
      <c r="M2776" s="114"/>
      <c r="N2776" s="114"/>
      <c r="P2776" s="234"/>
      <c r="Q2776" s="240"/>
    </row>
    <row r="2777" spans="6:17" x14ac:dyDescent="0.25">
      <c r="F2777" s="134"/>
      <c r="H2777" s="114"/>
      <c r="I2777" s="114"/>
      <c r="J2777" s="114"/>
      <c r="K2777" s="114"/>
      <c r="L2777" s="114"/>
      <c r="M2777" s="114"/>
      <c r="N2777" s="114"/>
      <c r="P2777" s="234"/>
      <c r="Q2777" s="240"/>
    </row>
    <row r="2778" spans="6:17" x14ac:dyDescent="0.25">
      <c r="F2778" s="134"/>
      <c r="H2778" s="114"/>
      <c r="I2778" s="114"/>
      <c r="J2778" s="114"/>
      <c r="K2778" s="114"/>
      <c r="L2778" s="114"/>
      <c r="M2778" s="114"/>
      <c r="N2778" s="114"/>
      <c r="P2778" s="234"/>
      <c r="Q2778" s="240"/>
    </row>
    <row r="2779" spans="6:17" x14ac:dyDescent="0.25">
      <c r="F2779" s="134"/>
      <c r="H2779" s="114"/>
      <c r="I2779" s="114"/>
      <c r="J2779" s="114"/>
      <c r="K2779" s="114"/>
      <c r="L2779" s="114"/>
      <c r="M2779" s="114"/>
      <c r="N2779" s="114"/>
      <c r="P2779" s="234"/>
      <c r="Q2779" s="240"/>
    </row>
    <row r="2780" spans="6:17" x14ac:dyDescent="0.25">
      <c r="F2780" s="134"/>
      <c r="H2780" s="114"/>
      <c r="I2780" s="114"/>
      <c r="J2780" s="114"/>
      <c r="K2780" s="114"/>
      <c r="L2780" s="114"/>
      <c r="M2780" s="114"/>
      <c r="N2780" s="114"/>
      <c r="P2780" s="234"/>
      <c r="Q2780" s="240"/>
    </row>
    <row r="2781" spans="6:17" x14ac:dyDescent="0.25">
      <c r="F2781" s="134"/>
      <c r="H2781" s="114"/>
      <c r="I2781" s="114"/>
      <c r="J2781" s="114"/>
      <c r="K2781" s="114"/>
      <c r="L2781" s="114"/>
      <c r="M2781" s="114"/>
      <c r="N2781" s="114"/>
      <c r="P2781" s="234"/>
      <c r="Q2781" s="240"/>
    </row>
    <row r="2782" spans="6:17" x14ac:dyDescent="0.25">
      <c r="F2782" s="134"/>
      <c r="H2782" s="114"/>
      <c r="I2782" s="114"/>
      <c r="J2782" s="114"/>
      <c r="K2782" s="114"/>
      <c r="L2782" s="114"/>
      <c r="M2782" s="114"/>
      <c r="N2782" s="114"/>
      <c r="P2782" s="234"/>
      <c r="Q2782" s="240"/>
    </row>
    <row r="2783" spans="6:17" x14ac:dyDescent="0.25">
      <c r="F2783" s="134"/>
      <c r="H2783" s="114"/>
      <c r="I2783" s="114"/>
      <c r="J2783" s="114"/>
      <c r="K2783" s="114"/>
      <c r="L2783" s="114"/>
      <c r="M2783" s="114"/>
      <c r="N2783" s="114"/>
      <c r="P2783" s="234"/>
      <c r="Q2783" s="240"/>
    </row>
    <row r="2784" spans="6:17" x14ac:dyDescent="0.25">
      <c r="F2784" s="134"/>
      <c r="H2784" s="114"/>
      <c r="I2784" s="114"/>
      <c r="J2784" s="114"/>
      <c r="K2784" s="114"/>
      <c r="L2784" s="114"/>
      <c r="M2784" s="114"/>
      <c r="N2784" s="114"/>
      <c r="P2784" s="234"/>
      <c r="Q2784" s="240"/>
    </row>
    <row r="2785" spans="6:17" x14ac:dyDescent="0.25">
      <c r="F2785" s="134"/>
      <c r="H2785" s="114"/>
      <c r="I2785" s="114"/>
      <c r="J2785" s="114"/>
      <c r="K2785" s="114"/>
      <c r="L2785" s="114"/>
      <c r="M2785" s="114"/>
      <c r="N2785" s="114"/>
      <c r="P2785" s="234"/>
      <c r="Q2785" s="240"/>
    </row>
    <row r="2786" spans="6:17" x14ac:dyDescent="0.25">
      <c r="F2786" s="134"/>
      <c r="H2786" s="114"/>
      <c r="I2786" s="114"/>
      <c r="J2786" s="114"/>
      <c r="K2786" s="114"/>
      <c r="L2786" s="114"/>
      <c r="M2786" s="114"/>
      <c r="N2786" s="114"/>
      <c r="P2786" s="234"/>
      <c r="Q2786" s="240"/>
    </row>
    <row r="2787" spans="6:17" x14ac:dyDescent="0.25">
      <c r="F2787" s="134"/>
      <c r="H2787" s="114"/>
      <c r="I2787" s="114"/>
      <c r="J2787" s="114"/>
      <c r="K2787" s="114"/>
      <c r="L2787" s="114"/>
      <c r="M2787" s="114"/>
      <c r="N2787" s="114"/>
      <c r="P2787" s="234"/>
      <c r="Q2787" s="240"/>
    </row>
    <row r="2788" spans="6:17" x14ac:dyDescent="0.25">
      <c r="F2788" s="134"/>
      <c r="H2788" s="114"/>
      <c r="I2788" s="114"/>
      <c r="J2788" s="114"/>
      <c r="K2788" s="114"/>
      <c r="L2788" s="114"/>
      <c r="M2788" s="114"/>
      <c r="N2788" s="114"/>
      <c r="P2788" s="234"/>
      <c r="Q2788" s="240"/>
    </row>
    <row r="2789" spans="6:17" x14ac:dyDescent="0.25">
      <c r="F2789" s="134"/>
      <c r="H2789" s="114"/>
      <c r="I2789" s="114"/>
      <c r="J2789" s="114"/>
      <c r="K2789" s="114"/>
      <c r="L2789" s="114"/>
      <c r="M2789" s="114"/>
      <c r="N2789" s="114"/>
      <c r="P2789" s="234"/>
      <c r="Q2789" s="240"/>
    </row>
    <row r="2790" spans="6:17" x14ac:dyDescent="0.25">
      <c r="F2790" s="134"/>
      <c r="H2790" s="114"/>
      <c r="I2790" s="114"/>
      <c r="J2790" s="114"/>
      <c r="K2790" s="114"/>
      <c r="L2790" s="114"/>
      <c r="M2790" s="114"/>
      <c r="N2790" s="114"/>
      <c r="P2790" s="234"/>
      <c r="Q2790" s="240"/>
    </row>
    <row r="2791" spans="6:17" x14ac:dyDescent="0.25">
      <c r="F2791" s="134"/>
      <c r="H2791" s="114"/>
      <c r="I2791" s="114"/>
      <c r="J2791" s="114"/>
      <c r="K2791" s="114"/>
      <c r="L2791" s="114"/>
      <c r="M2791" s="114"/>
      <c r="N2791" s="114"/>
      <c r="P2791" s="234"/>
      <c r="Q2791" s="240"/>
    </row>
    <row r="2792" spans="6:17" x14ac:dyDescent="0.25">
      <c r="F2792" s="134"/>
      <c r="H2792" s="114"/>
      <c r="I2792" s="114"/>
      <c r="J2792" s="114"/>
      <c r="K2792" s="114"/>
      <c r="L2792" s="114"/>
      <c r="M2792" s="114"/>
      <c r="N2792" s="114"/>
      <c r="P2792" s="234"/>
      <c r="Q2792" s="240"/>
    </row>
    <row r="2793" spans="6:17" x14ac:dyDescent="0.25">
      <c r="F2793" s="134"/>
      <c r="H2793" s="114"/>
      <c r="I2793" s="114"/>
      <c r="J2793" s="114"/>
      <c r="K2793" s="114"/>
      <c r="L2793" s="114"/>
      <c r="M2793" s="114"/>
      <c r="N2793" s="114"/>
      <c r="P2793" s="234"/>
      <c r="Q2793" s="240"/>
    </row>
    <row r="2794" spans="6:17" x14ac:dyDescent="0.25">
      <c r="F2794" s="134"/>
      <c r="H2794" s="114"/>
      <c r="I2794" s="114"/>
      <c r="J2794" s="114"/>
      <c r="K2794" s="114"/>
      <c r="L2794" s="114"/>
      <c r="M2794" s="114"/>
      <c r="N2794" s="114"/>
      <c r="P2794" s="234"/>
      <c r="Q2794" s="240"/>
    </row>
    <row r="2795" spans="6:17" x14ac:dyDescent="0.25">
      <c r="F2795" s="134"/>
      <c r="H2795" s="114"/>
      <c r="I2795" s="114"/>
      <c r="J2795" s="114"/>
      <c r="K2795" s="114"/>
      <c r="L2795" s="114"/>
      <c r="M2795" s="114"/>
      <c r="N2795" s="114"/>
      <c r="P2795" s="234"/>
      <c r="Q2795" s="240"/>
    </row>
    <row r="2796" spans="6:17" x14ac:dyDescent="0.25">
      <c r="F2796" s="134"/>
      <c r="H2796" s="114"/>
      <c r="I2796" s="114"/>
      <c r="J2796" s="114"/>
      <c r="K2796" s="114"/>
      <c r="L2796" s="114"/>
      <c r="M2796" s="114"/>
      <c r="N2796" s="114"/>
      <c r="P2796" s="234"/>
      <c r="Q2796" s="240"/>
    </row>
    <row r="2797" spans="6:17" x14ac:dyDescent="0.25">
      <c r="F2797" s="134"/>
      <c r="H2797" s="114"/>
      <c r="I2797" s="114"/>
      <c r="J2797" s="114"/>
      <c r="K2797" s="114"/>
      <c r="L2797" s="114"/>
      <c r="M2797" s="114"/>
      <c r="N2797" s="114"/>
      <c r="P2797" s="234"/>
      <c r="Q2797" s="240"/>
    </row>
    <row r="2798" spans="6:17" x14ac:dyDescent="0.25">
      <c r="F2798" s="134"/>
      <c r="H2798" s="114"/>
      <c r="I2798" s="114"/>
      <c r="J2798" s="114"/>
      <c r="K2798" s="114"/>
      <c r="L2798" s="114"/>
      <c r="M2798" s="114"/>
      <c r="N2798" s="114"/>
      <c r="P2798" s="234"/>
      <c r="Q2798" s="240"/>
    </row>
    <row r="2799" spans="6:17" x14ac:dyDescent="0.25">
      <c r="F2799" s="134"/>
      <c r="H2799" s="114"/>
      <c r="I2799" s="114"/>
      <c r="J2799" s="114"/>
      <c r="K2799" s="114"/>
      <c r="L2799" s="114"/>
      <c r="M2799" s="114"/>
      <c r="N2799" s="114"/>
      <c r="P2799" s="234"/>
      <c r="Q2799" s="240"/>
    </row>
    <row r="2800" spans="6:17" x14ac:dyDescent="0.25">
      <c r="F2800" s="134"/>
      <c r="H2800" s="114"/>
      <c r="I2800" s="114"/>
      <c r="J2800" s="114"/>
      <c r="K2800" s="114"/>
      <c r="L2800" s="114"/>
      <c r="M2800" s="114"/>
      <c r="N2800" s="114"/>
      <c r="P2800" s="234"/>
      <c r="Q2800" s="240"/>
    </row>
    <row r="2801" spans="6:17" x14ac:dyDescent="0.25">
      <c r="F2801" s="134"/>
      <c r="H2801" s="114"/>
      <c r="I2801" s="114"/>
      <c r="J2801" s="114"/>
      <c r="K2801" s="114"/>
      <c r="L2801" s="114"/>
      <c r="M2801" s="114"/>
      <c r="N2801" s="114"/>
      <c r="P2801" s="234"/>
      <c r="Q2801" s="240"/>
    </row>
    <row r="2802" spans="6:17" x14ac:dyDescent="0.25">
      <c r="F2802" s="134"/>
      <c r="H2802" s="114"/>
      <c r="I2802" s="114"/>
      <c r="J2802" s="114"/>
      <c r="K2802" s="114"/>
      <c r="L2802" s="114"/>
      <c r="M2802" s="114"/>
      <c r="N2802" s="114"/>
      <c r="P2802" s="234"/>
      <c r="Q2802" s="240"/>
    </row>
    <row r="2803" spans="6:17" x14ac:dyDescent="0.25">
      <c r="F2803" s="134"/>
      <c r="H2803" s="114"/>
      <c r="I2803" s="114"/>
      <c r="J2803" s="114"/>
      <c r="K2803" s="114"/>
      <c r="L2803" s="114"/>
      <c r="M2803" s="114"/>
      <c r="N2803" s="114"/>
      <c r="P2803" s="234"/>
      <c r="Q2803" s="240"/>
    </row>
    <row r="2804" spans="6:17" x14ac:dyDescent="0.25">
      <c r="F2804" s="134"/>
      <c r="H2804" s="114"/>
      <c r="I2804" s="114"/>
      <c r="J2804" s="114"/>
      <c r="K2804" s="114"/>
      <c r="L2804" s="114"/>
      <c r="M2804" s="114"/>
      <c r="N2804" s="114"/>
      <c r="P2804" s="234"/>
      <c r="Q2804" s="240"/>
    </row>
    <row r="2805" spans="6:17" x14ac:dyDescent="0.25">
      <c r="F2805" s="134"/>
      <c r="H2805" s="114"/>
      <c r="I2805" s="114"/>
      <c r="J2805" s="114"/>
      <c r="K2805" s="114"/>
      <c r="L2805" s="114"/>
      <c r="M2805" s="114"/>
      <c r="N2805" s="114"/>
      <c r="P2805" s="234"/>
      <c r="Q2805" s="240"/>
    </row>
    <row r="2806" spans="6:17" x14ac:dyDescent="0.25">
      <c r="F2806" s="134"/>
      <c r="H2806" s="114"/>
      <c r="I2806" s="114"/>
      <c r="J2806" s="114"/>
      <c r="K2806" s="114"/>
      <c r="L2806" s="114"/>
      <c r="M2806" s="114"/>
      <c r="N2806" s="114"/>
      <c r="P2806" s="234"/>
      <c r="Q2806" s="240"/>
    </row>
    <row r="2807" spans="6:17" x14ac:dyDescent="0.25">
      <c r="F2807" s="134"/>
      <c r="H2807" s="114"/>
      <c r="I2807" s="114"/>
      <c r="J2807" s="114"/>
      <c r="K2807" s="114"/>
      <c r="L2807" s="114"/>
      <c r="M2807" s="114"/>
      <c r="N2807" s="114"/>
      <c r="P2807" s="234"/>
      <c r="Q2807" s="240"/>
    </row>
    <row r="2808" spans="6:17" x14ac:dyDescent="0.25">
      <c r="F2808" s="134"/>
      <c r="H2808" s="114"/>
      <c r="I2808" s="114"/>
      <c r="J2808" s="114"/>
      <c r="K2808" s="114"/>
      <c r="L2808" s="114"/>
      <c r="M2808" s="114"/>
      <c r="N2808" s="114"/>
      <c r="P2808" s="234"/>
      <c r="Q2808" s="240"/>
    </row>
    <row r="2809" spans="6:17" x14ac:dyDescent="0.25">
      <c r="F2809" s="134"/>
      <c r="H2809" s="114"/>
      <c r="I2809" s="114"/>
      <c r="J2809" s="114"/>
      <c r="K2809" s="114"/>
      <c r="L2809" s="114"/>
      <c r="M2809" s="114"/>
      <c r="N2809" s="114"/>
      <c r="P2809" s="234"/>
      <c r="Q2809" s="240"/>
    </row>
    <row r="2810" spans="6:17" x14ac:dyDescent="0.25">
      <c r="F2810" s="134"/>
      <c r="H2810" s="114"/>
      <c r="I2810" s="114"/>
      <c r="J2810" s="114"/>
      <c r="K2810" s="114"/>
      <c r="L2810" s="114"/>
      <c r="M2810" s="114"/>
      <c r="N2810" s="114"/>
      <c r="P2810" s="234"/>
      <c r="Q2810" s="240"/>
    </row>
    <row r="2811" spans="6:17" x14ac:dyDescent="0.25">
      <c r="F2811" s="134"/>
      <c r="H2811" s="114"/>
      <c r="I2811" s="114"/>
      <c r="J2811" s="114"/>
      <c r="K2811" s="114"/>
      <c r="L2811" s="114"/>
      <c r="M2811" s="114"/>
      <c r="N2811" s="114"/>
      <c r="P2811" s="234"/>
      <c r="Q2811" s="240"/>
    </row>
    <row r="2812" spans="6:17" x14ac:dyDescent="0.25">
      <c r="F2812" s="134"/>
      <c r="H2812" s="114"/>
      <c r="I2812" s="114"/>
      <c r="J2812" s="114"/>
      <c r="K2812" s="114"/>
      <c r="L2812" s="114"/>
      <c r="M2812" s="114"/>
      <c r="N2812" s="114"/>
      <c r="P2812" s="234"/>
      <c r="Q2812" s="240"/>
    </row>
    <row r="2813" spans="6:17" x14ac:dyDescent="0.25">
      <c r="F2813" s="134"/>
      <c r="H2813" s="114"/>
      <c r="I2813" s="114"/>
      <c r="J2813" s="114"/>
      <c r="K2813" s="114"/>
      <c r="L2813" s="114"/>
      <c r="M2813" s="114"/>
      <c r="N2813" s="114"/>
      <c r="P2813" s="234"/>
      <c r="Q2813" s="240"/>
    </row>
    <row r="2814" spans="6:17" x14ac:dyDescent="0.25">
      <c r="F2814" s="134"/>
      <c r="H2814" s="114"/>
      <c r="I2814" s="114"/>
      <c r="J2814" s="114"/>
      <c r="K2814" s="114"/>
      <c r="L2814" s="114"/>
      <c r="M2814" s="114"/>
      <c r="N2814" s="114"/>
      <c r="P2814" s="234"/>
      <c r="Q2814" s="240"/>
    </row>
    <row r="2815" spans="6:17" x14ac:dyDescent="0.25">
      <c r="F2815" s="134"/>
      <c r="H2815" s="114"/>
      <c r="I2815" s="114"/>
      <c r="J2815" s="114"/>
      <c r="K2815" s="114"/>
      <c r="L2815" s="114"/>
      <c r="M2815" s="114"/>
      <c r="N2815" s="114"/>
      <c r="P2815" s="234"/>
      <c r="Q2815" s="240"/>
    </row>
    <row r="2816" spans="6:17" x14ac:dyDescent="0.25">
      <c r="F2816" s="134"/>
      <c r="H2816" s="114"/>
      <c r="I2816" s="114"/>
      <c r="J2816" s="114"/>
      <c r="K2816" s="114"/>
      <c r="L2816" s="114"/>
      <c r="M2816" s="114"/>
      <c r="N2816" s="114"/>
      <c r="P2816" s="234"/>
      <c r="Q2816" s="240"/>
    </row>
    <row r="2817" spans="6:17" x14ac:dyDescent="0.25">
      <c r="F2817" s="134"/>
      <c r="H2817" s="114"/>
      <c r="I2817" s="114"/>
      <c r="J2817" s="114"/>
      <c r="K2817" s="114"/>
      <c r="L2817" s="114"/>
      <c r="M2817" s="114"/>
      <c r="N2817" s="114"/>
      <c r="P2817" s="234"/>
      <c r="Q2817" s="240"/>
    </row>
    <row r="2818" spans="6:17" x14ac:dyDescent="0.25">
      <c r="F2818" s="134"/>
      <c r="H2818" s="114"/>
      <c r="I2818" s="114"/>
      <c r="J2818" s="114"/>
      <c r="K2818" s="114"/>
      <c r="L2818" s="114"/>
      <c r="M2818" s="114"/>
      <c r="N2818" s="114"/>
      <c r="P2818" s="234"/>
      <c r="Q2818" s="240"/>
    </row>
    <row r="2819" spans="6:17" x14ac:dyDescent="0.25">
      <c r="F2819" s="134"/>
      <c r="H2819" s="114"/>
      <c r="I2819" s="114"/>
      <c r="J2819" s="114"/>
      <c r="K2819" s="114"/>
      <c r="L2819" s="114"/>
      <c r="M2819" s="114"/>
      <c r="N2819" s="114"/>
      <c r="P2819" s="234"/>
      <c r="Q2819" s="240"/>
    </row>
    <row r="2820" spans="6:17" x14ac:dyDescent="0.25">
      <c r="F2820" s="134"/>
      <c r="H2820" s="114"/>
      <c r="I2820" s="114"/>
      <c r="J2820" s="114"/>
      <c r="K2820" s="114"/>
      <c r="L2820" s="114"/>
      <c r="M2820" s="114"/>
      <c r="N2820" s="114"/>
      <c r="P2820" s="234"/>
      <c r="Q2820" s="240"/>
    </row>
    <row r="2821" spans="6:17" x14ac:dyDescent="0.25">
      <c r="F2821" s="134"/>
      <c r="H2821" s="114"/>
      <c r="I2821" s="114"/>
      <c r="J2821" s="114"/>
      <c r="K2821" s="114"/>
      <c r="L2821" s="114"/>
      <c r="M2821" s="114"/>
      <c r="N2821" s="114"/>
      <c r="P2821" s="234"/>
      <c r="Q2821" s="240"/>
    </row>
    <row r="2822" spans="6:17" x14ac:dyDescent="0.25">
      <c r="F2822" s="134"/>
      <c r="H2822" s="114"/>
      <c r="I2822" s="114"/>
      <c r="J2822" s="114"/>
      <c r="K2822" s="114"/>
      <c r="L2822" s="114"/>
      <c r="M2822" s="114"/>
      <c r="N2822" s="114"/>
      <c r="P2822" s="234"/>
      <c r="Q2822" s="240"/>
    </row>
    <row r="2823" spans="6:17" x14ac:dyDescent="0.25">
      <c r="F2823" s="134"/>
      <c r="H2823" s="114"/>
      <c r="I2823" s="114"/>
      <c r="J2823" s="114"/>
      <c r="K2823" s="114"/>
      <c r="L2823" s="114"/>
      <c r="M2823" s="114"/>
      <c r="N2823" s="114"/>
      <c r="P2823" s="234"/>
      <c r="Q2823" s="240"/>
    </row>
    <row r="2824" spans="6:17" x14ac:dyDescent="0.25">
      <c r="F2824" s="134"/>
      <c r="H2824" s="114"/>
      <c r="I2824" s="114"/>
      <c r="J2824" s="114"/>
      <c r="K2824" s="114"/>
      <c r="L2824" s="114"/>
      <c r="M2824" s="114"/>
      <c r="N2824" s="114"/>
      <c r="P2824" s="234"/>
      <c r="Q2824" s="240"/>
    </row>
    <row r="2825" spans="6:17" x14ac:dyDescent="0.25">
      <c r="F2825" s="134"/>
      <c r="H2825" s="114"/>
      <c r="I2825" s="114"/>
      <c r="J2825" s="114"/>
      <c r="K2825" s="114"/>
      <c r="L2825" s="114"/>
      <c r="M2825" s="114"/>
      <c r="N2825" s="114"/>
      <c r="P2825" s="234"/>
      <c r="Q2825" s="240"/>
    </row>
    <row r="2826" spans="6:17" x14ac:dyDescent="0.25">
      <c r="F2826" s="134"/>
      <c r="H2826" s="114"/>
      <c r="I2826" s="114"/>
      <c r="J2826" s="114"/>
      <c r="K2826" s="114"/>
      <c r="L2826" s="114"/>
      <c r="M2826" s="114"/>
      <c r="N2826" s="114"/>
      <c r="P2826" s="234"/>
      <c r="Q2826" s="240"/>
    </row>
    <row r="2827" spans="6:17" x14ac:dyDescent="0.25">
      <c r="F2827" s="134"/>
      <c r="H2827" s="114"/>
      <c r="I2827" s="114"/>
      <c r="J2827" s="114"/>
      <c r="K2827" s="114"/>
      <c r="L2827" s="114"/>
      <c r="M2827" s="114"/>
      <c r="N2827" s="114"/>
      <c r="P2827" s="234"/>
      <c r="Q2827" s="240"/>
    </row>
    <row r="2828" spans="6:17" x14ac:dyDescent="0.25">
      <c r="F2828" s="134"/>
      <c r="H2828" s="114"/>
      <c r="I2828" s="114"/>
      <c r="J2828" s="114"/>
      <c r="K2828" s="114"/>
      <c r="L2828" s="114"/>
      <c r="M2828" s="114"/>
      <c r="N2828" s="114"/>
      <c r="P2828" s="234"/>
      <c r="Q2828" s="240"/>
    </row>
    <row r="2829" spans="6:17" x14ac:dyDescent="0.25">
      <c r="F2829" s="134"/>
      <c r="H2829" s="114"/>
      <c r="I2829" s="114"/>
      <c r="J2829" s="114"/>
      <c r="K2829" s="114"/>
      <c r="L2829" s="114"/>
      <c r="M2829" s="114"/>
      <c r="N2829" s="114"/>
      <c r="P2829" s="234"/>
      <c r="Q2829" s="240"/>
    </row>
    <row r="2830" spans="6:17" x14ac:dyDescent="0.25">
      <c r="F2830" s="134"/>
      <c r="H2830" s="114"/>
      <c r="I2830" s="114"/>
      <c r="J2830" s="114"/>
      <c r="K2830" s="114"/>
      <c r="L2830" s="114"/>
      <c r="M2830" s="114"/>
      <c r="N2830" s="114"/>
      <c r="P2830" s="234"/>
      <c r="Q2830" s="240"/>
    </row>
    <row r="2831" spans="6:17" x14ac:dyDescent="0.25">
      <c r="F2831" s="134"/>
      <c r="H2831" s="114"/>
      <c r="I2831" s="114"/>
      <c r="J2831" s="114"/>
      <c r="K2831" s="114"/>
      <c r="L2831" s="114"/>
      <c r="M2831" s="114"/>
      <c r="N2831" s="114"/>
      <c r="P2831" s="234"/>
      <c r="Q2831" s="240"/>
    </row>
    <row r="2832" spans="6:17" x14ac:dyDescent="0.25">
      <c r="F2832" s="134"/>
      <c r="H2832" s="114"/>
      <c r="I2832" s="114"/>
      <c r="J2832" s="114"/>
      <c r="K2832" s="114"/>
      <c r="L2832" s="114"/>
      <c r="M2832" s="114"/>
      <c r="N2832" s="114"/>
      <c r="P2832" s="234"/>
      <c r="Q2832" s="240"/>
    </row>
    <row r="2833" spans="6:17" x14ac:dyDescent="0.25">
      <c r="F2833" s="134"/>
      <c r="H2833" s="114"/>
      <c r="I2833" s="114"/>
      <c r="J2833" s="114"/>
      <c r="K2833" s="114"/>
      <c r="L2833" s="114"/>
      <c r="M2833" s="114"/>
      <c r="N2833" s="114"/>
      <c r="P2833" s="234"/>
      <c r="Q2833" s="240"/>
    </row>
    <row r="2834" spans="6:17" x14ac:dyDescent="0.25">
      <c r="F2834" s="134"/>
      <c r="H2834" s="114"/>
      <c r="I2834" s="114"/>
      <c r="J2834" s="114"/>
      <c r="K2834" s="114"/>
      <c r="L2834" s="114"/>
      <c r="M2834" s="114"/>
      <c r="N2834" s="114"/>
      <c r="P2834" s="234"/>
      <c r="Q2834" s="240"/>
    </row>
    <row r="2835" spans="6:17" x14ac:dyDescent="0.25">
      <c r="F2835" s="134"/>
      <c r="H2835" s="114"/>
      <c r="I2835" s="114"/>
      <c r="J2835" s="114"/>
      <c r="K2835" s="114"/>
      <c r="L2835" s="114"/>
      <c r="M2835" s="114"/>
      <c r="N2835" s="114"/>
      <c r="P2835" s="234"/>
      <c r="Q2835" s="240"/>
    </row>
    <row r="2836" spans="6:17" x14ac:dyDescent="0.25">
      <c r="F2836" s="134"/>
      <c r="H2836" s="114"/>
      <c r="I2836" s="114"/>
      <c r="J2836" s="114"/>
      <c r="K2836" s="114"/>
      <c r="L2836" s="114"/>
      <c r="M2836" s="114"/>
      <c r="N2836" s="114"/>
      <c r="P2836" s="234"/>
      <c r="Q2836" s="240"/>
    </row>
    <row r="2837" spans="6:17" x14ac:dyDescent="0.25">
      <c r="F2837" s="134"/>
      <c r="H2837" s="114"/>
      <c r="I2837" s="114"/>
      <c r="J2837" s="114"/>
      <c r="K2837" s="114"/>
      <c r="L2837" s="114"/>
      <c r="M2837" s="114"/>
      <c r="N2837" s="114"/>
      <c r="P2837" s="234"/>
      <c r="Q2837" s="240"/>
    </row>
    <row r="2838" spans="6:17" x14ac:dyDescent="0.25">
      <c r="F2838" s="134"/>
      <c r="H2838" s="114"/>
      <c r="I2838" s="114"/>
      <c r="J2838" s="114"/>
      <c r="K2838" s="114"/>
      <c r="L2838" s="114"/>
      <c r="M2838" s="114"/>
      <c r="N2838" s="114"/>
      <c r="P2838" s="234"/>
      <c r="Q2838" s="240"/>
    </row>
    <row r="2839" spans="6:17" x14ac:dyDescent="0.25">
      <c r="F2839" s="134"/>
      <c r="H2839" s="114"/>
      <c r="I2839" s="114"/>
      <c r="J2839" s="114"/>
      <c r="K2839" s="114"/>
      <c r="L2839" s="114"/>
      <c r="M2839" s="114"/>
      <c r="N2839" s="114"/>
      <c r="P2839" s="234"/>
      <c r="Q2839" s="240"/>
    </row>
    <row r="2840" spans="6:17" x14ac:dyDescent="0.25">
      <c r="F2840" s="134"/>
      <c r="H2840" s="114"/>
      <c r="I2840" s="114"/>
      <c r="J2840" s="114"/>
      <c r="K2840" s="114"/>
      <c r="L2840" s="114"/>
      <c r="M2840" s="114"/>
      <c r="N2840" s="114"/>
      <c r="P2840" s="234"/>
      <c r="Q2840" s="240"/>
    </row>
    <row r="2841" spans="6:17" x14ac:dyDescent="0.25">
      <c r="F2841" s="134"/>
      <c r="H2841" s="114"/>
      <c r="I2841" s="114"/>
      <c r="J2841" s="114"/>
      <c r="K2841" s="114"/>
      <c r="L2841" s="114"/>
      <c r="M2841" s="114"/>
      <c r="N2841" s="114"/>
      <c r="P2841" s="234"/>
      <c r="Q2841" s="240"/>
    </row>
    <row r="2842" spans="6:17" x14ac:dyDescent="0.25">
      <c r="F2842" s="134"/>
      <c r="H2842" s="114"/>
      <c r="I2842" s="114"/>
      <c r="J2842" s="114"/>
      <c r="K2842" s="114"/>
      <c r="L2842" s="114"/>
      <c r="M2842" s="114"/>
      <c r="N2842" s="114"/>
      <c r="P2842" s="234"/>
      <c r="Q2842" s="240"/>
    </row>
    <row r="2843" spans="6:17" x14ac:dyDescent="0.25">
      <c r="F2843" s="134"/>
      <c r="H2843" s="114"/>
      <c r="I2843" s="114"/>
      <c r="J2843" s="114"/>
      <c r="K2843" s="114"/>
      <c r="L2843" s="114"/>
      <c r="M2843" s="114"/>
      <c r="N2843" s="114"/>
      <c r="P2843" s="234"/>
      <c r="Q2843" s="240"/>
    </row>
    <row r="2844" spans="6:17" x14ac:dyDescent="0.25">
      <c r="F2844" s="134"/>
      <c r="H2844" s="114"/>
      <c r="I2844" s="114"/>
      <c r="J2844" s="114"/>
      <c r="K2844" s="114"/>
      <c r="L2844" s="114"/>
      <c r="M2844" s="114"/>
      <c r="N2844" s="114"/>
      <c r="P2844" s="234"/>
      <c r="Q2844" s="240"/>
    </row>
    <row r="2845" spans="6:17" x14ac:dyDescent="0.25">
      <c r="F2845" s="134"/>
      <c r="H2845" s="114"/>
      <c r="I2845" s="114"/>
      <c r="J2845" s="114"/>
      <c r="K2845" s="114"/>
      <c r="L2845" s="114"/>
      <c r="M2845" s="114"/>
      <c r="N2845" s="114"/>
      <c r="P2845" s="234"/>
      <c r="Q2845" s="240"/>
    </row>
    <row r="2846" spans="6:17" x14ac:dyDescent="0.25">
      <c r="F2846" s="134"/>
      <c r="H2846" s="114"/>
      <c r="I2846" s="114"/>
      <c r="J2846" s="114"/>
      <c r="K2846" s="114"/>
      <c r="L2846" s="114"/>
      <c r="M2846" s="114"/>
      <c r="N2846" s="114"/>
      <c r="P2846" s="234"/>
      <c r="Q2846" s="240"/>
    </row>
    <row r="2847" spans="6:17" x14ac:dyDescent="0.25">
      <c r="F2847" s="134"/>
      <c r="H2847" s="114"/>
      <c r="I2847" s="114"/>
      <c r="J2847" s="114"/>
      <c r="K2847" s="114"/>
      <c r="L2847" s="114"/>
      <c r="M2847" s="114"/>
      <c r="N2847" s="114"/>
      <c r="P2847" s="234"/>
      <c r="Q2847" s="240"/>
    </row>
    <row r="2848" spans="6:17" x14ac:dyDescent="0.25">
      <c r="F2848" s="134"/>
      <c r="H2848" s="114"/>
      <c r="I2848" s="114"/>
      <c r="J2848" s="114"/>
      <c r="K2848" s="114"/>
      <c r="L2848" s="114"/>
      <c r="M2848" s="114"/>
      <c r="N2848" s="114"/>
      <c r="P2848" s="234"/>
      <c r="Q2848" s="240"/>
    </row>
    <row r="2849" spans="6:17" x14ac:dyDescent="0.25">
      <c r="F2849" s="134"/>
      <c r="H2849" s="114"/>
      <c r="I2849" s="114"/>
      <c r="J2849" s="114"/>
      <c r="K2849" s="114"/>
      <c r="L2849" s="114"/>
      <c r="M2849" s="114"/>
      <c r="N2849" s="114"/>
      <c r="P2849" s="234"/>
      <c r="Q2849" s="240"/>
    </row>
    <row r="2850" spans="6:17" x14ac:dyDescent="0.25">
      <c r="F2850" s="134"/>
      <c r="H2850" s="114"/>
      <c r="I2850" s="114"/>
      <c r="J2850" s="114"/>
      <c r="K2850" s="114"/>
      <c r="L2850" s="114"/>
      <c r="M2850" s="114"/>
      <c r="N2850" s="114"/>
      <c r="P2850" s="234"/>
      <c r="Q2850" s="240"/>
    </row>
    <row r="2851" spans="6:17" x14ac:dyDescent="0.25">
      <c r="F2851" s="134"/>
      <c r="H2851" s="114"/>
      <c r="I2851" s="114"/>
      <c r="J2851" s="114"/>
      <c r="K2851" s="114"/>
      <c r="L2851" s="114"/>
      <c r="M2851" s="114"/>
      <c r="N2851" s="114"/>
      <c r="P2851" s="234"/>
      <c r="Q2851" s="240"/>
    </row>
    <row r="2852" spans="6:17" x14ac:dyDescent="0.25">
      <c r="F2852" s="134"/>
      <c r="H2852" s="114"/>
      <c r="I2852" s="114"/>
      <c r="J2852" s="114"/>
      <c r="K2852" s="114"/>
      <c r="L2852" s="114"/>
      <c r="M2852" s="114"/>
      <c r="N2852" s="114"/>
      <c r="P2852" s="234"/>
      <c r="Q2852" s="240"/>
    </row>
    <row r="2853" spans="6:17" x14ac:dyDescent="0.25">
      <c r="F2853" s="134"/>
      <c r="H2853" s="114"/>
      <c r="I2853" s="114"/>
      <c r="J2853" s="114"/>
      <c r="K2853" s="114"/>
      <c r="L2853" s="114"/>
      <c r="M2853" s="114"/>
      <c r="N2853" s="114"/>
      <c r="P2853" s="234"/>
      <c r="Q2853" s="240"/>
    </row>
    <row r="2854" spans="6:17" x14ac:dyDescent="0.25">
      <c r="F2854" s="134"/>
      <c r="H2854" s="114"/>
      <c r="I2854" s="114"/>
      <c r="J2854" s="114"/>
      <c r="K2854" s="114"/>
      <c r="L2854" s="114"/>
      <c r="M2854" s="114"/>
      <c r="N2854" s="114"/>
      <c r="P2854" s="234"/>
      <c r="Q2854" s="240"/>
    </row>
    <row r="2855" spans="6:17" x14ac:dyDescent="0.25">
      <c r="F2855" s="134"/>
      <c r="H2855" s="114"/>
      <c r="I2855" s="114"/>
      <c r="J2855" s="114"/>
      <c r="K2855" s="114"/>
      <c r="L2855" s="114"/>
      <c r="M2855" s="114"/>
      <c r="N2855" s="114"/>
      <c r="P2855" s="234"/>
      <c r="Q2855" s="240"/>
    </row>
    <row r="2856" spans="6:17" x14ac:dyDescent="0.25">
      <c r="F2856" s="134"/>
      <c r="H2856" s="114"/>
      <c r="I2856" s="114"/>
      <c r="J2856" s="114"/>
      <c r="K2856" s="114"/>
      <c r="L2856" s="114"/>
      <c r="M2856" s="114"/>
      <c r="N2856" s="114"/>
      <c r="P2856" s="234"/>
      <c r="Q2856" s="240"/>
    </row>
    <row r="2857" spans="6:17" x14ac:dyDescent="0.25">
      <c r="F2857" s="134"/>
      <c r="H2857" s="114"/>
      <c r="I2857" s="114"/>
      <c r="J2857" s="114"/>
      <c r="K2857" s="114"/>
      <c r="L2857" s="114"/>
      <c r="M2857" s="114"/>
      <c r="N2857" s="114"/>
      <c r="P2857" s="234"/>
      <c r="Q2857" s="240"/>
    </row>
    <row r="2858" spans="6:17" x14ac:dyDescent="0.25">
      <c r="F2858" s="134"/>
      <c r="H2858" s="114"/>
      <c r="I2858" s="114"/>
      <c r="J2858" s="114"/>
      <c r="K2858" s="114"/>
      <c r="L2858" s="114"/>
      <c r="M2858" s="114"/>
      <c r="N2858" s="114"/>
      <c r="P2858" s="234"/>
      <c r="Q2858" s="240"/>
    </row>
    <row r="2859" spans="6:17" x14ac:dyDescent="0.25">
      <c r="F2859" s="134"/>
      <c r="H2859" s="114"/>
      <c r="I2859" s="114"/>
      <c r="J2859" s="114"/>
      <c r="K2859" s="114"/>
      <c r="L2859" s="114"/>
      <c r="M2859" s="114"/>
      <c r="N2859" s="114"/>
      <c r="P2859" s="234"/>
      <c r="Q2859" s="240"/>
    </row>
    <row r="2860" spans="6:17" x14ac:dyDescent="0.25">
      <c r="F2860" s="134"/>
      <c r="H2860" s="114"/>
      <c r="I2860" s="114"/>
      <c r="J2860" s="114"/>
      <c r="K2860" s="114"/>
      <c r="L2860" s="114"/>
      <c r="M2860" s="114"/>
      <c r="N2860" s="114"/>
      <c r="P2860" s="234"/>
      <c r="Q2860" s="240"/>
    </row>
    <row r="2861" spans="6:17" x14ac:dyDescent="0.25">
      <c r="F2861" s="134"/>
      <c r="H2861" s="114"/>
      <c r="I2861" s="114"/>
      <c r="J2861" s="114"/>
      <c r="K2861" s="114"/>
      <c r="L2861" s="114"/>
      <c r="M2861" s="114"/>
      <c r="N2861" s="114"/>
      <c r="P2861" s="234"/>
      <c r="Q2861" s="240"/>
    </row>
    <row r="2862" spans="6:17" x14ac:dyDescent="0.25">
      <c r="F2862" s="134"/>
      <c r="H2862" s="114"/>
      <c r="I2862" s="114"/>
      <c r="J2862" s="114"/>
      <c r="K2862" s="114"/>
      <c r="L2862" s="114"/>
      <c r="M2862" s="114"/>
      <c r="N2862" s="114"/>
      <c r="P2862" s="234"/>
      <c r="Q2862" s="240"/>
    </row>
    <row r="2863" spans="6:17" x14ac:dyDescent="0.25">
      <c r="F2863" s="134"/>
      <c r="H2863" s="114"/>
      <c r="I2863" s="114"/>
      <c r="J2863" s="114"/>
      <c r="K2863" s="114"/>
      <c r="L2863" s="114"/>
      <c r="M2863" s="114"/>
      <c r="N2863" s="114"/>
      <c r="P2863" s="234"/>
      <c r="Q2863" s="240"/>
    </row>
    <row r="2864" spans="6:17" x14ac:dyDescent="0.25">
      <c r="F2864" s="134"/>
      <c r="H2864" s="114"/>
      <c r="I2864" s="114"/>
      <c r="J2864" s="114"/>
      <c r="K2864" s="114"/>
      <c r="L2864" s="114"/>
      <c r="M2864" s="114"/>
      <c r="N2864" s="114"/>
      <c r="P2864" s="234"/>
      <c r="Q2864" s="240"/>
    </row>
    <row r="2865" spans="6:17" x14ac:dyDescent="0.25">
      <c r="F2865" s="134"/>
      <c r="H2865" s="114"/>
      <c r="I2865" s="114"/>
      <c r="J2865" s="114"/>
      <c r="K2865" s="114"/>
      <c r="L2865" s="114"/>
      <c r="M2865" s="114"/>
      <c r="N2865" s="114"/>
      <c r="P2865" s="234"/>
      <c r="Q2865" s="240"/>
    </row>
    <row r="2866" spans="6:17" x14ac:dyDescent="0.25">
      <c r="F2866" s="134"/>
      <c r="H2866" s="114"/>
      <c r="I2866" s="114"/>
      <c r="J2866" s="114"/>
      <c r="K2866" s="114"/>
      <c r="L2866" s="114"/>
      <c r="M2866" s="114"/>
      <c r="N2866" s="114"/>
      <c r="P2866" s="234"/>
      <c r="Q2866" s="240"/>
    </row>
    <row r="2867" spans="6:17" x14ac:dyDescent="0.25">
      <c r="F2867" s="134"/>
      <c r="H2867" s="114"/>
      <c r="I2867" s="114"/>
      <c r="J2867" s="114"/>
      <c r="K2867" s="114"/>
      <c r="L2867" s="114"/>
      <c r="M2867" s="114"/>
      <c r="N2867" s="114"/>
      <c r="P2867" s="234"/>
      <c r="Q2867" s="240"/>
    </row>
    <row r="2868" spans="6:17" x14ac:dyDescent="0.25">
      <c r="F2868" s="134"/>
      <c r="H2868" s="114"/>
      <c r="I2868" s="114"/>
      <c r="J2868" s="114"/>
      <c r="K2868" s="114"/>
      <c r="L2868" s="114"/>
      <c r="M2868" s="114"/>
      <c r="N2868" s="114"/>
      <c r="P2868" s="234"/>
      <c r="Q2868" s="240"/>
    </row>
    <row r="2869" spans="6:17" x14ac:dyDescent="0.25">
      <c r="F2869" s="134"/>
      <c r="H2869" s="114"/>
      <c r="I2869" s="114"/>
      <c r="J2869" s="114"/>
      <c r="K2869" s="114"/>
      <c r="L2869" s="114"/>
      <c r="M2869" s="114"/>
      <c r="N2869" s="114"/>
      <c r="P2869" s="234"/>
      <c r="Q2869" s="240"/>
    </row>
    <row r="2870" spans="6:17" x14ac:dyDescent="0.25">
      <c r="F2870" s="134"/>
      <c r="H2870" s="114"/>
      <c r="I2870" s="114"/>
      <c r="J2870" s="114"/>
      <c r="K2870" s="114"/>
      <c r="L2870" s="114"/>
      <c r="M2870" s="114"/>
      <c r="N2870" s="114"/>
      <c r="P2870" s="234"/>
      <c r="Q2870" s="240"/>
    </row>
    <row r="2871" spans="6:17" x14ac:dyDescent="0.25">
      <c r="F2871" s="134"/>
      <c r="H2871" s="114"/>
      <c r="I2871" s="114"/>
      <c r="J2871" s="114"/>
      <c r="K2871" s="114"/>
      <c r="L2871" s="114"/>
      <c r="M2871" s="114"/>
      <c r="N2871" s="114"/>
      <c r="P2871" s="234"/>
      <c r="Q2871" s="240"/>
    </row>
    <row r="2872" spans="6:17" x14ac:dyDescent="0.25">
      <c r="F2872" s="134"/>
      <c r="H2872" s="114"/>
      <c r="I2872" s="114"/>
      <c r="J2872" s="114"/>
      <c r="K2872" s="114"/>
      <c r="L2872" s="114"/>
      <c r="M2872" s="114"/>
      <c r="N2872" s="114"/>
      <c r="P2872" s="234"/>
      <c r="Q2872" s="240"/>
    </row>
    <row r="2873" spans="6:17" x14ac:dyDescent="0.25">
      <c r="F2873" s="134"/>
      <c r="H2873" s="114"/>
      <c r="I2873" s="114"/>
      <c r="J2873" s="114"/>
      <c r="K2873" s="114"/>
      <c r="L2873" s="114"/>
      <c r="M2873" s="114"/>
      <c r="N2873" s="114"/>
      <c r="P2873" s="234"/>
      <c r="Q2873" s="240"/>
    </row>
    <row r="2874" spans="6:17" x14ac:dyDescent="0.25">
      <c r="F2874" s="134"/>
      <c r="H2874" s="114"/>
      <c r="I2874" s="114"/>
      <c r="J2874" s="114"/>
      <c r="K2874" s="114"/>
      <c r="L2874" s="114"/>
      <c r="M2874" s="114"/>
      <c r="N2874" s="114"/>
      <c r="P2874" s="234"/>
      <c r="Q2874" s="240"/>
    </row>
    <row r="2875" spans="6:17" x14ac:dyDescent="0.25">
      <c r="F2875" s="134"/>
      <c r="H2875" s="114"/>
      <c r="I2875" s="114"/>
      <c r="J2875" s="114"/>
      <c r="K2875" s="114"/>
      <c r="L2875" s="114"/>
      <c r="M2875" s="114"/>
      <c r="N2875" s="114"/>
      <c r="P2875" s="234"/>
      <c r="Q2875" s="240"/>
    </row>
    <row r="2876" spans="6:17" x14ac:dyDescent="0.25">
      <c r="F2876" s="134"/>
      <c r="H2876" s="114"/>
      <c r="I2876" s="114"/>
      <c r="J2876" s="114"/>
      <c r="K2876" s="114"/>
      <c r="L2876" s="114"/>
      <c r="M2876" s="114"/>
      <c r="N2876" s="114"/>
      <c r="P2876" s="234"/>
      <c r="Q2876" s="240"/>
    </row>
    <row r="2877" spans="6:17" x14ac:dyDescent="0.25">
      <c r="F2877" s="134"/>
      <c r="H2877" s="114"/>
      <c r="I2877" s="114"/>
      <c r="J2877" s="114"/>
      <c r="K2877" s="114"/>
      <c r="L2877" s="114"/>
      <c r="M2877" s="114"/>
      <c r="N2877" s="114"/>
      <c r="P2877" s="234"/>
      <c r="Q2877" s="240"/>
    </row>
    <row r="2878" spans="6:17" x14ac:dyDescent="0.25">
      <c r="F2878" s="134"/>
      <c r="H2878" s="114"/>
      <c r="I2878" s="114"/>
      <c r="J2878" s="114"/>
      <c r="K2878" s="114"/>
      <c r="L2878" s="114"/>
      <c r="M2878" s="114"/>
      <c r="N2878" s="114"/>
      <c r="P2878" s="234"/>
      <c r="Q2878" s="240"/>
    </row>
    <row r="2879" spans="6:17" x14ac:dyDescent="0.25">
      <c r="F2879" s="134"/>
      <c r="H2879" s="114"/>
      <c r="I2879" s="114"/>
      <c r="J2879" s="114"/>
      <c r="K2879" s="114"/>
      <c r="L2879" s="114"/>
      <c r="M2879" s="114"/>
      <c r="N2879" s="114"/>
      <c r="P2879" s="234"/>
      <c r="Q2879" s="240"/>
    </row>
    <row r="2880" spans="6:17" x14ac:dyDescent="0.25">
      <c r="F2880" s="134"/>
      <c r="H2880" s="114"/>
      <c r="I2880" s="114"/>
      <c r="J2880" s="114"/>
      <c r="K2880" s="114"/>
      <c r="L2880" s="114"/>
      <c r="M2880" s="114"/>
      <c r="N2880" s="114"/>
      <c r="P2880" s="234"/>
      <c r="Q2880" s="240"/>
    </row>
    <row r="2881" spans="6:17" x14ac:dyDescent="0.25">
      <c r="F2881" s="134"/>
      <c r="H2881" s="114"/>
      <c r="I2881" s="114"/>
      <c r="J2881" s="114"/>
      <c r="K2881" s="114"/>
      <c r="L2881" s="114"/>
      <c r="M2881" s="114"/>
      <c r="N2881" s="114"/>
      <c r="P2881" s="234"/>
      <c r="Q2881" s="240"/>
    </row>
    <row r="2882" spans="6:17" x14ac:dyDescent="0.25">
      <c r="F2882" s="134"/>
      <c r="H2882" s="114"/>
      <c r="I2882" s="114"/>
      <c r="J2882" s="114"/>
      <c r="K2882" s="114"/>
      <c r="L2882" s="114"/>
      <c r="M2882" s="114"/>
      <c r="N2882" s="114"/>
      <c r="P2882" s="234"/>
      <c r="Q2882" s="240"/>
    </row>
    <row r="2883" spans="6:17" x14ac:dyDescent="0.25">
      <c r="F2883" s="134"/>
      <c r="H2883" s="114"/>
      <c r="I2883" s="114"/>
      <c r="J2883" s="114"/>
      <c r="K2883" s="114"/>
      <c r="L2883" s="114"/>
      <c r="M2883" s="114"/>
      <c r="N2883" s="114"/>
      <c r="P2883" s="234"/>
      <c r="Q2883" s="240"/>
    </row>
    <row r="2884" spans="6:17" x14ac:dyDescent="0.25">
      <c r="F2884" s="134"/>
      <c r="H2884" s="114"/>
      <c r="I2884" s="114"/>
      <c r="J2884" s="114"/>
      <c r="K2884" s="114"/>
      <c r="L2884" s="114"/>
      <c r="M2884" s="114"/>
      <c r="N2884" s="114"/>
      <c r="P2884" s="234"/>
      <c r="Q2884" s="240"/>
    </row>
    <row r="2885" spans="6:17" x14ac:dyDescent="0.25">
      <c r="F2885" s="134"/>
      <c r="H2885" s="114"/>
      <c r="I2885" s="114"/>
      <c r="J2885" s="114"/>
      <c r="K2885" s="114"/>
      <c r="L2885" s="114"/>
      <c r="M2885" s="114"/>
      <c r="N2885" s="114"/>
      <c r="P2885" s="234"/>
      <c r="Q2885" s="240"/>
    </row>
    <row r="2886" spans="6:17" x14ac:dyDescent="0.25">
      <c r="F2886" s="134"/>
      <c r="H2886" s="114"/>
      <c r="I2886" s="114"/>
      <c r="J2886" s="114"/>
      <c r="K2886" s="114"/>
      <c r="L2886" s="114"/>
      <c r="M2886" s="114"/>
      <c r="N2886" s="114"/>
      <c r="P2886" s="234"/>
      <c r="Q2886" s="240"/>
    </row>
    <row r="2887" spans="6:17" x14ac:dyDescent="0.25">
      <c r="F2887" s="134"/>
      <c r="H2887" s="114"/>
      <c r="I2887" s="114"/>
      <c r="J2887" s="114"/>
      <c r="K2887" s="114"/>
      <c r="L2887" s="114"/>
      <c r="M2887" s="114"/>
      <c r="N2887" s="114"/>
      <c r="P2887" s="234"/>
      <c r="Q2887" s="240"/>
    </row>
    <row r="2888" spans="6:17" x14ac:dyDescent="0.25">
      <c r="F2888" s="134"/>
      <c r="H2888" s="114"/>
      <c r="I2888" s="114"/>
      <c r="J2888" s="114"/>
      <c r="K2888" s="114"/>
      <c r="L2888" s="114"/>
      <c r="M2888" s="114"/>
      <c r="N2888" s="114"/>
      <c r="P2888" s="234"/>
      <c r="Q2888" s="240"/>
    </row>
    <row r="2889" spans="6:17" x14ac:dyDescent="0.25">
      <c r="F2889" s="134"/>
      <c r="H2889" s="114"/>
      <c r="I2889" s="114"/>
      <c r="J2889" s="114"/>
      <c r="K2889" s="114"/>
      <c r="L2889" s="114"/>
      <c r="M2889" s="114"/>
      <c r="N2889" s="114"/>
      <c r="P2889" s="234"/>
      <c r="Q2889" s="240"/>
    </row>
    <row r="2890" spans="6:17" x14ac:dyDescent="0.25">
      <c r="F2890" s="134"/>
      <c r="H2890" s="114"/>
      <c r="I2890" s="114"/>
      <c r="J2890" s="114"/>
      <c r="K2890" s="114"/>
      <c r="L2890" s="114"/>
      <c r="M2890" s="114"/>
      <c r="N2890" s="114"/>
      <c r="P2890" s="234"/>
      <c r="Q2890" s="240"/>
    </row>
    <row r="2891" spans="6:17" x14ac:dyDescent="0.25">
      <c r="F2891" s="134"/>
      <c r="H2891" s="114"/>
      <c r="I2891" s="114"/>
      <c r="J2891" s="114"/>
      <c r="K2891" s="114"/>
      <c r="L2891" s="114"/>
      <c r="M2891" s="114"/>
      <c r="N2891" s="114"/>
      <c r="P2891" s="234"/>
      <c r="Q2891" s="240"/>
    </row>
    <row r="2892" spans="6:17" x14ac:dyDescent="0.25">
      <c r="F2892" s="134"/>
      <c r="H2892" s="114"/>
      <c r="I2892" s="114"/>
      <c r="J2892" s="114"/>
      <c r="K2892" s="114"/>
      <c r="L2892" s="114"/>
      <c r="M2892" s="114"/>
      <c r="N2892" s="114"/>
      <c r="P2892" s="234"/>
      <c r="Q2892" s="240"/>
    </row>
    <row r="2893" spans="6:17" x14ac:dyDescent="0.25">
      <c r="F2893" s="134"/>
      <c r="H2893" s="114"/>
      <c r="I2893" s="114"/>
      <c r="J2893" s="114"/>
      <c r="K2893" s="114"/>
      <c r="L2893" s="114"/>
      <c r="M2893" s="114"/>
      <c r="N2893" s="114"/>
      <c r="P2893" s="234"/>
      <c r="Q2893" s="240"/>
    </row>
    <row r="2894" spans="6:17" x14ac:dyDescent="0.25">
      <c r="F2894" s="134"/>
      <c r="H2894" s="114"/>
      <c r="I2894" s="114"/>
      <c r="J2894" s="114"/>
      <c r="K2894" s="114"/>
      <c r="L2894" s="114"/>
      <c r="M2894" s="114"/>
      <c r="N2894" s="114"/>
      <c r="P2894" s="234"/>
      <c r="Q2894" s="240"/>
    </row>
    <row r="2895" spans="6:17" x14ac:dyDescent="0.25">
      <c r="F2895" s="134"/>
      <c r="H2895" s="114"/>
      <c r="I2895" s="114"/>
      <c r="J2895" s="114"/>
      <c r="K2895" s="114"/>
      <c r="L2895" s="114"/>
      <c r="M2895" s="114"/>
      <c r="N2895" s="114"/>
      <c r="P2895" s="234"/>
      <c r="Q2895" s="240"/>
    </row>
    <row r="2896" spans="6:17" x14ac:dyDescent="0.25">
      <c r="F2896" s="134"/>
      <c r="H2896" s="114"/>
      <c r="I2896" s="114"/>
      <c r="J2896" s="114"/>
      <c r="K2896" s="114"/>
      <c r="L2896" s="114"/>
      <c r="M2896" s="114"/>
      <c r="N2896" s="114"/>
      <c r="P2896" s="234"/>
      <c r="Q2896" s="240"/>
    </row>
    <row r="2897" spans="6:17" x14ac:dyDescent="0.25">
      <c r="F2897" s="134"/>
      <c r="H2897" s="114"/>
      <c r="I2897" s="114"/>
      <c r="J2897" s="114"/>
      <c r="K2897" s="114"/>
      <c r="L2897" s="114"/>
      <c r="M2897" s="114"/>
      <c r="N2897" s="114"/>
      <c r="P2897" s="234"/>
      <c r="Q2897" s="240"/>
    </row>
    <row r="2898" spans="6:17" x14ac:dyDescent="0.25">
      <c r="F2898" s="134"/>
      <c r="H2898" s="114"/>
      <c r="I2898" s="114"/>
      <c r="J2898" s="114"/>
      <c r="K2898" s="114"/>
      <c r="L2898" s="114"/>
      <c r="M2898" s="114"/>
      <c r="N2898" s="114"/>
      <c r="P2898" s="234"/>
      <c r="Q2898" s="240"/>
    </row>
    <row r="2899" spans="6:17" x14ac:dyDescent="0.25">
      <c r="F2899" s="134"/>
      <c r="H2899" s="114"/>
      <c r="I2899" s="114"/>
      <c r="J2899" s="114"/>
      <c r="K2899" s="114"/>
      <c r="L2899" s="114"/>
      <c r="M2899" s="114"/>
      <c r="N2899" s="114"/>
      <c r="P2899" s="234"/>
      <c r="Q2899" s="240"/>
    </row>
    <row r="2900" spans="6:17" x14ac:dyDescent="0.25">
      <c r="F2900" s="134"/>
      <c r="H2900" s="114"/>
      <c r="I2900" s="114"/>
      <c r="J2900" s="114"/>
      <c r="K2900" s="114"/>
      <c r="L2900" s="114"/>
      <c r="M2900" s="114"/>
      <c r="N2900" s="114"/>
      <c r="P2900" s="234"/>
      <c r="Q2900" s="240"/>
    </row>
    <row r="2901" spans="6:17" x14ac:dyDescent="0.25">
      <c r="F2901" s="134"/>
      <c r="H2901" s="114"/>
      <c r="I2901" s="114"/>
      <c r="J2901" s="114"/>
      <c r="K2901" s="114"/>
      <c r="L2901" s="114"/>
      <c r="M2901" s="114"/>
      <c r="N2901" s="114"/>
      <c r="P2901" s="234"/>
      <c r="Q2901" s="240"/>
    </row>
    <row r="2902" spans="6:17" x14ac:dyDescent="0.25">
      <c r="F2902" s="134"/>
      <c r="H2902" s="114"/>
      <c r="I2902" s="114"/>
      <c r="J2902" s="114"/>
      <c r="K2902" s="114"/>
      <c r="L2902" s="114"/>
      <c r="M2902" s="114"/>
      <c r="N2902" s="114"/>
      <c r="P2902" s="234"/>
      <c r="Q2902" s="240"/>
    </row>
    <row r="2903" spans="6:17" x14ac:dyDescent="0.25">
      <c r="F2903" s="134"/>
      <c r="H2903" s="114"/>
      <c r="I2903" s="114"/>
      <c r="J2903" s="114"/>
      <c r="K2903" s="114"/>
      <c r="L2903" s="114"/>
      <c r="M2903" s="114"/>
      <c r="N2903" s="114"/>
      <c r="P2903" s="234"/>
      <c r="Q2903" s="240"/>
    </row>
    <row r="2904" spans="6:17" x14ac:dyDescent="0.25">
      <c r="F2904" s="134"/>
      <c r="H2904" s="114"/>
      <c r="I2904" s="114"/>
      <c r="J2904" s="114"/>
      <c r="K2904" s="114"/>
      <c r="L2904" s="114"/>
      <c r="M2904" s="114"/>
      <c r="N2904" s="114"/>
      <c r="P2904" s="234"/>
      <c r="Q2904" s="240"/>
    </row>
    <row r="2905" spans="6:17" x14ac:dyDescent="0.25">
      <c r="F2905" s="134"/>
      <c r="H2905" s="114"/>
      <c r="I2905" s="114"/>
      <c r="J2905" s="114"/>
      <c r="K2905" s="114"/>
      <c r="L2905" s="114"/>
      <c r="M2905" s="114"/>
      <c r="N2905" s="114"/>
      <c r="P2905" s="234"/>
      <c r="Q2905" s="240"/>
    </row>
    <row r="2906" spans="6:17" x14ac:dyDescent="0.25">
      <c r="F2906" s="134"/>
      <c r="H2906" s="114"/>
      <c r="I2906" s="114"/>
      <c r="J2906" s="114"/>
      <c r="K2906" s="114"/>
      <c r="L2906" s="114"/>
      <c r="M2906" s="114"/>
      <c r="N2906" s="114"/>
      <c r="P2906" s="234"/>
      <c r="Q2906" s="240"/>
    </row>
    <row r="2907" spans="6:17" x14ac:dyDescent="0.25">
      <c r="F2907" s="134"/>
      <c r="H2907" s="114"/>
      <c r="I2907" s="114"/>
      <c r="J2907" s="114"/>
      <c r="K2907" s="114"/>
      <c r="L2907" s="114"/>
      <c r="M2907" s="114"/>
      <c r="N2907" s="114"/>
      <c r="P2907" s="234"/>
      <c r="Q2907" s="240"/>
    </row>
    <row r="2908" spans="6:17" x14ac:dyDescent="0.25">
      <c r="F2908" s="134"/>
      <c r="H2908" s="114"/>
      <c r="I2908" s="114"/>
      <c r="J2908" s="114"/>
      <c r="K2908" s="114"/>
      <c r="L2908" s="114"/>
      <c r="M2908" s="114"/>
      <c r="N2908" s="114"/>
      <c r="P2908" s="234"/>
      <c r="Q2908" s="240"/>
    </row>
    <row r="2909" spans="6:17" x14ac:dyDescent="0.25">
      <c r="F2909" s="134"/>
      <c r="H2909" s="114"/>
      <c r="I2909" s="114"/>
      <c r="J2909" s="114"/>
      <c r="K2909" s="114"/>
      <c r="L2909" s="114"/>
      <c r="M2909" s="114"/>
      <c r="N2909" s="114"/>
      <c r="P2909" s="234"/>
      <c r="Q2909" s="240"/>
    </row>
    <row r="2910" spans="6:17" x14ac:dyDescent="0.25">
      <c r="F2910" s="134"/>
      <c r="H2910" s="114"/>
      <c r="I2910" s="114"/>
      <c r="J2910" s="114"/>
      <c r="K2910" s="114"/>
      <c r="L2910" s="114"/>
      <c r="M2910" s="114"/>
      <c r="N2910" s="114"/>
      <c r="P2910" s="234"/>
      <c r="Q2910" s="240"/>
    </row>
    <row r="2911" spans="6:17" x14ac:dyDescent="0.25">
      <c r="F2911" s="134"/>
      <c r="H2911" s="114"/>
      <c r="I2911" s="114"/>
      <c r="J2911" s="114"/>
      <c r="K2911" s="114"/>
      <c r="L2911" s="114"/>
      <c r="M2911" s="114"/>
      <c r="N2911" s="114"/>
      <c r="P2911" s="234"/>
      <c r="Q2911" s="240"/>
    </row>
    <row r="2912" spans="6:17" x14ac:dyDescent="0.25">
      <c r="F2912" s="134"/>
      <c r="H2912" s="114"/>
      <c r="I2912" s="114"/>
      <c r="J2912" s="114"/>
      <c r="K2912" s="114"/>
      <c r="L2912" s="114"/>
      <c r="M2912" s="114"/>
      <c r="N2912" s="114"/>
      <c r="P2912" s="234"/>
      <c r="Q2912" s="240"/>
    </row>
    <row r="2913" spans="6:17" x14ac:dyDescent="0.25">
      <c r="F2913" s="134"/>
      <c r="H2913" s="114"/>
      <c r="I2913" s="114"/>
      <c r="J2913" s="114"/>
      <c r="K2913" s="114"/>
      <c r="L2913" s="114"/>
      <c r="M2913" s="114"/>
      <c r="N2913" s="114"/>
      <c r="P2913" s="234"/>
      <c r="Q2913" s="240"/>
    </row>
    <row r="2914" spans="6:17" x14ac:dyDescent="0.25">
      <c r="F2914" s="134"/>
      <c r="H2914" s="114"/>
      <c r="I2914" s="114"/>
      <c r="J2914" s="114"/>
      <c r="K2914" s="114"/>
      <c r="L2914" s="114"/>
      <c r="M2914" s="114"/>
      <c r="N2914" s="114"/>
      <c r="P2914" s="234"/>
      <c r="Q2914" s="240"/>
    </row>
    <row r="2915" spans="6:17" x14ac:dyDescent="0.25">
      <c r="F2915" s="134"/>
      <c r="H2915" s="114"/>
      <c r="I2915" s="114"/>
      <c r="J2915" s="114"/>
      <c r="K2915" s="114"/>
      <c r="L2915" s="114"/>
      <c r="M2915" s="114"/>
      <c r="N2915" s="114"/>
      <c r="P2915" s="234"/>
      <c r="Q2915" s="240"/>
    </row>
    <row r="2916" spans="6:17" x14ac:dyDescent="0.25">
      <c r="F2916" s="134"/>
      <c r="H2916" s="114"/>
      <c r="I2916" s="114"/>
      <c r="J2916" s="114"/>
      <c r="K2916" s="114"/>
      <c r="L2916" s="114"/>
      <c r="M2916" s="114"/>
      <c r="N2916" s="114"/>
      <c r="P2916" s="234"/>
      <c r="Q2916" s="240"/>
    </row>
    <row r="2917" spans="6:17" x14ac:dyDescent="0.25">
      <c r="F2917" s="134"/>
      <c r="H2917" s="114"/>
      <c r="I2917" s="114"/>
      <c r="J2917" s="114"/>
      <c r="K2917" s="114"/>
      <c r="L2917" s="114"/>
      <c r="M2917" s="114"/>
      <c r="N2917" s="114"/>
      <c r="P2917" s="234"/>
      <c r="Q2917" s="240"/>
    </row>
    <row r="2918" spans="6:17" x14ac:dyDescent="0.25">
      <c r="F2918" s="134"/>
      <c r="H2918" s="114"/>
      <c r="I2918" s="114"/>
      <c r="J2918" s="114"/>
      <c r="K2918" s="114"/>
      <c r="L2918" s="114"/>
      <c r="M2918" s="114"/>
      <c r="N2918" s="114"/>
      <c r="P2918" s="234"/>
      <c r="Q2918" s="240"/>
    </row>
    <row r="2919" spans="6:17" x14ac:dyDescent="0.25">
      <c r="F2919" s="134"/>
      <c r="H2919" s="114"/>
      <c r="I2919" s="114"/>
      <c r="J2919" s="114"/>
      <c r="K2919" s="114"/>
      <c r="L2919" s="114"/>
      <c r="M2919" s="114"/>
      <c r="N2919" s="114"/>
      <c r="P2919" s="234"/>
      <c r="Q2919" s="240"/>
    </row>
    <row r="2920" spans="6:17" x14ac:dyDescent="0.25">
      <c r="F2920" s="134"/>
      <c r="H2920" s="114"/>
      <c r="I2920" s="114"/>
      <c r="J2920" s="114"/>
      <c r="K2920" s="114"/>
      <c r="L2920" s="114"/>
      <c r="M2920" s="114"/>
      <c r="N2920" s="114"/>
      <c r="P2920" s="234"/>
      <c r="Q2920" s="240"/>
    </row>
    <row r="2921" spans="6:17" x14ac:dyDescent="0.25">
      <c r="F2921" s="134"/>
      <c r="H2921" s="114"/>
      <c r="I2921" s="114"/>
      <c r="J2921" s="114"/>
      <c r="K2921" s="114"/>
      <c r="L2921" s="114"/>
      <c r="M2921" s="114"/>
      <c r="N2921" s="114"/>
      <c r="P2921" s="234"/>
      <c r="Q2921" s="240"/>
    </row>
    <row r="2922" spans="6:17" x14ac:dyDescent="0.25">
      <c r="F2922" s="134"/>
      <c r="H2922" s="114"/>
      <c r="I2922" s="114"/>
      <c r="J2922" s="114"/>
      <c r="K2922" s="114"/>
      <c r="L2922" s="114"/>
      <c r="M2922" s="114"/>
      <c r="N2922" s="114"/>
      <c r="P2922" s="234"/>
      <c r="Q2922" s="240"/>
    </row>
    <row r="2923" spans="6:17" x14ac:dyDescent="0.25">
      <c r="F2923" s="134"/>
      <c r="H2923" s="114"/>
      <c r="I2923" s="114"/>
      <c r="J2923" s="114"/>
      <c r="K2923" s="114"/>
      <c r="L2923" s="114"/>
      <c r="M2923" s="114"/>
      <c r="N2923" s="114"/>
      <c r="P2923" s="234"/>
      <c r="Q2923" s="240"/>
    </row>
    <row r="2924" spans="6:17" x14ac:dyDescent="0.25">
      <c r="F2924" s="134"/>
      <c r="H2924" s="114"/>
      <c r="I2924" s="114"/>
      <c r="J2924" s="114"/>
      <c r="K2924" s="114"/>
      <c r="L2924" s="114"/>
      <c r="M2924" s="114"/>
      <c r="N2924" s="114"/>
      <c r="P2924" s="234"/>
      <c r="Q2924" s="240"/>
    </row>
    <row r="2925" spans="6:17" x14ac:dyDescent="0.25">
      <c r="F2925" s="134"/>
      <c r="H2925" s="114"/>
      <c r="I2925" s="114"/>
      <c r="J2925" s="114"/>
      <c r="K2925" s="114"/>
      <c r="L2925" s="114"/>
      <c r="M2925" s="114"/>
      <c r="N2925" s="114"/>
      <c r="P2925" s="234"/>
      <c r="Q2925" s="240"/>
    </row>
    <row r="2926" spans="6:17" x14ac:dyDescent="0.25">
      <c r="F2926" s="134"/>
      <c r="H2926" s="114"/>
      <c r="I2926" s="114"/>
      <c r="J2926" s="114"/>
      <c r="K2926" s="114"/>
      <c r="L2926" s="114"/>
      <c r="M2926" s="114"/>
      <c r="N2926" s="114"/>
      <c r="P2926" s="234"/>
      <c r="Q2926" s="240"/>
    </row>
    <row r="2927" spans="6:17" x14ac:dyDescent="0.25">
      <c r="F2927" s="134"/>
      <c r="H2927" s="114"/>
      <c r="I2927" s="114"/>
      <c r="J2927" s="114"/>
      <c r="K2927" s="114"/>
      <c r="L2927" s="114"/>
      <c r="M2927" s="114"/>
      <c r="N2927" s="114"/>
      <c r="P2927" s="234"/>
      <c r="Q2927" s="240"/>
    </row>
    <row r="2928" spans="6:17" x14ac:dyDescent="0.25">
      <c r="F2928" s="134"/>
      <c r="H2928" s="114"/>
      <c r="I2928" s="114"/>
      <c r="J2928" s="114"/>
      <c r="K2928" s="114"/>
      <c r="L2928" s="114"/>
      <c r="M2928" s="114"/>
      <c r="N2928" s="114"/>
      <c r="P2928" s="234"/>
      <c r="Q2928" s="240"/>
    </row>
    <row r="2929" spans="6:17" x14ac:dyDescent="0.25">
      <c r="F2929" s="134"/>
      <c r="H2929" s="114"/>
      <c r="I2929" s="114"/>
      <c r="J2929" s="114"/>
      <c r="K2929" s="114"/>
      <c r="L2929" s="114"/>
      <c r="M2929" s="114"/>
      <c r="N2929" s="114"/>
      <c r="P2929" s="234"/>
      <c r="Q2929" s="240"/>
    </row>
    <row r="2930" spans="6:17" x14ac:dyDescent="0.25">
      <c r="F2930" s="134"/>
      <c r="H2930" s="114"/>
      <c r="I2930" s="114"/>
      <c r="J2930" s="114"/>
      <c r="K2930" s="114"/>
      <c r="L2930" s="114"/>
      <c r="M2930" s="114"/>
      <c r="N2930" s="114"/>
      <c r="P2930" s="234"/>
      <c r="Q2930" s="240"/>
    </row>
    <row r="2931" spans="6:17" x14ac:dyDescent="0.25">
      <c r="F2931" s="134"/>
      <c r="H2931" s="114"/>
      <c r="I2931" s="114"/>
      <c r="J2931" s="114"/>
      <c r="K2931" s="114"/>
      <c r="L2931" s="114"/>
      <c r="M2931" s="114"/>
      <c r="N2931" s="114"/>
      <c r="P2931" s="234"/>
      <c r="Q2931" s="240"/>
    </row>
    <row r="2932" spans="6:17" x14ac:dyDescent="0.25">
      <c r="F2932" s="134"/>
      <c r="H2932" s="114"/>
      <c r="I2932" s="114"/>
      <c r="J2932" s="114"/>
      <c r="K2932" s="114"/>
      <c r="L2932" s="114"/>
      <c r="M2932" s="114"/>
      <c r="N2932" s="114"/>
      <c r="P2932" s="234"/>
      <c r="Q2932" s="240"/>
    </row>
    <row r="2933" spans="6:17" x14ac:dyDescent="0.25">
      <c r="F2933" s="134"/>
      <c r="H2933" s="114"/>
      <c r="I2933" s="114"/>
      <c r="J2933" s="114"/>
      <c r="K2933" s="114"/>
      <c r="L2933" s="114"/>
      <c r="M2933" s="114"/>
      <c r="N2933" s="114"/>
      <c r="P2933" s="234"/>
      <c r="Q2933" s="240"/>
    </row>
    <row r="2934" spans="6:17" x14ac:dyDescent="0.25">
      <c r="F2934" s="134"/>
      <c r="H2934" s="114"/>
      <c r="I2934" s="114"/>
      <c r="J2934" s="114"/>
      <c r="K2934" s="114"/>
      <c r="L2934" s="114"/>
      <c r="M2934" s="114"/>
      <c r="N2934" s="114"/>
      <c r="P2934" s="234"/>
      <c r="Q2934" s="240"/>
    </row>
    <row r="2935" spans="6:17" x14ac:dyDescent="0.25">
      <c r="F2935" s="134"/>
      <c r="H2935" s="114"/>
      <c r="I2935" s="114"/>
      <c r="J2935" s="114"/>
      <c r="K2935" s="114"/>
      <c r="L2935" s="114"/>
      <c r="M2935" s="114"/>
      <c r="N2935" s="114"/>
      <c r="P2935" s="234"/>
      <c r="Q2935" s="240"/>
    </row>
    <row r="2936" spans="6:17" x14ac:dyDescent="0.25">
      <c r="F2936" s="134"/>
      <c r="H2936" s="114"/>
      <c r="I2936" s="114"/>
      <c r="J2936" s="114"/>
      <c r="K2936" s="114"/>
      <c r="L2936" s="114"/>
      <c r="M2936" s="114"/>
      <c r="N2936" s="114"/>
      <c r="P2936" s="234"/>
      <c r="Q2936" s="240"/>
    </row>
    <row r="2937" spans="6:17" x14ac:dyDescent="0.25">
      <c r="F2937" s="134"/>
      <c r="H2937" s="114"/>
      <c r="I2937" s="114"/>
      <c r="J2937" s="114"/>
      <c r="K2937" s="114"/>
      <c r="L2937" s="114"/>
      <c r="M2937" s="114"/>
      <c r="N2937" s="114"/>
      <c r="P2937" s="234"/>
      <c r="Q2937" s="240"/>
    </row>
    <row r="2938" spans="6:17" x14ac:dyDescent="0.25">
      <c r="F2938" s="134"/>
      <c r="H2938" s="114"/>
      <c r="I2938" s="114"/>
      <c r="J2938" s="114"/>
      <c r="K2938" s="114"/>
      <c r="L2938" s="114"/>
      <c r="M2938" s="114"/>
      <c r="N2938" s="114"/>
      <c r="P2938" s="234"/>
      <c r="Q2938" s="240"/>
    </row>
    <row r="2939" spans="6:17" x14ac:dyDescent="0.25">
      <c r="F2939" s="134"/>
      <c r="H2939" s="114"/>
      <c r="I2939" s="114"/>
      <c r="J2939" s="114"/>
      <c r="K2939" s="114"/>
      <c r="L2939" s="114"/>
      <c r="M2939" s="114"/>
      <c r="N2939" s="114"/>
      <c r="P2939" s="234"/>
      <c r="Q2939" s="240"/>
    </row>
    <row r="2940" spans="6:17" x14ac:dyDescent="0.25">
      <c r="F2940" s="134"/>
      <c r="H2940" s="114"/>
      <c r="I2940" s="114"/>
      <c r="J2940" s="114"/>
      <c r="K2940" s="114"/>
      <c r="L2940" s="114"/>
      <c r="M2940" s="114"/>
      <c r="N2940" s="114"/>
      <c r="P2940" s="234"/>
      <c r="Q2940" s="240"/>
    </row>
    <row r="2941" spans="6:17" x14ac:dyDescent="0.25">
      <c r="F2941" s="134"/>
      <c r="H2941" s="114"/>
      <c r="I2941" s="114"/>
      <c r="J2941" s="114"/>
      <c r="K2941" s="114"/>
      <c r="L2941" s="114"/>
      <c r="M2941" s="114"/>
      <c r="N2941" s="114"/>
      <c r="P2941" s="234"/>
      <c r="Q2941" s="240"/>
    </row>
    <row r="2942" spans="6:17" x14ac:dyDescent="0.25">
      <c r="F2942" s="134"/>
      <c r="H2942" s="114"/>
      <c r="I2942" s="114"/>
      <c r="J2942" s="114"/>
      <c r="K2942" s="114"/>
      <c r="L2942" s="114"/>
      <c r="M2942" s="114"/>
      <c r="N2942" s="114"/>
      <c r="P2942" s="234"/>
      <c r="Q2942" s="240"/>
    </row>
    <row r="2943" spans="6:17" x14ac:dyDescent="0.25">
      <c r="F2943" s="134"/>
      <c r="H2943" s="114"/>
      <c r="I2943" s="114"/>
      <c r="J2943" s="114"/>
      <c r="K2943" s="114"/>
      <c r="L2943" s="114"/>
      <c r="M2943" s="114"/>
      <c r="N2943" s="114"/>
      <c r="P2943" s="234"/>
      <c r="Q2943" s="240"/>
    </row>
    <row r="2944" spans="6:17" x14ac:dyDescent="0.25">
      <c r="F2944" s="134"/>
      <c r="H2944" s="114"/>
      <c r="I2944" s="114"/>
      <c r="J2944" s="114"/>
      <c r="K2944" s="114"/>
      <c r="L2944" s="114"/>
      <c r="M2944" s="114"/>
      <c r="N2944" s="114"/>
      <c r="P2944" s="234"/>
      <c r="Q2944" s="240"/>
    </row>
    <row r="2945" spans="6:17" x14ac:dyDescent="0.25">
      <c r="F2945" s="134"/>
      <c r="H2945" s="114"/>
      <c r="I2945" s="114"/>
      <c r="J2945" s="114"/>
      <c r="K2945" s="114"/>
      <c r="L2945" s="114"/>
      <c r="M2945" s="114"/>
      <c r="N2945" s="114"/>
      <c r="P2945" s="234"/>
      <c r="Q2945" s="240"/>
    </row>
    <row r="2946" spans="6:17" x14ac:dyDescent="0.25">
      <c r="F2946" s="134"/>
      <c r="H2946" s="114"/>
      <c r="I2946" s="114"/>
      <c r="J2946" s="114"/>
      <c r="K2946" s="114"/>
      <c r="L2946" s="114"/>
      <c r="M2946" s="114"/>
      <c r="N2946" s="114"/>
      <c r="P2946" s="234"/>
      <c r="Q2946" s="240"/>
    </row>
    <row r="2947" spans="6:17" x14ac:dyDescent="0.25">
      <c r="F2947" s="134"/>
      <c r="H2947" s="114"/>
      <c r="I2947" s="114"/>
      <c r="J2947" s="114"/>
      <c r="K2947" s="114"/>
      <c r="L2947" s="114"/>
      <c r="M2947" s="114"/>
      <c r="N2947" s="114"/>
      <c r="P2947" s="234"/>
      <c r="Q2947" s="240"/>
    </row>
    <row r="2948" spans="6:17" x14ac:dyDescent="0.25">
      <c r="F2948" s="134"/>
      <c r="H2948" s="114"/>
      <c r="I2948" s="114"/>
      <c r="J2948" s="114"/>
      <c r="K2948" s="114"/>
      <c r="L2948" s="114"/>
      <c r="M2948" s="114"/>
      <c r="N2948" s="114"/>
      <c r="P2948" s="234"/>
      <c r="Q2948" s="240"/>
    </row>
    <row r="2949" spans="6:17" x14ac:dyDescent="0.25">
      <c r="F2949" s="134"/>
      <c r="H2949" s="114"/>
      <c r="I2949" s="114"/>
      <c r="J2949" s="114"/>
      <c r="K2949" s="114"/>
      <c r="L2949" s="114"/>
      <c r="M2949" s="114"/>
      <c r="N2949" s="114"/>
      <c r="P2949" s="234"/>
      <c r="Q2949" s="240"/>
    </row>
    <row r="2950" spans="6:17" x14ac:dyDescent="0.25">
      <c r="F2950" s="134"/>
      <c r="H2950" s="114"/>
      <c r="I2950" s="114"/>
      <c r="J2950" s="114"/>
      <c r="K2950" s="114"/>
      <c r="L2950" s="114"/>
      <c r="M2950" s="114"/>
      <c r="N2950" s="114"/>
      <c r="P2950" s="234"/>
      <c r="Q2950" s="240"/>
    </row>
    <row r="2951" spans="6:17" x14ac:dyDescent="0.25">
      <c r="F2951" s="134"/>
      <c r="H2951" s="114"/>
      <c r="I2951" s="114"/>
      <c r="J2951" s="114"/>
      <c r="K2951" s="114"/>
      <c r="L2951" s="114"/>
      <c r="M2951" s="114"/>
      <c r="N2951" s="114"/>
      <c r="P2951" s="234"/>
      <c r="Q2951" s="240"/>
    </row>
    <row r="2952" spans="6:17" x14ac:dyDescent="0.25">
      <c r="F2952" s="134"/>
      <c r="H2952" s="114"/>
      <c r="I2952" s="114"/>
      <c r="J2952" s="114"/>
      <c r="K2952" s="114"/>
      <c r="L2952" s="114"/>
      <c r="M2952" s="114"/>
      <c r="N2952" s="114"/>
      <c r="P2952" s="234"/>
      <c r="Q2952" s="240"/>
    </row>
    <row r="2953" spans="6:17" x14ac:dyDescent="0.25">
      <c r="F2953" s="134"/>
      <c r="H2953" s="114"/>
      <c r="I2953" s="114"/>
      <c r="J2953" s="114"/>
      <c r="K2953" s="114"/>
      <c r="L2953" s="114"/>
      <c r="M2953" s="114"/>
      <c r="N2953" s="114"/>
      <c r="P2953" s="234"/>
      <c r="Q2953" s="240"/>
    </row>
    <row r="2954" spans="6:17" x14ac:dyDescent="0.25">
      <c r="F2954" s="134"/>
      <c r="H2954" s="114"/>
      <c r="I2954" s="114"/>
      <c r="J2954" s="114"/>
      <c r="K2954" s="114"/>
      <c r="L2954" s="114"/>
      <c r="M2954" s="114"/>
      <c r="N2954" s="114"/>
      <c r="P2954" s="234"/>
      <c r="Q2954" s="240"/>
    </row>
    <row r="2955" spans="6:17" x14ac:dyDescent="0.25">
      <c r="F2955" s="134"/>
      <c r="H2955" s="114"/>
      <c r="I2955" s="114"/>
      <c r="J2955" s="114"/>
      <c r="K2955" s="114"/>
      <c r="L2955" s="114"/>
      <c r="M2955" s="114"/>
      <c r="N2955" s="114"/>
      <c r="P2955" s="234"/>
      <c r="Q2955" s="240"/>
    </row>
    <row r="2956" spans="6:17" x14ac:dyDescent="0.25">
      <c r="F2956" s="134"/>
      <c r="H2956" s="114"/>
      <c r="I2956" s="114"/>
      <c r="J2956" s="114"/>
      <c r="K2956" s="114"/>
      <c r="L2956" s="114"/>
      <c r="M2956" s="114"/>
      <c r="N2956" s="114"/>
      <c r="P2956" s="234"/>
      <c r="Q2956" s="240"/>
    </row>
    <row r="2957" spans="6:17" x14ac:dyDescent="0.25">
      <c r="F2957" s="134"/>
      <c r="H2957" s="114"/>
      <c r="I2957" s="114"/>
      <c r="J2957" s="114"/>
      <c r="K2957" s="114"/>
      <c r="L2957" s="114"/>
      <c r="M2957" s="114"/>
      <c r="N2957" s="114"/>
      <c r="P2957" s="234"/>
      <c r="Q2957" s="240"/>
    </row>
    <row r="2958" spans="6:17" x14ac:dyDescent="0.25">
      <c r="F2958" s="134"/>
      <c r="H2958" s="114"/>
      <c r="I2958" s="114"/>
      <c r="J2958" s="114"/>
      <c r="K2958" s="114"/>
      <c r="L2958" s="114"/>
      <c r="M2958" s="114"/>
      <c r="N2958" s="114"/>
      <c r="P2958" s="234"/>
      <c r="Q2958" s="240"/>
    </row>
    <row r="2959" spans="6:17" x14ac:dyDescent="0.25">
      <c r="F2959" s="134"/>
      <c r="H2959" s="114"/>
      <c r="I2959" s="114"/>
      <c r="J2959" s="114"/>
      <c r="K2959" s="114"/>
      <c r="L2959" s="114"/>
      <c r="M2959" s="114"/>
      <c r="N2959" s="114"/>
      <c r="P2959" s="234"/>
      <c r="Q2959" s="240"/>
    </row>
    <row r="2960" spans="6:17" x14ac:dyDescent="0.25">
      <c r="F2960" s="134"/>
      <c r="H2960" s="114"/>
      <c r="I2960" s="114"/>
      <c r="J2960" s="114"/>
      <c r="K2960" s="114"/>
      <c r="L2960" s="114"/>
      <c r="M2960" s="114"/>
      <c r="N2960" s="114"/>
      <c r="P2960" s="234"/>
      <c r="Q2960" s="240"/>
    </row>
    <row r="2961" spans="6:17" x14ac:dyDescent="0.25">
      <c r="F2961" s="134"/>
      <c r="H2961" s="114"/>
      <c r="I2961" s="114"/>
      <c r="J2961" s="114"/>
      <c r="K2961" s="114"/>
      <c r="L2961" s="114"/>
      <c r="M2961" s="114"/>
      <c r="N2961" s="114"/>
      <c r="P2961" s="234"/>
      <c r="Q2961" s="240"/>
    </row>
    <row r="2962" spans="6:17" x14ac:dyDescent="0.25">
      <c r="F2962" s="134"/>
      <c r="H2962" s="114"/>
      <c r="I2962" s="114"/>
      <c r="J2962" s="114"/>
      <c r="K2962" s="114"/>
      <c r="L2962" s="114"/>
      <c r="M2962" s="114"/>
      <c r="N2962" s="114"/>
      <c r="P2962" s="234"/>
      <c r="Q2962" s="240"/>
    </row>
    <row r="2963" spans="6:17" x14ac:dyDescent="0.25">
      <c r="F2963" s="134"/>
      <c r="H2963" s="114"/>
      <c r="I2963" s="114"/>
      <c r="J2963" s="114"/>
      <c r="K2963" s="114"/>
      <c r="L2963" s="114"/>
      <c r="M2963" s="114"/>
      <c r="N2963" s="114"/>
      <c r="P2963" s="234"/>
      <c r="Q2963" s="240"/>
    </row>
    <row r="2964" spans="6:17" x14ac:dyDescent="0.25">
      <c r="F2964" s="134"/>
      <c r="H2964" s="114"/>
      <c r="I2964" s="114"/>
      <c r="J2964" s="114"/>
      <c r="K2964" s="114"/>
      <c r="L2964" s="114"/>
      <c r="M2964" s="114"/>
      <c r="N2964" s="114"/>
      <c r="P2964" s="234"/>
      <c r="Q2964" s="240"/>
    </row>
    <row r="2965" spans="6:17" x14ac:dyDescent="0.25">
      <c r="F2965" s="134"/>
      <c r="H2965" s="114"/>
      <c r="I2965" s="114"/>
      <c r="J2965" s="114"/>
      <c r="K2965" s="114"/>
      <c r="L2965" s="114"/>
      <c r="M2965" s="114"/>
      <c r="N2965" s="114"/>
      <c r="P2965" s="234"/>
      <c r="Q2965" s="240"/>
    </row>
    <row r="2966" spans="6:17" x14ac:dyDescent="0.25">
      <c r="F2966" s="134"/>
      <c r="H2966" s="114"/>
      <c r="I2966" s="114"/>
      <c r="J2966" s="114"/>
      <c r="K2966" s="114"/>
      <c r="L2966" s="114"/>
      <c r="M2966" s="114"/>
      <c r="N2966" s="114"/>
      <c r="P2966" s="234"/>
      <c r="Q2966" s="240"/>
    </row>
    <row r="2967" spans="6:17" x14ac:dyDescent="0.25">
      <c r="F2967" s="134"/>
      <c r="H2967" s="114"/>
      <c r="I2967" s="114"/>
      <c r="J2967" s="114"/>
      <c r="K2967" s="114"/>
      <c r="L2967" s="114"/>
      <c r="M2967" s="114"/>
      <c r="N2967" s="114"/>
      <c r="P2967" s="234"/>
      <c r="Q2967" s="240"/>
    </row>
    <row r="2968" spans="6:17" x14ac:dyDescent="0.25">
      <c r="F2968" s="134"/>
      <c r="H2968" s="114"/>
      <c r="I2968" s="114"/>
      <c r="J2968" s="114"/>
      <c r="K2968" s="114"/>
      <c r="L2968" s="114"/>
      <c r="M2968" s="114"/>
      <c r="N2968" s="114"/>
      <c r="P2968" s="234"/>
      <c r="Q2968" s="240"/>
    </row>
    <row r="2969" spans="6:17" x14ac:dyDescent="0.25">
      <c r="F2969" s="134"/>
      <c r="H2969" s="114"/>
      <c r="I2969" s="114"/>
      <c r="J2969" s="114"/>
      <c r="K2969" s="114"/>
      <c r="L2969" s="114"/>
      <c r="M2969" s="114"/>
      <c r="N2969" s="114"/>
      <c r="P2969" s="234"/>
      <c r="Q2969" s="240"/>
    </row>
    <row r="2970" spans="6:17" x14ac:dyDescent="0.25">
      <c r="F2970" s="134"/>
      <c r="H2970" s="114"/>
      <c r="I2970" s="114"/>
      <c r="J2970" s="114"/>
      <c r="K2970" s="114"/>
      <c r="L2970" s="114"/>
      <c r="M2970" s="114"/>
      <c r="N2970" s="114"/>
      <c r="P2970" s="234"/>
      <c r="Q2970" s="240"/>
    </row>
    <row r="2971" spans="6:17" x14ac:dyDescent="0.25">
      <c r="F2971" s="134"/>
      <c r="H2971" s="114"/>
      <c r="I2971" s="114"/>
      <c r="J2971" s="114"/>
      <c r="K2971" s="114"/>
      <c r="L2971" s="114"/>
      <c r="M2971" s="114"/>
      <c r="N2971" s="114"/>
      <c r="P2971" s="234"/>
      <c r="Q2971" s="240"/>
    </row>
    <row r="2972" spans="6:17" x14ac:dyDescent="0.25">
      <c r="F2972" s="134"/>
      <c r="H2972" s="114"/>
      <c r="I2972" s="114"/>
      <c r="J2972" s="114"/>
      <c r="K2972" s="114"/>
      <c r="L2972" s="114"/>
      <c r="M2972" s="114"/>
      <c r="N2972" s="114"/>
      <c r="P2972" s="234"/>
      <c r="Q2972" s="240"/>
    </row>
    <row r="2973" spans="6:17" x14ac:dyDescent="0.25">
      <c r="F2973" s="134"/>
      <c r="H2973" s="114"/>
      <c r="I2973" s="114"/>
      <c r="J2973" s="114"/>
      <c r="K2973" s="114"/>
      <c r="L2973" s="114"/>
      <c r="M2973" s="114"/>
      <c r="N2973" s="114"/>
      <c r="P2973" s="234"/>
      <c r="Q2973" s="240"/>
    </row>
    <row r="2974" spans="6:17" x14ac:dyDescent="0.25">
      <c r="F2974" s="134"/>
      <c r="H2974" s="114"/>
      <c r="I2974" s="114"/>
      <c r="J2974" s="114"/>
      <c r="K2974" s="114"/>
      <c r="L2974" s="114"/>
      <c r="M2974" s="114"/>
      <c r="N2974" s="114"/>
      <c r="P2974" s="234"/>
      <c r="Q2974" s="240"/>
    </row>
    <row r="2975" spans="6:17" x14ac:dyDescent="0.25">
      <c r="F2975" s="134"/>
      <c r="H2975" s="114"/>
      <c r="I2975" s="114"/>
      <c r="J2975" s="114"/>
      <c r="K2975" s="114"/>
      <c r="L2975" s="114"/>
      <c r="M2975" s="114"/>
      <c r="N2975" s="114"/>
      <c r="P2975" s="234"/>
      <c r="Q2975" s="240"/>
    </row>
    <row r="2976" spans="6:17" x14ac:dyDescent="0.25">
      <c r="F2976" s="134"/>
      <c r="H2976" s="114"/>
      <c r="I2976" s="114"/>
      <c r="J2976" s="114"/>
      <c r="K2976" s="114"/>
      <c r="L2976" s="114"/>
      <c r="M2976" s="114"/>
      <c r="N2976" s="114"/>
      <c r="P2976" s="234"/>
      <c r="Q2976" s="240"/>
    </row>
    <row r="2977" spans="6:17" x14ac:dyDescent="0.25">
      <c r="F2977" s="134"/>
      <c r="H2977" s="114"/>
      <c r="I2977" s="114"/>
      <c r="J2977" s="114"/>
      <c r="K2977" s="114"/>
      <c r="L2977" s="114"/>
      <c r="M2977" s="114"/>
      <c r="N2977" s="114"/>
      <c r="P2977" s="234"/>
      <c r="Q2977" s="240"/>
    </row>
    <row r="2978" spans="6:17" x14ac:dyDescent="0.25">
      <c r="F2978" s="134"/>
      <c r="H2978" s="114"/>
      <c r="I2978" s="114"/>
      <c r="J2978" s="114"/>
      <c r="K2978" s="114"/>
      <c r="L2978" s="114"/>
      <c r="M2978" s="114"/>
      <c r="N2978" s="114"/>
      <c r="P2978" s="234"/>
      <c r="Q2978" s="240"/>
    </row>
    <row r="2979" spans="6:17" x14ac:dyDescent="0.25">
      <c r="F2979" s="134"/>
      <c r="H2979" s="114"/>
      <c r="I2979" s="114"/>
      <c r="J2979" s="114"/>
      <c r="K2979" s="114"/>
      <c r="L2979" s="114"/>
      <c r="M2979" s="114"/>
      <c r="N2979" s="114"/>
      <c r="P2979" s="234"/>
      <c r="Q2979" s="240"/>
    </row>
    <row r="2980" spans="6:17" x14ac:dyDescent="0.25">
      <c r="F2980" s="134"/>
      <c r="H2980" s="114"/>
      <c r="I2980" s="114"/>
      <c r="J2980" s="114"/>
      <c r="K2980" s="114"/>
      <c r="L2980" s="114"/>
      <c r="M2980" s="114"/>
      <c r="N2980" s="114"/>
      <c r="P2980" s="234"/>
      <c r="Q2980" s="240"/>
    </row>
    <row r="2981" spans="6:17" x14ac:dyDescent="0.25">
      <c r="F2981" s="134"/>
      <c r="H2981" s="114"/>
      <c r="I2981" s="114"/>
      <c r="J2981" s="114"/>
      <c r="K2981" s="114"/>
      <c r="L2981" s="114"/>
      <c r="M2981" s="114"/>
      <c r="N2981" s="114"/>
      <c r="P2981" s="234"/>
      <c r="Q2981" s="240"/>
    </row>
    <row r="2982" spans="6:17" x14ac:dyDescent="0.25">
      <c r="F2982" s="134"/>
      <c r="H2982" s="114"/>
      <c r="I2982" s="114"/>
      <c r="J2982" s="114"/>
      <c r="K2982" s="114"/>
      <c r="L2982" s="114"/>
      <c r="M2982" s="114"/>
      <c r="N2982" s="114"/>
      <c r="P2982" s="234"/>
      <c r="Q2982" s="240"/>
    </row>
    <row r="2983" spans="6:17" x14ac:dyDescent="0.25">
      <c r="F2983" s="134"/>
      <c r="H2983" s="114"/>
      <c r="I2983" s="114"/>
      <c r="J2983" s="114"/>
      <c r="K2983" s="114"/>
      <c r="L2983" s="114"/>
      <c r="M2983" s="114"/>
      <c r="N2983" s="114"/>
      <c r="P2983" s="234"/>
      <c r="Q2983" s="240"/>
    </row>
    <row r="2984" spans="6:17" x14ac:dyDescent="0.25">
      <c r="F2984" s="134"/>
      <c r="H2984" s="114"/>
      <c r="I2984" s="114"/>
      <c r="J2984" s="114"/>
      <c r="K2984" s="114"/>
      <c r="L2984" s="114"/>
      <c r="M2984" s="114"/>
      <c r="N2984" s="114"/>
      <c r="P2984" s="234"/>
      <c r="Q2984" s="240"/>
    </row>
    <row r="2985" spans="6:17" x14ac:dyDescent="0.25">
      <c r="F2985" s="134"/>
      <c r="H2985" s="114"/>
      <c r="I2985" s="114"/>
      <c r="J2985" s="114"/>
      <c r="K2985" s="114"/>
      <c r="L2985" s="114"/>
      <c r="M2985" s="114"/>
      <c r="N2985" s="114"/>
      <c r="P2985" s="234"/>
      <c r="Q2985" s="240"/>
    </row>
    <row r="2986" spans="6:17" x14ac:dyDescent="0.25">
      <c r="F2986" s="134"/>
      <c r="H2986" s="114"/>
      <c r="I2986" s="114"/>
      <c r="J2986" s="114"/>
      <c r="K2986" s="114"/>
      <c r="L2986" s="114"/>
      <c r="M2986" s="114"/>
      <c r="N2986" s="114"/>
      <c r="P2986" s="234"/>
      <c r="Q2986" s="240"/>
    </row>
    <row r="2987" spans="6:17" x14ac:dyDescent="0.25">
      <c r="F2987" s="134"/>
      <c r="H2987" s="114"/>
      <c r="I2987" s="114"/>
      <c r="J2987" s="114"/>
      <c r="K2987" s="114"/>
      <c r="L2987" s="114"/>
      <c r="M2987" s="114"/>
      <c r="N2987" s="114"/>
      <c r="P2987" s="234"/>
      <c r="Q2987" s="240"/>
    </row>
    <row r="2988" spans="6:17" x14ac:dyDescent="0.25">
      <c r="F2988" s="134"/>
      <c r="H2988" s="114"/>
      <c r="I2988" s="114"/>
      <c r="J2988" s="114"/>
      <c r="K2988" s="114"/>
      <c r="L2988" s="114"/>
      <c r="M2988" s="114"/>
      <c r="N2988" s="114"/>
      <c r="P2988" s="234"/>
      <c r="Q2988" s="240"/>
    </row>
    <row r="2989" spans="6:17" x14ac:dyDescent="0.25">
      <c r="F2989" s="134"/>
      <c r="H2989" s="114"/>
      <c r="I2989" s="114"/>
      <c r="J2989" s="114"/>
      <c r="K2989" s="114"/>
      <c r="L2989" s="114"/>
      <c r="M2989" s="114"/>
      <c r="N2989" s="114"/>
      <c r="P2989" s="234"/>
      <c r="Q2989" s="240"/>
    </row>
    <row r="2990" spans="6:17" x14ac:dyDescent="0.25">
      <c r="F2990" s="134"/>
      <c r="H2990" s="114"/>
      <c r="I2990" s="114"/>
      <c r="J2990" s="114"/>
      <c r="K2990" s="114"/>
      <c r="L2990" s="114"/>
      <c r="M2990" s="114"/>
      <c r="N2990" s="114"/>
      <c r="P2990" s="234"/>
      <c r="Q2990" s="240"/>
    </row>
    <row r="2991" spans="6:17" x14ac:dyDescent="0.25">
      <c r="F2991" s="134"/>
      <c r="H2991" s="114"/>
      <c r="I2991" s="114"/>
      <c r="J2991" s="114"/>
      <c r="K2991" s="114"/>
      <c r="L2991" s="114"/>
      <c r="M2991" s="114"/>
      <c r="N2991" s="114"/>
      <c r="P2991" s="234"/>
      <c r="Q2991" s="240"/>
    </row>
    <row r="2992" spans="6:17" x14ac:dyDescent="0.25">
      <c r="F2992" s="134"/>
      <c r="H2992" s="114"/>
      <c r="I2992" s="114"/>
      <c r="J2992" s="114"/>
      <c r="K2992" s="114"/>
      <c r="L2992" s="114"/>
      <c r="M2992" s="114"/>
      <c r="N2992" s="114"/>
      <c r="P2992" s="234"/>
      <c r="Q2992" s="240"/>
    </row>
    <row r="2993" spans="6:17" x14ac:dyDescent="0.25">
      <c r="F2993" s="134"/>
      <c r="H2993" s="114"/>
      <c r="I2993" s="114"/>
      <c r="J2993" s="114"/>
      <c r="K2993" s="114"/>
      <c r="L2993" s="114"/>
      <c r="M2993" s="114"/>
      <c r="N2993" s="114"/>
      <c r="P2993" s="234"/>
      <c r="Q2993" s="240"/>
    </row>
    <row r="2994" spans="6:17" x14ac:dyDescent="0.25">
      <c r="F2994" s="134"/>
      <c r="H2994" s="114"/>
      <c r="I2994" s="114"/>
      <c r="J2994" s="114"/>
      <c r="K2994" s="114"/>
      <c r="L2994" s="114"/>
      <c r="M2994" s="114"/>
      <c r="N2994" s="114"/>
      <c r="P2994" s="234"/>
      <c r="Q2994" s="240"/>
    </row>
    <row r="2995" spans="6:17" x14ac:dyDescent="0.25">
      <c r="F2995" s="134"/>
      <c r="H2995" s="114"/>
      <c r="I2995" s="114"/>
      <c r="J2995" s="114"/>
      <c r="K2995" s="114"/>
      <c r="L2995" s="114"/>
      <c r="M2995" s="114"/>
      <c r="N2995" s="114"/>
      <c r="P2995" s="234"/>
      <c r="Q2995" s="240"/>
    </row>
    <row r="2996" spans="6:17" x14ac:dyDescent="0.25">
      <c r="F2996" s="134"/>
      <c r="H2996" s="114"/>
      <c r="I2996" s="114"/>
      <c r="J2996" s="114"/>
      <c r="K2996" s="114"/>
      <c r="L2996" s="114"/>
      <c r="M2996" s="114"/>
      <c r="N2996" s="114"/>
      <c r="P2996" s="234"/>
      <c r="Q2996" s="240"/>
    </row>
    <row r="2997" spans="6:17" x14ac:dyDescent="0.25">
      <c r="F2997" s="134"/>
      <c r="H2997" s="114"/>
      <c r="I2997" s="114"/>
      <c r="J2997" s="114"/>
      <c r="K2997" s="114"/>
      <c r="L2997" s="114"/>
      <c r="M2997" s="114"/>
      <c r="N2997" s="114"/>
      <c r="P2997" s="234"/>
      <c r="Q2997" s="240"/>
    </row>
    <row r="2998" spans="6:17" x14ac:dyDescent="0.25">
      <c r="F2998" s="134"/>
      <c r="H2998" s="114"/>
      <c r="I2998" s="114"/>
      <c r="J2998" s="114"/>
      <c r="K2998" s="114"/>
      <c r="L2998" s="114"/>
      <c r="M2998" s="114"/>
      <c r="N2998" s="114"/>
      <c r="P2998" s="234"/>
      <c r="Q2998" s="240"/>
    </row>
    <row r="2999" spans="6:17" x14ac:dyDescent="0.25">
      <c r="F2999" s="134"/>
      <c r="H2999" s="114"/>
      <c r="I2999" s="114"/>
      <c r="J2999" s="114"/>
      <c r="K2999" s="114"/>
      <c r="L2999" s="114"/>
      <c r="M2999" s="114"/>
      <c r="N2999" s="114"/>
      <c r="P2999" s="234"/>
      <c r="Q2999" s="240"/>
    </row>
    <row r="3000" spans="6:17" x14ac:dyDescent="0.25">
      <c r="F3000" s="134"/>
      <c r="H3000" s="114"/>
      <c r="I3000" s="114"/>
      <c r="J3000" s="114"/>
      <c r="K3000" s="114"/>
      <c r="L3000" s="114"/>
      <c r="M3000" s="114"/>
      <c r="N3000" s="114"/>
      <c r="P3000" s="234"/>
      <c r="Q3000" s="240"/>
    </row>
    <row r="3001" spans="6:17" x14ac:dyDescent="0.25">
      <c r="F3001" s="134"/>
      <c r="H3001" s="114"/>
      <c r="I3001" s="114"/>
      <c r="J3001" s="114"/>
      <c r="K3001" s="114"/>
      <c r="L3001" s="114"/>
      <c r="M3001" s="114"/>
      <c r="N3001" s="114"/>
      <c r="P3001" s="234"/>
      <c r="Q3001" s="240"/>
    </row>
    <row r="3002" spans="6:17" x14ac:dyDescent="0.25">
      <c r="F3002" s="134"/>
      <c r="H3002" s="114"/>
      <c r="I3002" s="114"/>
      <c r="J3002" s="114"/>
      <c r="K3002" s="114"/>
      <c r="L3002" s="114"/>
      <c r="M3002" s="114"/>
      <c r="N3002" s="114"/>
      <c r="P3002" s="234"/>
      <c r="Q3002" s="240"/>
    </row>
    <row r="3003" spans="6:17" x14ac:dyDescent="0.25">
      <c r="F3003" s="134"/>
      <c r="H3003" s="114"/>
      <c r="I3003" s="114"/>
      <c r="J3003" s="114"/>
      <c r="K3003" s="114"/>
      <c r="L3003" s="114"/>
      <c r="M3003" s="114"/>
      <c r="N3003" s="114"/>
      <c r="P3003" s="234"/>
      <c r="Q3003" s="240"/>
    </row>
    <row r="3004" spans="6:17" x14ac:dyDescent="0.25">
      <c r="F3004" s="134"/>
      <c r="H3004" s="114"/>
      <c r="I3004" s="114"/>
      <c r="J3004" s="114"/>
      <c r="K3004" s="114"/>
      <c r="L3004" s="114"/>
      <c r="M3004" s="114"/>
      <c r="N3004" s="114"/>
      <c r="P3004" s="234"/>
      <c r="Q3004" s="240"/>
    </row>
    <row r="3005" spans="6:17" x14ac:dyDescent="0.25">
      <c r="F3005" s="134"/>
      <c r="H3005" s="114"/>
      <c r="I3005" s="114"/>
      <c r="J3005" s="114"/>
      <c r="K3005" s="114"/>
      <c r="L3005" s="114"/>
      <c r="M3005" s="114"/>
      <c r="N3005" s="114"/>
      <c r="P3005" s="234"/>
      <c r="Q3005" s="240"/>
    </row>
    <row r="3006" spans="6:17" x14ac:dyDescent="0.25">
      <c r="F3006" s="134"/>
      <c r="H3006" s="114"/>
      <c r="I3006" s="114"/>
      <c r="J3006" s="114"/>
      <c r="K3006" s="114"/>
      <c r="L3006" s="114"/>
      <c r="M3006" s="114"/>
      <c r="N3006" s="114"/>
      <c r="P3006" s="234"/>
      <c r="Q3006" s="240"/>
    </row>
    <row r="3007" spans="6:17" x14ac:dyDescent="0.25">
      <c r="F3007" s="134"/>
      <c r="H3007" s="114"/>
      <c r="I3007" s="114"/>
      <c r="J3007" s="114"/>
      <c r="K3007" s="114"/>
      <c r="L3007" s="114"/>
      <c r="M3007" s="114"/>
      <c r="N3007" s="114"/>
      <c r="P3007" s="234"/>
      <c r="Q3007" s="240"/>
    </row>
    <row r="3008" spans="6:17" x14ac:dyDescent="0.25">
      <c r="F3008" s="134"/>
      <c r="H3008" s="114"/>
      <c r="I3008" s="114"/>
      <c r="J3008" s="114"/>
      <c r="K3008" s="114"/>
      <c r="L3008" s="114"/>
      <c r="M3008" s="114"/>
      <c r="N3008" s="114"/>
      <c r="P3008" s="234"/>
      <c r="Q3008" s="240"/>
    </row>
    <row r="3009" spans="6:17" x14ac:dyDescent="0.25">
      <c r="F3009" s="134"/>
      <c r="H3009" s="114"/>
      <c r="I3009" s="114"/>
      <c r="J3009" s="114"/>
      <c r="K3009" s="114"/>
      <c r="L3009" s="114"/>
      <c r="M3009" s="114"/>
      <c r="N3009" s="114"/>
      <c r="P3009" s="234"/>
      <c r="Q3009" s="240"/>
    </row>
    <row r="3010" spans="6:17" x14ac:dyDescent="0.25">
      <c r="F3010" s="134"/>
      <c r="H3010" s="114"/>
      <c r="I3010" s="114"/>
      <c r="J3010" s="114"/>
      <c r="K3010" s="114"/>
      <c r="L3010" s="114"/>
      <c r="M3010" s="114"/>
      <c r="N3010" s="114"/>
      <c r="P3010" s="234"/>
      <c r="Q3010" s="240"/>
    </row>
    <row r="3011" spans="6:17" x14ac:dyDescent="0.25">
      <c r="F3011" s="134"/>
      <c r="H3011" s="114"/>
      <c r="I3011" s="114"/>
      <c r="J3011" s="114"/>
      <c r="K3011" s="114"/>
      <c r="L3011" s="114"/>
      <c r="M3011" s="114"/>
      <c r="N3011" s="114"/>
      <c r="P3011" s="234"/>
      <c r="Q3011" s="240"/>
    </row>
    <row r="3012" spans="6:17" x14ac:dyDescent="0.25">
      <c r="F3012" s="134"/>
      <c r="H3012" s="114"/>
      <c r="I3012" s="114"/>
      <c r="J3012" s="114"/>
      <c r="K3012" s="114"/>
      <c r="L3012" s="114"/>
      <c r="M3012" s="114"/>
      <c r="N3012" s="114"/>
      <c r="P3012" s="234"/>
      <c r="Q3012" s="240"/>
    </row>
    <row r="3013" spans="6:17" x14ac:dyDescent="0.25">
      <c r="F3013" s="134"/>
      <c r="H3013" s="114"/>
      <c r="I3013" s="114"/>
      <c r="J3013" s="114"/>
      <c r="K3013" s="114"/>
      <c r="L3013" s="114"/>
      <c r="M3013" s="114"/>
      <c r="N3013" s="114"/>
      <c r="P3013" s="234"/>
      <c r="Q3013" s="240"/>
    </row>
    <row r="3014" spans="6:17" x14ac:dyDescent="0.25">
      <c r="F3014" s="134"/>
      <c r="H3014" s="114"/>
      <c r="I3014" s="114"/>
      <c r="J3014" s="114"/>
      <c r="K3014" s="114"/>
      <c r="L3014" s="114"/>
      <c r="M3014" s="114"/>
      <c r="N3014" s="114"/>
      <c r="P3014" s="234"/>
      <c r="Q3014" s="240"/>
    </row>
    <row r="3015" spans="6:17" x14ac:dyDescent="0.25">
      <c r="F3015" s="134"/>
      <c r="H3015" s="114"/>
      <c r="I3015" s="114"/>
      <c r="J3015" s="114"/>
      <c r="K3015" s="114"/>
      <c r="L3015" s="114"/>
      <c r="M3015" s="114"/>
      <c r="N3015" s="114"/>
      <c r="P3015" s="234"/>
      <c r="Q3015" s="240"/>
    </row>
    <row r="3016" spans="6:17" x14ac:dyDescent="0.25">
      <c r="F3016" s="134"/>
      <c r="H3016" s="114"/>
      <c r="I3016" s="114"/>
      <c r="J3016" s="114"/>
      <c r="K3016" s="114"/>
      <c r="L3016" s="114"/>
      <c r="M3016" s="114"/>
      <c r="N3016" s="114"/>
      <c r="P3016" s="234"/>
      <c r="Q3016" s="240"/>
    </row>
    <row r="3017" spans="6:17" x14ac:dyDescent="0.25">
      <c r="F3017" s="134"/>
      <c r="H3017" s="114"/>
      <c r="I3017" s="114"/>
      <c r="J3017" s="114"/>
      <c r="K3017" s="114"/>
      <c r="L3017" s="114"/>
      <c r="M3017" s="114"/>
      <c r="N3017" s="114"/>
      <c r="P3017" s="234"/>
      <c r="Q3017" s="240"/>
    </row>
    <row r="3018" spans="6:17" x14ac:dyDescent="0.25">
      <c r="F3018" s="134"/>
      <c r="H3018" s="114"/>
      <c r="I3018" s="114"/>
      <c r="J3018" s="114"/>
      <c r="K3018" s="114"/>
      <c r="L3018" s="114"/>
      <c r="M3018" s="114"/>
      <c r="N3018" s="114"/>
      <c r="P3018" s="234"/>
      <c r="Q3018" s="240"/>
    </row>
    <row r="3019" spans="6:17" x14ac:dyDescent="0.25">
      <c r="F3019" s="134"/>
      <c r="H3019" s="114"/>
      <c r="I3019" s="114"/>
      <c r="J3019" s="114"/>
      <c r="K3019" s="114"/>
      <c r="L3019" s="114"/>
      <c r="M3019" s="114"/>
      <c r="N3019" s="114"/>
      <c r="P3019" s="234"/>
      <c r="Q3019" s="240"/>
    </row>
    <row r="3020" spans="6:17" x14ac:dyDescent="0.25">
      <c r="F3020" s="134"/>
      <c r="H3020" s="114"/>
      <c r="I3020" s="114"/>
      <c r="J3020" s="114"/>
      <c r="K3020" s="114"/>
      <c r="L3020" s="114"/>
      <c r="M3020" s="114"/>
      <c r="N3020" s="114"/>
      <c r="P3020" s="234"/>
      <c r="Q3020" s="240"/>
    </row>
    <row r="3021" spans="6:17" x14ac:dyDescent="0.25">
      <c r="F3021" s="134"/>
      <c r="H3021" s="114"/>
      <c r="I3021" s="114"/>
      <c r="J3021" s="114"/>
      <c r="K3021" s="114"/>
      <c r="L3021" s="114"/>
      <c r="M3021" s="114"/>
      <c r="N3021" s="114"/>
      <c r="P3021" s="234"/>
      <c r="Q3021" s="240"/>
    </row>
    <row r="3022" spans="6:17" x14ac:dyDescent="0.25">
      <c r="F3022" s="134"/>
      <c r="H3022" s="114"/>
      <c r="I3022" s="114"/>
      <c r="J3022" s="114"/>
      <c r="K3022" s="114"/>
      <c r="L3022" s="114"/>
      <c r="M3022" s="114"/>
      <c r="N3022" s="114"/>
      <c r="P3022" s="234"/>
      <c r="Q3022" s="240"/>
    </row>
    <row r="3023" spans="6:17" x14ac:dyDescent="0.25">
      <c r="F3023" s="134"/>
      <c r="H3023" s="114"/>
      <c r="I3023" s="114"/>
      <c r="J3023" s="114"/>
      <c r="K3023" s="114"/>
      <c r="L3023" s="114"/>
      <c r="M3023" s="114"/>
      <c r="N3023" s="114"/>
      <c r="P3023" s="234"/>
      <c r="Q3023" s="240"/>
    </row>
    <row r="3024" spans="6:17" x14ac:dyDescent="0.25">
      <c r="F3024" s="134"/>
      <c r="H3024" s="114"/>
      <c r="I3024" s="114"/>
      <c r="J3024" s="114"/>
      <c r="K3024" s="114"/>
      <c r="L3024" s="114"/>
      <c r="M3024" s="114"/>
      <c r="N3024" s="114"/>
      <c r="P3024" s="234"/>
      <c r="Q3024" s="240"/>
    </row>
    <row r="3025" spans="6:17" x14ac:dyDescent="0.25">
      <c r="F3025" s="134"/>
      <c r="H3025" s="114"/>
      <c r="I3025" s="114"/>
      <c r="J3025" s="114"/>
      <c r="K3025" s="114"/>
      <c r="L3025" s="114"/>
      <c r="M3025" s="114"/>
      <c r="N3025" s="114"/>
      <c r="P3025" s="234"/>
      <c r="Q3025" s="240"/>
    </row>
    <row r="3026" spans="6:17" x14ac:dyDescent="0.25">
      <c r="F3026" s="134"/>
      <c r="H3026" s="114"/>
      <c r="I3026" s="114"/>
      <c r="J3026" s="114"/>
      <c r="K3026" s="114"/>
      <c r="L3026" s="114"/>
      <c r="M3026" s="114"/>
      <c r="N3026" s="114"/>
      <c r="P3026" s="234"/>
      <c r="Q3026" s="240"/>
    </row>
    <row r="3027" spans="6:17" x14ac:dyDescent="0.25">
      <c r="F3027" s="134"/>
      <c r="H3027" s="114"/>
      <c r="I3027" s="114"/>
      <c r="J3027" s="114"/>
      <c r="K3027" s="114"/>
      <c r="L3027" s="114"/>
      <c r="M3027" s="114"/>
      <c r="N3027" s="114"/>
      <c r="P3027" s="234"/>
      <c r="Q3027" s="240"/>
    </row>
    <row r="3028" spans="6:17" x14ac:dyDescent="0.25">
      <c r="F3028" s="134"/>
      <c r="H3028" s="114"/>
      <c r="I3028" s="114"/>
      <c r="J3028" s="114"/>
      <c r="K3028" s="114"/>
      <c r="L3028" s="114"/>
      <c r="M3028" s="114"/>
      <c r="N3028" s="114"/>
      <c r="P3028" s="234"/>
      <c r="Q3028" s="240"/>
    </row>
    <row r="3029" spans="6:17" x14ac:dyDescent="0.25">
      <c r="F3029" s="134"/>
      <c r="H3029" s="114"/>
      <c r="I3029" s="114"/>
      <c r="J3029" s="114"/>
      <c r="K3029" s="114"/>
      <c r="L3029" s="114"/>
      <c r="M3029" s="114"/>
      <c r="N3029" s="114"/>
      <c r="P3029" s="234"/>
      <c r="Q3029" s="240"/>
    </row>
    <row r="3030" spans="6:17" x14ac:dyDescent="0.25">
      <c r="F3030" s="134"/>
      <c r="H3030" s="114"/>
      <c r="I3030" s="114"/>
      <c r="J3030" s="114"/>
      <c r="K3030" s="114"/>
      <c r="L3030" s="114"/>
      <c r="M3030" s="114"/>
      <c r="N3030" s="114"/>
      <c r="P3030" s="234"/>
      <c r="Q3030" s="240"/>
    </row>
    <row r="3031" spans="6:17" x14ac:dyDescent="0.25">
      <c r="F3031" s="134"/>
      <c r="H3031" s="114"/>
      <c r="I3031" s="114"/>
      <c r="J3031" s="114"/>
      <c r="K3031" s="114"/>
      <c r="L3031" s="114"/>
      <c r="M3031" s="114"/>
      <c r="N3031" s="114"/>
      <c r="P3031" s="234"/>
      <c r="Q3031" s="240"/>
    </row>
    <row r="3032" spans="6:17" x14ac:dyDescent="0.25">
      <c r="F3032" s="134"/>
      <c r="H3032" s="114"/>
      <c r="I3032" s="114"/>
      <c r="J3032" s="114"/>
      <c r="K3032" s="114"/>
      <c r="L3032" s="114"/>
      <c r="M3032" s="114"/>
      <c r="N3032" s="114"/>
      <c r="P3032" s="234"/>
      <c r="Q3032" s="240"/>
    </row>
    <row r="3033" spans="6:17" x14ac:dyDescent="0.25">
      <c r="F3033" s="134"/>
      <c r="H3033" s="114"/>
      <c r="I3033" s="114"/>
      <c r="J3033" s="114"/>
      <c r="K3033" s="114"/>
      <c r="L3033" s="114"/>
      <c r="M3033" s="114"/>
      <c r="N3033" s="114"/>
      <c r="P3033" s="234"/>
      <c r="Q3033" s="240"/>
    </row>
    <row r="3034" spans="6:17" x14ac:dyDescent="0.25">
      <c r="F3034" s="134"/>
      <c r="H3034" s="114"/>
      <c r="I3034" s="114"/>
      <c r="J3034" s="114"/>
      <c r="K3034" s="114"/>
      <c r="L3034" s="114"/>
      <c r="M3034" s="114"/>
      <c r="N3034" s="114"/>
      <c r="P3034" s="234"/>
      <c r="Q3034" s="240"/>
    </row>
    <row r="3035" spans="6:17" x14ac:dyDescent="0.25">
      <c r="F3035" s="134"/>
      <c r="H3035" s="114"/>
      <c r="I3035" s="114"/>
      <c r="J3035" s="114"/>
      <c r="K3035" s="114"/>
      <c r="L3035" s="114"/>
      <c r="M3035" s="114"/>
      <c r="N3035" s="114"/>
      <c r="P3035" s="234"/>
      <c r="Q3035" s="240"/>
    </row>
    <row r="3036" spans="6:17" x14ac:dyDescent="0.25">
      <c r="F3036" s="134"/>
      <c r="H3036" s="114"/>
      <c r="I3036" s="114"/>
      <c r="J3036" s="114"/>
      <c r="K3036" s="114"/>
      <c r="L3036" s="114"/>
      <c r="M3036" s="114"/>
      <c r="N3036" s="114"/>
      <c r="P3036" s="234"/>
      <c r="Q3036" s="240"/>
    </row>
    <row r="3037" spans="6:17" x14ac:dyDescent="0.25">
      <c r="F3037" s="134"/>
      <c r="H3037" s="114"/>
      <c r="I3037" s="114"/>
      <c r="J3037" s="114"/>
      <c r="K3037" s="114"/>
      <c r="L3037" s="114"/>
      <c r="M3037" s="114"/>
      <c r="N3037" s="114"/>
      <c r="P3037" s="234"/>
      <c r="Q3037" s="240"/>
    </row>
    <row r="3038" spans="6:17" x14ac:dyDescent="0.25">
      <c r="F3038" s="134"/>
      <c r="H3038" s="114"/>
      <c r="I3038" s="114"/>
      <c r="J3038" s="114"/>
      <c r="K3038" s="114"/>
      <c r="L3038" s="114"/>
      <c r="M3038" s="114"/>
      <c r="N3038" s="114"/>
      <c r="P3038" s="234"/>
      <c r="Q3038" s="240"/>
    </row>
    <row r="3039" spans="6:17" x14ac:dyDescent="0.25">
      <c r="F3039" s="134"/>
      <c r="H3039" s="114"/>
      <c r="I3039" s="114"/>
      <c r="J3039" s="114"/>
      <c r="K3039" s="114"/>
      <c r="L3039" s="114"/>
      <c r="M3039" s="114"/>
      <c r="N3039" s="114"/>
      <c r="P3039" s="234"/>
      <c r="Q3039" s="240"/>
    </row>
    <row r="3040" spans="6:17" x14ac:dyDescent="0.25">
      <c r="F3040" s="134"/>
      <c r="H3040" s="114"/>
      <c r="I3040" s="114"/>
      <c r="J3040" s="114"/>
      <c r="K3040" s="114"/>
      <c r="L3040" s="114"/>
      <c r="M3040" s="114"/>
      <c r="N3040" s="114"/>
      <c r="P3040" s="234"/>
      <c r="Q3040" s="240"/>
    </row>
    <row r="3041" spans="6:17" x14ac:dyDescent="0.25">
      <c r="F3041" s="134"/>
      <c r="H3041" s="114"/>
      <c r="I3041" s="114"/>
      <c r="J3041" s="114"/>
      <c r="K3041" s="114"/>
      <c r="L3041" s="114"/>
      <c r="M3041" s="114"/>
      <c r="N3041" s="114"/>
      <c r="P3041" s="234"/>
      <c r="Q3041" s="240"/>
    </row>
    <row r="3042" spans="6:17" x14ac:dyDescent="0.25">
      <c r="F3042" s="134"/>
      <c r="H3042" s="114"/>
      <c r="I3042" s="114"/>
      <c r="J3042" s="114"/>
      <c r="K3042" s="114"/>
      <c r="L3042" s="114"/>
      <c r="M3042" s="114"/>
      <c r="N3042" s="114"/>
      <c r="P3042" s="234"/>
      <c r="Q3042" s="240"/>
    </row>
    <row r="3043" spans="6:17" x14ac:dyDescent="0.25">
      <c r="F3043" s="134"/>
      <c r="H3043" s="114"/>
      <c r="I3043" s="114"/>
      <c r="J3043" s="114"/>
      <c r="K3043" s="114"/>
      <c r="L3043" s="114"/>
      <c r="M3043" s="114"/>
      <c r="N3043" s="114"/>
      <c r="P3043" s="234"/>
      <c r="Q3043" s="240"/>
    </row>
    <row r="3044" spans="6:17" x14ac:dyDescent="0.25">
      <c r="F3044" s="134"/>
      <c r="H3044" s="114"/>
      <c r="I3044" s="114"/>
      <c r="J3044" s="114"/>
      <c r="K3044" s="114"/>
      <c r="L3044" s="114"/>
      <c r="M3044" s="114"/>
      <c r="N3044" s="114"/>
      <c r="P3044" s="234"/>
      <c r="Q3044" s="240"/>
    </row>
    <row r="3045" spans="6:17" x14ac:dyDescent="0.25">
      <c r="F3045" s="134"/>
      <c r="H3045" s="114"/>
      <c r="I3045" s="114"/>
      <c r="J3045" s="114"/>
      <c r="K3045" s="114"/>
      <c r="L3045" s="114"/>
      <c r="M3045" s="114"/>
      <c r="N3045" s="114"/>
      <c r="P3045" s="234"/>
      <c r="Q3045" s="240"/>
    </row>
    <row r="3046" spans="6:17" x14ac:dyDescent="0.25">
      <c r="F3046" s="134"/>
      <c r="H3046" s="114"/>
      <c r="I3046" s="114"/>
      <c r="J3046" s="114"/>
      <c r="K3046" s="114"/>
      <c r="L3046" s="114"/>
      <c r="M3046" s="114"/>
      <c r="N3046" s="114"/>
      <c r="P3046" s="234"/>
      <c r="Q3046" s="240"/>
    </row>
    <row r="3047" spans="6:17" x14ac:dyDescent="0.25">
      <c r="F3047" s="134"/>
      <c r="H3047" s="114"/>
      <c r="I3047" s="114"/>
      <c r="J3047" s="114"/>
      <c r="K3047" s="114"/>
      <c r="L3047" s="114"/>
      <c r="M3047" s="114"/>
      <c r="N3047" s="114"/>
      <c r="P3047" s="234"/>
      <c r="Q3047" s="240"/>
    </row>
    <row r="3048" spans="6:17" x14ac:dyDescent="0.25">
      <c r="F3048" s="134"/>
      <c r="H3048" s="114"/>
      <c r="I3048" s="114"/>
      <c r="J3048" s="114"/>
      <c r="K3048" s="114"/>
      <c r="L3048" s="114"/>
      <c r="M3048" s="114"/>
      <c r="N3048" s="114"/>
      <c r="P3048" s="234"/>
      <c r="Q3048" s="240"/>
    </row>
    <row r="3049" spans="6:17" x14ac:dyDescent="0.25">
      <c r="F3049" s="134"/>
      <c r="H3049" s="114"/>
      <c r="I3049" s="114"/>
      <c r="J3049" s="114"/>
      <c r="K3049" s="114"/>
      <c r="L3049" s="114"/>
      <c r="M3049" s="114"/>
      <c r="N3049" s="114"/>
      <c r="P3049" s="234"/>
      <c r="Q3049" s="240"/>
    </row>
    <row r="3050" spans="6:17" x14ac:dyDescent="0.25">
      <c r="F3050" s="134"/>
      <c r="H3050" s="114"/>
      <c r="I3050" s="114"/>
      <c r="J3050" s="114"/>
      <c r="K3050" s="114"/>
      <c r="L3050" s="114"/>
      <c r="M3050" s="114"/>
      <c r="N3050" s="114"/>
      <c r="P3050" s="234"/>
      <c r="Q3050" s="240"/>
    </row>
    <row r="3051" spans="6:17" x14ac:dyDescent="0.25">
      <c r="F3051" s="134"/>
      <c r="H3051" s="114"/>
      <c r="I3051" s="114"/>
      <c r="J3051" s="114"/>
      <c r="K3051" s="114"/>
      <c r="L3051" s="114"/>
      <c r="M3051" s="114"/>
      <c r="N3051" s="114"/>
      <c r="P3051" s="234"/>
      <c r="Q3051" s="240"/>
    </row>
    <row r="3052" spans="6:17" x14ac:dyDescent="0.25">
      <c r="F3052" s="134"/>
      <c r="H3052" s="114"/>
      <c r="I3052" s="114"/>
      <c r="J3052" s="114"/>
      <c r="K3052" s="114"/>
      <c r="L3052" s="114"/>
      <c r="M3052" s="114"/>
      <c r="N3052" s="114"/>
      <c r="P3052" s="234"/>
      <c r="Q3052" s="240"/>
    </row>
    <row r="3053" spans="6:17" x14ac:dyDescent="0.25">
      <c r="F3053" s="134"/>
      <c r="H3053" s="114"/>
      <c r="I3053" s="114"/>
      <c r="J3053" s="114"/>
      <c r="K3053" s="114"/>
      <c r="L3053" s="114"/>
      <c r="M3053" s="114"/>
      <c r="N3053" s="114"/>
      <c r="P3053" s="234"/>
      <c r="Q3053" s="240"/>
    </row>
    <row r="3054" spans="6:17" x14ac:dyDescent="0.25">
      <c r="F3054" s="134"/>
      <c r="H3054" s="114"/>
      <c r="I3054" s="114"/>
      <c r="J3054" s="114"/>
      <c r="K3054" s="114"/>
      <c r="L3054" s="114"/>
      <c r="M3054" s="114"/>
      <c r="N3054" s="114"/>
      <c r="P3054" s="234"/>
      <c r="Q3054" s="240"/>
    </row>
    <row r="3055" spans="6:17" x14ac:dyDescent="0.25">
      <c r="F3055" s="134"/>
      <c r="H3055" s="114"/>
      <c r="I3055" s="114"/>
      <c r="J3055" s="114"/>
      <c r="K3055" s="114"/>
      <c r="L3055" s="114"/>
      <c r="M3055" s="114"/>
      <c r="N3055" s="114"/>
      <c r="P3055" s="234"/>
      <c r="Q3055" s="240"/>
    </row>
    <row r="3056" spans="6:17" x14ac:dyDescent="0.25">
      <c r="F3056" s="134"/>
      <c r="H3056" s="114"/>
      <c r="I3056" s="114"/>
      <c r="J3056" s="114"/>
      <c r="K3056" s="114"/>
      <c r="L3056" s="114"/>
      <c r="M3056" s="114"/>
      <c r="N3056" s="114"/>
      <c r="P3056" s="234"/>
      <c r="Q3056" s="240"/>
    </row>
    <row r="3057" spans="6:17" x14ac:dyDescent="0.25">
      <c r="F3057" s="134"/>
      <c r="H3057" s="114"/>
      <c r="I3057" s="114"/>
      <c r="J3057" s="114"/>
      <c r="K3057" s="114"/>
      <c r="L3057" s="114"/>
      <c r="M3057" s="114"/>
      <c r="N3057" s="114"/>
      <c r="P3057" s="234"/>
      <c r="Q3057" s="240"/>
    </row>
    <row r="3058" spans="6:17" x14ac:dyDescent="0.25">
      <c r="F3058" s="134"/>
      <c r="H3058" s="114"/>
      <c r="I3058" s="114"/>
      <c r="J3058" s="114"/>
      <c r="K3058" s="114"/>
      <c r="L3058" s="114"/>
      <c r="M3058" s="114"/>
      <c r="N3058" s="114"/>
      <c r="P3058" s="234"/>
      <c r="Q3058" s="240"/>
    </row>
    <row r="3059" spans="6:17" x14ac:dyDescent="0.25">
      <c r="F3059" s="134"/>
      <c r="H3059" s="114"/>
      <c r="I3059" s="114"/>
      <c r="J3059" s="114"/>
      <c r="K3059" s="114"/>
      <c r="L3059" s="114"/>
      <c r="M3059" s="114"/>
      <c r="N3059" s="114"/>
      <c r="P3059" s="234"/>
      <c r="Q3059" s="240"/>
    </row>
    <row r="3060" spans="6:17" x14ac:dyDescent="0.25">
      <c r="F3060" s="134"/>
      <c r="H3060" s="114"/>
      <c r="I3060" s="114"/>
      <c r="J3060" s="114"/>
      <c r="K3060" s="114"/>
      <c r="L3060" s="114"/>
      <c r="M3060" s="114"/>
      <c r="N3060" s="114"/>
      <c r="P3060" s="234"/>
      <c r="Q3060" s="240"/>
    </row>
    <row r="3061" spans="6:17" x14ac:dyDescent="0.25">
      <c r="F3061" s="134"/>
      <c r="H3061" s="114"/>
      <c r="I3061" s="114"/>
      <c r="J3061" s="114"/>
      <c r="K3061" s="114"/>
      <c r="L3061" s="114"/>
      <c r="M3061" s="114"/>
      <c r="N3061" s="114"/>
      <c r="P3061" s="234"/>
      <c r="Q3061" s="240"/>
    </row>
    <row r="3062" spans="6:17" x14ac:dyDescent="0.25">
      <c r="F3062" s="134"/>
      <c r="H3062" s="114"/>
      <c r="I3062" s="114"/>
      <c r="J3062" s="114"/>
      <c r="K3062" s="114"/>
      <c r="L3062" s="114"/>
      <c r="M3062" s="114"/>
      <c r="N3062" s="114"/>
      <c r="P3062" s="234"/>
      <c r="Q3062" s="240"/>
    </row>
    <row r="3063" spans="6:17" x14ac:dyDescent="0.25">
      <c r="F3063" s="134"/>
      <c r="H3063" s="114"/>
      <c r="I3063" s="114"/>
      <c r="J3063" s="114"/>
      <c r="K3063" s="114"/>
      <c r="L3063" s="114"/>
      <c r="M3063" s="114"/>
      <c r="N3063" s="114"/>
      <c r="P3063" s="234"/>
      <c r="Q3063" s="240"/>
    </row>
    <row r="3064" spans="6:17" x14ac:dyDescent="0.25">
      <c r="F3064" s="134"/>
      <c r="H3064" s="114"/>
      <c r="I3064" s="114"/>
      <c r="J3064" s="114"/>
      <c r="K3064" s="114"/>
      <c r="L3064" s="114"/>
      <c r="M3064" s="114"/>
      <c r="N3064" s="114"/>
      <c r="P3064" s="234"/>
      <c r="Q3064" s="240"/>
    </row>
    <row r="3065" spans="6:17" x14ac:dyDescent="0.25">
      <c r="F3065" s="134"/>
      <c r="H3065" s="114"/>
      <c r="I3065" s="114"/>
      <c r="J3065" s="114"/>
      <c r="K3065" s="114"/>
      <c r="L3065" s="114"/>
      <c r="M3065" s="114"/>
      <c r="N3065" s="114"/>
      <c r="P3065" s="234"/>
      <c r="Q3065" s="240"/>
    </row>
    <row r="3066" spans="6:17" x14ac:dyDescent="0.25">
      <c r="F3066" s="134"/>
      <c r="H3066" s="114"/>
      <c r="I3066" s="114"/>
      <c r="J3066" s="114"/>
      <c r="K3066" s="114"/>
      <c r="L3066" s="114"/>
      <c r="M3066" s="114"/>
      <c r="N3066" s="114"/>
      <c r="P3066" s="234"/>
      <c r="Q3066" s="240"/>
    </row>
    <row r="3067" spans="6:17" x14ac:dyDescent="0.25">
      <c r="F3067" s="134"/>
      <c r="H3067" s="114"/>
      <c r="I3067" s="114"/>
      <c r="J3067" s="114"/>
      <c r="K3067" s="114"/>
      <c r="L3067" s="114"/>
      <c r="M3067" s="114"/>
      <c r="N3067" s="114"/>
      <c r="P3067" s="234"/>
      <c r="Q3067" s="240"/>
    </row>
    <row r="3068" spans="6:17" x14ac:dyDescent="0.25">
      <c r="F3068" s="134"/>
      <c r="H3068" s="114"/>
      <c r="I3068" s="114"/>
      <c r="J3068" s="114"/>
      <c r="K3068" s="114"/>
      <c r="L3068" s="114"/>
      <c r="M3068" s="114"/>
      <c r="N3068" s="114"/>
      <c r="P3068" s="234"/>
      <c r="Q3068" s="240"/>
    </row>
    <row r="3069" spans="6:17" x14ac:dyDescent="0.25">
      <c r="F3069" s="134"/>
      <c r="H3069" s="114"/>
      <c r="I3069" s="114"/>
      <c r="J3069" s="114"/>
      <c r="K3069" s="114"/>
      <c r="L3069" s="114"/>
      <c r="M3069" s="114"/>
      <c r="N3069" s="114"/>
      <c r="P3069" s="234"/>
      <c r="Q3069" s="240"/>
    </row>
    <row r="3070" spans="6:17" x14ac:dyDescent="0.25">
      <c r="F3070" s="134"/>
      <c r="H3070" s="114"/>
      <c r="I3070" s="114"/>
      <c r="J3070" s="114"/>
      <c r="K3070" s="114"/>
      <c r="L3070" s="114"/>
      <c r="M3070" s="114"/>
      <c r="N3070" s="114"/>
      <c r="P3070" s="234"/>
      <c r="Q3070" s="240"/>
    </row>
    <row r="3071" spans="6:17" x14ac:dyDescent="0.25">
      <c r="F3071" s="134"/>
      <c r="H3071" s="114"/>
      <c r="I3071" s="114"/>
      <c r="J3071" s="114"/>
      <c r="K3071" s="114"/>
      <c r="L3071" s="114"/>
      <c r="M3071" s="114"/>
      <c r="N3071" s="114"/>
      <c r="P3071" s="234"/>
      <c r="Q3071" s="240"/>
    </row>
    <row r="3072" spans="6:17" x14ac:dyDescent="0.25">
      <c r="F3072" s="134"/>
      <c r="H3072" s="114"/>
      <c r="I3072" s="114"/>
      <c r="J3072" s="114"/>
      <c r="K3072" s="114"/>
      <c r="L3072" s="114"/>
      <c r="M3072" s="114"/>
      <c r="N3072" s="114"/>
      <c r="P3072" s="234"/>
      <c r="Q3072" s="240"/>
    </row>
    <row r="3073" spans="6:17" x14ac:dyDescent="0.25">
      <c r="F3073" s="134"/>
      <c r="H3073" s="114"/>
      <c r="I3073" s="114"/>
      <c r="J3073" s="114"/>
      <c r="K3073" s="114"/>
      <c r="L3073" s="114"/>
      <c r="M3073" s="114"/>
      <c r="N3073" s="114"/>
      <c r="P3073" s="234"/>
      <c r="Q3073" s="240"/>
    </row>
    <row r="3074" spans="6:17" x14ac:dyDescent="0.25">
      <c r="F3074" s="134"/>
      <c r="H3074" s="114"/>
      <c r="I3074" s="114"/>
      <c r="J3074" s="114"/>
      <c r="K3074" s="114"/>
      <c r="L3074" s="114"/>
      <c r="M3074" s="114"/>
      <c r="N3074" s="114"/>
      <c r="P3074" s="234"/>
      <c r="Q3074" s="240"/>
    </row>
    <row r="3075" spans="6:17" x14ac:dyDescent="0.25">
      <c r="F3075" s="134"/>
      <c r="H3075" s="114"/>
      <c r="I3075" s="114"/>
      <c r="J3075" s="114"/>
      <c r="K3075" s="114"/>
      <c r="L3075" s="114"/>
      <c r="M3075" s="114"/>
      <c r="N3075" s="114"/>
      <c r="P3075" s="234"/>
      <c r="Q3075" s="240"/>
    </row>
    <row r="3076" spans="6:17" x14ac:dyDescent="0.25">
      <c r="F3076" s="134"/>
      <c r="H3076" s="114"/>
      <c r="I3076" s="114"/>
      <c r="J3076" s="114"/>
      <c r="K3076" s="114"/>
      <c r="L3076" s="114"/>
      <c r="M3076" s="114"/>
      <c r="N3076" s="114"/>
      <c r="P3076" s="234"/>
      <c r="Q3076" s="240"/>
    </row>
    <row r="3077" spans="6:17" x14ac:dyDescent="0.25">
      <c r="F3077" s="134"/>
      <c r="H3077" s="114"/>
      <c r="I3077" s="114"/>
      <c r="J3077" s="114"/>
      <c r="K3077" s="114"/>
      <c r="L3077" s="114"/>
      <c r="M3077" s="114"/>
      <c r="N3077" s="114"/>
      <c r="P3077" s="234"/>
      <c r="Q3077" s="240"/>
    </row>
    <row r="3078" spans="6:17" x14ac:dyDescent="0.25">
      <c r="F3078" s="134"/>
      <c r="H3078" s="114"/>
      <c r="I3078" s="114"/>
      <c r="J3078" s="114"/>
      <c r="K3078" s="114"/>
      <c r="L3078" s="114"/>
      <c r="M3078" s="114"/>
      <c r="N3078" s="114"/>
      <c r="P3078" s="234"/>
      <c r="Q3078" s="240"/>
    </row>
    <row r="3079" spans="6:17" x14ac:dyDescent="0.25">
      <c r="F3079" s="134"/>
      <c r="H3079" s="114"/>
      <c r="I3079" s="114"/>
      <c r="J3079" s="114"/>
      <c r="K3079" s="114"/>
      <c r="L3079" s="114"/>
      <c r="M3079" s="114"/>
      <c r="N3079" s="114"/>
      <c r="P3079" s="234"/>
      <c r="Q3079" s="240"/>
    </row>
    <row r="3080" spans="6:17" x14ac:dyDescent="0.25">
      <c r="F3080" s="134"/>
      <c r="H3080" s="114"/>
      <c r="I3080" s="114"/>
      <c r="J3080" s="114"/>
      <c r="K3080" s="114"/>
      <c r="L3080" s="114"/>
      <c r="M3080" s="114"/>
      <c r="N3080" s="114"/>
      <c r="P3080" s="234"/>
      <c r="Q3080" s="240"/>
    </row>
    <row r="3081" spans="6:17" x14ac:dyDescent="0.25">
      <c r="F3081" s="134"/>
      <c r="H3081" s="114"/>
      <c r="I3081" s="114"/>
      <c r="J3081" s="114"/>
      <c r="K3081" s="114"/>
      <c r="L3081" s="114"/>
      <c r="M3081" s="114"/>
      <c r="N3081" s="114"/>
      <c r="P3081" s="234"/>
      <c r="Q3081" s="240"/>
    </row>
    <row r="3082" spans="6:17" x14ac:dyDescent="0.25">
      <c r="F3082" s="134"/>
      <c r="H3082" s="114"/>
      <c r="I3082" s="114"/>
      <c r="J3082" s="114"/>
      <c r="K3082" s="114"/>
      <c r="L3082" s="114"/>
      <c r="M3082" s="114"/>
      <c r="N3082" s="114"/>
      <c r="P3082" s="234"/>
      <c r="Q3082" s="240"/>
    </row>
    <row r="3083" spans="6:17" x14ac:dyDescent="0.25">
      <c r="F3083" s="134"/>
      <c r="H3083" s="114"/>
      <c r="I3083" s="114"/>
      <c r="J3083" s="114"/>
      <c r="K3083" s="114"/>
      <c r="L3083" s="114"/>
      <c r="M3083" s="114"/>
      <c r="N3083" s="114"/>
      <c r="P3083" s="234"/>
      <c r="Q3083" s="240"/>
    </row>
    <row r="3084" spans="6:17" x14ac:dyDescent="0.25">
      <c r="F3084" s="134"/>
      <c r="H3084" s="114"/>
      <c r="I3084" s="114"/>
      <c r="J3084" s="114"/>
      <c r="K3084" s="114"/>
      <c r="L3084" s="114"/>
      <c r="M3084" s="114"/>
      <c r="N3084" s="114"/>
      <c r="P3084" s="234"/>
      <c r="Q3084" s="240"/>
    </row>
    <row r="3085" spans="6:17" x14ac:dyDescent="0.25">
      <c r="F3085" s="134"/>
      <c r="H3085" s="114"/>
      <c r="I3085" s="114"/>
      <c r="J3085" s="114"/>
      <c r="K3085" s="114"/>
      <c r="L3085" s="114"/>
      <c r="M3085" s="114"/>
      <c r="N3085" s="114"/>
      <c r="P3085" s="234"/>
      <c r="Q3085" s="240"/>
    </row>
    <row r="3086" spans="6:17" x14ac:dyDescent="0.25">
      <c r="F3086" s="134"/>
      <c r="H3086" s="114"/>
      <c r="I3086" s="114"/>
      <c r="J3086" s="114"/>
      <c r="K3086" s="114"/>
      <c r="L3086" s="114"/>
      <c r="M3086" s="114"/>
      <c r="N3086" s="114"/>
      <c r="P3086" s="234"/>
      <c r="Q3086" s="240"/>
    </row>
    <row r="3087" spans="6:17" x14ac:dyDescent="0.25">
      <c r="F3087" s="134"/>
      <c r="H3087" s="114"/>
      <c r="I3087" s="114"/>
      <c r="J3087" s="114"/>
      <c r="K3087" s="114"/>
      <c r="L3087" s="114"/>
      <c r="M3087" s="114"/>
      <c r="N3087" s="114"/>
      <c r="P3087" s="234"/>
      <c r="Q3087" s="240"/>
    </row>
    <row r="3088" spans="6:17" x14ac:dyDescent="0.25">
      <c r="F3088" s="134"/>
      <c r="H3088" s="114"/>
      <c r="I3088" s="114"/>
      <c r="J3088" s="114"/>
      <c r="K3088" s="114"/>
      <c r="L3088" s="114"/>
      <c r="M3088" s="114"/>
      <c r="N3088" s="114"/>
      <c r="P3088" s="234"/>
      <c r="Q3088" s="240"/>
    </row>
    <row r="3089" spans="6:17" x14ac:dyDescent="0.25">
      <c r="F3089" s="134"/>
      <c r="H3089" s="114"/>
      <c r="I3089" s="114"/>
      <c r="J3089" s="114"/>
      <c r="K3089" s="114"/>
      <c r="L3089" s="114"/>
      <c r="M3089" s="114"/>
      <c r="N3089" s="114"/>
      <c r="P3089" s="234"/>
      <c r="Q3089" s="240"/>
    </row>
    <row r="3090" spans="6:17" x14ac:dyDescent="0.25">
      <c r="F3090" s="134"/>
      <c r="H3090" s="114"/>
      <c r="I3090" s="114"/>
      <c r="J3090" s="114"/>
      <c r="K3090" s="114"/>
      <c r="L3090" s="114"/>
      <c r="M3090" s="114"/>
      <c r="N3090" s="114"/>
      <c r="P3090" s="234"/>
      <c r="Q3090" s="240"/>
    </row>
    <row r="3091" spans="6:17" x14ac:dyDescent="0.25">
      <c r="F3091" s="134"/>
      <c r="H3091" s="114"/>
      <c r="I3091" s="114"/>
      <c r="J3091" s="114"/>
      <c r="K3091" s="114"/>
      <c r="L3091" s="114"/>
      <c r="M3091" s="114"/>
      <c r="N3091" s="114"/>
      <c r="P3091" s="234"/>
      <c r="Q3091" s="240"/>
    </row>
    <row r="3092" spans="6:17" x14ac:dyDescent="0.25">
      <c r="F3092" s="134"/>
      <c r="H3092" s="114"/>
      <c r="I3092" s="114"/>
      <c r="J3092" s="114"/>
      <c r="K3092" s="114"/>
      <c r="L3092" s="114"/>
      <c r="M3092" s="114"/>
      <c r="N3092" s="114"/>
      <c r="P3092" s="234"/>
      <c r="Q3092" s="240"/>
    </row>
    <row r="3093" spans="6:17" x14ac:dyDescent="0.25">
      <c r="F3093" s="134"/>
      <c r="H3093" s="114"/>
      <c r="I3093" s="114"/>
      <c r="J3093" s="114"/>
      <c r="K3093" s="114"/>
      <c r="L3093" s="114"/>
      <c r="M3093" s="114"/>
      <c r="N3093" s="114"/>
      <c r="P3093" s="234"/>
      <c r="Q3093" s="240"/>
    </row>
    <row r="3094" spans="6:17" x14ac:dyDescent="0.25">
      <c r="F3094" s="134"/>
      <c r="H3094" s="114"/>
      <c r="I3094" s="114"/>
      <c r="J3094" s="114"/>
      <c r="K3094" s="114"/>
      <c r="L3094" s="114"/>
      <c r="M3094" s="114"/>
      <c r="N3094" s="114"/>
      <c r="P3094" s="234"/>
      <c r="Q3094" s="240"/>
    </row>
    <row r="3095" spans="6:17" x14ac:dyDescent="0.25">
      <c r="F3095" s="134"/>
      <c r="H3095" s="114"/>
      <c r="I3095" s="114"/>
      <c r="J3095" s="114"/>
      <c r="K3095" s="114"/>
      <c r="L3095" s="114"/>
      <c r="M3095" s="114"/>
      <c r="N3095" s="114"/>
      <c r="P3095" s="234"/>
      <c r="Q3095" s="240"/>
    </row>
    <row r="3096" spans="6:17" x14ac:dyDescent="0.25">
      <c r="F3096" s="134"/>
      <c r="H3096" s="114"/>
      <c r="I3096" s="114"/>
      <c r="J3096" s="114"/>
      <c r="K3096" s="114"/>
      <c r="L3096" s="114"/>
      <c r="M3096" s="114"/>
      <c r="N3096" s="114"/>
      <c r="P3096" s="234"/>
      <c r="Q3096" s="240"/>
    </row>
    <row r="3097" spans="6:17" x14ac:dyDescent="0.25">
      <c r="F3097" s="134"/>
      <c r="H3097" s="114"/>
      <c r="I3097" s="114"/>
      <c r="J3097" s="114"/>
      <c r="K3097" s="114"/>
      <c r="L3097" s="114"/>
      <c r="M3097" s="114"/>
      <c r="N3097" s="114"/>
      <c r="P3097" s="234"/>
      <c r="Q3097" s="240"/>
    </row>
    <row r="3098" spans="6:17" x14ac:dyDescent="0.25">
      <c r="F3098" s="134"/>
      <c r="H3098" s="114"/>
      <c r="I3098" s="114"/>
      <c r="J3098" s="114"/>
      <c r="K3098" s="114"/>
      <c r="L3098" s="114"/>
      <c r="M3098" s="114"/>
      <c r="N3098" s="114"/>
      <c r="P3098" s="234"/>
      <c r="Q3098" s="240"/>
    </row>
    <row r="3099" spans="6:17" x14ac:dyDescent="0.25">
      <c r="F3099" s="134"/>
      <c r="H3099" s="114"/>
      <c r="I3099" s="114"/>
      <c r="J3099" s="114"/>
      <c r="K3099" s="114"/>
      <c r="L3099" s="114"/>
      <c r="M3099" s="114"/>
      <c r="N3099" s="114"/>
      <c r="P3099" s="234"/>
      <c r="Q3099" s="240"/>
    </row>
    <row r="3100" spans="6:17" x14ac:dyDescent="0.25">
      <c r="F3100" s="134"/>
      <c r="H3100" s="114"/>
      <c r="I3100" s="114"/>
      <c r="J3100" s="114"/>
      <c r="K3100" s="114"/>
      <c r="L3100" s="114"/>
      <c r="M3100" s="114"/>
      <c r="N3100" s="114"/>
      <c r="P3100" s="234"/>
      <c r="Q3100" s="240"/>
    </row>
    <row r="3101" spans="6:17" x14ac:dyDescent="0.25">
      <c r="F3101" s="134"/>
      <c r="H3101" s="114"/>
      <c r="I3101" s="114"/>
      <c r="J3101" s="114"/>
      <c r="K3101" s="114"/>
      <c r="L3101" s="114"/>
      <c r="M3101" s="114"/>
      <c r="N3101" s="114"/>
      <c r="P3101" s="234"/>
      <c r="Q3101" s="240"/>
    </row>
    <row r="3102" spans="6:17" x14ac:dyDescent="0.25">
      <c r="F3102" s="134"/>
      <c r="H3102" s="114"/>
      <c r="I3102" s="114"/>
      <c r="J3102" s="114"/>
      <c r="K3102" s="114"/>
      <c r="L3102" s="114"/>
      <c r="M3102" s="114"/>
      <c r="N3102" s="114"/>
      <c r="P3102" s="234"/>
      <c r="Q3102" s="240"/>
    </row>
    <row r="3103" spans="6:17" x14ac:dyDescent="0.25">
      <c r="F3103" s="134"/>
      <c r="H3103" s="114"/>
      <c r="I3103" s="114"/>
      <c r="J3103" s="114"/>
      <c r="K3103" s="114"/>
      <c r="L3103" s="114"/>
      <c r="M3103" s="114"/>
      <c r="N3103" s="114"/>
      <c r="P3103" s="234"/>
      <c r="Q3103" s="240"/>
    </row>
    <row r="3104" spans="6:17" x14ac:dyDescent="0.25">
      <c r="F3104" s="134"/>
      <c r="H3104" s="114"/>
      <c r="I3104" s="114"/>
      <c r="J3104" s="114"/>
      <c r="K3104" s="114"/>
      <c r="L3104" s="114"/>
      <c r="M3104" s="114"/>
      <c r="N3104" s="114"/>
      <c r="P3104" s="234"/>
      <c r="Q3104" s="240"/>
    </row>
    <row r="3105" spans="6:17" x14ac:dyDescent="0.25">
      <c r="F3105" s="134"/>
      <c r="H3105" s="114"/>
      <c r="I3105" s="114"/>
      <c r="J3105" s="114"/>
      <c r="K3105" s="114"/>
      <c r="L3105" s="114"/>
      <c r="M3105" s="114"/>
      <c r="N3105" s="114"/>
      <c r="P3105" s="234"/>
      <c r="Q3105" s="240"/>
    </row>
    <row r="3106" spans="6:17" x14ac:dyDescent="0.25">
      <c r="F3106" s="134"/>
      <c r="H3106" s="114"/>
      <c r="I3106" s="114"/>
      <c r="J3106" s="114"/>
      <c r="K3106" s="114"/>
      <c r="L3106" s="114"/>
      <c r="M3106" s="114"/>
      <c r="N3106" s="114"/>
      <c r="P3106" s="234"/>
      <c r="Q3106" s="240"/>
    </row>
    <row r="3107" spans="6:17" x14ac:dyDescent="0.25">
      <c r="F3107" s="134"/>
      <c r="H3107" s="114"/>
      <c r="I3107" s="114"/>
      <c r="J3107" s="114"/>
      <c r="K3107" s="114"/>
      <c r="L3107" s="114"/>
      <c r="M3107" s="114"/>
      <c r="N3107" s="114"/>
      <c r="P3107" s="234"/>
      <c r="Q3107" s="240"/>
    </row>
    <row r="3108" spans="6:17" x14ac:dyDescent="0.25">
      <c r="F3108" s="134"/>
      <c r="H3108" s="114"/>
      <c r="I3108" s="114"/>
      <c r="J3108" s="114"/>
      <c r="K3108" s="114"/>
      <c r="L3108" s="114"/>
      <c r="M3108" s="114"/>
      <c r="N3108" s="114"/>
      <c r="P3108" s="234"/>
      <c r="Q3108" s="240"/>
    </row>
    <row r="3109" spans="6:17" x14ac:dyDescent="0.25">
      <c r="F3109" s="134"/>
      <c r="H3109" s="114"/>
      <c r="I3109" s="114"/>
      <c r="J3109" s="114"/>
      <c r="K3109" s="114"/>
      <c r="L3109" s="114"/>
      <c r="M3109" s="114"/>
      <c r="N3109" s="114"/>
      <c r="P3109" s="234"/>
      <c r="Q3109" s="240"/>
    </row>
    <row r="3110" spans="6:17" x14ac:dyDescent="0.25">
      <c r="F3110" s="134"/>
      <c r="H3110" s="114"/>
      <c r="I3110" s="114"/>
      <c r="J3110" s="114"/>
      <c r="K3110" s="114"/>
      <c r="L3110" s="114"/>
      <c r="M3110" s="114"/>
      <c r="N3110" s="114"/>
      <c r="P3110" s="234"/>
      <c r="Q3110" s="240"/>
    </row>
    <row r="3111" spans="6:17" x14ac:dyDescent="0.25">
      <c r="F3111" s="134"/>
      <c r="H3111" s="114"/>
      <c r="I3111" s="114"/>
      <c r="J3111" s="114"/>
      <c r="K3111" s="114"/>
      <c r="L3111" s="114"/>
      <c r="M3111" s="114"/>
      <c r="N3111" s="114"/>
      <c r="P3111" s="234"/>
      <c r="Q3111" s="240"/>
    </row>
    <row r="3112" spans="6:17" x14ac:dyDescent="0.25">
      <c r="F3112" s="134"/>
      <c r="H3112" s="114"/>
      <c r="I3112" s="114"/>
      <c r="J3112" s="114"/>
      <c r="K3112" s="114"/>
      <c r="L3112" s="114"/>
      <c r="M3112" s="114"/>
      <c r="N3112" s="114"/>
      <c r="P3112" s="234"/>
      <c r="Q3112" s="240"/>
    </row>
    <row r="3113" spans="6:17" x14ac:dyDescent="0.25">
      <c r="F3113" s="134"/>
      <c r="H3113" s="114"/>
      <c r="I3113" s="114"/>
      <c r="J3113" s="114"/>
      <c r="K3113" s="114"/>
      <c r="L3113" s="114"/>
      <c r="M3113" s="114"/>
      <c r="N3113" s="114"/>
      <c r="P3113" s="234"/>
      <c r="Q3113" s="240"/>
    </row>
    <row r="3114" spans="6:17" x14ac:dyDescent="0.25">
      <c r="F3114" s="134"/>
      <c r="H3114" s="114"/>
      <c r="I3114" s="114"/>
      <c r="J3114" s="114"/>
      <c r="K3114" s="114"/>
      <c r="L3114" s="114"/>
      <c r="M3114" s="114"/>
      <c r="N3114" s="114"/>
      <c r="P3114" s="234"/>
      <c r="Q3114" s="240"/>
    </row>
    <row r="3115" spans="6:17" x14ac:dyDescent="0.25">
      <c r="F3115" s="134"/>
      <c r="H3115" s="114"/>
      <c r="I3115" s="114"/>
      <c r="J3115" s="114"/>
      <c r="K3115" s="114"/>
      <c r="L3115" s="114"/>
      <c r="M3115" s="114"/>
      <c r="N3115" s="114"/>
      <c r="P3115" s="234"/>
      <c r="Q3115" s="240"/>
    </row>
    <row r="3116" spans="6:17" x14ac:dyDescent="0.25">
      <c r="F3116" s="134"/>
      <c r="H3116" s="114"/>
      <c r="I3116" s="114"/>
      <c r="J3116" s="114"/>
      <c r="K3116" s="114"/>
      <c r="L3116" s="114"/>
      <c r="M3116" s="114"/>
      <c r="N3116" s="114"/>
      <c r="P3116" s="234"/>
      <c r="Q3116" s="240"/>
    </row>
    <row r="3117" spans="6:17" x14ac:dyDescent="0.25">
      <c r="F3117" s="134"/>
      <c r="H3117" s="114"/>
      <c r="I3117" s="114"/>
      <c r="J3117" s="114"/>
      <c r="K3117" s="114"/>
      <c r="L3117" s="114"/>
      <c r="M3117" s="114"/>
      <c r="N3117" s="114"/>
      <c r="P3117" s="234"/>
      <c r="Q3117" s="240"/>
    </row>
    <row r="3118" spans="6:17" x14ac:dyDescent="0.25">
      <c r="F3118" s="134"/>
      <c r="H3118" s="114"/>
      <c r="I3118" s="114"/>
      <c r="J3118" s="114"/>
      <c r="K3118" s="114"/>
      <c r="L3118" s="114"/>
      <c r="M3118" s="114"/>
      <c r="N3118" s="114"/>
      <c r="P3118" s="234"/>
      <c r="Q3118" s="240"/>
    </row>
    <row r="3119" spans="6:17" x14ac:dyDescent="0.25">
      <c r="F3119" s="134"/>
      <c r="H3119" s="114"/>
      <c r="I3119" s="114"/>
      <c r="J3119" s="114"/>
      <c r="K3119" s="114"/>
      <c r="L3119" s="114"/>
      <c r="M3119" s="114"/>
      <c r="N3119" s="114"/>
      <c r="P3119" s="234"/>
      <c r="Q3119" s="240"/>
    </row>
    <row r="3120" spans="6:17" x14ac:dyDescent="0.25">
      <c r="F3120" s="134"/>
      <c r="H3120" s="114"/>
      <c r="I3120" s="114"/>
      <c r="J3120" s="114"/>
      <c r="K3120" s="114"/>
      <c r="L3120" s="114"/>
      <c r="M3120" s="114"/>
      <c r="N3120" s="114"/>
      <c r="P3120" s="234"/>
      <c r="Q3120" s="240"/>
    </row>
    <row r="3121" spans="6:17" x14ac:dyDescent="0.25">
      <c r="F3121" s="134"/>
      <c r="H3121" s="114"/>
      <c r="I3121" s="114"/>
      <c r="J3121" s="114"/>
      <c r="K3121" s="114"/>
      <c r="L3121" s="114"/>
      <c r="M3121" s="114"/>
      <c r="N3121" s="114"/>
      <c r="P3121" s="234"/>
      <c r="Q3121" s="240"/>
    </row>
    <row r="3122" spans="6:17" x14ac:dyDescent="0.25">
      <c r="F3122" s="134"/>
      <c r="H3122" s="114"/>
      <c r="I3122" s="114"/>
      <c r="J3122" s="114"/>
      <c r="K3122" s="114"/>
      <c r="L3122" s="114"/>
      <c r="M3122" s="114"/>
      <c r="N3122" s="114"/>
      <c r="P3122" s="234"/>
      <c r="Q3122" s="240"/>
    </row>
    <row r="3123" spans="6:17" x14ac:dyDescent="0.25">
      <c r="F3123" s="134"/>
      <c r="H3123" s="114"/>
      <c r="I3123" s="114"/>
      <c r="J3123" s="114"/>
      <c r="K3123" s="114"/>
      <c r="L3123" s="114"/>
      <c r="M3123" s="114"/>
      <c r="N3123" s="114"/>
      <c r="P3123" s="234"/>
      <c r="Q3123" s="240"/>
    </row>
    <row r="3124" spans="6:17" x14ac:dyDescent="0.25">
      <c r="F3124" s="134"/>
      <c r="H3124" s="114"/>
      <c r="I3124" s="114"/>
      <c r="J3124" s="114"/>
      <c r="K3124" s="114"/>
      <c r="L3124" s="114"/>
      <c r="M3124" s="114"/>
      <c r="N3124" s="114"/>
      <c r="P3124" s="234"/>
      <c r="Q3124" s="240"/>
    </row>
    <row r="3125" spans="6:17" x14ac:dyDescent="0.25">
      <c r="F3125" s="134"/>
      <c r="H3125" s="114"/>
      <c r="I3125" s="114"/>
      <c r="J3125" s="114"/>
      <c r="K3125" s="114"/>
      <c r="L3125" s="114"/>
      <c r="M3125" s="114"/>
      <c r="N3125" s="114"/>
      <c r="P3125" s="234"/>
      <c r="Q3125" s="240"/>
    </row>
    <row r="3126" spans="6:17" x14ac:dyDescent="0.25">
      <c r="F3126" s="134"/>
      <c r="H3126" s="114"/>
      <c r="I3126" s="114"/>
      <c r="J3126" s="114"/>
      <c r="K3126" s="114"/>
      <c r="L3126" s="114"/>
      <c r="M3126" s="114"/>
      <c r="N3126" s="114"/>
      <c r="P3126" s="234"/>
      <c r="Q3126" s="240"/>
    </row>
    <row r="3127" spans="6:17" x14ac:dyDescent="0.25">
      <c r="F3127" s="134"/>
      <c r="H3127" s="114"/>
      <c r="I3127" s="114"/>
      <c r="J3127" s="114"/>
      <c r="K3127" s="114"/>
      <c r="L3127" s="114"/>
      <c r="M3127" s="114"/>
      <c r="N3127" s="114"/>
      <c r="P3127" s="234"/>
      <c r="Q3127" s="240"/>
    </row>
    <row r="3128" spans="6:17" x14ac:dyDescent="0.25">
      <c r="F3128" s="134"/>
      <c r="H3128" s="114"/>
      <c r="I3128" s="114"/>
      <c r="J3128" s="114"/>
      <c r="K3128" s="114"/>
      <c r="L3128" s="114"/>
      <c r="M3128" s="114"/>
      <c r="N3128" s="114"/>
      <c r="P3128" s="234"/>
      <c r="Q3128" s="240"/>
    </row>
    <row r="3129" spans="6:17" x14ac:dyDescent="0.25">
      <c r="F3129" s="134"/>
      <c r="H3129" s="114"/>
      <c r="I3129" s="114"/>
      <c r="J3129" s="114"/>
      <c r="K3129" s="114"/>
      <c r="L3129" s="114"/>
      <c r="M3129" s="114"/>
      <c r="N3129" s="114"/>
      <c r="P3129" s="234"/>
      <c r="Q3129" s="240"/>
    </row>
    <row r="3130" spans="6:17" x14ac:dyDescent="0.25">
      <c r="F3130" s="134"/>
      <c r="H3130" s="114"/>
      <c r="I3130" s="114"/>
      <c r="J3130" s="114"/>
      <c r="K3130" s="114"/>
      <c r="L3130" s="114"/>
      <c r="M3130" s="114"/>
      <c r="N3130" s="114"/>
      <c r="P3130" s="234"/>
      <c r="Q3130" s="240"/>
    </row>
    <row r="3131" spans="6:17" x14ac:dyDescent="0.25">
      <c r="F3131" s="134"/>
      <c r="H3131" s="114"/>
      <c r="I3131" s="114"/>
      <c r="J3131" s="114"/>
      <c r="K3131" s="114"/>
      <c r="L3131" s="114"/>
      <c r="M3131" s="114"/>
      <c r="N3131" s="114"/>
      <c r="P3131" s="234"/>
      <c r="Q3131" s="240"/>
    </row>
    <row r="3132" spans="6:17" x14ac:dyDescent="0.25">
      <c r="F3132" s="134"/>
      <c r="H3132" s="114"/>
      <c r="I3132" s="114"/>
      <c r="J3132" s="114"/>
      <c r="K3132" s="114"/>
      <c r="L3132" s="114"/>
      <c r="M3132" s="114"/>
      <c r="N3132" s="114"/>
      <c r="P3132" s="234"/>
      <c r="Q3132" s="240"/>
    </row>
    <row r="3133" spans="6:17" x14ac:dyDescent="0.25">
      <c r="F3133" s="134"/>
      <c r="H3133" s="114"/>
      <c r="I3133" s="114"/>
      <c r="J3133" s="114"/>
      <c r="K3133" s="114"/>
      <c r="L3133" s="114"/>
      <c r="M3133" s="114"/>
      <c r="N3133" s="114"/>
      <c r="P3133" s="234"/>
      <c r="Q3133" s="240"/>
    </row>
    <row r="3134" spans="6:17" x14ac:dyDescent="0.25">
      <c r="F3134" s="134"/>
      <c r="H3134" s="114"/>
      <c r="I3134" s="114"/>
      <c r="J3134" s="114"/>
      <c r="K3134" s="114"/>
      <c r="L3134" s="114"/>
      <c r="M3134" s="114"/>
      <c r="N3134" s="114"/>
      <c r="P3134" s="234"/>
      <c r="Q3134" s="240"/>
    </row>
    <row r="3135" spans="6:17" x14ac:dyDescent="0.25">
      <c r="F3135" s="134"/>
      <c r="H3135" s="114"/>
      <c r="I3135" s="114"/>
      <c r="J3135" s="114"/>
      <c r="K3135" s="114"/>
      <c r="L3135" s="114"/>
      <c r="M3135" s="114"/>
      <c r="N3135" s="114"/>
      <c r="P3135" s="234"/>
      <c r="Q3135" s="240"/>
    </row>
    <row r="3136" spans="6:17" x14ac:dyDescent="0.25">
      <c r="F3136" s="134"/>
      <c r="H3136" s="114"/>
      <c r="I3136" s="114"/>
      <c r="J3136" s="114"/>
      <c r="K3136" s="114"/>
      <c r="L3136" s="114"/>
      <c r="M3136" s="114"/>
      <c r="N3136" s="114"/>
      <c r="P3136" s="234"/>
      <c r="Q3136" s="240"/>
    </row>
    <row r="3137" spans="6:17" x14ac:dyDescent="0.25">
      <c r="F3137" s="134"/>
      <c r="H3137" s="114"/>
      <c r="I3137" s="114"/>
      <c r="J3137" s="114"/>
      <c r="K3137" s="114"/>
      <c r="L3137" s="114"/>
      <c r="M3137" s="114"/>
      <c r="N3137" s="114"/>
      <c r="P3137" s="234"/>
      <c r="Q3137" s="240"/>
    </row>
    <row r="3138" spans="6:17" x14ac:dyDescent="0.25">
      <c r="F3138" s="134"/>
      <c r="H3138" s="114"/>
      <c r="I3138" s="114"/>
      <c r="J3138" s="114"/>
      <c r="K3138" s="114"/>
      <c r="L3138" s="114"/>
      <c r="M3138" s="114"/>
      <c r="N3138" s="114"/>
      <c r="P3138" s="234"/>
      <c r="Q3138" s="240"/>
    </row>
    <row r="3139" spans="6:17" x14ac:dyDescent="0.25">
      <c r="F3139" s="134"/>
      <c r="H3139" s="114"/>
      <c r="I3139" s="114"/>
      <c r="J3139" s="114"/>
      <c r="K3139" s="114"/>
      <c r="L3139" s="114"/>
      <c r="M3139" s="114"/>
      <c r="N3139" s="114"/>
      <c r="P3139" s="234"/>
      <c r="Q3139" s="240"/>
    </row>
    <row r="3140" spans="6:17" x14ac:dyDescent="0.25">
      <c r="F3140" s="134"/>
      <c r="H3140" s="114"/>
      <c r="I3140" s="114"/>
      <c r="J3140" s="114"/>
      <c r="K3140" s="114"/>
      <c r="L3140" s="114"/>
      <c r="M3140" s="114"/>
      <c r="N3140" s="114"/>
      <c r="P3140" s="234"/>
      <c r="Q3140" s="240"/>
    </row>
    <row r="3141" spans="6:17" x14ac:dyDescent="0.25">
      <c r="F3141" s="134"/>
      <c r="H3141" s="114"/>
      <c r="I3141" s="114"/>
      <c r="J3141" s="114"/>
      <c r="K3141" s="114"/>
      <c r="L3141" s="114"/>
      <c r="M3141" s="114"/>
      <c r="N3141" s="114"/>
      <c r="P3141" s="234"/>
      <c r="Q3141" s="240"/>
    </row>
    <row r="3142" spans="6:17" x14ac:dyDescent="0.25">
      <c r="F3142" s="134"/>
      <c r="H3142" s="114"/>
      <c r="I3142" s="114"/>
      <c r="J3142" s="114"/>
      <c r="K3142" s="114"/>
      <c r="L3142" s="114"/>
      <c r="M3142" s="114"/>
      <c r="N3142" s="114"/>
      <c r="P3142" s="234"/>
      <c r="Q3142" s="240"/>
    </row>
    <row r="3143" spans="6:17" x14ac:dyDescent="0.25">
      <c r="F3143" s="134"/>
      <c r="H3143" s="114"/>
      <c r="I3143" s="114"/>
      <c r="J3143" s="114"/>
      <c r="K3143" s="114"/>
      <c r="L3143" s="114"/>
      <c r="M3143" s="114"/>
      <c r="N3143" s="114"/>
      <c r="P3143" s="234"/>
      <c r="Q3143" s="240"/>
    </row>
    <row r="3144" spans="6:17" x14ac:dyDescent="0.25">
      <c r="F3144" s="134"/>
      <c r="H3144" s="114"/>
      <c r="I3144" s="114"/>
      <c r="J3144" s="114"/>
      <c r="K3144" s="114"/>
      <c r="L3144" s="114"/>
      <c r="M3144" s="114"/>
      <c r="N3144" s="114"/>
      <c r="P3144" s="234"/>
      <c r="Q3144" s="240"/>
    </row>
    <row r="3145" spans="6:17" x14ac:dyDescent="0.25">
      <c r="F3145" s="134"/>
      <c r="H3145" s="114"/>
      <c r="I3145" s="114"/>
      <c r="J3145" s="114"/>
      <c r="K3145" s="114"/>
      <c r="L3145" s="114"/>
      <c r="M3145" s="114"/>
      <c r="N3145" s="114"/>
      <c r="P3145" s="234"/>
      <c r="Q3145" s="240"/>
    </row>
    <row r="3146" spans="6:17" x14ac:dyDescent="0.25">
      <c r="F3146" s="134"/>
      <c r="H3146" s="114"/>
      <c r="I3146" s="114"/>
      <c r="J3146" s="114"/>
      <c r="K3146" s="114"/>
      <c r="L3146" s="114"/>
      <c r="M3146" s="114"/>
      <c r="N3146" s="114"/>
      <c r="P3146" s="234"/>
      <c r="Q3146" s="240"/>
    </row>
    <row r="3147" spans="6:17" x14ac:dyDescent="0.25">
      <c r="F3147" s="134"/>
      <c r="H3147" s="114"/>
      <c r="I3147" s="114"/>
      <c r="J3147" s="114"/>
      <c r="K3147" s="114"/>
      <c r="L3147" s="114"/>
      <c r="M3147" s="114"/>
      <c r="N3147" s="114"/>
      <c r="P3147" s="234"/>
      <c r="Q3147" s="240"/>
    </row>
    <row r="3148" spans="6:17" x14ac:dyDescent="0.25">
      <c r="F3148" s="134"/>
      <c r="H3148" s="114"/>
      <c r="I3148" s="114"/>
      <c r="J3148" s="114"/>
      <c r="K3148" s="114"/>
      <c r="L3148" s="114"/>
      <c r="M3148" s="114"/>
      <c r="N3148" s="114"/>
      <c r="P3148" s="234"/>
      <c r="Q3148" s="240"/>
    </row>
    <row r="3149" spans="6:17" x14ac:dyDescent="0.25">
      <c r="F3149" s="134"/>
      <c r="H3149" s="114"/>
      <c r="I3149" s="114"/>
      <c r="J3149" s="114"/>
      <c r="K3149" s="114"/>
      <c r="L3149" s="114"/>
      <c r="M3149" s="114"/>
      <c r="N3149" s="114"/>
      <c r="P3149" s="234"/>
      <c r="Q3149" s="240"/>
    </row>
    <row r="3150" spans="6:17" x14ac:dyDescent="0.25">
      <c r="F3150" s="134"/>
      <c r="H3150" s="114"/>
      <c r="I3150" s="114"/>
      <c r="J3150" s="114"/>
      <c r="K3150" s="114"/>
      <c r="L3150" s="114"/>
      <c r="M3150" s="114"/>
      <c r="N3150" s="114"/>
      <c r="P3150" s="234"/>
      <c r="Q3150" s="240"/>
    </row>
    <row r="3151" spans="6:17" x14ac:dyDescent="0.25">
      <c r="F3151" s="134"/>
      <c r="H3151" s="114"/>
      <c r="I3151" s="114"/>
      <c r="J3151" s="114"/>
      <c r="K3151" s="114"/>
      <c r="L3151" s="114"/>
      <c r="M3151" s="114"/>
      <c r="N3151" s="114"/>
      <c r="P3151" s="234"/>
      <c r="Q3151" s="240"/>
    </row>
    <row r="3152" spans="6:17" x14ac:dyDescent="0.25">
      <c r="F3152" s="134"/>
      <c r="H3152" s="114"/>
      <c r="I3152" s="114"/>
      <c r="J3152" s="114"/>
      <c r="K3152" s="114"/>
      <c r="L3152" s="114"/>
      <c r="M3152" s="114"/>
      <c r="N3152" s="114"/>
      <c r="P3152" s="234"/>
      <c r="Q3152" s="240"/>
    </row>
    <row r="3153" spans="6:17" x14ac:dyDescent="0.25">
      <c r="F3153" s="134"/>
      <c r="H3153" s="114"/>
      <c r="I3153" s="114"/>
      <c r="J3153" s="114"/>
      <c r="K3153" s="114"/>
      <c r="L3153" s="114"/>
      <c r="M3153" s="114"/>
      <c r="N3153" s="114"/>
      <c r="P3153" s="234"/>
      <c r="Q3153" s="240"/>
    </row>
    <row r="3154" spans="6:17" x14ac:dyDescent="0.25">
      <c r="F3154" s="134"/>
      <c r="H3154" s="114"/>
      <c r="I3154" s="114"/>
      <c r="J3154" s="114"/>
      <c r="K3154" s="114"/>
      <c r="L3154" s="114"/>
      <c r="M3154" s="114"/>
      <c r="N3154" s="114"/>
      <c r="P3154" s="234"/>
      <c r="Q3154" s="240"/>
    </row>
    <row r="3155" spans="6:17" x14ac:dyDescent="0.25">
      <c r="F3155" s="134"/>
      <c r="H3155" s="114"/>
      <c r="I3155" s="114"/>
      <c r="J3155" s="114"/>
      <c r="K3155" s="114"/>
      <c r="L3155" s="114"/>
      <c r="M3155" s="114"/>
      <c r="N3155" s="114"/>
      <c r="P3155" s="234"/>
      <c r="Q3155" s="240"/>
    </row>
    <row r="3156" spans="6:17" x14ac:dyDescent="0.25">
      <c r="F3156" s="134"/>
      <c r="H3156" s="114"/>
      <c r="I3156" s="114"/>
      <c r="J3156" s="114"/>
      <c r="K3156" s="114"/>
      <c r="L3156" s="114"/>
      <c r="M3156" s="114"/>
      <c r="N3156" s="114"/>
      <c r="P3156" s="234"/>
      <c r="Q3156" s="240"/>
    </row>
    <row r="3157" spans="6:17" x14ac:dyDescent="0.25">
      <c r="F3157" s="134"/>
      <c r="H3157" s="114"/>
      <c r="I3157" s="114"/>
      <c r="J3157" s="114"/>
      <c r="K3157" s="114"/>
      <c r="L3157" s="114"/>
      <c r="M3157" s="114"/>
      <c r="N3157" s="114"/>
      <c r="P3157" s="234"/>
      <c r="Q3157" s="240"/>
    </row>
    <row r="3158" spans="6:17" x14ac:dyDescent="0.25">
      <c r="F3158" s="134"/>
      <c r="H3158" s="114"/>
      <c r="I3158" s="114"/>
      <c r="J3158" s="114"/>
      <c r="K3158" s="114"/>
      <c r="L3158" s="114"/>
      <c r="M3158" s="114"/>
      <c r="N3158" s="114"/>
      <c r="P3158" s="234"/>
      <c r="Q3158" s="240"/>
    </row>
    <row r="3159" spans="6:17" x14ac:dyDescent="0.25">
      <c r="F3159" s="134"/>
      <c r="H3159" s="114"/>
      <c r="I3159" s="114"/>
      <c r="J3159" s="114"/>
      <c r="K3159" s="114"/>
      <c r="L3159" s="114"/>
      <c r="M3159" s="114"/>
      <c r="N3159" s="114"/>
      <c r="P3159" s="234"/>
      <c r="Q3159" s="240"/>
    </row>
    <row r="3160" spans="6:17" x14ac:dyDescent="0.25">
      <c r="F3160" s="134"/>
      <c r="H3160" s="114"/>
      <c r="I3160" s="114"/>
      <c r="J3160" s="114"/>
      <c r="K3160" s="114"/>
      <c r="L3160" s="114"/>
      <c r="M3160" s="114"/>
      <c r="N3160" s="114"/>
      <c r="P3160" s="234"/>
      <c r="Q3160" s="240"/>
    </row>
    <row r="3161" spans="6:17" x14ac:dyDescent="0.25">
      <c r="F3161" s="134"/>
      <c r="H3161" s="114"/>
      <c r="I3161" s="114"/>
      <c r="J3161" s="114"/>
      <c r="K3161" s="114"/>
      <c r="L3161" s="114"/>
      <c r="M3161" s="114"/>
      <c r="N3161" s="114"/>
      <c r="P3161" s="234"/>
      <c r="Q3161" s="240"/>
    </row>
    <row r="3162" spans="6:17" x14ac:dyDescent="0.25">
      <c r="F3162" s="134"/>
      <c r="H3162" s="114"/>
      <c r="I3162" s="114"/>
      <c r="J3162" s="114"/>
      <c r="K3162" s="114"/>
      <c r="L3162" s="114"/>
      <c r="M3162" s="114"/>
      <c r="N3162" s="114"/>
      <c r="P3162" s="234"/>
      <c r="Q3162" s="240"/>
    </row>
    <row r="3163" spans="6:17" x14ac:dyDescent="0.25">
      <c r="F3163" s="134"/>
      <c r="H3163" s="114"/>
      <c r="I3163" s="114"/>
      <c r="J3163" s="114"/>
      <c r="K3163" s="114"/>
      <c r="L3163" s="114"/>
      <c r="M3163" s="114"/>
      <c r="N3163" s="114"/>
      <c r="P3163" s="234"/>
      <c r="Q3163" s="240"/>
    </row>
    <row r="3164" spans="6:17" x14ac:dyDescent="0.25">
      <c r="F3164" s="134"/>
      <c r="H3164" s="114"/>
      <c r="I3164" s="114"/>
      <c r="J3164" s="114"/>
      <c r="K3164" s="114"/>
      <c r="L3164" s="114"/>
      <c r="M3164" s="114"/>
      <c r="N3164" s="114"/>
      <c r="P3164" s="234"/>
      <c r="Q3164" s="240"/>
    </row>
    <row r="3165" spans="6:17" x14ac:dyDescent="0.25">
      <c r="F3165" s="134"/>
      <c r="H3165" s="114"/>
      <c r="I3165" s="114"/>
      <c r="J3165" s="114"/>
      <c r="K3165" s="114"/>
      <c r="L3165" s="114"/>
      <c r="M3165" s="114"/>
      <c r="N3165" s="114"/>
      <c r="P3165" s="234"/>
      <c r="Q3165" s="240"/>
    </row>
    <row r="3166" spans="6:17" x14ac:dyDescent="0.25">
      <c r="F3166" s="134"/>
      <c r="H3166" s="114"/>
      <c r="I3166" s="114"/>
      <c r="J3166" s="114"/>
      <c r="K3166" s="114"/>
      <c r="L3166" s="114"/>
      <c r="M3166" s="114"/>
      <c r="N3166" s="114"/>
      <c r="P3166" s="234"/>
      <c r="Q3166" s="240"/>
    </row>
    <row r="3167" spans="6:17" x14ac:dyDescent="0.25">
      <c r="F3167" s="134"/>
      <c r="H3167" s="114"/>
      <c r="I3167" s="114"/>
      <c r="J3167" s="114"/>
      <c r="K3167" s="114"/>
      <c r="L3167" s="114"/>
      <c r="M3167" s="114"/>
      <c r="N3167" s="114"/>
      <c r="P3167" s="234"/>
      <c r="Q3167" s="240"/>
    </row>
    <row r="3168" spans="6:17" x14ac:dyDescent="0.25">
      <c r="F3168" s="134"/>
      <c r="H3168" s="114"/>
      <c r="I3168" s="114"/>
      <c r="J3168" s="114"/>
      <c r="K3168" s="114"/>
      <c r="L3168" s="114"/>
      <c r="M3168" s="114"/>
      <c r="N3168" s="114"/>
      <c r="P3168" s="234"/>
      <c r="Q3168" s="240"/>
    </row>
    <row r="3169" spans="6:17" x14ac:dyDescent="0.25">
      <c r="F3169" s="134"/>
      <c r="H3169" s="114"/>
      <c r="I3169" s="114"/>
      <c r="J3169" s="114"/>
      <c r="K3169" s="114"/>
      <c r="L3169" s="114"/>
      <c r="M3169" s="114"/>
      <c r="N3169" s="114"/>
      <c r="P3169" s="234"/>
      <c r="Q3169" s="240"/>
    </row>
    <row r="3170" spans="6:17" x14ac:dyDescent="0.25">
      <c r="F3170" s="134"/>
      <c r="H3170" s="114"/>
      <c r="I3170" s="114"/>
      <c r="J3170" s="114"/>
      <c r="K3170" s="114"/>
      <c r="L3170" s="114"/>
      <c r="M3170" s="114"/>
      <c r="N3170" s="114"/>
      <c r="P3170" s="234"/>
      <c r="Q3170" s="240"/>
    </row>
    <row r="3171" spans="6:17" x14ac:dyDescent="0.25">
      <c r="F3171" s="134"/>
      <c r="H3171" s="114"/>
      <c r="I3171" s="114"/>
      <c r="J3171" s="114"/>
      <c r="K3171" s="114"/>
      <c r="L3171" s="114"/>
      <c r="M3171" s="114"/>
      <c r="N3171" s="114"/>
      <c r="P3171" s="234"/>
      <c r="Q3171" s="240"/>
    </row>
    <row r="3172" spans="6:17" x14ac:dyDescent="0.25">
      <c r="F3172" s="134"/>
      <c r="H3172" s="114"/>
      <c r="I3172" s="114"/>
      <c r="J3172" s="114"/>
      <c r="K3172" s="114"/>
      <c r="L3172" s="114"/>
      <c r="M3172" s="114"/>
      <c r="N3172" s="114"/>
      <c r="P3172" s="234"/>
      <c r="Q3172" s="240"/>
    </row>
    <row r="3173" spans="6:17" x14ac:dyDescent="0.25">
      <c r="F3173" s="134"/>
      <c r="H3173" s="114"/>
      <c r="I3173" s="114"/>
      <c r="J3173" s="114"/>
      <c r="K3173" s="114"/>
      <c r="L3173" s="114"/>
      <c r="M3173" s="114"/>
      <c r="N3173" s="114"/>
      <c r="P3173" s="234"/>
      <c r="Q3173" s="240"/>
    </row>
    <row r="3174" spans="6:17" x14ac:dyDescent="0.25">
      <c r="F3174" s="134"/>
      <c r="H3174" s="114"/>
      <c r="I3174" s="114"/>
      <c r="J3174" s="114"/>
      <c r="K3174" s="114"/>
      <c r="L3174" s="114"/>
      <c r="M3174" s="114"/>
      <c r="N3174" s="114"/>
      <c r="P3174" s="234"/>
      <c r="Q3174" s="240"/>
    </row>
    <row r="3175" spans="6:17" x14ac:dyDescent="0.25">
      <c r="F3175" s="134"/>
      <c r="H3175" s="114"/>
      <c r="I3175" s="114"/>
      <c r="J3175" s="114"/>
      <c r="K3175" s="114"/>
      <c r="L3175" s="114"/>
      <c r="M3175" s="114"/>
      <c r="N3175" s="114"/>
      <c r="P3175" s="234"/>
      <c r="Q3175" s="240"/>
    </row>
    <row r="3176" spans="6:17" x14ac:dyDescent="0.25">
      <c r="F3176" s="134"/>
      <c r="H3176" s="114"/>
      <c r="I3176" s="114"/>
      <c r="J3176" s="114"/>
      <c r="K3176" s="114"/>
      <c r="L3176" s="114"/>
      <c r="M3176" s="114"/>
      <c r="N3176" s="114"/>
      <c r="P3176" s="234"/>
      <c r="Q3176" s="240"/>
    </row>
    <row r="3177" spans="6:17" x14ac:dyDescent="0.25">
      <c r="F3177" s="134"/>
      <c r="H3177" s="114"/>
      <c r="I3177" s="114"/>
      <c r="J3177" s="114"/>
      <c r="K3177" s="114"/>
      <c r="L3177" s="114"/>
      <c r="M3177" s="114"/>
      <c r="N3177" s="114"/>
      <c r="P3177" s="234"/>
      <c r="Q3177" s="240"/>
    </row>
    <row r="3178" spans="6:17" x14ac:dyDescent="0.25">
      <c r="F3178" s="134"/>
      <c r="H3178" s="114"/>
      <c r="I3178" s="114"/>
      <c r="J3178" s="114"/>
      <c r="K3178" s="114"/>
      <c r="L3178" s="114"/>
      <c r="M3178" s="114"/>
      <c r="N3178" s="114"/>
      <c r="P3178" s="234"/>
      <c r="Q3178" s="240"/>
    </row>
    <row r="3179" spans="6:17" x14ac:dyDescent="0.25">
      <c r="F3179" s="134"/>
      <c r="H3179" s="114"/>
      <c r="I3179" s="114"/>
      <c r="J3179" s="114"/>
      <c r="K3179" s="114"/>
      <c r="L3179" s="114"/>
      <c r="M3179" s="114"/>
      <c r="N3179" s="114"/>
      <c r="P3179" s="234"/>
      <c r="Q3179" s="240"/>
    </row>
    <row r="3180" spans="6:17" x14ac:dyDescent="0.25">
      <c r="F3180" s="134"/>
      <c r="H3180" s="114"/>
      <c r="I3180" s="114"/>
      <c r="J3180" s="114"/>
      <c r="K3180" s="114"/>
      <c r="L3180" s="114"/>
      <c r="M3180" s="114"/>
      <c r="N3180" s="114"/>
      <c r="P3180" s="234"/>
      <c r="Q3180" s="240"/>
    </row>
    <row r="3181" spans="6:17" x14ac:dyDescent="0.25">
      <c r="F3181" s="134"/>
      <c r="H3181" s="114"/>
      <c r="I3181" s="114"/>
      <c r="J3181" s="114"/>
      <c r="K3181" s="114"/>
      <c r="L3181" s="114"/>
      <c r="M3181" s="114"/>
      <c r="N3181" s="114"/>
      <c r="P3181" s="234"/>
      <c r="Q3181" s="240"/>
    </row>
    <row r="3182" spans="6:17" x14ac:dyDescent="0.25">
      <c r="F3182" s="134"/>
      <c r="H3182" s="114"/>
      <c r="I3182" s="114"/>
      <c r="J3182" s="114"/>
      <c r="K3182" s="114"/>
      <c r="L3182" s="114"/>
      <c r="M3182" s="114"/>
      <c r="N3182" s="114"/>
      <c r="P3182" s="234"/>
      <c r="Q3182" s="240"/>
    </row>
    <row r="3183" spans="6:17" x14ac:dyDescent="0.25">
      <c r="F3183" s="134"/>
      <c r="H3183" s="114"/>
      <c r="I3183" s="114"/>
      <c r="J3183" s="114"/>
      <c r="K3183" s="114"/>
      <c r="L3183" s="114"/>
      <c r="M3183" s="114"/>
      <c r="N3183" s="114"/>
      <c r="P3183" s="234"/>
      <c r="Q3183" s="240"/>
    </row>
    <row r="3184" spans="6:17" x14ac:dyDescent="0.25">
      <c r="F3184" s="134"/>
      <c r="H3184" s="114"/>
      <c r="I3184" s="114"/>
      <c r="J3184" s="114"/>
      <c r="K3184" s="114"/>
      <c r="L3184" s="114"/>
      <c r="M3184" s="114"/>
      <c r="N3184" s="114"/>
      <c r="P3184" s="234"/>
      <c r="Q3184" s="240"/>
    </row>
    <row r="3185" spans="6:17" x14ac:dyDescent="0.25">
      <c r="F3185" s="134"/>
      <c r="H3185" s="114"/>
      <c r="I3185" s="114"/>
      <c r="J3185" s="114"/>
      <c r="K3185" s="114"/>
      <c r="L3185" s="114"/>
      <c r="M3185" s="114"/>
      <c r="N3185" s="114"/>
      <c r="P3185" s="234"/>
      <c r="Q3185" s="240"/>
    </row>
    <row r="3186" spans="6:17" x14ac:dyDescent="0.25">
      <c r="F3186" s="134"/>
      <c r="H3186" s="114"/>
      <c r="I3186" s="114"/>
      <c r="J3186" s="114"/>
      <c r="K3186" s="114"/>
      <c r="L3186" s="114"/>
      <c r="M3186" s="114"/>
      <c r="N3186" s="114"/>
      <c r="P3186" s="234"/>
      <c r="Q3186" s="240"/>
    </row>
    <row r="3187" spans="6:17" x14ac:dyDescent="0.25">
      <c r="F3187" s="134"/>
      <c r="H3187" s="114"/>
      <c r="I3187" s="114"/>
      <c r="J3187" s="114"/>
      <c r="K3187" s="114"/>
      <c r="L3187" s="114"/>
      <c r="M3187" s="114"/>
      <c r="N3187" s="114"/>
      <c r="P3187" s="234"/>
      <c r="Q3187" s="240"/>
    </row>
    <row r="3188" spans="6:17" x14ac:dyDescent="0.25">
      <c r="F3188" s="134"/>
      <c r="H3188" s="114"/>
      <c r="I3188" s="114"/>
      <c r="J3188" s="114"/>
      <c r="K3188" s="114"/>
      <c r="L3188" s="114"/>
      <c r="M3188" s="114"/>
      <c r="N3188" s="114"/>
      <c r="P3188" s="234"/>
      <c r="Q3188" s="240"/>
    </row>
    <row r="3189" spans="6:17" x14ac:dyDescent="0.25">
      <c r="F3189" s="134"/>
      <c r="H3189" s="114"/>
      <c r="I3189" s="114"/>
      <c r="J3189" s="114"/>
      <c r="K3189" s="114"/>
      <c r="L3189" s="114"/>
      <c r="M3189" s="114"/>
      <c r="N3189" s="114"/>
      <c r="P3189" s="234"/>
      <c r="Q3189" s="240"/>
    </row>
    <row r="3190" spans="6:17" x14ac:dyDescent="0.25">
      <c r="F3190" s="134"/>
      <c r="H3190" s="114"/>
      <c r="I3190" s="114"/>
      <c r="J3190" s="114"/>
      <c r="K3190" s="114"/>
      <c r="L3190" s="114"/>
      <c r="M3190" s="114"/>
      <c r="N3190" s="114"/>
      <c r="P3190" s="234"/>
      <c r="Q3190" s="240"/>
    </row>
    <row r="3191" spans="6:17" x14ac:dyDescent="0.25">
      <c r="F3191" s="134"/>
      <c r="H3191" s="114"/>
      <c r="I3191" s="114"/>
      <c r="J3191" s="114"/>
      <c r="K3191" s="114"/>
      <c r="L3191" s="114"/>
      <c r="M3191" s="114"/>
      <c r="N3191" s="114"/>
      <c r="P3191" s="234"/>
      <c r="Q3191" s="240"/>
    </row>
    <row r="3192" spans="6:17" x14ac:dyDescent="0.25">
      <c r="F3192" s="134"/>
      <c r="H3192" s="114"/>
      <c r="I3192" s="114"/>
      <c r="J3192" s="114"/>
      <c r="K3192" s="114"/>
      <c r="L3192" s="114"/>
      <c r="M3192" s="114"/>
      <c r="N3192" s="114"/>
      <c r="P3192" s="234"/>
      <c r="Q3192" s="240"/>
    </row>
    <row r="3193" spans="6:17" x14ac:dyDescent="0.25">
      <c r="F3193" s="134"/>
      <c r="H3193" s="114"/>
      <c r="I3193" s="114"/>
      <c r="J3193" s="114"/>
      <c r="K3193" s="114"/>
      <c r="L3193" s="114"/>
      <c r="M3193" s="114"/>
      <c r="N3193" s="114"/>
      <c r="P3193" s="234"/>
      <c r="Q3193" s="240"/>
    </row>
    <row r="3194" spans="6:17" x14ac:dyDescent="0.25">
      <c r="F3194" s="134"/>
      <c r="H3194" s="114"/>
      <c r="I3194" s="114"/>
      <c r="J3194" s="114"/>
      <c r="K3194" s="114"/>
      <c r="L3194" s="114"/>
      <c r="M3194" s="114"/>
      <c r="N3194" s="114"/>
      <c r="P3194" s="234"/>
      <c r="Q3194" s="240"/>
    </row>
    <row r="3195" spans="6:17" x14ac:dyDescent="0.25">
      <c r="F3195" s="134"/>
      <c r="H3195" s="114"/>
      <c r="I3195" s="114"/>
      <c r="J3195" s="114"/>
      <c r="K3195" s="114"/>
      <c r="L3195" s="114"/>
      <c r="M3195" s="114"/>
      <c r="N3195" s="114"/>
      <c r="P3195" s="234"/>
      <c r="Q3195" s="240"/>
    </row>
    <row r="3196" spans="6:17" x14ac:dyDescent="0.25">
      <c r="F3196" s="134"/>
      <c r="H3196" s="114"/>
      <c r="I3196" s="114"/>
      <c r="J3196" s="114"/>
      <c r="K3196" s="114"/>
      <c r="L3196" s="114"/>
      <c r="M3196" s="114"/>
      <c r="N3196" s="114"/>
      <c r="P3196" s="234"/>
      <c r="Q3196" s="240"/>
    </row>
    <row r="3197" spans="6:17" x14ac:dyDescent="0.25">
      <c r="F3197" s="134"/>
      <c r="H3197" s="114"/>
      <c r="I3197" s="114"/>
      <c r="J3197" s="114"/>
      <c r="K3197" s="114"/>
      <c r="L3197" s="114"/>
      <c r="M3197" s="114"/>
      <c r="N3197" s="114"/>
      <c r="P3197" s="234"/>
      <c r="Q3197" s="240"/>
    </row>
    <row r="3198" spans="6:17" x14ac:dyDescent="0.25">
      <c r="F3198" s="134"/>
      <c r="H3198" s="114"/>
      <c r="I3198" s="114"/>
      <c r="J3198" s="114"/>
      <c r="K3198" s="114"/>
      <c r="L3198" s="114"/>
      <c r="M3198" s="114"/>
      <c r="N3198" s="114"/>
      <c r="P3198" s="234"/>
      <c r="Q3198" s="240"/>
    </row>
    <row r="3199" spans="6:17" x14ac:dyDescent="0.25">
      <c r="F3199" s="134"/>
      <c r="H3199" s="114"/>
      <c r="I3199" s="114"/>
      <c r="J3199" s="114"/>
      <c r="K3199" s="114"/>
      <c r="L3199" s="114"/>
      <c r="M3199" s="114"/>
      <c r="N3199" s="114"/>
      <c r="P3199" s="234"/>
      <c r="Q3199" s="240"/>
    </row>
    <row r="3200" spans="6:17" x14ac:dyDescent="0.25">
      <c r="F3200" s="134"/>
      <c r="H3200" s="114"/>
      <c r="I3200" s="114"/>
      <c r="J3200" s="114"/>
      <c r="K3200" s="114"/>
      <c r="L3200" s="114"/>
      <c r="M3200" s="114"/>
      <c r="N3200" s="114"/>
      <c r="P3200" s="234"/>
      <c r="Q3200" s="240"/>
    </row>
    <row r="3201" spans="6:17" x14ac:dyDescent="0.25">
      <c r="F3201" s="134"/>
      <c r="H3201" s="114"/>
      <c r="I3201" s="114"/>
      <c r="J3201" s="114"/>
      <c r="K3201" s="114"/>
      <c r="L3201" s="114"/>
      <c r="M3201" s="114"/>
      <c r="N3201" s="114"/>
      <c r="P3201" s="234"/>
      <c r="Q3201" s="240"/>
    </row>
    <row r="3202" spans="6:17" x14ac:dyDescent="0.25">
      <c r="F3202" s="134"/>
      <c r="H3202" s="114"/>
      <c r="I3202" s="114"/>
      <c r="J3202" s="114"/>
      <c r="K3202" s="114"/>
      <c r="L3202" s="114"/>
      <c r="M3202" s="114"/>
      <c r="N3202" s="114"/>
      <c r="P3202" s="234"/>
      <c r="Q3202" s="240"/>
    </row>
    <row r="3203" spans="6:17" x14ac:dyDescent="0.25">
      <c r="F3203" s="134"/>
      <c r="H3203" s="114"/>
      <c r="I3203" s="114"/>
      <c r="J3203" s="114"/>
      <c r="K3203" s="114"/>
      <c r="L3203" s="114"/>
      <c r="M3203" s="114"/>
      <c r="N3203" s="114"/>
      <c r="P3203" s="234"/>
      <c r="Q3203" s="240"/>
    </row>
    <row r="3204" spans="6:17" x14ac:dyDescent="0.25">
      <c r="F3204" s="134"/>
      <c r="H3204" s="114"/>
      <c r="I3204" s="114"/>
      <c r="J3204" s="114"/>
      <c r="K3204" s="114"/>
      <c r="L3204" s="114"/>
      <c r="M3204" s="114"/>
      <c r="N3204" s="114"/>
      <c r="P3204" s="234"/>
      <c r="Q3204" s="240"/>
    </row>
    <row r="3205" spans="6:17" x14ac:dyDescent="0.25">
      <c r="F3205" s="134"/>
      <c r="H3205" s="114"/>
      <c r="I3205" s="114"/>
      <c r="J3205" s="114"/>
      <c r="K3205" s="114"/>
      <c r="L3205" s="114"/>
      <c r="M3205" s="114"/>
      <c r="N3205" s="114"/>
      <c r="P3205" s="234"/>
      <c r="Q3205" s="240"/>
    </row>
    <row r="3206" spans="6:17" x14ac:dyDescent="0.25">
      <c r="F3206" s="134"/>
      <c r="H3206" s="114"/>
      <c r="I3206" s="114"/>
      <c r="J3206" s="114"/>
      <c r="K3206" s="114"/>
      <c r="L3206" s="114"/>
      <c r="M3206" s="114"/>
      <c r="N3206" s="114"/>
      <c r="P3206" s="234"/>
      <c r="Q3206" s="240"/>
    </row>
    <row r="3207" spans="6:17" x14ac:dyDescent="0.25">
      <c r="F3207" s="134"/>
      <c r="H3207" s="114"/>
      <c r="I3207" s="114"/>
      <c r="J3207" s="114"/>
      <c r="K3207" s="114"/>
      <c r="L3207" s="114"/>
      <c r="M3207" s="114"/>
      <c r="N3207" s="114"/>
      <c r="P3207" s="234"/>
      <c r="Q3207" s="240"/>
    </row>
    <row r="3208" spans="6:17" x14ac:dyDescent="0.25">
      <c r="F3208" s="134"/>
      <c r="H3208" s="114"/>
      <c r="I3208" s="114"/>
      <c r="J3208" s="114"/>
      <c r="K3208" s="114"/>
      <c r="L3208" s="114"/>
      <c r="M3208" s="114"/>
      <c r="N3208" s="114"/>
      <c r="P3208" s="234"/>
      <c r="Q3208" s="240"/>
    </row>
    <row r="3209" spans="6:17" x14ac:dyDescent="0.25">
      <c r="F3209" s="134"/>
      <c r="H3209" s="114"/>
      <c r="I3209" s="114"/>
      <c r="J3209" s="114"/>
      <c r="K3209" s="114"/>
      <c r="L3209" s="114"/>
      <c r="M3209" s="114"/>
      <c r="N3209" s="114"/>
      <c r="P3209" s="234"/>
      <c r="Q3209" s="240"/>
    </row>
    <row r="3210" spans="6:17" x14ac:dyDescent="0.25">
      <c r="F3210" s="134"/>
      <c r="H3210" s="114"/>
      <c r="I3210" s="114"/>
      <c r="J3210" s="114"/>
      <c r="K3210" s="114"/>
      <c r="L3210" s="114"/>
      <c r="M3210" s="114"/>
      <c r="N3210" s="114"/>
      <c r="P3210" s="234"/>
      <c r="Q3210" s="240"/>
    </row>
    <row r="3211" spans="6:17" x14ac:dyDescent="0.25">
      <c r="F3211" s="134"/>
      <c r="H3211" s="114"/>
      <c r="I3211" s="114"/>
      <c r="J3211" s="114"/>
      <c r="K3211" s="114"/>
      <c r="L3211" s="114"/>
      <c r="M3211" s="114"/>
      <c r="N3211" s="114"/>
      <c r="P3211" s="234"/>
      <c r="Q3211" s="240"/>
    </row>
    <row r="3212" spans="6:17" x14ac:dyDescent="0.25">
      <c r="F3212" s="134"/>
      <c r="H3212" s="114"/>
      <c r="I3212" s="114"/>
      <c r="J3212" s="114"/>
      <c r="K3212" s="114"/>
      <c r="L3212" s="114"/>
      <c r="M3212" s="114"/>
      <c r="N3212" s="114"/>
      <c r="P3212" s="234"/>
      <c r="Q3212" s="240"/>
    </row>
    <row r="3213" spans="6:17" x14ac:dyDescent="0.25">
      <c r="F3213" s="134"/>
      <c r="H3213" s="114"/>
      <c r="I3213" s="114"/>
      <c r="J3213" s="114"/>
      <c r="K3213" s="114"/>
      <c r="L3213" s="114"/>
      <c r="M3213" s="114"/>
      <c r="N3213" s="114"/>
      <c r="P3213" s="234"/>
      <c r="Q3213" s="240"/>
    </row>
    <row r="3214" spans="6:17" x14ac:dyDescent="0.25">
      <c r="F3214" s="134"/>
      <c r="H3214" s="114"/>
      <c r="I3214" s="114"/>
      <c r="J3214" s="114"/>
      <c r="K3214" s="114"/>
      <c r="L3214" s="114"/>
      <c r="M3214" s="114"/>
      <c r="N3214" s="114"/>
      <c r="P3214" s="234"/>
      <c r="Q3214" s="240"/>
    </row>
    <row r="3215" spans="6:17" x14ac:dyDescent="0.25">
      <c r="F3215" s="134"/>
      <c r="H3215" s="114"/>
      <c r="I3215" s="114"/>
      <c r="J3215" s="114"/>
      <c r="K3215" s="114"/>
      <c r="L3215" s="114"/>
      <c r="M3215" s="114"/>
      <c r="N3215" s="114"/>
      <c r="P3215" s="234"/>
      <c r="Q3215" s="240"/>
    </row>
    <row r="3216" spans="6:17" x14ac:dyDescent="0.25">
      <c r="F3216" s="134"/>
      <c r="H3216" s="114"/>
      <c r="I3216" s="114"/>
      <c r="J3216" s="114"/>
      <c r="K3216" s="114"/>
      <c r="L3216" s="114"/>
      <c r="M3216" s="114"/>
      <c r="N3216" s="114"/>
      <c r="P3216" s="234"/>
      <c r="Q3216" s="240"/>
    </row>
    <row r="3217" spans="6:17" x14ac:dyDescent="0.25">
      <c r="F3217" s="134"/>
      <c r="H3217" s="114"/>
      <c r="I3217" s="114"/>
      <c r="J3217" s="114"/>
      <c r="K3217" s="114"/>
      <c r="L3217" s="114"/>
      <c r="M3217" s="114"/>
      <c r="N3217" s="114"/>
      <c r="P3217" s="234"/>
      <c r="Q3217" s="240"/>
    </row>
    <row r="3218" spans="6:17" x14ac:dyDescent="0.25">
      <c r="F3218" s="134"/>
      <c r="H3218" s="114"/>
      <c r="I3218" s="114"/>
      <c r="J3218" s="114"/>
      <c r="K3218" s="114"/>
      <c r="L3218" s="114"/>
      <c r="M3218" s="114"/>
      <c r="N3218" s="114"/>
      <c r="P3218" s="234"/>
      <c r="Q3218" s="240"/>
    </row>
    <row r="3219" spans="6:17" x14ac:dyDescent="0.25">
      <c r="F3219" s="134"/>
      <c r="H3219" s="114"/>
      <c r="I3219" s="114"/>
      <c r="J3219" s="114"/>
      <c r="K3219" s="114"/>
      <c r="L3219" s="114"/>
      <c r="M3219" s="114"/>
      <c r="N3219" s="114"/>
      <c r="P3219" s="234"/>
      <c r="Q3219" s="240"/>
    </row>
    <row r="3220" spans="6:17" x14ac:dyDescent="0.25">
      <c r="F3220" s="134"/>
      <c r="H3220" s="114"/>
      <c r="I3220" s="114"/>
      <c r="J3220" s="114"/>
      <c r="K3220" s="114"/>
      <c r="L3220" s="114"/>
      <c r="M3220" s="114"/>
      <c r="N3220" s="114"/>
      <c r="P3220" s="234"/>
      <c r="Q3220" s="240"/>
    </row>
    <row r="3221" spans="6:17" x14ac:dyDescent="0.25">
      <c r="F3221" s="134"/>
      <c r="H3221" s="114"/>
      <c r="I3221" s="114"/>
      <c r="J3221" s="114"/>
      <c r="K3221" s="114"/>
      <c r="L3221" s="114"/>
      <c r="M3221" s="114"/>
      <c r="N3221" s="114"/>
      <c r="P3221" s="234"/>
      <c r="Q3221" s="240"/>
    </row>
    <row r="3222" spans="6:17" x14ac:dyDescent="0.25">
      <c r="F3222" s="134"/>
      <c r="H3222" s="114"/>
      <c r="I3222" s="114"/>
      <c r="J3222" s="114"/>
      <c r="K3222" s="114"/>
      <c r="L3222" s="114"/>
      <c r="M3222" s="114"/>
      <c r="N3222" s="114"/>
      <c r="P3222" s="234"/>
      <c r="Q3222" s="240"/>
    </row>
    <row r="3223" spans="6:17" x14ac:dyDescent="0.25">
      <c r="F3223" s="134"/>
      <c r="H3223" s="114"/>
      <c r="I3223" s="114"/>
      <c r="J3223" s="114"/>
      <c r="K3223" s="114"/>
      <c r="L3223" s="114"/>
      <c r="M3223" s="114"/>
      <c r="N3223" s="114"/>
      <c r="P3223" s="234"/>
      <c r="Q3223" s="240"/>
    </row>
    <row r="3224" spans="6:17" x14ac:dyDescent="0.25">
      <c r="F3224" s="134"/>
      <c r="H3224" s="114"/>
      <c r="I3224" s="114"/>
      <c r="J3224" s="114"/>
      <c r="K3224" s="114"/>
      <c r="L3224" s="114"/>
      <c r="M3224" s="114"/>
      <c r="N3224" s="114"/>
      <c r="P3224" s="234"/>
      <c r="Q3224" s="240"/>
    </row>
    <row r="3225" spans="6:17" x14ac:dyDescent="0.25">
      <c r="F3225" s="134"/>
      <c r="H3225" s="114"/>
      <c r="I3225" s="114"/>
      <c r="J3225" s="114"/>
      <c r="K3225" s="114"/>
      <c r="L3225" s="114"/>
      <c r="M3225" s="114"/>
      <c r="N3225" s="114"/>
      <c r="P3225" s="234"/>
      <c r="Q3225" s="240"/>
    </row>
    <row r="3226" spans="6:17" x14ac:dyDescent="0.25">
      <c r="F3226" s="134"/>
      <c r="H3226" s="114"/>
      <c r="I3226" s="114"/>
      <c r="J3226" s="114"/>
      <c r="K3226" s="114"/>
      <c r="L3226" s="114"/>
      <c r="M3226" s="114"/>
      <c r="N3226" s="114"/>
      <c r="P3226" s="234"/>
      <c r="Q3226" s="240"/>
    </row>
    <row r="3227" spans="6:17" x14ac:dyDescent="0.25">
      <c r="F3227" s="134"/>
      <c r="H3227" s="114"/>
      <c r="I3227" s="114"/>
      <c r="J3227" s="114"/>
      <c r="K3227" s="114"/>
      <c r="L3227" s="114"/>
      <c r="M3227" s="114"/>
      <c r="N3227" s="114"/>
      <c r="P3227" s="234"/>
      <c r="Q3227" s="240"/>
    </row>
    <row r="3228" spans="6:17" x14ac:dyDescent="0.25">
      <c r="F3228" s="134"/>
      <c r="H3228" s="114"/>
      <c r="I3228" s="114"/>
      <c r="J3228" s="114"/>
      <c r="K3228" s="114"/>
      <c r="L3228" s="114"/>
      <c r="M3228" s="114"/>
      <c r="N3228" s="114"/>
      <c r="P3228" s="234"/>
      <c r="Q3228" s="240"/>
    </row>
    <row r="3229" spans="6:17" x14ac:dyDescent="0.25">
      <c r="F3229" s="134"/>
      <c r="H3229" s="114"/>
      <c r="I3229" s="114"/>
      <c r="J3229" s="114"/>
      <c r="K3229" s="114"/>
      <c r="L3229" s="114"/>
      <c r="M3229" s="114"/>
      <c r="N3229" s="114"/>
      <c r="P3229" s="234"/>
      <c r="Q3229" s="240"/>
    </row>
    <row r="3230" spans="6:17" x14ac:dyDescent="0.25">
      <c r="F3230" s="134"/>
      <c r="H3230" s="114"/>
      <c r="I3230" s="114"/>
      <c r="J3230" s="114"/>
      <c r="K3230" s="114"/>
      <c r="L3230" s="114"/>
      <c r="M3230" s="114"/>
      <c r="N3230" s="114"/>
      <c r="P3230" s="234"/>
      <c r="Q3230" s="240"/>
    </row>
    <row r="3231" spans="6:17" x14ac:dyDescent="0.25">
      <c r="F3231" s="134"/>
      <c r="H3231" s="114"/>
      <c r="I3231" s="114"/>
      <c r="J3231" s="114"/>
      <c r="K3231" s="114"/>
      <c r="L3231" s="114"/>
      <c r="M3231" s="114"/>
      <c r="N3231" s="114"/>
      <c r="P3231" s="234"/>
      <c r="Q3231" s="240"/>
    </row>
    <row r="3232" spans="6:17" x14ac:dyDescent="0.25">
      <c r="F3232" s="134"/>
      <c r="H3232" s="114"/>
      <c r="I3232" s="114"/>
      <c r="J3232" s="114"/>
      <c r="K3232" s="114"/>
      <c r="L3232" s="114"/>
      <c r="M3232" s="114"/>
      <c r="N3232" s="114"/>
      <c r="P3232" s="234"/>
      <c r="Q3232" s="240"/>
    </row>
    <row r="3233" spans="6:17" x14ac:dyDescent="0.25">
      <c r="F3233" s="134"/>
      <c r="H3233" s="114"/>
      <c r="I3233" s="114"/>
      <c r="J3233" s="114"/>
      <c r="K3233" s="114"/>
      <c r="L3233" s="114"/>
      <c r="M3233" s="114"/>
      <c r="N3233" s="114"/>
      <c r="P3233" s="234"/>
      <c r="Q3233" s="240"/>
    </row>
    <row r="3234" spans="6:17" x14ac:dyDescent="0.25">
      <c r="F3234" s="134"/>
      <c r="H3234" s="114"/>
      <c r="I3234" s="114"/>
      <c r="J3234" s="114"/>
      <c r="K3234" s="114"/>
      <c r="L3234" s="114"/>
      <c r="M3234" s="114"/>
      <c r="N3234" s="114"/>
      <c r="P3234" s="234"/>
      <c r="Q3234" s="240"/>
    </row>
    <row r="3235" spans="6:17" x14ac:dyDescent="0.25">
      <c r="F3235" s="134"/>
      <c r="H3235" s="114"/>
      <c r="I3235" s="114"/>
      <c r="J3235" s="114"/>
      <c r="K3235" s="114"/>
      <c r="L3235" s="114"/>
      <c r="M3235" s="114"/>
      <c r="N3235" s="114"/>
      <c r="P3235" s="234"/>
      <c r="Q3235" s="240"/>
    </row>
    <row r="3236" spans="6:17" x14ac:dyDescent="0.25">
      <c r="F3236" s="134"/>
      <c r="H3236" s="114"/>
      <c r="I3236" s="114"/>
      <c r="J3236" s="114"/>
      <c r="K3236" s="114"/>
      <c r="L3236" s="114"/>
      <c r="M3236" s="114"/>
      <c r="N3236" s="114"/>
      <c r="P3236" s="234"/>
      <c r="Q3236" s="240"/>
    </row>
    <row r="3237" spans="6:17" x14ac:dyDescent="0.25">
      <c r="F3237" s="134"/>
      <c r="H3237" s="114"/>
      <c r="I3237" s="114"/>
      <c r="J3237" s="114"/>
      <c r="K3237" s="114"/>
      <c r="L3237" s="114"/>
      <c r="M3237" s="114"/>
      <c r="N3237" s="114"/>
      <c r="P3237" s="234"/>
      <c r="Q3237" s="240"/>
    </row>
    <row r="3238" spans="6:17" x14ac:dyDescent="0.25">
      <c r="F3238" s="134"/>
      <c r="H3238" s="114"/>
      <c r="I3238" s="114"/>
      <c r="J3238" s="114"/>
      <c r="K3238" s="114"/>
      <c r="L3238" s="114"/>
      <c r="M3238" s="114"/>
      <c r="N3238" s="114"/>
      <c r="P3238" s="234"/>
      <c r="Q3238" s="240"/>
    </row>
    <row r="3239" spans="6:17" x14ac:dyDescent="0.25">
      <c r="F3239" s="134"/>
      <c r="H3239" s="114"/>
      <c r="I3239" s="114"/>
      <c r="J3239" s="114"/>
      <c r="K3239" s="114"/>
      <c r="L3239" s="114"/>
      <c r="M3239" s="114"/>
      <c r="N3239" s="114"/>
      <c r="P3239" s="234"/>
      <c r="Q3239" s="240"/>
    </row>
    <row r="3240" spans="6:17" x14ac:dyDescent="0.25">
      <c r="F3240" s="134"/>
      <c r="H3240" s="114"/>
      <c r="I3240" s="114"/>
      <c r="J3240" s="114"/>
      <c r="K3240" s="114"/>
      <c r="L3240" s="114"/>
      <c r="M3240" s="114"/>
      <c r="N3240" s="114"/>
      <c r="P3240" s="234"/>
      <c r="Q3240" s="240"/>
    </row>
    <row r="3241" spans="6:17" x14ac:dyDescent="0.25">
      <c r="F3241" s="134"/>
      <c r="H3241" s="114"/>
      <c r="I3241" s="114"/>
      <c r="J3241" s="114"/>
      <c r="K3241" s="114"/>
      <c r="L3241" s="114"/>
      <c r="M3241" s="114"/>
      <c r="N3241" s="114"/>
      <c r="P3241" s="234"/>
      <c r="Q3241" s="240"/>
    </row>
    <row r="3242" spans="6:17" x14ac:dyDescent="0.25">
      <c r="F3242" s="134"/>
      <c r="H3242" s="114"/>
      <c r="I3242" s="114"/>
      <c r="J3242" s="114"/>
      <c r="K3242" s="114"/>
      <c r="L3242" s="114"/>
      <c r="M3242" s="114"/>
      <c r="N3242" s="114"/>
      <c r="P3242" s="234"/>
      <c r="Q3242" s="240"/>
    </row>
    <row r="3243" spans="6:17" x14ac:dyDescent="0.25">
      <c r="F3243" s="134"/>
      <c r="H3243" s="114"/>
      <c r="I3243" s="114"/>
      <c r="J3243" s="114"/>
      <c r="K3243" s="114"/>
      <c r="L3243" s="114"/>
      <c r="M3243" s="114"/>
      <c r="N3243" s="114"/>
      <c r="P3243" s="234"/>
      <c r="Q3243" s="240"/>
    </row>
    <row r="3244" spans="6:17" x14ac:dyDescent="0.25">
      <c r="F3244" s="134"/>
      <c r="H3244" s="114"/>
      <c r="I3244" s="114"/>
      <c r="J3244" s="114"/>
      <c r="K3244" s="114"/>
      <c r="L3244" s="114"/>
      <c r="M3244" s="114"/>
      <c r="N3244" s="114"/>
      <c r="P3244" s="234"/>
      <c r="Q3244" s="240"/>
    </row>
    <row r="3245" spans="6:17" x14ac:dyDescent="0.25">
      <c r="F3245" s="134"/>
      <c r="H3245" s="114"/>
      <c r="I3245" s="114"/>
      <c r="J3245" s="114"/>
      <c r="K3245" s="114"/>
      <c r="L3245" s="114"/>
      <c r="M3245" s="114"/>
      <c r="N3245" s="114"/>
      <c r="P3245" s="234"/>
      <c r="Q3245" s="240"/>
    </row>
    <row r="3246" spans="6:17" x14ac:dyDescent="0.25">
      <c r="F3246" s="134"/>
      <c r="H3246" s="114"/>
      <c r="I3246" s="114"/>
      <c r="J3246" s="114"/>
      <c r="K3246" s="114"/>
      <c r="L3246" s="114"/>
      <c r="M3246" s="114"/>
      <c r="N3246" s="114"/>
      <c r="P3246" s="234"/>
      <c r="Q3246" s="240"/>
    </row>
    <row r="3247" spans="6:17" x14ac:dyDescent="0.25">
      <c r="F3247" s="134"/>
      <c r="H3247" s="114"/>
      <c r="I3247" s="114"/>
      <c r="J3247" s="114"/>
      <c r="K3247" s="114"/>
      <c r="L3247" s="114"/>
      <c r="M3247" s="114"/>
      <c r="N3247" s="114"/>
      <c r="P3247" s="234"/>
      <c r="Q3247" s="240"/>
    </row>
    <row r="3248" spans="6:17" x14ac:dyDescent="0.25">
      <c r="F3248" s="134"/>
      <c r="H3248" s="114"/>
      <c r="I3248" s="114"/>
      <c r="J3248" s="114"/>
      <c r="K3248" s="114"/>
      <c r="L3248" s="114"/>
      <c r="M3248" s="114"/>
      <c r="N3248" s="114"/>
      <c r="P3248" s="234"/>
      <c r="Q3248" s="240"/>
    </row>
    <row r="3249" spans="6:17" x14ac:dyDescent="0.25">
      <c r="F3249" s="134"/>
      <c r="H3249" s="114"/>
      <c r="I3249" s="114"/>
      <c r="J3249" s="114"/>
      <c r="K3249" s="114"/>
      <c r="L3249" s="114"/>
      <c r="M3249" s="114"/>
      <c r="N3249" s="114"/>
      <c r="P3249" s="234"/>
      <c r="Q3249" s="240"/>
    </row>
    <row r="3250" spans="6:17" x14ac:dyDescent="0.25">
      <c r="F3250" s="134"/>
      <c r="H3250" s="114"/>
      <c r="I3250" s="114"/>
      <c r="J3250" s="114"/>
      <c r="K3250" s="114"/>
      <c r="L3250" s="114"/>
      <c r="M3250" s="114"/>
      <c r="N3250" s="114"/>
      <c r="P3250" s="234"/>
      <c r="Q3250" s="240"/>
    </row>
    <row r="3251" spans="6:17" x14ac:dyDescent="0.25">
      <c r="F3251" s="134"/>
      <c r="H3251" s="114"/>
      <c r="I3251" s="114"/>
      <c r="J3251" s="114"/>
      <c r="K3251" s="114"/>
      <c r="L3251" s="114"/>
      <c r="M3251" s="114"/>
      <c r="N3251" s="114"/>
      <c r="P3251" s="234"/>
      <c r="Q3251" s="240"/>
    </row>
    <row r="3252" spans="6:17" x14ac:dyDescent="0.25">
      <c r="F3252" s="134"/>
      <c r="H3252" s="114"/>
      <c r="I3252" s="114"/>
      <c r="J3252" s="114"/>
      <c r="K3252" s="114"/>
      <c r="L3252" s="114"/>
      <c r="M3252" s="114"/>
      <c r="N3252" s="114"/>
      <c r="P3252" s="234"/>
      <c r="Q3252" s="240"/>
    </row>
    <row r="3253" spans="6:17" x14ac:dyDescent="0.25">
      <c r="F3253" s="134"/>
      <c r="H3253" s="114"/>
      <c r="I3253" s="114"/>
      <c r="J3253" s="114"/>
      <c r="K3253" s="114"/>
      <c r="L3253" s="114"/>
      <c r="M3253" s="114"/>
      <c r="N3253" s="114"/>
      <c r="P3253" s="234"/>
      <c r="Q3253" s="240"/>
    </row>
    <row r="3254" spans="6:17" x14ac:dyDescent="0.25">
      <c r="F3254" s="134"/>
      <c r="H3254" s="114"/>
      <c r="I3254" s="114"/>
      <c r="J3254" s="114"/>
      <c r="K3254" s="114"/>
      <c r="L3254" s="114"/>
      <c r="M3254" s="114"/>
      <c r="N3254" s="114"/>
      <c r="P3254" s="234"/>
      <c r="Q3254" s="240"/>
    </row>
    <row r="3255" spans="6:17" x14ac:dyDescent="0.25">
      <c r="F3255" s="134"/>
      <c r="H3255" s="114"/>
      <c r="I3255" s="114"/>
      <c r="J3255" s="114"/>
      <c r="K3255" s="114"/>
      <c r="L3255" s="114"/>
      <c r="M3255" s="114"/>
      <c r="N3255" s="114"/>
      <c r="P3255" s="234"/>
      <c r="Q3255" s="240"/>
    </row>
    <row r="3256" spans="6:17" x14ac:dyDescent="0.25">
      <c r="F3256" s="134"/>
      <c r="H3256" s="114"/>
      <c r="I3256" s="114"/>
      <c r="J3256" s="114"/>
      <c r="K3256" s="114"/>
      <c r="L3256" s="114"/>
      <c r="M3256" s="114"/>
      <c r="N3256" s="114"/>
      <c r="P3256" s="234"/>
      <c r="Q3256" s="240"/>
    </row>
    <row r="3257" spans="6:17" x14ac:dyDescent="0.25">
      <c r="F3257" s="134"/>
      <c r="H3257" s="114"/>
      <c r="I3257" s="114"/>
      <c r="J3257" s="114"/>
      <c r="K3257" s="114"/>
      <c r="L3257" s="114"/>
      <c r="M3257" s="114"/>
      <c r="N3257" s="114"/>
      <c r="P3257" s="234"/>
      <c r="Q3257" s="240"/>
    </row>
    <row r="3258" spans="6:17" x14ac:dyDescent="0.25">
      <c r="F3258" s="134"/>
      <c r="H3258" s="114"/>
      <c r="I3258" s="114"/>
      <c r="J3258" s="114"/>
      <c r="K3258" s="114"/>
      <c r="L3258" s="114"/>
      <c r="M3258" s="114"/>
      <c r="N3258" s="114"/>
      <c r="P3258" s="234"/>
      <c r="Q3258" s="240"/>
    </row>
    <row r="3259" spans="6:17" x14ac:dyDescent="0.25">
      <c r="F3259" s="134"/>
      <c r="H3259" s="114"/>
      <c r="I3259" s="114"/>
      <c r="J3259" s="114"/>
      <c r="K3259" s="114"/>
      <c r="L3259" s="114"/>
      <c r="M3259" s="114"/>
      <c r="N3259" s="114"/>
      <c r="P3259" s="234"/>
      <c r="Q3259" s="240"/>
    </row>
    <row r="3260" spans="6:17" x14ac:dyDescent="0.25">
      <c r="F3260" s="134"/>
      <c r="H3260" s="114"/>
      <c r="I3260" s="114"/>
      <c r="J3260" s="114"/>
      <c r="K3260" s="114"/>
      <c r="L3260" s="114"/>
      <c r="M3260" s="114"/>
      <c r="N3260" s="114"/>
      <c r="P3260" s="234"/>
      <c r="Q3260" s="240"/>
    </row>
    <row r="3261" spans="6:17" x14ac:dyDescent="0.25">
      <c r="F3261" s="134"/>
      <c r="H3261" s="114"/>
      <c r="I3261" s="114"/>
      <c r="J3261" s="114"/>
      <c r="K3261" s="114"/>
      <c r="L3261" s="114"/>
      <c r="M3261" s="114"/>
      <c r="N3261" s="114"/>
      <c r="P3261" s="234"/>
      <c r="Q3261" s="240"/>
    </row>
    <row r="3262" spans="6:17" x14ac:dyDescent="0.25">
      <c r="F3262" s="134"/>
      <c r="H3262" s="114"/>
      <c r="I3262" s="114"/>
      <c r="J3262" s="114"/>
      <c r="K3262" s="114"/>
      <c r="L3262" s="114"/>
      <c r="M3262" s="114"/>
      <c r="N3262" s="114"/>
      <c r="P3262" s="234"/>
      <c r="Q3262" s="240"/>
    </row>
    <row r="3263" spans="6:17" x14ac:dyDescent="0.25">
      <c r="F3263" s="134"/>
      <c r="H3263" s="114"/>
      <c r="I3263" s="114"/>
      <c r="J3263" s="114"/>
      <c r="K3263" s="114"/>
      <c r="L3263" s="114"/>
      <c r="M3263" s="114"/>
      <c r="N3263" s="114"/>
      <c r="P3263" s="234"/>
      <c r="Q3263" s="240"/>
    </row>
    <row r="3264" spans="6:17" x14ac:dyDescent="0.25">
      <c r="F3264" s="134"/>
      <c r="H3264" s="114"/>
      <c r="I3264" s="114"/>
      <c r="J3264" s="114"/>
      <c r="K3264" s="114"/>
      <c r="L3264" s="114"/>
      <c r="M3264" s="114"/>
      <c r="N3264" s="114"/>
      <c r="P3264" s="234"/>
      <c r="Q3264" s="240"/>
    </row>
    <row r="3265" spans="6:17" x14ac:dyDescent="0.25">
      <c r="F3265" s="134"/>
      <c r="H3265" s="114"/>
      <c r="I3265" s="114"/>
      <c r="J3265" s="114"/>
      <c r="K3265" s="114"/>
      <c r="L3265" s="114"/>
      <c r="M3265" s="114"/>
      <c r="N3265" s="114"/>
      <c r="P3265" s="234"/>
      <c r="Q3265" s="240"/>
    </row>
    <row r="3266" spans="6:17" x14ac:dyDescent="0.25">
      <c r="F3266" s="134"/>
      <c r="H3266" s="114"/>
      <c r="I3266" s="114"/>
      <c r="J3266" s="114"/>
      <c r="K3266" s="114"/>
      <c r="L3266" s="114"/>
      <c r="M3266" s="114"/>
      <c r="N3266" s="114"/>
      <c r="P3266" s="234"/>
      <c r="Q3266" s="240"/>
    </row>
    <row r="3267" spans="6:17" x14ac:dyDescent="0.25">
      <c r="F3267" s="134"/>
      <c r="H3267" s="114"/>
      <c r="I3267" s="114"/>
      <c r="J3267" s="114"/>
      <c r="K3267" s="114"/>
      <c r="L3267" s="114"/>
      <c r="M3267" s="114"/>
      <c r="N3267" s="114"/>
      <c r="P3267" s="234"/>
      <c r="Q3267" s="240"/>
    </row>
    <row r="3268" spans="6:17" x14ac:dyDescent="0.25">
      <c r="F3268" s="134"/>
      <c r="H3268" s="114"/>
      <c r="I3268" s="114"/>
      <c r="J3268" s="114"/>
      <c r="K3268" s="114"/>
      <c r="L3268" s="114"/>
      <c r="M3268" s="114"/>
      <c r="N3268" s="114"/>
      <c r="P3268" s="234"/>
      <c r="Q3268" s="240"/>
    </row>
    <row r="3269" spans="6:17" x14ac:dyDescent="0.25">
      <c r="F3269" s="134"/>
      <c r="H3269" s="114"/>
      <c r="I3269" s="114"/>
      <c r="J3269" s="114"/>
      <c r="K3269" s="114"/>
      <c r="L3269" s="114"/>
      <c r="M3269" s="114"/>
      <c r="N3269" s="114"/>
      <c r="P3269" s="234"/>
      <c r="Q3269" s="240"/>
    </row>
    <row r="3270" spans="6:17" x14ac:dyDescent="0.25">
      <c r="F3270" s="134"/>
      <c r="H3270" s="114"/>
      <c r="I3270" s="114"/>
      <c r="J3270" s="114"/>
      <c r="K3270" s="114"/>
      <c r="L3270" s="114"/>
      <c r="M3270" s="114"/>
      <c r="N3270" s="114"/>
      <c r="P3270" s="234"/>
      <c r="Q3270" s="240"/>
    </row>
    <row r="3271" spans="6:17" x14ac:dyDescent="0.25">
      <c r="F3271" s="134"/>
      <c r="H3271" s="114"/>
      <c r="I3271" s="114"/>
      <c r="J3271" s="114"/>
      <c r="K3271" s="114"/>
      <c r="L3271" s="114"/>
      <c r="M3271" s="114"/>
      <c r="N3271" s="114"/>
      <c r="P3271" s="234"/>
      <c r="Q3271" s="240"/>
    </row>
    <row r="3272" spans="6:17" x14ac:dyDescent="0.25">
      <c r="F3272" s="134"/>
      <c r="H3272" s="114"/>
      <c r="I3272" s="114"/>
      <c r="J3272" s="114"/>
      <c r="K3272" s="114"/>
      <c r="L3272" s="114"/>
      <c r="M3272" s="114"/>
      <c r="N3272" s="114"/>
      <c r="P3272" s="234"/>
      <c r="Q3272" s="240"/>
    </row>
    <row r="3273" spans="6:17" x14ac:dyDescent="0.25">
      <c r="F3273" s="134"/>
      <c r="H3273" s="114"/>
      <c r="I3273" s="114"/>
      <c r="J3273" s="114"/>
      <c r="K3273" s="114"/>
      <c r="L3273" s="114"/>
      <c r="M3273" s="114"/>
      <c r="N3273" s="114"/>
      <c r="P3273" s="234"/>
      <c r="Q3273" s="240"/>
    </row>
    <row r="3274" spans="6:17" x14ac:dyDescent="0.25">
      <c r="F3274" s="134"/>
      <c r="H3274" s="114"/>
      <c r="I3274" s="114"/>
      <c r="J3274" s="114"/>
      <c r="K3274" s="114"/>
      <c r="L3274" s="114"/>
      <c r="M3274" s="114"/>
      <c r="N3274" s="114"/>
      <c r="P3274" s="234"/>
      <c r="Q3274" s="240"/>
    </row>
    <row r="3275" spans="6:17" x14ac:dyDescent="0.25">
      <c r="F3275" s="134"/>
      <c r="H3275" s="114"/>
      <c r="I3275" s="114"/>
      <c r="J3275" s="114"/>
      <c r="K3275" s="114"/>
      <c r="L3275" s="114"/>
      <c r="M3275" s="114"/>
      <c r="N3275" s="114"/>
      <c r="P3275" s="234"/>
      <c r="Q3275" s="240"/>
    </row>
    <row r="3276" spans="6:17" x14ac:dyDescent="0.25">
      <c r="F3276" s="134"/>
      <c r="H3276" s="114"/>
      <c r="I3276" s="114"/>
      <c r="J3276" s="114"/>
      <c r="K3276" s="114"/>
      <c r="L3276" s="114"/>
      <c r="M3276" s="114"/>
      <c r="N3276" s="114"/>
      <c r="P3276" s="234"/>
      <c r="Q3276" s="240"/>
    </row>
    <row r="3277" spans="6:17" x14ac:dyDescent="0.25">
      <c r="F3277" s="134"/>
      <c r="H3277" s="114"/>
      <c r="I3277" s="114"/>
      <c r="J3277" s="114"/>
      <c r="K3277" s="114"/>
      <c r="L3277" s="114"/>
      <c r="M3277" s="114"/>
      <c r="N3277" s="114"/>
      <c r="P3277" s="234"/>
      <c r="Q3277" s="240"/>
    </row>
    <row r="3278" spans="6:17" x14ac:dyDescent="0.25">
      <c r="F3278" s="134"/>
      <c r="H3278" s="114"/>
      <c r="I3278" s="114"/>
      <c r="J3278" s="114"/>
      <c r="K3278" s="114"/>
      <c r="L3278" s="114"/>
      <c r="M3278" s="114"/>
      <c r="N3278" s="114"/>
      <c r="P3278" s="234"/>
      <c r="Q3278" s="240"/>
    </row>
    <row r="3279" spans="6:17" x14ac:dyDescent="0.25">
      <c r="F3279" s="134"/>
      <c r="H3279" s="114"/>
      <c r="I3279" s="114"/>
      <c r="J3279" s="114"/>
      <c r="K3279" s="114"/>
      <c r="L3279" s="114"/>
      <c r="M3279" s="114"/>
      <c r="N3279" s="114"/>
      <c r="P3279" s="234"/>
      <c r="Q3279" s="240"/>
    </row>
    <row r="3280" spans="6:17" x14ac:dyDescent="0.25">
      <c r="F3280" s="134"/>
      <c r="H3280" s="114"/>
      <c r="I3280" s="114"/>
      <c r="J3280" s="114"/>
      <c r="K3280" s="114"/>
      <c r="L3280" s="114"/>
      <c r="M3280" s="114"/>
      <c r="N3280" s="114"/>
      <c r="P3280" s="234"/>
      <c r="Q3280" s="240"/>
    </row>
    <row r="3281" spans="6:17" x14ac:dyDescent="0.25">
      <c r="F3281" s="134"/>
      <c r="H3281" s="114"/>
      <c r="I3281" s="114"/>
      <c r="J3281" s="114"/>
      <c r="K3281" s="114"/>
      <c r="L3281" s="114"/>
      <c r="M3281" s="114"/>
      <c r="N3281" s="114"/>
      <c r="P3281" s="234"/>
      <c r="Q3281" s="240"/>
    </row>
    <row r="3282" spans="6:17" x14ac:dyDescent="0.25">
      <c r="F3282" s="134"/>
      <c r="H3282" s="114"/>
      <c r="I3282" s="114"/>
      <c r="J3282" s="114"/>
      <c r="K3282" s="114"/>
      <c r="L3282" s="114"/>
      <c r="M3282" s="114"/>
      <c r="N3282" s="114"/>
      <c r="P3282" s="234"/>
      <c r="Q3282" s="240"/>
    </row>
    <row r="3283" spans="6:17" x14ac:dyDescent="0.25">
      <c r="F3283" s="134"/>
      <c r="H3283" s="114"/>
      <c r="I3283" s="114"/>
      <c r="J3283" s="114"/>
      <c r="K3283" s="114"/>
      <c r="L3283" s="114"/>
      <c r="M3283" s="114"/>
      <c r="N3283" s="114"/>
      <c r="P3283" s="234"/>
      <c r="Q3283" s="240"/>
    </row>
    <row r="3284" spans="6:17" x14ac:dyDescent="0.25">
      <c r="F3284" s="134"/>
      <c r="H3284" s="114"/>
      <c r="I3284" s="114"/>
      <c r="J3284" s="114"/>
      <c r="K3284" s="114"/>
      <c r="L3284" s="114"/>
      <c r="M3284" s="114"/>
      <c r="N3284" s="114"/>
      <c r="P3284" s="234"/>
      <c r="Q3284" s="240"/>
    </row>
    <row r="3285" spans="6:17" x14ac:dyDescent="0.25">
      <c r="F3285" s="134"/>
      <c r="H3285" s="114"/>
      <c r="I3285" s="114"/>
      <c r="J3285" s="114"/>
      <c r="K3285" s="114"/>
      <c r="L3285" s="114"/>
      <c r="M3285" s="114"/>
      <c r="N3285" s="114"/>
      <c r="P3285" s="234"/>
      <c r="Q3285" s="240"/>
    </row>
    <row r="3286" spans="6:17" x14ac:dyDescent="0.25">
      <c r="F3286" s="134"/>
      <c r="H3286" s="114"/>
      <c r="I3286" s="114"/>
      <c r="J3286" s="114"/>
      <c r="K3286" s="114"/>
      <c r="L3286" s="114"/>
      <c r="M3286" s="114"/>
      <c r="N3286" s="114"/>
      <c r="P3286" s="234"/>
      <c r="Q3286" s="240"/>
    </row>
    <row r="3287" spans="6:17" x14ac:dyDescent="0.25">
      <c r="F3287" s="134"/>
      <c r="H3287" s="114"/>
      <c r="I3287" s="114"/>
      <c r="J3287" s="114"/>
      <c r="K3287" s="114"/>
      <c r="L3287" s="114"/>
      <c r="M3287" s="114"/>
      <c r="N3287" s="114"/>
      <c r="P3287" s="234"/>
      <c r="Q3287" s="240"/>
    </row>
    <row r="3288" spans="6:17" x14ac:dyDescent="0.25">
      <c r="F3288" s="134"/>
      <c r="H3288" s="114"/>
      <c r="I3288" s="114"/>
      <c r="J3288" s="114"/>
      <c r="K3288" s="114"/>
      <c r="L3288" s="114"/>
      <c r="M3288" s="114"/>
      <c r="N3288" s="114"/>
      <c r="P3288" s="234"/>
      <c r="Q3288" s="240"/>
    </row>
    <row r="3289" spans="6:17" x14ac:dyDescent="0.25">
      <c r="F3289" s="134"/>
      <c r="H3289" s="114"/>
      <c r="I3289" s="114"/>
      <c r="J3289" s="114"/>
      <c r="K3289" s="114"/>
      <c r="L3289" s="114"/>
      <c r="M3289" s="114"/>
      <c r="N3289" s="114"/>
      <c r="P3289" s="234"/>
      <c r="Q3289" s="240"/>
    </row>
    <row r="3290" spans="6:17" x14ac:dyDescent="0.25">
      <c r="F3290" s="134"/>
      <c r="H3290" s="114"/>
      <c r="I3290" s="114"/>
      <c r="J3290" s="114"/>
      <c r="K3290" s="114"/>
      <c r="L3290" s="114"/>
      <c r="M3290" s="114"/>
      <c r="N3290" s="114"/>
      <c r="P3290" s="234"/>
      <c r="Q3290" s="240"/>
    </row>
    <row r="3291" spans="6:17" x14ac:dyDescent="0.25">
      <c r="F3291" s="134"/>
      <c r="H3291" s="114"/>
      <c r="I3291" s="114"/>
      <c r="J3291" s="114"/>
      <c r="K3291" s="114"/>
      <c r="L3291" s="114"/>
      <c r="M3291" s="114"/>
      <c r="N3291" s="114"/>
      <c r="P3291" s="234"/>
      <c r="Q3291" s="240"/>
    </row>
    <row r="3292" spans="6:17" x14ac:dyDescent="0.25">
      <c r="F3292" s="134"/>
      <c r="H3292" s="114"/>
      <c r="I3292" s="114"/>
      <c r="J3292" s="114"/>
      <c r="K3292" s="114"/>
      <c r="L3292" s="114"/>
      <c r="M3292" s="114"/>
      <c r="N3292" s="114"/>
      <c r="P3292" s="234"/>
      <c r="Q3292" s="240"/>
    </row>
    <row r="3293" spans="6:17" x14ac:dyDescent="0.25">
      <c r="F3293" s="134"/>
      <c r="H3293" s="114"/>
      <c r="I3293" s="114"/>
      <c r="J3293" s="114"/>
      <c r="K3293" s="114"/>
      <c r="L3293" s="114"/>
      <c r="M3293" s="114"/>
      <c r="N3293" s="114"/>
      <c r="P3293" s="234"/>
      <c r="Q3293" s="240"/>
    </row>
    <row r="3294" spans="6:17" x14ac:dyDescent="0.25">
      <c r="F3294" s="134"/>
      <c r="H3294" s="114"/>
      <c r="I3294" s="114"/>
      <c r="J3294" s="114"/>
      <c r="K3294" s="114"/>
      <c r="L3294" s="114"/>
      <c r="M3294" s="114"/>
      <c r="N3294" s="114"/>
      <c r="P3294" s="234"/>
      <c r="Q3294" s="240"/>
    </row>
    <row r="3295" spans="6:17" x14ac:dyDescent="0.25">
      <c r="F3295" s="134"/>
      <c r="H3295" s="114"/>
      <c r="I3295" s="114"/>
      <c r="J3295" s="114"/>
      <c r="K3295" s="114"/>
      <c r="L3295" s="114"/>
      <c r="M3295" s="114"/>
      <c r="N3295" s="114"/>
      <c r="P3295" s="234"/>
      <c r="Q3295" s="240"/>
    </row>
    <row r="3296" spans="6:17" x14ac:dyDescent="0.25">
      <c r="F3296" s="134"/>
      <c r="H3296" s="114"/>
      <c r="I3296" s="114"/>
      <c r="J3296" s="114"/>
      <c r="K3296" s="114"/>
      <c r="L3296" s="114"/>
      <c r="M3296" s="114"/>
      <c r="N3296" s="114"/>
      <c r="P3296" s="234"/>
      <c r="Q3296" s="240"/>
    </row>
    <row r="3297" spans="6:17" x14ac:dyDescent="0.25">
      <c r="F3297" s="134"/>
      <c r="H3297" s="114"/>
      <c r="I3297" s="114"/>
      <c r="J3297" s="114"/>
      <c r="K3297" s="114"/>
      <c r="L3297" s="114"/>
      <c r="M3297" s="114"/>
      <c r="N3297" s="114"/>
      <c r="P3297" s="234"/>
      <c r="Q3297" s="240"/>
    </row>
    <row r="3298" spans="6:17" x14ac:dyDescent="0.25">
      <c r="F3298" s="134"/>
      <c r="H3298" s="114"/>
      <c r="I3298" s="114"/>
      <c r="J3298" s="114"/>
      <c r="K3298" s="114"/>
      <c r="L3298" s="114"/>
      <c r="M3298" s="114"/>
      <c r="N3298" s="114"/>
      <c r="P3298" s="234"/>
      <c r="Q3298" s="240"/>
    </row>
    <row r="3299" spans="6:17" x14ac:dyDescent="0.25">
      <c r="F3299" s="134"/>
      <c r="H3299" s="114"/>
      <c r="I3299" s="114"/>
      <c r="J3299" s="114"/>
      <c r="K3299" s="114"/>
      <c r="L3299" s="114"/>
      <c r="M3299" s="114"/>
      <c r="N3299" s="114"/>
      <c r="P3299" s="234"/>
      <c r="Q3299" s="240"/>
    </row>
    <row r="3300" spans="6:17" x14ac:dyDescent="0.25">
      <c r="F3300" s="134"/>
      <c r="H3300" s="114"/>
      <c r="I3300" s="114"/>
      <c r="J3300" s="114"/>
      <c r="K3300" s="114"/>
      <c r="L3300" s="114"/>
      <c r="M3300" s="114"/>
      <c r="N3300" s="114"/>
      <c r="P3300" s="234"/>
      <c r="Q3300" s="240"/>
    </row>
    <row r="3301" spans="6:17" x14ac:dyDescent="0.25">
      <c r="F3301" s="134"/>
      <c r="H3301" s="114"/>
      <c r="I3301" s="114"/>
      <c r="J3301" s="114"/>
      <c r="K3301" s="114"/>
      <c r="L3301" s="114"/>
      <c r="M3301" s="114"/>
      <c r="N3301" s="114"/>
      <c r="P3301" s="234"/>
      <c r="Q3301" s="240"/>
    </row>
    <row r="3302" spans="6:17" x14ac:dyDescent="0.25">
      <c r="F3302" s="134"/>
      <c r="H3302" s="114"/>
      <c r="I3302" s="114"/>
      <c r="J3302" s="114"/>
      <c r="K3302" s="114"/>
      <c r="L3302" s="114"/>
      <c r="M3302" s="114"/>
      <c r="N3302" s="114"/>
      <c r="P3302" s="234"/>
      <c r="Q3302" s="240"/>
    </row>
    <row r="3303" spans="6:17" x14ac:dyDescent="0.25">
      <c r="F3303" s="134"/>
      <c r="H3303" s="114"/>
      <c r="I3303" s="114"/>
      <c r="J3303" s="114"/>
      <c r="K3303" s="114"/>
      <c r="L3303" s="114"/>
      <c r="M3303" s="114"/>
      <c r="N3303" s="114"/>
      <c r="P3303" s="234"/>
      <c r="Q3303" s="240"/>
    </row>
    <row r="3304" spans="6:17" x14ac:dyDescent="0.25">
      <c r="F3304" s="134"/>
      <c r="H3304" s="114"/>
      <c r="I3304" s="114"/>
      <c r="J3304" s="114"/>
      <c r="K3304" s="114"/>
      <c r="L3304" s="114"/>
      <c r="M3304" s="114"/>
      <c r="N3304" s="114"/>
      <c r="P3304" s="234"/>
      <c r="Q3304" s="240"/>
    </row>
    <row r="3305" spans="6:17" x14ac:dyDescent="0.25">
      <c r="F3305" s="134"/>
      <c r="H3305" s="114"/>
      <c r="I3305" s="114"/>
      <c r="J3305" s="114"/>
      <c r="K3305" s="114"/>
      <c r="L3305" s="114"/>
      <c r="M3305" s="114"/>
      <c r="N3305" s="114"/>
      <c r="P3305" s="234"/>
      <c r="Q3305" s="240"/>
    </row>
    <row r="3306" spans="6:17" x14ac:dyDescent="0.25">
      <c r="F3306" s="134"/>
      <c r="H3306" s="114"/>
      <c r="I3306" s="114"/>
      <c r="J3306" s="114"/>
      <c r="K3306" s="114"/>
      <c r="L3306" s="114"/>
      <c r="M3306" s="114"/>
      <c r="N3306" s="114"/>
      <c r="P3306" s="234"/>
      <c r="Q3306" s="240"/>
    </row>
    <row r="3307" spans="6:17" x14ac:dyDescent="0.25">
      <c r="F3307" s="134"/>
      <c r="H3307" s="114"/>
      <c r="I3307" s="114"/>
      <c r="J3307" s="114"/>
      <c r="K3307" s="114"/>
      <c r="L3307" s="114"/>
      <c r="M3307" s="114"/>
      <c r="N3307" s="114"/>
      <c r="P3307" s="234"/>
      <c r="Q3307" s="240"/>
    </row>
    <row r="3308" spans="6:17" x14ac:dyDescent="0.25">
      <c r="F3308" s="134"/>
      <c r="H3308" s="114"/>
      <c r="I3308" s="114"/>
      <c r="J3308" s="114"/>
      <c r="K3308" s="114"/>
      <c r="L3308" s="114"/>
      <c r="M3308" s="114"/>
      <c r="N3308" s="114"/>
      <c r="P3308" s="234"/>
      <c r="Q3308" s="240"/>
    </row>
    <row r="3309" spans="6:17" x14ac:dyDescent="0.25">
      <c r="F3309" s="134"/>
      <c r="H3309" s="114"/>
      <c r="I3309" s="114"/>
      <c r="J3309" s="114"/>
      <c r="K3309" s="114"/>
      <c r="L3309" s="114"/>
      <c r="M3309" s="114"/>
      <c r="N3309" s="114"/>
      <c r="P3309" s="234"/>
      <c r="Q3309" s="240"/>
    </row>
    <row r="3310" spans="6:17" x14ac:dyDescent="0.25">
      <c r="F3310" s="134"/>
      <c r="H3310" s="114"/>
      <c r="I3310" s="114"/>
      <c r="J3310" s="114"/>
      <c r="K3310" s="114"/>
      <c r="L3310" s="114"/>
      <c r="M3310" s="114"/>
      <c r="N3310" s="114"/>
      <c r="P3310" s="234"/>
      <c r="Q3310" s="240"/>
    </row>
    <row r="3311" spans="6:17" x14ac:dyDescent="0.25">
      <c r="F3311" s="134"/>
      <c r="H3311" s="114"/>
      <c r="I3311" s="114"/>
      <c r="J3311" s="114"/>
      <c r="K3311" s="114"/>
      <c r="L3311" s="114"/>
      <c r="M3311" s="114"/>
      <c r="N3311" s="114"/>
      <c r="P3311" s="234"/>
      <c r="Q3311" s="240"/>
    </row>
    <row r="3312" spans="6:17" x14ac:dyDescent="0.25">
      <c r="F3312" s="134"/>
      <c r="H3312" s="114"/>
      <c r="I3312" s="114"/>
      <c r="J3312" s="114"/>
      <c r="K3312" s="114"/>
      <c r="L3312" s="114"/>
      <c r="M3312" s="114"/>
      <c r="N3312" s="114"/>
      <c r="P3312" s="234"/>
      <c r="Q3312" s="240"/>
    </row>
    <row r="3313" spans="6:17" x14ac:dyDescent="0.25">
      <c r="F3313" s="134"/>
      <c r="H3313" s="114"/>
      <c r="I3313" s="114"/>
      <c r="J3313" s="114"/>
      <c r="K3313" s="114"/>
      <c r="L3313" s="114"/>
      <c r="M3313" s="114"/>
      <c r="N3313" s="114"/>
      <c r="P3313" s="234"/>
      <c r="Q3313" s="240"/>
    </row>
    <row r="3314" spans="6:17" x14ac:dyDescent="0.25">
      <c r="F3314" s="134"/>
      <c r="H3314" s="114"/>
      <c r="I3314" s="114"/>
      <c r="J3314" s="114"/>
      <c r="K3314" s="114"/>
      <c r="L3314" s="114"/>
      <c r="M3314" s="114"/>
      <c r="N3314" s="114"/>
      <c r="P3314" s="234"/>
      <c r="Q3314" s="240"/>
    </row>
    <row r="3315" spans="6:17" x14ac:dyDescent="0.25">
      <c r="F3315" s="134"/>
      <c r="H3315" s="114"/>
      <c r="I3315" s="114"/>
      <c r="J3315" s="114"/>
      <c r="K3315" s="114"/>
      <c r="L3315" s="114"/>
      <c r="M3315" s="114"/>
      <c r="N3315" s="114"/>
      <c r="P3315" s="234"/>
      <c r="Q3315" s="240"/>
    </row>
    <row r="3316" spans="6:17" x14ac:dyDescent="0.25">
      <c r="F3316" s="134"/>
      <c r="H3316" s="114"/>
      <c r="I3316" s="114"/>
      <c r="J3316" s="114"/>
      <c r="K3316" s="114"/>
      <c r="L3316" s="114"/>
      <c r="M3316" s="114"/>
      <c r="N3316" s="114"/>
      <c r="P3316" s="234"/>
      <c r="Q3316" s="240"/>
    </row>
    <row r="3317" spans="6:17" x14ac:dyDescent="0.25">
      <c r="F3317" s="134"/>
      <c r="H3317" s="114"/>
      <c r="I3317" s="114"/>
      <c r="J3317" s="114"/>
      <c r="K3317" s="114"/>
      <c r="L3317" s="114"/>
      <c r="M3317" s="114"/>
      <c r="N3317" s="114"/>
      <c r="P3317" s="234"/>
      <c r="Q3317" s="240"/>
    </row>
    <row r="3318" spans="6:17" x14ac:dyDescent="0.25">
      <c r="F3318" s="134"/>
      <c r="H3318" s="114"/>
      <c r="I3318" s="114"/>
      <c r="J3318" s="114"/>
      <c r="K3318" s="114"/>
      <c r="L3318" s="114"/>
      <c r="M3318" s="114"/>
      <c r="N3318" s="114"/>
      <c r="P3318" s="234"/>
      <c r="Q3318" s="240"/>
    </row>
    <row r="3319" spans="6:17" x14ac:dyDescent="0.25">
      <c r="F3319" s="134"/>
      <c r="H3319" s="114"/>
      <c r="I3319" s="114"/>
      <c r="J3319" s="114"/>
      <c r="K3319" s="114"/>
      <c r="L3319" s="114"/>
      <c r="M3319" s="114"/>
      <c r="N3319" s="114"/>
      <c r="P3319" s="234"/>
      <c r="Q3319" s="240"/>
    </row>
    <row r="3320" spans="6:17" x14ac:dyDescent="0.25">
      <c r="F3320" s="134"/>
      <c r="H3320" s="114"/>
      <c r="I3320" s="114"/>
      <c r="J3320" s="114"/>
      <c r="K3320" s="114"/>
      <c r="L3320" s="114"/>
      <c r="M3320" s="114"/>
      <c r="N3320" s="114"/>
      <c r="P3320" s="234"/>
      <c r="Q3320" s="240"/>
    </row>
    <row r="3321" spans="6:17" x14ac:dyDescent="0.25">
      <c r="F3321" s="134"/>
      <c r="H3321" s="114"/>
      <c r="I3321" s="114"/>
      <c r="J3321" s="114"/>
      <c r="K3321" s="114"/>
      <c r="L3321" s="114"/>
      <c r="M3321" s="114"/>
      <c r="N3321" s="114"/>
      <c r="P3321" s="234"/>
      <c r="Q3321" s="240"/>
    </row>
    <row r="3322" spans="6:17" x14ac:dyDescent="0.25">
      <c r="F3322" s="134"/>
      <c r="H3322" s="114"/>
      <c r="I3322" s="114"/>
      <c r="J3322" s="114"/>
      <c r="K3322" s="114"/>
      <c r="L3322" s="114"/>
      <c r="M3322" s="114"/>
      <c r="N3322" s="114"/>
      <c r="P3322" s="234"/>
      <c r="Q3322" s="240"/>
    </row>
    <row r="3323" spans="6:17" x14ac:dyDescent="0.25">
      <c r="F3323" s="134"/>
      <c r="H3323" s="114"/>
      <c r="I3323" s="114"/>
      <c r="J3323" s="114"/>
      <c r="K3323" s="114"/>
      <c r="L3323" s="114"/>
      <c r="M3323" s="114"/>
      <c r="N3323" s="114"/>
      <c r="P3323" s="234"/>
      <c r="Q3323" s="240"/>
    </row>
    <row r="3324" spans="6:17" x14ac:dyDescent="0.25">
      <c r="F3324" s="134"/>
      <c r="H3324" s="114"/>
      <c r="I3324" s="114"/>
      <c r="J3324" s="114"/>
      <c r="K3324" s="114"/>
      <c r="L3324" s="114"/>
      <c r="M3324" s="114"/>
      <c r="N3324" s="114"/>
      <c r="P3324" s="234"/>
      <c r="Q3324" s="240"/>
    </row>
    <row r="3325" spans="6:17" x14ac:dyDescent="0.25">
      <c r="F3325" s="134"/>
      <c r="H3325" s="114"/>
      <c r="I3325" s="114"/>
      <c r="J3325" s="114"/>
      <c r="K3325" s="114"/>
      <c r="L3325" s="114"/>
      <c r="M3325" s="114"/>
      <c r="N3325" s="114"/>
      <c r="P3325" s="234"/>
      <c r="Q3325" s="240"/>
    </row>
    <row r="3326" spans="6:17" x14ac:dyDescent="0.25">
      <c r="F3326" s="134"/>
      <c r="H3326" s="114"/>
      <c r="I3326" s="114"/>
      <c r="J3326" s="114"/>
      <c r="K3326" s="114"/>
      <c r="L3326" s="114"/>
      <c r="M3326" s="114"/>
      <c r="N3326" s="114"/>
      <c r="P3326" s="234"/>
      <c r="Q3326" s="240"/>
    </row>
    <row r="3327" spans="6:17" x14ac:dyDescent="0.25">
      <c r="F3327" s="134"/>
      <c r="H3327" s="114"/>
      <c r="I3327" s="114"/>
      <c r="J3327" s="114"/>
      <c r="K3327" s="114"/>
      <c r="L3327" s="114"/>
      <c r="M3327" s="114"/>
      <c r="N3327" s="114"/>
      <c r="P3327" s="234"/>
      <c r="Q3327" s="240"/>
    </row>
    <row r="3328" spans="6:17" x14ac:dyDescent="0.25">
      <c r="F3328" s="134"/>
      <c r="H3328" s="114"/>
      <c r="I3328" s="114"/>
      <c r="J3328" s="114"/>
      <c r="K3328" s="114"/>
      <c r="L3328" s="114"/>
      <c r="M3328" s="114"/>
      <c r="N3328" s="114"/>
      <c r="P3328" s="234"/>
      <c r="Q3328" s="240"/>
    </row>
    <row r="3329" spans="6:17" x14ac:dyDescent="0.25">
      <c r="F3329" s="134"/>
      <c r="H3329" s="114"/>
      <c r="I3329" s="114"/>
      <c r="J3329" s="114"/>
      <c r="K3329" s="114"/>
      <c r="L3329" s="114"/>
      <c r="M3329" s="114"/>
      <c r="N3329" s="114"/>
      <c r="P3329" s="234"/>
      <c r="Q3329" s="240"/>
    </row>
    <row r="3330" spans="6:17" x14ac:dyDescent="0.25">
      <c r="F3330" s="134"/>
      <c r="H3330" s="114"/>
      <c r="I3330" s="114"/>
      <c r="J3330" s="114"/>
      <c r="K3330" s="114"/>
      <c r="L3330" s="114"/>
      <c r="M3330" s="114"/>
      <c r="N3330" s="114"/>
      <c r="P3330" s="234"/>
      <c r="Q3330" s="240"/>
    </row>
    <row r="3331" spans="6:17" x14ac:dyDescent="0.25">
      <c r="F3331" s="134"/>
      <c r="H3331" s="114"/>
      <c r="I3331" s="114"/>
      <c r="J3331" s="114"/>
      <c r="K3331" s="114"/>
      <c r="L3331" s="114"/>
      <c r="M3331" s="114"/>
      <c r="N3331" s="114"/>
      <c r="P3331" s="234"/>
      <c r="Q3331" s="240"/>
    </row>
    <row r="3332" spans="6:17" x14ac:dyDescent="0.25">
      <c r="F3332" s="134"/>
      <c r="H3332" s="114"/>
      <c r="I3332" s="114"/>
      <c r="J3332" s="114"/>
      <c r="K3332" s="114"/>
      <c r="L3332" s="114"/>
      <c r="M3332" s="114"/>
      <c r="N3332" s="114"/>
      <c r="P3332" s="234"/>
      <c r="Q3332" s="240"/>
    </row>
    <row r="3333" spans="6:17" x14ac:dyDescent="0.25">
      <c r="F3333" s="134"/>
      <c r="H3333" s="114"/>
      <c r="I3333" s="114"/>
      <c r="J3333" s="114"/>
      <c r="K3333" s="114"/>
      <c r="L3333" s="114"/>
      <c r="M3333" s="114"/>
      <c r="N3333" s="114"/>
      <c r="P3333" s="234"/>
      <c r="Q3333" s="240"/>
    </row>
    <row r="3334" spans="6:17" x14ac:dyDescent="0.25">
      <c r="F3334" s="134"/>
      <c r="H3334" s="114"/>
      <c r="I3334" s="114"/>
      <c r="J3334" s="114"/>
      <c r="K3334" s="114"/>
      <c r="L3334" s="114"/>
      <c r="M3334" s="114"/>
      <c r="N3334" s="114"/>
      <c r="P3334" s="234"/>
      <c r="Q3334" s="240"/>
    </row>
    <row r="3335" spans="6:17" x14ac:dyDescent="0.25">
      <c r="F3335" s="134"/>
      <c r="H3335" s="114"/>
      <c r="I3335" s="114"/>
      <c r="J3335" s="114"/>
      <c r="K3335" s="114"/>
      <c r="L3335" s="114"/>
      <c r="M3335" s="114"/>
      <c r="N3335" s="114"/>
      <c r="P3335" s="234"/>
      <c r="Q3335" s="240"/>
    </row>
    <row r="3336" spans="6:17" x14ac:dyDescent="0.25">
      <c r="F3336" s="134"/>
      <c r="H3336" s="114"/>
      <c r="I3336" s="114"/>
      <c r="J3336" s="114"/>
      <c r="K3336" s="114"/>
      <c r="L3336" s="114"/>
      <c r="M3336" s="114"/>
      <c r="N3336" s="114"/>
      <c r="P3336" s="234"/>
      <c r="Q3336" s="240"/>
    </row>
    <row r="3337" spans="6:17" x14ac:dyDescent="0.25">
      <c r="F3337" s="134"/>
      <c r="H3337" s="114"/>
      <c r="I3337" s="114"/>
      <c r="J3337" s="114"/>
      <c r="K3337" s="114"/>
      <c r="L3337" s="114"/>
      <c r="M3337" s="114"/>
      <c r="N3337" s="114"/>
      <c r="P3337" s="234"/>
      <c r="Q3337" s="240"/>
    </row>
    <row r="3338" spans="6:17" x14ac:dyDescent="0.25">
      <c r="F3338" s="134"/>
      <c r="H3338" s="114"/>
      <c r="I3338" s="114"/>
      <c r="J3338" s="114"/>
      <c r="K3338" s="114"/>
      <c r="L3338" s="114"/>
      <c r="M3338" s="114"/>
      <c r="N3338" s="114"/>
      <c r="P3338" s="234"/>
      <c r="Q3338" s="240"/>
    </row>
    <row r="3339" spans="6:17" x14ac:dyDescent="0.25">
      <c r="F3339" s="134"/>
      <c r="H3339" s="114"/>
      <c r="I3339" s="114"/>
      <c r="J3339" s="114"/>
      <c r="K3339" s="114"/>
      <c r="L3339" s="114"/>
      <c r="M3339" s="114"/>
      <c r="N3339" s="114"/>
      <c r="P3339" s="234"/>
      <c r="Q3339" s="240"/>
    </row>
    <row r="3340" spans="6:17" x14ac:dyDescent="0.25">
      <c r="F3340" s="134"/>
      <c r="H3340" s="114"/>
      <c r="I3340" s="114"/>
      <c r="J3340" s="114"/>
      <c r="K3340" s="114"/>
      <c r="L3340" s="114"/>
      <c r="M3340" s="114"/>
      <c r="N3340" s="114"/>
      <c r="P3340" s="234"/>
      <c r="Q3340" s="240"/>
    </row>
    <row r="3341" spans="6:17" x14ac:dyDescent="0.25">
      <c r="F3341" s="134"/>
      <c r="H3341" s="114"/>
      <c r="I3341" s="114"/>
      <c r="J3341" s="114"/>
      <c r="K3341" s="114"/>
      <c r="L3341" s="114"/>
      <c r="M3341" s="114"/>
      <c r="N3341" s="114"/>
      <c r="P3341" s="234"/>
      <c r="Q3341" s="240"/>
    </row>
    <row r="3342" spans="6:17" x14ac:dyDescent="0.25">
      <c r="F3342" s="134"/>
      <c r="H3342" s="114"/>
      <c r="I3342" s="114"/>
      <c r="J3342" s="114"/>
      <c r="K3342" s="114"/>
      <c r="L3342" s="114"/>
      <c r="M3342" s="114"/>
      <c r="N3342" s="114"/>
      <c r="P3342" s="234"/>
      <c r="Q3342" s="240"/>
    </row>
    <row r="3343" spans="6:17" x14ac:dyDescent="0.25">
      <c r="F3343" s="134"/>
      <c r="H3343" s="114"/>
      <c r="I3343" s="114"/>
      <c r="J3343" s="114"/>
      <c r="K3343" s="114"/>
      <c r="L3343" s="114"/>
      <c r="M3343" s="114"/>
      <c r="N3343" s="114"/>
      <c r="P3343" s="234"/>
      <c r="Q3343" s="240"/>
    </row>
    <row r="3344" spans="6:17" x14ac:dyDescent="0.25">
      <c r="F3344" s="134"/>
      <c r="H3344" s="114"/>
      <c r="I3344" s="114"/>
      <c r="J3344" s="114"/>
      <c r="K3344" s="114"/>
      <c r="L3344" s="114"/>
      <c r="M3344" s="114"/>
      <c r="N3344" s="114"/>
      <c r="P3344" s="234"/>
      <c r="Q3344" s="240"/>
    </row>
    <row r="3345" spans="6:17" x14ac:dyDescent="0.25">
      <c r="F3345" s="134"/>
      <c r="H3345" s="114"/>
      <c r="I3345" s="114"/>
      <c r="J3345" s="114"/>
      <c r="K3345" s="114"/>
      <c r="L3345" s="114"/>
      <c r="M3345" s="114"/>
      <c r="N3345" s="114"/>
      <c r="P3345" s="234"/>
      <c r="Q3345" s="240"/>
    </row>
    <row r="3346" spans="6:17" x14ac:dyDescent="0.25">
      <c r="F3346" s="134"/>
      <c r="H3346" s="114"/>
      <c r="I3346" s="114"/>
      <c r="J3346" s="114"/>
      <c r="K3346" s="114"/>
      <c r="L3346" s="114"/>
      <c r="M3346" s="114"/>
      <c r="N3346" s="114"/>
      <c r="P3346" s="234"/>
      <c r="Q3346" s="240"/>
    </row>
    <row r="3347" spans="6:17" x14ac:dyDescent="0.25">
      <c r="F3347" s="134"/>
      <c r="H3347" s="114"/>
      <c r="I3347" s="114"/>
      <c r="J3347" s="114"/>
      <c r="K3347" s="114"/>
      <c r="L3347" s="114"/>
      <c r="M3347" s="114"/>
      <c r="N3347" s="114"/>
      <c r="P3347" s="234"/>
      <c r="Q3347" s="240"/>
    </row>
    <row r="3348" spans="6:17" x14ac:dyDescent="0.25">
      <c r="F3348" s="134"/>
      <c r="H3348" s="114"/>
      <c r="I3348" s="114"/>
      <c r="J3348" s="114"/>
      <c r="K3348" s="114"/>
      <c r="L3348" s="114"/>
      <c r="M3348" s="114"/>
      <c r="N3348" s="114"/>
      <c r="P3348" s="234"/>
      <c r="Q3348" s="240"/>
    </row>
    <row r="3349" spans="6:17" x14ac:dyDescent="0.25">
      <c r="F3349" s="134"/>
      <c r="H3349" s="114"/>
      <c r="I3349" s="114"/>
      <c r="J3349" s="114"/>
      <c r="K3349" s="114"/>
      <c r="L3349" s="114"/>
      <c r="M3349" s="114"/>
      <c r="N3349" s="114"/>
      <c r="P3349" s="234"/>
      <c r="Q3349" s="240"/>
    </row>
    <row r="3350" spans="6:17" x14ac:dyDescent="0.25">
      <c r="F3350" s="134"/>
      <c r="H3350" s="114"/>
      <c r="I3350" s="114"/>
      <c r="J3350" s="114"/>
      <c r="K3350" s="114"/>
      <c r="L3350" s="114"/>
      <c r="M3350" s="114"/>
      <c r="N3350" s="114"/>
      <c r="P3350" s="234"/>
      <c r="Q3350" s="240"/>
    </row>
    <row r="3351" spans="6:17" x14ac:dyDescent="0.25">
      <c r="F3351" s="134"/>
      <c r="H3351" s="114"/>
      <c r="I3351" s="114"/>
      <c r="J3351" s="114"/>
      <c r="K3351" s="114"/>
      <c r="L3351" s="114"/>
      <c r="M3351" s="114"/>
      <c r="N3351" s="114"/>
      <c r="P3351" s="234"/>
      <c r="Q3351" s="240"/>
    </row>
    <row r="3352" spans="6:17" x14ac:dyDescent="0.25">
      <c r="F3352" s="134"/>
      <c r="H3352" s="114"/>
      <c r="I3352" s="114"/>
      <c r="J3352" s="114"/>
      <c r="K3352" s="114"/>
      <c r="L3352" s="114"/>
      <c r="M3352" s="114"/>
      <c r="N3352" s="114"/>
      <c r="P3352" s="234"/>
      <c r="Q3352" s="240"/>
    </row>
    <row r="3353" spans="6:17" x14ac:dyDescent="0.25">
      <c r="F3353" s="134"/>
      <c r="H3353" s="114"/>
      <c r="I3353" s="114"/>
      <c r="J3353" s="114"/>
      <c r="K3353" s="114"/>
      <c r="L3353" s="114"/>
      <c r="M3353" s="114"/>
      <c r="N3353" s="114"/>
      <c r="P3353" s="234"/>
      <c r="Q3353" s="240"/>
    </row>
    <row r="3354" spans="6:17" x14ac:dyDescent="0.25">
      <c r="F3354" s="134"/>
      <c r="H3354" s="114"/>
      <c r="I3354" s="114"/>
      <c r="J3354" s="114"/>
      <c r="K3354" s="114"/>
      <c r="L3354" s="114"/>
      <c r="M3354" s="114"/>
      <c r="N3354" s="114"/>
      <c r="P3354" s="234"/>
      <c r="Q3354" s="240"/>
    </row>
    <row r="3355" spans="6:17" x14ac:dyDescent="0.25">
      <c r="F3355" s="134"/>
      <c r="H3355" s="114"/>
      <c r="I3355" s="114"/>
      <c r="J3355" s="114"/>
      <c r="K3355" s="114"/>
      <c r="L3355" s="114"/>
      <c r="M3355" s="114"/>
      <c r="N3355" s="114"/>
      <c r="P3355" s="234"/>
      <c r="Q3355" s="240"/>
    </row>
    <row r="3356" spans="6:17" x14ac:dyDescent="0.25">
      <c r="F3356" s="134"/>
      <c r="H3356" s="114"/>
      <c r="I3356" s="114"/>
      <c r="J3356" s="114"/>
      <c r="K3356" s="114"/>
      <c r="L3356" s="114"/>
      <c r="M3356" s="114"/>
      <c r="N3356" s="114"/>
      <c r="P3356" s="234"/>
      <c r="Q3356" s="240"/>
    </row>
    <row r="3357" spans="6:17" x14ac:dyDescent="0.25">
      <c r="F3357" s="134"/>
      <c r="H3357" s="114"/>
      <c r="I3357" s="114"/>
      <c r="J3357" s="114"/>
      <c r="K3357" s="114"/>
      <c r="L3357" s="114"/>
      <c r="M3357" s="114"/>
      <c r="N3357" s="114"/>
      <c r="P3357" s="234"/>
      <c r="Q3357" s="240"/>
    </row>
    <row r="3358" spans="6:17" x14ac:dyDescent="0.25">
      <c r="F3358" s="134"/>
      <c r="H3358" s="114"/>
      <c r="I3358" s="114"/>
      <c r="J3358" s="114"/>
      <c r="K3358" s="114"/>
      <c r="L3358" s="114"/>
      <c r="M3358" s="114"/>
      <c r="N3358" s="114"/>
      <c r="P3358" s="234"/>
      <c r="Q3358" s="240"/>
    </row>
    <row r="3359" spans="6:17" x14ac:dyDescent="0.25">
      <c r="F3359" s="134"/>
      <c r="H3359" s="114"/>
      <c r="I3359" s="114"/>
      <c r="J3359" s="114"/>
      <c r="K3359" s="114"/>
      <c r="L3359" s="114"/>
      <c r="M3359" s="114"/>
      <c r="N3359" s="114"/>
      <c r="P3359" s="234"/>
      <c r="Q3359" s="240"/>
    </row>
    <row r="3360" spans="6:17" x14ac:dyDescent="0.25">
      <c r="F3360" s="134"/>
      <c r="H3360" s="114"/>
      <c r="I3360" s="114"/>
      <c r="J3360" s="114"/>
      <c r="K3360" s="114"/>
      <c r="L3360" s="114"/>
      <c r="M3360" s="114"/>
      <c r="N3360" s="114"/>
      <c r="P3360" s="234"/>
      <c r="Q3360" s="240"/>
    </row>
    <row r="3361" spans="6:17" x14ac:dyDescent="0.25">
      <c r="F3361" s="134"/>
      <c r="H3361" s="114"/>
      <c r="I3361" s="114"/>
      <c r="J3361" s="114"/>
      <c r="K3361" s="114"/>
      <c r="L3361" s="114"/>
      <c r="M3361" s="114"/>
      <c r="N3361" s="114"/>
      <c r="P3361" s="234"/>
      <c r="Q3361" s="240"/>
    </row>
    <row r="3362" spans="6:17" x14ac:dyDescent="0.25">
      <c r="F3362" s="134"/>
      <c r="H3362" s="114"/>
      <c r="I3362" s="114"/>
      <c r="J3362" s="114"/>
      <c r="K3362" s="114"/>
      <c r="L3362" s="114"/>
      <c r="M3362" s="114"/>
      <c r="N3362" s="114"/>
      <c r="P3362" s="234"/>
      <c r="Q3362" s="240"/>
    </row>
    <row r="3363" spans="6:17" x14ac:dyDescent="0.25">
      <c r="F3363" s="134"/>
      <c r="H3363" s="114"/>
      <c r="I3363" s="114"/>
      <c r="J3363" s="114"/>
      <c r="K3363" s="114"/>
      <c r="L3363" s="114"/>
      <c r="M3363" s="114"/>
      <c r="N3363" s="114"/>
      <c r="P3363" s="234"/>
      <c r="Q3363" s="240"/>
    </row>
    <row r="3364" spans="6:17" x14ac:dyDescent="0.25">
      <c r="F3364" s="134"/>
      <c r="H3364" s="114"/>
      <c r="I3364" s="114"/>
      <c r="J3364" s="114"/>
      <c r="K3364" s="114"/>
      <c r="L3364" s="114"/>
      <c r="M3364" s="114"/>
      <c r="N3364" s="114"/>
      <c r="P3364" s="234"/>
      <c r="Q3364" s="240"/>
    </row>
    <row r="3365" spans="6:17" x14ac:dyDescent="0.25">
      <c r="F3365" s="134"/>
      <c r="H3365" s="114"/>
      <c r="I3365" s="114"/>
      <c r="J3365" s="114"/>
      <c r="K3365" s="114"/>
      <c r="L3365" s="114"/>
      <c r="M3365" s="114"/>
      <c r="N3365" s="114"/>
      <c r="P3365" s="234"/>
      <c r="Q3365" s="240"/>
    </row>
    <row r="3366" spans="6:17" x14ac:dyDescent="0.25">
      <c r="F3366" s="134"/>
      <c r="H3366" s="114"/>
      <c r="I3366" s="114"/>
      <c r="J3366" s="114"/>
      <c r="K3366" s="114"/>
      <c r="L3366" s="114"/>
      <c r="M3366" s="114"/>
      <c r="N3366" s="114"/>
      <c r="P3366" s="234"/>
      <c r="Q3366" s="240"/>
    </row>
    <row r="3367" spans="6:17" x14ac:dyDescent="0.25">
      <c r="F3367" s="134"/>
      <c r="H3367" s="114"/>
      <c r="I3367" s="114"/>
      <c r="J3367" s="114"/>
      <c r="K3367" s="114"/>
      <c r="L3367" s="114"/>
      <c r="M3367" s="114"/>
      <c r="N3367" s="114"/>
      <c r="P3367" s="234"/>
      <c r="Q3367" s="240"/>
    </row>
    <row r="3368" spans="6:17" x14ac:dyDescent="0.25">
      <c r="F3368" s="134"/>
      <c r="H3368" s="114"/>
      <c r="I3368" s="114"/>
      <c r="J3368" s="114"/>
      <c r="K3368" s="114"/>
      <c r="L3368" s="114"/>
      <c r="M3368" s="114"/>
      <c r="N3368" s="114"/>
      <c r="P3368" s="234"/>
      <c r="Q3368" s="240"/>
    </row>
    <row r="3369" spans="6:17" x14ac:dyDescent="0.25">
      <c r="F3369" s="134"/>
      <c r="H3369" s="114"/>
      <c r="I3369" s="114"/>
      <c r="J3369" s="114"/>
      <c r="K3369" s="114"/>
      <c r="L3369" s="114"/>
      <c r="M3369" s="114"/>
      <c r="N3369" s="114"/>
      <c r="P3369" s="234"/>
      <c r="Q3369" s="240"/>
    </row>
    <row r="3370" spans="6:17" x14ac:dyDescent="0.25">
      <c r="F3370" s="134"/>
      <c r="H3370" s="114"/>
      <c r="I3370" s="114"/>
      <c r="J3370" s="114"/>
      <c r="K3370" s="114"/>
      <c r="L3370" s="114"/>
      <c r="M3370" s="114"/>
      <c r="N3370" s="114"/>
      <c r="P3370" s="234"/>
      <c r="Q3370" s="240"/>
    </row>
    <row r="3371" spans="6:17" x14ac:dyDescent="0.25">
      <c r="F3371" s="134"/>
      <c r="H3371" s="114"/>
      <c r="I3371" s="114"/>
      <c r="J3371" s="114"/>
      <c r="K3371" s="114"/>
      <c r="L3371" s="114"/>
      <c r="M3371" s="114"/>
      <c r="N3371" s="114"/>
      <c r="P3371" s="234"/>
      <c r="Q3371" s="240"/>
    </row>
    <row r="3372" spans="6:17" x14ac:dyDescent="0.25">
      <c r="F3372" s="134"/>
      <c r="H3372" s="114"/>
      <c r="I3372" s="114"/>
      <c r="J3372" s="114"/>
      <c r="K3372" s="114"/>
      <c r="L3372" s="114"/>
      <c r="M3372" s="114"/>
      <c r="N3372" s="114"/>
      <c r="P3372" s="234"/>
      <c r="Q3372" s="240"/>
    </row>
    <row r="3373" spans="6:17" x14ac:dyDescent="0.25">
      <c r="F3373" s="134"/>
      <c r="H3373" s="114"/>
      <c r="I3373" s="114"/>
      <c r="J3373" s="114"/>
      <c r="K3373" s="114"/>
      <c r="L3373" s="114"/>
      <c r="M3373" s="114"/>
      <c r="N3373" s="114"/>
      <c r="P3373" s="234"/>
      <c r="Q3373" s="240"/>
    </row>
    <row r="3374" spans="6:17" x14ac:dyDescent="0.25">
      <c r="F3374" s="134"/>
      <c r="H3374" s="114"/>
      <c r="I3374" s="114"/>
      <c r="J3374" s="114"/>
      <c r="K3374" s="114"/>
      <c r="L3374" s="114"/>
      <c r="M3374" s="114"/>
      <c r="N3374" s="114"/>
      <c r="P3374" s="234"/>
      <c r="Q3374" s="240"/>
    </row>
    <row r="3375" spans="6:17" x14ac:dyDescent="0.25">
      <c r="F3375" s="134"/>
      <c r="H3375" s="114"/>
      <c r="I3375" s="114"/>
      <c r="J3375" s="114"/>
      <c r="K3375" s="114"/>
      <c r="L3375" s="114"/>
      <c r="M3375" s="114"/>
      <c r="N3375" s="114"/>
      <c r="P3375" s="234"/>
      <c r="Q3375" s="240"/>
    </row>
    <row r="3376" spans="6:17" x14ac:dyDescent="0.25">
      <c r="F3376" s="134"/>
      <c r="H3376" s="114"/>
      <c r="I3376" s="114"/>
      <c r="J3376" s="114"/>
      <c r="K3376" s="114"/>
      <c r="L3376" s="114"/>
      <c r="M3376" s="114"/>
      <c r="N3376" s="114"/>
      <c r="P3376" s="234"/>
      <c r="Q3376" s="240"/>
    </row>
    <row r="3377" spans="6:17" x14ac:dyDescent="0.25">
      <c r="F3377" s="134"/>
      <c r="H3377" s="114"/>
      <c r="I3377" s="114"/>
      <c r="J3377" s="114"/>
      <c r="K3377" s="114"/>
      <c r="L3377" s="114"/>
      <c r="M3377" s="114"/>
      <c r="N3377" s="114"/>
      <c r="P3377" s="234"/>
      <c r="Q3377" s="240"/>
    </row>
    <row r="3378" spans="6:17" x14ac:dyDescent="0.25">
      <c r="F3378" s="134"/>
      <c r="H3378" s="114"/>
      <c r="I3378" s="114"/>
      <c r="J3378" s="114"/>
      <c r="K3378" s="114"/>
      <c r="L3378" s="114"/>
      <c r="M3378" s="114"/>
      <c r="N3378" s="114"/>
      <c r="P3378" s="234"/>
      <c r="Q3378" s="240"/>
    </row>
    <row r="3379" spans="6:17" x14ac:dyDescent="0.25">
      <c r="F3379" s="134"/>
      <c r="H3379" s="114"/>
      <c r="I3379" s="114"/>
      <c r="J3379" s="114"/>
      <c r="K3379" s="114"/>
      <c r="L3379" s="114"/>
      <c r="M3379" s="114"/>
      <c r="N3379" s="114"/>
      <c r="P3379" s="234"/>
      <c r="Q3379" s="240"/>
    </row>
    <row r="3380" spans="6:17" x14ac:dyDescent="0.25">
      <c r="F3380" s="134"/>
      <c r="H3380" s="114"/>
      <c r="I3380" s="114"/>
      <c r="J3380" s="114"/>
      <c r="K3380" s="114"/>
      <c r="L3380" s="114"/>
      <c r="M3380" s="114"/>
      <c r="N3380" s="114"/>
      <c r="P3380" s="234"/>
      <c r="Q3380" s="240"/>
    </row>
    <row r="3381" spans="6:17" x14ac:dyDescent="0.25">
      <c r="F3381" s="134"/>
      <c r="H3381" s="114"/>
      <c r="I3381" s="114"/>
      <c r="J3381" s="114"/>
      <c r="K3381" s="114"/>
      <c r="L3381" s="114"/>
      <c r="M3381" s="114"/>
      <c r="N3381" s="114"/>
      <c r="P3381" s="234"/>
      <c r="Q3381" s="240"/>
    </row>
    <row r="3382" spans="6:17" x14ac:dyDescent="0.25">
      <c r="F3382" s="134"/>
      <c r="H3382" s="114"/>
      <c r="I3382" s="114"/>
      <c r="J3382" s="114"/>
      <c r="K3382" s="114"/>
      <c r="L3382" s="114"/>
      <c r="M3382" s="114"/>
      <c r="N3382" s="114"/>
      <c r="P3382" s="234"/>
      <c r="Q3382" s="240"/>
    </row>
    <row r="3383" spans="6:17" x14ac:dyDescent="0.25">
      <c r="F3383" s="134"/>
      <c r="H3383" s="114"/>
      <c r="I3383" s="114"/>
      <c r="J3383" s="114"/>
      <c r="K3383" s="114"/>
      <c r="L3383" s="114"/>
      <c r="M3383" s="114"/>
      <c r="N3383" s="114"/>
      <c r="P3383" s="234"/>
      <c r="Q3383" s="240"/>
    </row>
    <row r="3384" spans="6:17" x14ac:dyDescent="0.25">
      <c r="F3384" s="134"/>
      <c r="H3384" s="114"/>
      <c r="I3384" s="114"/>
      <c r="J3384" s="114"/>
      <c r="K3384" s="114"/>
      <c r="L3384" s="114"/>
      <c r="M3384" s="114"/>
      <c r="N3384" s="114"/>
      <c r="P3384" s="234"/>
      <c r="Q3384" s="240"/>
    </row>
    <row r="3385" spans="6:17" x14ac:dyDescent="0.25">
      <c r="F3385" s="134"/>
      <c r="H3385" s="114"/>
      <c r="I3385" s="114"/>
      <c r="J3385" s="114"/>
      <c r="K3385" s="114"/>
      <c r="L3385" s="114"/>
      <c r="M3385" s="114"/>
      <c r="N3385" s="114"/>
      <c r="P3385" s="234"/>
      <c r="Q3385" s="240"/>
    </row>
    <row r="3386" spans="6:17" x14ac:dyDescent="0.25">
      <c r="F3386" s="134"/>
      <c r="H3386" s="114"/>
      <c r="I3386" s="114"/>
      <c r="J3386" s="114"/>
      <c r="K3386" s="114"/>
      <c r="L3386" s="114"/>
      <c r="M3386" s="114"/>
      <c r="N3386" s="114"/>
      <c r="P3386" s="234"/>
      <c r="Q3386" s="240"/>
    </row>
    <row r="3387" spans="6:17" x14ac:dyDescent="0.25">
      <c r="F3387" s="134"/>
      <c r="H3387" s="114"/>
      <c r="I3387" s="114"/>
      <c r="J3387" s="114"/>
      <c r="K3387" s="114"/>
      <c r="L3387" s="114"/>
      <c r="M3387" s="114"/>
      <c r="N3387" s="114"/>
      <c r="P3387" s="234"/>
      <c r="Q3387" s="240"/>
    </row>
    <row r="3388" spans="6:17" x14ac:dyDescent="0.25">
      <c r="F3388" s="134"/>
      <c r="H3388" s="114"/>
      <c r="I3388" s="114"/>
      <c r="J3388" s="114"/>
      <c r="K3388" s="114"/>
      <c r="L3388" s="114"/>
      <c r="M3388" s="114"/>
      <c r="N3388" s="114"/>
      <c r="P3388" s="234"/>
      <c r="Q3388" s="240"/>
    </row>
    <row r="3389" spans="6:17" x14ac:dyDescent="0.25">
      <c r="F3389" s="134"/>
      <c r="H3389" s="114"/>
      <c r="I3389" s="114"/>
      <c r="J3389" s="114"/>
      <c r="K3389" s="114"/>
      <c r="L3389" s="114"/>
      <c r="M3389" s="114"/>
      <c r="N3389" s="114"/>
      <c r="P3389" s="234"/>
      <c r="Q3389" s="240"/>
    </row>
    <row r="3390" spans="6:17" x14ac:dyDescent="0.25">
      <c r="F3390" s="134"/>
      <c r="H3390" s="114"/>
      <c r="I3390" s="114"/>
      <c r="J3390" s="114"/>
      <c r="K3390" s="114"/>
      <c r="L3390" s="114"/>
      <c r="M3390" s="114"/>
      <c r="N3390" s="114"/>
      <c r="P3390" s="234"/>
      <c r="Q3390" s="240"/>
    </row>
    <row r="3391" spans="6:17" x14ac:dyDescent="0.25">
      <c r="F3391" s="134"/>
      <c r="H3391" s="114"/>
      <c r="I3391" s="114"/>
      <c r="J3391" s="114"/>
      <c r="K3391" s="114"/>
      <c r="L3391" s="114"/>
      <c r="M3391" s="114"/>
      <c r="N3391" s="114"/>
      <c r="P3391" s="234"/>
      <c r="Q3391" s="240"/>
    </row>
    <row r="3392" spans="6:17" x14ac:dyDescent="0.25">
      <c r="F3392" s="134"/>
      <c r="H3392" s="114"/>
      <c r="I3392" s="114"/>
      <c r="J3392" s="114"/>
      <c r="K3392" s="114"/>
      <c r="L3392" s="114"/>
      <c r="M3392" s="114"/>
      <c r="N3392" s="114"/>
      <c r="P3392" s="234"/>
      <c r="Q3392" s="240"/>
    </row>
    <row r="3393" spans="6:17" x14ac:dyDescent="0.25">
      <c r="F3393" s="134"/>
      <c r="H3393" s="114"/>
      <c r="I3393" s="114"/>
      <c r="J3393" s="114"/>
      <c r="K3393" s="114"/>
      <c r="L3393" s="114"/>
      <c r="M3393" s="114"/>
      <c r="N3393" s="114"/>
      <c r="P3393" s="234"/>
      <c r="Q3393" s="240"/>
    </row>
    <row r="3394" spans="6:17" x14ac:dyDescent="0.25">
      <c r="F3394" s="134"/>
      <c r="H3394" s="114"/>
      <c r="I3394" s="114"/>
      <c r="J3394" s="114"/>
      <c r="K3394" s="114"/>
      <c r="L3394" s="114"/>
      <c r="M3394" s="114"/>
      <c r="N3394" s="114"/>
      <c r="P3394" s="234"/>
      <c r="Q3394" s="240"/>
    </row>
    <row r="3395" spans="6:17" x14ac:dyDescent="0.25">
      <c r="F3395" s="134"/>
      <c r="H3395" s="114"/>
      <c r="I3395" s="114"/>
      <c r="J3395" s="114"/>
      <c r="K3395" s="114"/>
      <c r="L3395" s="114"/>
      <c r="M3395" s="114"/>
      <c r="N3395" s="114"/>
      <c r="P3395" s="234"/>
      <c r="Q3395" s="240"/>
    </row>
    <row r="3396" spans="6:17" x14ac:dyDescent="0.25">
      <c r="F3396" s="134"/>
      <c r="H3396" s="114"/>
      <c r="I3396" s="114"/>
      <c r="J3396" s="114"/>
      <c r="K3396" s="114"/>
      <c r="L3396" s="114"/>
      <c r="M3396" s="114"/>
      <c r="N3396" s="114"/>
      <c r="P3396" s="234"/>
      <c r="Q3396" s="240"/>
    </row>
    <row r="3397" spans="6:17" x14ac:dyDescent="0.25">
      <c r="F3397" s="134"/>
      <c r="H3397" s="114"/>
      <c r="I3397" s="114"/>
      <c r="J3397" s="114"/>
      <c r="K3397" s="114"/>
      <c r="L3397" s="114"/>
      <c r="M3397" s="114"/>
      <c r="N3397" s="114"/>
      <c r="P3397" s="234"/>
      <c r="Q3397" s="240"/>
    </row>
    <row r="3398" spans="6:17" x14ac:dyDescent="0.25">
      <c r="F3398" s="134"/>
      <c r="H3398" s="114"/>
      <c r="I3398" s="114"/>
      <c r="J3398" s="114"/>
      <c r="K3398" s="114"/>
      <c r="L3398" s="114"/>
      <c r="M3398" s="114"/>
      <c r="N3398" s="114"/>
      <c r="P3398" s="234"/>
      <c r="Q3398" s="240"/>
    </row>
    <row r="3399" spans="6:17" x14ac:dyDescent="0.25">
      <c r="F3399" s="134"/>
      <c r="H3399" s="114"/>
      <c r="I3399" s="114"/>
      <c r="J3399" s="114"/>
      <c r="K3399" s="114"/>
      <c r="L3399" s="114"/>
      <c r="M3399" s="114"/>
      <c r="N3399" s="114"/>
      <c r="P3399" s="234"/>
      <c r="Q3399" s="240"/>
    </row>
    <row r="3400" spans="6:17" x14ac:dyDescent="0.25">
      <c r="F3400" s="134"/>
      <c r="H3400" s="114"/>
      <c r="I3400" s="114"/>
      <c r="J3400" s="114"/>
      <c r="K3400" s="114"/>
      <c r="L3400" s="114"/>
      <c r="M3400" s="114"/>
      <c r="N3400" s="114"/>
      <c r="P3400" s="234"/>
      <c r="Q3400" s="240"/>
    </row>
    <row r="3401" spans="6:17" x14ac:dyDescent="0.25">
      <c r="F3401" s="134"/>
      <c r="H3401" s="114"/>
      <c r="I3401" s="114"/>
      <c r="J3401" s="114"/>
      <c r="K3401" s="114"/>
      <c r="L3401" s="114"/>
      <c r="M3401" s="114"/>
      <c r="N3401" s="114"/>
      <c r="P3401" s="234"/>
      <c r="Q3401" s="240"/>
    </row>
    <row r="3402" spans="6:17" x14ac:dyDescent="0.25">
      <c r="F3402" s="134"/>
      <c r="H3402" s="114"/>
      <c r="I3402" s="114"/>
      <c r="J3402" s="114"/>
      <c r="K3402" s="114"/>
      <c r="L3402" s="114"/>
      <c r="M3402" s="114"/>
      <c r="N3402" s="114"/>
      <c r="P3402" s="234"/>
      <c r="Q3402" s="240"/>
    </row>
    <row r="3403" spans="6:17" x14ac:dyDescent="0.25">
      <c r="F3403" s="134"/>
      <c r="H3403" s="114"/>
      <c r="I3403" s="114"/>
      <c r="J3403" s="114"/>
      <c r="K3403" s="114"/>
      <c r="L3403" s="114"/>
      <c r="M3403" s="114"/>
      <c r="N3403" s="114"/>
      <c r="P3403" s="234"/>
      <c r="Q3403" s="240"/>
    </row>
    <row r="3404" spans="6:17" x14ac:dyDescent="0.25">
      <c r="F3404" s="134"/>
      <c r="H3404" s="114"/>
      <c r="I3404" s="114"/>
      <c r="J3404" s="114"/>
      <c r="K3404" s="114"/>
      <c r="L3404" s="114"/>
      <c r="M3404" s="114"/>
      <c r="N3404" s="114"/>
      <c r="P3404" s="234"/>
      <c r="Q3404" s="240"/>
    </row>
    <row r="3405" spans="6:17" x14ac:dyDescent="0.25">
      <c r="F3405" s="134"/>
      <c r="H3405" s="114"/>
      <c r="I3405" s="114"/>
      <c r="J3405" s="114"/>
      <c r="K3405" s="114"/>
      <c r="L3405" s="114"/>
      <c r="M3405" s="114"/>
      <c r="N3405" s="114"/>
      <c r="P3405" s="234"/>
      <c r="Q3405" s="240"/>
    </row>
    <row r="3406" spans="6:17" x14ac:dyDescent="0.25">
      <c r="F3406" s="134"/>
      <c r="H3406" s="114"/>
      <c r="I3406" s="114"/>
      <c r="J3406" s="114"/>
      <c r="K3406" s="114"/>
      <c r="L3406" s="114"/>
      <c r="M3406" s="114"/>
      <c r="N3406" s="114"/>
      <c r="P3406" s="234"/>
      <c r="Q3406" s="240"/>
    </row>
    <row r="3407" spans="6:17" x14ac:dyDescent="0.25">
      <c r="F3407" s="134"/>
      <c r="H3407" s="114"/>
      <c r="I3407" s="114"/>
      <c r="J3407" s="114"/>
      <c r="K3407" s="114"/>
      <c r="L3407" s="114"/>
      <c r="M3407" s="114"/>
      <c r="N3407" s="114"/>
      <c r="P3407" s="234"/>
      <c r="Q3407" s="240"/>
    </row>
    <row r="3408" spans="6:17" x14ac:dyDescent="0.25">
      <c r="F3408" s="134"/>
      <c r="H3408" s="114"/>
      <c r="I3408" s="114"/>
      <c r="J3408" s="114"/>
      <c r="K3408" s="114"/>
      <c r="L3408" s="114"/>
      <c r="M3408" s="114"/>
      <c r="N3408" s="114"/>
      <c r="P3408" s="234"/>
      <c r="Q3408" s="240"/>
    </row>
  </sheetData>
  <sheetProtection algorithmName="SHA-512" hashValue="hv9/9ARWHPMebs+lOW1dSGx8RNZ8pJ26Ss+84CYg9WlmaACbXQmvjrZViNuVzlxuqvmOnShGHBLwvHPEP95Wsg==" saltValue="hpxU/FQimY5YFNgKuriA7A==" spinCount="100000" sheet="1" objects="1" scenarios="1" formatCells="0" formatColumns="0" formatRows="0" insertHyperlinks="0" sort="0" autoFilter="0" pivotTables="0"/>
  <customSheetViews>
    <customSheetView guid="{5A4C63A9-4655-4A1A-8127-D12210283D62}" showGridLines="0" zeroValues="0">
      <colBreaks count="1" manualBreakCount="1">
        <brk id="15" max="24" man="1"/>
      </colBreaks>
      <pageMargins left="0.5" right="0.5" top="0.75" bottom="1" header="0.5" footer="0.5"/>
      <printOptions horizontalCentered="1"/>
      <pageSetup scale="57" fitToWidth="2" fitToHeight="0" pageOrder="overThenDown" orientation="landscape" horizontalDpi="300" verticalDpi="300" r:id="rId1"/>
      <headerFooter alignWithMargins="0">
        <oddFooter>&amp;C&amp;"Arial,Bold"&amp;12Proposed Government Pricing
&amp;R&amp;P of &amp;N</oddFooter>
      </headerFooter>
    </customSheetView>
  </customSheetViews>
  <phoneticPr fontId="1" type="noConversion"/>
  <dataValidations count="4">
    <dataValidation type="list" showInputMessage="1" showErrorMessage="1" sqref="K3 K65539 K131075 K196611 K262147 K327683 K393219 K458755 K524291 K589827 K655363 K720899 K786435 K851971 K917507 K983043" xr:uid="{00000000-0002-0000-0000-000000000000}">
      <formula1>$AQ$6:$AQ$24</formula1>
    </dataValidation>
    <dataValidation type="list" allowBlank="1" showInputMessage="1" showErrorMessage="1" sqref="M3:M1002 M65539:M66538 M131075:M132074 M196611:M197610 M262147:M263146 M327683:M328682 M393219:M394218 M458755:M459754 M524291:M525290 M589827:M590826 M655363:M656362 M720899:M721898 M786435:M787434 M851971:M852970 M917507:M918506 M983043:M984042" xr:uid="{00000000-0002-0000-0000-000001000000}">
      <formula1>$AR$6:$AR$12</formula1>
    </dataValidation>
    <dataValidation type="list" allowBlank="1" showInputMessage="1" showErrorMessage="1" sqref="I3:I1002 I65539:I66538 I131075:I132074 I196611:I197610 I262147:I263146 I327683:I328682 I393219:I394218 I458755:I459754 I524291:I525290 I589827:I590826 I655363:I656362 I720899:I721898 I786435:I787434 I851971:I852970 I917507:I918506 I983043:I984042 K4:K1002 K65540:K66538 K131076:K132074 K196612:K197610 K262148:K263146 K327684:K328682 K393220:K394218 K458756:K459754 K524292:K525290 K589828:K590826 K655364:K656362 K720900:K721898 K786436:K787434 K851972:K852970 K917508:K918506 K983044:K984042" xr:uid="{00000000-0002-0000-0000-000002000000}">
      <formula1>$AQ$6:$AQ$24</formula1>
    </dataValidation>
    <dataValidation type="list" allowBlank="1" showInputMessage="1" showErrorMessage="1" sqref="A3:A1002" xr:uid="{175CB6B8-3CC0-453A-8732-1166F19F27BF}">
      <formula1>$AP$7:$AP$13</formula1>
    </dataValidation>
  </dataValidations>
  <printOptions horizontalCentered="1"/>
  <pageMargins left="0.25" right="0.25" top="0.75" bottom="0.75" header="0.5" footer="0.5"/>
  <pageSetup scale="58" fitToHeight="0" pageOrder="overThenDown" orientation="landscape" r:id="rId2"/>
  <headerFooter alignWithMargins="0">
    <oddFooter>&amp;L&amp;"Calibri,Regular"&amp;11Version:  Oct 2019&amp;C&amp;"Calibri,Regular"&amp;11 65 I B - Price Proposal&amp;R&amp;"Calibri,Regular"&amp;11&amp;P of &amp;N</oddFooter>
  </headerFooter>
  <colBreaks count="1" manualBreakCount="1">
    <brk id="17" max="299" man="1"/>
  </colBreak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55"/>
  <sheetViews>
    <sheetView workbookViewId="0"/>
  </sheetViews>
  <sheetFormatPr defaultColWidth="9.140625" defaultRowHeight="15" x14ac:dyDescent="0.25"/>
  <cols>
    <col min="1" max="1" width="20.42578125" style="212" customWidth="1"/>
    <col min="2" max="2" width="28.7109375" style="213" customWidth="1"/>
    <col min="3" max="3" width="10.140625" style="212" customWidth="1"/>
    <col min="4" max="4" width="14.7109375" style="212" customWidth="1"/>
    <col min="5" max="5" width="15.7109375" style="212" customWidth="1"/>
    <col min="6" max="6" width="10" style="212" customWidth="1"/>
    <col min="7" max="254" width="9.140625" style="209"/>
    <col min="255" max="255" width="20.42578125" style="209" customWidth="1"/>
    <col min="256" max="256" width="21.140625" style="209" customWidth="1"/>
    <col min="257" max="257" width="10.140625" style="209" customWidth="1"/>
    <col min="258" max="258" width="9.140625" style="209"/>
    <col min="259" max="259" width="10.140625" style="209" customWidth="1"/>
    <col min="260" max="260" width="9.140625" style="209"/>
    <col min="261" max="261" width="9.42578125" style="209" customWidth="1"/>
    <col min="262" max="262" width="10" style="209" customWidth="1"/>
    <col min="263" max="510" width="9.140625" style="209"/>
    <col min="511" max="511" width="20.42578125" style="209" customWidth="1"/>
    <col min="512" max="512" width="21.140625" style="209" customWidth="1"/>
    <col min="513" max="513" width="10.140625" style="209" customWidth="1"/>
    <col min="514" max="514" width="9.140625" style="209"/>
    <col min="515" max="515" width="10.140625" style="209" customWidth="1"/>
    <col min="516" max="516" width="9.140625" style="209"/>
    <col min="517" max="517" width="9.42578125" style="209" customWidth="1"/>
    <col min="518" max="518" width="10" style="209" customWidth="1"/>
    <col min="519" max="766" width="9.140625" style="209"/>
    <col min="767" max="767" width="20.42578125" style="209" customWidth="1"/>
    <col min="768" max="768" width="21.140625" style="209" customWidth="1"/>
    <col min="769" max="769" width="10.140625" style="209" customWidth="1"/>
    <col min="770" max="770" width="9.140625" style="209"/>
    <col min="771" max="771" width="10.140625" style="209" customWidth="1"/>
    <col min="772" max="772" width="9.140625" style="209"/>
    <col min="773" max="773" width="9.42578125" style="209" customWidth="1"/>
    <col min="774" max="774" width="10" style="209" customWidth="1"/>
    <col min="775" max="1022" width="9.140625" style="209"/>
    <col min="1023" max="1023" width="20.42578125" style="209" customWidth="1"/>
    <col min="1024" max="1024" width="21.140625" style="209" customWidth="1"/>
    <col min="1025" max="1025" width="10.140625" style="209" customWidth="1"/>
    <col min="1026" max="1026" width="9.140625" style="209"/>
    <col min="1027" max="1027" width="10.140625" style="209" customWidth="1"/>
    <col min="1028" max="1028" width="9.140625" style="209"/>
    <col min="1029" max="1029" width="9.42578125" style="209" customWidth="1"/>
    <col min="1030" max="1030" width="10" style="209" customWidth="1"/>
    <col min="1031" max="1278" width="9.140625" style="209"/>
    <col min="1279" max="1279" width="20.42578125" style="209" customWidth="1"/>
    <col min="1280" max="1280" width="21.140625" style="209" customWidth="1"/>
    <col min="1281" max="1281" width="10.140625" style="209" customWidth="1"/>
    <col min="1282" max="1282" width="9.140625" style="209"/>
    <col min="1283" max="1283" width="10.140625" style="209" customWidth="1"/>
    <col min="1284" max="1284" width="9.140625" style="209"/>
    <col min="1285" max="1285" width="9.42578125" style="209" customWidth="1"/>
    <col min="1286" max="1286" width="10" style="209" customWidth="1"/>
    <col min="1287" max="1534" width="9.140625" style="209"/>
    <col min="1535" max="1535" width="20.42578125" style="209" customWidth="1"/>
    <col min="1536" max="1536" width="21.140625" style="209" customWidth="1"/>
    <col min="1537" max="1537" width="10.140625" style="209" customWidth="1"/>
    <col min="1538" max="1538" width="9.140625" style="209"/>
    <col min="1539" max="1539" width="10.140625" style="209" customWidth="1"/>
    <col min="1540" max="1540" width="9.140625" style="209"/>
    <col min="1541" max="1541" width="9.42578125" style="209" customWidth="1"/>
    <col min="1542" max="1542" width="10" style="209" customWidth="1"/>
    <col min="1543" max="1790" width="9.140625" style="209"/>
    <col min="1791" max="1791" width="20.42578125" style="209" customWidth="1"/>
    <col min="1792" max="1792" width="21.140625" style="209" customWidth="1"/>
    <col min="1793" max="1793" width="10.140625" style="209" customWidth="1"/>
    <col min="1794" max="1794" width="9.140625" style="209"/>
    <col min="1795" max="1795" width="10.140625" style="209" customWidth="1"/>
    <col min="1796" max="1796" width="9.140625" style="209"/>
    <col min="1797" max="1797" width="9.42578125" style="209" customWidth="1"/>
    <col min="1798" max="1798" width="10" style="209" customWidth="1"/>
    <col min="1799" max="2046" width="9.140625" style="209"/>
    <col min="2047" max="2047" width="20.42578125" style="209" customWidth="1"/>
    <col min="2048" max="2048" width="21.140625" style="209" customWidth="1"/>
    <col min="2049" max="2049" width="10.140625" style="209" customWidth="1"/>
    <col min="2050" max="2050" width="9.140625" style="209"/>
    <col min="2051" max="2051" width="10.140625" style="209" customWidth="1"/>
    <col min="2052" max="2052" width="9.140625" style="209"/>
    <col min="2053" max="2053" width="9.42578125" style="209" customWidth="1"/>
    <col min="2054" max="2054" width="10" style="209" customWidth="1"/>
    <col min="2055" max="2302" width="9.140625" style="209"/>
    <col min="2303" max="2303" width="20.42578125" style="209" customWidth="1"/>
    <col min="2304" max="2304" width="21.140625" style="209" customWidth="1"/>
    <col min="2305" max="2305" width="10.140625" style="209" customWidth="1"/>
    <col min="2306" max="2306" width="9.140625" style="209"/>
    <col min="2307" max="2307" width="10.140625" style="209" customWidth="1"/>
    <col min="2308" max="2308" width="9.140625" style="209"/>
    <col min="2309" max="2309" width="9.42578125" style="209" customWidth="1"/>
    <col min="2310" max="2310" width="10" style="209" customWidth="1"/>
    <col min="2311" max="2558" width="9.140625" style="209"/>
    <col min="2559" max="2559" width="20.42578125" style="209" customWidth="1"/>
    <col min="2560" max="2560" width="21.140625" style="209" customWidth="1"/>
    <col min="2561" max="2561" width="10.140625" style="209" customWidth="1"/>
    <col min="2562" max="2562" width="9.140625" style="209"/>
    <col min="2563" max="2563" width="10.140625" style="209" customWidth="1"/>
    <col min="2564" max="2564" width="9.140625" style="209"/>
    <col min="2565" max="2565" width="9.42578125" style="209" customWidth="1"/>
    <col min="2566" max="2566" width="10" style="209" customWidth="1"/>
    <col min="2567" max="2814" width="9.140625" style="209"/>
    <col min="2815" max="2815" width="20.42578125" style="209" customWidth="1"/>
    <col min="2816" max="2816" width="21.140625" style="209" customWidth="1"/>
    <col min="2817" max="2817" width="10.140625" style="209" customWidth="1"/>
    <col min="2818" max="2818" width="9.140625" style="209"/>
    <col min="2819" max="2819" width="10.140625" style="209" customWidth="1"/>
    <col min="2820" max="2820" width="9.140625" style="209"/>
    <col min="2821" max="2821" width="9.42578125" style="209" customWidth="1"/>
    <col min="2822" max="2822" width="10" style="209" customWidth="1"/>
    <col min="2823" max="3070" width="9.140625" style="209"/>
    <col min="3071" max="3071" width="20.42578125" style="209" customWidth="1"/>
    <col min="3072" max="3072" width="21.140625" style="209" customWidth="1"/>
    <col min="3073" max="3073" width="10.140625" style="209" customWidth="1"/>
    <col min="3074" max="3074" width="9.140625" style="209"/>
    <col min="3075" max="3075" width="10.140625" style="209" customWidth="1"/>
    <col min="3076" max="3076" width="9.140625" style="209"/>
    <col min="3077" max="3077" width="9.42578125" style="209" customWidth="1"/>
    <col min="3078" max="3078" width="10" style="209" customWidth="1"/>
    <col min="3079" max="3326" width="9.140625" style="209"/>
    <col min="3327" max="3327" width="20.42578125" style="209" customWidth="1"/>
    <col min="3328" max="3328" width="21.140625" style="209" customWidth="1"/>
    <col min="3329" max="3329" width="10.140625" style="209" customWidth="1"/>
    <col min="3330" max="3330" width="9.140625" style="209"/>
    <col min="3331" max="3331" width="10.140625" style="209" customWidth="1"/>
    <col min="3332" max="3332" width="9.140625" style="209"/>
    <col min="3333" max="3333" width="9.42578125" style="209" customWidth="1"/>
    <col min="3334" max="3334" width="10" style="209" customWidth="1"/>
    <col min="3335" max="3582" width="9.140625" style="209"/>
    <col min="3583" max="3583" width="20.42578125" style="209" customWidth="1"/>
    <col min="3584" max="3584" width="21.140625" style="209" customWidth="1"/>
    <col min="3585" max="3585" width="10.140625" style="209" customWidth="1"/>
    <col min="3586" max="3586" width="9.140625" style="209"/>
    <col min="3587" max="3587" width="10.140625" style="209" customWidth="1"/>
    <col min="3588" max="3588" width="9.140625" style="209"/>
    <col min="3589" max="3589" width="9.42578125" style="209" customWidth="1"/>
    <col min="3590" max="3590" width="10" style="209" customWidth="1"/>
    <col min="3591" max="3838" width="9.140625" style="209"/>
    <col min="3839" max="3839" width="20.42578125" style="209" customWidth="1"/>
    <col min="3840" max="3840" width="21.140625" style="209" customWidth="1"/>
    <col min="3841" max="3841" width="10.140625" style="209" customWidth="1"/>
    <col min="3842" max="3842" width="9.140625" style="209"/>
    <col min="3843" max="3843" width="10.140625" style="209" customWidth="1"/>
    <col min="3844" max="3844" width="9.140625" style="209"/>
    <col min="3845" max="3845" width="9.42578125" style="209" customWidth="1"/>
    <col min="3846" max="3846" width="10" style="209" customWidth="1"/>
    <col min="3847" max="4094" width="9.140625" style="209"/>
    <col min="4095" max="4095" width="20.42578125" style="209" customWidth="1"/>
    <col min="4096" max="4096" width="21.140625" style="209" customWidth="1"/>
    <col min="4097" max="4097" width="10.140625" style="209" customWidth="1"/>
    <col min="4098" max="4098" width="9.140625" style="209"/>
    <col min="4099" max="4099" width="10.140625" style="209" customWidth="1"/>
    <col min="4100" max="4100" width="9.140625" style="209"/>
    <col min="4101" max="4101" width="9.42578125" style="209" customWidth="1"/>
    <col min="4102" max="4102" width="10" style="209" customWidth="1"/>
    <col min="4103" max="4350" width="9.140625" style="209"/>
    <col min="4351" max="4351" width="20.42578125" style="209" customWidth="1"/>
    <col min="4352" max="4352" width="21.140625" style="209" customWidth="1"/>
    <col min="4353" max="4353" width="10.140625" style="209" customWidth="1"/>
    <col min="4354" max="4354" width="9.140625" style="209"/>
    <col min="4355" max="4355" width="10.140625" style="209" customWidth="1"/>
    <col min="4356" max="4356" width="9.140625" style="209"/>
    <col min="4357" max="4357" width="9.42578125" style="209" customWidth="1"/>
    <col min="4358" max="4358" width="10" style="209" customWidth="1"/>
    <col min="4359" max="4606" width="9.140625" style="209"/>
    <col min="4607" max="4607" width="20.42578125" style="209" customWidth="1"/>
    <col min="4608" max="4608" width="21.140625" style="209" customWidth="1"/>
    <col min="4609" max="4609" width="10.140625" style="209" customWidth="1"/>
    <col min="4610" max="4610" width="9.140625" style="209"/>
    <col min="4611" max="4611" width="10.140625" style="209" customWidth="1"/>
    <col min="4612" max="4612" width="9.140625" style="209"/>
    <col min="4613" max="4613" width="9.42578125" style="209" customWidth="1"/>
    <col min="4614" max="4614" width="10" style="209" customWidth="1"/>
    <col min="4615" max="4862" width="9.140625" style="209"/>
    <col min="4863" max="4863" width="20.42578125" style="209" customWidth="1"/>
    <col min="4864" max="4864" width="21.140625" style="209" customWidth="1"/>
    <col min="4865" max="4865" width="10.140625" style="209" customWidth="1"/>
    <col min="4866" max="4866" width="9.140625" style="209"/>
    <col min="4867" max="4867" width="10.140625" style="209" customWidth="1"/>
    <col min="4868" max="4868" width="9.140625" style="209"/>
    <col min="4869" max="4869" width="9.42578125" style="209" customWidth="1"/>
    <col min="4870" max="4870" width="10" style="209" customWidth="1"/>
    <col min="4871" max="5118" width="9.140625" style="209"/>
    <col min="5119" max="5119" width="20.42578125" style="209" customWidth="1"/>
    <col min="5120" max="5120" width="21.140625" style="209" customWidth="1"/>
    <col min="5121" max="5121" width="10.140625" style="209" customWidth="1"/>
    <col min="5122" max="5122" width="9.140625" style="209"/>
    <col min="5123" max="5123" width="10.140625" style="209" customWidth="1"/>
    <col min="5124" max="5124" width="9.140625" style="209"/>
    <col min="5125" max="5125" width="9.42578125" style="209" customWidth="1"/>
    <col min="5126" max="5126" width="10" style="209" customWidth="1"/>
    <col min="5127" max="5374" width="9.140625" style="209"/>
    <col min="5375" max="5375" width="20.42578125" style="209" customWidth="1"/>
    <col min="5376" max="5376" width="21.140625" style="209" customWidth="1"/>
    <col min="5377" max="5377" width="10.140625" style="209" customWidth="1"/>
    <col min="5378" max="5378" width="9.140625" style="209"/>
    <col min="5379" max="5379" width="10.140625" style="209" customWidth="1"/>
    <col min="5380" max="5380" width="9.140625" style="209"/>
    <col min="5381" max="5381" width="9.42578125" style="209" customWidth="1"/>
    <col min="5382" max="5382" width="10" style="209" customWidth="1"/>
    <col min="5383" max="5630" width="9.140625" style="209"/>
    <col min="5631" max="5631" width="20.42578125" style="209" customWidth="1"/>
    <col min="5632" max="5632" width="21.140625" style="209" customWidth="1"/>
    <col min="5633" max="5633" width="10.140625" style="209" customWidth="1"/>
    <col min="5634" max="5634" width="9.140625" style="209"/>
    <col min="5635" max="5635" width="10.140625" style="209" customWidth="1"/>
    <col min="5636" max="5636" width="9.140625" style="209"/>
    <col min="5637" max="5637" width="9.42578125" style="209" customWidth="1"/>
    <col min="5638" max="5638" width="10" style="209" customWidth="1"/>
    <col min="5639" max="5886" width="9.140625" style="209"/>
    <col min="5887" max="5887" width="20.42578125" style="209" customWidth="1"/>
    <col min="5888" max="5888" width="21.140625" style="209" customWidth="1"/>
    <col min="5889" max="5889" width="10.140625" style="209" customWidth="1"/>
    <col min="5890" max="5890" width="9.140625" style="209"/>
    <col min="5891" max="5891" width="10.140625" style="209" customWidth="1"/>
    <col min="5892" max="5892" width="9.140625" style="209"/>
    <col min="5893" max="5893" width="9.42578125" style="209" customWidth="1"/>
    <col min="5894" max="5894" width="10" style="209" customWidth="1"/>
    <col min="5895" max="6142" width="9.140625" style="209"/>
    <col min="6143" max="6143" width="20.42578125" style="209" customWidth="1"/>
    <col min="6144" max="6144" width="21.140625" style="209" customWidth="1"/>
    <col min="6145" max="6145" width="10.140625" style="209" customWidth="1"/>
    <col min="6146" max="6146" width="9.140625" style="209"/>
    <col min="6147" max="6147" width="10.140625" style="209" customWidth="1"/>
    <col min="6148" max="6148" width="9.140625" style="209"/>
    <col min="6149" max="6149" width="9.42578125" style="209" customWidth="1"/>
    <col min="6150" max="6150" width="10" style="209" customWidth="1"/>
    <col min="6151" max="6398" width="9.140625" style="209"/>
    <col min="6399" max="6399" width="20.42578125" style="209" customWidth="1"/>
    <col min="6400" max="6400" width="21.140625" style="209" customWidth="1"/>
    <col min="6401" max="6401" width="10.140625" style="209" customWidth="1"/>
    <col min="6402" max="6402" width="9.140625" style="209"/>
    <col min="6403" max="6403" width="10.140625" style="209" customWidth="1"/>
    <col min="6404" max="6404" width="9.140625" style="209"/>
    <col min="6405" max="6405" width="9.42578125" style="209" customWidth="1"/>
    <col min="6406" max="6406" width="10" style="209" customWidth="1"/>
    <col min="6407" max="6654" width="9.140625" style="209"/>
    <col min="6655" max="6655" width="20.42578125" style="209" customWidth="1"/>
    <col min="6656" max="6656" width="21.140625" style="209" customWidth="1"/>
    <col min="6657" max="6657" width="10.140625" style="209" customWidth="1"/>
    <col min="6658" max="6658" width="9.140625" style="209"/>
    <col min="6659" max="6659" width="10.140625" style="209" customWidth="1"/>
    <col min="6660" max="6660" width="9.140625" style="209"/>
    <col min="6661" max="6661" width="9.42578125" style="209" customWidth="1"/>
    <col min="6662" max="6662" width="10" style="209" customWidth="1"/>
    <col min="6663" max="6910" width="9.140625" style="209"/>
    <col min="6911" max="6911" width="20.42578125" style="209" customWidth="1"/>
    <col min="6912" max="6912" width="21.140625" style="209" customWidth="1"/>
    <col min="6913" max="6913" width="10.140625" style="209" customWidth="1"/>
    <col min="6914" max="6914" width="9.140625" style="209"/>
    <col min="6915" max="6915" width="10.140625" style="209" customWidth="1"/>
    <col min="6916" max="6916" width="9.140625" style="209"/>
    <col min="6917" max="6917" width="9.42578125" style="209" customWidth="1"/>
    <col min="6918" max="6918" width="10" style="209" customWidth="1"/>
    <col min="6919" max="7166" width="9.140625" style="209"/>
    <col min="7167" max="7167" width="20.42578125" style="209" customWidth="1"/>
    <col min="7168" max="7168" width="21.140625" style="209" customWidth="1"/>
    <col min="7169" max="7169" width="10.140625" style="209" customWidth="1"/>
    <col min="7170" max="7170" width="9.140625" style="209"/>
    <col min="7171" max="7171" width="10.140625" style="209" customWidth="1"/>
    <col min="7172" max="7172" width="9.140625" style="209"/>
    <col min="7173" max="7173" width="9.42578125" style="209" customWidth="1"/>
    <col min="7174" max="7174" width="10" style="209" customWidth="1"/>
    <col min="7175" max="7422" width="9.140625" style="209"/>
    <col min="7423" max="7423" width="20.42578125" style="209" customWidth="1"/>
    <col min="7424" max="7424" width="21.140625" style="209" customWidth="1"/>
    <col min="7425" max="7425" width="10.140625" style="209" customWidth="1"/>
    <col min="7426" max="7426" width="9.140625" style="209"/>
    <col min="7427" max="7427" width="10.140625" style="209" customWidth="1"/>
    <col min="7428" max="7428" width="9.140625" style="209"/>
    <col min="7429" max="7429" width="9.42578125" style="209" customWidth="1"/>
    <col min="7430" max="7430" width="10" style="209" customWidth="1"/>
    <col min="7431" max="7678" width="9.140625" style="209"/>
    <col min="7679" max="7679" width="20.42578125" style="209" customWidth="1"/>
    <col min="7680" max="7680" width="21.140625" style="209" customWidth="1"/>
    <col min="7681" max="7681" width="10.140625" style="209" customWidth="1"/>
    <col min="7682" max="7682" width="9.140625" style="209"/>
    <col min="7683" max="7683" width="10.140625" style="209" customWidth="1"/>
    <col min="7684" max="7684" width="9.140625" style="209"/>
    <col min="7685" max="7685" width="9.42578125" style="209" customWidth="1"/>
    <col min="7686" max="7686" width="10" style="209" customWidth="1"/>
    <col min="7687" max="7934" width="9.140625" style="209"/>
    <col min="7935" max="7935" width="20.42578125" style="209" customWidth="1"/>
    <col min="7936" max="7936" width="21.140625" style="209" customWidth="1"/>
    <col min="7937" max="7937" width="10.140625" style="209" customWidth="1"/>
    <col min="7938" max="7938" width="9.140625" style="209"/>
    <col min="7939" max="7939" width="10.140625" style="209" customWidth="1"/>
    <col min="7940" max="7940" width="9.140625" style="209"/>
    <col min="7941" max="7941" width="9.42578125" style="209" customWidth="1"/>
    <col min="7942" max="7942" width="10" style="209" customWidth="1"/>
    <col min="7943" max="8190" width="9.140625" style="209"/>
    <col min="8191" max="8191" width="20.42578125" style="209" customWidth="1"/>
    <col min="8192" max="8192" width="21.140625" style="209" customWidth="1"/>
    <col min="8193" max="8193" width="10.140625" style="209" customWidth="1"/>
    <col min="8194" max="8194" width="9.140625" style="209"/>
    <col min="8195" max="8195" width="10.140625" style="209" customWidth="1"/>
    <col min="8196" max="8196" width="9.140625" style="209"/>
    <col min="8197" max="8197" width="9.42578125" style="209" customWidth="1"/>
    <col min="8198" max="8198" width="10" style="209" customWidth="1"/>
    <col min="8199" max="8446" width="9.140625" style="209"/>
    <col min="8447" max="8447" width="20.42578125" style="209" customWidth="1"/>
    <col min="8448" max="8448" width="21.140625" style="209" customWidth="1"/>
    <col min="8449" max="8449" width="10.140625" style="209" customWidth="1"/>
    <col min="8450" max="8450" width="9.140625" style="209"/>
    <col min="8451" max="8451" width="10.140625" style="209" customWidth="1"/>
    <col min="8452" max="8452" width="9.140625" style="209"/>
    <col min="8453" max="8453" width="9.42578125" style="209" customWidth="1"/>
    <col min="8454" max="8454" width="10" style="209" customWidth="1"/>
    <col min="8455" max="8702" width="9.140625" style="209"/>
    <col min="8703" max="8703" width="20.42578125" style="209" customWidth="1"/>
    <col min="8704" max="8704" width="21.140625" style="209" customWidth="1"/>
    <col min="8705" max="8705" width="10.140625" style="209" customWidth="1"/>
    <col min="8706" max="8706" width="9.140625" style="209"/>
    <col min="8707" max="8707" width="10.140625" style="209" customWidth="1"/>
    <col min="8708" max="8708" width="9.140625" style="209"/>
    <col min="8709" max="8709" width="9.42578125" style="209" customWidth="1"/>
    <col min="8710" max="8710" width="10" style="209" customWidth="1"/>
    <col min="8711" max="8958" width="9.140625" style="209"/>
    <col min="8959" max="8959" width="20.42578125" style="209" customWidth="1"/>
    <col min="8960" max="8960" width="21.140625" style="209" customWidth="1"/>
    <col min="8961" max="8961" width="10.140625" style="209" customWidth="1"/>
    <col min="8962" max="8962" width="9.140625" style="209"/>
    <col min="8963" max="8963" width="10.140625" style="209" customWidth="1"/>
    <col min="8964" max="8964" width="9.140625" style="209"/>
    <col min="8965" max="8965" width="9.42578125" style="209" customWidth="1"/>
    <col min="8966" max="8966" width="10" style="209" customWidth="1"/>
    <col min="8967" max="9214" width="9.140625" style="209"/>
    <col min="9215" max="9215" width="20.42578125" style="209" customWidth="1"/>
    <col min="9216" max="9216" width="21.140625" style="209" customWidth="1"/>
    <col min="9217" max="9217" width="10.140625" style="209" customWidth="1"/>
    <col min="9218" max="9218" width="9.140625" style="209"/>
    <col min="9219" max="9219" width="10.140625" style="209" customWidth="1"/>
    <col min="9220" max="9220" width="9.140625" style="209"/>
    <col min="9221" max="9221" width="9.42578125" style="209" customWidth="1"/>
    <col min="9222" max="9222" width="10" style="209" customWidth="1"/>
    <col min="9223" max="9470" width="9.140625" style="209"/>
    <col min="9471" max="9471" width="20.42578125" style="209" customWidth="1"/>
    <col min="9472" max="9472" width="21.140625" style="209" customWidth="1"/>
    <col min="9473" max="9473" width="10.140625" style="209" customWidth="1"/>
    <col min="9474" max="9474" width="9.140625" style="209"/>
    <col min="9475" max="9475" width="10.140625" style="209" customWidth="1"/>
    <col min="9476" max="9476" width="9.140625" style="209"/>
    <col min="9477" max="9477" width="9.42578125" style="209" customWidth="1"/>
    <col min="9478" max="9478" width="10" style="209" customWidth="1"/>
    <col min="9479" max="9726" width="9.140625" style="209"/>
    <col min="9727" max="9727" width="20.42578125" style="209" customWidth="1"/>
    <col min="9728" max="9728" width="21.140625" style="209" customWidth="1"/>
    <col min="9729" max="9729" width="10.140625" style="209" customWidth="1"/>
    <col min="9730" max="9730" width="9.140625" style="209"/>
    <col min="9731" max="9731" width="10.140625" style="209" customWidth="1"/>
    <col min="9732" max="9732" width="9.140625" style="209"/>
    <col min="9733" max="9733" width="9.42578125" style="209" customWidth="1"/>
    <col min="9734" max="9734" width="10" style="209" customWidth="1"/>
    <col min="9735" max="9982" width="9.140625" style="209"/>
    <col min="9983" max="9983" width="20.42578125" style="209" customWidth="1"/>
    <col min="9984" max="9984" width="21.140625" style="209" customWidth="1"/>
    <col min="9985" max="9985" width="10.140625" style="209" customWidth="1"/>
    <col min="9986" max="9986" width="9.140625" style="209"/>
    <col min="9987" max="9987" width="10.140625" style="209" customWidth="1"/>
    <col min="9988" max="9988" width="9.140625" style="209"/>
    <col min="9989" max="9989" width="9.42578125" style="209" customWidth="1"/>
    <col min="9990" max="9990" width="10" style="209" customWidth="1"/>
    <col min="9991" max="10238" width="9.140625" style="209"/>
    <col min="10239" max="10239" width="20.42578125" style="209" customWidth="1"/>
    <col min="10240" max="10240" width="21.140625" style="209" customWidth="1"/>
    <col min="10241" max="10241" width="10.140625" style="209" customWidth="1"/>
    <col min="10242" max="10242" width="9.140625" style="209"/>
    <col min="10243" max="10243" width="10.140625" style="209" customWidth="1"/>
    <col min="10244" max="10244" width="9.140625" style="209"/>
    <col min="10245" max="10245" width="9.42578125" style="209" customWidth="1"/>
    <col min="10246" max="10246" width="10" style="209" customWidth="1"/>
    <col min="10247" max="10494" width="9.140625" style="209"/>
    <col min="10495" max="10495" width="20.42578125" style="209" customWidth="1"/>
    <col min="10496" max="10496" width="21.140625" style="209" customWidth="1"/>
    <col min="10497" max="10497" width="10.140625" style="209" customWidth="1"/>
    <col min="10498" max="10498" width="9.140625" style="209"/>
    <col min="10499" max="10499" width="10.140625" style="209" customWidth="1"/>
    <col min="10500" max="10500" width="9.140625" style="209"/>
    <col min="10501" max="10501" width="9.42578125" style="209" customWidth="1"/>
    <col min="10502" max="10502" width="10" style="209" customWidth="1"/>
    <col min="10503" max="10750" width="9.140625" style="209"/>
    <col min="10751" max="10751" width="20.42578125" style="209" customWidth="1"/>
    <col min="10752" max="10752" width="21.140625" style="209" customWidth="1"/>
    <col min="10753" max="10753" width="10.140625" style="209" customWidth="1"/>
    <col min="10754" max="10754" width="9.140625" style="209"/>
    <col min="10755" max="10755" width="10.140625" style="209" customWidth="1"/>
    <col min="10756" max="10756" width="9.140625" style="209"/>
    <col min="10757" max="10757" width="9.42578125" style="209" customWidth="1"/>
    <col min="10758" max="10758" width="10" style="209" customWidth="1"/>
    <col min="10759" max="11006" width="9.140625" style="209"/>
    <col min="11007" max="11007" width="20.42578125" style="209" customWidth="1"/>
    <col min="11008" max="11008" width="21.140625" style="209" customWidth="1"/>
    <col min="11009" max="11009" width="10.140625" style="209" customWidth="1"/>
    <col min="11010" max="11010" width="9.140625" style="209"/>
    <col min="11011" max="11011" width="10.140625" style="209" customWidth="1"/>
    <col min="11012" max="11012" width="9.140625" style="209"/>
    <col min="11013" max="11013" width="9.42578125" style="209" customWidth="1"/>
    <col min="11014" max="11014" width="10" style="209" customWidth="1"/>
    <col min="11015" max="11262" width="9.140625" style="209"/>
    <col min="11263" max="11263" width="20.42578125" style="209" customWidth="1"/>
    <col min="11264" max="11264" width="21.140625" style="209" customWidth="1"/>
    <col min="11265" max="11265" width="10.140625" style="209" customWidth="1"/>
    <col min="11266" max="11266" width="9.140625" style="209"/>
    <col min="11267" max="11267" width="10.140625" style="209" customWidth="1"/>
    <col min="11268" max="11268" width="9.140625" style="209"/>
    <col min="11269" max="11269" width="9.42578125" style="209" customWidth="1"/>
    <col min="11270" max="11270" width="10" style="209" customWidth="1"/>
    <col min="11271" max="11518" width="9.140625" style="209"/>
    <col min="11519" max="11519" width="20.42578125" style="209" customWidth="1"/>
    <col min="11520" max="11520" width="21.140625" style="209" customWidth="1"/>
    <col min="11521" max="11521" width="10.140625" style="209" customWidth="1"/>
    <col min="11522" max="11522" width="9.140625" style="209"/>
    <col min="11523" max="11523" width="10.140625" style="209" customWidth="1"/>
    <col min="11524" max="11524" width="9.140625" style="209"/>
    <col min="11525" max="11525" width="9.42578125" style="209" customWidth="1"/>
    <col min="11526" max="11526" width="10" style="209" customWidth="1"/>
    <col min="11527" max="11774" width="9.140625" style="209"/>
    <col min="11775" max="11775" width="20.42578125" style="209" customWidth="1"/>
    <col min="11776" max="11776" width="21.140625" style="209" customWidth="1"/>
    <col min="11777" max="11777" width="10.140625" style="209" customWidth="1"/>
    <col min="11778" max="11778" width="9.140625" style="209"/>
    <col min="11779" max="11779" width="10.140625" style="209" customWidth="1"/>
    <col min="11780" max="11780" width="9.140625" style="209"/>
    <col min="11781" max="11781" width="9.42578125" style="209" customWidth="1"/>
    <col min="11782" max="11782" width="10" style="209" customWidth="1"/>
    <col min="11783" max="12030" width="9.140625" style="209"/>
    <col min="12031" max="12031" width="20.42578125" style="209" customWidth="1"/>
    <col min="12032" max="12032" width="21.140625" style="209" customWidth="1"/>
    <col min="12033" max="12033" width="10.140625" style="209" customWidth="1"/>
    <col min="12034" max="12034" width="9.140625" style="209"/>
    <col min="12035" max="12035" width="10.140625" style="209" customWidth="1"/>
    <col min="12036" max="12036" width="9.140625" style="209"/>
    <col min="12037" max="12037" width="9.42578125" style="209" customWidth="1"/>
    <col min="12038" max="12038" width="10" style="209" customWidth="1"/>
    <col min="12039" max="12286" width="9.140625" style="209"/>
    <col min="12287" max="12287" width="20.42578125" style="209" customWidth="1"/>
    <col min="12288" max="12288" width="21.140625" style="209" customWidth="1"/>
    <col min="12289" max="12289" width="10.140625" style="209" customWidth="1"/>
    <col min="12290" max="12290" width="9.140625" style="209"/>
    <col min="12291" max="12291" width="10.140625" style="209" customWidth="1"/>
    <col min="12292" max="12292" width="9.140625" style="209"/>
    <col min="12293" max="12293" width="9.42578125" style="209" customWidth="1"/>
    <col min="12294" max="12294" width="10" style="209" customWidth="1"/>
    <col min="12295" max="12542" width="9.140625" style="209"/>
    <col min="12543" max="12543" width="20.42578125" style="209" customWidth="1"/>
    <col min="12544" max="12544" width="21.140625" style="209" customWidth="1"/>
    <col min="12545" max="12545" width="10.140625" style="209" customWidth="1"/>
    <col min="12546" max="12546" width="9.140625" style="209"/>
    <col min="12547" max="12547" width="10.140625" style="209" customWidth="1"/>
    <col min="12548" max="12548" width="9.140625" style="209"/>
    <col min="12549" max="12549" width="9.42578125" style="209" customWidth="1"/>
    <col min="12550" max="12550" width="10" style="209" customWidth="1"/>
    <col min="12551" max="12798" width="9.140625" style="209"/>
    <col min="12799" max="12799" width="20.42578125" style="209" customWidth="1"/>
    <col min="12800" max="12800" width="21.140625" style="209" customWidth="1"/>
    <col min="12801" max="12801" width="10.140625" style="209" customWidth="1"/>
    <col min="12802" max="12802" width="9.140625" style="209"/>
    <col min="12803" max="12803" width="10.140625" style="209" customWidth="1"/>
    <col min="12804" max="12804" width="9.140625" style="209"/>
    <col min="12805" max="12805" width="9.42578125" style="209" customWidth="1"/>
    <col min="12806" max="12806" width="10" style="209" customWidth="1"/>
    <col min="12807" max="13054" width="9.140625" style="209"/>
    <col min="13055" max="13055" width="20.42578125" style="209" customWidth="1"/>
    <col min="13056" max="13056" width="21.140625" style="209" customWidth="1"/>
    <col min="13057" max="13057" width="10.140625" style="209" customWidth="1"/>
    <col min="13058" max="13058" width="9.140625" style="209"/>
    <col min="13059" max="13059" width="10.140625" style="209" customWidth="1"/>
    <col min="13060" max="13060" width="9.140625" style="209"/>
    <col min="13061" max="13061" width="9.42578125" style="209" customWidth="1"/>
    <col min="13062" max="13062" width="10" style="209" customWidth="1"/>
    <col min="13063" max="13310" width="9.140625" style="209"/>
    <col min="13311" max="13311" width="20.42578125" style="209" customWidth="1"/>
    <col min="13312" max="13312" width="21.140625" style="209" customWidth="1"/>
    <col min="13313" max="13313" width="10.140625" style="209" customWidth="1"/>
    <col min="13314" max="13314" width="9.140625" style="209"/>
    <col min="13315" max="13315" width="10.140625" style="209" customWidth="1"/>
    <col min="13316" max="13316" width="9.140625" style="209"/>
    <col min="13317" max="13317" width="9.42578125" style="209" customWidth="1"/>
    <col min="13318" max="13318" width="10" style="209" customWidth="1"/>
    <col min="13319" max="13566" width="9.140625" style="209"/>
    <col min="13567" max="13567" width="20.42578125" style="209" customWidth="1"/>
    <col min="13568" max="13568" width="21.140625" style="209" customWidth="1"/>
    <col min="13569" max="13569" width="10.140625" style="209" customWidth="1"/>
    <col min="13570" max="13570" width="9.140625" style="209"/>
    <col min="13571" max="13571" width="10.140625" style="209" customWidth="1"/>
    <col min="13572" max="13572" width="9.140625" style="209"/>
    <col min="13573" max="13573" width="9.42578125" style="209" customWidth="1"/>
    <col min="13574" max="13574" width="10" style="209" customWidth="1"/>
    <col min="13575" max="13822" width="9.140625" style="209"/>
    <col min="13823" max="13823" width="20.42578125" style="209" customWidth="1"/>
    <col min="13824" max="13824" width="21.140625" style="209" customWidth="1"/>
    <col min="13825" max="13825" width="10.140625" style="209" customWidth="1"/>
    <col min="13826" max="13826" width="9.140625" style="209"/>
    <col min="13827" max="13827" width="10.140625" style="209" customWidth="1"/>
    <col min="13828" max="13828" width="9.140625" style="209"/>
    <col min="13829" max="13829" width="9.42578125" style="209" customWidth="1"/>
    <col min="13830" max="13830" width="10" style="209" customWidth="1"/>
    <col min="13831" max="14078" width="9.140625" style="209"/>
    <col min="14079" max="14079" width="20.42578125" style="209" customWidth="1"/>
    <col min="14080" max="14080" width="21.140625" style="209" customWidth="1"/>
    <col min="14081" max="14081" width="10.140625" style="209" customWidth="1"/>
    <col min="14082" max="14082" width="9.140625" style="209"/>
    <col min="14083" max="14083" width="10.140625" style="209" customWidth="1"/>
    <col min="14084" max="14084" width="9.140625" style="209"/>
    <col min="14085" max="14085" width="9.42578125" style="209" customWidth="1"/>
    <col min="14086" max="14086" width="10" style="209" customWidth="1"/>
    <col min="14087" max="14334" width="9.140625" style="209"/>
    <col min="14335" max="14335" width="20.42578125" style="209" customWidth="1"/>
    <col min="14336" max="14336" width="21.140625" style="209" customWidth="1"/>
    <col min="14337" max="14337" width="10.140625" style="209" customWidth="1"/>
    <col min="14338" max="14338" width="9.140625" style="209"/>
    <col min="14339" max="14339" width="10.140625" style="209" customWidth="1"/>
    <col min="14340" max="14340" width="9.140625" style="209"/>
    <col min="14341" max="14341" width="9.42578125" style="209" customWidth="1"/>
    <col min="14342" max="14342" width="10" style="209" customWidth="1"/>
    <col min="14343" max="14590" width="9.140625" style="209"/>
    <col min="14591" max="14591" width="20.42578125" style="209" customWidth="1"/>
    <col min="14592" max="14592" width="21.140625" style="209" customWidth="1"/>
    <col min="14593" max="14593" width="10.140625" style="209" customWidth="1"/>
    <col min="14594" max="14594" width="9.140625" style="209"/>
    <col min="14595" max="14595" width="10.140625" style="209" customWidth="1"/>
    <col min="14596" max="14596" width="9.140625" style="209"/>
    <col min="14597" max="14597" width="9.42578125" style="209" customWidth="1"/>
    <col min="14598" max="14598" width="10" style="209" customWidth="1"/>
    <col min="14599" max="14846" width="9.140625" style="209"/>
    <col min="14847" max="14847" width="20.42578125" style="209" customWidth="1"/>
    <col min="14848" max="14848" width="21.140625" style="209" customWidth="1"/>
    <col min="14849" max="14849" width="10.140625" style="209" customWidth="1"/>
    <col min="14850" max="14850" width="9.140625" style="209"/>
    <col min="14851" max="14851" width="10.140625" style="209" customWidth="1"/>
    <col min="14852" max="14852" width="9.140625" style="209"/>
    <col min="14853" max="14853" width="9.42578125" style="209" customWidth="1"/>
    <col min="14854" max="14854" width="10" style="209" customWidth="1"/>
    <col min="14855" max="15102" width="9.140625" style="209"/>
    <col min="15103" max="15103" width="20.42578125" style="209" customWidth="1"/>
    <col min="15104" max="15104" width="21.140625" style="209" customWidth="1"/>
    <col min="15105" max="15105" width="10.140625" style="209" customWidth="1"/>
    <col min="15106" max="15106" width="9.140625" style="209"/>
    <col min="15107" max="15107" width="10.140625" style="209" customWidth="1"/>
    <col min="15108" max="15108" width="9.140625" style="209"/>
    <col min="15109" max="15109" width="9.42578125" style="209" customWidth="1"/>
    <col min="15110" max="15110" width="10" style="209" customWidth="1"/>
    <col min="15111" max="15358" width="9.140625" style="209"/>
    <col min="15359" max="15359" width="20.42578125" style="209" customWidth="1"/>
    <col min="15360" max="15360" width="21.140625" style="209" customWidth="1"/>
    <col min="15361" max="15361" width="10.140625" style="209" customWidth="1"/>
    <col min="15362" max="15362" width="9.140625" style="209"/>
    <col min="15363" max="15363" width="10.140625" style="209" customWidth="1"/>
    <col min="15364" max="15364" width="9.140625" style="209"/>
    <col min="15365" max="15365" width="9.42578125" style="209" customWidth="1"/>
    <col min="15366" max="15366" width="10" style="209" customWidth="1"/>
    <col min="15367" max="15614" width="9.140625" style="209"/>
    <col min="15615" max="15615" width="20.42578125" style="209" customWidth="1"/>
    <col min="15616" max="15616" width="21.140625" style="209" customWidth="1"/>
    <col min="15617" max="15617" width="10.140625" style="209" customWidth="1"/>
    <col min="15618" max="15618" width="9.140625" style="209"/>
    <col min="15619" max="15619" width="10.140625" style="209" customWidth="1"/>
    <col min="15620" max="15620" width="9.140625" style="209"/>
    <col min="15621" max="15621" width="9.42578125" style="209" customWidth="1"/>
    <col min="15622" max="15622" width="10" style="209" customWidth="1"/>
    <col min="15623" max="15870" width="9.140625" style="209"/>
    <col min="15871" max="15871" width="20.42578125" style="209" customWidth="1"/>
    <col min="15872" max="15872" width="21.140625" style="209" customWidth="1"/>
    <col min="15873" max="15873" width="10.140625" style="209" customWidth="1"/>
    <col min="15874" max="15874" width="9.140625" style="209"/>
    <col min="15875" max="15875" width="10.140625" style="209" customWidth="1"/>
    <col min="15876" max="15876" width="9.140625" style="209"/>
    <col min="15877" max="15877" width="9.42578125" style="209" customWidth="1"/>
    <col min="15878" max="15878" width="10" style="209" customWidth="1"/>
    <col min="15879" max="16126" width="9.140625" style="209"/>
    <col min="16127" max="16127" width="20.42578125" style="209" customWidth="1"/>
    <col min="16128" max="16128" width="21.140625" style="209" customWidth="1"/>
    <col min="16129" max="16129" width="10.140625" style="209" customWidth="1"/>
    <col min="16130" max="16130" width="9.140625" style="209"/>
    <col min="16131" max="16131" width="10.140625" style="209" customWidth="1"/>
    <col min="16132" max="16132" width="9.140625" style="209"/>
    <col min="16133" max="16133" width="9.42578125" style="209" customWidth="1"/>
    <col min="16134" max="16134" width="10" style="209" customWidth="1"/>
    <col min="16135" max="16384" width="9.140625" style="209"/>
  </cols>
  <sheetData>
    <row r="2" spans="1:7" ht="25.5" customHeight="1" x14ac:dyDescent="0.25">
      <c r="A2" s="209" t="s">
        <v>653</v>
      </c>
      <c r="B2" s="209"/>
      <c r="C2" s="209"/>
      <c r="D2" s="209"/>
      <c r="E2" s="209"/>
      <c r="F2" s="210"/>
      <c r="G2" s="211"/>
    </row>
    <row r="3" spans="1:7" ht="12.75" customHeight="1" x14ac:dyDescent="0.25"/>
    <row r="4" spans="1:7" s="218" customFormat="1" ht="13.5" customHeight="1" thickBot="1" x14ac:dyDescent="0.25">
      <c r="A4" s="214" t="s">
        <v>576</v>
      </c>
      <c r="B4" s="215"/>
      <c r="C4" s="216"/>
      <c r="D4" s="214" t="s">
        <v>577</v>
      </c>
      <c r="E4" s="217"/>
      <c r="F4" s="216"/>
    </row>
    <row r="5" spans="1:7" ht="15.75" thickTop="1" x14ac:dyDescent="0.25">
      <c r="A5" s="219" t="s">
        <v>61</v>
      </c>
      <c r="B5" s="212" t="s">
        <v>578</v>
      </c>
      <c r="D5" s="220" t="s">
        <v>579</v>
      </c>
      <c r="E5" s="221" t="s">
        <v>580</v>
      </c>
    </row>
    <row r="6" spans="1:7" x14ac:dyDescent="0.25">
      <c r="A6" s="222" t="s">
        <v>113</v>
      </c>
      <c r="B6" s="212" t="s">
        <v>581</v>
      </c>
      <c r="D6" s="212" t="s">
        <v>582</v>
      </c>
      <c r="E6" s="223" t="s">
        <v>583</v>
      </c>
    </row>
    <row r="7" spans="1:7" x14ac:dyDescent="0.25">
      <c r="A7" s="222" t="s">
        <v>91</v>
      </c>
      <c r="B7" s="212" t="s">
        <v>584</v>
      </c>
      <c r="D7" s="212" t="s">
        <v>226</v>
      </c>
      <c r="E7" s="223" t="s">
        <v>585</v>
      </c>
    </row>
    <row r="8" spans="1:7" x14ac:dyDescent="0.25">
      <c r="A8" s="222" t="s">
        <v>586</v>
      </c>
      <c r="B8" s="212" t="s">
        <v>587</v>
      </c>
      <c r="D8" s="212" t="s">
        <v>260</v>
      </c>
      <c r="E8" s="223" t="s">
        <v>588</v>
      </c>
    </row>
    <row r="9" spans="1:7" x14ac:dyDescent="0.25">
      <c r="A9" s="222" t="s">
        <v>127</v>
      </c>
      <c r="B9" s="212" t="s">
        <v>589</v>
      </c>
      <c r="D9" s="212" t="s">
        <v>308</v>
      </c>
      <c r="E9" s="223" t="s">
        <v>590</v>
      </c>
    </row>
    <row r="10" spans="1:7" x14ac:dyDescent="0.25">
      <c r="A10" s="222" t="s">
        <v>484</v>
      </c>
      <c r="B10" s="212" t="s">
        <v>591</v>
      </c>
      <c r="D10" s="212" t="s">
        <v>322</v>
      </c>
      <c r="E10" s="223" t="s">
        <v>592</v>
      </c>
    </row>
    <row r="11" spans="1:7" x14ac:dyDescent="0.25">
      <c r="A11" s="222" t="s">
        <v>137</v>
      </c>
      <c r="B11" s="212" t="s">
        <v>593</v>
      </c>
    </row>
    <row r="12" spans="1:7" x14ac:dyDescent="0.25">
      <c r="A12" s="222" t="s">
        <v>139</v>
      </c>
      <c r="B12" s="212" t="s">
        <v>594</v>
      </c>
    </row>
    <row r="13" spans="1:7" x14ac:dyDescent="0.25">
      <c r="A13" s="222" t="s">
        <v>595</v>
      </c>
      <c r="B13" s="212" t="s">
        <v>596</v>
      </c>
    </row>
    <row r="14" spans="1:7" x14ac:dyDescent="0.25">
      <c r="A14" s="222" t="s">
        <v>597</v>
      </c>
      <c r="B14" s="212" t="s">
        <v>598</v>
      </c>
    </row>
    <row r="15" spans="1:7" x14ac:dyDescent="0.25">
      <c r="A15" s="222" t="s">
        <v>599</v>
      </c>
      <c r="B15" s="212" t="s">
        <v>600</v>
      </c>
    </row>
    <row r="16" spans="1:7" x14ac:dyDescent="0.25">
      <c r="A16" s="222" t="s">
        <v>579</v>
      </c>
      <c r="B16" s="212" t="s">
        <v>580</v>
      </c>
    </row>
    <row r="17" spans="1:6" x14ac:dyDescent="0.25">
      <c r="A17" s="222" t="s">
        <v>601</v>
      </c>
      <c r="B17" s="212" t="s">
        <v>602</v>
      </c>
    </row>
    <row r="18" spans="1:6" x14ac:dyDescent="0.25">
      <c r="A18" s="222" t="s">
        <v>603</v>
      </c>
      <c r="B18" s="212" t="s">
        <v>604</v>
      </c>
    </row>
    <row r="19" spans="1:6" x14ac:dyDescent="0.25">
      <c r="A19" s="222" t="s">
        <v>392</v>
      </c>
      <c r="B19" s="212" t="s">
        <v>605</v>
      </c>
    </row>
    <row r="20" spans="1:6" x14ac:dyDescent="0.25">
      <c r="A20" s="222" t="s">
        <v>606</v>
      </c>
      <c r="B20" s="212" t="s">
        <v>607</v>
      </c>
    </row>
    <row r="21" spans="1:6" x14ac:dyDescent="0.25">
      <c r="A21" s="222" t="s">
        <v>608</v>
      </c>
      <c r="B21" s="212" t="s">
        <v>609</v>
      </c>
    </row>
    <row r="22" spans="1:6" x14ac:dyDescent="0.25">
      <c r="A22" s="222" t="s">
        <v>540</v>
      </c>
      <c r="B22" s="212" t="s">
        <v>610</v>
      </c>
    </row>
    <row r="24" spans="1:6" x14ac:dyDescent="0.25">
      <c r="A24" s="224" t="s">
        <v>611</v>
      </c>
      <c r="B24" s="224"/>
    </row>
    <row r="25" spans="1:6" s="321" customFormat="1" ht="19.899999999999999" customHeight="1" thickBot="1" x14ac:dyDescent="0.3">
      <c r="A25" s="319" t="s">
        <v>612</v>
      </c>
      <c r="B25" s="319"/>
      <c r="C25" s="320"/>
      <c r="D25" s="320"/>
      <c r="E25" s="320"/>
      <c r="F25" s="320"/>
    </row>
    <row r="26" spans="1:6" s="218" customFormat="1" ht="44.25" thickTop="1" thickBot="1" x14ac:dyDescent="0.25">
      <c r="A26" s="225" t="s">
        <v>575</v>
      </c>
      <c r="B26" s="225" t="s">
        <v>567</v>
      </c>
      <c r="C26" s="226" t="s">
        <v>568</v>
      </c>
      <c r="D26" s="226" t="s">
        <v>569</v>
      </c>
      <c r="E26" s="226" t="s">
        <v>613</v>
      </c>
      <c r="F26" s="227" t="s">
        <v>573</v>
      </c>
    </row>
    <row r="27" spans="1:6" ht="15.75" thickTop="1" x14ac:dyDescent="0.25"/>
    <row r="28" spans="1:6" x14ac:dyDescent="0.25">
      <c r="A28" s="212" t="s">
        <v>614</v>
      </c>
      <c r="B28" s="212" t="s">
        <v>614</v>
      </c>
      <c r="C28" s="212" t="s">
        <v>615</v>
      </c>
      <c r="D28" s="212" t="s">
        <v>91</v>
      </c>
      <c r="E28" s="212" t="s">
        <v>91</v>
      </c>
      <c r="F28" s="212" t="s">
        <v>579</v>
      </c>
    </row>
    <row r="29" spans="1:6" x14ac:dyDescent="0.25">
      <c r="A29" s="213" t="s">
        <v>616</v>
      </c>
      <c r="B29" s="212"/>
    </row>
    <row r="30" spans="1:6" ht="15.75" thickBot="1" x14ac:dyDescent="0.3">
      <c r="A30" s="228"/>
      <c r="B30" s="228"/>
      <c r="C30" s="228"/>
      <c r="D30" s="228"/>
      <c r="E30" s="228"/>
      <c r="F30" s="228"/>
    </row>
    <row r="31" spans="1:6" ht="15.75" thickTop="1" x14ac:dyDescent="0.25"/>
    <row r="32" spans="1:6" x14ac:dyDescent="0.25">
      <c r="A32" s="212" t="s">
        <v>617</v>
      </c>
      <c r="B32" s="212" t="s">
        <v>617</v>
      </c>
      <c r="C32" s="212" t="s">
        <v>618</v>
      </c>
      <c r="D32" s="212" t="s">
        <v>127</v>
      </c>
      <c r="E32" s="212" t="s">
        <v>91</v>
      </c>
      <c r="F32" s="212" t="s">
        <v>579</v>
      </c>
    </row>
    <row r="33" spans="1:6" x14ac:dyDescent="0.25">
      <c r="A33" s="213" t="s">
        <v>619</v>
      </c>
      <c r="C33" s="213"/>
      <c r="D33" s="213"/>
      <c r="E33" s="213"/>
      <c r="F33" s="213"/>
    </row>
    <row r="34" spans="1:6" ht="15.75" thickBot="1" x14ac:dyDescent="0.3">
      <c r="A34" s="228"/>
      <c r="B34" s="228"/>
      <c r="C34" s="228"/>
      <c r="D34" s="228"/>
      <c r="E34" s="228"/>
      <c r="F34" s="228"/>
    </row>
    <row r="35" spans="1:6" ht="15.75" thickTop="1" x14ac:dyDescent="0.25">
      <c r="A35" s="209"/>
      <c r="B35" s="209"/>
      <c r="C35" s="209"/>
      <c r="D35" s="209"/>
      <c r="E35" s="209"/>
      <c r="F35" s="209"/>
    </row>
    <row r="36" spans="1:6" x14ac:dyDescent="0.25">
      <c r="A36" s="212" t="s">
        <v>620</v>
      </c>
      <c r="B36" s="212" t="s">
        <v>620</v>
      </c>
      <c r="C36" s="212" t="s">
        <v>621</v>
      </c>
      <c r="D36" s="212" t="s">
        <v>540</v>
      </c>
      <c r="E36" s="212" t="s">
        <v>540</v>
      </c>
      <c r="F36" s="212" t="s">
        <v>322</v>
      </c>
    </row>
    <row r="37" spans="1:6" x14ac:dyDescent="0.25">
      <c r="A37" s="213" t="s">
        <v>622</v>
      </c>
      <c r="C37" s="213"/>
      <c r="D37" s="213"/>
      <c r="E37" s="213"/>
      <c r="F37" s="213"/>
    </row>
    <row r="38" spans="1:6" ht="15.75" thickBot="1" x14ac:dyDescent="0.3">
      <c r="A38" s="228"/>
      <c r="B38" s="228"/>
      <c r="C38" s="228"/>
      <c r="D38" s="228"/>
      <c r="E38" s="228"/>
      <c r="F38" s="228"/>
    </row>
    <row r="39" spans="1:6" ht="15.75" thickTop="1" x14ac:dyDescent="0.25">
      <c r="A39" s="213"/>
    </row>
    <row r="40" spans="1:6" x14ac:dyDescent="0.25">
      <c r="A40" s="212" t="s">
        <v>620</v>
      </c>
      <c r="B40" s="212" t="s">
        <v>620</v>
      </c>
      <c r="C40" s="212" t="s">
        <v>623</v>
      </c>
      <c r="D40" s="212" t="s">
        <v>586</v>
      </c>
      <c r="E40" s="212" t="s">
        <v>540</v>
      </c>
      <c r="F40" s="212" t="s">
        <v>322</v>
      </c>
    </row>
    <row r="41" spans="1:6" x14ac:dyDescent="0.25">
      <c r="A41" s="213" t="s">
        <v>624</v>
      </c>
      <c r="C41" s="213"/>
      <c r="D41" s="213"/>
      <c r="E41" s="213"/>
      <c r="F41" s="213"/>
    </row>
    <row r="42" spans="1:6" ht="15.75" thickBot="1" x14ac:dyDescent="0.3">
      <c r="A42" s="228"/>
      <c r="B42" s="228"/>
      <c r="C42" s="228"/>
      <c r="D42" s="228"/>
      <c r="E42" s="228"/>
      <c r="F42" s="228"/>
    </row>
    <row r="43" spans="1:6" ht="15.75" thickTop="1" x14ac:dyDescent="0.25">
      <c r="A43" s="213"/>
    </row>
    <row r="44" spans="1:6" x14ac:dyDescent="0.25">
      <c r="A44" s="212" t="s">
        <v>625</v>
      </c>
      <c r="B44" s="212" t="s">
        <v>625</v>
      </c>
      <c r="C44" s="212" t="s">
        <v>626</v>
      </c>
      <c r="D44" s="212" t="s">
        <v>91</v>
      </c>
      <c r="E44" s="212" t="s">
        <v>91</v>
      </c>
      <c r="F44" s="212" t="s">
        <v>322</v>
      </c>
    </row>
    <row r="45" spans="1:6" x14ac:dyDescent="0.25">
      <c r="A45" s="213" t="s">
        <v>627</v>
      </c>
      <c r="C45" s="213"/>
      <c r="D45" s="213"/>
      <c r="E45" s="213"/>
      <c r="F45" s="213"/>
    </row>
    <row r="46" spans="1:6" ht="15.75" thickBot="1" x14ac:dyDescent="0.3">
      <c r="A46" s="228"/>
      <c r="B46" s="228"/>
      <c r="C46" s="228"/>
      <c r="D46" s="228"/>
      <c r="E46" s="228"/>
      <c r="F46" s="228"/>
    </row>
    <row r="47" spans="1:6" ht="15.75" thickTop="1" x14ac:dyDescent="0.25"/>
    <row r="48" spans="1:6" x14ac:dyDescent="0.25">
      <c r="A48" s="212" t="s">
        <v>628</v>
      </c>
      <c r="B48" s="212" t="s">
        <v>628</v>
      </c>
      <c r="C48" s="212" t="s">
        <v>629</v>
      </c>
      <c r="D48" s="212" t="s">
        <v>127</v>
      </c>
      <c r="E48" s="212" t="s">
        <v>91</v>
      </c>
      <c r="F48" s="212" t="s">
        <v>322</v>
      </c>
    </row>
    <row r="49" spans="1:6" x14ac:dyDescent="0.25">
      <c r="A49" s="209" t="s">
        <v>630</v>
      </c>
      <c r="B49" s="209"/>
      <c r="C49" s="209"/>
      <c r="D49" s="209"/>
      <c r="E49" s="209"/>
      <c r="F49" s="209"/>
    </row>
    <row r="50" spans="1:6" ht="15.75" thickBot="1" x14ac:dyDescent="0.3">
      <c r="A50" s="229"/>
      <c r="B50" s="229"/>
      <c r="C50" s="229"/>
      <c r="D50" s="229"/>
      <c r="E50" s="229"/>
      <c r="F50" s="229"/>
    </row>
    <row r="51" spans="1:6" ht="15.75" thickTop="1" x14ac:dyDescent="0.25"/>
    <row r="52" spans="1:6" x14ac:dyDescent="0.25">
      <c r="A52" s="212" t="s">
        <v>628</v>
      </c>
      <c r="B52" s="212" t="s">
        <v>628</v>
      </c>
      <c r="C52" s="212" t="s">
        <v>631</v>
      </c>
      <c r="D52" s="212" t="s">
        <v>608</v>
      </c>
      <c r="E52" s="212" t="s">
        <v>608</v>
      </c>
      <c r="F52" s="212" t="s">
        <v>226</v>
      </c>
    </row>
    <row r="53" spans="1:6" x14ac:dyDescent="0.25">
      <c r="A53" s="213" t="s">
        <v>632</v>
      </c>
      <c r="C53" s="213"/>
      <c r="D53" s="213"/>
      <c r="E53" s="213"/>
      <c r="F53" s="213"/>
    </row>
    <row r="54" spans="1:6" ht="15.75" thickBot="1" x14ac:dyDescent="0.3">
      <c r="A54" s="228"/>
      <c r="B54" s="228"/>
      <c r="C54" s="228"/>
      <c r="D54" s="228"/>
      <c r="E54" s="228"/>
      <c r="F54" s="228"/>
    </row>
    <row r="55" spans="1:6" ht="15.75" thickTop="1" x14ac:dyDescent="0.25"/>
  </sheetData>
  <pageMargins left="0.7" right="0.7" top="0.75" bottom="0.75" header="0.3" footer="0.3"/>
  <pageSetup scale="9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64"/>
  <sheetViews>
    <sheetView workbookViewId="0">
      <selection activeCell="D6" sqref="D6"/>
    </sheetView>
  </sheetViews>
  <sheetFormatPr defaultColWidth="28" defaultRowHeight="12.75" x14ac:dyDescent="0.2"/>
  <cols>
    <col min="1" max="1" width="33.28515625" style="39" customWidth="1"/>
    <col min="2" max="2" width="12.28515625" style="40" customWidth="1"/>
    <col min="3" max="16384" width="28" style="32"/>
  </cols>
  <sheetData>
    <row r="1" spans="1:2" ht="13.5" thickBot="1" x14ac:dyDescent="0.25">
      <c r="A1" s="41" t="s">
        <v>40</v>
      </c>
      <c r="B1" s="41" t="s">
        <v>41</v>
      </c>
    </row>
    <row r="2" spans="1:2" ht="13.5" thickTop="1" x14ac:dyDescent="0.2">
      <c r="A2" s="33" t="s">
        <v>36</v>
      </c>
      <c r="B2" s="34" t="s">
        <v>37</v>
      </c>
    </row>
    <row r="3" spans="1:2" x14ac:dyDescent="0.2">
      <c r="A3" s="35" t="s">
        <v>38</v>
      </c>
      <c r="B3" s="36" t="s">
        <v>39</v>
      </c>
    </row>
    <row r="4" spans="1:2" x14ac:dyDescent="0.2">
      <c r="A4" s="35" t="s">
        <v>42</v>
      </c>
      <c r="B4" s="36" t="s">
        <v>43</v>
      </c>
    </row>
    <row r="5" spans="1:2" x14ac:dyDescent="0.2">
      <c r="A5" s="35" t="s">
        <v>44</v>
      </c>
      <c r="B5" s="36" t="s">
        <v>45</v>
      </c>
    </row>
    <row r="6" spans="1:2" x14ac:dyDescent="0.2">
      <c r="A6" s="35" t="s">
        <v>46</v>
      </c>
      <c r="B6" s="36" t="s">
        <v>47</v>
      </c>
    </row>
    <row r="7" spans="1:2" x14ac:dyDescent="0.2">
      <c r="A7" s="35" t="s">
        <v>48</v>
      </c>
      <c r="B7" s="36" t="s">
        <v>49</v>
      </c>
    </row>
    <row r="8" spans="1:2" x14ac:dyDescent="0.2">
      <c r="A8" s="35" t="s">
        <v>50</v>
      </c>
      <c r="B8" s="36" t="s">
        <v>51</v>
      </c>
    </row>
    <row r="9" spans="1:2" x14ac:dyDescent="0.2">
      <c r="A9" s="35" t="s">
        <v>52</v>
      </c>
      <c r="B9" s="36" t="s">
        <v>53</v>
      </c>
    </row>
    <row r="10" spans="1:2" x14ac:dyDescent="0.2">
      <c r="A10" s="35" t="s">
        <v>54</v>
      </c>
      <c r="B10" s="36" t="s">
        <v>55</v>
      </c>
    </row>
    <row r="11" spans="1:2" x14ac:dyDescent="0.2">
      <c r="A11" s="35" t="s">
        <v>56</v>
      </c>
      <c r="B11" s="36" t="s">
        <v>57</v>
      </c>
    </row>
    <row r="12" spans="1:2" x14ac:dyDescent="0.2">
      <c r="A12" s="35" t="s">
        <v>58</v>
      </c>
      <c r="B12" s="36" t="s">
        <v>59</v>
      </c>
    </row>
    <row r="13" spans="1:2" x14ac:dyDescent="0.2">
      <c r="A13" s="35" t="s">
        <v>60</v>
      </c>
      <c r="B13" s="36" t="s">
        <v>61</v>
      </c>
    </row>
    <row r="14" spans="1:2" x14ac:dyDescent="0.2">
      <c r="A14" s="35" t="s">
        <v>62</v>
      </c>
      <c r="B14" s="36" t="s">
        <v>63</v>
      </c>
    </row>
    <row r="15" spans="1:2" x14ac:dyDescent="0.2">
      <c r="A15" s="35" t="s">
        <v>64</v>
      </c>
      <c r="B15" s="36" t="s">
        <v>65</v>
      </c>
    </row>
    <row r="16" spans="1:2" x14ac:dyDescent="0.2">
      <c r="A16" s="35" t="s">
        <v>66</v>
      </c>
      <c r="B16" s="36" t="s">
        <v>67</v>
      </c>
    </row>
    <row r="17" spans="1:2" x14ac:dyDescent="0.2">
      <c r="A17" s="35" t="s">
        <v>68</v>
      </c>
      <c r="B17" s="36" t="s">
        <v>69</v>
      </c>
    </row>
    <row r="18" spans="1:2" x14ac:dyDescent="0.2">
      <c r="A18" s="35" t="s">
        <v>70</v>
      </c>
      <c r="B18" s="36" t="s">
        <v>71</v>
      </c>
    </row>
    <row r="19" spans="1:2" x14ac:dyDescent="0.2">
      <c r="A19" s="35" t="s">
        <v>72</v>
      </c>
      <c r="B19" s="36" t="s">
        <v>73</v>
      </c>
    </row>
    <row r="20" spans="1:2" x14ac:dyDescent="0.2">
      <c r="A20" s="35" t="s">
        <v>74</v>
      </c>
      <c r="B20" s="36" t="s">
        <v>75</v>
      </c>
    </row>
    <row r="21" spans="1:2" x14ac:dyDescent="0.2">
      <c r="A21" s="35" t="s">
        <v>76</v>
      </c>
      <c r="B21" s="36" t="s">
        <v>77</v>
      </c>
    </row>
    <row r="22" spans="1:2" x14ac:dyDescent="0.2">
      <c r="A22" s="35" t="s">
        <v>78</v>
      </c>
      <c r="B22" s="36" t="s">
        <v>79</v>
      </c>
    </row>
    <row r="23" spans="1:2" x14ac:dyDescent="0.2">
      <c r="A23" s="35" t="s">
        <v>80</v>
      </c>
      <c r="B23" s="36" t="s">
        <v>81</v>
      </c>
    </row>
    <row r="24" spans="1:2" x14ac:dyDescent="0.2">
      <c r="A24" s="35" t="s">
        <v>82</v>
      </c>
      <c r="B24" s="36" t="s">
        <v>83</v>
      </c>
    </row>
    <row r="25" spans="1:2" x14ac:dyDescent="0.2">
      <c r="A25" s="35" t="s">
        <v>84</v>
      </c>
      <c r="B25" s="36" t="s">
        <v>85</v>
      </c>
    </row>
    <row r="26" spans="1:2" x14ac:dyDescent="0.2">
      <c r="A26" s="35" t="s">
        <v>86</v>
      </c>
      <c r="B26" s="36" t="s">
        <v>87</v>
      </c>
    </row>
    <row r="27" spans="1:2" x14ac:dyDescent="0.2">
      <c r="A27" s="35" t="s">
        <v>88</v>
      </c>
      <c r="B27" s="36" t="s">
        <v>89</v>
      </c>
    </row>
    <row r="28" spans="1:2" x14ac:dyDescent="0.2">
      <c r="A28" s="35" t="s">
        <v>90</v>
      </c>
      <c r="B28" s="36" t="s">
        <v>91</v>
      </c>
    </row>
    <row r="29" spans="1:2" x14ac:dyDescent="0.2">
      <c r="A29" s="35" t="s">
        <v>92</v>
      </c>
      <c r="B29" s="36" t="s">
        <v>93</v>
      </c>
    </row>
    <row r="30" spans="1:2" x14ac:dyDescent="0.2">
      <c r="A30" s="35" t="s">
        <v>94</v>
      </c>
      <c r="B30" s="36" t="s">
        <v>95</v>
      </c>
    </row>
    <row r="31" spans="1:2" x14ac:dyDescent="0.2">
      <c r="A31" s="35" t="s">
        <v>96</v>
      </c>
      <c r="B31" s="36" t="s">
        <v>97</v>
      </c>
    </row>
    <row r="32" spans="1:2" x14ac:dyDescent="0.2">
      <c r="A32" s="35" t="s">
        <v>98</v>
      </c>
      <c r="B32" s="36" t="s">
        <v>99</v>
      </c>
    </row>
    <row r="33" spans="1:2" x14ac:dyDescent="0.2">
      <c r="A33" s="35" t="s">
        <v>100</v>
      </c>
      <c r="B33" s="36" t="s">
        <v>101</v>
      </c>
    </row>
    <row r="34" spans="1:2" x14ac:dyDescent="0.2">
      <c r="A34" s="35" t="s">
        <v>102</v>
      </c>
      <c r="B34" s="36" t="s">
        <v>103</v>
      </c>
    </row>
    <row r="35" spans="1:2" x14ac:dyDescent="0.2">
      <c r="A35" s="35" t="s">
        <v>104</v>
      </c>
      <c r="B35" s="36" t="s">
        <v>105</v>
      </c>
    </row>
    <row r="36" spans="1:2" x14ac:dyDescent="0.2">
      <c r="A36" s="35" t="s">
        <v>106</v>
      </c>
      <c r="B36" s="36" t="s">
        <v>107</v>
      </c>
    </row>
    <row r="37" spans="1:2" x14ac:dyDescent="0.2">
      <c r="A37" s="35" t="s">
        <v>108</v>
      </c>
      <c r="B37" s="36" t="s">
        <v>109</v>
      </c>
    </row>
    <row r="38" spans="1:2" x14ac:dyDescent="0.2">
      <c r="A38" s="35" t="s">
        <v>110</v>
      </c>
      <c r="B38" s="36" t="s">
        <v>111</v>
      </c>
    </row>
    <row r="39" spans="1:2" x14ac:dyDescent="0.2">
      <c r="A39" s="35" t="s">
        <v>112</v>
      </c>
      <c r="B39" s="36" t="s">
        <v>113</v>
      </c>
    </row>
    <row r="40" spans="1:2" x14ac:dyDescent="0.2">
      <c r="A40" s="35" t="s">
        <v>114</v>
      </c>
      <c r="B40" s="36" t="s">
        <v>115</v>
      </c>
    </row>
    <row r="41" spans="1:2" x14ac:dyDescent="0.2">
      <c r="A41" s="35" t="s">
        <v>116</v>
      </c>
      <c r="B41" s="36" t="s">
        <v>117</v>
      </c>
    </row>
    <row r="42" spans="1:2" x14ac:dyDescent="0.2">
      <c r="A42" s="35" t="s">
        <v>118</v>
      </c>
      <c r="B42" s="36" t="s">
        <v>119</v>
      </c>
    </row>
    <row r="43" spans="1:2" x14ac:dyDescent="0.2">
      <c r="A43" s="35" t="s">
        <v>120</v>
      </c>
      <c r="B43" s="36" t="s">
        <v>121</v>
      </c>
    </row>
    <row r="44" spans="1:2" x14ac:dyDescent="0.2">
      <c r="A44" s="35" t="s">
        <v>122</v>
      </c>
      <c r="B44" s="36" t="s">
        <v>123</v>
      </c>
    </row>
    <row r="45" spans="1:2" x14ac:dyDescent="0.2">
      <c r="A45" s="35" t="s">
        <v>124</v>
      </c>
      <c r="B45" s="36" t="s">
        <v>125</v>
      </c>
    </row>
    <row r="46" spans="1:2" x14ac:dyDescent="0.2">
      <c r="A46" s="35" t="s">
        <v>126</v>
      </c>
      <c r="B46" s="36" t="s">
        <v>127</v>
      </c>
    </row>
    <row r="47" spans="1:2" x14ac:dyDescent="0.2">
      <c r="A47" s="35" t="s">
        <v>128</v>
      </c>
      <c r="B47" s="36" t="s">
        <v>129</v>
      </c>
    </row>
    <row r="48" spans="1:2" x14ac:dyDescent="0.2">
      <c r="A48" s="35" t="s">
        <v>130</v>
      </c>
      <c r="B48" s="36" t="s">
        <v>131</v>
      </c>
    </row>
    <row r="49" spans="1:2" x14ac:dyDescent="0.2">
      <c r="A49" s="35" t="s">
        <v>132</v>
      </c>
      <c r="B49" s="36" t="s">
        <v>133</v>
      </c>
    </row>
    <row r="50" spans="1:2" x14ac:dyDescent="0.2">
      <c r="A50" s="35" t="s">
        <v>134</v>
      </c>
      <c r="B50" s="36" t="s">
        <v>135</v>
      </c>
    </row>
    <row r="51" spans="1:2" x14ac:dyDescent="0.2">
      <c r="A51" s="35" t="s">
        <v>136</v>
      </c>
      <c r="B51" s="36" t="s">
        <v>137</v>
      </c>
    </row>
    <row r="52" spans="1:2" x14ac:dyDescent="0.2">
      <c r="A52" s="35" t="s">
        <v>138</v>
      </c>
      <c r="B52" s="36" t="s">
        <v>139</v>
      </c>
    </row>
    <row r="53" spans="1:2" x14ac:dyDescent="0.2">
      <c r="A53" s="35" t="s">
        <v>140</v>
      </c>
      <c r="B53" s="36" t="s">
        <v>141</v>
      </c>
    </row>
    <row r="54" spans="1:2" x14ac:dyDescent="0.2">
      <c r="A54" s="35" t="s">
        <v>142</v>
      </c>
      <c r="B54" s="36" t="s">
        <v>143</v>
      </c>
    </row>
    <row r="55" spans="1:2" x14ac:dyDescent="0.2">
      <c r="A55" s="35" t="s">
        <v>144</v>
      </c>
      <c r="B55" s="36" t="s">
        <v>145</v>
      </c>
    </row>
    <row r="56" spans="1:2" x14ac:dyDescent="0.2">
      <c r="A56" s="35" t="s">
        <v>146</v>
      </c>
      <c r="B56" s="36" t="s">
        <v>147</v>
      </c>
    </row>
    <row r="57" spans="1:2" x14ac:dyDescent="0.2">
      <c r="A57" s="35" t="s">
        <v>148</v>
      </c>
      <c r="B57" s="36" t="s">
        <v>149</v>
      </c>
    </row>
    <row r="58" spans="1:2" x14ac:dyDescent="0.2">
      <c r="A58" s="35" t="s">
        <v>150</v>
      </c>
      <c r="B58" s="36" t="s">
        <v>151</v>
      </c>
    </row>
    <row r="59" spans="1:2" ht="25.5" x14ac:dyDescent="0.2">
      <c r="A59" s="35" t="s">
        <v>152</v>
      </c>
      <c r="B59" s="36" t="s">
        <v>153</v>
      </c>
    </row>
    <row r="60" spans="1:2" x14ac:dyDescent="0.2">
      <c r="A60" s="35" t="s">
        <v>154</v>
      </c>
      <c r="B60" s="36" t="s">
        <v>155</v>
      </c>
    </row>
    <row r="61" spans="1:2" x14ac:dyDescent="0.2">
      <c r="A61" s="35" t="s">
        <v>156</v>
      </c>
      <c r="B61" s="36" t="s">
        <v>157</v>
      </c>
    </row>
    <row r="62" spans="1:2" x14ac:dyDescent="0.2">
      <c r="A62" s="35" t="s">
        <v>158</v>
      </c>
      <c r="B62" s="36" t="s">
        <v>159</v>
      </c>
    </row>
    <row r="63" spans="1:2" x14ac:dyDescent="0.2">
      <c r="A63" s="35" t="s">
        <v>160</v>
      </c>
      <c r="B63" s="36" t="s">
        <v>161</v>
      </c>
    </row>
    <row r="64" spans="1:2" x14ac:dyDescent="0.2">
      <c r="A64" s="35" t="s">
        <v>162</v>
      </c>
      <c r="B64" s="36" t="s">
        <v>163</v>
      </c>
    </row>
    <row r="65" spans="1:2" x14ac:dyDescent="0.2">
      <c r="A65" s="35" t="s">
        <v>164</v>
      </c>
      <c r="B65" s="36" t="s">
        <v>165</v>
      </c>
    </row>
    <row r="66" spans="1:2" x14ac:dyDescent="0.2">
      <c r="A66" s="35" t="s">
        <v>166</v>
      </c>
      <c r="B66" s="36" t="s">
        <v>167</v>
      </c>
    </row>
    <row r="67" spans="1:2" x14ac:dyDescent="0.2">
      <c r="A67" s="35" t="s">
        <v>168</v>
      </c>
      <c r="B67" s="36" t="s">
        <v>169</v>
      </c>
    </row>
    <row r="68" spans="1:2" x14ac:dyDescent="0.2">
      <c r="A68" s="35" t="s">
        <v>170</v>
      </c>
      <c r="B68" s="36" t="s">
        <v>171</v>
      </c>
    </row>
    <row r="69" spans="1:2" x14ac:dyDescent="0.2">
      <c r="A69" s="35" t="s">
        <v>172</v>
      </c>
      <c r="B69" s="36" t="s">
        <v>173</v>
      </c>
    </row>
    <row r="70" spans="1:2" x14ac:dyDescent="0.2">
      <c r="A70" s="35" t="s">
        <v>174</v>
      </c>
      <c r="B70" s="36" t="s">
        <v>175</v>
      </c>
    </row>
    <row r="71" spans="1:2" x14ac:dyDescent="0.2">
      <c r="A71" s="35" t="s">
        <v>176</v>
      </c>
      <c r="B71" s="36" t="s">
        <v>177</v>
      </c>
    </row>
    <row r="72" spans="1:2" x14ac:dyDescent="0.2">
      <c r="A72" s="35" t="s">
        <v>178</v>
      </c>
      <c r="B72" s="36" t="s">
        <v>179</v>
      </c>
    </row>
    <row r="73" spans="1:2" x14ac:dyDescent="0.2">
      <c r="A73" s="35" t="s">
        <v>180</v>
      </c>
      <c r="B73" s="36" t="s">
        <v>181</v>
      </c>
    </row>
    <row r="74" spans="1:2" x14ac:dyDescent="0.2">
      <c r="A74" s="35" t="s">
        <v>182</v>
      </c>
      <c r="B74" s="36" t="s">
        <v>183</v>
      </c>
    </row>
    <row r="75" spans="1:2" x14ac:dyDescent="0.2">
      <c r="A75" s="35" t="s">
        <v>184</v>
      </c>
      <c r="B75" s="36" t="s">
        <v>185</v>
      </c>
    </row>
    <row r="76" spans="1:2" x14ac:dyDescent="0.2">
      <c r="A76" s="35" t="s">
        <v>186</v>
      </c>
      <c r="B76" s="36" t="s">
        <v>187</v>
      </c>
    </row>
    <row r="77" spans="1:2" x14ac:dyDescent="0.2">
      <c r="A77" s="35" t="s">
        <v>188</v>
      </c>
      <c r="B77" s="36" t="s">
        <v>189</v>
      </c>
    </row>
    <row r="78" spans="1:2" x14ac:dyDescent="0.2">
      <c r="A78" s="35" t="s">
        <v>188</v>
      </c>
      <c r="B78" s="36" t="s">
        <v>190</v>
      </c>
    </row>
    <row r="79" spans="1:2" x14ac:dyDescent="0.2">
      <c r="A79" s="35" t="s">
        <v>191</v>
      </c>
      <c r="B79" s="36" t="s">
        <v>192</v>
      </c>
    </row>
    <row r="80" spans="1:2" x14ac:dyDescent="0.2">
      <c r="A80" s="35" t="s">
        <v>193</v>
      </c>
      <c r="B80" s="36" t="s">
        <v>194</v>
      </c>
    </row>
    <row r="81" spans="1:2" x14ac:dyDescent="0.2">
      <c r="A81" s="35" t="s">
        <v>195</v>
      </c>
      <c r="B81" s="36" t="s">
        <v>196</v>
      </c>
    </row>
    <row r="82" spans="1:2" x14ac:dyDescent="0.2">
      <c r="A82" s="37" t="s">
        <v>197</v>
      </c>
      <c r="B82" s="38" t="s">
        <v>218</v>
      </c>
    </row>
    <row r="83" spans="1:2" x14ac:dyDescent="0.2">
      <c r="A83" s="37" t="s">
        <v>198</v>
      </c>
      <c r="B83" s="38" t="s">
        <v>219</v>
      </c>
    </row>
    <row r="84" spans="1:2" x14ac:dyDescent="0.2">
      <c r="A84" s="37" t="s">
        <v>199</v>
      </c>
      <c r="B84" s="38" t="s">
        <v>220</v>
      </c>
    </row>
    <row r="85" spans="1:2" x14ac:dyDescent="0.2">
      <c r="A85" s="37" t="s">
        <v>200</v>
      </c>
      <c r="B85" s="38" t="s">
        <v>221</v>
      </c>
    </row>
    <row r="86" spans="1:2" x14ac:dyDescent="0.2">
      <c r="A86" s="37" t="s">
        <v>201</v>
      </c>
      <c r="B86" s="38" t="s">
        <v>222</v>
      </c>
    </row>
    <row r="87" spans="1:2" x14ac:dyDescent="0.2">
      <c r="A87" s="37" t="s">
        <v>202</v>
      </c>
      <c r="B87" s="38" t="s">
        <v>223</v>
      </c>
    </row>
    <row r="88" spans="1:2" x14ac:dyDescent="0.2">
      <c r="A88" s="37" t="s">
        <v>203</v>
      </c>
      <c r="B88" s="38" t="s">
        <v>224</v>
      </c>
    </row>
    <row r="89" spans="1:2" x14ac:dyDescent="0.2">
      <c r="A89" s="37" t="s">
        <v>204</v>
      </c>
      <c r="B89" s="38" t="s">
        <v>225</v>
      </c>
    </row>
    <row r="90" spans="1:2" x14ac:dyDescent="0.2">
      <c r="A90" s="37" t="s">
        <v>205</v>
      </c>
      <c r="B90" s="38" t="s">
        <v>226</v>
      </c>
    </row>
    <row r="91" spans="1:2" x14ac:dyDescent="0.2">
      <c r="A91" s="37" t="s">
        <v>206</v>
      </c>
      <c r="B91" s="38" t="s">
        <v>227</v>
      </c>
    </row>
    <row r="92" spans="1:2" x14ac:dyDescent="0.2">
      <c r="A92" s="37" t="s">
        <v>207</v>
      </c>
      <c r="B92" s="38" t="s">
        <v>228</v>
      </c>
    </row>
    <row r="93" spans="1:2" x14ac:dyDescent="0.2">
      <c r="A93" s="37" t="s">
        <v>207</v>
      </c>
      <c r="B93" s="38" t="s">
        <v>229</v>
      </c>
    </row>
    <row r="94" spans="1:2" x14ac:dyDescent="0.2">
      <c r="A94" s="37" t="s">
        <v>208</v>
      </c>
      <c r="B94" s="38" t="s">
        <v>230</v>
      </c>
    </row>
    <row r="95" spans="1:2" x14ac:dyDescent="0.2">
      <c r="A95" s="37" t="s">
        <v>209</v>
      </c>
      <c r="B95" s="38" t="s">
        <v>231</v>
      </c>
    </row>
    <row r="96" spans="1:2" x14ac:dyDescent="0.2">
      <c r="A96" s="37" t="s">
        <v>210</v>
      </c>
      <c r="B96" s="38" t="s">
        <v>232</v>
      </c>
    </row>
    <row r="97" spans="1:2" x14ac:dyDescent="0.2">
      <c r="A97" s="37" t="s">
        <v>211</v>
      </c>
      <c r="B97" s="38" t="s">
        <v>233</v>
      </c>
    </row>
    <row r="98" spans="1:2" x14ac:dyDescent="0.2">
      <c r="A98" s="37" t="s">
        <v>212</v>
      </c>
      <c r="B98" s="38" t="s">
        <v>234</v>
      </c>
    </row>
    <row r="99" spans="1:2" x14ac:dyDescent="0.2">
      <c r="A99" s="37" t="s">
        <v>213</v>
      </c>
      <c r="B99" s="38" t="s">
        <v>235</v>
      </c>
    </row>
    <row r="100" spans="1:2" x14ac:dyDescent="0.2">
      <c r="A100" s="37" t="s">
        <v>214</v>
      </c>
      <c r="B100" s="38" t="s">
        <v>236</v>
      </c>
    </row>
    <row r="101" spans="1:2" x14ac:dyDescent="0.2">
      <c r="A101" s="37" t="s">
        <v>215</v>
      </c>
      <c r="B101" s="38" t="s">
        <v>237</v>
      </c>
    </row>
    <row r="102" spans="1:2" x14ac:dyDescent="0.2">
      <c r="A102" s="37" t="s">
        <v>216</v>
      </c>
      <c r="B102" s="38" t="s">
        <v>238</v>
      </c>
    </row>
    <row r="103" spans="1:2" x14ac:dyDescent="0.2">
      <c r="A103" s="37" t="s">
        <v>217</v>
      </c>
      <c r="B103" s="38" t="s">
        <v>239</v>
      </c>
    </row>
    <row r="104" spans="1:2" x14ac:dyDescent="0.2">
      <c r="A104" s="37" t="s">
        <v>240</v>
      </c>
      <c r="B104" s="38" t="s">
        <v>229</v>
      </c>
    </row>
    <row r="105" spans="1:2" x14ac:dyDescent="0.2">
      <c r="A105" s="37" t="s">
        <v>241</v>
      </c>
      <c r="B105" s="38" t="s">
        <v>242</v>
      </c>
    </row>
    <row r="106" spans="1:2" x14ac:dyDescent="0.2">
      <c r="A106" s="37" t="s">
        <v>243</v>
      </c>
      <c r="B106" s="38" t="s">
        <v>244</v>
      </c>
    </row>
    <row r="107" spans="1:2" x14ac:dyDescent="0.2">
      <c r="A107" s="37" t="s">
        <v>245</v>
      </c>
      <c r="B107" s="38" t="s">
        <v>246</v>
      </c>
    </row>
    <row r="108" spans="1:2" x14ac:dyDescent="0.2">
      <c r="A108" s="37" t="s">
        <v>247</v>
      </c>
      <c r="B108" s="38" t="s">
        <v>248</v>
      </c>
    </row>
    <row r="109" spans="1:2" x14ac:dyDescent="0.2">
      <c r="A109" s="37" t="s">
        <v>249</v>
      </c>
      <c r="B109" s="38" t="s">
        <v>250</v>
      </c>
    </row>
    <row r="110" spans="1:2" x14ac:dyDescent="0.2">
      <c r="A110" s="37" t="s">
        <v>251</v>
      </c>
      <c r="B110" s="38" t="s">
        <v>252</v>
      </c>
    </row>
    <row r="111" spans="1:2" x14ac:dyDescent="0.2">
      <c r="A111" s="37" t="s">
        <v>253</v>
      </c>
      <c r="B111" s="38" t="s">
        <v>254</v>
      </c>
    </row>
    <row r="112" spans="1:2" x14ac:dyDescent="0.2">
      <c r="A112" s="37" t="s">
        <v>255</v>
      </c>
      <c r="B112" s="38" t="s">
        <v>256</v>
      </c>
    </row>
    <row r="113" spans="1:2" x14ac:dyDescent="0.2">
      <c r="A113" s="37" t="s">
        <v>257</v>
      </c>
      <c r="B113" s="38" t="s">
        <v>258</v>
      </c>
    </row>
    <row r="114" spans="1:2" x14ac:dyDescent="0.2">
      <c r="A114" s="37" t="s">
        <v>259</v>
      </c>
      <c r="B114" s="38" t="s">
        <v>260</v>
      </c>
    </row>
    <row r="115" spans="1:2" x14ac:dyDescent="0.2">
      <c r="A115" s="37" t="s">
        <v>261</v>
      </c>
      <c r="B115" s="38" t="s">
        <v>262</v>
      </c>
    </row>
    <row r="116" spans="1:2" x14ac:dyDescent="0.2">
      <c r="A116" s="37" t="s">
        <v>263</v>
      </c>
      <c r="B116" s="38" t="s">
        <v>264</v>
      </c>
    </row>
    <row r="117" spans="1:2" x14ac:dyDescent="0.2">
      <c r="A117" s="37" t="s">
        <v>265</v>
      </c>
      <c r="B117" s="38" t="s">
        <v>266</v>
      </c>
    </row>
    <row r="118" spans="1:2" x14ac:dyDescent="0.2">
      <c r="A118" s="37" t="s">
        <v>267</v>
      </c>
      <c r="B118" s="38" t="s">
        <v>268</v>
      </c>
    </row>
    <row r="119" spans="1:2" x14ac:dyDescent="0.2">
      <c r="A119" s="37" t="s">
        <v>269</v>
      </c>
      <c r="B119" s="38" t="s">
        <v>270</v>
      </c>
    </row>
    <row r="120" spans="1:2" x14ac:dyDescent="0.2">
      <c r="A120" s="37" t="s">
        <v>271</v>
      </c>
      <c r="B120" s="38" t="s">
        <v>272</v>
      </c>
    </row>
    <row r="121" spans="1:2" x14ac:dyDescent="0.2">
      <c r="A121" s="37" t="s">
        <v>273</v>
      </c>
      <c r="B121" s="38" t="s">
        <v>274</v>
      </c>
    </row>
    <row r="122" spans="1:2" x14ac:dyDescent="0.2">
      <c r="A122" s="37" t="s">
        <v>275</v>
      </c>
      <c r="B122" s="38" t="s">
        <v>276</v>
      </c>
    </row>
    <row r="123" spans="1:2" x14ac:dyDescent="0.2">
      <c r="A123" s="37" t="s">
        <v>277</v>
      </c>
      <c r="B123" s="38" t="s">
        <v>278</v>
      </c>
    </row>
    <row r="124" spans="1:2" x14ac:dyDescent="0.2">
      <c r="A124" s="37" t="s">
        <v>279</v>
      </c>
      <c r="B124" s="38" t="s">
        <v>280</v>
      </c>
    </row>
    <row r="125" spans="1:2" x14ac:dyDescent="0.2">
      <c r="A125" s="37" t="s">
        <v>281</v>
      </c>
      <c r="B125" s="38" t="s">
        <v>282</v>
      </c>
    </row>
    <row r="126" spans="1:2" x14ac:dyDescent="0.2">
      <c r="A126" s="37" t="s">
        <v>283</v>
      </c>
      <c r="B126" s="38" t="s">
        <v>284</v>
      </c>
    </row>
    <row r="127" spans="1:2" x14ac:dyDescent="0.2">
      <c r="A127" s="37" t="s">
        <v>285</v>
      </c>
      <c r="B127" s="38" t="s">
        <v>286</v>
      </c>
    </row>
    <row r="128" spans="1:2" x14ac:dyDescent="0.2">
      <c r="A128" s="37" t="s">
        <v>287</v>
      </c>
      <c r="B128" s="38" t="s">
        <v>288</v>
      </c>
    </row>
    <row r="129" spans="1:2" x14ac:dyDescent="0.2">
      <c r="A129" s="37" t="s">
        <v>289</v>
      </c>
      <c r="B129" s="38" t="s">
        <v>290</v>
      </c>
    </row>
    <row r="130" spans="1:2" x14ac:dyDescent="0.2">
      <c r="A130" s="37" t="s">
        <v>291</v>
      </c>
      <c r="B130" s="38" t="s">
        <v>292</v>
      </c>
    </row>
    <row r="131" spans="1:2" x14ac:dyDescent="0.2">
      <c r="A131" s="37" t="s">
        <v>293</v>
      </c>
      <c r="B131" s="38" t="s">
        <v>294</v>
      </c>
    </row>
    <row r="132" spans="1:2" x14ac:dyDescent="0.2">
      <c r="A132" s="37" t="s">
        <v>295</v>
      </c>
      <c r="B132" s="38" t="s">
        <v>296</v>
      </c>
    </row>
    <row r="133" spans="1:2" x14ac:dyDescent="0.2">
      <c r="A133" s="37" t="s">
        <v>297</v>
      </c>
      <c r="B133" s="38" t="s">
        <v>298</v>
      </c>
    </row>
    <row r="134" spans="1:2" x14ac:dyDescent="0.2">
      <c r="A134" s="37" t="s">
        <v>299</v>
      </c>
      <c r="B134" s="38" t="s">
        <v>300</v>
      </c>
    </row>
    <row r="135" spans="1:2" x14ac:dyDescent="0.2">
      <c r="A135" s="37" t="s">
        <v>301</v>
      </c>
      <c r="B135" s="38" t="s">
        <v>302</v>
      </c>
    </row>
    <row r="136" spans="1:2" x14ac:dyDescent="0.2">
      <c r="A136" s="37" t="s">
        <v>303</v>
      </c>
      <c r="B136" s="38" t="s">
        <v>304</v>
      </c>
    </row>
    <row r="137" spans="1:2" x14ac:dyDescent="0.2">
      <c r="A137" s="37" t="s">
        <v>305</v>
      </c>
      <c r="B137" s="38" t="s">
        <v>306</v>
      </c>
    </row>
    <row r="138" spans="1:2" x14ac:dyDescent="0.2">
      <c r="A138" s="37" t="s">
        <v>307</v>
      </c>
      <c r="B138" s="38" t="s">
        <v>308</v>
      </c>
    </row>
    <row r="139" spans="1:2" x14ac:dyDescent="0.2">
      <c r="A139" s="37" t="s">
        <v>309</v>
      </c>
      <c r="B139" s="38" t="s">
        <v>310</v>
      </c>
    </row>
    <row r="140" spans="1:2" x14ac:dyDescent="0.2">
      <c r="A140" s="37" t="s">
        <v>311</v>
      </c>
      <c r="B140" s="38" t="s">
        <v>312</v>
      </c>
    </row>
    <row r="141" spans="1:2" x14ac:dyDescent="0.2">
      <c r="A141" s="37" t="s">
        <v>313</v>
      </c>
      <c r="B141" s="38" t="s">
        <v>314</v>
      </c>
    </row>
    <row r="142" spans="1:2" x14ac:dyDescent="0.2">
      <c r="A142" s="37" t="s">
        <v>315</v>
      </c>
      <c r="B142" s="38" t="s">
        <v>316</v>
      </c>
    </row>
    <row r="143" spans="1:2" x14ac:dyDescent="0.2">
      <c r="A143" s="37" t="s">
        <v>317</v>
      </c>
      <c r="B143" s="38" t="s">
        <v>318</v>
      </c>
    </row>
    <row r="144" spans="1:2" x14ac:dyDescent="0.2">
      <c r="A144" s="37" t="s">
        <v>319</v>
      </c>
      <c r="B144" s="38" t="s">
        <v>320</v>
      </c>
    </row>
    <row r="145" spans="1:2" x14ac:dyDescent="0.2">
      <c r="A145" s="37" t="s">
        <v>321</v>
      </c>
      <c r="B145" s="38" t="s">
        <v>322</v>
      </c>
    </row>
    <row r="146" spans="1:2" x14ac:dyDescent="0.2">
      <c r="A146" s="37" t="s">
        <v>323</v>
      </c>
      <c r="B146" s="38" t="s">
        <v>324</v>
      </c>
    </row>
    <row r="147" spans="1:2" x14ac:dyDescent="0.2">
      <c r="A147" s="37" t="s">
        <v>325</v>
      </c>
      <c r="B147" s="38" t="s">
        <v>326</v>
      </c>
    </row>
    <row r="148" spans="1:2" x14ac:dyDescent="0.2">
      <c r="A148" s="37" t="s">
        <v>327</v>
      </c>
      <c r="B148" s="38" t="s">
        <v>328</v>
      </c>
    </row>
    <row r="149" spans="1:2" x14ac:dyDescent="0.2">
      <c r="A149" s="37" t="s">
        <v>329</v>
      </c>
      <c r="B149" s="38" t="s">
        <v>330</v>
      </c>
    </row>
    <row r="150" spans="1:2" x14ac:dyDescent="0.2">
      <c r="A150" s="37" t="s">
        <v>331</v>
      </c>
      <c r="B150" s="38" t="s">
        <v>332</v>
      </c>
    </row>
    <row r="151" spans="1:2" x14ac:dyDescent="0.2">
      <c r="A151" s="37" t="s">
        <v>333</v>
      </c>
      <c r="B151" s="38" t="s">
        <v>334</v>
      </c>
    </row>
    <row r="152" spans="1:2" x14ac:dyDescent="0.2">
      <c r="A152" s="37" t="s">
        <v>335</v>
      </c>
      <c r="B152" s="38" t="s">
        <v>336</v>
      </c>
    </row>
    <row r="153" spans="1:2" x14ac:dyDescent="0.2">
      <c r="A153" s="37" t="s">
        <v>337</v>
      </c>
      <c r="B153" s="38" t="s">
        <v>338</v>
      </c>
    </row>
    <row r="154" spans="1:2" x14ac:dyDescent="0.2">
      <c r="A154" s="37" t="s">
        <v>339</v>
      </c>
      <c r="B154" s="38" t="s">
        <v>340</v>
      </c>
    </row>
    <row r="155" spans="1:2" x14ac:dyDescent="0.2">
      <c r="A155" s="37" t="s">
        <v>341</v>
      </c>
      <c r="B155" s="38" t="s">
        <v>342</v>
      </c>
    </row>
    <row r="156" spans="1:2" x14ac:dyDescent="0.2">
      <c r="A156" s="37" t="s">
        <v>343</v>
      </c>
      <c r="B156" s="38" t="s">
        <v>344</v>
      </c>
    </row>
    <row r="157" spans="1:2" x14ac:dyDescent="0.2">
      <c r="A157" s="37" t="s">
        <v>345</v>
      </c>
      <c r="B157" s="38" t="s">
        <v>346</v>
      </c>
    </row>
    <row r="158" spans="1:2" x14ac:dyDescent="0.2">
      <c r="A158" s="37" t="s">
        <v>347</v>
      </c>
      <c r="B158" s="38" t="s">
        <v>348</v>
      </c>
    </row>
    <row r="159" spans="1:2" x14ac:dyDescent="0.2">
      <c r="A159" s="37" t="s">
        <v>349</v>
      </c>
      <c r="B159" s="38" t="s">
        <v>350</v>
      </c>
    </row>
    <row r="160" spans="1:2" x14ac:dyDescent="0.2">
      <c r="A160" s="37" t="s">
        <v>351</v>
      </c>
      <c r="B160" s="38" t="s">
        <v>352</v>
      </c>
    </row>
    <row r="161" spans="1:2" x14ac:dyDescent="0.2">
      <c r="A161" s="37" t="s">
        <v>353</v>
      </c>
      <c r="B161" s="38" t="s">
        <v>354</v>
      </c>
    </row>
    <row r="162" spans="1:2" x14ac:dyDescent="0.2">
      <c r="A162" s="37" t="s">
        <v>355</v>
      </c>
      <c r="B162" s="38" t="s">
        <v>356</v>
      </c>
    </row>
    <row r="163" spans="1:2" x14ac:dyDescent="0.2">
      <c r="A163" s="37" t="s">
        <v>357</v>
      </c>
      <c r="B163" s="38" t="s">
        <v>358</v>
      </c>
    </row>
    <row r="164" spans="1:2" x14ac:dyDescent="0.2">
      <c r="A164" s="37" t="s">
        <v>359</v>
      </c>
      <c r="B164" s="38" t="s">
        <v>360</v>
      </c>
    </row>
    <row r="165" spans="1:2" x14ac:dyDescent="0.2">
      <c r="A165" s="37" t="s">
        <v>361</v>
      </c>
      <c r="B165" s="38" t="s">
        <v>362</v>
      </c>
    </row>
    <row r="166" spans="1:2" x14ac:dyDescent="0.2">
      <c r="A166" s="37" t="s">
        <v>363</v>
      </c>
      <c r="B166" s="38" t="s">
        <v>364</v>
      </c>
    </row>
    <row r="167" spans="1:2" x14ac:dyDescent="0.2">
      <c r="A167" s="37" t="s">
        <v>365</v>
      </c>
      <c r="B167" s="38" t="s">
        <v>366</v>
      </c>
    </row>
    <row r="168" spans="1:2" x14ac:dyDescent="0.2">
      <c r="A168" s="37" t="s">
        <v>367</v>
      </c>
      <c r="B168" s="38" t="s">
        <v>368</v>
      </c>
    </row>
    <row r="169" spans="1:2" x14ac:dyDescent="0.2">
      <c r="A169" s="37" t="s">
        <v>369</v>
      </c>
      <c r="B169" s="38" t="s">
        <v>370</v>
      </c>
    </row>
    <row r="170" spans="1:2" x14ac:dyDescent="0.2">
      <c r="A170" s="37" t="s">
        <v>371</v>
      </c>
      <c r="B170" s="38" t="s">
        <v>372</v>
      </c>
    </row>
    <row r="171" spans="1:2" x14ac:dyDescent="0.2">
      <c r="A171" s="37" t="s">
        <v>373</v>
      </c>
      <c r="B171" s="38" t="s">
        <v>374</v>
      </c>
    </row>
    <row r="172" spans="1:2" x14ac:dyDescent="0.2">
      <c r="A172" s="37" t="s">
        <v>375</v>
      </c>
      <c r="B172" s="38" t="s">
        <v>376</v>
      </c>
    </row>
    <row r="173" spans="1:2" x14ac:dyDescent="0.2">
      <c r="A173" s="37" t="s">
        <v>377</v>
      </c>
      <c r="B173" s="38" t="s">
        <v>378</v>
      </c>
    </row>
    <row r="174" spans="1:2" x14ac:dyDescent="0.2">
      <c r="A174" s="37" t="s">
        <v>379</v>
      </c>
      <c r="B174" s="38" t="s">
        <v>380</v>
      </c>
    </row>
    <row r="175" spans="1:2" x14ac:dyDescent="0.2">
      <c r="A175" s="37" t="s">
        <v>381</v>
      </c>
      <c r="B175" s="38" t="s">
        <v>382</v>
      </c>
    </row>
    <row r="176" spans="1:2" x14ac:dyDescent="0.2">
      <c r="A176" s="37" t="s">
        <v>383</v>
      </c>
      <c r="B176" s="38" t="s">
        <v>384</v>
      </c>
    </row>
    <row r="177" spans="1:2" x14ac:dyDescent="0.2">
      <c r="A177" s="37" t="s">
        <v>385</v>
      </c>
      <c r="B177" s="38" t="s">
        <v>386</v>
      </c>
    </row>
    <row r="178" spans="1:2" x14ac:dyDescent="0.2">
      <c r="A178" s="37" t="s">
        <v>387</v>
      </c>
      <c r="B178" s="38" t="s">
        <v>388</v>
      </c>
    </row>
    <row r="179" spans="1:2" x14ac:dyDescent="0.2">
      <c r="A179" s="37" t="s">
        <v>389</v>
      </c>
      <c r="B179" s="38" t="s">
        <v>390</v>
      </c>
    </row>
    <row r="180" spans="1:2" x14ac:dyDescent="0.2">
      <c r="A180" s="37" t="s">
        <v>391</v>
      </c>
      <c r="B180" s="38" t="s">
        <v>392</v>
      </c>
    </row>
    <row r="181" spans="1:2" x14ac:dyDescent="0.2">
      <c r="A181" s="37" t="s">
        <v>393</v>
      </c>
      <c r="B181" s="38" t="s">
        <v>394</v>
      </c>
    </row>
    <row r="182" spans="1:2" x14ac:dyDescent="0.2">
      <c r="A182" s="37" t="s">
        <v>395</v>
      </c>
      <c r="B182" s="38" t="s">
        <v>396</v>
      </c>
    </row>
    <row r="183" spans="1:2" x14ac:dyDescent="0.2">
      <c r="A183" s="37" t="s">
        <v>397</v>
      </c>
      <c r="B183" s="38" t="s">
        <v>398</v>
      </c>
    </row>
    <row r="184" spans="1:2" x14ac:dyDescent="0.2">
      <c r="A184" s="37" t="s">
        <v>399</v>
      </c>
      <c r="B184" s="38" t="s">
        <v>400</v>
      </c>
    </row>
    <row r="185" spans="1:2" x14ac:dyDescent="0.2">
      <c r="A185" s="37" t="s">
        <v>401</v>
      </c>
      <c r="B185" s="38" t="s">
        <v>402</v>
      </c>
    </row>
    <row r="186" spans="1:2" x14ac:dyDescent="0.2">
      <c r="A186" s="37" t="s">
        <v>403</v>
      </c>
      <c r="B186" s="38" t="s">
        <v>404</v>
      </c>
    </row>
    <row r="187" spans="1:2" x14ac:dyDescent="0.2">
      <c r="A187" s="37" t="s">
        <v>405</v>
      </c>
      <c r="B187" s="38" t="s">
        <v>406</v>
      </c>
    </row>
    <row r="188" spans="1:2" x14ac:dyDescent="0.2">
      <c r="A188" s="37" t="s">
        <v>407</v>
      </c>
      <c r="B188" s="38" t="s">
        <v>408</v>
      </c>
    </row>
    <row r="189" spans="1:2" x14ac:dyDescent="0.2">
      <c r="A189" s="37" t="s">
        <v>409</v>
      </c>
      <c r="B189" s="38" t="s">
        <v>410</v>
      </c>
    </row>
    <row r="190" spans="1:2" x14ac:dyDescent="0.2">
      <c r="A190" s="37" t="s">
        <v>411</v>
      </c>
      <c r="B190" s="38" t="s">
        <v>412</v>
      </c>
    </row>
    <row r="191" spans="1:2" x14ac:dyDescent="0.2">
      <c r="A191" s="37" t="s">
        <v>413</v>
      </c>
      <c r="B191" s="38" t="s">
        <v>414</v>
      </c>
    </row>
    <row r="192" spans="1:2" x14ac:dyDescent="0.2">
      <c r="A192" s="37" t="s">
        <v>415</v>
      </c>
      <c r="B192" s="38" t="s">
        <v>416</v>
      </c>
    </row>
    <row r="193" spans="1:2" x14ac:dyDescent="0.2">
      <c r="A193" s="37" t="s">
        <v>417</v>
      </c>
      <c r="B193" s="38" t="s">
        <v>43</v>
      </c>
    </row>
    <row r="194" spans="1:2" x14ac:dyDescent="0.2">
      <c r="A194" s="37" t="s">
        <v>418</v>
      </c>
      <c r="B194" s="38" t="s">
        <v>419</v>
      </c>
    </row>
    <row r="195" spans="1:2" x14ac:dyDescent="0.2">
      <c r="A195" s="37" t="s">
        <v>420</v>
      </c>
      <c r="B195" s="38" t="s">
        <v>421</v>
      </c>
    </row>
    <row r="196" spans="1:2" x14ac:dyDescent="0.2">
      <c r="A196" s="37" t="s">
        <v>422</v>
      </c>
      <c r="B196" s="38" t="s">
        <v>423</v>
      </c>
    </row>
    <row r="197" spans="1:2" x14ac:dyDescent="0.2">
      <c r="A197" s="37" t="s">
        <v>424</v>
      </c>
      <c r="B197" s="38" t="s">
        <v>425</v>
      </c>
    </row>
    <row r="198" spans="1:2" x14ac:dyDescent="0.2">
      <c r="A198" s="37" t="s">
        <v>426</v>
      </c>
      <c r="B198" s="38" t="s">
        <v>427</v>
      </c>
    </row>
    <row r="199" spans="1:2" x14ac:dyDescent="0.2">
      <c r="A199" s="37" t="s">
        <v>428</v>
      </c>
      <c r="B199" s="38" t="s">
        <v>429</v>
      </c>
    </row>
    <row r="200" spans="1:2" x14ac:dyDescent="0.2">
      <c r="A200" s="37" t="s">
        <v>430</v>
      </c>
      <c r="B200" s="38" t="s">
        <v>431</v>
      </c>
    </row>
    <row r="201" spans="1:2" x14ac:dyDescent="0.2">
      <c r="A201" s="37" t="s">
        <v>432</v>
      </c>
      <c r="B201" s="38" t="s">
        <v>433</v>
      </c>
    </row>
    <row r="202" spans="1:2" x14ac:dyDescent="0.2">
      <c r="A202" s="37" t="s">
        <v>434</v>
      </c>
      <c r="B202" s="38" t="s">
        <v>435</v>
      </c>
    </row>
    <row r="203" spans="1:2" x14ac:dyDescent="0.2">
      <c r="A203" s="37" t="s">
        <v>436</v>
      </c>
      <c r="B203" s="38" t="s">
        <v>437</v>
      </c>
    </row>
    <row r="204" spans="1:2" x14ac:dyDescent="0.2">
      <c r="A204" s="37" t="s">
        <v>438</v>
      </c>
      <c r="B204" s="38" t="s">
        <v>439</v>
      </c>
    </row>
    <row r="205" spans="1:2" x14ac:dyDescent="0.2">
      <c r="A205" s="37" t="s">
        <v>440</v>
      </c>
      <c r="B205" s="38" t="s">
        <v>441</v>
      </c>
    </row>
    <row r="206" spans="1:2" x14ac:dyDescent="0.2">
      <c r="A206" s="37" t="s">
        <v>442</v>
      </c>
      <c r="B206" s="38" t="s">
        <v>443</v>
      </c>
    </row>
    <row r="207" spans="1:2" x14ac:dyDescent="0.2">
      <c r="A207" s="37" t="s">
        <v>444</v>
      </c>
      <c r="B207" s="38" t="s">
        <v>445</v>
      </c>
    </row>
    <row r="208" spans="1:2" x14ac:dyDescent="0.2">
      <c r="A208" s="37" t="s">
        <v>446</v>
      </c>
      <c r="B208" s="38" t="s">
        <v>447</v>
      </c>
    </row>
    <row r="209" spans="1:2" x14ac:dyDescent="0.2">
      <c r="A209" s="37" t="s">
        <v>448</v>
      </c>
      <c r="B209" s="38" t="s">
        <v>449</v>
      </c>
    </row>
    <row r="210" spans="1:2" x14ac:dyDescent="0.2">
      <c r="A210" s="37" t="s">
        <v>450</v>
      </c>
      <c r="B210" s="38" t="s">
        <v>451</v>
      </c>
    </row>
    <row r="211" spans="1:2" x14ac:dyDescent="0.2">
      <c r="A211" s="37" t="s">
        <v>452</v>
      </c>
      <c r="B211" s="38" t="s">
        <v>453</v>
      </c>
    </row>
    <row r="212" spans="1:2" x14ac:dyDescent="0.2">
      <c r="A212" s="37" t="s">
        <v>454</v>
      </c>
      <c r="B212" s="38" t="s">
        <v>455</v>
      </c>
    </row>
    <row r="213" spans="1:2" x14ac:dyDescent="0.2">
      <c r="A213" s="37" t="s">
        <v>456</v>
      </c>
      <c r="B213" s="38" t="s">
        <v>457</v>
      </c>
    </row>
    <row r="214" spans="1:2" x14ac:dyDescent="0.2">
      <c r="A214" s="37" t="s">
        <v>458</v>
      </c>
      <c r="B214" s="38" t="s">
        <v>459</v>
      </c>
    </row>
    <row r="215" spans="1:2" x14ac:dyDescent="0.2">
      <c r="A215" s="37" t="s">
        <v>460</v>
      </c>
      <c r="B215" s="38" t="s">
        <v>461</v>
      </c>
    </row>
    <row r="216" spans="1:2" x14ac:dyDescent="0.2">
      <c r="A216" s="37" t="s">
        <v>460</v>
      </c>
      <c r="B216" s="38" t="s">
        <v>462</v>
      </c>
    </row>
    <row r="217" spans="1:2" x14ac:dyDescent="0.2">
      <c r="A217" s="37" t="s">
        <v>463</v>
      </c>
      <c r="B217" s="38" t="s">
        <v>464</v>
      </c>
    </row>
    <row r="218" spans="1:2" x14ac:dyDescent="0.2">
      <c r="A218" s="37" t="s">
        <v>465</v>
      </c>
      <c r="B218" s="38" t="s">
        <v>466</v>
      </c>
    </row>
    <row r="219" spans="1:2" x14ac:dyDescent="0.2">
      <c r="A219" s="37" t="s">
        <v>467</v>
      </c>
      <c r="B219" s="38" t="s">
        <v>468</v>
      </c>
    </row>
    <row r="220" spans="1:2" x14ac:dyDescent="0.2">
      <c r="A220" s="37" t="s">
        <v>469</v>
      </c>
      <c r="B220" s="38" t="s">
        <v>470</v>
      </c>
    </row>
    <row r="221" spans="1:2" x14ac:dyDescent="0.2">
      <c r="A221" s="37" t="s">
        <v>471</v>
      </c>
      <c r="B221" s="38" t="s">
        <v>472</v>
      </c>
    </row>
    <row r="222" spans="1:2" x14ac:dyDescent="0.2">
      <c r="A222" s="37" t="s">
        <v>473</v>
      </c>
      <c r="B222" s="38" t="s">
        <v>474</v>
      </c>
    </row>
    <row r="223" spans="1:2" x14ac:dyDescent="0.2">
      <c r="A223" s="37" t="s">
        <v>475</v>
      </c>
      <c r="B223" s="38" t="s">
        <v>476</v>
      </c>
    </row>
    <row r="224" spans="1:2" x14ac:dyDescent="0.2">
      <c r="A224" s="37" t="s">
        <v>477</v>
      </c>
      <c r="B224" s="38" t="s">
        <v>478</v>
      </c>
    </row>
    <row r="225" spans="1:2" x14ac:dyDescent="0.2">
      <c r="A225" s="37" t="s">
        <v>479</v>
      </c>
      <c r="B225" s="38" t="s">
        <v>480</v>
      </c>
    </row>
    <row r="226" spans="1:2" x14ac:dyDescent="0.2">
      <c r="A226" s="37" t="s">
        <v>481</v>
      </c>
      <c r="B226" s="38" t="s">
        <v>482</v>
      </c>
    </row>
    <row r="227" spans="1:2" x14ac:dyDescent="0.2">
      <c r="A227" s="37" t="s">
        <v>483</v>
      </c>
      <c r="B227" s="38" t="s">
        <v>484</v>
      </c>
    </row>
    <row r="228" spans="1:2" x14ac:dyDescent="0.2">
      <c r="A228" s="37" t="s">
        <v>485</v>
      </c>
      <c r="B228" s="38" t="s">
        <v>486</v>
      </c>
    </row>
    <row r="229" spans="1:2" x14ac:dyDescent="0.2">
      <c r="A229" s="37" t="s">
        <v>487</v>
      </c>
      <c r="B229" s="38" t="s">
        <v>488</v>
      </c>
    </row>
    <row r="230" spans="1:2" x14ac:dyDescent="0.2">
      <c r="A230" s="37" t="s">
        <v>489</v>
      </c>
      <c r="B230" s="38" t="s">
        <v>490</v>
      </c>
    </row>
    <row r="231" spans="1:2" x14ac:dyDescent="0.2">
      <c r="A231" s="37" t="s">
        <v>491</v>
      </c>
      <c r="B231" s="38" t="s">
        <v>492</v>
      </c>
    </row>
    <row r="232" spans="1:2" x14ac:dyDescent="0.2">
      <c r="A232" s="37" t="s">
        <v>493</v>
      </c>
      <c r="B232" s="38" t="s">
        <v>494</v>
      </c>
    </row>
    <row r="233" spans="1:2" x14ac:dyDescent="0.2">
      <c r="A233" s="37" t="s">
        <v>495</v>
      </c>
      <c r="B233" s="38" t="s">
        <v>496</v>
      </c>
    </row>
    <row r="234" spans="1:2" x14ac:dyDescent="0.2">
      <c r="A234" s="37" t="s">
        <v>497</v>
      </c>
      <c r="B234" s="38" t="s">
        <v>498</v>
      </c>
    </row>
    <row r="235" spans="1:2" x14ac:dyDescent="0.2">
      <c r="A235" s="37" t="s">
        <v>499</v>
      </c>
      <c r="B235" s="38" t="s">
        <v>500</v>
      </c>
    </row>
    <row r="236" spans="1:2" x14ac:dyDescent="0.2">
      <c r="A236" s="37" t="s">
        <v>501</v>
      </c>
      <c r="B236" s="38" t="s">
        <v>502</v>
      </c>
    </row>
    <row r="237" spans="1:2" x14ac:dyDescent="0.2">
      <c r="A237" s="37" t="s">
        <v>503</v>
      </c>
      <c r="B237" s="38" t="s">
        <v>504</v>
      </c>
    </row>
    <row r="238" spans="1:2" x14ac:dyDescent="0.2">
      <c r="A238" s="37" t="s">
        <v>505</v>
      </c>
      <c r="B238" s="38" t="s">
        <v>506</v>
      </c>
    </row>
    <row r="239" spans="1:2" x14ac:dyDescent="0.2">
      <c r="A239" s="37" t="s">
        <v>507</v>
      </c>
      <c r="B239" s="38" t="s">
        <v>508</v>
      </c>
    </row>
    <row r="240" spans="1:2" x14ac:dyDescent="0.2">
      <c r="A240" s="37" t="s">
        <v>509</v>
      </c>
      <c r="B240" s="38" t="s">
        <v>510</v>
      </c>
    </row>
    <row r="241" spans="1:2" x14ac:dyDescent="0.2">
      <c r="A241" s="37" t="s">
        <v>511</v>
      </c>
      <c r="B241" s="38" t="s">
        <v>512</v>
      </c>
    </row>
    <row r="242" spans="1:2" x14ac:dyDescent="0.2">
      <c r="A242" s="37" t="s">
        <v>513</v>
      </c>
      <c r="B242" s="38" t="s">
        <v>514</v>
      </c>
    </row>
    <row r="243" spans="1:2" x14ac:dyDescent="0.2">
      <c r="A243" s="37" t="s">
        <v>515</v>
      </c>
      <c r="B243" s="38" t="s">
        <v>516</v>
      </c>
    </row>
    <row r="244" spans="1:2" x14ac:dyDescent="0.2">
      <c r="A244" s="37" t="s">
        <v>517</v>
      </c>
      <c r="B244" s="38" t="s">
        <v>518</v>
      </c>
    </row>
    <row r="245" spans="1:2" x14ac:dyDescent="0.2">
      <c r="A245" s="37" t="s">
        <v>519</v>
      </c>
      <c r="B245" s="38" t="s">
        <v>520</v>
      </c>
    </row>
    <row r="246" spans="1:2" x14ac:dyDescent="0.2">
      <c r="A246" s="37" t="s">
        <v>521</v>
      </c>
      <c r="B246" s="38" t="s">
        <v>522</v>
      </c>
    </row>
    <row r="247" spans="1:2" x14ac:dyDescent="0.2">
      <c r="A247" s="37" t="s">
        <v>523</v>
      </c>
      <c r="B247" s="38" t="s">
        <v>524</v>
      </c>
    </row>
    <row r="248" spans="1:2" x14ac:dyDescent="0.2">
      <c r="A248" s="37" t="s">
        <v>525</v>
      </c>
      <c r="B248" s="38" t="s">
        <v>526</v>
      </c>
    </row>
    <row r="249" spans="1:2" x14ac:dyDescent="0.2">
      <c r="A249" s="37" t="s">
        <v>527</v>
      </c>
      <c r="B249" s="38" t="s">
        <v>528</v>
      </c>
    </row>
    <row r="250" spans="1:2" x14ac:dyDescent="0.2">
      <c r="A250" s="37" t="s">
        <v>529</v>
      </c>
      <c r="B250" s="38" t="s">
        <v>530</v>
      </c>
    </row>
    <row r="251" spans="1:2" x14ac:dyDescent="0.2">
      <c r="A251" s="37" t="s">
        <v>531</v>
      </c>
      <c r="B251" s="38" t="s">
        <v>532</v>
      </c>
    </row>
    <row r="252" spans="1:2" x14ac:dyDescent="0.2">
      <c r="A252" s="37" t="s">
        <v>533</v>
      </c>
      <c r="B252" s="38" t="s">
        <v>534</v>
      </c>
    </row>
    <row r="253" spans="1:2" x14ac:dyDescent="0.2">
      <c r="A253" s="37" t="s">
        <v>535</v>
      </c>
      <c r="B253" s="38" t="s">
        <v>536</v>
      </c>
    </row>
    <row r="254" spans="1:2" x14ac:dyDescent="0.2">
      <c r="A254" s="37" t="s">
        <v>537</v>
      </c>
      <c r="B254" s="38" t="s">
        <v>538</v>
      </c>
    </row>
    <row r="255" spans="1:2" x14ac:dyDescent="0.2">
      <c r="A255" s="37" t="s">
        <v>539</v>
      </c>
      <c r="B255" s="38" t="s">
        <v>540</v>
      </c>
    </row>
    <row r="256" spans="1:2" x14ac:dyDescent="0.2">
      <c r="A256" s="37" t="s">
        <v>541</v>
      </c>
      <c r="B256" s="38" t="s">
        <v>542</v>
      </c>
    </row>
    <row r="257" spans="1:2" x14ac:dyDescent="0.2">
      <c r="A257" s="37" t="s">
        <v>543</v>
      </c>
      <c r="B257" s="38" t="s">
        <v>544</v>
      </c>
    </row>
    <row r="258" spans="1:2" x14ac:dyDescent="0.2">
      <c r="A258" s="37" t="s">
        <v>545</v>
      </c>
      <c r="B258" s="38" t="s">
        <v>546</v>
      </c>
    </row>
    <row r="259" spans="1:2" x14ac:dyDescent="0.2">
      <c r="A259" s="37" t="s">
        <v>547</v>
      </c>
      <c r="B259" s="38" t="s">
        <v>423</v>
      </c>
    </row>
    <row r="260" spans="1:2" x14ac:dyDescent="0.2">
      <c r="A260" s="37" t="s">
        <v>548</v>
      </c>
      <c r="B260" s="38" t="s">
        <v>549</v>
      </c>
    </row>
    <row r="261" spans="1:2" x14ac:dyDescent="0.2">
      <c r="A261" s="37" t="s">
        <v>550</v>
      </c>
      <c r="B261" s="38" t="s">
        <v>551</v>
      </c>
    </row>
    <row r="262" spans="1:2" x14ac:dyDescent="0.2">
      <c r="A262" s="37" t="s">
        <v>552</v>
      </c>
      <c r="B262" s="38" t="s">
        <v>553</v>
      </c>
    </row>
    <row r="263" spans="1:2" x14ac:dyDescent="0.2">
      <c r="A263" s="37" t="s">
        <v>554</v>
      </c>
      <c r="B263" s="38" t="s">
        <v>555</v>
      </c>
    </row>
    <row r="264" spans="1:2" x14ac:dyDescent="0.2">
      <c r="A264" s="37" t="s">
        <v>556</v>
      </c>
      <c r="B264" s="38" t="s">
        <v>557</v>
      </c>
    </row>
  </sheetData>
  <pageMargins left="1.95"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autoPageBreaks="0"/>
  </sheetPr>
  <dimension ref="A1:K31"/>
  <sheetViews>
    <sheetView showGridLines="0" zoomScaleNormal="100" workbookViewId="0">
      <pane ySplit="4" topLeftCell="A5" activePane="bottomLeft" state="frozen"/>
      <selection pane="bottomLeft" activeCell="A5" sqref="A5"/>
    </sheetView>
  </sheetViews>
  <sheetFormatPr defaultColWidth="9.140625" defaultRowHeight="12.75" x14ac:dyDescent="0.2"/>
  <cols>
    <col min="1" max="1" width="30.42578125" style="79" customWidth="1"/>
    <col min="2" max="2" width="21.7109375" style="79" customWidth="1"/>
    <col min="3" max="3" width="25.140625" style="79" customWidth="1"/>
    <col min="4" max="4" width="20.5703125" style="79" customWidth="1"/>
    <col min="5" max="5" width="24.7109375" style="79" customWidth="1"/>
    <col min="6" max="16384" width="9.140625" style="79"/>
  </cols>
  <sheetData>
    <row r="1" spans="1:11" ht="24" customHeight="1" thickBot="1" x14ac:dyDescent="0.3">
      <c r="A1" s="190"/>
      <c r="B1" s="191"/>
      <c r="C1" s="190" t="s">
        <v>10</v>
      </c>
      <c r="D1" s="191"/>
      <c r="E1" s="191"/>
    </row>
    <row r="2" spans="1:11" ht="51" customHeight="1" thickTop="1" thickBot="1" x14ac:dyDescent="0.25">
      <c r="A2" s="327" t="s">
        <v>560</v>
      </c>
      <c r="B2" s="328"/>
      <c r="C2" s="328"/>
      <c r="D2" s="329" t="s">
        <v>559</v>
      </c>
      <c r="E2" s="330"/>
    </row>
    <row r="3" spans="1:11" ht="40.15" customHeight="1" thickTop="1" thickBot="1" x14ac:dyDescent="0.25">
      <c r="A3" s="327" t="s">
        <v>654</v>
      </c>
      <c r="B3" s="328"/>
      <c r="C3" s="328"/>
      <c r="D3" s="329" t="s">
        <v>655</v>
      </c>
      <c r="E3" s="330"/>
    </row>
    <row r="4" spans="1:11" s="83" customFormat="1" ht="45.75" customHeight="1" thickTop="1" thickBot="1" x14ac:dyDescent="0.3">
      <c r="A4" s="80" t="s">
        <v>11</v>
      </c>
      <c r="B4" s="81" t="s">
        <v>12</v>
      </c>
      <c r="C4" s="81" t="s">
        <v>13</v>
      </c>
      <c r="D4" s="81" t="s">
        <v>14</v>
      </c>
      <c r="E4" s="82" t="s">
        <v>15</v>
      </c>
    </row>
    <row r="5" spans="1:11" ht="28.5" customHeight="1" thickTop="1" x14ac:dyDescent="0.2">
      <c r="A5" s="84"/>
      <c r="B5" s="85"/>
      <c r="C5" s="85"/>
      <c r="D5" s="85"/>
      <c r="E5" s="86"/>
      <c r="K5" s="87" t="s">
        <v>16</v>
      </c>
    </row>
    <row r="6" spans="1:11" ht="24.95" customHeight="1" x14ac:dyDescent="0.2">
      <c r="A6" s="88"/>
      <c r="B6" s="89"/>
      <c r="C6" s="89"/>
      <c r="D6" s="89"/>
      <c r="E6" s="90"/>
      <c r="K6" s="87" t="s">
        <v>17</v>
      </c>
    </row>
    <row r="7" spans="1:11" ht="24.95" customHeight="1" x14ac:dyDescent="0.2">
      <c r="A7" s="88"/>
      <c r="B7" s="89"/>
      <c r="C7" s="89"/>
      <c r="D7" s="89"/>
      <c r="E7" s="90"/>
    </row>
    <row r="8" spans="1:11" ht="24.95" customHeight="1" x14ac:dyDescent="0.2">
      <c r="A8" s="88"/>
      <c r="B8" s="89"/>
      <c r="C8" s="89"/>
      <c r="D8" s="89"/>
      <c r="E8" s="90"/>
    </row>
    <row r="9" spans="1:11" ht="24.95" customHeight="1" x14ac:dyDescent="0.2">
      <c r="A9" s="88"/>
      <c r="B9" s="89"/>
      <c r="C9" s="89"/>
      <c r="D9" s="89"/>
      <c r="E9" s="90"/>
    </row>
    <row r="10" spans="1:11" ht="24.95" customHeight="1" x14ac:dyDescent="0.2">
      <c r="A10" s="88"/>
      <c r="B10" s="89"/>
      <c r="C10" s="89"/>
      <c r="D10" s="89"/>
      <c r="E10" s="90"/>
    </row>
    <row r="11" spans="1:11" ht="24.95" customHeight="1" x14ac:dyDescent="0.2">
      <c r="A11" s="88"/>
      <c r="B11" s="89"/>
      <c r="C11" s="89"/>
      <c r="D11" s="89"/>
      <c r="E11" s="90"/>
    </row>
    <row r="12" spans="1:11" ht="24.95" customHeight="1" x14ac:dyDescent="0.2">
      <c r="A12" s="88"/>
      <c r="B12" s="89"/>
      <c r="C12" s="89"/>
      <c r="D12" s="89"/>
      <c r="E12" s="90"/>
    </row>
    <row r="13" spans="1:11" ht="24.95" customHeight="1" x14ac:dyDescent="0.2">
      <c r="A13" s="88"/>
      <c r="B13" s="89"/>
      <c r="C13" s="89"/>
      <c r="D13" s="89"/>
      <c r="E13" s="90"/>
    </row>
    <row r="14" spans="1:11" ht="24.95" customHeight="1" x14ac:dyDescent="0.2">
      <c r="A14" s="88"/>
      <c r="B14" s="89"/>
      <c r="C14" s="89"/>
      <c r="D14" s="89"/>
      <c r="E14" s="90"/>
    </row>
    <row r="15" spans="1:11" ht="24.95" customHeight="1" x14ac:dyDescent="0.2">
      <c r="A15" s="88"/>
      <c r="B15" s="89"/>
      <c r="C15" s="89"/>
      <c r="D15" s="89"/>
      <c r="E15" s="90"/>
    </row>
    <row r="16" spans="1:11" ht="24.95" customHeight="1" x14ac:dyDescent="0.2">
      <c r="A16" s="88"/>
      <c r="B16" s="89"/>
      <c r="C16" s="89"/>
      <c r="D16" s="89"/>
      <c r="E16" s="90"/>
    </row>
    <row r="17" spans="1:5" ht="24.95" customHeight="1" thickBot="1" x14ac:dyDescent="0.25">
      <c r="A17" s="91"/>
      <c r="B17" s="92"/>
      <c r="C17" s="92"/>
      <c r="D17" s="92"/>
      <c r="E17" s="93"/>
    </row>
    <row r="18" spans="1:5" ht="24.95" customHeight="1" thickTop="1" x14ac:dyDescent="0.25">
      <c r="A18" s="192" t="s">
        <v>647</v>
      </c>
    </row>
    <row r="19" spans="1:5" ht="24.95" customHeight="1" x14ac:dyDescent="0.25">
      <c r="A19" s="193" t="s">
        <v>648</v>
      </c>
    </row>
    <row r="20" spans="1:5" ht="23.45" customHeight="1" x14ac:dyDescent="0.25">
      <c r="A20" s="102" t="s">
        <v>670</v>
      </c>
    </row>
    <row r="21" spans="1:5" ht="20.100000000000001" customHeight="1" x14ac:dyDescent="0.2"/>
    <row r="22" spans="1:5" ht="20.100000000000001" customHeight="1" x14ac:dyDescent="0.2"/>
    <row r="23" spans="1:5" ht="20.100000000000001" customHeight="1" x14ac:dyDescent="0.2"/>
    <row r="24" spans="1:5" ht="20.100000000000001" customHeight="1" x14ac:dyDescent="0.2"/>
    <row r="25" spans="1:5" ht="20.100000000000001" customHeight="1" x14ac:dyDescent="0.2"/>
    <row r="26" spans="1:5" ht="20.100000000000001" customHeight="1" x14ac:dyDescent="0.2"/>
    <row r="27" spans="1:5" ht="20.100000000000001" customHeight="1" x14ac:dyDescent="0.2"/>
    <row r="28" spans="1:5" ht="20.100000000000001" customHeight="1" x14ac:dyDescent="0.2"/>
    <row r="29" spans="1:5" ht="20.100000000000001" customHeight="1" x14ac:dyDescent="0.2"/>
    <row r="30" spans="1:5" ht="20.100000000000001" customHeight="1" x14ac:dyDescent="0.2"/>
    <row r="31" spans="1:5" ht="20.100000000000001" customHeight="1" x14ac:dyDescent="0.2"/>
  </sheetData>
  <sheetProtection insertRows="0" sort="0" autoFilter="0"/>
  <mergeCells count="4">
    <mergeCell ref="A2:C2"/>
    <mergeCell ref="D2:E2"/>
    <mergeCell ref="A3:C3"/>
    <mergeCell ref="D3:E3"/>
  </mergeCells>
  <dataValidations count="1">
    <dataValidation type="list" allowBlank="1" showInputMessage="1" showErrorMessage="1" sqref="D5:D17" xr:uid="{00000000-0002-0000-0200-000000000000}">
      <formula1>$K$4:$K$6</formula1>
    </dataValidation>
  </dataValidations>
  <hyperlinks>
    <hyperlink ref="A20" r:id="rId1" xr:uid="{00000000-0004-0000-0200-000000000000}"/>
  </hyperlinks>
  <pageMargins left="0.75" right="0.75" top="0.75" bottom="0.75" header="0.5" footer="0.5"/>
  <pageSetup orientation="landscape" horizontalDpi="300" verticalDpi="300" r:id="rId2"/>
  <headerFooter alignWithMargins="0">
    <oddHeader>&amp;C&amp;"Arial,Bold"&amp;12CSP-1 COMMERCIAL SALES PRACTICE</oddHead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D960-B56A-4DD4-9166-5AA9EF08B947}">
  <sheetPr>
    <tabColor rgb="FF92D050"/>
  </sheetPr>
  <dimension ref="A1:AD21"/>
  <sheetViews>
    <sheetView zoomScaleNormal="100" workbookViewId="0">
      <pane ySplit="11" topLeftCell="A12" activePane="bottomLeft" state="frozen"/>
      <selection pane="bottomLeft" activeCell="A12" sqref="A12"/>
    </sheetView>
  </sheetViews>
  <sheetFormatPr defaultColWidth="8.85546875" defaultRowHeight="15" x14ac:dyDescent="0.25"/>
  <cols>
    <col min="1" max="1" width="8.7109375" style="315" customWidth="1"/>
    <col min="2" max="2" width="9.7109375" style="315" customWidth="1"/>
    <col min="3" max="3" width="7.7109375" style="315" customWidth="1"/>
    <col min="4" max="4" width="30" style="258" customWidth="1"/>
    <col min="5" max="5" width="28.28515625" style="258" customWidth="1"/>
    <col min="6" max="6" width="11.7109375" style="210" customWidth="1"/>
    <col min="7" max="7" width="11.7109375" style="315" customWidth="1"/>
    <col min="8" max="8" width="38.7109375" style="258" customWidth="1"/>
    <col min="9" max="9" width="23.28515625" style="258" customWidth="1"/>
    <col min="10" max="15" width="8.85546875" style="257"/>
    <col min="16" max="16" width="12.7109375" style="210" customWidth="1"/>
    <col min="17" max="29" width="8.85546875" style="257"/>
    <col min="30" max="30" width="15.42578125" style="257" customWidth="1"/>
    <col min="31" max="16384" width="8.85546875" style="257"/>
  </cols>
  <sheetData>
    <row r="1" spans="1:30" s="209" customFormat="1" ht="16.899999999999999" customHeight="1" x14ac:dyDescent="0.25">
      <c r="A1" s="311"/>
      <c r="B1" s="311"/>
      <c r="C1" s="311"/>
      <c r="D1" s="254"/>
      <c r="E1" s="255" t="s">
        <v>656</v>
      </c>
      <c r="F1" s="255"/>
      <c r="G1" s="323"/>
      <c r="H1" s="254"/>
      <c r="I1" s="213"/>
      <c r="P1" s="212"/>
    </row>
    <row r="2" spans="1:30" s="213" customFormat="1" ht="18" customHeight="1" x14ac:dyDescent="0.25">
      <c r="A2" s="277" t="s">
        <v>657</v>
      </c>
      <c r="B2" s="277"/>
      <c r="C2" s="277"/>
      <c r="D2" s="256"/>
      <c r="E2" s="256"/>
      <c r="G2" s="324"/>
    </row>
    <row r="3" spans="1:30" s="213" customFormat="1" ht="18" customHeight="1" x14ac:dyDescent="0.25">
      <c r="A3" s="278" t="s">
        <v>658</v>
      </c>
      <c r="B3" s="278"/>
      <c r="C3" s="278"/>
      <c r="D3" s="259"/>
      <c r="E3" s="259"/>
      <c r="G3" s="324"/>
    </row>
    <row r="4" spans="1:30" s="213" customFormat="1" ht="18" customHeight="1" x14ac:dyDescent="0.25">
      <c r="A4" s="277" t="s">
        <v>659</v>
      </c>
      <c r="B4" s="277"/>
      <c r="C4" s="277"/>
      <c r="D4" s="256"/>
      <c r="E4" s="256"/>
      <c r="G4" s="324"/>
    </row>
    <row r="5" spans="1:30" s="213" customFormat="1" ht="12.6" customHeight="1" x14ac:dyDescent="0.25">
      <c r="A5" s="277" t="s">
        <v>660</v>
      </c>
      <c r="B5" s="277"/>
      <c r="C5" s="277"/>
      <c r="D5" s="256"/>
      <c r="E5" s="256"/>
      <c r="G5" s="324"/>
    </row>
    <row r="6" spans="1:30" s="213" customFormat="1" ht="12.6" customHeight="1" x14ac:dyDescent="0.25">
      <c r="A6" s="277" t="s">
        <v>661</v>
      </c>
      <c r="B6" s="277"/>
      <c r="C6" s="277"/>
      <c r="D6" s="256"/>
      <c r="E6" s="256"/>
      <c r="G6" s="324"/>
    </row>
    <row r="7" spans="1:30" s="213" customFormat="1" ht="12.6" customHeight="1" x14ac:dyDescent="0.25">
      <c r="A7" s="277" t="s">
        <v>662</v>
      </c>
      <c r="B7" s="277"/>
      <c r="C7" s="277"/>
      <c r="D7" s="256"/>
      <c r="E7" s="256"/>
      <c r="G7" s="324"/>
    </row>
    <row r="8" spans="1:30" s="213" customFormat="1" ht="12.6" customHeight="1" x14ac:dyDescent="0.25">
      <c r="A8" s="277" t="s">
        <v>663</v>
      </c>
      <c r="B8" s="277"/>
      <c r="C8" s="277"/>
      <c r="D8" s="256"/>
      <c r="E8" s="256"/>
      <c r="G8" s="324"/>
    </row>
    <row r="9" spans="1:30" s="213" customFormat="1" ht="12.6" customHeight="1" x14ac:dyDescent="0.25">
      <c r="A9" s="277" t="s">
        <v>664</v>
      </c>
      <c r="B9" s="277"/>
      <c r="C9" s="277"/>
      <c r="D9" s="256"/>
      <c r="E9" s="256"/>
      <c r="G9" s="324"/>
    </row>
    <row r="10" spans="1:30" s="213" customFormat="1" ht="12.6" customHeight="1" thickBot="1" x14ac:dyDescent="0.3">
      <c r="A10" s="277"/>
      <c r="B10" s="277"/>
      <c r="C10" s="277"/>
      <c r="D10" s="256"/>
      <c r="E10" s="256"/>
      <c r="G10" s="324"/>
    </row>
    <row r="11" spans="1:30" ht="64.900000000000006" customHeight="1" thickTop="1" thickBot="1" x14ac:dyDescent="0.3">
      <c r="A11" s="280" t="s">
        <v>562</v>
      </c>
      <c r="B11" s="280" t="s">
        <v>673</v>
      </c>
      <c r="C11" s="279" t="s">
        <v>563</v>
      </c>
      <c r="D11" s="260" t="s">
        <v>671</v>
      </c>
      <c r="E11" s="260" t="s">
        <v>672</v>
      </c>
      <c r="F11" s="260" t="s">
        <v>665</v>
      </c>
      <c r="G11" s="325" t="s">
        <v>675</v>
      </c>
      <c r="H11" s="261" t="s">
        <v>676</v>
      </c>
      <c r="I11" s="261" t="s">
        <v>678</v>
      </c>
      <c r="AD11" s="262"/>
    </row>
    <row r="12" spans="1:30" ht="31.15" customHeight="1" thickTop="1" x14ac:dyDescent="0.25">
      <c r="A12" s="312"/>
      <c r="B12" s="312"/>
      <c r="C12" s="312"/>
      <c r="D12" s="263"/>
      <c r="E12" s="263"/>
      <c r="F12" s="264"/>
      <c r="G12" s="312"/>
      <c r="H12" s="316" t="s">
        <v>677</v>
      </c>
      <c r="I12" s="263"/>
      <c r="AD12" s="210" t="s">
        <v>674</v>
      </c>
    </row>
    <row r="13" spans="1:30" ht="30" customHeight="1" x14ac:dyDescent="0.25">
      <c r="A13" s="313"/>
      <c r="B13" s="313"/>
      <c r="C13" s="313"/>
      <c r="D13" s="265"/>
      <c r="E13" s="265"/>
      <c r="F13" s="266"/>
      <c r="G13" s="313"/>
      <c r="H13" s="317" t="s">
        <v>677</v>
      </c>
      <c r="I13" s="265"/>
      <c r="AD13" s="210" t="s">
        <v>666</v>
      </c>
    </row>
    <row r="14" spans="1:30" ht="30" customHeight="1" x14ac:dyDescent="0.25">
      <c r="A14" s="313"/>
      <c r="B14" s="313"/>
      <c r="C14" s="313"/>
      <c r="D14" s="265"/>
      <c r="E14" s="265"/>
      <c r="F14" s="264"/>
      <c r="G14" s="313"/>
      <c r="H14" s="317" t="s">
        <v>677</v>
      </c>
      <c r="I14" s="265"/>
      <c r="AD14" s="210" t="s">
        <v>667</v>
      </c>
    </row>
    <row r="15" spans="1:30" ht="30" customHeight="1" x14ac:dyDescent="0.25">
      <c r="A15" s="313"/>
      <c r="B15" s="313"/>
      <c r="C15" s="313"/>
      <c r="D15" s="265"/>
      <c r="E15" s="265"/>
      <c r="F15" s="266"/>
      <c r="G15" s="313"/>
      <c r="H15" s="317" t="s">
        <v>677</v>
      </c>
      <c r="I15" s="265"/>
      <c r="AD15" s="210" t="s">
        <v>668</v>
      </c>
    </row>
    <row r="16" spans="1:30" ht="30" customHeight="1" x14ac:dyDescent="0.25">
      <c r="A16" s="313"/>
      <c r="B16" s="313"/>
      <c r="C16" s="313"/>
      <c r="D16" s="265"/>
      <c r="E16" s="265"/>
      <c r="F16" s="266"/>
      <c r="G16" s="313"/>
      <c r="H16" s="317" t="s">
        <v>677</v>
      </c>
      <c r="I16" s="265"/>
      <c r="AD16" s="210" t="s">
        <v>687</v>
      </c>
    </row>
    <row r="17" spans="1:9" ht="30" customHeight="1" x14ac:dyDescent="0.25">
      <c r="A17" s="313"/>
      <c r="B17" s="313"/>
      <c r="C17" s="313"/>
      <c r="D17" s="265"/>
      <c r="E17" s="265"/>
      <c r="F17" s="266"/>
      <c r="G17" s="313"/>
      <c r="H17" s="317" t="s">
        <v>677</v>
      </c>
      <c r="I17" s="265"/>
    </row>
    <row r="18" spans="1:9" ht="30" customHeight="1" x14ac:dyDescent="0.25">
      <c r="A18" s="313"/>
      <c r="B18" s="313"/>
      <c r="C18" s="313"/>
      <c r="D18" s="265"/>
      <c r="E18" s="265"/>
      <c r="F18" s="266"/>
      <c r="G18" s="313"/>
      <c r="H18" s="317" t="s">
        <v>677</v>
      </c>
      <c r="I18" s="265"/>
    </row>
    <row r="19" spans="1:9" ht="30" customHeight="1" x14ac:dyDescent="0.25">
      <c r="A19" s="313"/>
      <c r="B19" s="313"/>
      <c r="C19" s="313"/>
      <c r="D19" s="265"/>
      <c r="E19" s="265"/>
      <c r="F19" s="266"/>
      <c r="G19" s="313"/>
      <c r="H19" s="317" t="s">
        <v>677</v>
      </c>
      <c r="I19" s="265"/>
    </row>
    <row r="20" spans="1:9" ht="30" customHeight="1" thickBot="1" x14ac:dyDescent="0.3">
      <c r="A20" s="314"/>
      <c r="B20" s="314"/>
      <c r="C20" s="314"/>
      <c r="D20" s="267"/>
      <c r="E20" s="267"/>
      <c r="F20" s="322"/>
      <c r="G20" s="326"/>
      <c r="H20" s="318" t="s">
        <v>677</v>
      </c>
      <c r="I20" s="268"/>
    </row>
    <row r="21" spans="1:9" ht="15.75" thickTop="1" x14ac:dyDescent="0.25"/>
  </sheetData>
  <dataValidations count="1">
    <dataValidation type="list" allowBlank="1" showInputMessage="1" showErrorMessage="1" sqref="F12:F180" xr:uid="{A8EFA36A-B659-4C1D-91BB-91E0F7CB76FA}">
      <formula1>$AD$11:$AD$16</formula1>
    </dataValidation>
  </dataValidations>
  <pageMargins left="0.2" right="0.2" top="0.75" bottom="0.75" header="0.3" footer="0.3"/>
  <pageSetup scale="78" orientation="landscape" r:id="rId1"/>
  <headerFooter>
    <oddFooter>&amp;CManufacturing Facilities / Place of Performance</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DE172-5BE0-4CB2-8736-C44D672E460F}">
  <sheetPr>
    <tabColor indexed="46"/>
    <pageSetUpPr autoPageBreaks="0"/>
  </sheetPr>
  <dimension ref="A1:S25"/>
  <sheetViews>
    <sheetView zoomScaleNormal="100" workbookViewId="0">
      <pane ySplit="2" topLeftCell="A3" activePane="bottomLeft" state="frozen"/>
      <selection pane="bottomLeft" activeCell="A3" sqref="A3"/>
    </sheetView>
  </sheetViews>
  <sheetFormatPr defaultColWidth="9.140625" defaultRowHeight="15" x14ac:dyDescent="0.25"/>
  <cols>
    <col min="1" max="1" width="10.140625" style="282" customWidth="1"/>
    <col min="2" max="2" width="30.42578125" style="283" customWidth="1"/>
    <col min="3" max="4" width="8.5703125" style="284" customWidth="1"/>
    <col min="5" max="5" width="7.28515625" style="284" customWidth="1"/>
    <col min="6" max="6" width="9" style="284" customWidth="1"/>
    <col min="7" max="7" width="9.28515625" style="284" customWidth="1"/>
    <col min="8" max="8" width="8.42578125" style="284" customWidth="1"/>
    <col min="9" max="9" width="31.42578125" style="285" customWidth="1"/>
    <col min="10" max="10" width="10.28515625" style="286" customWidth="1"/>
    <col min="11" max="11" width="9.28515625" style="287" customWidth="1"/>
    <col min="12" max="16384" width="9.140625" style="288"/>
  </cols>
  <sheetData>
    <row r="1" spans="1:19" ht="15.75" thickBot="1" x14ac:dyDescent="0.3"/>
    <row r="2" spans="1:19" s="31" customFormat="1" ht="78.599999999999994" customHeight="1" thickTop="1" thickBot="1" x14ac:dyDescent="0.25">
      <c r="A2" s="186" t="s">
        <v>0</v>
      </c>
      <c r="B2" s="186" t="s">
        <v>679</v>
      </c>
      <c r="C2" s="289" t="s">
        <v>685</v>
      </c>
      <c r="D2" s="289" t="s">
        <v>680</v>
      </c>
      <c r="E2" s="290" t="s">
        <v>681</v>
      </c>
      <c r="F2" s="291" t="s">
        <v>686</v>
      </c>
      <c r="G2" s="291" t="s">
        <v>682</v>
      </c>
      <c r="H2" s="292" t="s">
        <v>683</v>
      </c>
      <c r="I2" s="187" t="s">
        <v>18</v>
      </c>
      <c r="J2" s="188" t="s">
        <v>19</v>
      </c>
      <c r="K2" s="281" t="s">
        <v>684</v>
      </c>
      <c r="L2" s="30"/>
      <c r="M2" s="30"/>
      <c r="N2" s="30"/>
    </row>
    <row r="3" spans="1:19" ht="15.75" thickTop="1" x14ac:dyDescent="0.25">
      <c r="A3" s="293"/>
      <c r="B3" s="294"/>
      <c r="C3" s="295"/>
      <c r="D3" s="295"/>
      <c r="E3" s="295"/>
      <c r="F3" s="295"/>
      <c r="G3" s="295"/>
      <c r="H3" s="295"/>
      <c r="I3" s="296"/>
      <c r="J3" s="297"/>
      <c r="K3" s="298"/>
      <c r="S3" s="139" t="s">
        <v>3</v>
      </c>
    </row>
    <row r="4" spans="1:19" x14ac:dyDescent="0.25">
      <c r="A4" s="299"/>
      <c r="B4" s="300"/>
      <c r="C4" s="301"/>
      <c r="D4" s="301"/>
      <c r="E4" s="301"/>
      <c r="F4" s="301"/>
      <c r="G4" s="301"/>
      <c r="H4" s="301"/>
      <c r="I4" s="302"/>
      <c r="J4" s="303"/>
      <c r="K4" s="304"/>
      <c r="S4" s="139" t="s">
        <v>22</v>
      </c>
    </row>
    <row r="5" spans="1:19" x14ac:dyDescent="0.25">
      <c r="A5" s="299"/>
      <c r="B5" s="300"/>
      <c r="C5" s="301"/>
      <c r="D5" s="301"/>
      <c r="E5" s="301"/>
      <c r="F5" s="301"/>
      <c r="G5" s="301"/>
      <c r="H5" s="301"/>
      <c r="I5" s="302"/>
      <c r="J5" s="303"/>
      <c r="K5" s="304"/>
      <c r="S5" s="139" t="s">
        <v>4</v>
      </c>
    </row>
    <row r="6" spans="1:19" x14ac:dyDescent="0.25">
      <c r="A6" s="299"/>
      <c r="B6" s="300"/>
      <c r="C6" s="301"/>
      <c r="D6" s="301"/>
      <c r="E6" s="301"/>
      <c r="F6" s="301"/>
      <c r="G6" s="301"/>
      <c r="H6" s="301"/>
      <c r="I6" s="302"/>
      <c r="J6" s="303"/>
      <c r="K6" s="304"/>
      <c r="S6" s="139" t="s">
        <v>5</v>
      </c>
    </row>
    <row r="7" spans="1:19" x14ac:dyDescent="0.25">
      <c r="A7" s="299"/>
      <c r="B7" s="300"/>
      <c r="C7" s="301"/>
      <c r="D7" s="301"/>
      <c r="E7" s="301"/>
      <c r="F7" s="301"/>
      <c r="G7" s="301"/>
      <c r="H7" s="301"/>
      <c r="I7" s="302"/>
      <c r="J7" s="303"/>
      <c r="K7" s="304"/>
      <c r="S7" s="139" t="s">
        <v>6</v>
      </c>
    </row>
    <row r="8" spans="1:19" x14ac:dyDescent="0.25">
      <c r="A8" s="299"/>
      <c r="B8" s="300"/>
      <c r="C8" s="301"/>
      <c r="D8" s="301"/>
      <c r="E8" s="301"/>
      <c r="F8" s="301"/>
      <c r="G8" s="301"/>
      <c r="H8" s="301"/>
      <c r="I8" s="302"/>
      <c r="J8" s="303"/>
      <c r="K8" s="304"/>
      <c r="S8" s="139">
        <v>622</v>
      </c>
    </row>
    <row r="9" spans="1:19" x14ac:dyDescent="0.25">
      <c r="A9" s="299"/>
      <c r="B9" s="300"/>
      <c r="C9" s="301"/>
      <c r="D9" s="301"/>
      <c r="E9" s="301"/>
      <c r="F9" s="301"/>
      <c r="G9" s="301"/>
      <c r="H9" s="301"/>
      <c r="I9" s="302"/>
      <c r="J9" s="303"/>
      <c r="K9" s="304"/>
      <c r="S9" s="139" t="s">
        <v>7</v>
      </c>
    </row>
    <row r="10" spans="1:19" x14ac:dyDescent="0.25">
      <c r="A10" s="299"/>
      <c r="B10" s="300"/>
      <c r="C10" s="301"/>
      <c r="D10" s="301"/>
      <c r="E10" s="301"/>
      <c r="F10" s="301"/>
      <c r="G10" s="301"/>
      <c r="H10" s="301"/>
      <c r="I10" s="302"/>
      <c r="J10" s="303"/>
      <c r="K10" s="304"/>
    </row>
    <row r="11" spans="1:19" x14ac:dyDescent="0.25">
      <c r="A11" s="299"/>
      <c r="B11" s="300"/>
      <c r="C11" s="301"/>
      <c r="D11" s="301"/>
      <c r="E11" s="301"/>
      <c r="F11" s="301"/>
      <c r="G11" s="301"/>
      <c r="H11" s="301"/>
      <c r="I11" s="302"/>
      <c r="J11" s="303"/>
      <c r="K11" s="304"/>
    </row>
    <row r="12" spans="1:19" x14ac:dyDescent="0.25">
      <c r="A12" s="299"/>
      <c r="B12" s="300"/>
      <c r="C12" s="301"/>
      <c r="D12" s="301"/>
      <c r="E12" s="301"/>
      <c r="F12" s="301"/>
      <c r="G12" s="301"/>
      <c r="H12" s="301"/>
      <c r="I12" s="302"/>
      <c r="J12" s="303"/>
      <c r="K12" s="304"/>
    </row>
    <row r="13" spans="1:19" x14ac:dyDescent="0.25">
      <c r="A13" s="299"/>
      <c r="B13" s="300"/>
      <c r="C13" s="301"/>
      <c r="D13" s="301"/>
      <c r="E13" s="301"/>
      <c r="F13" s="301"/>
      <c r="G13" s="301"/>
      <c r="H13" s="301"/>
      <c r="I13" s="302"/>
      <c r="J13" s="303"/>
      <c r="K13" s="304"/>
    </row>
    <row r="14" spans="1:19" x14ac:dyDescent="0.25">
      <c r="A14" s="299"/>
      <c r="B14" s="300"/>
      <c r="C14" s="301"/>
      <c r="D14" s="301"/>
      <c r="E14" s="301"/>
      <c r="F14" s="301"/>
      <c r="G14" s="301"/>
      <c r="H14" s="301"/>
      <c r="I14" s="302"/>
      <c r="J14" s="303"/>
      <c r="K14" s="304"/>
    </row>
    <row r="15" spans="1:19" x14ac:dyDescent="0.25">
      <c r="A15" s="299"/>
      <c r="B15" s="300"/>
      <c r="C15" s="301"/>
      <c r="D15" s="301"/>
      <c r="E15" s="301"/>
      <c r="F15" s="301"/>
      <c r="G15" s="301"/>
      <c r="H15" s="301"/>
      <c r="I15" s="302"/>
      <c r="J15" s="303"/>
      <c r="K15" s="304"/>
    </row>
    <row r="16" spans="1:19" x14ac:dyDescent="0.25">
      <c r="A16" s="299"/>
      <c r="B16" s="300"/>
      <c r="C16" s="301"/>
      <c r="D16" s="301"/>
      <c r="E16" s="301"/>
      <c r="F16" s="301"/>
      <c r="G16" s="301"/>
      <c r="H16" s="301"/>
      <c r="I16" s="302"/>
      <c r="J16" s="303"/>
      <c r="K16" s="304"/>
    </row>
    <row r="17" spans="1:11" x14ac:dyDescent="0.25">
      <c r="A17" s="299"/>
      <c r="B17" s="300"/>
      <c r="C17" s="301"/>
      <c r="D17" s="301"/>
      <c r="E17" s="301"/>
      <c r="F17" s="301"/>
      <c r="G17" s="301"/>
      <c r="H17" s="301"/>
      <c r="I17" s="302"/>
      <c r="J17" s="303"/>
      <c r="K17" s="304"/>
    </row>
    <row r="18" spans="1:11" x14ac:dyDescent="0.25">
      <c r="A18" s="299"/>
      <c r="B18" s="300"/>
      <c r="C18" s="301"/>
      <c r="D18" s="301"/>
      <c r="E18" s="301"/>
      <c r="F18" s="301"/>
      <c r="G18" s="301"/>
      <c r="H18" s="301"/>
      <c r="I18" s="302"/>
      <c r="J18" s="303"/>
      <c r="K18" s="304"/>
    </row>
    <row r="19" spans="1:11" x14ac:dyDescent="0.25">
      <c r="A19" s="299"/>
      <c r="B19" s="300"/>
      <c r="C19" s="301"/>
      <c r="D19" s="301"/>
      <c r="E19" s="301"/>
      <c r="F19" s="301"/>
      <c r="G19" s="301"/>
      <c r="H19" s="301"/>
      <c r="I19" s="302"/>
      <c r="J19" s="303"/>
      <c r="K19" s="304"/>
    </row>
    <row r="20" spans="1:11" x14ac:dyDescent="0.25">
      <c r="A20" s="299"/>
      <c r="B20" s="300"/>
      <c r="C20" s="301"/>
      <c r="D20" s="301"/>
      <c r="E20" s="301"/>
      <c r="F20" s="301"/>
      <c r="G20" s="301"/>
      <c r="H20" s="301"/>
      <c r="I20" s="302"/>
      <c r="J20" s="303"/>
      <c r="K20" s="304"/>
    </row>
    <row r="21" spans="1:11" x14ac:dyDescent="0.25">
      <c r="A21" s="299"/>
      <c r="B21" s="300"/>
      <c r="C21" s="301"/>
      <c r="D21" s="301"/>
      <c r="E21" s="301"/>
      <c r="F21" s="301"/>
      <c r="G21" s="301"/>
      <c r="H21" s="301"/>
      <c r="I21" s="302"/>
      <c r="J21" s="303"/>
      <c r="K21" s="304"/>
    </row>
    <row r="22" spans="1:11" x14ac:dyDescent="0.25">
      <c r="A22" s="299"/>
      <c r="B22" s="300"/>
      <c r="C22" s="301"/>
      <c r="D22" s="301"/>
      <c r="E22" s="301"/>
      <c r="F22" s="301"/>
      <c r="G22" s="301"/>
      <c r="H22" s="301"/>
      <c r="I22" s="302"/>
      <c r="J22" s="303"/>
      <c r="K22" s="304"/>
    </row>
    <row r="23" spans="1:11" x14ac:dyDescent="0.25">
      <c r="A23" s="299"/>
      <c r="B23" s="300"/>
      <c r="C23" s="301"/>
      <c r="D23" s="301"/>
      <c r="E23" s="301"/>
      <c r="F23" s="301"/>
      <c r="G23" s="301"/>
      <c r="H23" s="301"/>
      <c r="I23" s="302"/>
      <c r="J23" s="303"/>
      <c r="K23" s="304"/>
    </row>
    <row r="24" spans="1:11" ht="15.75" thickBot="1" x14ac:dyDescent="0.3">
      <c r="A24" s="305"/>
      <c r="B24" s="306"/>
      <c r="C24" s="307"/>
      <c r="D24" s="307"/>
      <c r="E24" s="307"/>
      <c r="F24" s="307"/>
      <c r="G24" s="307"/>
      <c r="H24" s="307"/>
      <c r="I24" s="308"/>
      <c r="J24" s="309"/>
      <c r="K24" s="310"/>
    </row>
    <row r="25" spans="1:11" ht="15.75" thickTop="1" x14ac:dyDescent="0.25"/>
  </sheetData>
  <sheetProtection insertRows="0" sort="0"/>
  <pageMargins left="0.25" right="0.25" top="1" bottom="1" header="0.5" footer="0.5"/>
  <pageSetup scale="95" orientation="landscape" horizontalDpi="300" verticalDpi="300" r:id="rId1"/>
  <headerFooter alignWithMargins="0">
    <oddFooter>&amp;C&amp;"Calibri,Bold"&amp;11Dealer/Reseller Mfr. Disclosure</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002"/>
  <sheetViews>
    <sheetView zoomScaleNormal="100" workbookViewId="0">
      <pane ySplit="2" topLeftCell="A3" activePane="bottomLeft" state="frozen"/>
      <selection pane="bottomLeft" activeCell="B3" sqref="B3"/>
    </sheetView>
  </sheetViews>
  <sheetFormatPr defaultColWidth="9.140625" defaultRowHeight="12.75" x14ac:dyDescent="0.2"/>
  <cols>
    <col min="1" max="1" width="7.5703125" style="115" customWidth="1"/>
    <col min="2" max="2" width="18.85546875" style="115" customWidth="1"/>
    <col min="3" max="3" width="6.28515625" style="119" customWidth="1"/>
    <col min="4" max="4" width="6" style="115" customWidth="1"/>
    <col min="5" max="5" width="10.7109375" style="43" customWidth="1"/>
    <col min="6" max="6" width="10.85546875" style="43" customWidth="1"/>
    <col min="7" max="7" width="8.28515625" style="175" customWidth="1"/>
    <col min="8" max="8" width="21.42578125" style="273" customWidth="1"/>
    <col min="9" max="9" width="9.28515625" style="43" customWidth="1"/>
    <col min="10" max="10" width="8.7109375" style="78" customWidth="1"/>
    <col min="11" max="11" width="9.42578125" style="43" customWidth="1"/>
    <col min="12" max="12" width="9" style="180" customWidth="1"/>
    <col min="13" max="13" width="9.5703125" style="45" customWidth="1"/>
    <col min="14" max="14" width="9.7109375" style="169" customWidth="1"/>
    <col min="15" max="16384" width="9.140625" style="45"/>
  </cols>
  <sheetData>
    <row r="1" spans="1:14" ht="16.5" thickTop="1" thickBot="1" x14ac:dyDescent="0.3">
      <c r="A1" s="130"/>
      <c r="C1" s="118"/>
      <c r="G1" s="172"/>
      <c r="H1" s="274"/>
      <c r="J1" s="57"/>
      <c r="L1" s="58"/>
      <c r="M1" s="184" t="s">
        <v>643</v>
      </c>
      <c r="N1" s="185"/>
    </row>
    <row r="2" spans="1:14" ht="99" customHeight="1" thickTop="1" thickBot="1" x14ac:dyDescent="0.25">
      <c r="A2" s="59" t="s">
        <v>0</v>
      </c>
      <c r="B2" s="60" t="s">
        <v>688</v>
      </c>
      <c r="C2" s="116" t="s">
        <v>564</v>
      </c>
      <c r="D2" s="117" t="s">
        <v>563</v>
      </c>
      <c r="E2" s="61" t="s">
        <v>2</v>
      </c>
      <c r="F2" s="62" t="s">
        <v>645</v>
      </c>
      <c r="G2" s="63" t="s">
        <v>23</v>
      </c>
      <c r="H2" s="64" t="s">
        <v>669</v>
      </c>
      <c r="I2" s="269" t="s">
        <v>644</v>
      </c>
      <c r="J2" s="65" t="s">
        <v>24</v>
      </c>
      <c r="K2" s="164" t="s">
        <v>20</v>
      </c>
      <c r="L2" s="66" t="s">
        <v>31</v>
      </c>
      <c r="M2" s="67" t="s">
        <v>32</v>
      </c>
      <c r="N2" s="68" t="s">
        <v>8</v>
      </c>
    </row>
    <row r="3" spans="1:14" ht="20.100000000000001" customHeight="1" thickTop="1" x14ac:dyDescent="0.25">
      <c r="A3" s="131" t="str">
        <f>IF(ISBLANK('ALL Other SINs - Proposal'!A3)," ",'ALL Other SINs - Proposal'!A3)</f>
        <v xml:space="preserve"> </v>
      </c>
      <c r="B3" s="132" t="str">
        <f>IF(ISBLANK('ALL Other SINs - Proposal'!B3)," ",'ALL Other SINs - Proposal'!B3)</f>
        <v xml:space="preserve"> </v>
      </c>
      <c r="C3" s="132" t="str">
        <f>IF(ISBLANK('ALL Other SINs - Proposal'!C3)," ",'ALL Other SINs - Proposal'!C3)</f>
        <v xml:space="preserve"> </v>
      </c>
      <c r="D3" s="136" t="str">
        <f>IF(ISBLANK('ALL Other SINs - Proposal'!D3)," ",'ALL Other SINs - Proposal'!D3)</f>
        <v xml:space="preserve"> </v>
      </c>
      <c r="E3" s="69" t="str">
        <f>IF(ISBLANK('ALL Other SINs - Proposal'!R3)," ",'ALL Other SINs - Proposal'!R3)</f>
        <v xml:space="preserve"> </v>
      </c>
      <c r="F3" s="70" t="str">
        <f>IF(ISBLANK('ALL Other SINs - Proposal'!S3)," ",'ALL Other SINs - Proposal'!S3)</f>
        <v xml:space="preserve"> </v>
      </c>
      <c r="G3" s="173" t="str">
        <f>IF(ISBLANK('ALL Other SINs - Proposal'!T3)," ",'ALL Other SINs - Proposal'!T3)</f>
        <v xml:space="preserve"> </v>
      </c>
      <c r="H3" s="73" t="str">
        <f>IF(ISBLANK('ALL Other SINs - Proposal'!V3)," ",'ALL Other SINs - Proposal'!V3)</f>
        <v xml:space="preserve"> </v>
      </c>
      <c r="I3" s="270" t="str">
        <f>IF(ISBLANK('ALL Other SINs - Proposal'!W3)," ",'ALL Other SINs - Proposal'!W3)</f>
        <v xml:space="preserve"> </v>
      </c>
      <c r="J3" s="71" t="str">
        <f>IF(ISBLANK('ALL Other SINs - Proposal'!X3)," ",'ALL Other SINs - Proposal'!X3)</f>
        <v xml:space="preserve"> </v>
      </c>
      <c r="K3" s="165" t="str">
        <f>IF(ISBLANK('ALL Other SINs - Proposal'!AA3)," ",'ALL Other SINs - Proposal'!AA3)</f>
        <v xml:space="preserve"> </v>
      </c>
      <c r="L3" s="176" t="str">
        <f>IF(ISBLANK('ALL Other SINs - Proposal'!AB3)," ",'ALL Other SINs - Proposal'!AB3)</f>
        <v xml:space="preserve"> </v>
      </c>
      <c r="M3" s="72" t="str">
        <f t="shared" ref="M3:M66" si="0">IFERROR(IF((ROUND(K3,2))&lt;=(ROUND(F3,2)),"YES","NO")," ")</f>
        <v xml:space="preserve"> </v>
      </c>
      <c r="N3" s="167" t="str">
        <f t="shared" ref="N3:N66" si="1">IFERROR(IF(ISBLANK(K3)," ",(ROUND(K3,2))/(ROUND(I3,2)))," ")</f>
        <v xml:space="preserve"> </v>
      </c>
    </row>
    <row r="4" spans="1:14" ht="15" x14ac:dyDescent="0.25">
      <c r="A4" s="131" t="str">
        <f>IF(ISBLANK('ALL Other SINs - Proposal'!A4)," ",'ALL Other SINs - Proposal'!A4)</f>
        <v xml:space="preserve"> </v>
      </c>
      <c r="B4" s="137" t="str">
        <f>IF(ISBLANK('ALL Other SINs - Proposal'!B4)," ",'ALL Other SINs - Proposal'!B4)</f>
        <v xml:space="preserve"> </v>
      </c>
      <c r="C4" s="137" t="str">
        <f>IF(ISBLANK('ALL Other SINs - Proposal'!C4)," ",'ALL Other SINs - Proposal'!C4)</f>
        <v xml:space="preserve"> </v>
      </c>
      <c r="D4" s="138" t="str">
        <f>IF(ISBLANK('ALL Other SINs - Proposal'!D4)," ",'ALL Other SINs - Proposal'!D4)</f>
        <v xml:space="preserve"> </v>
      </c>
      <c r="E4" s="69" t="str">
        <f>IF(ISBLANK('ALL Other SINs - Proposal'!R4)," ",'ALL Other SINs - Proposal'!R4)</f>
        <v xml:space="preserve"> </v>
      </c>
      <c r="F4" s="73" t="str">
        <f>IF(ISBLANK('ALL Other SINs - Proposal'!S4)," ",'ALL Other SINs - Proposal'!S4)</f>
        <v xml:space="preserve"> </v>
      </c>
      <c r="G4" s="173" t="str">
        <f>IF(ISBLANK('ALL Other SINs - Proposal'!T4)," ",'ALL Other SINs - Proposal'!T4)</f>
        <v xml:space="preserve"> </v>
      </c>
      <c r="H4" s="275" t="str">
        <f>IF(ISBLANK('ALL Other SINs - Proposal'!V4)," ",'ALL Other SINs - Proposal'!V4)</f>
        <v xml:space="preserve"> </v>
      </c>
      <c r="I4" s="271" t="str">
        <f>IF(ISBLANK('ALL Other SINs - Proposal'!W4)," ",'ALL Other SINs - Proposal'!W4)</f>
        <v xml:space="preserve"> </v>
      </c>
      <c r="J4" s="71" t="str">
        <f>IF(ISBLANK('ALL Other SINs - Proposal'!X4)," ",'ALL Other SINs - Proposal'!X4)</f>
        <v xml:space="preserve"> </v>
      </c>
      <c r="K4" s="165" t="str">
        <f>IF(ISBLANK('ALL Other SINs - Proposal'!AA4)," ",'ALL Other SINs - Proposal'!AA4)</f>
        <v xml:space="preserve"> </v>
      </c>
      <c r="L4" s="177" t="str">
        <f>IF(ISBLANK('ALL Other SINs - Proposal'!AB4)," ",'ALL Other SINs - Proposal'!AB4)</f>
        <v xml:space="preserve"> </v>
      </c>
      <c r="M4" s="72" t="str">
        <f t="shared" si="0"/>
        <v xml:space="preserve"> </v>
      </c>
      <c r="N4" s="167" t="str">
        <f t="shared" si="1"/>
        <v xml:space="preserve"> </v>
      </c>
    </row>
    <row r="5" spans="1:14" ht="15" x14ac:dyDescent="0.25">
      <c r="A5" s="131" t="str">
        <f>IF(ISBLANK('ALL Other SINs - Proposal'!A5)," ",'ALL Other SINs - Proposal'!A5)</f>
        <v xml:space="preserve"> </v>
      </c>
      <c r="B5" s="137" t="str">
        <f>IF(ISBLANK('ALL Other SINs - Proposal'!B5)," ",'ALL Other SINs - Proposal'!B5)</f>
        <v xml:space="preserve"> </v>
      </c>
      <c r="C5" s="137" t="str">
        <f>IF(ISBLANK('ALL Other SINs - Proposal'!C5)," ",'ALL Other SINs - Proposal'!C5)</f>
        <v xml:space="preserve"> </v>
      </c>
      <c r="D5" s="138" t="str">
        <f>IF(ISBLANK('ALL Other SINs - Proposal'!D5)," ",'ALL Other SINs - Proposal'!D5)</f>
        <v xml:space="preserve"> </v>
      </c>
      <c r="E5" s="69" t="str">
        <f>IF(ISBLANK('ALL Other SINs - Proposal'!R5)," ",'ALL Other SINs - Proposal'!R5)</f>
        <v xml:space="preserve"> </v>
      </c>
      <c r="F5" s="73" t="str">
        <f>IF(ISBLANK('ALL Other SINs - Proposal'!S5)," ",'ALL Other SINs - Proposal'!S5)</f>
        <v xml:space="preserve"> </v>
      </c>
      <c r="G5" s="173" t="str">
        <f>IF(ISBLANK('ALL Other SINs - Proposal'!T5)," ",'ALL Other SINs - Proposal'!T5)</f>
        <v xml:space="preserve"> </v>
      </c>
      <c r="H5" s="275" t="str">
        <f>IF(ISBLANK('ALL Other SINs - Proposal'!V5)," ",'ALL Other SINs - Proposal'!V5)</f>
        <v xml:space="preserve"> </v>
      </c>
      <c r="I5" s="271" t="str">
        <f>IF(ISBLANK('ALL Other SINs - Proposal'!W5)," ",'ALL Other SINs - Proposal'!W5)</f>
        <v xml:space="preserve"> </v>
      </c>
      <c r="J5" s="71" t="str">
        <f>IF(ISBLANK('ALL Other SINs - Proposal'!X5)," ",'ALL Other SINs - Proposal'!X5)</f>
        <v xml:space="preserve"> </v>
      </c>
      <c r="K5" s="165" t="str">
        <f>IF(ISBLANK('ALL Other SINs - Proposal'!AA5)," ",'ALL Other SINs - Proposal'!AA5)</f>
        <v xml:space="preserve"> </v>
      </c>
      <c r="L5" s="178" t="str">
        <f>IF(ISBLANK('ALL Other SINs - Proposal'!AB5)," ",'ALL Other SINs - Proposal'!AB5)</f>
        <v xml:space="preserve"> </v>
      </c>
      <c r="M5" s="72" t="str">
        <f t="shared" si="0"/>
        <v xml:space="preserve"> </v>
      </c>
      <c r="N5" s="167" t="str">
        <f t="shared" si="1"/>
        <v xml:space="preserve"> </v>
      </c>
    </row>
    <row r="6" spans="1:14" ht="15" x14ac:dyDescent="0.25">
      <c r="A6" s="131" t="str">
        <f>IF(ISBLANK('ALL Other SINs - Proposal'!A6)," ",'ALL Other SINs - Proposal'!A6)</f>
        <v xml:space="preserve"> </v>
      </c>
      <c r="B6" s="137" t="str">
        <f>IF(ISBLANK('ALL Other SINs - Proposal'!B6)," ",'ALL Other SINs - Proposal'!B6)</f>
        <v xml:space="preserve"> </v>
      </c>
      <c r="C6" s="137" t="str">
        <f>IF(ISBLANK('ALL Other SINs - Proposal'!C6)," ",'ALL Other SINs - Proposal'!C6)</f>
        <v xml:space="preserve"> </v>
      </c>
      <c r="D6" s="138" t="str">
        <f>IF(ISBLANK('ALL Other SINs - Proposal'!D6)," ",'ALL Other SINs - Proposal'!D6)</f>
        <v xml:space="preserve"> </v>
      </c>
      <c r="E6" s="69" t="str">
        <f>IF(ISBLANK('ALL Other SINs - Proposal'!R6)," ",'ALL Other SINs - Proposal'!R6)</f>
        <v xml:space="preserve"> </v>
      </c>
      <c r="F6" s="73" t="str">
        <f>IF(ISBLANK('ALL Other SINs - Proposal'!S6)," ",'ALL Other SINs - Proposal'!S6)</f>
        <v xml:space="preserve"> </v>
      </c>
      <c r="G6" s="173" t="str">
        <f>IF(ISBLANK('ALL Other SINs - Proposal'!T6)," ",'ALL Other SINs - Proposal'!T6)</f>
        <v xml:space="preserve"> </v>
      </c>
      <c r="H6" s="275" t="str">
        <f>IF(ISBLANK('ALL Other SINs - Proposal'!V6)," ",'ALL Other SINs - Proposal'!V6)</f>
        <v xml:space="preserve"> </v>
      </c>
      <c r="I6" s="271" t="str">
        <f>IF(ISBLANK('ALL Other SINs - Proposal'!W6)," ",'ALL Other SINs - Proposal'!W6)</f>
        <v xml:space="preserve"> </v>
      </c>
      <c r="J6" s="71" t="str">
        <f>IF(ISBLANK('ALL Other SINs - Proposal'!X6)," ",'ALL Other SINs - Proposal'!X6)</f>
        <v xml:space="preserve"> </v>
      </c>
      <c r="K6" s="165" t="str">
        <f>IF(ISBLANK('ALL Other SINs - Proposal'!AA6)," ",'ALL Other SINs - Proposal'!AA6)</f>
        <v xml:space="preserve"> </v>
      </c>
      <c r="L6" s="178" t="str">
        <f>IF(ISBLANK('ALL Other SINs - Proposal'!AB6)," ",'ALL Other SINs - Proposal'!AB6)</f>
        <v xml:space="preserve"> </v>
      </c>
      <c r="M6" s="72" t="str">
        <f t="shared" si="0"/>
        <v xml:space="preserve"> </v>
      </c>
      <c r="N6" s="167" t="str">
        <f t="shared" si="1"/>
        <v xml:space="preserve"> </v>
      </c>
    </row>
    <row r="7" spans="1:14" ht="15" x14ac:dyDescent="0.25">
      <c r="A7" s="131" t="str">
        <f>IF(ISBLANK('ALL Other SINs - Proposal'!A7)," ",'ALL Other SINs - Proposal'!A7)</f>
        <v xml:space="preserve"> </v>
      </c>
      <c r="B7" s="137" t="str">
        <f>IF(ISBLANK('ALL Other SINs - Proposal'!B7)," ",'ALL Other SINs - Proposal'!B7)</f>
        <v xml:space="preserve"> </v>
      </c>
      <c r="C7" s="137" t="str">
        <f>IF(ISBLANK('ALL Other SINs - Proposal'!C7)," ",'ALL Other SINs - Proposal'!C7)</f>
        <v xml:space="preserve"> </v>
      </c>
      <c r="D7" s="138" t="str">
        <f>IF(ISBLANK('ALL Other SINs - Proposal'!D7)," ",'ALL Other SINs - Proposal'!D7)</f>
        <v xml:space="preserve"> </v>
      </c>
      <c r="E7" s="69" t="str">
        <f>IF(ISBLANK('ALL Other SINs - Proposal'!R7)," ",'ALL Other SINs - Proposal'!R7)</f>
        <v xml:space="preserve"> </v>
      </c>
      <c r="F7" s="73" t="str">
        <f>IF(ISBLANK('ALL Other SINs - Proposal'!S7)," ",'ALL Other SINs - Proposal'!S7)</f>
        <v xml:space="preserve"> </v>
      </c>
      <c r="G7" s="173" t="str">
        <f>IF(ISBLANK('ALL Other SINs - Proposal'!T7)," ",'ALL Other SINs - Proposal'!T7)</f>
        <v xml:space="preserve"> </v>
      </c>
      <c r="H7" s="275" t="str">
        <f>IF(ISBLANK('ALL Other SINs - Proposal'!V7)," ",'ALL Other SINs - Proposal'!V7)</f>
        <v xml:space="preserve"> </v>
      </c>
      <c r="I7" s="271" t="str">
        <f>IF(ISBLANK('ALL Other SINs - Proposal'!W7)," ",'ALL Other SINs - Proposal'!W7)</f>
        <v xml:space="preserve"> </v>
      </c>
      <c r="J7" s="71" t="str">
        <f>IF(ISBLANK('ALL Other SINs - Proposal'!X7)," ",'ALL Other SINs - Proposal'!X7)</f>
        <v xml:space="preserve"> </v>
      </c>
      <c r="K7" s="165" t="str">
        <f>IF(ISBLANK('ALL Other SINs - Proposal'!AA7)," ",'ALL Other SINs - Proposal'!AA7)</f>
        <v xml:space="preserve"> </v>
      </c>
      <c r="L7" s="178" t="str">
        <f>IF(ISBLANK('ALL Other SINs - Proposal'!AB7)," ",'ALL Other SINs - Proposal'!AB7)</f>
        <v xml:space="preserve"> </v>
      </c>
      <c r="M7" s="72" t="str">
        <f t="shared" si="0"/>
        <v xml:space="preserve"> </v>
      </c>
      <c r="N7" s="167" t="str">
        <f t="shared" si="1"/>
        <v xml:space="preserve"> </v>
      </c>
    </row>
    <row r="8" spans="1:14" ht="15" x14ac:dyDescent="0.25">
      <c r="A8" s="131" t="str">
        <f>IF(ISBLANK('ALL Other SINs - Proposal'!A8)," ",'ALL Other SINs - Proposal'!A8)</f>
        <v xml:space="preserve"> </v>
      </c>
      <c r="B8" s="137" t="str">
        <f>IF(ISBLANK('ALL Other SINs - Proposal'!B8)," ",'ALL Other SINs - Proposal'!B8)</f>
        <v xml:space="preserve"> </v>
      </c>
      <c r="C8" s="137" t="str">
        <f>IF(ISBLANK('ALL Other SINs - Proposal'!C8)," ",'ALL Other SINs - Proposal'!C8)</f>
        <v xml:space="preserve"> </v>
      </c>
      <c r="D8" s="138" t="str">
        <f>IF(ISBLANK('ALL Other SINs - Proposal'!D8)," ",'ALL Other SINs - Proposal'!D8)</f>
        <v xml:space="preserve"> </v>
      </c>
      <c r="E8" s="69" t="str">
        <f>IF(ISBLANK('ALL Other SINs - Proposal'!R8)," ",'ALL Other SINs - Proposal'!R8)</f>
        <v xml:space="preserve"> </v>
      </c>
      <c r="F8" s="73" t="str">
        <f>IF(ISBLANK('ALL Other SINs - Proposal'!S8)," ",'ALL Other SINs - Proposal'!S8)</f>
        <v xml:space="preserve"> </v>
      </c>
      <c r="G8" s="173" t="str">
        <f>IF(ISBLANK('ALL Other SINs - Proposal'!T8)," ",'ALL Other SINs - Proposal'!T8)</f>
        <v xml:space="preserve"> </v>
      </c>
      <c r="H8" s="275" t="str">
        <f>IF(ISBLANK('ALL Other SINs - Proposal'!V8)," ",'ALL Other SINs - Proposal'!V8)</f>
        <v xml:space="preserve"> </v>
      </c>
      <c r="I8" s="271" t="str">
        <f>IF(ISBLANK('ALL Other SINs - Proposal'!W8)," ",'ALL Other SINs - Proposal'!W8)</f>
        <v xml:space="preserve"> </v>
      </c>
      <c r="J8" s="71" t="str">
        <f>IF(ISBLANK('ALL Other SINs - Proposal'!X8)," ",'ALL Other SINs - Proposal'!X8)</f>
        <v xml:space="preserve"> </v>
      </c>
      <c r="K8" s="165" t="str">
        <f>IF(ISBLANK('ALL Other SINs - Proposal'!AA8)," ",'ALL Other SINs - Proposal'!AA8)</f>
        <v xml:space="preserve"> </v>
      </c>
      <c r="L8" s="178" t="str">
        <f>IF(ISBLANK('ALL Other SINs - Proposal'!AB8)," ",'ALL Other SINs - Proposal'!AB8)</f>
        <v xml:space="preserve"> </v>
      </c>
      <c r="M8" s="72" t="str">
        <f t="shared" si="0"/>
        <v xml:space="preserve"> </v>
      </c>
      <c r="N8" s="167" t="str">
        <f t="shared" si="1"/>
        <v xml:space="preserve"> </v>
      </c>
    </row>
    <row r="9" spans="1:14" ht="15" x14ac:dyDescent="0.25">
      <c r="A9" s="131" t="str">
        <f>IF(ISBLANK('ALL Other SINs - Proposal'!A9)," ",'ALL Other SINs - Proposal'!A9)</f>
        <v xml:space="preserve"> </v>
      </c>
      <c r="B9" s="137" t="str">
        <f>IF(ISBLANK('ALL Other SINs - Proposal'!B9)," ",'ALL Other SINs - Proposal'!B9)</f>
        <v xml:space="preserve"> </v>
      </c>
      <c r="C9" s="137" t="str">
        <f>IF(ISBLANK('ALL Other SINs - Proposal'!C9)," ",'ALL Other SINs - Proposal'!C9)</f>
        <v xml:space="preserve"> </v>
      </c>
      <c r="D9" s="138" t="str">
        <f>IF(ISBLANK('ALL Other SINs - Proposal'!D9)," ",'ALL Other SINs - Proposal'!D9)</f>
        <v xml:space="preserve"> </v>
      </c>
      <c r="E9" s="69" t="str">
        <f>IF(ISBLANK('ALL Other SINs - Proposal'!R9)," ",'ALL Other SINs - Proposal'!R9)</f>
        <v xml:space="preserve"> </v>
      </c>
      <c r="F9" s="73" t="str">
        <f>IF(ISBLANK('ALL Other SINs - Proposal'!S9)," ",'ALL Other SINs - Proposal'!S9)</f>
        <v xml:space="preserve"> </v>
      </c>
      <c r="G9" s="173" t="str">
        <f>IF(ISBLANK('ALL Other SINs - Proposal'!T9)," ",'ALL Other SINs - Proposal'!T9)</f>
        <v xml:space="preserve"> </v>
      </c>
      <c r="H9" s="275" t="str">
        <f>IF(ISBLANK('ALL Other SINs - Proposal'!V9)," ",'ALL Other SINs - Proposal'!V9)</f>
        <v xml:space="preserve"> </v>
      </c>
      <c r="I9" s="271" t="str">
        <f>IF(ISBLANK('ALL Other SINs - Proposal'!W9)," ",'ALL Other SINs - Proposal'!W9)</f>
        <v xml:space="preserve"> </v>
      </c>
      <c r="J9" s="71" t="str">
        <f>IF(ISBLANK('ALL Other SINs - Proposal'!X9)," ",'ALL Other SINs - Proposal'!X9)</f>
        <v xml:space="preserve"> </v>
      </c>
      <c r="K9" s="165" t="str">
        <f>IF(ISBLANK('ALL Other SINs - Proposal'!AA9)," ",'ALL Other SINs - Proposal'!AA9)</f>
        <v xml:space="preserve"> </v>
      </c>
      <c r="L9" s="178" t="str">
        <f>IF(ISBLANK('ALL Other SINs - Proposal'!AB9)," ",'ALL Other SINs - Proposal'!AB9)</f>
        <v xml:space="preserve"> </v>
      </c>
      <c r="M9" s="72" t="str">
        <f t="shared" si="0"/>
        <v xml:space="preserve"> </v>
      </c>
      <c r="N9" s="167" t="str">
        <f t="shared" si="1"/>
        <v xml:space="preserve"> </v>
      </c>
    </row>
    <row r="10" spans="1:14" ht="15" x14ac:dyDescent="0.25">
      <c r="A10" s="131" t="str">
        <f>IF(ISBLANK('ALL Other SINs - Proposal'!A10)," ",'ALL Other SINs - Proposal'!A10)</f>
        <v xml:space="preserve"> </v>
      </c>
      <c r="B10" s="137" t="str">
        <f>IF(ISBLANK('ALL Other SINs - Proposal'!B10)," ",'ALL Other SINs - Proposal'!B10)</f>
        <v xml:space="preserve"> </v>
      </c>
      <c r="C10" s="137" t="str">
        <f>IF(ISBLANK('ALL Other SINs - Proposal'!C10)," ",'ALL Other SINs - Proposal'!C10)</f>
        <v xml:space="preserve"> </v>
      </c>
      <c r="D10" s="138" t="str">
        <f>IF(ISBLANK('ALL Other SINs - Proposal'!D10)," ",'ALL Other SINs - Proposal'!D10)</f>
        <v xml:space="preserve"> </v>
      </c>
      <c r="E10" s="69" t="str">
        <f>IF(ISBLANK('ALL Other SINs - Proposal'!R10)," ",'ALL Other SINs - Proposal'!R10)</f>
        <v xml:space="preserve"> </v>
      </c>
      <c r="F10" s="73" t="str">
        <f>IF(ISBLANK('ALL Other SINs - Proposal'!S10)," ",'ALL Other SINs - Proposal'!S10)</f>
        <v xml:space="preserve"> </v>
      </c>
      <c r="G10" s="173" t="str">
        <f>IF(ISBLANK('ALL Other SINs - Proposal'!T10)," ",'ALL Other SINs - Proposal'!T10)</f>
        <v xml:space="preserve"> </v>
      </c>
      <c r="H10" s="275" t="str">
        <f>IF(ISBLANK('ALL Other SINs - Proposal'!V10)," ",'ALL Other SINs - Proposal'!V10)</f>
        <v xml:space="preserve"> </v>
      </c>
      <c r="I10" s="271" t="str">
        <f>IF(ISBLANK('ALL Other SINs - Proposal'!W10)," ",'ALL Other SINs - Proposal'!W10)</f>
        <v xml:space="preserve"> </v>
      </c>
      <c r="J10" s="71" t="str">
        <f>IF(ISBLANK('ALL Other SINs - Proposal'!X10)," ",'ALL Other SINs - Proposal'!X10)</f>
        <v xml:space="preserve"> </v>
      </c>
      <c r="K10" s="165" t="str">
        <f>IF(ISBLANK('ALL Other SINs - Proposal'!AA10)," ",'ALL Other SINs - Proposal'!AA10)</f>
        <v xml:space="preserve"> </v>
      </c>
      <c r="L10" s="178" t="str">
        <f>IF(ISBLANK('ALL Other SINs - Proposal'!AB10)," ",'ALL Other SINs - Proposal'!AB10)</f>
        <v xml:space="preserve"> </v>
      </c>
      <c r="M10" s="72" t="str">
        <f t="shared" si="0"/>
        <v xml:space="preserve"> </v>
      </c>
      <c r="N10" s="167" t="str">
        <f t="shared" si="1"/>
        <v xml:space="preserve"> </v>
      </c>
    </row>
    <row r="11" spans="1:14" ht="15" x14ac:dyDescent="0.25">
      <c r="A11" s="131" t="str">
        <f>IF(ISBLANK('ALL Other SINs - Proposal'!A11)," ",'ALL Other SINs - Proposal'!A11)</f>
        <v xml:space="preserve"> </v>
      </c>
      <c r="B11" s="137" t="str">
        <f>IF(ISBLANK('ALL Other SINs - Proposal'!B11)," ",'ALL Other SINs - Proposal'!B11)</f>
        <v xml:space="preserve"> </v>
      </c>
      <c r="C11" s="137" t="str">
        <f>IF(ISBLANK('ALL Other SINs - Proposal'!C11)," ",'ALL Other SINs - Proposal'!C11)</f>
        <v xml:space="preserve"> </v>
      </c>
      <c r="D11" s="138" t="str">
        <f>IF(ISBLANK('ALL Other SINs - Proposal'!D11)," ",'ALL Other SINs - Proposal'!D11)</f>
        <v xml:space="preserve"> </v>
      </c>
      <c r="E11" s="69" t="str">
        <f>IF(ISBLANK('ALL Other SINs - Proposal'!R11)," ",'ALL Other SINs - Proposal'!R11)</f>
        <v xml:space="preserve"> </v>
      </c>
      <c r="F11" s="73" t="str">
        <f>IF(ISBLANK('ALL Other SINs - Proposal'!S11)," ",'ALL Other SINs - Proposal'!S11)</f>
        <v xml:space="preserve"> </v>
      </c>
      <c r="G11" s="173" t="str">
        <f>IF(ISBLANK('ALL Other SINs - Proposal'!T11)," ",'ALL Other SINs - Proposal'!T11)</f>
        <v xml:space="preserve"> </v>
      </c>
      <c r="H11" s="275" t="str">
        <f>IF(ISBLANK('ALL Other SINs - Proposal'!V11)," ",'ALL Other SINs - Proposal'!V11)</f>
        <v xml:space="preserve"> </v>
      </c>
      <c r="I11" s="271" t="str">
        <f>IF(ISBLANK('ALL Other SINs - Proposal'!W11)," ",'ALL Other SINs - Proposal'!W11)</f>
        <v xml:space="preserve"> </v>
      </c>
      <c r="J11" s="71" t="str">
        <f>IF(ISBLANK('ALL Other SINs - Proposal'!X11)," ",'ALL Other SINs - Proposal'!X11)</f>
        <v xml:space="preserve"> </v>
      </c>
      <c r="K11" s="165" t="str">
        <f>IF(ISBLANK('ALL Other SINs - Proposal'!AA11)," ",'ALL Other SINs - Proposal'!AA11)</f>
        <v xml:space="preserve"> </v>
      </c>
      <c r="L11" s="178" t="str">
        <f>IF(ISBLANK('ALL Other SINs - Proposal'!AB11)," ",'ALL Other SINs - Proposal'!AB11)</f>
        <v xml:space="preserve"> </v>
      </c>
      <c r="M11" s="72" t="str">
        <f t="shared" si="0"/>
        <v xml:space="preserve"> </v>
      </c>
      <c r="N11" s="167" t="str">
        <f t="shared" si="1"/>
        <v xml:space="preserve"> </v>
      </c>
    </row>
    <row r="12" spans="1:14" ht="15" x14ac:dyDescent="0.25">
      <c r="A12" s="131" t="str">
        <f>IF(ISBLANK('ALL Other SINs - Proposal'!A12)," ",'ALL Other SINs - Proposal'!A12)</f>
        <v xml:space="preserve"> </v>
      </c>
      <c r="B12" s="137" t="str">
        <f>IF(ISBLANK('ALL Other SINs - Proposal'!B12)," ",'ALL Other SINs - Proposal'!B12)</f>
        <v xml:space="preserve"> </v>
      </c>
      <c r="C12" s="137" t="str">
        <f>IF(ISBLANK('ALL Other SINs - Proposal'!C12)," ",'ALL Other SINs - Proposal'!C12)</f>
        <v xml:space="preserve"> </v>
      </c>
      <c r="D12" s="138" t="str">
        <f>IF(ISBLANK('ALL Other SINs - Proposal'!D12)," ",'ALL Other SINs - Proposal'!D12)</f>
        <v xml:space="preserve"> </v>
      </c>
      <c r="E12" s="69" t="str">
        <f>IF(ISBLANK('ALL Other SINs - Proposal'!R12)," ",'ALL Other SINs - Proposal'!R12)</f>
        <v xml:space="preserve"> </v>
      </c>
      <c r="F12" s="73" t="str">
        <f>IF(ISBLANK('ALL Other SINs - Proposal'!S12)," ",'ALL Other SINs - Proposal'!S12)</f>
        <v xml:space="preserve"> </v>
      </c>
      <c r="G12" s="173" t="str">
        <f>IF(ISBLANK('ALL Other SINs - Proposal'!T12)," ",'ALL Other SINs - Proposal'!T12)</f>
        <v xml:space="preserve"> </v>
      </c>
      <c r="H12" s="275" t="str">
        <f>IF(ISBLANK('ALL Other SINs - Proposal'!V12)," ",'ALL Other SINs - Proposal'!V12)</f>
        <v xml:space="preserve"> </v>
      </c>
      <c r="I12" s="271" t="str">
        <f>IF(ISBLANK('ALL Other SINs - Proposal'!W12)," ",'ALL Other SINs - Proposal'!W12)</f>
        <v xml:space="preserve"> </v>
      </c>
      <c r="J12" s="71" t="str">
        <f>IF(ISBLANK('ALL Other SINs - Proposal'!X12)," ",'ALL Other SINs - Proposal'!X12)</f>
        <v xml:space="preserve"> </v>
      </c>
      <c r="K12" s="165" t="str">
        <f>IF(ISBLANK('ALL Other SINs - Proposal'!AA12)," ",'ALL Other SINs - Proposal'!AA12)</f>
        <v xml:space="preserve"> </v>
      </c>
      <c r="L12" s="178" t="str">
        <f>IF(ISBLANK('ALL Other SINs - Proposal'!AB12)," ",'ALL Other SINs - Proposal'!AB12)</f>
        <v xml:space="preserve"> </v>
      </c>
      <c r="M12" s="72" t="str">
        <f t="shared" si="0"/>
        <v xml:space="preserve"> </v>
      </c>
      <c r="N12" s="167" t="str">
        <f t="shared" si="1"/>
        <v xml:space="preserve"> </v>
      </c>
    </row>
    <row r="13" spans="1:14" ht="15" x14ac:dyDescent="0.25">
      <c r="A13" s="131" t="str">
        <f>IF(ISBLANK('ALL Other SINs - Proposal'!A13)," ",'ALL Other SINs - Proposal'!A13)</f>
        <v xml:space="preserve"> </v>
      </c>
      <c r="B13" s="137" t="str">
        <f>IF(ISBLANK('ALL Other SINs - Proposal'!B13)," ",'ALL Other SINs - Proposal'!B13)</f>
        <v xml:space="preserve"> </v>
      </c>
      <c r="C13" s="137" t="str">
        <f>IF(ISBLANK('ALL Other SINs - Proposal'!C13)," ",'ALL Other SINs - Proposal'!C13)</f>
        <v xml:space="preserve"> </v>
      </c>
      <c r="D13" s="138" t="str">
        <f>IF(ISBLANK('ALL Other SINs - Proposal'!D13)," ",'ALL Other SINs - Proposal'!D13)</f>
        <v xml:space="preserve"> </v>
      </c>
      <c r="E13" s="69" t="str">
        <f>IF(ISBLANK('ALL Other SINs - Proposal'!R13)," ",'ALL Other SINs - Proposal'!R13)</f>
        <v xml:space="preserve"> </v>
      </c>
      <c r="F13" s="73" t="str">
        <f>IF(ISBLANK('ALL Other SINs - Proposal'!S13)," ",'ALL Other SINs - Proposal'!S13)</f>
        <v xml:space="preserve"> </v>
      </c>
      <c r="G13" s="173" t="str">
        <f>IF(ISBLANK('ALL Other SINs - Proposal'!T13)," ",'ALL Other SINs - Proposal'!T13)</f>
        <v xml:space="preserve"> </v>
      </c>
      <c r="H13" s="275" t="str">
        <f>IF(ISBLANK('ALL Other SINs - Proposal'!V13)," ",'ALL Other SINs - Proposal'!V13)</f>
        <v xml:space="preserve"> </v>
      </c>
      <c r="I13" s="271" t="str">
        <f>IF(ISBLANK('ALL Other SINs - Proposal'!W13)," ",'ALL Other SINs - Proposal'!W13)</f>
        <v xml:space="preserve"> </v>
      </c>
      <c r="J13" s="71" t="str">
        <f>IF(ISBLANK('ALL Other SINs - Proposal'!X13)," ",'ALL Other SINs - Proposal'!X13)</f>
        <v xml:space="preserve"> </v>
      </c>
      <c r="K13" s="165" t="str">
        <f>IF(ISBLANK('ALL Other SINs - Proposal'!AA13)," ",'ALL Other SINs - Proposal'!AA13)</f>
        <v xml:space="preserve"> </v>
      </c>
      <c r="L13" s="178" t="str">
        <f>IF(ISBLANK('ALL Other SINs - Proposal'!AB13)," ",'ALL Other SINs - Proposal'!AB13)</f>
        <v xml:space="preserve"> </v>
      </c>
      <c r="M13" s="72" t="str">
        <f t="shared" si="0"/>
        <v xml:space="preserve"> </v>
      </c>
      <c r="N13" s="167" t="str">
        <f t="shared" si="1"/>
        <v xml:space="preserve"> </v>
      </c>
    </row>
    <row r="14" spans="1:14" ht="15" x14ac:dyDescent="0.25">
      <c r="A14" s="131" t="str">
        <f>IF(ISBLANK('ALL Other SINs - Proposal'!A14)," ",'ALL Other SINs - Proposal'!A14)</f>
        <v xml:space="preserve"> </v>
      </c>
      <c r="B14" s="137" t="str">
        <f>IF(ISBLANK('ALL Other SINs - Proposal'!B14)," ",'ALL Other SINs - Proposal'!B14)</f>
        <v xml:space="preserve"> </v>
      </c>
      <c r="C14" s="137" t="str">
        <f>IF(ISBLANK('ALL Other SINs - Proposal'!C14)," ",'ALL Other SINs - Proposal'!C14)</f>
        <v xml:space="preserve"> </v>
      </c>
      <c r="D14" s="138" t="str">
        <f>IF(ISBLANK('ALL Other SINs - Proposal'!D14)," ",'ALL Other SINs - Proposal'!D14)</f>
        <v xml:space="preserve"> </v>
      </c>
      <c r="E14" s="69" t="str">
        <f>IF(ISBLANK('ALL Other SINs - Proposal'!R14)," ",'ALL Other SINs - Proposal'!R14)</f>
        <v xml:space="preserve"> </v>
      </c>
      <c r="F14" s="73" t="str">
        <f>IF(ISBLANK('ALL Other SINs - Proposal'!S14)," ",'ALL Other SINs - Proposal'!S14)</f>
        <v xml:space="preserve"> </v>
      </c>
      <c r="G14" s="173" t="str">
        <f>IF(ISBLANK('ALL Other SINs - Proposal'!T14)," ",'ALL Other SINs - Proposal'!T14)</f>
        <v xml:space="preserve"> </v>
      </c>
      <c r="H14" s="275" t="str">
        <f>IF(ISBLANK('ALL Other SINs - Proposal'!V14)," ",'ALL Other SINs - Proposal'!V14)</f>
        <v xml:space="preserve"> </v>
      </c>
      <c r="I14" s="271" t="str">
        <f>IF(ISBLANK('ALL Other SINs - Proposal'!W14)," ",'ALL Other SINs - Proposal'!W14)</f>
        <v xml:space="preserve"> </v>
      </c>
      <c r="J14" s="71" t="str">
        <f>IF(ISBLANK('ALL Other SINs - Proposal'!X14)," ",'ALL Other SINs - Proposal'!X14)</f>
        <v xml:space="preserve"> </v>
      </c>
      <c r="K14" s="165" t="str">
        <f>IF(ISBLANK('ALL Other SINs - Proposal'!AA14)," ",'ALL Other SINs - Proposal'!AA14)</f>
        <v xml:space="preserve"> </v>
      </c>
      <c r="L14" s="178" t="str">
        <f>IF(ISBLANK('ALL Other SINs - Proposal'!AB14)," ",'ALL Other SINs - Proposal'!AB14)</f>
        <v xml:space="preserve"> </v>
      </c>
      <c r="M14" s="72" t="str">
        <f t="shared" si="0"/>
        <v xml:space="preserve"> </v>
      </c>
      <c r="N14" s="167" t="str">
        <f t="shared" si="1"/>
        <v xml:space="preserve"> </v>
      </c>
    </row>
    <row r="15" spans="1:14" ht="15" x14ac:dyDescent="0.25">
      <c r="A15" s="131" t="str">
        <f>IF(ISBLANK('ALL Other SINs - Proposal'!A15)," ",'ALL Other SINs - Proposal'!A15)</f>
        <v xml:space="preserve"> </v>
      </c>
      <c r="B15" s="137" t="str">
        <f>IF(ISBLANK('ALL Other SINs - Proposal'!B15)," ",'ALL Other SINs - Proposal'!B15)</f>
        <v xml:space="preserve"> </v>
      </c>
      <c r="C15" s="137" t="str">
        <f>IF(ISBLANK('ALL Other SINs - Proposal'!C15)," ",'ALL Other SINs - Proposal'!C15)</f>
        <v xml:space="preserve"> </v>
      </c>
      <c r="D15" s="138" t="str">
        <f>IF(ISBLANK('ALL Other SINs - Proposal'!D15)," ",'ALL Other SINs - Proposal'!D15)</f>
        <v xml:space="preserve"> </v>
      </c>
      <c r="E15" s="69" t="str">
        <f>IF(ISBLANK('ALL Other SINs - Proposal'!R15)," ",'ALL Other SINs - Proposal'!R15)</f>
        <v xml:space="preserve"> </v>
      </c>
      <c r="F15" s="73" t="str">
        <f>IF(ISBLANK('ALL Other SINs - Proposal'!S15)," ",'ALL Other SINs - Proposal'!S15)</f>
        <v xml:space="preserve"> </v>
      </c>
      <c r="G15" s="173" t="str">
        <f>IF(ISBLANK('ALL Other SINs - Proposal'!T15)," ",'ALL Other SINs - Proposal'!T15)</f>
        <v xml:space="preserve"> </v>
      </c>
      <c r="H15" s="275" t="str">
        <f>IF(ISBLANK('ALL Other SINs - Proposal'!V15)," ",'ALL Other SINs - Proposal'!V15)</f>
        <v xml:space="preserve"> </v>
      </c>
      <c r="I15" s="271" t="str">
        <f>IF(ISBLANK('ALL Other SINs - Proposal'!W15)," ",'ALL Other SINs - Proposal'!W15)</f>
        <v xml:space="preserve"> </v>
      </c>
      <c r="J15" s="71" t="str">
        <f>IF(ISBLANK('ALL Other SINs - Proposal'!X15)," ",'ALL Other SINs - Proposal'!X15)</f>
        <v xml:space="preserve"> </v>
      </c>
      <c r="K15" s="165" t="str">
        <f>IF(ISBLANK('ALL Other SINs - Proposal'!AA15)," ",'ALL Other SINs - Proposal'!AA15)</f>
        <v xml:space="preserve"> </v>
      </c>
      <c r="L15" s="178" t="str">
        <f>IF(ISBLANK('ALL Other SINs - Proposal'!AB15)," ",'ALL Other SINs - Proposal'!AB15)</f>
        <v xml:space="preserve"> </v>
      </c>
      <c r="M15" s="72" t="str">
        <f t="shared" si="0"/>
        <v xml:space="preserve"> </v>
      </c>
      <c r="N15" s="167" t="str">
        <f t="shared" si="1"/>
        <v xml:space="preserve"> </v>
      </c>
    </row>
    <row r="16" spans="1:14" ht="15" x14ac:dyDescent="0.25">
      <c r="A16" s="131" t="str">
        <f>IF(ISBLANK('ALL Other SINs - Proposal'!A16)," ",'ALL Other SINs - Proposal'!A16)</f>
        <v xml:space="preserve"> </v>
      </c>
      <c r="B16" s="137" t="str">
        <f>IF(ISBLANK('ALL Other SINs - Proposal'!B16)," ",'ALL Other SINs - Proposal'!B16)</f>
        <v xml:space="preserve"> </v>
      </c>
      <c r="C16" s="137" t="str">
        <f>IF(ISBLANK('ALL Other SINs - Proposal'!C16)," ",'ALL Other SINs - Proposal'!C16)</f>
        <v xml:space="preserve"> </v>
      </c>
      <c r="D16" s="138" t="str">
        <f>IF(ISBLANK('ALL Other SINs - Proposal'!D16)," ",'ALL Other SINs - Proposal'!D16)</f>
        <v xml:space="preserve"> </v>
      </c>
      <c r="E16" s="69" t="str">
        <f>IF(ISBLANK('ALL Other SINs - Proposal'!R16)," ",'ALL Other SINs - Proposal'!R16)</f>
        <v xml:space="preserve"> </v>
      </c>
      <c r="F16" s="73" t="str">
        <f>IF(ISBLANK('ALL Other SINs - Proposal'!S16)," ",'ALL Other SINs - Proposal'!S16)</f>
        <v xml:space="preserve"> </v>
      </c>
      <c r="G16" s="173" t="str">
        <f>IF(ISBLANK('ALL Other SINs - Proposal'!T16)," ",'ALL Other SINs - Proposal'!T16)</f>
        <v xml:space="preserve"> </v>
      </c>
      <c r="H16" s="275" t="str">
        <f>IF(ISBLANK('ALL Other SINs - Proposal'!V16)," ",'ALL Other SINs - Proposal'!V16)</f>
        <v xml:space="preserve"> </v>
      </c>
      <c r="I16" s="271" t="str">
        <f>IF(ISBLANK('ALL Other SINs - Proposal'!W16)," ",'ALL Other SINs - Proposal'!W16)</f>
        <v xml:space="preserve"> </v>
      </c>
      <c r="J16" s="71" t="str">
        <f>IF(ISBLANK('ALL Other SINs - Proposal'!X16)," ",'ALL Other SINs - Proposal'!X16)</f>
        <v xml:space="preserve"> </v>
      </c>
      <c r="K16" s="165" t="str">
        <f>IF(ISBLANK('ALL Other SINs - Proposal'!AA16)," ",'ALL Other SINs - Proposal'!AA16)</f>
        <v xml:space="preserve"> </v>
      </c>
      <c r="L16" s="178" t="str">
        <f>IF(ISBLANK('ALL Other SINs - Proposal'!AB16)," ",'ALL Other SINs - Proposal'!AB16)</f>
        <v xml:space="preserve"> </v>
      </c>
      <c r="M16" s="72" t="str">
        <f t="shared" si="0"/>
        <v xml:space="preserve"> </v>
      </c>
      <c r="N16" s="167" t="str">
        <f t="shared" si="1"/>
        <v xml:space="preserve"> </v>
      </c>
    </row>
    <row r="17" spans="1:14" ht="15" x14ac:dyDescent="0.25">
      <c r="A17" s="131" t="str">
        <f>IF(ISBLANK('ALL Other SINs - Proposal'!A17)," ",'ALL Other SINs - Proposal'!A17)</f>
        <v xml:space="preserve"> </v>
      </c>
      <c r="B17" s="137" t="str">
        <f>IF(ISBLANK('ALL Other SINs - Proposal'!B17)," ",'ALL Other SINs - Proposal'!B17)</f>
        <v xml:space="preserve"> </v>
      </c>
      <c r="C17" s="137" t="str">
        <f>IF(ISBLANK('ALL Other SINs - Proposal'!C17)," ",'ALL Other SINs - Proposal'!C17)</f>
        <v xml:space="preserve"> </v>
      </c>
      <c r="D17" s="138" t="str">
        <f>IF(ISBLANK('ALL Other SINs - Proposal'!D17)," ",'ALL Other SINs - Proposal'!D17)</f>
        <v xml:space="preserve"> </v>
      </c>
      <c r="E17" s="69" t="str">
        <f>IF(ISBLANK('ALL Other SINs - Proposal'!R17)," ",'ALL Other SINs - Proposal'!R17)</f>
        <v xml:space="preserve"> </v>
      </c>
      <c r="F17" s="73" t="str">
        <f>IF(ISBLANK('ALL Other SINs - Proposal'!S17)," ",'ALL Other SINs - Proposal'!S17)</f>
        <v xml:space="preserve"> </v>
      </c>
      <c r="G17" s="173" t="str">
        <f>IF(ISBLANK('ALL Other SINs - Proposal'!T17)," ",'ALL Other SINs - Proposal'!T17)</f>
        <v xml:space="preserve"> </v>
      </c>
      <c r="H17" s="275" t="str">
        <f>IF(ISBLANK('ALL Other SINs - Proposal'!V17)," ",'ALL Other SINs - Proposal'!V17)</f>
        <v xml:space="preserve"> </v>
      </c>
      <c r="I17" s="271" t="str">
        <f>IF(ISBLANK('ALL Other SINs - Proposal'!W17)," ",'ALL Other SINs - Proposal'!W17)</f>
        <v xml:space="preserve"> </v>
      </c>
      <c r="J17" s="71" t="str">
        <f>IF(ISBLANK('ALL Other SINs - Proposal'!X17)," ",'ALL Other SINs - Proposal'!X17)</f>
        <v xml:space="preserve"> </v>
      </c>
      <c r="K17" s="165" t="str">
        <f>IF(ISBLANK('ALL Other SINs - Proposal'!AA17)," ",'ALL Other SINs - Proposal'!AA17)</f>
        <v xml:space="preserve"> </v>
      </c>
      <c r="L17" s="178" t="str">
        <f>IF(ISBLANK('ALL Other SINs - Proposal'!AB17)," ",'ALL Other SINs - Proposal'!AB17)</f>
        <v xml:space="preserve"> </v>
      </c>
      <c r="M17" s="72" t="str">
        <f t="shared" si="0"/>
        <v xml:space="preserve"> </v>
      </c>
      <c r="N17" s="167" t="str">
        <f t="shared" si="1"/>
        <v xml:space="preserve"> </v>
      </c>
    </row>
    <row r="18" spans="1:14" ht="15" x14ac:dyDescent="0.25">
      <c r="A18" s="131" t="str">
        <f>IF(ISBLANK('ALL Other SINs - Proposal'!A18)," ",'ALL Other SINs - Proposal'!A18)</f>
        <v xml:space="preserve"> </v>
      </c>
      <c r="B18" s="137" t="str">
        <f>IF(ISBLANK('ALL Other SINs - Proposal'!B18)," ",'ALL Other SINs - Proposal'!B18)</f>
        <v xml:space="preserve"> </v>
      </c>
      <c r="C18" s="137" t="str">
        <f>IF(ISBLANK('ALL Other SINs - Proposal'!C18)," ",'ALL Other SINs - Proposal'!C18)</f>
        <v xml:space="preserve"> </v>
      </c>
      <c r="D18" s="138" t="str">
        <f>IF(ISBLANK('ALL Other SINs - Proposal'!D18)," ",'ALL Other SINs - Proposal'!D18)</f>
        <v xml:space="preserve"> </v>
      </c>
      <c r="E18" s="69" t="str">
        <f>IF(ISBLANK('ALL Other SINs - Proposal'!R18)," ",'ALL Other SINs - Proposal'!R18)</f>
        <v xml:space="preserve"> </v>
      </c>
      <c r="F18" s="73" t="str">
        <f>IF(ISBLANK('ALL Other SINs - Proposal'!S18)," ",'ALL Other SINs - Proposal'!S18)</f>
        <v xml:space="preserve"> </v>
      </c>
      <c r="G18" s="173" t="str">
        <f>IF(ISBLANK('ALL Other SINs - Proposal'!T18)," ",'ALL Other SINs - Proposal'!T18)</f>
        <v xml:space="preserve"> </v>
      </c>
      <c r="H18" s="275" t="str">
        <f>IF(ISBLANK('ALL Other SINs - Proposal'!V18)," ",'ALL Other SINs - Proposal'!V18)</f>
        <v xml:space="preserve"> </v>
      </c>
      <c r="I18" s="271" t="str">
        <f>IF(ISBLANK('ALL Other SINs - Proposal'!W18)," ",'ALL Other SINs - Proposal'!W18)</f>
        <v xml:space="preserve"> </v>
      </c>
      <c r="J18" s="71" t="str">
        <f>IF(ISBLANK('ALL Other SINs - Proposal'!X18)," ",'ALL Other SINs - Proposal'!X18)</f>
        <v xml:space="preserve"> </v>
      </c>
      <c r="K18" s="165" t="str">
        <f>IF(ISBLANK('ALL Other SINs - Proposal'!AA18)," ",'ALL Other SINs - Proposal'!AA18)</f>
        <v xml:space="preserve"> </v>
      </c>
      <c r="L18" s="178" t="str">
        <f>IF(ISBLANK('ALL Other SINs - Proposal'!AB18)," ",'ALL Other SINs - Proposal'!AB18)</f>
        <v xml:space="preserve"> </v>
      </c>
      <c r="M18" s="72" t="str">
        <f t="shared" si="0"/>
        <v xml:space="preserve"> </v>
      </c>
      <c r="N18" s="167" t="str">
        <f t="shared" si="1"/>
        <v xml:space="preserve"> </v>
      </c>
    </row>
    <row r="19" spans="1:14" ht="15" x14ac:dyDescent="0.25">
      <c r="A19" s="131" t="str">
        <f>IF(ISBLANK('ALL Other SINs - Proposal'!A19)," ",'ALL Other SINs - Proposal'!A19)</f>
        <v xml:space="preserve"> </v>
      </c>
      <c r="B19" s="137" t="str">
        <f>IF(ISBLANK('ALL Other SINs - Proposal'!B19)," ",'ALL Other SINs - Proposal'!B19)</f>
        <v xml:space="preserve"> </v>
      </c>
      <c r="C19" s="137" t="str">
        <f>IF(ISBLANK('ALL Other SINs - Proposal'!C19)," ",'ALL Other SINs - Proposal'!C19)</f>
        <v xml:space="preserve"> </v>
      </c>
      <c r="D19" s="138" t="str">
        <f>IF(ISBLANK('ALL Other SINs - Proposal'!D19)," ",'ALL Other SINs - Proposal'!D19)</f>
        <v xml:space="preserve"> </v>
      </c>
      <c r="E19" s="69" t="str">
        <f>IF(ISBLANK('ALL Other SINs - Proposal'!R19)," ",'ALL Other SINs - Proposal'!R19)</f>
        <v xml:space="preserve"> </v>
      </c>
      <c r="F19" s="73" t="str">
        <f>IF(ISBLANK('ALL Other SINs - Proposal'!S19)," ",'ALL Other SINs - Proposal'!S19)</f>
        <v xml:space="preserve"> </v>
      </c>
      <c r="G19" s="173" t="str">
        <f>IF(ISBLANK('ALL Other SINs - Proposal'!T19)," ",'ALL Other SINs - Proposal'!T19)</f>
        <v xml:space="preserve"> </v>
      </c>
      <c r="H19" s="275" t="str">
        <f>IF(ISBLANK('ALL Other SINs - Proposal'!V19)," ",'ALL Other SINs - Proposal'!V19)</f>
        <v xml:space="preserve"> </v>
      </c>
      <c r="I19" s="271" t="str">
        <f>IF(ISBLANK('ALL Other SINs - Proposal'!W19)," ",'ALL Other SINs - Proposal'!W19)</f>
        <v xml:space="preserve"> </v>
      </c>
      <c r="J19" s="71" t="str">
        <f>IF(ISBLANK('ALL Other SINs - Proposal'!X19)," ",'ALL Other SINs - Proposal'!X19)</f>
        <v xml:space="preserve"> </v>
      </c>
      <c r="K19" s="165" t="str">
        <f>IF(ISBLANK('ALL Other SINs - Proposal'!AA19)," ",'ALL Other SINs - Proposal'!AA19)</f>
        <v xml:space="preserve"> </v>
      </c>
      <c r="L19" s="178" t="str">
        <f>IF(ISBLANK('ALL Other SINs - Proposal'!AB19)," ",'ALL Other SINs - Proposal'!AB19)</f>
        <v xml:space="preserve"> </v>
      </c>
      <c r="M19" s="72" t="str">
        <f t="shared" si="0"/>
        <v xml:space="preserve"> </v>
      </c>
      <c r="N19" s="167" t="str">
        <f t="shared" si="1"/>
        <v xml:space="preserve"> </v>
      </c>
    </row>
    <row r="20" spans="1:14" ht="15" x14ac:dyDescent="0.25">
      <c r="A20" s="131" t="str">
        <f>IF(ISBLANK('ALL Other SINs - Proposal'!A20)," ",'ALL Other SINs - Proposal'!A20)</f>
        <v xml:space="preserve"> </v>
      </c>
      <c r="B20" s="137" t="str">
        <f>IF(ISBLANK('ALL Other SINs - Proposal'!B20)," ",'ALL Other SINs - Proposal'!B20)</f>
        <v xml:space="preserve"> </v>
      </c>
      <c r="C20" s="137" t="str">
        <f>IF(ISBLANK('ALL Other SINs - Proposal'!C20)," ",'ALL Other SINs - Proposal'!C20)</f>
        <v xml:space="preserve"> </v>
      </c>
      <c r="D20" s="138" t="str">
        <f>IF(ISBLANK('ALL Other SINs - Proposal'!D20)," ",'ALL Other SINs - Proposal'!D20)</f>
        <v xml:space="preserve"> </v>
      </c>
      <c r="E20" s="69" t="str">
        <f>IF(ISBLANK('ALL Other SINs - Proposal'!R20)," ",'ALL Other SINs - Proposal'!R20)</f>
        <v xml:space="preserve"> </v>
      </c>
      <c r="F20" s="73" t="str">
        <f>IF(ISBLANK('ALL Other SINs - Proposal'!S20)," ",'ALL Other SINs - Proposal'!S20)</f>
        <v xml:space="preserve"> </v>
      </c>
      <c r="G20" s="173" t="str">
        <f>IF(ISBLANK('ALL Other SINs - Proposal'!T20)," ",'ALL Other SINs - Proposal'!T20)</f>
        <v xml:space="preserve"> </v>
      </c>
      <c r="H20" s="275" t="str">
        <f>IF(ISBLANK('ALL Other SINs - Proposal'!V20)," ",'ALL Other SINs - Proposal'!V20)</f>
        <v xml:space="preserve"> </v>
      </c>
      <c r="I20" s="271" t="str">
        <f>IF(ISBLANK('ALL Other SINs - Proposal'!W20)," ",'ALL Other SINs - Proposal'!W20)</f>
        <v xml:space="preserve"> </v>
      </c>
      <c r="J20" s="71" t="str">
        <f>IF(ISBLANK('ALL Other SINs - Proposal'!X20)," ",'ALL Other SINs - Proposal'!X20)</f>
        <v xml:space="preserve"> </v>
      </c>
      <c r="K20" s="165" t="str">
        <f>IF(ISBLANK('ALL Other SINs - Proposal'!AA20)," ",'ALL Other SINs - Proposal'!AA20)</f>
        <v xml:space="preserve"> </v>
      </c>
      <c r="L20" s="178" t="str">
        <f>IF(ISBLANK('ALL Other SINs - Proposal'!AB20)," ",'ALL Other SINs - Proposal'!AB20)</f>
        <v xml:space="preserve"> </v>
      </c>
      <c r="M20" s="72" t="str">
        <f t="shared" si="0"/>
        <v xml:space="preserve"> </v>
      </c>
      <c r="N20" s="167" t="str">
        <f t="shared" si="1"/>
        <v xml:space="preserve"> </v>
      </c>
    </row>
    <row r="21" spans="1:14" ht="15" x14ac:dyDescent="0.25">
      <c r="A21" s="131" t="str">
        <f>IF(ISBLANK('ALL Other SINs - Proposal'!A21)," ",'ALL Other SINs - Proposal'!A21)</f>
        <v xml:space="preserve"> </v>
      </c>
      <c r="B21" s="137" t="str">
        <f>IF(ISBLANK('ALL Other SINs - Proposal'!B21)," ",'ALL Other SINs - Proposal'!B21)</f>
        <v xml:space="preserve"> </v>
      </c>
      <c r="C21" s="137" t="str">
        <f>IF(ISBLANK('ALL Other SINs - Proposal'!C21)," ",'ALL Other SINs - Proposal'!C21)</f>
        <v xml:space="preserve"> </v>
      </c>
      <c r="D21" s="138" t="str">
        <f>IF(ISBLANK('ALL Other SINs - Proposal'!D21)," ",'ALL Other SINs - Proposal'!D21)</f>
        <v xml:space="preserve"> </v>
      </c>
      <c r="E21" s="69" t="str">
        <f>IF(ISBLANK('ALL Other SINs - Proposal'!R21)," ",'ALL Other SINs - Proposal'!R21)</f>
        <v xml:space="preserve"> </v>
      </c>
      <c r="F21" s="73" t="str">
        <f>IF(ISBLANK('ALL Other SINs - Proposal'!S21)," ",'ALL Other SINs - Proposal'!S21)</f>
        <v xml:space="preserve"> </v>
      </c>
      <c r="G21" s="173" t="str">
        <f>IF(ISBLANK('ALL Other SINs - Proposal'!T21)," ",'ALL Other SINs - Proposal'!T21)</f>
        <v xml:space="preserve"> </v>
      </c>
      <c r="H21" s="275" t="str">
        <f>IF(ISBLANK('ALL Other SINs - Proposal'!V21)," ",'ALL Other SINs - Proposal'!V21)</f>
        <v xml:space="preserve"> </v>
      </c>
      <c r="I21" s="271" t="str">
        <f>IF(ISBLANK('ALL Other SINs - Proposal'!W21)," ",'ALL Other SINs - Proposal'!W21)</f>
        <v xml:space="preserve"> </v>
      </c>
      <c r="J21" s="71" t="str">
        <f>IF(ISBLANK('ALL Other SINs - Proposal'!X21)," ",'ALL Other SINs - Proposal'!X21)</f>
        <v xml:space="preserve"> </v>
      </c>
      <c r="K21" s="165" t="str">
        <f>IF(ISBLANK('ALL Other SINs - Proposal'!AA21)," ",'ALL Other SINs - Proposal'!AA21)</f>
        <v xml:space="preserve"> </v>
      </c>
      <c r="L21" s="178" t="str">
        <f>IF(ISBLANK('ALL Other SINs - Proposal'!AB21)," ",'ALL Other SINs - Proposal'!AB21)</f>
        <v xml:space="preserve"> </v>
      </c>
      <c r="M21" s="72" t="str">
        <f t="shared" si="0"/>
        <v xml:space="preserve"> </v>
      </c>
      <c r="N21" s="167" t="str">
        <f t="shared" si="1"/>
        <v xml:space="preserve"> </v>
      </c>
    </row>
    <row r="22" spans="1:14" ht="15" x14ac:dyDescent="0.25">
      <c r="A22" s="131" t="str">
        <f>IF(ISBLANK('ALL Other SINs - Proposal'!A22)," ",'ALL Other SINs - Proposal'!A22)</f>
        <v xml:space="preserve"> </v>
      </c>
      <c r="B22" s="137" t="str">
        <f>IF(ISBLANK('ALL Other SINs - Proposal'!B22)," ",'ALL Other SINs - Proposal'!B22)</f>
        <v xml:space="preserve"> </v>
      </c>
      <c r="C22" s="137" t="str">
        <f>IF(ISBLANK('ALL Other SINs - Proposal'!C22)," ",'ALL Other SINs - Proposal'!C22)</f>
        <v xml:space="preserve"> </v>
      </c>
      <c r="D22" s="138" t="str">
        <f>IF(ISBLANK('ALL Other SINs - Proposal'!D22)," ",'ALL Other SINs - Proposal'!D22)</f>
        <v xml:space="preserve"> </v>
      </c>
      <c r="E22" s="69" t="str">
        <f>IF(ISBLANK('ALL Other SINs - Proposal'!R22)," ",'ALL Other SINs - Proposal'!R22)</f>
        <v xml:space="preserve"> </v>
      </c>
      <c r="F22" s="73" t="str">
        <f>IF(ISBLANK('ALL Other SINs - Proposal'!S22)," ",'ALL Other SINs - Proposal'!S22)</f>
        <v xml:space="preserve"> </v>
      </c>
      <c r="G22" s="173" t="str">
        <f>IF(ISBLANK('ALL Other SINs - Proposal'!T22)," ",'ALL Other SINs - Proposal'!T22)</f>
        <v xml:space="preserve"> </v>
      </c>
      <c r="H22" s="275" t="str">
        <f>IF(ISBLANK('ALL Other SINs - Proposal'!V22)," ",'ALL Other SINs - Proposal'!V22)</f>
        <v xml:space="preserve"> </v>
      </c>
      <c r="I22" s="271" t="str">
        <f>IF(ISBLANK('ALL Other SINs - Proposal'!W22)," ",'ALL Other SINs - Proposal'!W22)</f>
        <v xml:space="preserve"> </v>
      </c>
      <c r="J22" s="71" t="str">
        <f>IF(ISBLANK('ALL Other SINs - Proposal'!X22)," ",'ALL Other SINs - Proposal'!X22)</f>
        <v xml:space="preserve"> </v>
      </c>
      <c r="K22" s="165" t="str">
        <f>IF(ISBLANK('ALL Other SINs - Proposal'!AA22)," ",'ALL Other SINs - Proposal'!AA22)</f>
        <v xml:space="preserve"> </v>
      </c>
      <c r="L22" s="178" t="str">
        <f>IF(ISBLANK('ALL Other SINs - Proposal'!AB22)," ",'ALL Other SINs - Proposal'!AB22)</f>
        <v xml:space="preserve"> </v>
      </c>
      <c r="M22" s="72" t="str">
        <f t="shared" si="0"/>
        <v xml:space="preserve"> </v>
      </c>
      <c r="N22" s="167" t="str">
        <f t="shared" si="1"/>
        <v xml:space="preserve"> </v>
      </c>
    </row>
    <row r="23" spans="1:14" ht="15" x14ac:dyDescent="0.25">
      <c r="A23" s="131" t="str">
        <f>IF(ISBLANK('ALL Other SINs - Proposal'!A23)," ",'ALL Other SINs - Proposal'!A23)</f>
        <v xml:space="preserve"> </v>
      </c>
      <c r="B23" s="137" t="str">
        <f>IF(ISBLANK('ALL Other SINs - Proposal'!B23)," ",'ALL Other SINs - Proposal'!B23)</f>
        <v xml:space="preserve"> </v>
      </c>
      <c r="C23" s="137" t="str">
        <f>IF(ISBLANK('ALL Other SINs - Proposal'!C23)," ",'ALL Other SINs - Proposal'!C23)</f>
        <v xml:space="preserve"> </v>
      </c>
      <c r="D23" s="138" t="str">
        <f>IF(ISBLANK('ALL Other SINs - Proposal'!D23)," ",'ALL Other SINs - Proposal'!D23)</f>
        <v xml:space="preserve"> </v>
      </c>
      <c r="E23" s="69" t="str">
        <f>IF(ISBLANK('ALL Other SINs - Proposal'!R23)," ",'ALL Other SINs - Proposal'!R23)</f>
        <v xml:space="preserve"> </v>
      </c>
      <c r="F23" s="73" t="str">
        <f>IF(ISBLANK('ALL Other SINs - Proposal'!S23)," ",'ALL Other SINs - Proposal'!S23)</f>
        <v xml:space="preserve"> </v>
      </c>
      <c r="G23" s="173" t="str">
        <f>IF(ISBLANK('ALL Other SINs - Proposal'!T23)," ",'ALL Other SINs - Proposal'!T23)</f>
        <v xml:space="preserve"> </v>
      </c>
      <c r="H23" s="275" t="str">
        <f>IF(ISBLANK('ALL Other SINs - Proposal'!V23)," ",'ALL Other SINs - Proposal'!V23)</f>
        <v xml:space="preserve"> </v>
      </c>
      <c r="I23" s="271" t="str">
        <f>IF(ISBLANK('ALL Other SINs - Proposal'!W23)," ",'ALL Other SINs - Proposal'!W23)</f>
        <v xml:space="preserve"> </v>
      </c>
      <c r="J23" s="71" t="str">
        <f>IF(ISBLANK('ALL Other SINs - Proposal'!X23)," ",'ALL Other SINs - Proposal'!X23)</f>
        <v xml:space="preserve"> </v>
      </c>
      <c r="K23" s="165" t="str">
        <f>IF(ISBLANK('ALL Other SINs - Proposal'!AA23)," ",'ALL Other SINs - Proposal'!AA23)</f>
        <v xml:space="preserve"> </v>
      </c>
      <c r="L23" s="178" t="str">
        <f>IF(ISBLANK('ALL Other SINs - Proposal'!AB23)," ",'ALL Other SINs - Proposal'!AB23)</f>
        <v xml:space="preserve"> </v>
      </c>
      <c r="M23" s="72" t="str">
        <f t="shared" si="0"/>
        <v xml:space="preserve"> </v>
      </c>
      <c r="N23" s="167" t="str">
        <f t="shared" si="1"/>
        <v xml:space="preserve"> </v>
      </c>
    </row>
    <row r="24" spans="1:14" ht="15" x14ac:dyDescent="0.25">
      <c r="A24" s="131" t="str">
        <f>IF(ISBLANK('ALL Other SINs - Proposal'!A24)," ",'ALL Other SINs - Proposal'!A24)</f>
        <v xml:space="preserve"> </v>
      </c>
      <c r="B24" s="137" t="str">
        <f>IF(ISBLANK('ALL Other SINs - Proposal'!B24)," ",'ALL Other SINs - Proposal'!B24)</f>
        <v xml:space="preserve"> </v>
      </c>
      <c r="C24" s="137" t="str">
        <f>IF(ISBLANK('ALL Other SINs - Proposal'!C24)," ",'ALL Other SINs - Proposal'!C24)</f>
        <v xml:space="preserve"> </v>
      </c>
      <c r="D24" s="138" t="str">
        <f>IF(ISBLANK('ALL Other SINs - Proposal'!D24)," ",'ALL Other SINs - Proposal'!D24)</f>
        <v xml:space="preserve"> </v>
      </c>
      <c r="E24" s="69" t="str">
        <f>IF(ISBLANK('ALL Other SINs - Proposal'!R24)," ",'ALL Other SINs - Proposal'!R24)</f>
        <v xml:space="preserve"> </v>
      </c>
      <c r="F24" s="73" t="str">
        <f>IF(ISBLANK('ALL Other SINs - Proposal'!S24)," ",'ALL Other SINs - Proposal'!S24)</f>
        <v xml:space="preserve"> </v>
      </c>
      <c r="G24" s="173" t="str">
        <f>IF(ISBLANK('ALL Other SINs - Proposal'!T24)," ",'ALL Other SINs - Proposal'!T24)</f>
        <v xml:space="preserve"> </v>
      </c>
      <c r="H24" s="275" t="str">
        <f>IF(ISBLANK('ALL Other SINs - Proposal'!V24)," ",'ALL Other SINs - Proposal'!V24)</f>
        <v xml:space="preserve"> </v>
      </c>
      <c r="I24" s="271" t="str">
        <f>IF(ISBLANK('ALL Other SINs - Proposal'!W24)," ",'ALL Other SINs - Proposal'!W24)</f>
        <v xml:space="preserve"> </v>
      </c>
      <c r="J24" s="71" t="str">
        <f>IF(ISBLANK('ALL Other SINs - Proposal'!X24)," ",'ALL Other SINs - Proposal'!X24)</f>
        <v xml:space="preserve"> </v>
      </c>
      <c r="K24" s="165" t="str">
        <f>IF(ISBLANK('ALL Other SINs - Proposal'!AA24)," ",'ALL Other SINs - Proposal'!AA24)</f>
        <v xml:space="preserve"> </v>
      </c>
      <c r="L24" s="178" t="str">
        <f>IF(ISBLANK('ALL Other SINs - Proposal'!AB24)," ",'ALL Other SINs - Proposal'!AB24)</f>
        <v xml:space="preserve"> </v>
      </c>
      <c r="M24" s="72" t="str">
        <f t="shared" si="0"/>
        <v xml:space="preserve"> </v>
      </c>
      <c r="N24" s="167" t="str">
        <f t="shared" si="1"/>
        <v xml:space="preserve"> </v>
      </c>
    </row>
    <row r="25" spans="1:14" ht="15" x14ac:dyDescent="0.25">
      <c r="A25" s="131" t="str">
        <f>IF(ISBLANK('ALL Other SINs - Proposal'!A25)," ",'ALL Other SINs - Proposal'!A25)</f>
        <v xml:space="preserve"> </v>
      </c>
      <c r="B25" s="137" t="str">
        <f>IF(ISBLANK('ALL Other SINs - Proposal'!B25)," ",'ALL Other SINs - Proposal'!B25)</f>
        <v xml:space="preserve"> </v>
      </c>
      <c r="C25" s="137" t="str">
        <f>IF(ISBLANK('ALL Other SINs - Proposal'!C25)," ",'ALL Other SINs - Proposal'!C25)</f>
        <v xml:space="preserve"> </v>
      </c>
      <c r="D25" s="138" t="str">
        <f>IF(ISBLANK('ALL Other SINs - Proposal'!D25)," ",'ALL Other SINs - Proposal'!D25)</f>
        <v xml:space="preserve"> </v>
      </c>
      <c r="E25" s="69" t="str">
        <f>IF(ISBLANK('ALL Other SINs - Proposal'!R25)," ",'ALL Other SINs - Proposal'!R25)</f>
        <v xml:space="preserve"> </v>
      </c>
      <c r="F25" s="73" t="str">
        <f>IF(ISBLANK('ALL Other SINs - Proposal'!S25)," ",'ALL Other SINs - Proposal'!S25)</f>
        <v xml:space="preserve"> </v>
      </c>
      <c r="G25" s="173" t="str">
        <f>IF(ISBLANK('ALL Other SINs - Proposal'!T25)," ",'ALL Other SINs - Proposal'!T25)</f>
        <v xml:space="preserve"> </v>
      </c>
      <c r="H25" s="275" t="str">
        <f>IF(ISBLANK('ALL Other SINs - Proposal'!V25)," ",'ALL Other SINs - Proposal'!V25)</f>
        <v xml:space="preserve"> </v>
      </c>
      <c r="I25" s="271" t="str">
        <f>IF(ISBLANK('ALL Other SINs - Proposal'!W25)," ",'ALL Other SINs - Proposal'!W25)</f>
        <v xml:space="preserve"> </v>
      </c>
      <c r="J25" s="71" t="str">
        <f>IF(ISBLANK('ALL Other SINs - Proposal'!X25)," ",'ALL Other SINs - Proposal'!X25)</f>
        <v xml:space="preserve"> </v>
      </c>
      <c r="K25" s="165" t="str">
        <f>IF(ISBLANK('ALL Other SINs - Proposal'!AA25)," ",'ALL Other SINs - Proposal'!AA25)</f>
        <v xml:space="preserve"> </v>
      </c>
      <c r="L25" s="178" t="str">
        <f>IF(ISBLANK('ALL Other SINs - Proposal'!AB25)," ",'ALL Other SINs - Proposal'!AB25)</f>
        <v xml:space="preserve"> </v>
      </c>
      <c r="M25" s="72" t="str">
        <f t="shared" si="0"/>
        <v xml:space="preserve"> </v>
      </c>
      <c r="N25" s="167" t="str">
        <f t="shared" si="1"/>
        <v xml:space="preserve"> </v>
      </c>
    </row>
    <row r="26" spans="1:14" ht="15" x14ac:dyDescent="0.25">
      <c r="A26" s="131" t="str">
        <f>IF(ISBLANK('ALL Other SINs - Proposal'!A26)," ",'ALL Other SINs - Proposal'!A26)</f>
        <v xml:space="preserve"> </v>
      </c>
      <c r="B26" s="137" t="str">
        <f>IF(ISBLANK('ALL Other SINs - Proposal'!B26)," ",'ALL Other SINs - Proposal'!B26)</f>
        <v xml:space="preserve"> </v>
      </c>
      <c r="C26" s="137" t="str">
        <f>IF(ISBLANK('ALL Other SINs - Proposal'!C26)," ",'ALL Other SINs - Proposal'!C26)</f>
        <v xml:space="preserve"> </v>
      </c>
      <c r="D26" s="138" t="str">
        <f>IF(ISBLANK('ALL Other SINs - Proposal'!D26)," ",'ALL Other SINs - Proposal'!D26)</f>
        <v xml:space="preserve"> </v>
      </c>
      <c r="E26" s="69" t="str">
        <f>IF(ISBLANK('ALL Other SINs - Proposal'!R26)," ",'ALL Other SINs - Proposal'!R26)</f>
        <v xml:space="preserve"> </v>
      </c>
      <c r="F26" s="73" t="str">
        <f>IF(ISBLANK('ALL Other SINs - Proposal'!S26)," ",'ALL Other SINs - Proposal'!S26)</f>
        <v xml:space="preserve"> </v>
      </c>
      <c r="G26" s="173" t="str">
        <f>IF(ISBLANK('ALL Other SINs - Proposal'!T26)," ",'ALL Other SINs - Proposal'!T26)</f>
        <v xml:space="preserve"> </v>
      </c>
      <c r="H26" s="275" t="str">
        <f>IF(ISBLANK('ALL Other SINs - Proposal'!V26)," ",'ALL Other SINs - Proposal'!V26)</f>
        <v xml:space="preserve"> </v>
      </c>
      <c r="I26" s="271" t="str">
        <f>IF(ISBLANK('ALL Other SINs - Proposal'!W26)," ",'ALL Other SINs - Proposal'!W26)</f>
        <v xml:space="preserve"> </v>
      </c>
      <c r="J26" s="71" t="str">
        <f>IF(ISBLANK('ALL Other SINs - Proposal'!X26)," ",'ALL Other SINs - Proposal'!X26)</f>
        <v xml:space="preserve"> </v>
      </c>
      <c r="K26" s="165" t="str">
        <f>IF(ISBLANK('ALL Other SINs - Proposal'!AA26)," ",'ALL Other SINs - Proposal'!AA26)</f>
        <v xml:space="preserve"> </v>
      </c>
      <c r="L26" s="178" t="str">
        <f>IF(ISBLANK('ALL Other SINs - Proposal'!AB26)," ",'ALL Other SINs - Proposal'!AB26)</f>
        <v xml:space="preserve"> </v>
      </c>
      <c r="M26" s="72" t="str">
        <f t="shared" si="0"/>
        <v xml:space="preserve"> </v>
      </c>
      <c r="N26" s="167" t="str">
        <f t="shared" si="1"/>
        <v xml:space="preserve"> </v>
      </c>
    </row>
    <row r="27" spans="1:14" ht="15" x14ac:dyDescent="0.25">
      <c r="A27" s="131" t="str">
        <f>IF(ISBLANK('ALL Other SINs - Proposal'!A27)," ",'ALL Other SINs - Proposal'!A27)</f>
        <v xml:space="preserve"> </v>
      </c>
      <c r="B27" s="137" t="str">
        <f>IF(ISBLANK('ALL Other SINs - Proposal'!B27)," ",'ALL Other SINs - Proposal'!B27)</f>
        <v xml:space="preserve"> </v>
      </c>
      <c r="C27" s="137" t="str">
        <f>IF(ISBLANK('ALL Other SINs - Proposal'!C27)," ",'ALL Other SINs - Proposal'!C27)</f>
        <v xml:space="preserve"> </v>
      </c>
      <c r="D27" s="138" t="str">
        <f>IF(ISBLANK('ALL Other SINs - Proposal'!D27)," ",'ALL Other SINs - Proposal'!D27)</f>
        <v xml:space="preserve"> </v>
      </c>
      <c r="E27" s="69" t="str">
        <f>IF(ISBLANK('ALL Other SINs - Proposal'!R27)," ",'ALL Other SINs - Proposal'!R27)</f>
        <v xml:space="preserve"> </v>
      </c>
      <c r="F27" s="73" t="str">
        <f>IF(ISBLANK('ALL Other SINs - Proposal'!S27)," ",'ALL Other SINs - Proposal'!S27)</f>
        <v xml:space="preserve"> </v>
      </c>
      <c r="G27" s="173" t="str">
        <f>IF(ISBLANK('ALL Other SINs - Proposal'!T27)," ",'ALL Other SINs - Proposal'!T27)</f>
        <v xml:space="preserve"> </v>
      </c>
      <c r="H27" s="275" t="str">
        <f>IF(ISBLANK('ALL Other SINs - Proposal'!V27)," ",'ALL Other SINs - Proposal'!V27)</f>
        <v xml:space="preserve"> </v>
      </c>
      <c r="I27" s="271" t="str">
        <f>IF(ISBLANK('ALL Other SINs - Proposal'!W27)," ",'ALL Other SINs - Proposal'!W27)</f>
        <v xml:space="preserve"> </v>
      </c>
      <c r="J27" s="71" t="str">
        <f>IF(ISBLANK('ALL Other SINs - Proposal'!X27)," ",'ALL Other SINs - Proposal'!X27)</f>
        <v xml:space="preserve"> </v>
      </c>
      <c r="K27" s="165" t="str">
        <f>IF(ISBLANK('ALL Other SINs - Proposal'!AA27)," ",'ALL Other SINs - Proposal'!AA27)</f>
        <v xml:space="preserve"> </v>
      </c>
      <c r="L27" s="178" t="str">
        <f>IF(ISBLANK('ALL Other SINs - Proposal'!AB27)," ",'ALL Other SINs - Proposal'!AB27)</f>
        <v xml:space="preserve"> </v>
      </c>
      <c r="M27" s="72" t="str">
        <f t="shared" si="0"/>
        <v xml:space="preserve"> </v>
      </c>
      <c r="N27" s="167" t="str">
        <f t="shared" si="1"/>
        <v xml:space="preserve"> </v>
      </c>
    </row>
    <row r="28" spans="1:14" ht="15" x14ac:dyDescent="0.25">
      <c r="A28" s="131" t="str">
        <f>IF(ISBLANK('ALL Other SINs - Proposal'!A28)," ",'ALL Other SINs - Proposal'!A28)</f>
        <v xml:space="preserve"> </v>
      </c>
      <c r="B28" s="137" t="str">
        <f>IF(ISBLANK('ALL Other SINs - Proposal'!B28)," ",'ALL Other SINs - Proposal'!B28)</f>
        <v xml:space="preserve"> </v>
      </c>
      <c r="C28" s="137" t="str">
        <f>IF(ISBLANK('ALL Other SINs - Proposal'!C28)," ",'ALL Other SINs - Proposal'!C28)</f>
        <v xml:space="preserve"> </v>
      </c>
      <c r="D28" s="138" t="str">
        <f>IF(ISBLANK('ALL Other SINs - Proposal'!D28)," ",'ALL Other SINs - Proposal'!D28)</f>
        <v xml:space="preserve"> </v>
      </c>
      <c r="E28" s="69" t="str">
        <f>IF(ISBLANK('ALL Other SINs - Proposal'!R28)," ",'ALL Other SINs - Proposal'!R28)</f>
        <v xml:space="preserve"> </v>
      </c>
      <c r="F28" s="73" t="str">
        <f>IF(ISBLANK('ALL Other SINs - Proposal'!S28)," ",'ALL Other SINs - Proposal'!S28)</f>
        <v xml:space="preserve"> </v>
      </c>
      <c r="G28" s="173" t="str">
        <f>IF(ISBLANK('ALL Other SINs - Proposal'!T28)," ",'ALL Other SINs - Proposal'!T28)</f>
        <v xml:space="preserve"> </v>
      </c>
      <c r="H28" s="275" t="str">
        <f>IF(ISBLANK('ALL Other SINs - Proposal'!V28)," ",'ALL Other SINs - Proposal'!V28)</f>
        <v xml:space="preserve"> </v>
      </c>
      <c r="I28" s="271" t="str">
        <f>IF(ISBLANK('ALL Other SINs - Proposal'!W28)," ",'ALL Other SINs - Proposal'!W28)</f>
        <v xml:space="preserve"> </v>
      </c>
      <c r="J28" s="71" t="str">
        <f>IF(ISBLANK('ALL Other SINs - Proposal'!X28)," ",'ALL Other SINs - Proposal'!X28)</f>
        <v xml:space="preserve"> </v>
      </c>
      <c r="K28" s="165" t="str">
        <f>IF(ISBLANK('ALL Other SINs - Proposal'!AA28)," ",'ALL Other SINs - Proposal'!AA28)</f>
        <v xml:space="preserve"> </v>
      </c>
      <c r="L28" s="178" t="str">
        <f>IF(ISBLANK('ALL Other SINs - Proposal'!AB28)," ",'ALL Other SINs - Proposal'!AB28)</f>
        <v xml:space="preserve"> </v>
      </c>
      <c r="M28" s="72" t="str">
        <f t="shared" si="0"/>
        <v xml:space="preserve"> </v>
      </c>
      <c r="N28" s="167" t="str">
        <f t="shared" si="1"/>
        <v xml:space="preserve"> </v>
      </c>
    </row>
    <row r="29" spans="1:14" ht="15" x14ac:dyDescent="0.25">
      <c r="A29" s="131" t="str">
        <f>IF(ISBLANK('ALL Other SINs - Proposal'!A29)," ",'ALL Other SINs - Proposal'!A29)</f>
        <v xml:space="preserve"> </v>
      </c>
      <c r="B29" s="137" t="str">
        <f>IF(ISBLANK('ALL Other SINs - Proposal'!B29)," ",'ALL Other SINs - Proposal'!B29)</f>
        <v xml:space="preserve"> </v>
      </c>
      <c r="C29" s="137" t="str">
        <f>IF(ISBLANK('ALL Other SINs - Proposal'!C29)," ",'ALL Other SINs - Proposal'!C29)</f>
        <v xml:space="preserve"> </v>
      </c>
      <c r="D29" s="138" t="str">
        <f>IF(ISBLANK('ALL Other SINs - Proposal'!D29)," ",'ALL Other SINs - Proposal'!D29)</f>
        <v xml:space="preserve"> </v>
      </c>
      <c r="E29" s="69" t="str">
        <f>IF(ISBLANK('ALL Other SINs - Proposal'!R29)," ",'ALL Other SINs - Proposal'!R29)</f>
        <v xml:space="preserve"> </v>
      </c>
      <c r="F29" s="73" t="str">
        <f>IF(ISBLANK('ALL Other SINs - Proposal'!S29)," ",'ALL Other SINs - Proposal'!S29)</f>
        <v xml:space="preserve"> </v>
      </c>
      <c r="G29" s="173" t="str">
        <f>IF(ISBLANK('ALL Other SINs - Proposal'!T29)," ",'ALL Other SINs - Proposal'!T29)</f>
        <v xml:space="preserve"> </v>
      </c>
      <c r="H29" s="275" t="str">
        <f>IF(ISBLANK('ALL Other SINs - Proposal'!V29)," ",'ALL Other SINs - Proposal'!V29)</f>
        <v xml:space="preserve"> </v>
      </c>
      <c r="I29" s="271" t="str">
        <f>IF(ISBLANK('ALL Other SINs - Proposal'!W29)," ",'ALL Other SINs - Proposal'!W29)</f>
        <v xml:space="preserve"> </v>
      </c>
      <c r="J29" s="71" t="str">
        <f>IF(ISBLANK('ALL Other SINs - Proposal'!X29)," ",'ALL Other SINs - Proposal'!X29)</f>
        <v xml:space="preserve"> </v>
      </c>
      <c r="K29" s="165" t="str">
        <f>IF(ISBLANK('ALL Other SINs - Proposal'!AA29)," ",'ALL Other SINs - Proposal'!AA29)</f>
        <v xml:space="preserve"> </v>
      </c>
      <c r="L29" s="178" t="str">
        <f>IF(ISBLANK('ALL Other SINs - Proposal'!AB29)," ",'ALL Other SINs - Proposal'!AB29)</f>
        <v xml:space="preserve"> </v>
      </c>
      <c r="M29" s="72" t="str">
        <f t="shared" si="0"/>
        <v xml:space="preserve"> </v>
      </c>
      <c r="N29" s="167" t="str">
        <f t="shared" si="1"/>
        <v xml:space="preserve"> </v>
      </c>
    </row>
    <row r="30" spans="1:14" ht="15" x14ac:dyDescent="0.25">
      <c r="A30" s="131" t="str">
        <f>IF(ISBLANK('ALL Other SINs - Proposal'!A30)," ",'ALL Other SINs - Proposal'!A30)</f>
        <v xml:space="preserve"> </v>
      </c>
      <c r="B30" s="137" t="str">
        <f>IF(ISBLANK('ALL Other SINs - Proposal'!B30)," ",'ALL Other SINs - Proposal'!B30)</f>
        <v xml:space="preserve"> </v>
      </c>
      <c r="C30" s="137" t="str">
        <f>IF(ISBLANK('ALL Other SINs - Proposal'!C30)," ",'ALL Other SINs - Proposal'!C30)</f>
        <v xml:space="preserve"> </v>
      </c>
      <c r="D30" s="138" t="str">
        <f>IF(ISBLANK('ALL Other SINs - Proposal'!D30)," ",'ALL Other SINs - Proposal'!D30)</f>
        <v xml:space="preserve"> </v>
      </c>
      <c r="E30" s="69" t="str">
        <f>IF(ISBLANK('ALL Other SINs - Proposal'!R30)," ",'ALL Other SINs - Proposal'!R30)</f>
        <v xml:space="preserve"> </v>
      </c>
      <c r="F30" s="73" t="str">
        <f>IF(ISBLANK('ALL Other SINs - Proposal'!S30)," ",'ALL Other SINs - Proposal'!S30)</f>
        <v xml:space="preserve"> </v>
      </c>
      <c r="G30" s="173" t="str">
        <f>IF(ISBLANK('ALL Other SINs - Proposal'!T30)," ",'ALL Other SINs - Proposal'!T30)</f>
        <v xml:space="preserve"> </v>
      </c>
      <c r="H30" s="275" t="str">
        <f>IF(ISBLANK('ALL Other SINs - Proposal'!V30)," ",'ALL Other SINs - Proposal'!V30)</f>
        <v xml:space="preserve"> </v>
      </c>
      <c r="I30" s="271" t="str">
        <f>IF(ISBLANK('ALL Other SINs - Proposal'!W30)," ",'ALL Other SINs - Proposal'!W30)</f>
        <v xml:space="preserve"> </v>
      </c>
      <c r="J30" s="71" t="str">
        <f>IF(ISBLANK('ALL Other SINs - Proposal'!X30)," ",'ALL Other SINs - Proposal'!X30)</f>
        <v xml:space="preserve"> </v>
      </c>
      <c r="K30" s="165" t="str">
        <f>IF(ISBLANK('ALL Other SINs - Proposal'!AA30)," ",'ALL Other SINs - Proposal'!AA30)</f>
        <v xml:space="preserve"> </v>
      </c>
      <c r="L30" s="178" t="str">
        <f>IF(ISBLANK('ALL Other SINs - Proposal'!AB30)," ",'ALL Other SINs - Proposal'!AB30)</f>
        <v xml:space="preserve"> </v>
      </c>
      <c r="M30" s="72" t="str">
        <f t="shared" si="0"/>
        <v xml:space="preserve"> </v>
      </c>
      <c r="N30" s="167" t="str">
        <f t="shared" si="1"/>
        <v xml:space="preserve"> </v>
      </c>
    </row>
    <row r="31" spans="1:14" ht="15" x14ac:dyDescent="0.25">
      <c r="A31" s="131" t="str">
        <f>IF(ISBLANK('ALL Other SINs - Proposal'!A31)," ",'ALL Other SINs - Proposal'!A31)</f>
        <v xml:space="preserve"> </v>
      </c>
      <c r="B31" s="137" t="str">
        <f>IF(ISBLANK('ALL Other SINs - Proposal'!B31)," ",'ALL Other SINs - Proposal'!B31)</f>
        <v xml:space="preserve"> </v>
      </c>
      <c r="C31" s="137" t="str">
        <f>IF(ISBLANK('ALL Other SINs - Proposal'!C31)," ",'ALL Other SINs - Proposal'!C31)</f>
        <v xml:space="preserve"> </v>
      </c>
      <c r="D31" s="138" t="str">
        <f>IF(ISBLANK('ALL Other SINs - Proposal'!D31)," ",'ALL Other SINs - Proposal'!D31)</f>
        <v xml:space="preserve"> </v>
      </c>
      <c r="E31" s="69" t="str">
        <f>IF(ISBLANK('ALL Other SINs - Proposal'!R31)," ",'ALL Other SINs - Proposal'!R31)</f>
        <v xml:space="preserve"> </v>
      </c>
      <c r="F31" s="73" t="str">
        <f>IF(ISBLANK('ALL Other SINs - Proposal'!S31)," ",'ALL Other SINs - Proposal'!S31)</f>
        <v xml:space="preserve"> </v>
      </c>
      <c r="G31" s="173" t="str">
        <f>IF(ISBLANK('ALL Other SINs - Proposal'!T31)," ",'ALL Other SINs - Proposal'!T31)</f>
        <v xml:space="preserve"> </v>
      </c>
      <c r="H31" s="275" t="str">
        <f>IF(ISBLANK('ALL Other SINs - Proposal'!V31)," ",'ALL Other SINs - Proposal'!V31)</f>
        <v xml:space="preserve"> </v>
      </c>
      <c r="I31" s="271" t="str">
        <f>IF(ISBLANK('ALL Other SINs - Proposal'!W31)," ",'ALL Other SINs - Proposal'!W31)</f>
        <v xml:space="preserve"> </v>
      </c>
      <c r="J31" s="71" t="str">
        <f>IF(ISBLANK('ALL Other SINs - Proposal'!X31)," ",'ALL Other SINs - Proposal'!X31)</f>
        <v xml:space="preserve"> </v>
      </c>
      <c r="K31" s="165" t="str">
        <f>IF(ISBLANK('ALL Other SINs - Proposal'!AA31)," ",'ALL Other SINs - Proposal'!AA31)</f>
        <v xml:space="preserve"> </v>
      </c>
      <c r="L31" s="178" t="str">
        <f>IF(ISBLANK('ALL Other SINs - Proposal'!AB31)," ",'ALL Other SINs - Proposal'!AB31)</f>
        <v xml:space="preserve"> </v>
      </c>
      <c r="M31" s="72" t="str">
        <f t="shared" si="0"/>
        <v xml:space="preserve"> </v>
      </c>
      <c r="N31" s="167" t="str">
        <f t="shared" si="1"/>
        <v xml:space="preserve"> </v>
      </c>
    </row>
    <row r="32" spans="1:14" ht="15" x14ac:dyDescent="0.25">
      <c r="A32" s="131" t="str">
        <f>IF(ISBLANK('ALL Other SINs - Proposal'!A32)," ",'ALL Other SINs - Proposal'!A32)</f>
        <v xml:space="preserve"> </v>
      </c>
      <c r="B32" s="137" t="str">
        <f>IF(ISBLANK('ALL Other SINs - Proposal'!B32)," ",'ALL Other SINs - Proposal'!B32)</f>
        <v xml:space="preserve"> </v>
      </c>
      <c r="C32" s="137" t="str">
        <f>IF(ISBLANK('ALL Other SINs - Proposal'!C32)," ",'ALL Other SINs - Proposal'!C32)</f>
        <v xml:space="preserve"> </v>
      </c>
      <c r="D32" s="138" t="str">
        <f>IF(ISBLANK('ALL Other SINs - Proposal'!D32)," ",'ALL Other SINs - Proposal'!D32)</f>
        <v xml:space="preserve"> </v>
      </c>
      <c r="E32" s="69" t="str">
        <f>IF(ISBLANK('ALL Other SINs - Proposal'!R32)," ",'ALL Other SINs - Proposal'!R32)</f>
        <v xml:space="preserve"> </v>
      </c>
      <c r="F32" s="73" t="str">
        <f>IF(ISBLANK('ALL Other SINs - Proposal'!S32)," ",'ALL Other SINs - Proposal'!S32)</f>
        <v xml:space="preserve"> </v>
      </c>
      <c r="G32" s="173" t="str">
        <f>IF(ISBLANK('ALL Other SINs - Proposal'!T32)," ",'ALL Other SINs - Proposal'!T32)</f>
        <v xml:space="preserve"> </v>
      </c>
      <c r="H32" s="275" t="str">
        <f>IF(ISBLANK('ALL Other SINs - Proposal'!V32)," ",'ALL Other SINs - Proposal'!V32)</f>
        <v xml:space="preserve"> </v>
      </c>
      <c r="I32" s="271" t="str">
        <f>IF(ISBLANK('ALL Other SINs - Proposal'!W32)," ",'ALL Other SINs - Proposal'!W32)</f>
        <v xml:space="preserve"> </v>
      </c>
      <c r="J32" s="71" t="str">
        <f>IF(ISBLANK('ALL Other SINs - Proposal'!X32)," ",'ALL Other SINs - Proposal'!X32)</f>
        <v xml:space="preserve"> </v>
      </c>
      <c r="K32" s="165" t="str">
        <f>IF(ISBLANK('ALL Other SINs - Proposal'!AA32)," ",'ALL Other SINs - Proposal'!AA32)</f>
        <v xml:space="preserve"> </v>
      </c>
      <c r="L32" s="178" t="str">
        <f>IF(ISBLANK('ALL Other SINs - Proposal'!AB32)," ",'ALL Other SINs - Proposal'!AB32)</f>
        <v xml:space="preserve"> </v>
      </c>
      <c r="M32" s="72" t="str">
        <f t="shared" si="0"/>
        <v xml:space="preserve"> </v>
      </c>
      <c r="N32" s="167" t="str">
        <f t="shared" si="1"/>
        <v xml:space="preserve"> </v>
      </c>
    </row>
    <row r="33" spans="1:14" ht="15" x14ac:dyDescent="0.25">
      <c r="A33" s="131" t="str">
        <f>IF(ISBLANK('ALL Other SINs - Proposal'!A33)," ",'ALL Other SINs - Proposal'!A33)</f>
        <v xml:space="preserve"> </v>
      </c>
      <c r="B33" s="137" t="str">
        <f>IF(ISBLANK('ALL Other SINs - Proposal'!B33)," ",'ALL Other SINs - Proposal'!B33)</f>
        <v xml:space="preserve"> </v>
      </c>
      <c r="C33" s="137" t="str">
        <f>IF(ISBLANK('ALL Other SINs - Proposal'!C33)," ",'ALL Other SINs - Proposal'!C33)</f>
        <v xml:space="preserve"> </v>
      </c>
      <c r="D33" s="138" t="str">
        <f>IF(ISBLANK('ALL Other SINs - Proposal'!D33)," ",'ALL Other SINs - Proposal'!D33)</f>
        <v xml:space="preserve"> </v>
      </c>
      <c r="E33" s="69" t="str">
        <f>IF(ISBLANK('ALL Other SINs - Proposal'!R33)," ",'ALL Other SINs - Proposal'!R33)</f>
        <v xml:space="preserve"> </v>
      </c>
      <c r="F33" s="73" t="str">
        <f>IF(ISBLANK('ALL Other SINs - Proposal'!S33)," ",'ALL Other SINs - Proposal'!S33)</f>
        <v xml:space="preserve"> </v>
      </c>
      <c r="G33" s="173" t="str">
        <f>IF(ISBLANK('ALL Other SINs - Proposal'!T33)," ",'ALL Other SINs - Proposal'!T33)</f>
        <v xml:space="preserve"> </v>
      </c>
      <c r="H33" s="275" t="str">
        <f>IF(ISBLANK('ALL Other SINs - Proposal'!V33)," ",'ALL Other SINs - Proposal'!V33)</f>
        <v xml:space="preserve"> </v>
      </c>
      <c r="I33" s="271" t="str">
        <f>IF(ISBLANK('ALL Other SINs - Proposal'!W33)," ",'ALL Other SINs - Proposal'!W33)</f>
        <v xml:space="preserve"> </v>
      </c>
      <c r="J33" s="71" t="str">
        <f>IF(ISBLANK('ALL Other SINs - Proposal'!X33)," ",'ALL Other SINs - Proposal'!X33)</f>
        <v xml:space="preserve"> </v>
      </c>
      <c r="K33" s="165" t="str">
        <f>IF(ISBLANK('ALL Other SINs - Proposal'!AA33)," ",'ALL Other SINs - Proposal'!AA33)</f>
        <v xml:space="preserve"> </v>
      </c>
      <c r="L33" s="178" t="str">
        <f>IF(ISBLANK('ALL Other SINs - Proposal'!AB33)," ",'ALL Other SINs - Proposal'!AB33)</f>
        <v xml:space="preserve"> </v>
      </c>
      <c r="M33" s="72" t="str">
        <f t="shared" si="0"/>
        <v xml:space="preserve"> </v>
      </c>
      <c r="N33" s="167" t="str">
        <f t="shared" si="1"/>
        <v xml:space="preserve"> </v>
      </c>
    </row>
    <row r="34" spans="1:14" ht="15" x14ac:dyDescent="0.25">
      <c r="A34" s="131" t="str">
        <f>IF(ISBLANK('ALL Other SINs - Proposal'!A34)," ",'ALL Other SINs - Proposal'!A34)</f>
        <v xml:space="preserve"> </v>
      </c>
      <c r="B34" s="137" t="str">
        <f>IF(ISBLANK('ALL Other SINs - Proposal'!B34)," ",'ALL Other SINs - Proposal'!B34)</f>
        <v xml:space="preserve"> </v>
      </c>
      <c r="C34" s="137" t="str">
        <f>IF(ISBLANK('ALL Other SINs - Proposal'!C34)," ",'ALL Other SINs - Proposal'!C34)</f>
        <v xml:space="preserve"> </v>
      </c>
      <c r="D34" s="138" t="str">
        <f>IF(ISBLANK('ALL Other SINs - Proposal'!D34)," ",'ALL Other SINs - Proposal'!D34)</f>
        <v xml:space="preserve"> </v>
      </c>
      <c r="E34" s="69" t="str">
        <f>IF(ISBLANK('ALL Other SINs - Proposal'!R34)," ",'ALL Other SINs - Proposal'!R34)</f>
        <v xml:space="preserve"> </v>
      </c>
      <c r="F34" s="73" t="str">
        <f>IF(ISBLANK('ALL Other SINs - Proposal'!S34)," ",'ALL Other SINs - Proposal'!S34)</f>
        <v xml:space="preserve"> </v>
      </c>
      <c r="G34" s="173" t="str">
        <f>IF(ISBLANK('ALL Other SINs - Proposal'!T34)," ",'ALL Other SINs - Proposal'!T34)</f>
        <v xml:space="preserve"> </v>
      </c>
      <c r="H34" s="275" t="str">
        <f>IF(ISBLANK('ALL Other SINs - Proposal'!V34)," ",'ALL Other SINs - Proposal'!V34)</f>
        <v xml:space="preserve"> </v>
      </c>
      <c r="I34" s="271" t="str">
        <f>IF(ISBLANK('ALL Other SINs - Proposal'!W34)," ",'ALL Other SINs - Proposal'!W34)</f>
        <v xml:space="preserve"> </v>
      </c>
      <c r="J34" s="71" t="str">
        <f>IF(ISBLANK('ALL Other SINs - Proposal'!X34)," ",'ALL Other SINs - Proposal'!X34)</f>
        <v xml:space="preserve"> </v>
      </c>
      <c r="K34" s="165" t="str">
        <f>IF(ISBLANK('ALL Other SINs - Proposal'!AA34)," ",'ALL Other SINs - Proposal'!AA34)</f>
        <v xml:space="preserve"> </v>
      </c>
      <c r="L34" s="178" t="str">
        <f>IF(ISBLANK('ALL Other SINs - Proposal'!AB34)," ",'ALL Other SINs - Proposal'!AB34)</f>
        <v xml:space="preserve"> </v>
      </c>
      <c r="M34" s="72" t="str">
        <f t="shared" si="0"/>
        <v xml:space="preserve"> </v>
      </c>
      <c r="N34" s="167" t="str">
        <f t="shared" si="1"/>
        <v xml:space="preserve"> </v>
      </c>
    </row>
    <row r="35" spans="1:14" ht="15" x14ac:dyDescent="0.25">
      <c r="A35" s="131" t="str">
        <f>IF(ISBLANK('ALL Other SINs - Proposal'!A35)," ",'ALL Other SINs - Proposal'!A35)</f>
        <v xml:space="preserve"> </v>
      </c>
      <c r="B35" s="137" t="str">
        <f>IF(ISBLANK('ALL Other SINs - Proposal'!B35)," ",'ALL Other SINs - Proposal'!B35)</f>
        <v xml:space="preserve"> </v>
      </c>
      <c r="C35" s="137" t="str">
        <f>IF(ISBLANK('ALL Other SINs - Proposal'!C35)," ",'ALL Other SINs - Proposal'!C35)</f>
        <v xml:space="preserve"> </v>
      </c>
      <c r="D35" s="138" t="str">
        <f>IF(ISBLANK('ALL Other SINs - Proposal'!D35)," ",'ALL Other SINs - Proposal'!D35)</f>
        <v xml:space="preserve"> </v>
      </c>
      <c r="E35" s="69" t="str">
        <f>IF(ISBLANK('ALL Other SINs - Proposal'!R35)," ",'ALL Other SINs - Proposal'!R35)</f>
        <v xml:space="preserve"> </v>
      </c>
      <c r="F35" s="73" t="str">
        <f>IF(ISBLANK('ALL Other SINs - Proposal'!S35)," ",'ALL Other SINs - Proposal'!S35)</f>
        <v xml:space="preserve"> </v>
      </c>
      <c r="G35" s="173" t="str">
        <f>IF(ISBLANK('ALL Other SINs - Proposal'!T35)," ",'ALL Other SINs - Proposal'!T35)</f>
        <v xml:space="preserve"> </v>
      </c>
      <c r="H35" s="275" t="str">
        <f>IF(ISBLANK('ALL Other SINs - Proposal'!V35)," ",'ALL Other SINs - Proposal'!V35)</f>
        <v xml:space="preserve"> </v>
      </c>
      <c r="I35" s="271" t="str">
        <f>IF(ISBLANK('ALL Other SINs - Proposal'!W35)," ",'ALL Other SINs - Proposal'!W35)</f>
        <v xml:space="preserve"> </v>
      </c>
      <c r="J35" s="71" t="str">
        <f>IF(ISBLANK('ALL Other SINs - Proposal'!X35)," ",'ALL Other SINs - Proposal'!X35)</f>
        <v xml:space="preserve"> </v>
      </c>
      <c r="K35" s="165" t="str">
        <f>IF(ISBLANK('ALL Other SINs - Proposal'!AA35)," ",'ALL Other SINs - Proposal'!AA35)</f>
        <v xml:space="preserve"> </v>
      </c>
      <c r="L35" s="178" t="str">
        <f>IF(ISBLANK('ALL Other SINs - Proposal'!AB35)," ",'ALL Other SINs - Proposal'!AB35)</f>
        <v xml:space="preserve"> </v>
      </c>
      <c r="M35" s="72" t="str">
        <f t="shared" si="0"/>
        <v xml:space="preserve"> </v>
      </c>
      <c r="N35" s="167" t="str">
        <f t="shared" si="1"/>
        <v xml:space="preserve"> </v>
      </c>
    </row>
    <row r="36" spans="1:14" ht="15" x14ac:dyDescent="0.25">
      <c r="A36" s="131" t="str">
        <f>IF(ISBLANK('ALL Other SINs - Proposal'!A36)," ",'ALL Other SINs - Proposal'!A36)</f>
        <v xml:space="preserve"> </v>
      </c>
      <c r="B36" s="137" t="str">
        <f>IF(ISBLANK('ALL Other SINs - Proposal'!B36)," ",'ALL Other SINs - Proposal'!B36)</f>
        <v xml:space="preserve"> </v>
      </c>
      <c r="C36" s="137" t="str">
        <f>IF(ISBLANK('ALL Other SINs - Proposal'!C36)," ",'ALL Other SINs - Proposal'!C36)</f>
        <v xml:space="preserve"> </v>
      </c>
      <c r="D36" s="138" t="str">
        <f>IF(ISBLANK('ALL Other SINs - Proposal'!D36)," ",'ALL Other SINs - Proposal'!D36)</f>
        <v xml:space="preserve"> </v>
      </c>
      <c r="E36" s="69" t="str">
        <f>IF(ISBLANK('ALL Other SINs - Proposal'!R36)," ",'ALL Other SINs - Proposal'!R36)</f>
        <v xml:space="preserve"> </v>
      </c>
      <c r="F36" s="73" t="str">
        <f>IF(ISBLANK('ALL Other SINs - Proposal'!S36)," ",'ALL Other SINs - Proposal'!S36)</f>
        <v xml:space="preserve"> </v>
      </c>
      <c r="G36" s="173" t="str">
        <f>IF(ISBLANK('ALL Other SINs - Proposal'!T36)," ",'ALL Other SINs - Proposal'!T36)</f>
        <v xml:space="preserve"> </v>
      </c>
      <c r="H36" s="275" t="str">
        <f>IF(ISBLANK('ALL Other SINs - Proposal'!V36)," ",'ALL Other SINs - Proposal'!V36)</f>
        <v xml:space="preserve"> </v>
      </c>
      <c r="I36" s="271" t="str">
        <f>IF(ISBLANK('ALL Other SINs - Proposal'!W36)," ",'ALL Other SINs - Proposal'!W36)</f>
        <v xml:space="preserve"> </v>
      </c>
      <c r="J36" s="71" t="str">
        <f>IF(ISBLANK('ALL Other SINs - Proposal'!X36)," ",'ALL Other SINs - Proposal'!X36)</f>
        <v xml:space="preserve"> </v>
      </c>
      <c r="K36" s="165" t="str">
        <f>IF(ISBLANK('ALL Other SINs - Proposal'!AA36)," ",'ALL Other SINs - Proposal'!AA36)</f>
        <v xml:space="preserve"> </v>
      </c>
      <c r="L36" s="178" t="str">
        <f>IF(ISBLANK('ALL Other SINs - Proposal'!AB36)," ",'ALL Other SINs - Proposal'!AB36)</f>
        <v xml:space="preserve"> </v>
      </c>
      <c r="M36" s="72" t="str">
        <f t="shared" si="0"/>
        <v xml:space="preserve"> </v>
      </c>
      <c r="N36" s="167" t="str">
        <f t="shared" si="1"/>
        <v xml:space="preserve"> </v>
      </c>
    </row>
    <row r="37" spans="1:14" ht="15" x14ac:dyDescent="0.25">
      <c r="A37" s="131" t="str">
        <f>IF(ISBLANK('ALL Other SINs - Proposal'!A37)," ",'ALL Other SINs - Proposal'!A37)</f>
        <v xml:space="preserve"> </v>
      </c>
      <c r="B37" s="137" t="str">
        <f>IF(ISBLANK('ALL Other SINs - Proposal'!B37)," ",'ALL Other SINs - Proposal'!B37)</f>
        <v xml:space="preserve"> </v>
      </c>
      <c r="C37" s="137" t="str">
        <f>IF(ISBLANK('ALL Other SINs - Proposal'!C37)," ",'ALL Other SINs - Proposal'!C37)</f>
        <v xml:space="preserve"> </v>
      </c>
      <c r="D37" s="138" t="str">
        <f>IF(ISBLANK('ALL Other SINs - Proposal'!D37)," ",'ALL Other SINs - Proposal'!D37)</f>
        <v xml:space="preserve"> </v>
      </c>
      <c r="E37" s="69" t="str">
        <f>IF(ISBLANK('ALL Other SINs - Proposal'!R37)," ",'ALL Other SINs - Proposal'!R37)</f>
        <v xml:space="preserve"> </v>
      </c>
      <c r="F37" s="73" t="str">
        <f>IF(ISBLANK('ALL Other SINs - Proposal'!S37)," ",'ALL Other SINs - Proposal'!S37)</f>
        <v xml:space="preserve"> </v>
      </c>
      <c r="G37" s="173" t="str">
        <f>IF(ISBLANK('ALL Other SINs - Proposal'!T37)," ",'ALL Other SINs - Proposal'!T37)</f>
        <v xml:space="preserve"> </v>
      </c>
      <c r="H37" s="275" t="str">
        <f>IF(ISBLANK('ALL Other SINs - Proposal'!V37)," ",'ALL Other SINs - Proposal'!V37)</f>
        <v xml:space="preserve"> </v>
      </c>
      <c r="I37" s="271" t="str">
        <f>IF(ISBLANK('ALL Other SINs - Proposal'!W37)," ",'ALL Other SINs - Proposal'!W37)</f>
        <v xml:space="preserve"> </v>
      </c>
      <c r="J37" s="71" t="str">
        <f>IF(ISBLANK('ALL Other SINs - Proposal'!X37)," ",'ALL Other SINs - Proposal'!X37)</f>
        <v xml:space="preserve"> </v>
      </c>
      <c r="K37" s="165" t="str">
        <f>IF(ISBLANK('ALL Other SINs - Proposal'!AA37)," ",'ALL Other SINs - Proposal'!AA37)</f>
        <v xml:space="preserve"> </v>
      </c>
      <c r="L37" s="178" t="str">
        <f>IF(ISBLANK('ALL Other SINs - Proposal'!AB37)," ",'ALL Other SINs - Proposal'!AB37)</f>
        <v xml:space="preserve"> </v>
      </c>
      <c r="M37" s="72" t="str">
        <f t="shared" si="0"/>
        <v xml:space="preserve"> </v>
      </c>
      <c r="N37" s="167" t="str">
        <f t="shared" si="1"/>
        <v xml:space="preserve"> </v>
      </c>
    </row>
    <row r="38" spans="1:14" ht="15" x14ac:dyDescent="0.25">
      <c r="A38" s="131" t="str">
        <f>IF(ISBLANK('ALL Other SINs - Proposal'!A38)," ",'ALL Other SINs - Proposal'!A38)</f>
        <v xml:space="preserve"> </v>
      </c>
      <c r="B38" s="137" t="str">
        <f>IF(ISBLANK('ALL Other SINs - Proposal'!B38)," ",'ALL Other SINs - Proposal'!B38)</f>
        <v xml:space="preserve"> </v>
      </c>
      <c r="C38" s="137" t="str">
        <f>IF(ISBLANK('ALL Other SINs - Proposal'!C38)," ",'ALL Other SINs - Proposal'!C38)</f>
        <v xml:space="preserve"> </v>
      </c>
      <c r="D38" s="138" t="str">
        <f>IF(ISBLANK('ALL Other SINs - Proposal'!D38)," ",'ALL Other SINs - Proposal'!D38)</f>
        <v xml:space="preserve"> </v>
      </c>
      <c r="E38" s="69" t="str">
        <f>IF(ISBLANK('ALL Other SINs - Proposal'!R38)," ",'ALL Other SINs - Proposal'!R38)</f>
        <v xml:space="preserve"> </v>
      </c>
      <c r="F38" s="73" t="str">
        <f>IF(ISBLANK('ALL Other SINs - Proposal'!S38)," ",'ALL Other SINs - Proposal'!S38)</f>
        <v xml:space="preserve"> </v>
      </c>
      <c r="G38" s="173" t="str">
        <f>IF(ISBLANK('ALL Other SINs - Proposal'!T38)," ",'ALL Other SINs - Proposal'!T38)</f>
        <v xml:space="preserve"> </v>
      </c>
      <c r="H38" s="275" t="str">
        <f>IF(ISBLANK('ALL Other SINs - Proposal'!V38)," ",'ALL Other SINs - Proposal'!V38)</f>
        <v xml:space="preserve"> </v>
      </c>
      <c r="I38" s="271" t="str">
        <f>IF(ISBLANK('ALL Other SINs - Proposal'!W38)," ",'ALL Other SINs - Proposal'!W38)</f>
        <v xml:space="preserve"> </v>
      </c>
      <c r="J38" s="71" t="str">
        <f>IF(ISBLANK('ALL Other SINs - Proposal'!X38)," ",'ALL Other SINs - Proposal'!X38)</f>
        <v xml:space="preserve"> </v>
      </c>
      <c r="K38" s="165" t="str">
        <f>IF(ISBLANK('ALL Other SINs - Proposal'!AA38)," ",'ALL Other SINs - Proposal'!AA38)</f>
        <v xml:space="preserve"> </v>
      </c>
      <c r="L38" s="178" t="str">
        <f>IF(ISBLANK('ALL Other SINs - Proposal'!AB38)," ",'ALL Other SINs - Proposal'!AB38)</f>
        <v xml:space="preserve"> </v>
      </c>
      <c r="M38" s="72" t="str">
        <f t="shared" si="0"/>
        <v xml:space="preserve"> </v>
      </c>
      <c r="N38" s="167" t="str">
        <f t="shared" si="1"/>
        <v xml:space="preserve"> </v>
      </c>
    </row>
    <row r="39" spans="1:14" ht="15" x14ac:dyDescent="0.25">
      <c r="A39" s="131" t="str">
        <f>IF(ISBLANK('ALL Other SINs - Proposal'!A39)," ",'ALL Other SINs - Proposal'!A39)</f>
        <v xml:space="preserve"> </v>
      </c>
      <c r="B39" s="137" t="str">
        <f>IF(ISBLANK('ALL Other SINs - Proposal'!B39)," ",'ALL Other SINs - Proposal'!B39)</f>
        <v xml:space="preserve"> </v>
      </c>
      <c r="C39" s="137" t="str">
        <f>IF(ISBLANK('ALL Other SINs - Proposal'!C39)," ",'ALL Other SINs - Proposal'!C39)</f>
        <v xml:space="preserve"> </v>
      </c>
      <c r="D39" s="138" t="str">
        <f>IF(ISBLANK('ALL Other SINs - Proposal'!D39)," ",'ALL Other SINs - Proposal'!D39)</f>
        <v xml:space="preserve"> </v>
      </c>
      <c r="E39" s="69" t="str">
        <f>IF(ISBLANK('ALL Other SINs - Proposal'!R39)," ",'ALL Other SINs - Proposal'!R39)</f>
        <v xml:space="preserve"> </v>
      </c>
      <c r="F39" s="73" t="str">
        <f>IF(ISBLANK('ALL Other SINs - Proposal'!S39)," ",'ALL Other SINs - Proposal'!S39)</f>
        <v xml:space="preserve"> </v>
      </c>
      <c r="G39" s="173" t="str">
        <f>IF(ISBLANK('ALL Other SINs - Proposal'!T39)," ",'ALL Other SINs - Proposal'!T39)</f>
        <v xml:space="preserve"> </v>
      </c>
      <c r="H39" s="275" t="str">
        <f>IF(ISBLANK('ALL Other SINs - Proposal'!V39)," ",'ALL Other SINs - Proposal'!V39)</f>
        <v xml:space="preserve"> </v>
      </c>
      <c r="I39" s="271" t="str">
        <f>IF(ISBLANK('ALL Other SINs - Proposal'!W39)," ",'ALL Other SINs - Proposal'!W39)</f>
        <v xml:space="preserve"> </v>
      </c>
      <c r="J39" s="71" t="str">
        <f>IF(ISBLANK('ALL Other SINs - Proposal'!X39)," ",'ALL Other SINs - Proposal'!X39)</f>
        <v xml:space="preserve"> </v>
      </c>
      <c r="K39" s="165" t="str">
        <f>IF(ISBLANK('ALL Other SINs - Proposal'!AA39)," ",'ALL Other SINs - Proposal'!AA39)</f>
        <v xml:space="preserve"> </v>
      </c>
      <c r="L39" s="178" t="str">
        <f>IF(ISBLANK('ALL Other SINs - Proposal'!AB39)," ",'ALL Other SINs - Proposal'!AB39)</f>
        <v xml:space="preserve"> </v>
      </c>
      <c r="M39" s="72" t="str">
        <f t="shared" si="0"/>
        <v xml:space="preserve"> </v>
      </c>
      <c r="N39" s="167" t="str">
        <f t="shared" si="1"/>
        <v xml:space="preserve"> </v>
      </c>
    </row>
    <row r="40" spans="1:14" ht="15" x14ac:dyDescent="0.25">
      <c r="A40" s="131" t="str">
        <f>IF(ISBLANK('ALL Other SINs - Proposal'!A40)," ",'ALL Other SINs - Proposal'!A40)</f>
        <v xml:space="preserve"> </v>
      </c>
      <c r="B40" s="137" t="str">
        <f>IF(ISBLANK('ALL Other SINs - Proposal'!B40)," ",'ALL Other SINs - Proposal'!B40)</f>
        <v xml:space="preserve"> </v>
      </c>
      <c r="C40" s="137" t="str">
        <f>IF(ISBLANK('ALL Other SINs - Proposal'!C40)," ",'ALL Other SINs - Proposal'!C40)</f>
        <v xml:space="preserve"> </v>
      </c>
      <c r="D40" s="138" t="str">
        <f>IF(ISBLANK('ALL Other SINs - Proposal'!D40)," ",'ALL Other SINs - Proposal'!D40)</f>
        <v xml:space="preserve"> </v>
      </c>
      <c r="E40" s="69" t="str">
        <f>IF(ISBLANK('ALL Other SINs - Proposal'!R40)," ",'ALL Other SINs - Proposal'!R40)</f>
        <v xml:space="preserve"> </v>
      </c>
      <c r="F40" s="73" t="str">
        <f>IF(ISBLANK('ALL Other SINs - Proposal'!S40)," ",'ALL Other SINs - Proposal'!S40)</f>
        <v xml:space="preserve"> </v>
      </c>
      <c r="G40" s="173" t="str">
        <f>IF(ISBLANK('ALL Other SINs - Proposal'!T40)," ",'ALL Other SINs - Proposal'!T40)</f>
        <v xml:space="preserve"> </v>
      </c>
      <c r="H40" s="275" t="str">
        <f>IF(ISBLANK('ALL Other SINs - Proposal'!V40)," ",'ALL Other SINs - Proposal'!V40)</f>
        <v xml:space="preserve"> </v>
      </c>
      <c r="I40" s="271" t="str">
        <f>IF(ISBLANK('ALL Other SINs - Proposal'!W40)," ",'ALL Other SINs - Proposal'!W40)</f>
        <v xml:space="preserve"> </v>
      </c>
      <c r="J40" s="71" t="str">
        <f>IF(ISBLANK('ALL Other SINs - Proposal'!X40)," ",'ALL Other SINs - Proposal'!X40)</f>
        <v xml:space="preserve"> </v>
      </c>
      <c r="K40" s="165" t="str">
        <f>IF(ISBLANK('ALL Other SINs - Proposal'!AA40)," ",'ALL Other SINs - Proposal'!AA40)</f>
        <v xml:space="preserve"> </v>
      </c>
      <c r="L40" s="178" t="str">
        <f>IF(ISBLANK('ALL Other SINs - Proposal'!AB40)," ",'ALL Other SINs - Proposal'!AB40)</f>
        <v xml:space="preserve"> </v>
      </c>
      <c r="M40" s="72" t="str">
        <f t="shared" si="0"/>
        <v xml:space="preserve"> </v>
      </c>
      <c r="N40" s="167" t="str">
        <f t="shared" si="1"/>
        <v xml:space="preserve"> </v>
      </c>
    </row>
    <row r="41" spans="1:14" ht="15" x14ac:dyDescent="0.25">
      <c r="A41" s="131" t="str">
        <f>IF(ISBLANK('ALL Other SINs - Proposal'!A41)," ",'ALL Other SINs - Proposal'!A41)</f>
        <v xml:space="preserve"> </v>
      </c>
      <c r="B41" s="137" t="str">
        <f>IF(ISBLANK('ALL Other SINs - Proposal'!B41)," ",'ALL Other SINs - Proposal'!B41)</f>
        <v xml:space="preserve"> </v>
      </c>
      <c r="C41" s="137" t="str">
        <f>IF(ISBLANK('ALL Other SINs - Proposal'!C41)," ",'ALL Other SINs - Proposal'!C41)</f>
        <v xml:space="preserve"> </v>
      </c>
      <c r="D41" s="138" t="str">
        <f>IF(ISBLANK('ALL Other SINs - Proposal'!D41)," ",'ALL Other SINs - Proposal'!D41)</f>
        <v xml:space="preserve"> </v>
      </c>
      <c r="E41" s="69" t="str">
        <f>IF(ISBLANK('ALL Other SINs - Proposal'!R41)," ",'ALL Other SINs - Proposal'!R41)</f>
        <v xml:space="preserve"> </v>
      </c>
      <c r="F41" s="73" t="str">
        <f>IF(ISBLANK('ALL Other SINs - Proposal'!S41)," ",'ALL Other SINs - Proposal'!S41)</f>
        <v xml:space="preserve"> </v>
      </c>
      <c r="G41" s="173" t="str">
        <f>IF(ISBLANK('ALL Other SINs - Proposal'!T41)," ",'ALL Other SINs - Proposal'!T41)</f>
        <v xml:space="preserve"> </v>
      </c>
      <c r="H41" s="275" t="str">
        <f>IF(ISBLANK('ALL Other SINs - Proposal'!V41)," ",'ALL Other SINs - Proposal'!V41)</f>
        <v xml:space="preserve"> </v>
      </c>
      <c r="I41" s="271" t="str">
        <f>IF(ISBLANK('ALL Other SINs - Proposal'!W41)," ",'ALL Other SINs - Proposal'!W41)</f>
        <v xml:space="preserve"> </v>
      </c>
      <c r="J41" s="71" t="str">
        <f>IF(ISBLANK('ALL Other SINs - Proposal'!X41)," ",'ALL Other SINs - Proposal'!X41)</f>
        <v xml:space="preserve"> </v>
      </c>
      <c r="K41" s="165" t="str">
        <f>IF(ISBLANK('ALL Other SINs - Proposal'!AA41)," ",'ALL Other SINs - Proposal'!AA41)</f>
        <v xml:space="preserve"> </v>
      </c>
      <c r="L41" s="178" t="str">
        <f>IF(ISBLANK('ALL Other SINs - Proposal'!AB41)," ",'ALL Other SINs - Proposal'!AB41)</f>
        <v xml:space="preserve"> </v>
      </c>
      <c r="M41" s="72" t="str">
        <f t="shared" si="0"/>
        <v xml:space="preserve"> </v>
      </c>
      <c r="N41" s="167" t="str">
        <f t="shared" si="1"/>
        <v xml:space="preserve"> </v>
      </c>
    </row>
    <row r="42" spans="1:14" ht="15" x14ac:dyDescent="0.25">
      <c r="A42" s="131" t="str">
        <f>IF(ISBLANK('ALL Other SINs - Proposal'!A42)," ",'ALL Other SINs - Proposal'!A42)</f>
        <v xml:space="preserve"> </v>
      </c>
      <c r="B42" s="137" t="str">
        <f>IF(ISBLANK('ALL Other SINs - Proposal'!B42)," ",'ALL Other SINs - Proposal'!B42)</f>
        <v xml:space="preserve"> </v>
      </c>
      <c r="C42" s="137" t="str">
        <f>IF(ISBLANK('ALL Other SINs - Proposal'!C42)," ",'ALL Other SINs - Proposal'!C42)</f>
        <v xml:space="preserve"> </v>
      </c>
      <c r="D42" s="138" t="str">
        <f>IF(ISBLANK('ALL Other SINs - Proposal'!D42)," ",'ALL Other SINs - Proposal'!D42)</f>
        <v xml:space="preserve"> </v>
      </c>
      <c r="E42" s="69" t="str">
        <f>IF(ISBLANK('ALL Other SINs - Proposal'!R42)," ",'ALL Other SINs - Proposal'!R42)</f>
        <v xml:space="preserve"> </v>
      </c>
      <c r="F42" s="73" t="str">
        <f>IF(ISBLANK('ALL Other SINs - Proposal'!S42)," ",'ALL Other SINs - Proposal'!S42)</f>
        <v xml:space="preserve"> </v>
      </c>
      <c r="G42" s="173" t="str">
        <f>IF(ISBLANK('ALL Other SINs - Proposal'!T42)," ",'ALL Other SINs - Proposal'!T42)</f>
        <v xml:space="preserve"> </v>
      </c>
      <c r="H42" s="275" t="str">
        <f>IF(ISBLANK('ALL Other SINs - Proposal'!V42)," ",'ALL Other SINs - Proposal'!V42)</f>
        <v xml:space="preserve"> </v>
      </c>
      <c r="I42" s="271" t="str">
        <f>IF(ISBLANK('ALL Other SINs - Proposal'!W42)," ",'ALL Other SINs - Proposal'!W42)</f>
        <v xml:space="preserve"> </v>
      </c>
      <c r="J42" s="71" t="str">
        <f>IF(ISBLANK('ALL Other SINs - Proposal'!X42)," ",'ALL Other SINs - Proposal'!X42)</f>
        <v xml:space="preserve"> </v>
      </c>
      <c r="K42" s="165" t="str">
        <f>IF(ISBLANK('ALL Other SINs - Proposal'!AA42)," ",'ALL Other SINs - Proposal'!AA42)</f>
        <v xml:space="preserve"> </v>
      </c>
      <c r="L42" s="178" t="str">
        <f>IF(ISBLANK('ALL Other SINs - Proposal'!AB42)," ",'ALL Other SINs - Proposal'!AB42)</f>
        <v xml:space="preserve"> </v>
      </c>
      <c r="M42" s="72" t="str">
        <f t="shared" si="0"/>
        <v xml:space="preserve"> </v>
      </c>
      <c r="N42" s="167" t="str">
        <f t="shared" si="1"/>
        <v xml:space="preserve"> </v>
      </c>
    </row>
    <row r="43" spans="1:14" ht="15" x14ac:dyDescent="0.25">
      <c r="A43" s="131" t="str">
        <f>IF(ISBLANK('ALL Other SINs - Proposal'!A43)," ",'ALL Other SINs - Proposal'!A43)</f>
        <v xml:space="preserve"> </v>
      </c>
      <c r="B43" s="137" t="str">
        <f>IF(ISBLANK('ALL Other SINs - Proposal'!B43)," ",'ALL Other SINs - Proposal'!B43)</f>
        <v xml:space="preserve"> </v>
      </c>
      <c r="C43" s="137" t="str">
        <f>IF(ISBLANK('ALL Other SINs - Proposal'!C43)," ",'ALL Other SINs - Proposal'!C43)</f>
        <v xml:space="preserve"> </v>
      </c>
      <c r="D43" s="138" t="str">
        <f>IF(ISBLANK('ALL Other SINs - Proposal'!D43)," ",'ALL Other SINs - Proposal'!D43)</f>
        <v xml:space="preserve"> </v>
      </c>
      <c r="E43" s="69" t="str">
        <f>IF(ISBLANK('ALL Other SINs - Proposal'!R43)," ",'ALL Other SINs - Proposal'!R43)</f>
        <v xml:space="preserve"> </v>
      </c>
      <c r="F43" s="73" t="str">
        <f>IF(ISBLANK('ALL Other SINs - Proposal'!S43)," ",'ALL Other SINs - Proposal'!S43)</f>
        <v xml:space="preserve"> </v>
      </c>
      <c r="G43" s="173" t="str">
        <f>IF(ISBLANK('ALL Other SINs - Proposal'!T43)," ",'ALL Other SINs - Proposal'!T43)</f>
        <v xml:space="preserve"> </v>
      </c>
      <c r="H43" s="275" t="str">
        <f>IF(ISBLANK('ALL Other SINs - Proposal'!V43)," ",'ALL Other SINs - Proposal'!V43)</f>
        <v xml:space="preserve"> </v>
      </c>
      <c r="I43" s="271" t="str">
        <f>IF(ISBLANK('ALL Other SINs - Proposal'!W43)," ",'ALL Other SINs - Proposal'!W43)</f>
        <v xml:space="preserve"> </v>
      </c>
      <c r="J43" s="71" t="str">
        <f>IF(ISBLANK('ALL Other SINs - Proposal'!X43)," ",'ALL Other SINs - Proposal'!X43)</f>
        <v xml:space="preserve"> </v>
      </c>
      <c r="K43" s="165" t="str">
        <f>IF(ISBLANK('ALL Other SINs - Proposal'!AA43)," ",'ALL Other SINs - Proposal'!AA43)</f>
        <v xml:space="preserve"> </v>
      </c>
      <c r="L43" s="178" t="str">
        <f>IF(ISBLANK('ALL Other SINs - Proposal'!AB43)," ",'ALL Other SINs - Proposal'!AB43)</f>
        <v xml:space="preserve"> </v>
      </c>
      <c r="M43" s="72" t="str">
        <f t="shared" si="0"/>
        <v xml:space="preserve"> </v>
      </c>
      <c r="N43" s="167" t="str">
        <f t="shared" si="1"/>
        <v xml:space="preserve"> </v>
      </c>
    </row>
    <row r="44" spans="1:14" ht="15" x14ac:dyDescent="0.25">
      <c r="A44" s="131" t="str">
        <f>IF(ISBLANK('ALL Other SINs - Proposal'!A44)," ",'ALL Other SINs - Proposal'!A44)</f>
        <v xml:space="preserve"> </v>
      </c>
      <c r="B44" s="137" t="str">
        <f>IF(ISBLANK('ALL Other SINs - Proposal'!B44)," ",'ALL Other SINs - Proposal'!B44)</f>
        <v xml:space="preserve"> </v>
      </c>
      <c r="C44" s="137" t="str">
        <f>IF(ISBLANK('ALL Other SINs - Proposal'!C44)," ",'ALL Other SINs - Proposal'!C44)</f>
        <v xml:space="preserve"> </v>
      </c>
      <c r="D44" s="138" t="str">
        <f>IF(ISBLANK('ALL Other SINs - Proposal'!D44)," ",'ALL Other SINs - Proposal'!D44)</f>
        <v xml:space="preserve"> </v>
      </c>
      <c r="E44" s="69" t="str">
        <f>IF(ISBLANK('ALL Other SINs - Proposal'!R44)," ",'ALL Other SINs - Proposal'!R44)</f>
        <v xml:space="preserve"> </v>
      </c>
      <c r="F44" s="73" t="str">
        <f>IF(ISBLANK('ALL Other SINs - Proposal'!S44)," ",'ALL Other SINs - Proposal'!S44)</f>
        <v xml:space="preserve"> </v>
      </c>
      <c r="G44" s="173" t="str">
        <f>IF(ISBLANK('ALL Other SINs - Proposal'!T44)," ",'ALL Other SINs - Proposal'!T44)</f>
        <v xml:space="preserve"> </v>
      </c>
      <c r="H44" s="275" t="str">
        <f>IF(ISBLANK('ALL Other SINs - Proposal'!V44)," ",'ALL Other SINs - Proposal'!V44)</f>
        <v xml:space="preserve"> </v>
      </c>
      <c r="I44" s="271" t="str">
        <f>IF(ISBLANK('ALL Other SINs - Proposal'!W44)," ",'ALL Other SINs - Proposal'!W44)</f>
        <v xml:space="preserve"> </v>
      </c>
      <c r="J44" s="71" t="str">
        <f>IF(ISBLANK('ALL Other SINs - Proposal'!X44)," ",'ALL Other SINs - Proposal'!X44)</f>
        <v xml:space="preserve"> </v>
      </c>
      <c r="K44" s="165" t="str">
        <f>IF(ISBLANK('ALL Other SINs - Proposal'!AA44)," ",'ALL Other SINs - Proposal'!AA44)</f>
        <v xml:space="preserve"> </v>
      </c>
      <c r="L44" s="178" t="str">
        <f>IF(ISBLANK('ALL Other SINs - Proposal'!AB44)," ",'ALL Other SINs - Proposal'!AB44)</f>
        <v xml:space="preserve"> </v>
      </c>
      <c r="M44" s="72" t="str">
        <f t="shared" si="0"/>
        <v xml:space="preserve"> </v>
      </c>
      <c r="N44" s="167" t="str">
        <f t="shared" si="1"/>
        <v xml:space="preserve"> </v>
      </c>
    </row>
    <row r="45" spans="1:14" ht="15" x14ac:dyDescent="0.25">
      <c r="A45" s="131" t="str">
        <f>IF(ISBLANK('ALL Other SINs - Proposal'!A45)," ",'ALL Other SINs - Proposal'!A45)</f>
        <v xml:space="preserve"> </v>
      </c>
      <c r="B45" s="137" t="str">
        <f>IF(ISBLANK('ALL Other SINs - Proposal'!B45)," ",'ALL Other SINs - Proposal'!B45)</f>
        <v xml:space="preserve"> </v>
      </c>
      <c r="C45" s="137" t="str">
        <f>IF(ISBLANK('ALL Other SINs - Proposal'!C45)," ",'ALL Other SINs - Proposal'!C45)</f>
        <v xml:space="preserve"> </v>
      </c>
      <c r="D45" s="138" t="str">
        <f>IF(ISBLANK('ALL Other SINs - Proposal'!D45)," ",'ALL Other SINs - Proposal'!D45)</f>
        <v xml:space="preserve"> </v>
      </c>
      <c r="E45" s="69" t="str">
        <f>IF(ISBLANK('ALL Other SINs - Proposal'!R45)," ",'ALL Other SINs - Proposal'!R45)</f>
        <v xml:space="preserve"> </v>
      </c>
      <c r="F45" s="73" t="str">
        <f>IF(ISBLANK('ALL Other SINs - Proposal'!S45)," ",'ALL Other SINs - Proposal'!S45)</f>
        <v xml:space="preserve"> </v>
      </c>
      <c r="G45" s="173" t="str">
        <f>IF(ISBLANK('ALL Other SINs - Proposal'!T45)," ",'ALL Other SINs - Proposal'!T45)</f>
        <v xml:space="preserve"> </v>
      </c>
      <c r="H45" s="275" t="str">
        <f>IF(ISBLANK('ALL Other SINs - Proposal'!V45)," ",'ALL Other SINs - Proposal'!V45)</f>
        <v xml:space="preserve"> </v>
      </c>
      <c r="I45" s="271" t="str">
        <f>IF(ISBLANK('ALL Other SINs - Proposal'!W45)," ",'ALL Other SINs - Proposal'!W45)</f>
        <v xml:space="preserve"> </v>
      </c>
      <c r="J45" s="71" t="str">
        <f>IF(ISBLANK('ALL Other SINs - Proposal'!X45)," ",'ALL Other SINs - Proposal'!X45)</f>
        <v xml:space="preserve"> </v>
      </c>
      <c r="K45" s="165" t="str">
        <f>IF(ISBLANK('ALL Other SINs - Proposal'!AA45)," ",'ALL Other SINs - Proposal'!AA45)</f>
        <v xml:space="preserve"> </v>
      </c>
      <c r="L45" s="178" t="str">
        <f>IF(ISBLANK('ALL Other SINs - Proposal'!AB45)," ",'ALL Other SINs - Proposal'!AB45)</f>
        <v xml:space="preserve"> </v>
      </c>
      <c r="M45" s="72" t="str">
        <f t="shared" si="0"/>
        <v xml:space="preserve"> </v>
      </c>
      <c r="N45" s="167" t="str">
        <f t="shared" si="1"/>
        <v xml:space="preserve"> </v>
      </c>
    </row>
    <row r="46" spans="1:14" ht="15" x14ac:dyDescent="0.25">
      <c r="A46" s="131" t="str">
        <f>IF(ISBLANK('ALL Other SINs - Proposal'!A46)," ",'ALL Other SINs - Proposal'!A46)</f>
        <v xml:space="preserve"> </v>
      </c>
      <c r="B46" s="137" t="str">
        <f>IF(ISBLANK('ALL Other SINs - Proposal'!B46)," ",'ALL Other SINs - Proposal'!B46)</f>
        <v xml:space="preserve"> </v>
      </c>
      <c r="C46" s="137" t="str">
        <f>IF(ISBLANK('ALL Other SINs - Proposal'!C46)," ",'ALL Other SINs - Proposal'!C46)</f>
        <v xml:space="preserve"> </v>
      </c>
      <c r="D46" s="138" t="str">
        <f>IF(ISBLANK('ALL Other SINs - Proposal'!D46)," ",'ALL Other SINs - Proposal'!D46)</f>
        <v xml:space="preserve"> </v>
      </c>
      <c r="E46" s="69" t="str">
        <f>IF(ISBLANK('ALL Other SINs - Proposal'!R46)," ",'ALL Other SINs - Proposal'!R46)</f>
        <v xml:space="preserve"> </v>
      </c>
      <c r="F46" s="73" t="str">
        <f>IF(ISBLANK('ALL Other SINs - Proposal'!S46)," ",'ALL Other SINs - Proposal'!S46)</f>
        <v xml:space="preserve"> </v>
      </c>
      <c r="G46" s="173" t="str">
        <f>IF(ISBLANK('ALL Other SINs - Proposal'!T46)," ",'ALL Other SINs - Proposal'!T46)</f>
        <v xml:space="preserve"> </v>
      </c>
      <c r="H46" s="275" t="str">
        <f>IF(ISBLANK('ALL Other SINs - Proposal'!V46)," ",'ALL Other SINs - Proposal'!V46)</f>
        <v xml:space="preserve"> </v>
      </c>
      <c r="I46" s="271" t="str">
        <f>IF(ISBLANK('ALL Other SINs - Proposal'!W46)," ",'ALL Other SINs - Proposal'!W46)</f>
        <v xml:space="preserve"> </v>
      </c>
      <c r="J46" s="71" t="str">
        <f>IF(ISBLANK('ALL Other SINs - Proposal'!X46)," ",'ALL Other SINs - Proposal'!X46)</f>
        <v xml:space="preserve"> </v>
      </c>
      <c r="K46" s="165" t="str">
        <f>IF(ISBLANK('ALL Other SINs - Proposal'!AA46)," ",'ALL Other SINs - Proposal'!AA46)</f>
        <v xml:space="preserve"> </v>
      </c>
      <c r="L46" s="178" t="str">
        <f>IF(ISBLANK('ALL Other SINs - Proposal'!AB46)," ",'ALL Other SINs - Proposal'!AB46)</f>
        <v xml:space="preserve"> </v>
      </c>
      <c r="M46" s="72" t="str">
        <f t="shared" si="0"/>
        <v xml:space="preserve"> </v>
      </c>
      <c r="N46" s="167" t="str">
        <f t="shared" si="1"/>
        <v xml:space="preserve"> </v>
      </c>
    </row>
    <row r="47" spans="1:14" ht="15" x14ac:dyDescent="0.25">
      <c r="A47" s="131" t="str">
        <f>IF(ISBLANK('ALL Other SINs - Proposal'!A47)," ",'ALL Other SINs - Proposal'!A47)</f>
        <v xml:space="preserve"> </v>
      </c>
      <c r="B47" s="137" t="str">
        <f>IF(ISBLANK('ALL Other SINs - Proposal'!B47)," ",'ALL Other SINs - Proposal'!B47)</f>
        <v xml:space="preserve"> </v>
      </c>
      <c r="C47" s="137" t="str">
        <f>IF(ISBLANK('ALL Other SINs - Proposal'!C47)," ",'ALL Other SINs - Proposal'!C47)</f>
        <v xml:space="preserve"> </v>
      </c>
      <c r="D47" s="138" t="str">
        <f>IF(ISBLANK('ALL Other SINs - Proposal'!D47)," ",'ALL Other SINs - Proposal'!D47)</f>
        <v xml:space="preserve"> </v>
      </c>
      <c r="E47" s="69" t="str">
        <f>IF(ISBLANK('ALL Other SINs - Proposal'!R47)," ",'ALL Other SINs - Proposal'!R47)</f>
        <v xml:space="preserve"> </v>
      </c>
      <c r="F47" s="73" t="str">
        <f>IF(ISBLANK('ALL Other SINs - Proposal'!S47)," ",'ALL Other SINs - Proposal'!S47)</f>
        <v xml:space="preserve"> </v>
      </c>
      <c r="G47" s="173" t="str">
        <f>IF(ISBLANK('ALL Other SINs - Proposal'!T47)," ",'ALL Other SINs - Proposal'!T47)</f>
        <v xml:space="preserve"> </v>
      </c>
      <c r="H47" s="275" t="str">
        <f>IF(ISBLANK('ALL Other SINs - Proposal'!V47)," ",'ALL Other SINs - Proposal'!V47)</f>
        <v xml:space="preserve"> </v>
      </c>
      <c r="I47" s="271" t="str">
        <f>IF(ISBLANK('ALL Other SINs - Proposal'!W47)," ",'ALL Other SINs - Proposal'!W47)</f>
        <v xml:space="preserve"> </v>
      </c>
      <c r="J47" s="71" t="str">
        <f>IF(ISBLANK('ALL Other SINs - Proposal'!X47)," ",'ALL Other SINs - Proposal'!X47)</f>
        <v xml:space="preserve"> </v>
      </c>
      <c r="K47" s="165" t="str">
        <f>IF(ISBLANK('ALL Other SINs - Proposal'!AA47)," ",'ALL Other SINs - Proposal'!AA47)</f>
        <v xml:space="preserve"> </v>
      </c>
      <c r="L47" s="178" t="str">
        <f>IF(ISBLANK('ALL Other SINs - Proposal'!AB47)," ",'ALL Other SINs - Proposal'!AB47)</f>
        <v xml:space="preserve"> </v>
      </c>
      <c r="M47" s="72" t="str">
        <f t="shared" si="0"/>
        <v xml:space="preserve"> </v>
      </c>
      <c r="N47" s="167" t="str">
        <f t="shared" si="1"/>
        <v xml:space="preserve"> </v>
      </c>
    </row>
    <row r="48" spans="1:14" ht="15" x14ac:dyDescent="0.25">
      <c r="A48" s="131" t="str">
        <f>IF(ISBLANK('ALL Other SINs - Proposal'!A48)," ",'ALL Other SINs - Proposal'!A48)</f>
        <v xml:space="preserve"> </v>
      </c>
      <c r="B48" s="137" t="str">
        <f>IF(ISBLANK('ALL Other SINs - Proposal'!B48)," ",'ALL Other SINs - Proposal'!B48)</f>
        <v xml:space="preserve"> </v>
      </c>
      <c r="C48" s="137" t="str">
        <f>IF(ISBLANK('ALL Other SINs - Proposal'!C48)," ",'ALL Other SINs - Proposal'!C48)</f>
        <v xml:space="preserve"> </v>
      </c>
      <c r="D48" s="138" t="str">
        <f>IF(ISBLANK('ALL Other SINs - Proposal'!D48)," ",'ALL Other SINs - Proposal'!D48)</f>
        <v xml:space="preserve"> </v>
      </c>
      <c r="E48" s="69" t="str">
        <f>IF(ISBLANK('ALL Other SINs - Proposal'!R48)," ",'ALL Other SINs - Proposal'!R48)</f>
        <v xml:space="preserve"> </v>
      </c>
      <c r="F48" s="73" t="str">
        <f>IF(ISBLANK('ALL Other SINs - Proposal'!S48)," ",'ALL Other SINs - Proposal'!S48)</f>
        <v xml:space="preserve"> </v>
      </c>
      <c r="G48" s="173" t="str">
        <f>IF(ISBLANK('ALL Other SINs - Proposal'!T48)," ",'ALL Other SINs - Proposal'!T48)</f>
        <v xml:space="preserve"> </v>
      </c>
      <c r="H48" s="275" t="str">
        <f>IF(ISBLANK('ALL Other SINs - Proposal'!V48)," ",'ALL Other SINs - Proposal'!V48)</f>
        <v xml:space="preserve"> </v>
      </c>
      <c r="I48" s="271" t="str">
        <f>IF(ISBLANK('ALL Other SINs - Proposal'!W48)," ",'ALL Other SINs - Proposal'!W48)</f>
        <v xml:space="preserve"> </v>
      </c>
      <c r="J48" s="71" t="str">
        <f>IF(ISBLANK('ALL Other SINs - Proposal'!X48)," ",'ALL Other SINs - Proposal'!X48)</f>
        <v xml:space="preserve"> </v>
      </c>
      <c r="K48" s="165" t="str">
        <f>IF(ISBLANK('ALL Other SINs - Proposal'!AA48)," ",'ALL Other SINs - Proposal'!AA48)</f>
        <v xml:space="preserve"> </v>
      </c>
      <c r="L48" s="178" t="str">
        <f>IF(ISBLANK('ALL Other SINs - Proposal'!AB48)," ",'ALL Other SINs - Proposal'!AB48)</f>
        <v xml:space="preserve"> </v>
      </c>
      <c r="M48" s="72" t="str">
        <f t="shared" si="0"/>
        <v xml:space="preserve"> </v>
      </c>
      <c r="N48" s="167" t="str">
        <f t="shared" si="1"/>
        <v xml:space="preserve"> </v>
      </c>
    </row>
    <row r="49" spans="1:14" ht="15" x14ac:dyDescent="0.25">
      <c r="A49" s="131" t="str">
        <f>IF(ISBLANK('ALL Other SINs - Proposal'!A49)," ",'ALL Other SINs - Proposal'!A49)</f>
        <v xml:space="preserve"> </v>
      </c>
      <c r="B49" s="137" t="str">
        <f>IF(ISBLANK('ALL Other SINs - Proposal'!B49)," ",'ALL Other SINs - Proposal'!B49)</f>
        <v xml:space="preserve"> </v>
      </c>
      <c r="C49" s="137" t="str">
        <f>IF(ISBLANK('ALL Other SINs - Proposal'!C49)," ",'ALL Other SINs - Proposal'!C49)</f>
        <v xml:space="preserve"> </v>
      </c>
      <c r="D49" s="138" t="str">
        <f>IF(ISBLANK('ALL Other SINs - Proposal'!D49)," ",'ALL Other SINs - Proposal'!D49)</f>
        <v xml:space="preserve"> </v>
      </c>
      <c r="E49" s="69" t="str">
        <f>IF(ISBLANK('ALL Other SINs - Proposal'!R49)," ",'ALL Other SINs - Proposal'!R49)</f>
        <v xml:space="preserve"> </v>
      </c>
      <c r="F49" s="73" t="str">
        <f>IF(ISBLANK('ALL Other SINs - Proposal'!S49)," ",'ALL Other SINs - Proposal'!S49)</f>
        <v xml:space="preserve"> </v>
      </c>
      <c r="G49" s="173" t="str">
        <f>IF(ISBLANK('ALL Other SINs - Proposal'!T49)," ",'ALL Other SINs - Proposal'!T49)</f>
        <v xml:space="preserve"> </v>
      </c>
      <c r="H49" s="275" t="str">
        <f>IF(ISBLANK('ALL Other SINs - Proposal'!V49)," ",'ALL Other SINs - Proposal'!V49)</f>
        <v xml:space="preserve"> </v>
      </c>
      <c r="I49" s="271" t="str">
        <f>IF(ISBLANK('ALL Other SINs - Proposal'!W49)," ",'ALL Other SINs - Proposal'!W49)</f>
        <v xml:space="preserve"> </v>
      </c>
      <c r="J49" s="71" t="str">
        <f>IF(ISBLANK('ALL Other SINs - Proposal'!X49)," ",'ALL Other SINs - Proposal'!X49)</f>
        <v xml:space="preserve"> </v>
      </c>
      <c r="K49" s="165" t="str">
        <f>IF(ISBLANK('ALL Other SINs - Proposal'!AA49)," ",'ALL Other SINs - Proposal'!AA49)</f>
        <v xml:space="preserve"> </v>
      </c>
      <c r="L49" s="178" t="str">
        <f>IF(ISBLANK('ALL Other SINs - Proposal'!AB49)," ",'ALL Other SINs - Proposal'!AB49)</f>
        <v xml:space="preserve"> </v>
      </c>
      <c r="M49" s="72" t="str">
        <f t="shared" si="0"/>
        <v xml:space="preserve"> </v>
      </c>
      <c r="N49" s="167" t="str">
        <f t="shared" si="1"/>
        <v xml:space="preserve"> </v>
      </c>
    </row>
    <row r="50" spans="1:14" ht="15" x14ac:dyDescent="0.25">
      <c r="A50" s="131" t="str">
        <f>IF(ISBLANK('ALL Other SINs - Proposal'!A50)," ",'ALL Other SINs - Proposal'!A50)</f>
        <v xml:space="preserve"> </v>
      </c>
      <c r="B50" s="137" t="str">
        <f>IF(ISBLANK('ALL Other SINs - Proposal'!B50)," ",'ALL Other SINs - Proposal'!B50)</f>
        <v xml:space="preserve"> </v>
      </c>
      <c r="C50" s="137" t="str">
        <f>IF(ISBLANK('ALL Other SINs - Proposal'!C50)," ",'ALL Other SINs - Proposal'!C50)</f>
        <v xml:space="preserve"> </v>
      </c>
      <c r="D50" s="138" t="str">
        <f>IF(ISBLANK('ALL Other SINs - Proposal'!D50)," ",'ALL Other SINs - Proposal'!D50)</f>
        <v xml:space="preserve"> </v>
      </c>
      <c r="E50" s="69" t="str">
        <f>IF(ISBLANK('ALL Other SINs - Proposal'!R50)," ",'ALL Other SINs - Proposal'!R50)</f>
        <v xml:space="preserve"> </v>
      </c>
      <c r="F50" s="73" t="str">
        <f>IF(ISBLANK('ALL Other SINs - Proposal'!S50)," ",'ALL Other SINs - Proposal'!S50)</f>
        <v xml:space="preserve"> </v>
      </c>
      <c r="G50" s="173" t="str">
        <f>IF(ISBLANK('ALL Other SINs - Proposal'!T50)," ",'ALL Other SINs - Proposal'!T50)</f>
        <v xml:space="preserve"> </v>
      </c>
      <c r="H50" s="275" t="str">
        <f>IF(ISBLANK('ALL Other SINs - Proposal'!V50)," ",'ALL Other SINs - Proposal'!V50)</f>
        <v xml:space="preserve"> </v>
      </c>
      <c r="I50" s="271" t="str">
        <f>IF(ISBLANK('ALL Other SINs - Proposal'!W50)," ",'ALL Other SINs - Proposal'!W50)</f>
        <v xml:space="preserve"> </v>
      </c>
      <c r="J50" s="71" t="str">
        <f>IF(ISBLANK('ALL Other SINs - Proposal'!X50)," ",'ALL Other SINs - Proposal'!X50)</f>
        <v xml:space="preserve"> </v>
      </c>
      <c r="K50" s="165" t="str">
        <f>IF(ISBLANK('ALL Other SINs - Proposal'!AA50)," ",'ALL Other SINs - Proposal'!AA50)</f>
        <v xml:space="preserve"> </v>
      </c>
      <c r="L50" s="178" t="str">
        <f>IF(ISBLANK('ALL Other SINs - Proposal'!AB50)," ",'ALL Other SINs - Proposal'!AB50)</f>
        <v xml:space="preserve"> </v>
      </c>
      <c r="M50" s="72" t="str">
        <f t="shared" si="0"/>
        <v xml:space="preserve"> </v>
      </c>
      <c r="N50" s="167" t="str">
        <f t="shared" si="1"/>
        <v xml:space="preserve"> </v>
      </c>
    </row>
    <row r="51" spans="1:14" ht="15" x14ac:dyDescent="0.25">
      <c r="A51" s="131" t="str">
        <f>IF(ISBLANK('ALL Other SINs - Proposal'!A51)," ",'ALL Other SINs - Proposal'!A51)</f>
        <v xml:space="preserve"> </v>
      </c>
      <c r="B51" s="137" t="str">
        <f>IF(ISBLANK('ALL Other SINs - Proposal'!B51)," ",'ALL Other SINs - Proposal'!B51)</f>
        <v xml:space="preserve"> </v>
      </c>
      <c r="C51" s="137" t="str">
        <f>IF(ISBLANK('ALL Other SINs - Proposal'!C51)," ",'ALL Other SINs - Proposal'!C51)</f>
        <v xml:space="preserve"> </v>
      </c>
      <c r="D51" s="138" t="str">
        <f>IF(ISBLANK('ALL Other SINs - Proposal'!D51)," ",'ALL Other SINs - Proposal'!D51)</f>
        <v xml:space="preserve"> </v>
      </c>
      <c r="E51" s="69" t="str">
        <f>IF(ISBLANK('ALL Other SINs - Proposal'!R51)," ",'ALL Other SINs - Proposal'!R51)</f>
        <v xml:space="preserve"> </v>
      </c>
      <c r="F51" s="73" t="str">
        <f>IF(ISBLANK('ALL Other SINs - Proposal'!S51)," ",'ALL Other SINs - Proposal'!S51)</f>
        <v xml:space="preserve"> </v>
      </c>
      <c r="G51" s="173" t="str">
        <f>IF(ISBLANK('ALL Other SINs - Proposal'!T51)," ",'ALL Other SINs - Proposal'!T51)</f>
        <v xml:space="preserve"> </v>
      </c>
      <c r="H51" s="275" t="str">
        <f>IF(ISBLANK('ALL Other SINs - Proposal'!V51)," ",'ALL Other SINs - Proposal'!V51)</f>
        <v xml:space="preserve"> </v>
      </c>
      <c r="I51" s="271" t="str">
        <f>IF(ISBLANK('ALL Other SINs - Proposal'!W51)," ",'ALL Other SINs - Proposal'!W51)</f>
        <v xml:space="preserve"> </v>
      </c>
      <c r="J51" s="71" t="str">
        <f>IF(ISBLANK('ALL Other SINs - Proposal'!X51)," ",'ALL Other SINs - Proposal'!X51)</f>
        <v xml:space="preserve"> </v>
      </c>
      <c r="K51" s="165" t="str">
        <f>IF(ISBLANK('ALL Other SINs - Proposal'!AA51)," ",'ALL Other SINs - Proposal'!AA51)</f>
        <v xml:space="preserve"> </v>
      </c>
      <c r="L51" s="178" t="str">
        <f>IF(ISBLANK('ALL Other SINs - Proposal'!AB51)," ",'ALL Other SINs - Proposal'!AB51)</f>
        <v xml:space="preserve"> </v>
      </c>
      <c r="M51" s="72" t="str">
        <f t="shared" si="0"/>
        <v xml:space="preserve"> </v>
      </c>
      <c r="N51" s="167" t="str">
        <f t="shared" si="1"/>
        <v xml:space="preserve"> </v>
      </c>
    </row>
    <row r="52" spans="1:14" ht="15" x14ac:dyDescent="0.25">
      <c r="A52" s="131" t="str">
        <f>IF(ISBLANK('ALL Other SINs - Proposal'!A52)," ",'ALL Other SINs - Proposal'!A52)</f>
        <v xml:space="preserve"> </v>
      </c>
      <c r="B52" s="137" t="str">
        <f>IF(ISBLANK('ALL Other SINs - Proposal'!B52)," ",'ALL Other SINs - Proposal'!B52)</f>
        <v xml:space="preserve"> </v>
      </c>
      <c r="C52" s="137" t="str">
        <f>IF(ISBLANK('ALL Other SINs - Proposal'!C52)," ",'ALL Other SINs - Proposal'!C52)</f>
        <v xml:space="preserve"> </v>
      </c>
      <c r="D52" s="138" t="str">
        <f>IF(ISBLANK('ALL Other SINs - Proposal'!D52)," ",'ALL Other SINs - Proposal'!D52)</f>
        <v xml:space="preserve"> </v>
      </c>
      <c r="E52" s="69" t="str">
        <f>IF(ISBLANK('ALL Other SINs - Proposal'!R52)," ",'ALL Other SINs - Proposal'!R52)</f>
        <v xml:space="preserve"> </v>
      </c>
      <c r="F52" s="73" t="str">
        <f>IF(ISBLANK('ALL Other SINs - Proposal'!S52)," ",'ALL Other SINs - Proposal'!S52)</f>
        <v xml:space="preserve"> </v>
      </c>
      <c r="G52" s="173" t="str">
        <f>IF(ISBLANK('ALL Other SINs - Proposal'!T52)," ",'ALL Other SINs - Proposal'!T52)</f>
        <v xml:space="preserve"> </v>
      </c>
      <c r="H52" s="275" t="str">
        <f>IF(ISBLANK('ALL Other SINs - Proposal'!V52)," ",'ALL Other SINs - Proposal'!V52)</f>
        <v xml:space="preserve"> </v>
      </c>
      <c r="I52" s="271" t="str">
        <f>IF(ISBLANK('ALL Other SINs - Proposal'!W52)," ",'ALL Other SINs - Proposal'!W52)</f>
        <v xml:space="preserve"> </v>
      </c>
      <c r="J52" s="71" t="str">
        <f>IF(ISBLANK('ALL Other SINs - Proposal'!X52)," ",'ALL Other SINs - Proposal'!X52)</f>
        <v xml:space="preserve"> </v>
      </c>
      <c r="K52" s="165" t="str">
        <f>IF(ISBLANK('ALL Other SINs - Proposal'!AA52)," ",'ALL Other SINs - Proposal'!AA52)</f>
        <v xml:space="preserve"> </v>
      </c>
      <c r="L52" s="178" t="str">
        <f>IF(ISBLANK('ALL Other SINs - Proposal'!AB52)," ",'ALL Other SINs - Proposal'!AB52)</f>
        <v xml:space="preserve"> </v>
      </c>
      <c r="M52" s="72" t="str">
        <f t="shared" si="0"/>
        <v xml:space="preserve"> </v>
      </c>
      <c r="N52" s="167" t="str">
        <f t="shared" si="1"/>
        <v xml:space="preserve"> </v>
      </c>
    </row>
    <row r="53" spans="1:14" ht="15" x14ac:dyDescent="0.25">
      <c r="A53" s="131" t="str">
        <f>IF(ISBLANK('ALL Other SINs - Proposal'!A53)," ",'ALL Other SINs - Proposal'!A53)</f>
        <v xml:space="preserve"> </v>
      </c>
      <c r="B53" s="137" t="str">
        <f>IF(ISBLANK('ALL Other SINs - Proposal'!B53)," ",'ALL Other SINs - Proposal'!B53)</f>
        <v xml:space="preserve"> </v>
      </c>
      <c r="C53" s="137" t="str">
        <f>IF(ISBLANK('ALL Other SINs - Proposal'!C53)," ",'ALL Other SINs - Proposal'!C53)</f>
        <v xml:space="preserve"> </v>
      </c>
      <c r="D53" s="138" t="str">
        <f>IF(ISBLANK('ALL Other SINs - Proposal'!D53)," ",'ALL Other SINs - Proposal'!D53)</f>
        <v xml:space="preserve"> </v>
      </c>
      <c r="E53" s="69" t="str">
        <f>IF(ISBLANK('ALL Other SINs - Proposal'!R53)," ",'ALL Other SINs - Proposal'!R53)</f>
        <v xml:space="preserve"> </v>
      </c>
      <c r="F53" s="73" t="str">
        <f>IF(ISBLANK('ALL Other SINs - Proposal'!S53)," ",'ALL Other SINs - Proposal'!S53)</f>
        <v xml:space="preserve"> </v>
      </c>
      <c r="G53" s="173" t="str">
        <f>IF(ISBLANK('ALL Other SINs - Proposal'!T53)," ",'ALL Other SINs - Proposal'!T53)</f>
        <v xml:space="preserve"> </v>
      </c>
      <c r="H53" s="275" t="str">
        <f>IF(ISBLANK('ALL Other SINs - Proposal'!V53)," ",'ALL Other SINs - Proposal'!V53)</f>
        <v xml:space="preserve"> </v>
      </c>
      <c r="I53" s="271" t="str">
        <f>IF(ISBLANK('ALL Other SINs - Proposal'!W53)," ",'ALL Other SINs - Proposal'!W53)</f>
        <v xml:space="preserve"> </v>
      </c>
      <c r="J53" s="71" t="str">
        <f>IF(ISBLANK('ALL Other SINs - Proposal'!X53)," ",'ALL Other SINs - Proposal'!X53)</f>
        <v xml:space="preserve"> </v>
      </c>
      <c r="K53" s="165" t="str">
        <f>IF(ISBLANK('ALL Other SINs - Proposal'!AA53)," ",'ALL Other SINs - Proposal'!AA53)</f>
        <v xml:space="preserve"> </v>
      </c>
      <c r="L53" s="178" t="str">
        <f>IF(ISBLANK('ALL Other SINs - Proposal'!AB53)," ",'ALL Other SINs - Proposal'!AB53)</f>
        <v xml:space="preserve"> </v>
      </c>
      <c r="M53" s="72" t="str">
        <f t="shared" si="0"/>
        <v xml:space="preserve"> </v>
      </c>
      <c r="N53" s="167" t="str">
        <f t="shared" si="1"/>
        <v xml:space="preserve"> </v>
      </c>
    </row>
    <row r="54" spans="1:14" ht="15" x14ac:dyDescent="0.25">
      <c r="A54" s="131" t="str">
        <f>IF(ISBLANK('ALL Other SINs - Proposal'!A54)," ",'ALL Other SINs - Proposal'!A54)</f>
        <v xml:space="preserve"> </v>
      </c>
      <c r="B54" s="137" t="str">
        <f>IF(ISBLANK('ALL Other SINs - Proposal'!B54)," ",'ALL Other SINs - Proposal'!B54)</f>
        <v xml:space="preserve"> </v>
      </c>
      <c r="C54" s="137" t="str">
        <f>IF(ISBLANK('ALL Other SINs - Proposal'!C54)," ",'ALL Other SINs - Proposal'!C54)</f>
        <v xml:space="preserve"> </v>
      </c>
      <c r="D54" s="138" t="str">
        <f>IF(ISBLANK('ALL Other SINs - Proposal'!D54)," ",'ALL Other SINs - Proposal'!D54)</f>
        <v xml:space="preserve"> </v>
      </c>
      <c r="E54" s="69" t="str">
        <f>IF(ISBLANK('ALL Other SINs - Proposal'!R54)," ",'ALL Other SINs - Proposal'!R54)</f>
        <v xml:space="preserve"> </v>
      </c>
      <c r="F54" s="73" t="str">
        <f>IF(ISBLANK('ALL Other SINs - Proposal'!S54)," ",'ALL Other SINs - Proposal'!S54)</f>
        <v xml:space="preserve"> </v>
      </c>
      <c r="G54" s="173" t="str">
        <f>IF(ISBLANK('ALL Other SINs - Proposal'!T54)," ",'ALL Other SINs - Proposal'!T54)</f>
        <v xml:space="preserve"> </v>
      </c>
      <c r="H54" s="275" t="str">
        <f>IF(ISBLANK('ALL Other SINs - Proposal'!V54)," ",'ALL Other SINs - Proposal'!V54)</f>
        <v xml:space="preserve"> </v>
      </c>
      <c r="I54" s="271" t="str">
        <f>IF(ISBLANK('ALL Other SINs - Proposal'!W54)," ",'ALL Other SINs - Proposal'!W54)</f>
        <v xml:space="preserve"> </v>
      </c>
      <c r="J54" s="71" t="str">
        <f>IF(ISBLANK('ALL Other SINs - Proposal'!X54)," ",'ALL Other SINs - Proposal'!X54)</f>
        <v xml:space="preserve"> </v>
      </c>
      <c r="K54" s="165" t="str">
        <f>IF(ISBLANK('ALL Other SINs - Proposal'!AA54)," ",'ALL Other SINs - Proposal'!AA54)</f>
        <v xml:space="preserve"> </v>
      </c>
      <c r="L54" s="178" t="str">
        <f>IF(ISBLANK('ALL Other SINs - Proposal'!AB54)," ",'ALL Other SINs - Proposal'!AB54)</f>
        <v xml:space="preserve"> </v>
      </c>
      <c r="M54" s="72" t="str">
        <f t="shared" si="0"/>
        <v xml:space="preserve"> </v>
      </c>
      <c r="N54" s="167" t="str">
        <f t="shared" si="1"/>
        <v xml:space="preserve"> </v>
      </c>
    </row>
    <row r="55" spans="1:14" ht="15" x14ac:dyDescent="0.25">
      <c r="A55" s="131" t="str">
        <f>IF(ISBLANK('ALL Other SINs - Proposal'!A55)," ",'ALL Other SINs - Proposal'!A55)</f>
        <v xml:space="preserve"> </v>
      </c>
      <c r="B55" s="137" t="str">
        <f>IF(ISBLANK('ALL Other SINs - Proposal'!B55)," ",'ALL Other SINs - Proposal'!B55)</f>
        <v xml:space="preserve"> </v>
      </c>
      <c r="C55" s="137" t="str">
        <f>IF(ISBLANK('ALL Other SINs - Proposal'!C55)," ",'ALL Other SINs - Proposal'!C55)</f>
        <v xml:space="preserve"> </v>
      </c>
      <c r="D55" s="138" t="str">
        <f>IF(ISBLANK('ALL Other SINs - Proposal'!D55)," ",'ALL Other SINs - Proposal'!D55)</f>
        <v xml:space="preserve"> </v>
      </c>
      <c r="E55" s="69" t="str">
        <f>IF(ISBLANK('ALL Other SINs - Proposal'!R55)," ",'ALL Other SINs - Proposal'!R55)</f>
        <v xml:space="preserve"> </v>
      </c>
      <c r="F55" s="73" t="str">
        <f>IF(ISBLANK('ALL Other SINs - Proposal'!S55)," ",'ALL Other SINs - Proposal'!S55)</f>
        <v xml:space="preserve"> </v>
      </c>
      <c r="G55" s="173" t="str">
        <f>IF(ISBLANK('ALL Other SINs - Proposal'!T55)," ",'ALL Other SINs - Proposal'!T55)</f>
        <v xml:space="preserve"> </v>
      </c>
      <c r="H55" s="275" t="str">
        <f>IF(ISBLANK('ALL Other SINs - Proposal'!V55)," ",'ALL Other SINs - Proposal'!V55)</f>
        <v xml:space="preserve"> </v>
      </c>
      <c r="I55" s="271" t="str">
        <f>IF(ISBLANK('ALL Other SINs - Proposal'!W55)," ",'ALL Other SINs - Proposal'!W55)</f>
        <v xml:space="preserve"> </v>
      </c>
      <c r="J55" s="71" t="str">
        <f>IF(ISBLANK('ALL Other SINs - Proposal'!X55)," ",'ALL Other SINs - Proposal'!X55)</f>
        <v xml:space="preserve"> </v>
      </c>
      <c r="K55" s="165" t="str">
        <f>IF(ISBLANK('ALL Other SINs - Proposal'!AA55)," ",'ALL Other SINs - Proposal'!AA55)</f>
        <v xml:space="preserve"> </v>
      </c>
      <c r="L55" s="178" t="str">
        <f>IF(ISBLANK('ALL Other SINs - Proposal'!AB55)," ",'ALL Other SINs - Proposal'!AB55)</f>
        <v xml:space="preserve"> </v>
      </c>
      <c r="M55" s="72" t="str">
        <f t="shared" si="0"/>
        <v xml:space="preserve"> </v>
      </c>
      <c r="N55" s="167" t="str">
        <f t="shared" si="1"/>
        <v xml:space="preserve"> </v>
      </c>
    </row>
    <row r="56" spans="1:14" ht="15" x14ac:dyDescent="0.25">
      <c r="A56" s="131" t="str">
        <f>IF(ISBLANK('ALL Other SINs - Proposal'!A56)," ",'ALL Other SINs - Proposal'!A56)</f>
        <v xml:space="preserve"> </v>
      </c>
      <c r="B56" s="137" t="str">
        <f>IF(ISBLANK('ALL Other SINs - Proposal'!B56)," ",'ALL Other SINs - Proposal'!B56)</f>
        <v xml:space="preserve"> </v>
      </c>
      <c r="C56" s="137" t="str">
        <f>IF(ISBLANK('ALL Other SINs - Proposal'!C56)," ",'ALL Other SINs - Proposal'!C56)</f>
        <v xml:space="preserve"> </v>
      </c>
      <c r="D56" s="138" t="str">
        <f>IF(ISBLANK('ALL Other SINs - Proposal'!D56)," ",'ALL Other SINs - Proposal'!D56)</f>
        <v xml:space="preserve"> </v>
      </c>
      <c r="E56" s="69" t="str">
        <f>IF(ISBLANK('ALL Other SINs - Proposal'!R56)," ",'ALL Other SINs - Proposal'!R56)</f>
        <v xml:space="preserve"> </v>
      </c>
      <c r="F56" s="73" t="str">
        <f>IF(ISBLANK('ALL Other SINs - Proposal'!S56)," ",'ALL Other SINs - Proposal'!S56)</f>
        <v xml:space="preserve"> </v>
      </c>
      <c r="G56" s="173" t="str">
        <f>IF(ISBLANK('ALL Other SINs - Proposal'!T56)," ",'ALL Other SINs - Proposal'!T56)</f>
        <v xml:space="preserve"> </v>
      </c>
      <c r="H56" s="275" t="str">
        <f>IF(ISBLANK('ALL Other SINs - Proposal'!V56)," ",'ALL Other SINs - Proposal'!V56)</f>
        <v xml:space="preserve"> </v>
      </c>
      <c r="I56" s="271" t="str">
        <f>IF(ISBLANK('ALL Other SINs - Proposal'!W56)," ",'ALL Other SINs - Proposal'!W56)</f>
        <v xml:space="preserve"> </v>
      </c>
      <c r="J56" s="71" t="str">
        <f>IF(ISBLANK('ALL Other SINs - Proposal'!X56)," ",'ALL Other SINs - Proposal'!X56)</f>
        <v xml:space="preserve"> </v>
      </c>
      <c r="K56" s="165" t="str">
        <f>IF(ISBLANK('ALL Other SINs - Proposal'!AA56)," ",'ALL Other SINs - Proposal'!AA56)</f>
        <v xml:space="preserve"> </v>
      </c>
      <c r="L56" s="178" t="str">
        <f>IF(ISBLANK('ALL Other SINs - Proposal'!AB56)," ",'ALL Other SINs - Proposal'!AB56)</f>
        <v xml:space="preserve"> </v>
      </c>
      <c r="M56" s="72" t="str">
        <f t="shared" si="0"/>
        <v xml:space="preserve"> </v>
      </c>
      <c r="N56" s="167" t="str">
        <f t="shared" si="1"/>
        <v xml:space="preserve"> </v>
      </c>
    </row>
    <row r="57" spans="1:14" ht="15" x14ac:dyDescent="0.25">
      <c r="A57" s="131" t="str">
        <f>IF(ISBLANK('ALL Other SINs - Proposal'!A57)," ",'ALL Other SINs - Proposal'!A57)</f>
        <v xml:space="preserve"> </v>
      </c>
      <c r="B57" s="137" t="str">
        <f>IF(ISBLANK('ALL Other SINs - Proposal'!B57)," ",'ALL Other SINs - Proposal'!B57)</f>
        <v xml:space="preserve"> </v>
      </c>
      <c r="C57" s="137" t="str">
        <f>IF(ISBLANK('ALL Other SINs - Proposal'!C57)," ",'ALL Other SINs - Proposal'!C57)</f>
        <v xml:space="preserve"> </v>
      </c>
      <c r="D57" s="138" t="str">
        <f>IF(ISBLANK('ALL Other SINs - Proposal'!D57)," ",'ALL Other SINs - Proposal'!D57)</f>
        <v xml:space="preserve"> </v>
      </c>
      <c r="E57" s="69" t="str">
        <f>IF(ISBLANK('ALL Other SINs - Proposal'!R57)," ",'ALL Other SINs - Proposal'!R57)</f>
        <v xml:space="preserve"> </v>
      </c>
      <c r="F57" s="73" t="str">
        <f>IF(ISBLANK('ALL Other SINs - Proposal'!S57)," ",'ALL Other SINs - Proposal'!S57)</f>
        <v xml:space="preserve"> </v>
      </c>
      <c r="G57" s="173" t="str">
        <f>IF(ISBLANK('ALL Other SINs - Proposal'!T57)," ",'ALL Other SINs - Proposal'!T57)</f>
        <v xml:space="preserve"> </v>
      </c>
      <c r="H57" s="275" t="str">
        <f>IF(ISBLANK('ALL Other SINs - Proposal'!V57)," ",'ALL Other SINs - Proposal'!V57)</f>
        <v xml:space="preserve"> </v>
      </c>
      <c r="I57" s="271" t="str">
        <f>IF(ISBLANK('ALL Other SINs - Proposal'!W57)," ",'ALL Other SINs - Proposal'!W57)</f>
        <v xml:space="preserve"> </v>
      </c>
      <c r="J57" s="71" t="str">
        <f>IF(ISBLANK('ALL Other SINs - Proposal'!X57)," ",'ALL Other SINs - Proposal'!X57)</f>
        <v xml:space="preserve"> </v>
      </c>
      <c r="K57" s="165" t="str">
        <f>IF(ISBLANK('ALL Other SINs - Proposal'!AA57)," ",'ALL Other SINs - Proposal'!AA57)</f>
        <v xml:space="preserve"> </v>
      </c>
      <c r="L57" s="178" t="str">
        <f>IF(ISBLANK('ALL Other SINs - Proposal'!AB57)," ",'ALL Other SINs - Proposal'!AB57)</f>
        <v xml:space="preserve"> </v>
      </c>
      <c r="M57" s="72" t="str">
        <f t="shared" si="0"/>
        <v xml:space="preserve"> </v>
      </c>
      <c r="N57" s="167" t="str">
        <f t="shared" si="1"/>
        <v xml:space="preserve"> </v>
      </c>
    </row>
    <row r="58" spans="1:14" ht="15" x14ac:dyDescent="0.25">
      <c r="A58" s="131" t="str">
        <f>IF(ISBLANK('ALL Other SINs - Proposal'!A58)," ",'ALL Other SINs - Proposal'!A58)</f>
        <v xml:space="preserve"> </v>
      </c>
      <c r="B58" s="137" t="str">
        <f>IF(ISBLANK('ALL Other SINs - Proposal'!B58)," ",'ALL Other SINs - Proposal'!B58)</f>
        <v xml:space="preserve"> </v>
      </c>
      <c r="C58" s="137" t="str">
        <f>IF(ISBLANK('ALL Other SINs - Proposal'!C58)," ",'ALL Other SINs - Proposal'!C58)</f>
        <v xml:space="preserve"> </v>
      </c>
      <c r="D58" s="138" t="str">
        <f>IF(ISBLANK('ALL Other SINs - Proposal'!D58)," ",'ALL Other SINs - Proposal'!D58)</f>
        <v xml:space="preserve"> </v>
      </c>
      <c r="E58" s="69" t="str">
        <f>IF(ISBLANK('ALL Other SINs - Proposal'!R58)," ",'ALL Other SINs - Proposal'!R58)</f>
        <v xml:space="preserve"> </v>
      </c>
      <c r="F58" s="73" t="str">
        <f>IF(ISBLANK('ALL Other SINs - Proposal'!S58)," ",'ALL Other SINs - Proposal'!S58)</f>
        <v xml:space="preserve"> </v>
      </c>
      <c r="G58" s="173" t="str">
        <f>IF(ISBLANK('ALL Other SINs - Proposal'!T58)," ",'ALL Other SINs - Proposal'!T58)</f>
        <v xml:space="preserve"> </v>
      </c>
      <c r="H58" s="275" t="str">
        <f>IF(ISBLANK('ALL Other SINs - Proposal'!V58)," ",'ALL Other SINs - Proposal'!V58)</f>
        <v xml:space="preserve"> </v>
      </c>
      <c r="I58" s="271" t="str">
        <f>IF(ISBLANK('ALL Other SINs - Proposal'!W58)," ",'ALL Other SINs - Proposal'!W58)</f>
        <v xml:space="preserve"> </v>
      </c>
      <c r="J58" s="71" t="str">
        <f>IF(ISBLANK('ALL Other SINs - Proposal'!X58)," ",'ALL Other SINs - Proposal'!X58)</f>
        <v xml:space="preserve"> </v>
      </c>
      <c r="K58" s="165" t="str">
        <f>IF(ISBLANK('ALL Other SINs - Proposal'!AA58)," ",'ALL Other SINs - Proposal'!AA58)</f>
        <v xml:space="preserve"> </v>
      </c>
      <c r="L58" s="178" t="str">
        <f>IF(ISBLANK('ALL Other SINs - Proposal'!AB58)," ",'ALL Other SINs - Proposal'!AB58)</f>
        <v xml:space="preserve"> </v>
      </c>
      <c r="M58" s="72" t="str">
        <f t="shared" si="0"/>
        <v xml:space="preserve"> </v>
      </c>
      <c r="N58" s="167" t="str">
        <f t="shared" si="1"/>
        <v xml:space="preserve"> </v>
      </c>
    </row>
    <row r="59" spans="1:14" ht="15" x14ac:dyDescent="0.25">
      <c r="A59" s="131" t="str">
        <f>IF(ISBLANK('ALL Other SINs - Proposal'!A59)," ",'ALL Other SINs - Proposal'!A59)</f>
        <v xml:space="preserve"> </v>
      </c>
      <c r="B59" s="137" t="str">
        <f>IF(ISBLANK('ALL Other SINs - Proposal'!B59)," ",'ALL Other SINs - Proposal'!B59)</f>
        <v xml:space="preserve"> </v>
      </c>
      <c r="C59" s="137" t="str">
        <f>IF(ISBLANK('ALL Other SINs - Proposal'!C59)," ",'ALL Other SINs - Proposal'!C59)</f>
        <v xml:space="preserve"> </v>
      </c>
      <c r="D59" s="138" t="str">
        <f>IF(ISBLANK('ALL Other SINs - Proposal'!D59)," ",'ALL Other SINs - Proposal'!D59)</f>
        <v xml:space="preserve"> </v>
      </c>
      <c r="E59" s="69" t="str">
        <f>IF(ISBLANK('ALL Other SINs - Proposal'!R59)," ",'ALL Other SINs - Proposal'!R59)</f>
        <v xml:space="preserve"> </v>
      </c>
      <c r="F59" s="73" t="str">
        <f>IF(ISBLANK('ALL Other SINs - Proposal'!S59)," ",'ALL Other SINs - Proposal'!S59)</f>
        <v xml:space="preserve"> </v>
      </c>
      <c r="G59" s="173" t="str">
        <f>IF(ISBLANK('ALL Other SINs - Proposal'!T59)," ",'ALL Other SINs - Proposal'!T59)</f>
        <v xml:space="preserve"> </v>
      </c>
      <c r="H59" s="275" t="str">
        <f>IF(ISBLANK('ALL Other SINs - Proposal'!V59)," ",'ALL Other SINs - Proposal'!V59)</f>
        <v xml:space="preserve"> </v>
      </c>
      <c r="I59" s="271" t="str">
        <f>IF(ISBLANK('ALL Other SINs - Proposal'!W59)," ",'ALL Other SINs - Proposal'!W59)</f>
        <v xml:space="preserve"> </v>
      </c>
      <c r="J59" s="71" t="str">
        <f>IF(ISBLANK('ALL Other SINs - Proposal'!X59)," ",'ALL Other SINs - Proposal'!X59)</f>
        <v xml:space="preserve"> </v>
      </c>
      <c r="K59" s="165" t="str">
        <f>IF(ISBLANK('ALL Other SINs - Proposal'!AA59)," ",'ALL Other SINs - Proposal'!AA59)</f>
        <v xml:space="preserve"> </v>
      </c>
      <c r="L59" s="178" t="str">
        <f>IF(ISBLANK('ALL Other SINs - Proposal'!AB59)," ",'ALL Other SINs - Proposal'!AB59)</f>
        <v xml:space="preserve"> </v>
      </c>
      <c r="M59" s="72" t="str">
        <f t="shared" si="0"/>
        <v xml:space="preserve"> </v>
      </c>
      <c r="N59" s="167" t="str">
        <f t="shared" si="1"/>
        <v xml:space="preserve"> </v>
      </c>
    </row>
    <row r="60" spans="1:14" ht="15" x14ac:dyDescent="0.25">
      <c r="A60" s="131" t="str">
        <f>IF(ISBLANK('ALL Other SINs - Proposal'!A60)," ",'ALL Other SINs - Proposal'!A60)</f>
        <v xml:space="preserve"> </v>
      </c>
      <c r="B60" s="137" t="str">
        <f>IF(ISBLANK('ALL Other SINs - Proposal'!B60)," ",'ALL Other SINs - Proposal'!B60)</f>
        <v xml:space="preserve"> </v>
      </c>
      <c r="C60" s="137" t="str">
        <f>IF(ISBLANK('ALL Other SINs - Proposal'!C60)," ",'ALL Other SINs - Proposal'!C60)</f>
        <v xml:space="preserve"> </v>
      </c>
      <c r="D60" s="138" t="str">
        <f>IF(ISBLANK('ALL Other SINs - Proposal'!D60)," ",'ALL Other SINs - Proposal'!D60)</f>
        <v xml:space="preserve"> </v>
      </c>
      <c r="E60" s="69" t="str">
        <f>IF(ISBLANK('ALL Other SINs - Proposal'!R60)," ",'ALL Other SINs - Proposal'!R60)</f>
        <v xml:space="preserve"> </v>
      </c>
      <c r="F60" s="73" t="str">
        <f>IF(ISBLANK('ALL Other SINs - Proposal'!S60)," ",'ALL Other SINs - Proposal'!S60)</f>
        <v xml:space="preserve"> </v>
      </c>
      <c r="G60" s="173" t="str">
        <f>IF(ISBLANK('ALL Other SINs - Proposal'!T60)," ",'ALL Other SINs - Proposal'!T60)</f>
        <v xml:space="preserve"> </v>
      </c>
      <c r="H60" s="275" t="str">
        <f>IF(ISBLANK('ALL Other SINs - Proposal'!V60)," ",'ALL Other SINs - Proposal'!V60)</f>
        <v xml:space="preserve"> </v>
      </c>
      <c r="I60" s="271" t="str">
        <f>IF(ISBLANK('ALL Other SINs - Proposal'!W60)," ",'ALL Other SINs - Proposal'!W60)</f>
        <v xml:space="preserve"> </v>
      </c>
      <c r="J60" s="71" t="str">
        <f>IF(ISBLANK('ALL Other SINs - Proposal'!X60)," ",'ALL Other SINs - Proposal'!X60)</f>
        <v xml:space="preserve"> </v>
      </c>
      <c r="K60" s="165" t="str">
        <f>IF(ISBLANK('ALL Other SINs - Proposal'!AA60)," ",'ALL Other SINs - Proposal'!AA60)</f>
        <v xml:space="preserve"> </v>
      </c>
      <c r="L60" s="178" t="str">
        <f>IF(ISBLANK('ALL Other SINs - Proposal'!AB60)," ",'ALL Other SINs - Proposal'!AB60)</f>
        <v xml:space="preserve"> </v>
      </c>
      <c r="M60" s="72" t="str">
        <f t="shared" si="0"/>
        <v xml:space="preserve"> </v>
      </c>
      <c r="N60" s="167" t="str">
        <f t="shared" si="1"/>
        <v xml:space="preserve"> </v>
      </c>
    </row>
    <row r="61" spans="1:14" ht="15" x14ac:dyDescent="0.25">
      <c r="A61" s="131" t="str">
        <f>IF(ISBLANK('ALL Other SINs - Proposal'!A61)," ",'ALL Other SINs - Proposal'!A61)</f>
        <v xml:space="preserve"> </v>
      </c>
      <c r="B61" s="137" t="str">
        <f>IF(ISBLANK('ALL Other SINs - Proposal'!B61)," ",'ALL Other SINs - Proposal'!B61)</f>
        <v xml:space="preserve"> </v>
      </c>
      <c r="C61" s="137" t="str">
        <f>IF(ISBLANK('ALL Other SINs - Proposal'!C61)," ",'ALL Other SINs - Proposal'!C61)</f>
        <v xml:space="preserve"> </v>
      </c>
      <c r="D61" s="138" t="str">
        <f>IF(ISBLANK('ALL Other SINs - Proposal'!D61)," ",'ALL Other SINs - Proposal'!D61)</f>
        <v xml:space="preserve"> </v>
      </c>
      <c r="E61" s="69" t="str">
        <f>IF(ISBLANK('ALL Other SINs - Proposal'!R61)," ",'ALL Other SINs - Proposal'!R61)</f>
        <v xml:space="preserve"> </v>
      </c>
      <c r="F61" s="73" t="str">
        <f>IF(ISBLANK('ALL Other SINs - Proposal'!S61)," ",'ALL Other SINs - Proposal'!S61)</f>
        <v xml:space="preserve"> </v>
      </c>
      <c r="G61" s="173" t="str">
        <f>IF(ISBLANK('ALL Other SINs - Proposal'!T61)," ",'ALL Other SINs - Proposal'!T61)</f>
        <v xml:space="preserve"> </v>
      </c>
      <c r="H61" s="275" t="str">
        <f>IF(ISBLANK('ALL Other SINs - Proposal'!V61)," ",'ALL Other SINs - Proposal'!V61)</f>
        <v xml:space="preserve"> </v>
      </c>
      <c r="I61" s="271" t="str">
        <f>IF(ISBLANK('ALL Other SINs - Proposal'!W61)," ",'ALL Other SINs - Proposal'!W61)</f>
        <v xml:space="preserve"> </v>
      </c>
      <c r="J61" s="71" t="str">
        <f>IF(ISBLANK('ALL Other SINs - Proposal'!X61)," ",'ALL Other SINs - Proposal'!X61)</f>
        <v xml:space="preserve"> </v>
      </c>
      <c r="K61" s="165" t="str">
        <f>IF(ISBLANK('ALL Other SINs - Proposal'!AA61)," ",'ALL Other SINs - Proposal'!AA61)</f>
        <v xml:space="preserve"> </v>
      </c>
      <c r="L61" s="178" t="str">
        <f>IF(ISBLANK('ALL Other SINs - Proposal'!AB61)," ",'ALL Other SINs - Proposal'!AB61)</f>
        <v xml:space="preserve"> </v>
      </c>
      <c r="M61" s="72" t="str">
        <f t="shared" si="0"/>
        <v xml:space="preserve"> </v>
      </c>
      <c r="N61" s="167" t="str">
        <f t="shared" si="1"/>
        <v xml:space="preserve"> </v>
      </c>
    </row>
    <row r="62" spans="1:14" ht="15" x14ac:dyDescent="0.25">
      <c r="A62" s="131" t="str">
        <f>IF(ISBLANK('ALL Other SINs - Proposal'!A62)," ",'ALL Other SINs - Proposal'!A62)</f>
        <v xml:space="preserve"> </v>
      </c>
      <c r="B62" s="137" t="str">
        <f>IF(ISBLANK('ALL Other SINs - Proposal'!B62)," ",'ALL Other SINs - Proposal'!B62)</f>
        <v xml:space="preserve"> </v>
      </c>
      <c r="C62" s="137" t="str">
        <f>IF(ISBLANK('ALL Other SINs - Proposal'!C62)," ",'ALL Other SINs - Proposal'!C62)</f>
        <v xml:space="preserve"> </v>
      </c>
      <c r="D62" s="138" t="str">
        <f>IF(ISBLANK('ALL Other SINs - Proposal'!D62)," ",'ALL Other SINs - Proposal'!D62)</f>
        <v xml:space="preserve"> </v>
      </c>
      <c r="E62" s="69" t="str">
        <f>IF(ISBLANK('ALL Other SINs - Proposal'!R62)," ",'ALL Other SINs - Proposal'!R62)</f>
        <v xml:space="preserve"> </v>
      </c>
      <c r="F62" s="73" t="str">
        <f>IF(ISBLANK('ALL Other SINs - Proposal'!S62)," ",'ALL Other SINs - Proposal'!S62)</f>
        <v xml:space="preserve"> </v>
      </c>
      <c r="G62" s="173" t="str">
        <f>IF(ISBLANK('ALL Other SINs - Proposal'!T62)," ",'ALL Other SINs - Proposal'!T62)</f>
        <v xml:space="preserve"> </v>
      </c>
      <c r="H62" s="275" t="str">
        <f>IF(ISBLANK('ALL Other SINs - Proposal'!V62)," ",'ALL Other SINs - Proposal'!V62)</f>
        <v xml:space="preserve"> </v>
      </c>
      <c r="I62" s="271" t="str">
        <f>IF(ISBLANK('ALL Other SINs - Proposal'!W62)," ",'ALL Other SINs - Proposal'!W62)</f>
        <v xml:space="preserve"> </v>
      </c>
      <c r="J62" s="71" t="str">
        <f>IF(ISBLANK('ALL Other SINs - Proposal'!X62)," ",'ALL Other SINs - Proposal'!X62)</f>
        <v xml:space="preserve"> </v>
      </c>
      <c r="K62" s="165" t="str">
        <f>IF(ISBLANK('ALL Other SINs - Proposal'!AA62)," ",'ALL Other SINs - Proposal'!AA62)</f>
        <v xml:space="preserve"> </v>
      </c>
      <c r="L62" s="178" t="str">
        <f>IF(ISBLANK('ALL Other SINs - Proposal'!AB62)," ",'ALL Other SINs - Proposal'!AB62)</f>
        <v xml:space="preserve"> </v>
      </c>
      <c r="M62" s="72" t="str">
        <f t="shared" si="0"/>
        <v xml:space="preserve"> </v>
      </c>
      <c r="N62" s="167" t="str">
        <f t="shared" si="1"/>
        <v xml:space="preserve"> </v>
      </c>
    </row>
    <row r="63" spans="1:14" ht="15" x14ac:dyDescent="0.25">
      <c r="A63" s="131" t="str">
        <f>IF(ISBLANK('ALL Other SINs - Proposal'!A63)," ",'ALL Other SINs - Proposal'!A63)</f>
        <v xml:space="preserve"> </v>
      </c>
      <c r="B63" s="137" t="str">
        <f>IF(ISBLANK('ALL Other SINs - Proposal'!B63)," ",'ALL Other SINs - Proposal'!B63)</f>
        <v xml:space="preserve"> </v>
      </c>
      <c r="C63" s="137" t="str">
        <f>IF(ISBLANK('ALL Other SINs - Proposal'!C63)," ",'ALL Other SINs - Proposal'!C63)</f>
        <v xml:space="preserve"> </v>
      </c>
      <c r="D63" s="138" t="str">
        <f>IF(ISBLANK('ALL Other SINs - Proposal'!D63)," ",'ALL Other SINs - Proposal'!D63)</f>
        <v xml:space="preserve"> </v>
      </c>
      <c r="E63" s="69" t="str">
        <f>IF(ISBLANK('ALL Other SINs - Proposal'!R63)," ",'ALL Other SINs - Proposal'!R63)</f>
        <v xml:space="preserve"> </v>
      </c>
      <c r="F63" s="73" t="str">
        <f>IF(ISBLANK('ALL Other SINs - Proposal'!S63)," ",'ALL Other SINs - Proposal'!S63)</f>
        <v xml:space="preserve"> </v>
      </c>
      <c r="G63" s="173" t="str">
        <f>IF(ISBLANK('ALL Other SINs - Proposal'!T63)," ",'ALL Other SINs - Proposal'!T63)</f>
        <v xml:space="preserve"> </v>
      </c>
      <c r="H63" s="275" t="str">
        <f>IF(ISBLANK('ALL Other SINs - Proposal'!V63)," ",'ALL Other SINs - Proposal'!V63)</f>
        <v xml:space="preserve"> </v>
      </c>
      <c r="I63" s="271" t="str">
        <f>IF(ISBLANK('ALL Other SINs - Proposal'!W63)," ",'ALL Other SINs - Proposal'!W63)</f>
        <v xml:space="preserve"> </v>
      </c>
      <c r="J63" s="71" t="str">
        <f>IF(ISBLANK('ALL Other SINs - Proposal'!X63)," ",'ALL Other SINs - Proposal'!X63)</f>
        <v xml:space="preserve"> </v>
      </c>
      <c r="K63" s="165" t="str">
        <f>IF(ISBLANK('ALL Other SINs - Proposal'!AA63)," ",'ALL Other SINs - Proposal'!AA63)</f>
        <v xml:space="preserve"> </v>
      </c>
      <c r="L63" s="178" t="str">
        <f>IF(ISBLANK('ALL Other SINs - Proposal'!AB63)," ",'ALL Other SINs - Proposal'!AB63)</f>
        <v xml:space="preserve"> </v>
      </c>
      <c r="M63" s="72" t="str">
        <f t="shared" si="0"/>
        <v xml:space="preserve"> </v>
      </c>
      <c r="N63" s="167" t="str">
        <f t="shared" si="1"/>
        <v xml:space="preserve"> </v>
      </c>
    </row>
    <row r="64" spans="1:14" ht="15" x14ac:dyDescent="0.25">
      <c r="A64" s="131" t="str">
        <f>IF(ISBLANK('ALL Other SINs - Proposal'!A64)," ",'ALL Other SINs - Proposal'!A64)</f>
        <v xml:space="preserve"> </v>
      </c>
      <c r="B64" s="137" t="str">
        <f>IF(ISBLANK('ALL Other SINs - Proposal'!B64)," ",'ALL Other SINs - Proposal'!B64)</f>
        <v xml:space="preserve"> </v>
      </c>
      <c r="C64" s="137" t="str">
        <f>IF(ISBLANK('ALL Other SINs - Proposal'!C64)," ",'ALL Other SINs - Proposal'!C64)</f>
        <v xml:space="preserve"> </v>
      </c>
      <c r="D64" s="138" t="str">
        <f>IF(ISBLANK('ALL Other SINs - Proposal'!D64)," ",'ALL Other SINs - Proposal'!D64)</f>
        <v xml:space="preserve"> </v>
      </c>
      <c r="E64" s="69" t="str">
        <f>IF(ISBLANK('ALL Other SINs - Proposal'!R64)," ",'ALL Other SINs - Proposal'!R64)</f>
        <v xml:space="preserve"> </v>
      </c>
      <c r="F64" s="73" t="str">
        <f>IF(ISBLANK('ALL Other SINs - Proposal'!S64)," ",'ALL Other SINs - Proposal'!S64)</f>
        <v xml:space="preserve"> </v>
      </c>
      <c r="G64" s="173" t="str">
        <f>IF(ISBLANK('ALL Other SINs - Proposal'!T64)," ",'ALL Other SINs - Proposal'!T64)</f>
        <v xml:space="preserve"> </v>
      </c>
      <c r="H64" s="275" t="str">
        <f>IF(ISBLANK('ALL Other SINs - Proposal'!V64)," ",'ALL Other SINs - Proposal'!V64)</f>
        <v xml:space="preserve"> </v>
      </c>
      <c r="I64" s="271" t="str">
        <f>IF(ISBLANK('ALL Other SINs - Proposal'!W64)," ",'ALL Other SINs - Proposal'!W64)</f>
        <v xml:space="preserve"> </v>
      </c>
      <c r="J64" s="71" t="str">
        <f>IF(ISBLANK('ALL Other SINs - Proposal'!X64)," ",'ALL Other SINs - Proposal'!X64)</f>
        <v xml:space="preserve"> </v>
      </c>
      <c r="K64" s="165" t="str">
        <f>IF(ISBLANK('ALL Other SINs - Proposal'!AA64)," ",'ALL Other SINs - Proposal'!AA64)</f>
        <v xml:space="preserve"> </v>
      </c>
      <c r="L64" s="178" t="str">
        <f>IF(ISBLANK('ALL Other SINs - Proposal'!AB64)," ",'ALL Other SINs - Proposal'!AB64)</f>
        <v xml:space="preserve"> </v>
      </c>
      <c r="M64" s="72" t="str">
        <f t="shared" si="0"/>
        <v xml:space="preserve"> </v>
      </c>
      <c r="N64" s="167" t="str">
        <f t="shared" si="1"/>
        <v xml:space="preserve"> </v>
      </c>
    </row>
    <row r="65" spans="1:14" ht="15" x14ac:dyDescent="0.25">
      <c r="A65" s="131" t="str">
        <f>IF(ISBLANK('ALL Other SINs - Proposal'!A65)," ",'ALL Other SINs - Proposal'!A65)</f>
        <v xml:space="preserve"> </v>
      </c>
      <c r="B65" s="137" t="str">
        <f>IF(ISBLANK('ALL Other SINs - Proposal'!B65)," ",'ALL Other SINs - Proposal'!B65)</f>
        <v xml:space="preserve"> </v>
      </c>
      <c r="C65" s="137" t="str">
        <f>IF(ISBLANK('ALL Other SINs - Proposal'!C65)," ",'ALL Other SINs - Proposal'!C65)</f>
        <v xml:space="preserve"> </v>
      </c>
      <c r="D65" s="138" t="str">
        <f>IF(ISBLANK('ALL Other SINs - Proposal'!D65)," ",'ALL Other SINs - Proposal'!D65)</f>
        <v xml:space="preserve"> </v>
      </c>
      <c r="E65" s="69" t="str">
        <f>IF(ISBLANK('ALL Other SINs - Proposal'!R65)," ",'ALL Other SINs - Proposal'!R65)</f>
        <v xml:space="preserve"> </v>
      </c>
      <c r="F65" s="73" t="str">
        <f>IF(ISBLANK('ALL Other SINs - Proposal'!S65)," ",'ALL Other SINs - Proposal'!S65)</f>
        <v xml:space="preserve"> </v>
      </c>
      <c r="G65" s="173" t="str">
        <f>IF(ISBLANK('ALL Other SINs - Proposal'!T65)," ",'ALL Other SINs - Proposal'!T65)</f>
        <v xml:space="preserve"> </v>
      </c>
      <c r="H65" s="275" t="str">
        <f>IF(ISBLANK('ALL Other SINs - Proposal'!V65)," ",'ALL Other SINs - Proposal'!V65)</f>
        <v xml:space="preserve"> </v>
      </c>
      <c r="I65" s="271" t="str">
        <f>IF(ISBLANK('ALL Other SINs - Proposal'!W65)," ",'ALL Other SINs - Proposal'!W65)</f>
        <v xml:space="preserve"> </v>
      </c>
      <c r="J65" s="71" t="str">
        <f>IF(ISBLANK('ALL Other SINs - Proposal'!X65)," ",'ALL Other SINs - Proposal'!X65)</f>
        <v xml:space="preserve"> </v>
      </c>
      <c r="K65" s="165" t="str">
        <f>IF(ISBLANK('ALL Other SINs - Proposal'!AA65)," ",'ALL Other SINs - Proposal'!AA65)</f>
        <v xml:space="preserve"> </v>
      </c>
      <c r="L65" s="178" t="str">
        <f>IF(ISBLANK('ALL Other SINs - Proposal'!AB65)," ",'ALL Other SINs - Proposal'!AB65)</f>
        <v xml:space="preserve"> </v>
      </c>
      <c r="M65" s="72" t="str">
        <f t="shared" si="0"/>
        <v xml:space="preserve"> </v>
      </c>
      <c r="N65" s="167" t="str">
        <f t="shared" si="1"/>
        <v xml:space="preserve"> </v>
      </c>
    </row>
    <row r="66" spans="1:14" ht="15" x14ac:dyDescent="0.25">
      <c r="A66" s="131" t="str">
        <f>IF(ISBLANK('ALL Other SINs - Proposal'!A66)," ",'ALL Other SINs - Proposal'!A66)</f>
        <v xml:space="preserve"> </v>
      </c>
      <c r="B66" s="137" t="str">
        <f>IF(ISBLANK('ALL Other SINs - Proposal'!B66)," ",'ALL Other SINs - Proposal'!B66)</f>
        <v xml:space="preserve"> </v>
      </c>
      <c r="C66" s="137" t="str">
        <f>IF(ISBLANK('ALL Other SINs - Proposal'!C66)," ",'ALL Other SINs - Proposal'!C66)</f>
        <v xml:space="preserve"> </v>
      </c>
      <c r="D66" s="138" t="str">
        <f>IF(ISBLANK('ALL Other SINs - Proposal'!D66)," ",'ALL Other SINs - Proposal'!D66)</f>
        <v xml:space="preserve"> </v>
      </c>
      <c r="E66" s="69" t="str">
        <f>IF(ISBLANK('ALL Other SINs - Proposal'!R66)," ",'ALL Other SINs - Proposal'!R66)</f>
        <v xml:space="preserve"> </v>
      </c>
      <c r="F66" s="73" t="str">
        <f>IF(ISBLANK('ALL Other SINs - Proposal'!S66)," ",'ALL Other SINs - Proposal'!S66)</f>
        <v xml:space="preserve"> </v>
      </c>
      <c r="G66" s="173" t="str">
        <f>IF(ISBLANK('ALL Other SINs - Proposal'!T66)," ",'ALL Other SINs - Proposal'!T66)</f>
        <v xml:space="preserve"> </v>
      </c>
      <c r="H66" s="275" t="str">
        <f>IF(ISBLANK('ALL Other SINs - Proposal'!V66)," ",'ALL Other SINs - Proposal'!V66)</f>
        <v xml:space="preserve"> </v>
      </c>
      <c r="I66" s="271" t="str">
        <f>IF(ISBLANK('ALL Other SINs - Proposal'!W66)," ",'ALL Other SINs - Proposal'!W66)</f>
        <v xml:space="preserve"> </v>
      </c>
      <c r="J66" s="71" t="str">
        <f>IF(ISBLANK('ALL Other SINs - Proposal'!X66)," ",'ALL Other SINs - Proposal'!X66)</f>
        <v xml:space="preserve"> </v>
      </c>
      <c r="K66" s="165" t="str">
        <f>IF(ISBLANK('ALL Other SINs - Proposal'!AA66)," ",'ALL Other SINs - Proposal'!AA66)</f>
        <v xml:space="preserve"> </v>
      </c>
      <c r="L66" s="178" t="str">
        <f>IF(ISBLANK('ALL Other SINs - Proposal'!AB66)," ",'ALL Other SINs - Proposal'!AB66)</f>
        <v xml:space="preserve"> </v>
      </c>
      <c r="M66" s="72" t="str">
        <f t="shared" si="0"/>
        <v xml:space="preserve"> </v>
      </c>
      <c r="N66" s="167" t="str">
        <f t="shared" si="1"/>
        <v xml:space="preserve"> </v>
      </c>
    </row>
    <row r="67" spans="1:14" ht="15" x14ac:dyDescent="0.25">
      <c r="A67" s="131" t="str">
        <f>IF(ISBLANK('ALL Other SINs - Proposal'!A67)," ",'ALL Other SINs - Proposal'!A67)</f>
        <v xml:space="preserve"> </v>
      </c>
      <c r="B67" s="137" t="str">
        <f>IF(ISBLANK('ALL Other SINs - Proposal'!B67)," ",'ALL Other SINs - Proposal'!B67)</f>
        <v xml:space="preserve"> </v>
      </c>
      <c r="C67" s="137" t="str">
        <f>IF(ISBLANK('ALL Other SINs - Proposal'!C67)," ",'ALL Other SINs - Proposal'!C67)</f>
        <v xml:space="preserve"> </v>
      </c>
      <c r="D67" s="138" t="str">
        <f>IF(ISBLANK('ALL Other SINs - Proposal'!D67)," ",'ALL Other SINs - Proposal'!D67)</f>
        <v xml:space="preserve"> </v>
      </c>
      <c r="E67" s="69" t="str">
        <f>IF(ISBLANK('ALL Other SINs - Proposal'!R67)," ",'ALL Other SINs - Proposal'!R67)</f>
        <v xml:space="preserve"> </v>
      </c>
      <c r="F67" s="73" t="str">
        <f>IF(ISBLANK('ALL Other SINs - Proposal'!S67)," ",'ALL Other SINs - Proposal'!S67)</f>
        <v xml:space="preserve"> </v>
      </c>
      <c r="G67" s="173" t="str">
        <f>IF(ISBLANK('ALL Other SINs - Proposal'!T67)," ",'ALL Other SINs - Proposal'!T67)</f>
        <v xml:space="preserve"> </v>
      </c>
      <c r="H67" s="275" t="str">
        <f>IF(ISBLANK('ALL Other SINs - Proposal'!V67)," ",'ALL Other SINs - Proposal'!V67)</f>
        <v xml:space="preserve"> </v>
      </c>
      <c r="I67" s="271" t="str">
        <f>IF(ISBLANK('ALL Other SINs - Proposal'!W67)," ",'ALL Other SINs - Proposal'!W67)</f>
        <v xml:space="preserve"> </v>
      </c>
      <c r="J67" s="71" t="str">
        <f>IF(ISBLANK('ALL Other SINs - Proposal'!X67)," ",'ALL Other SINs - Proposal'!X67)</f>
        <v xml:space="preserve"> </v>
      </c>
      <c r="K67" s="165" t="str">
        <f>IF(ISBLANK('ALL Other SINs - Proposal'!AA67)," ",'ALL Other SINs - Proposal'!AA67)</f>
        <v xml:space="preserve"> </v>
      </c>
      <c r="L67" s="178" t="str">
        <f>IF(ISBLANK('ALL Other SINs - Proposal'!AB67)," ",'ALL Other SINs - Proposal'!AB67)</f>
        <v xml:space="preserve"> </v>
      </c>
      <c r="M67" s="72" t="str">
        <f t="shared" ref="M67:M130" si="2">IFERROR(IF((ROUND(K67,2))&lt;=(ROUND(F67,2)),"YES","NO")," ")</f>
        <v xml:space="preserve"> </v>
      </c>
      <c r="N67" s="167" t="str">
        <f t="shared" ref="N67:N130" si="3">IFERROR(IF(ISBLANK(K67)," ",(ROUND(K67,2))/(ROUND(I67,2)))," ")</f>
        <v xml:space="preserve"> </v>
      </c>
    </row>
    <row r="68" spans="1:14" ht="15" x14ac:dyDescent="0.25">
      <c r="A68" s="131" t="str">
        <f>IF(ISBLANK('ALL Other SINs - Proposal'!A68)," ",'ALL Other SINs - Proposal'!A68)</f>
        <v xml:space="preserve"> </v>
      </c>
      <c r="B68" s="137" t="str">
        <f>IF(ISBLANK('ALL Other SINs - Proposal'!B68)," ",'ALL Other SINs - Proposal'!B68)</f>
        <v xml:space="preserve"> </v>
      </c>
      <c r="C68" s="137" t="str">
        <f>IF(ISBLANK('ALL Other SINs - Proposal'!C68)," ",'ALL Other SINs - Proposal'!C68)</f>
        <v xml:space="preserve"> </v>
      </c>
      <c r="D68" s="138" t="str">
        <f>IF(ISBLANK('ALL Other SINs - Proposal'!D68)," ",'ALL Other SINs - Proposal'!D68)</f>
        <v xml:space="preserve"> </v>
      </c>
      <c r="E68" s="69" t="str">
        <f>IF(ISBLANK('ALL Other SINs - Proposal'!R68)," ",'ALL Other SINs - Proposal'!R68)</f>
        <v xml:space="preserve"> </v>
      </c>
      <c r="F68" s="73" t="str">
        <f>IF(ISBLANK('ALL Other SINs - Proposal'!S68)," ",'ALL Other SINs - Proposal'!S68)</f>
        <v xml:space="preserve"> </v>
      </c>
      <c r="G68" s="173" t="str">
        <f>IF(ISBLANK('ALL Other SINs - Proposal'!T68)," ",'ALL Other SINs - Proposal'!T68)</f>
        <v xml:space="preserve"> </v>
      </c>
      <c r="H68" s="275" t="str">
        <f>IF(ISBLANK('ALL Other SINs - Proposal'!V68)," ",'ALL Other SINs - Proposal'!V68)</f>
        <v xml:space="preserve"> </v>
      </c>
      <c r="I68" s="271" t="str">
        <f>IF(ISBLANK('ALL Other SINs - Proposal'!W68)," ",'ALL Other SINs - Proposal'!W68)</f>
        <v xml:space="preserve"> </v>
      </c>
      <c r="J68" s="71" t="str">
        <f>IF(ISBLANK('ALL Other SINs - Proposal'!X68)," ",'ALL Other SINs - Proposal'!X68)</f>
        <v xml:space="preserve"> </v>
      </c>
      <c r="K68" s="165" t="str">
        <f>IF(ISBLANK('ALL Other SINs - Proposal'!AA68)," ",'ALL Other SINs - Proposal'!AA68)</f>
        <v xml:space="preserve"> </v>
      </c>
      <c r="L68" s="178" t="str">
        <f>IF(ISBLANK('ALL Other SINs - Proposal'!AB68)," ",'ALL Other SINs - Proposal'!AB68)</f>
        <v xml:space="preserve"> </v>
      </c>
      <c r="M68" s="72" t="str">
        <f t="shared" si="2"/>
        <v xml:space="preserve"> </v>
      </c>
      <c r="N68" s="167" t="str">
        <f t="shared" si="3"/>
        <v xml:space="preserve"> </v>
      </c>
    </row>
    <row r="69" spans="1:14" ht="15" x14ac:dyDescent="0.25">
      <c r="A69" s="131" t="str">
        <f>IF(ISBLANK('ALL Other SINs - Proposal'!A69)," ",'ALL Other SINs - Proposal'!A69)</f>
        <v xml:space="preserve"> </v>
      </c>
      <c r="B69" s="137" t="str">
        <f>IF(ISBLANK('ALL Other SINs - Proposal'!B69)," ",'ALL Other SINs - Proposal'!B69)</f>
        <v xml:space="preserve"> </v>
      </c>
      <c r="C69" s="137" t="str">
        <f>IF(ISBLANK('ALL Other SINs - Proposal'!C69)," ",'ALL Other SINs - Proposal'!C69)</f>
        <v xml:space="preserve"> </v>
      </c>
      <c r="D69" s="138" t="str">
        <f>IF(ISBLANK('ALL Other SINs - Proposal'!D69)," ",'ALL Other SINs - Proposal'!D69)</f>
        <v xml:space="preserve"> </v>
      </c>
      <c r="E69" s="69" t="str">
        <f>IF(ISBLANK('ALL Other SINs - Proposal'!R69)," ",'ALL Other SINs - Proposal'!R69)</f>
        <v xml:space="preserve"> </v>
      </c>
      <c r="F69" s="73" t="str">
        <f>IF(ISBLANK('ALL Other SINs - Proposal'!S69)," ",'ALL Other SINs - Proposal'!S69)</f>
        <v xml:space="preserve"> </v>
      </c>
      <c r="G69" s="173" t="str">
        <f>IF(ISBLANK('ALL Other SINs - Proposal'!T69)," ",'ALL Other SINs - Proposal'!T69)</f>
        <v xml:space="preserve"> </v>
      </c>
      <c r="H69" s="275" t="str">
        <f>IF(ISBLANK('ALL Other SINs - Proposal'!V69)," ",'ALL Other SINs - Proposal'!V69)</f>
        <v xml:space="preserve"> </v>
      </c>
      <c r="I69" s="271" t="str">
        <f>IF(ISBLANK('ALL Other SINs - Proposal'!W69)," ",'ALL Other SINs - Proposal'!W69)</f>
        <v xml:space="preserve"> </v>
      </c>
      <c r="J69" s="71" t="str">
        <f>IF(ISBLANK('ALL Other SINs - Proposal'!X69)," ",'ALL Other SINs - Proposal'!X69)</f>
        <v xml:space="preserve"> </v>
      </c>
      <c r="K69" s="165" t="str">
        <f>IF(ISBLANK('ALL Other SINs - Proposal'!AA69)," ",'ALL Other SINs - Proposal'!AA69)</f>
        <v xml:space="preserve"> </v>
      </c>
      <c r="L69" s="178" t="str">
        <f>IF(ISBLANK('ALL Other SINs - Proposal'!AB69)," ",'ALL Other SINs - Proposal'!AB69)</f>
        <v xml:space="preserve"> </v>
      </c>
      <c r="M69" s="72" t="str">
        <f t="shared" si="2"/>
        <v xml:space="preserve"> </v>
      </c>
      <c r="N69" s="167" t="str">
        <f t="shared" si="3"/>
        <v xml:space="preserve"> </v>
      </c>
    </row>
    <row r="70" spans="1:14" ht="15" x14ac:dyDescent="0.25">
      <c r="A70" s="131" t="str">
        <f>IF(ISBLANK('ALL Other SINs - Proposal'!A70)," ",'ALL Other SINs - Proposal'!A70)</f>
        <v xml:space="preserve"> </v>
      </c>
      <c r="B70" s="137" t="str">
        <f>IF(ISBLANK('ALL Other SINs - Proposal'!B70)," ",'ALL Other SINs - Proposal'!B70)</f>
        <v xml:space="preserve"> </v>
      </c>
      <c r="C70" s="137" t="str">
        <f>IF(ISBLANK('ALL Other SINs - Proposal'!C70)," ",'ALL Other SINs - Proposal'!C70)</f>
        <v xml:space="preserve"> </v>
      </c>
      <c r="D70" s="138" t="str">
        <f>IF(ISBLANK('ALL Other SINs - Proposal'!D70)," ",'ALL Other SINs - Proposal'!D70)</f>
        <v xml:space="preserve"> </v>
      </c>
      <c r="E70" s="69" t="str">
        <f>IF(ISBLANK('ALL Other SINs - Proposal'!R70)," ",'ALL Other SINs - Proposal'!R70)</f>
        <v xml:space="preserve"> </v>
      </c>
      <c r="F70" s="73" t="str">
        <f>IF(ISBLANK('ALL Other SINs - Proposal'!S70)," ",'ALL Other SINs - Proposal'!S70)</f>
        <v xml:space="preserve"> </v>
      </c>
      <c r="G70" s="173" t="str">
        <f>IF(ISBLANK('ALL Other SINs - Proposal'!T70)," ",'ALL Other SINs - Proposal'!T70)</f>
        <v xml:space="preserve"> </v>
      </c>
      <c r="H70" s="275" t="str">
        <f>IF(ISBLANK('ALL Other SINs - Proposal'!V70)," ",'ALL Other SINs - Proposal'!V70)</f>
        <v xml:space="preserve"> </v>
      </c>
      <c r="I70" s="271" t="str">
        <f>IF(ISBLANK('ALL Other SINs - Proposal'!W70)," ",'ALL Other SINs - Proposal'!W70)</f>
        <v xml:space="preserve"> </v>
      </c>
      <c r="J70" s="71" t="str">
        <f>IF(ISBLANK('ALL Other SINs - Proposal'!X70)," ",'ALL Other SINs - Proposal'!X70)</f>
        <v xml:space="preserve"> </v>
      </c>
      <c r="K70" s="165" t="str">
        <f>IF(ISBLANK('ALL Other SINs - Proposal'!AA70)," ",'ALL Other SINs - Proposal'!AA70)</f>
        <v xml:space="preserve"> </v>
      </c>
      <c r="L70" s="178" t="str">
        <f>IF(ISBLANK('ALL Other SINs - Proposal'!AB70)," ",'ALL Other SINs - Proposal'!AB70)</f>
        <v xml:space="preserve"> </v>
      </c>
      <c r="M70" s="72" t="str">
        <f t="shared" si="2"/>
        <v xml:space="preserve"> </v>
      </c>
      <c r="N70" s="167" t="str">
        <f t="shared" si="3"/>
        <v xml:space="preserve"> </v>
      </c>
    </row>
    <row r="71" spans="1:14" ht="15" x14ac:dyDescent="0.25">
      <c r="A71" s="131" t="str">
        <f>IF(ISBLANK('ALL Other SINs - Proposal'!A71)," ",'ALL Other SINs - Proposal'!A71)</f>
        <v xml:space="preserve"> </v>
      </c>
      <c r="B71" s="137" t="str">
        <f>IF(ISBLANK('ALL Other SINs - Proposal'!B71)," ",'ALL Other SINs - Proposal'!B71)</f>
        <v xml:space="preserve"> </v>
      </c>
      <c r="C71" s="137" t="str">
        <f>IF(ISBLANK('ALL Other SINs - Proposal'!C71)," ",'ALL Other SINs - Proposal'!C71)</f>
        <v xml:space="preserve"> </v>
      </c>
      <c r="D71" s="138" t="str">
        <f>IF(ISBLANK('ALL Other SINs - Proposal'!D71)," ",'ALL Other SINs - Proposal'!D71)</f>
        <v xml:space="preserve"> </v>
      </c>
      <c r="E71" s="69" t="str">
        <f>IF(ISBLANK('ALL Other SINs - Proposal'!R71)," ",'ALL Other SINs - Proposal'!R71)</f>
        <v xml:space="preserve"> </v>
      </c>
      <c r="F71" s="73" t="str">
        <f>IF(ISBLANK('ALL Other SINs - Proposal'!S71)," ",'ALL Other SINs - Proposal'!S71)</f>
        <v xml:space="preserve"> </v>
      </c>
      <c r="G71" s="173" t="str">
        <f>IF(ISBLANK('ALL Other SINs - Proposal'!T71)," ",'ALL Other SINs - Proposal'!T71)</f>
        <v xml:space="preserve"> </v>
      </c>
      <c r="H71" s="275" t="str">
        <f>IF(ISBLANK('ALL Other SINs - Proposal'!V71)," ",'ALL Other SINs - Proposal'!V71)</f>
        <v xml:space="preserve"> </v>
      </c>
      <c r="I71" s="271" t="str">
        <f>IF(ISBLANK('ALL Other SINs - Proposal'!W71)," ",'ALL Other SINs - Proposal'!W71)</f>
        <v xml:space="preserve"> </v>
      </c>
      <c r="J71" s="71" t="str">
        <f>IF(ISBLANK('ALL Other SINs - Proposal'!X71)," ",'ALL Other SINs - Proposal'!X71)</f>
        <v xml:space="preserve"> </v>
      </c>
      <c r="K71" s="165" t="str">
        <f>IF(ISBLANK('ALL Other SINs - Proposal'!AA71)," ",'ALL Other SINs - Proposal'!AA71)</f>
        <v xml:space="preserve"> </v>
      </c>
      <c r="L71" s="178" t="str">
        <f>IF(ISBLANK('ALL Other SINs - Proposal'!AB71)," ",'ALL Other SINs - Proposal'!AB71)</f>
        <v xml:space="preserve"> </v>
      </c>
      <c r="M71" s="72" t="str">
        <f t="shared" si="2"/>
        <v xml:space="preserve"> </v>
      </c>
      <c r="N71" s="167" t="str">
        <f t="shared" si="3"/>
        <v xml:space="preserve"> </v>
      </c>
    </row>
    <row r="72" spans="1:14" ht="15" x14ac:dyDescent="0.25">
      <c r="A72" s="131" t="str">
        <f>IF(ISBLANK('ALL Other SINs - Proposal'!A72)," ",'ALL Other SINs - Proposal'!A72)</f>
        <v xml:space="preserve"> </v>
      </c>
      <c r="B72" s="137" t="str">
        <f>IF(ISBLANK('ALL Other SINs - Proposal'!B72)," ",'ALL Other SINs - Proposal'!B72)</f>
        <v xml:space="preserve"> </v>
      </c>
      <c r="C72" s="137" t="str">
        <f>IF(ISBLANK('ALL Other SINs - Proposal'!C72)," ",'ALL Other SINs - Proposal'!C72)</f>
        <v xml:space="preserve"> </v>
      </c>
      <c r="D72" s="138" t="str">
        <f>IF(ISBLANK('ALL Other SINs - Proposal'!D72)," ",'ALL Other SINs - Proposal'!D72)</f>
        <v xml:space="preserve"> </v>
      </c>
      <c r="E72" s="69" t="str">
        <f>IF(ISBLANK('ALL Other SINs - Proposal'!R72)," ",'ALL Other SINs - Proposal'!R72)</f>
        <v xml:space="preserve"> </v>
      </c>
      <c r="F72" s="73" t="str">
        <f>IF(ISBLANK('ALL Other SINs - Proposal'!S72)," ",'ALL Other SINs - Proposal'!S72)</f>
        <v xml:space="preserve"> </v>
      </c>
      <c r="G72" s="173" t="str">
        <f>IF(ISBLANK('ALL Other SINs - Proposal'!T72)," ",'ALL Other SINs - Proposal'!T72)</f>
        <v xml:space="preserve"> </v>
      </c>
      <c r="H72" s="275" t="str">
        <f>IF(ISBLANK('ALL Other SINs - Proposal'!V72)," ",'ALL Other SINs - Proposal'!V72)</f>
        <v xml:space="preserve"> </v>
      </c>
      <c r="I72" s="271" t="str">
        <f>IF(ISBLANK('ALL Other SINs - Proposal'!W72)," ",'ALL Other SINs - Proposal'!W72)</f>
        <v xml:space="preserve"> </v>
      </c>
      <c r="J72" s="71" t="str">
        <f>IF(ISBLANK('ALL Other SINs - Proposal'!X72)," ",'ALL Other SINs - Proposal'!X72)</f>
        <v xml:space="preserve"> </v>
      </c>
      <c r="K72" s="165" t="str">
        <f>IF(ISBLANK('ALL Other SINs - Proposal'!AA72)," ",'ALL Other SINs - Proposal'!AA72)</f>
        <v xml:space="preserve"> </v>
      </c>
      <c r="L72" s="178" t="str">
        <f>IF(ISBLANK('ALL Other SINs - Proposal'!AB72)," ",'ALL Other SINs - Proposal'!AB72)</f>
        <v xml:space="preserve"> </v>
      </c>
      <c r="M72" s="72" t="str">
        <f t="shared" si="2"/>
        <v xml:space="preserve"> </v>
      </c>
      <c r="N72" s="167" t="str">
        <f t="shared" si="3"/>
        <v xml:space="preserve"> </v>
      </c>
    </row>
    <row r="73" spans="1:14" ht="15" x14ac:dyDescent="0.25">
      <c r="A73" s="131" t="str">
        <f>IF(ISBLANK('ALL Other SINs - Proposal'!A73)," ",'ALL Other SINs - Proposal'!A73)</f>
        <v xml:space="preserve"> </v>
      </c>
      <c r="B73" s="137" t="str">
        <f>IF(ISBLANK('ALL Other SINs - Proposal'!B73)," ",'ALL Other SINs - Proposal'!B73)</f>
        <v xml:space="preserve"> </v>
      </c>
      <c r="C73" s="137" t="str">
        <f>IF(ISBLANK('ALL Other SINs - Proposal'!C73)," ",'ALL Other SINs - Proposal'!C73)</f>
        <v xml:space="preserve"> </v>
      </c>
      <c r="D73" s="138" t="str">
        <f>IF(ISBLANK('ALL Other SINs - Proposal'!D73)," ",'ALL Other SINs - Proposal'!D73)</f>
        <v xml:space="preserve"> </v>
      </c>
      <c r="E73" s="69" t="str">
        <f>IF(ISBLANK('ALL Other SINs - Proposal'!R73)," ",'ALL Other SINs - Proposal'!R73)</f>
        <v xml:space="preserve"> </v>
      </c>
      <c r="F73" s="73" t="str">
        <f>IF(ISBLANK('ALL Other SINs - Proposal'!S73)," ",'ALL Other SINs - Proposal'!S73)</f>
        <v xml:space="preserve"> </v>
      </c>
      <c r="G73" s="173" t="str">
        <f>IF(ISBLANK('ALL Other SINs - Proposal'!T73)," ",'ALL Other SINs - Proposal'!T73)</f>
        <v xml:space="preserve"> </v>
      </c>
      <c r="H73" s="275" t="str">
        <f>IF(ISBLANK('ALL Other SINs - Proposal'!V73)," ",'ALL Other SINs - Proposal'!V73)</f>
        <v xml:space="preserve"> </v>
      </c>
      <c r="I73" s="271" t="str">
        <f>IF(ISBLANK('ALL Other SINs - Proposal'!W73)," ",'ALL Other SINs - Proposal'!W73)</f>
        <v xml:space="preserve"> </v>
      </c>
      <c r="J73" s="71" t="str">
        <f>IF(ISBLANK('ALL Other SINs - Proposal'!X73)," ",'ALL Other SINs - Proposal'!X73)</f>
        <v xml:space="preserve"> </v>
      </c>
      <c r="K73" s="165" t="str">
        <f>IF(ISBLANK('ALL Other SINs - Proposal'!AA73)," ",'ALL Other SINs - Proposal'!AA73)</f>
        <v xml:space="preserve"> </v>
      </c>
      <c r="L73" s="178" t="str">
        <f>IF(ISBLANK('ALL Other SINs - Proposal'!AB73)," ",'ALL Other SINs - Proposal'!AB73)</f>
        <v xml:space="preserve"> </v>
      </c>
      <c r="M73" s="72" t="str">
        <f t="shared" si="2"/>
        <v xml:space="preserve"> </v>
      </c>
      <c r="N73" s="167" t="str">
        <f t="shared" si="3"/>
        <v xml:space="preserve"> </v>
      </c>
    </row>
    <row r="74" spans="1:14" ht="15" x14ac:dyDescent="0.25">
      <c r="A74" s="131" t="str">
        <f>IF(ISBLANK('ALL Other SINs - Proposal'!A74)," ",'ALL Other SINs - Proposal'!A74)</f>
        <v xml:space="preserve"> </v>
      </c>
      <c r="B74" s="137" t="str">
        <f>IF(ISBLANK('ALL Other SINs - Proposal'!B74)," ",'ALL Other SINs - Proposal'!B74)</f>
        <v xml:space="preserve"> </v>
      </c>
      <c r="C74" s="137" t="str">
        <f>IF(ISBLANK('ALL Other SINs - Proposal'!C74)," ",'ALL Other SINs - Proposal'!C74)</f>
        <v xml:space="preserve"> </v>
      </c>
      <c r="D74" s="138" t="str">
        <f>IF(ISBLANK('ALL Other SINs - Proposal'!D74)," ",'ALL Other SINs - Proposal'!D74)</f>
        <v xml:space="preserve"> </v>
      </c>
      <c r="E74" s="69" t="str">
        <f>IF(ISBLANK('ALL Other SINs - Proposal'!R74)," ",'ALL Other SINs - Proposal'!R74)</f>
        <v xml:space="preserve"> </v>
      </c>
      <c r="F74" s="73" t="str">
        <f>IF(ISBLANK('ALL Other SINs - Proposal'!S74)," ",'ALL Other SINs - Proposal'!S74)</f>
        <v xml:space="preserve"> </v>
      </c>
      <c r="G74" s="173" t="str">
        <f>IF(ISBLANK('ALL Other SINs - Proposal'!T74)," ",'ALL Other SINs - Proposal'!T74)</f>
        <v xml:space="preserve"> </v>
      </c>
      <c r="H74" s="275" t="str">
        <f>IF(ISBLANK('ALL Other SINs - Proposal'!V74)," ",'ALL Other SINs - Proposal'!V74)</f>
        <v xml:space="preserve"> </v>
      </c>
      <c r="I74" s="271" t="str">
        <f>IF(ISBLANK('ALL Other SINs - Proposal'!W74)," ",'ALL Other SINs - Proposal'!W74)</f>
        <v xml:space="preserve"> </v>
      </c>
      <c r="J74" s="71" t="str">
        <f>IF(ISBLANK('ALL Other SINs - Proposal'!X74)," ",'ALL Other SINs - Proposal'!X74)</f>
        <v xml:space="preserve"> </v>
      </c>
      <c r="K74" s="165" t="str">
        <f>IF(ISBLANK('ALL Other SINs - Proposal'!AA74)," ",'ALL Other SINs - Proposal'!AA74)</f>
        <v xml:space="preserve"> </v>
      </c>
      <c r="L74" s="178" t="str">
        <f>IF(ISBLANK('ALL Other SINs - Proposal'!AB74)," ",'ALL Other SINs - Proposal'!AB74)</f>
        <v xml:space="preserve"> </v>
      </c>
      <c r="M74" s="72" t="str">
        <f t="shared" si="2"/>
        <v xml:space="preserve"> </v>
      </c>
      <c r="N74" s="167" t="str">
        <f t="shared" si="3"/>
        <v xml:space="preserve"> </v>
      </c>
    </row>
    <row r="75" spans="1:14" ht="15" x14ac:dyDescent="0.25">
      <c r="A75" s="131" t="str">
        <f>IF(ISBLANK('ALL Other SINs - Proposal'!A75)," ",'ALL Other SINs - Proposal'!A75)</f>
        <v xml:space="preserve"> </v>
      </c>
      <c r="B75" s="137" t="str">
        <f>IF(ISBLANK('ALL Other SINs - Proposal'!B75)," ",'ALL Other SINs - Proposal'!B75)</f>
        <v xml:space="preserve"> </v>
      </c>
      <c r="C75" s="137" t="str">
        <f>IF(ISBLANK('ALL Other SINs - Proposal'!C75)," ",'ALL Other SINs - Proposal'!C75)</f>
        <v xml:space="preserve"> </v>
      </c>
      <c r="D75" s="138" t="str">
        <f>IF(ISBLANK('ALL Other SINs - Proposal'!D75)," ",'ALL Other SINs - Proposal'!D75)</f>
        <v xml:space="preserve"> </v>
      </c>
      <c r="E75" s="69" t="str">
        <f>IF(ISBLANK('ALL Other SINs - Proposal'!R75)," ",'ALL Other SINs - Proposal'!R75)</f>
        <v xml:space="preserve"> </v>
      </c>
      <c r="F75" s="73" t="str">
        <f>IF(ISBLANK('ALL Other SINs - Proposal'!S75)," ",'ALL Other SINs - Proposal'!S75)</f>
        <v xml:space="preserve"> </v>
      </c>
      <c r="G75" s="173" t="str">
        <f>IF(ISBLANK('ALL Other SINs - Proposal'!T75)," ",'ALL Other SINs - Proposal'!T75)</f>
        <v xml:space="preserve"> </v>
      </c>
      <c r="H75" s="275" t="str">
        <f>IF(ISBLANK('ALL Other SINs - Proposal'!V75)," ",'ALL Other SINs - Proposal'!V75)</f>
        <v xml:space="preserve"> </v>
      </c>
      <c r="I75" s="271" t="str">
        <f>IF(ISBLANK('ALL Other SINs - Proposal'!W75)," ",'ALL Other SINs - Proposal'!W75)</f>
        <v xml:space="preserve"> </v>
      </c>
      <c r="J75" s="71" t="str">
        <f>IF(ISBLANK('ALL Other SINs - Proposal'!X75)," ",'ALL Other SINs - Proposal'!X75)</f>
        <v xml:space="preserve"> </v>
      </c>
      <c r="K75" s="165" t="str">
        <f>IF(ISBLANK('ALL Other SINs - Proposal'!AA75)," ",'ALL Other SINs - Proposal'!AA75)</f>
        <v xml:space="preserve"> </v>
      </c>
      <c r="L75" s="178" t="str">
        <f>IF(ISBLANK('ALL Other SINs - Proposal'!AB75)," ",'ALL Other SINs - Proposal'!AB75)</f>
        <v xml:space="preserve"> </v>
      </c>
      <c r="M75" s="72" t="str">
        <f t="shared" si="2"/>
        <v xml:space="preserve"> </v>
      </c>
      <c r="N75" s="167" t="str">
        <f t="shared" si="3"/>
        <v xml:space="preserve"> </v>
      </c>
    </row>
    <row r="76" spans="1:14" ht="15" x14ac:dyDescent="0.25">
      <c r="A76" s="131" t="str">
        <f>IF(ISBLANK('ALL Other SINs - Proposal'!A76)," ",'ALL Other SINs - Proposal'!A76)</f>
        <v xml:space="preserve"> </v>
      </c>
      <c r="B76" s="137" t="str">
        <f>IF(ISBLANK('ALL Other SINs - Proposal'!B76)," ",'ALL Other SINs - Proposal'!B76)</f>
        <v xml:space="preserve"> </v>
      </c>
      <c r="C76" s="137" t="str">
        <f>IF(ISBLANK('ALL Other SINs - Proposal'!C76)," ",'ALL Other SINs - Proposal'!C76)</f>
        <v xml:space="preserve"> </v>
      </c>
      <c r="D76" s="138" t="str">
        <f>IF(ISBLANK('ALL Other SINs - Proposal'!D76)," ",'ALL Other SINs - Proposal'!D76)</f>
        <v xml:space="preserve"> </v>
      </c>
      <c r="E76" s="69" t="str">
        <f>IF(ISBLANK('ALL Other SINs - Proposal'!R76)," ",'ALL Other SINs - Proposal'!R76)</f>
        <v xml:space="preserve"> </v>
      </c>
      <c r="F76" s="73" t="str">
        <f>IF(ISBLANK('ALL Other SINs - Proposal'!S76)," ",'ALL Other SINs - Proposal'!S76)</f>
        <v xml:space="preserve"> </v>
      </c>
      <c r="G76" s="173" t="str">
        <f>IF(ISBLANK('ALL Other SINs - Proposal'!T76)," ",'ALL Other SINs - Proposal'!T76)</f>
        <v xml:space="preserve"> </v>
      </c>
      <c r="H76" s="275" t="str">
        <f>IF(ISBLANK('ALL Other SINs - Proposal'!V76)," ",'ALL Other SINs - Proposal'!V76)</f>
        <v xml:space="preserve"> </v>
      </c>
      <c r="I76" s="271" t="str">
        <f>IF(ISBLANK('ALL Other SINs - Proposal'!W76)," ",'ALL Other SINs - Proposal'!W76)</f>
        <v xml:space="preserve"> </v>
      </c>
      <c r="J76" s="71" t="str">
        <f>IF(ISBLANK('ALL Other SINs - Proposal'!X76)," ",'ALL Other SINs - Proposal'!X76)</f>
        <v xml:space="preserve"> </v>
      </c>
      <c r="K76" s="165" t="str">
        <f>IF(ISBLANK('ALL Other SINs - Proposal'!AA76)," ",'ALL Other SINs - Proposal'!AA76)</f>
        <v xml:space="preserve"> </v>
      </c>
      <c r="L76" s="178" t="str">
        <f>IF(ISBLANK('ALL Other SINs - Proposal'!AB76)," ",'ALL Other SINs - Proposal'!AB76)</f>
        <v xml:space="preserve"> </v>
      </c>
      <c r="M76" s="72" t="str">
        <f t="shared" si="2"/>
        <v xml:space="preserve"> </v>
      </c>
      <c r="N76" s="167" t="str">
        <f t="shared" si="3"/>
        <v xml:space="preserve"> </v>
      </c>
    </row>
    <row r="77" spans="1:14" ht="15" x14ac:dyDescent="0.25">
      <c r="A77" s="131" t="str">
        <f>IF(ISBLANK('ALL Other SINs - Proposal'!A77)," ",'ALL Other SINs - Proposal'!A77)</f>
        <v xml:space="preserve"> </v>
      </c>
      <c r="B77" s="137" t="str">
        <f>IF(ISBLANK('ALL Other SINs - Proposal'!B77)," ",'ALL Other SINs - Proposal'!B77)</f>
        <v xml:space="preserve"> </v>
      </c>
      <c r="C77" s="137" t="str">
        <f>IF(ISBLANK('ALL Other SINs - Proposal'!C77)," ",'ALL Other SINs - Proposal'!C77)</f>
        <v xml:space="preserve"> </v>
      </c>
      <c r="D77" s="138" t="str">
        <f>IF(ISBLANK('ALL Other SINs - Proposal'!D77)," ",'ALL Other SINs - Proposal'!D77)</f>
        <v xml:space="preserve"> </v>
      </c>
      <c r="E77" s="69" t="str">
        <f>IF(ISBLANK('ALL Other SINs - Proposal'!R77)," ",'ALL Other SINs - Proposal'!R77)</f>
        <v xml:space="preserve"> </v>
      </c>
      <c r="F77" s="73" t="str">
        <f>IF(ISBLANK('ALL Other SINs - Proposal'!S77)," ",'ALL Other SINs - Proposal'!S77)</f>
        <v xml:space="preserve"> </v>
      </c>
      <c r="G77" s="173" t="str">
        <f>IF(ISBLANK('ALL Other SINs - Proposal'!T77)," ",'ALL Other SINs - Proposal'!T77)</f>
        <v xml:space="preserve"> </v>
      </c>
      <c r="H77" s="275" t="str">
        <f>IF(ISBLANK('ALL Other SINs - Proposal'!V77)," ",'ALL Other SINs - Proposal'!V77)</f>
        <v xml:space="preserve"> </v>
      </c>
      <c r="I77" s="271" t="str">
        <f>IF(ISBLANK('ALL Other SINs - Proposal'!W77)," ",'ALL Other SINs - Proposal'!W77)</f>
        <v xml:space="preserve"> </v>
      </c>
      <c r="J77" s="71" t="str">
        <f>IF(ISBLANK('ALL Other SINs - Proposal'!X77)," ",'ALL Other SINs - Proposal'!X77)</f>
        <v xml:space="preserve"> </v>
      </c>
      <c r="K77" s="165" t="str">
        <f>IF(ISBLANK('ALL Other SINs - Proposal'!AA77)," ",'ALL Other SINs - Proposal'!AA77)</f>
        <v xml:space="preserve"> </v>
      </c>
      <c r="L77" s="178" t="str">
        <f>IF(ISBLANK('ALL Other SINs - Proposal'!AB77)," ",'ALL Other SINs - Proposal'!AB77)</f>
        <v xml:space="preserve"> </v>
      </c>
      <c r="M77" s="72" t="str">
        <f t="shared" si="2"/>
        <v xml:space="preserve"> </v>
      </c>
      <c r="N77" s="167" t="str">
        <f t="shared" si="3"/>
        <v xml:space="preserve"> </v>
      </c>
    </row>
    <row r="78" spans="1:14" ht="15" x14ac:dyDescent="0.25">
      <c r="A78" s="131" t="str">
        <f>IF(ISBLANK('ALL Other SINs - Proposal'!A78)," ",'ALL Other SINs - Proposal'!A78)</f>
        <v xml:space="preserve"> </v>
      </c>
      <c r="B78" s="137" t="str">
        <f>IF(ISBLANK('ALL Other SINs - Proposal'!B78)," ",'ALL Other SINs - Proposal'!B78)</f>
        <v xml:space="preserve"> </v>
      </c>
      <c r="C78" s="137" t="str">
        <f>IF(ISBLANK('ALL Other SINs - Proposal'!C78)," ",'ALL Other SINs - Proposal'!C78)</f>
        <v xml:space="preserve"> </v>
      </c>
      <c r="D78" s="138" t="str">
        <f>IF(ISBLANK('ALL Other SINs - Proposal'!D78)," ",'ALL Other SINs - Proposal'!D78)</f>
        <v xml:space="preserve"> </v>
      </c>
      <c r="E78" s="69" t="str">
        <f>IF(ISBLANK('ALL Other SINs - Proposal'!R78)," ",'ALL Other SINs - Proposal'!R78)</f>
        <v xml:space="preserve"> </v>
      </c>
      <c r="F78" s="73" t="str">
        <f>IF(ISBLANK('ALL Other SINs - Proposal'!S78)," ",'ALL Other SINs - Proposal'!S78)</f>
        <v xml:space="preserve"> </v>
      </c>
      <c r="G78" s="173" t="str">
        <f>IF(ISBLANK('ALL Other SINs - Proposal'!T78)," ",'ALL Other SINs - Proposal'!T78)</f>
        <v xml:space="preserve"> </v>
      </c>
      <c r="H78" s="275" t="str">
        <f>IF(ISBLANK('ALL Other SINs - Proposal'!V78)," ",'ALL Other SINs - Proposal'!V78)</f>
        <v xml:space="preserve"> </v>
      </c>
      <c r="I78" s="271" t="str">
        <f>IF(ISBLANK('ALL Other SINs - Proposal'!W78)," ",'ALL Other SINs - Proposal'!W78)</f>
        <v xml:space="preserve"> </v>
      </c>
      <c r="J78" s="71" t="str">
        <f>IF(ISBLANK('ALL Other SINs - Proposal'!X78)," ",'ALL Other SINs - Proposal'!X78)</f>
        <v xml:space="preserve"> </v>
      </c>
      <c r="K78" s="165" t="str">
        <f>IF(ISBLANK('ALL Other SINs - Proposal'!AA78)," ",'ALL Other SINs - Proposal'!AA78)</f>
        <v xml:space="preserve"> </v>
      </c>
      <c r="L78" s="178" t="str">
        <f>IF(ISBLANK('ALL Other SINs - Proposal'!AB78)," ",'ALL Other SINs - Proposal'!AB78)</f>
        <v xml:space="preserve"> </v>
      </c>
      <c r="M78" s="72" t="str">
        <f t="shared" si="2"/>
        <v xml:space="preserve"> </v>
      </c>
      <c r="N78" s="167" t="str">
        <f t="shared" si="3"/>
        <v xml:space="preserve"> </v>
      </c>
    </row>
    <row r="79" spans="1:14" ht="15" x14ac:dyDescent="0.25">
      <c r="A79" s="131" t="str">
        <f>IF(ISBLANK('ALL Other SINs - Proposal'!A79)," ",'ALL Other SINs - Proposal'!A79)</f>
        <v xml:space="preserve"> </v>
      </c>
      <c r="B79" s="137" t="str">
        <f>IF(ISBLANK('ALL Other SINs - Proposal'!B79)," ",'ALL Other SINs - Proposal'!B79)</f>
        <v xml:space="preserve"> </v>
      </c>
      <c r="C79" s="137" t="str">
        <f>IF(ISBLANK('ALL Other SINs - Proposal'!C79)," ",'ALL Other SINs - Proposal'!C79)</f>
        <v xml:space="preserve"> </v>
      </c>
      <c r="D79" s="138" t="str">
        <f>IF(ISBLANK('ALL Other SINs - Proposal'!D79)," ",'ALL Other SINs - Proposal'!D79)</f>
        <v xml:space="preserve"> </v>
      </c>
      <c r="E79" s="69" t="str">
        <f>IF(ISBLANK('ALL Other SINs - Proposal'!R79)," ",'ALL Other SINs - Proposal'!R79)</f>
        <v xml:space="preserve"> </v>
      </c>
      <c r="F79" s="73" t="str">
        <f>IF(ISBLANK('ALL Other SINs - Proposal'!S79)," ",'ALL Other SINs - Proposal'!S79)</f>
        <v xml:space="preserve"> </v>
      </c>
      <c r="G79" s="173" t="str">
        <f>IF(ISBLANK('ALL Other SINs - Proposal'!T79)," ",'ALL Other SINs - Proposal'!T79)</f>
        <v xml:space="preserve"> </v>
      </c>
      <c r="H79" s="275" t="str">
        <f>IF(ISBLANK('ALL Other SINs - Proposal'!V79)," ",'ALL Other SINs - Proposal'!V79)</f>
        <v xml:space="preserve"> </v>
      </c>
      <c r="I79" s="271" t="str">
        <f>IF(ISBLANK('ALL Other SINs - Proposal'!W79)," ",'ALL Other SINs - Proposal'!W79)</f>
        <v xml:space="preserve"> </v>
      </c>
      <c r="J79" s="71" t="str">
        <f>IF(ISBLANK('ALL Other SINs - Proposal'!X79)," ",'ALL Other SINs - Proposal'!X79)</f>
        <v xml:space="preserve"> </v>
      </c>
      <c r="K79" s="165" t="str">
        <f>IF(ISBLANK('ALL Other SINs - Proposal'!AA79)," ",'ALL Other SINs - Proposal'!AA79)</f>
        <v xml:space="preserve"> </v>
      </c>
      <c r="L79" s="178" t="str">
        <f>IF(ISBLANK('ALL Other SINs - Proposal'!AB79)," ",'ALL Other SINs - Proposal'!AB79)</f>
        <v xml:space="preserve"> </v>
      </c>
      <c r="M79" s="72" t="str">
        <f t="shared" si="2"/>
        <v xml:space="preserve"> </v>
      </c>
      <c r="N79" s="167" t="str">
        <f t="shared" si="3"/>
        <v xml:space="preserve"> </v>
      </c>
    </row>
    <row r="80" spans="1:14" ht="15" x14ac:dyDescent="0.25">
      <c r="A80" s="131" t="str">
        <f>IF(ISBLANK('ALL Other SINs - Proposal'!A80)," ",'ALL Other SINs - Proposal'!A80)</f>
        <v xml:space="preserve"> </v>
      </c>
      <c r="B80" s="137" t="str">
        <f>IF(ISBLANK('ALL Other SINs - Proposal'!B80)," ",'ALL Other SINs - Proposal'!B80)</f>
        <v xml:space="preserve"> </v>
      </c>
      <c r="C80" s="137" t="str">
        <f>IF(ISBLANK('ALL Other SINs - Proposal'!C80)," ",'ALL Other SINs - Proposal'!C80)</f>
        <v xml:space="preserve"> </v>
      </c>
      <c r="D80" s="138" t="str">
        <f>IF(ISBLANK('ALL Other SINs - Proposal'!D80)," ",'ALL Other SINs - Proposal'!D80)</f>
        <v xml:space="preserve"> </v>
      </c>
      <c r="E80" s="69" t="str">
        <f>IF(ISBLANK('ALL Other SINs - Proposal'!R80)," ",'ALL Other SINs - Proposal'!R80)</f>
        <v xml:space="preserve"> </v>
      </c>
      <c r="F80" s="73" t="str">
        <f>IF(ISBLANK('ALL Other SINs - Proposal'!S80)," ",'ALL Other SINs - Proposal'!S80)</f>
        <v xml:space="preserve"> </v>
      </c>
      <c r="G80" s="173" t="str">
        <f>IF(ISBLANK('ALL Other SINs - Proposal'!T80)," ",'ALL Other SINs - Proposal'!T80)</f>
        <v xml:space="preserve"> </v>
      </c>
      <c r="H80" s="275" t="str">
        <f>IF(ISBLANK('ALL Other SINs - Proposal'!V80)," ",'ALL Other SINs - Proposal'!V80)</f>
        <v xml:space="preserve"> </v>
      </c>
      <c r="I80" s="271" t="str">
        <f>IF(ISBLANK('ALL Other SINs - Proposal'!W80)," ",'ALL Other SINs - Proposal'!W80)</f>
        <v xml:space="preserve"> </v>
      </c>
      <c r="J80" s="71" t="str">
        <f>IF(ISBLANK('ALL Other SINs - Proposal'!X80)," ",'ALL Other SINs - Proposal'!X80)</f>
        <v xml:space="preserve"> </v>
      </c>
      <c r="K80" s="165" t="str">
        <f>IF(ISBLANK('ALL Other SINs - Proposal'!AA80)," ",'ALL Other SINs - Proposal'!AA80)</f>
        <v xml:space="preserve"> </v>
      </c>
      <c r="L80" s="178" t="str">
        <f>IF(ISBLANK('ALL Other SINs - Proposal'!AB80)," ",'ALL Other SINs - Proposal'!AB80)</f>
        <v xml:space="preserve"> </v>
      </c>
      <c r="M80" s="72" t="str">
        <f t="shared" si="2"/>
        <v xml:space="preserve"> </v>
      </c>
      <c r="N80" s="167" t="str">
        <f t="shared" si="3"/>
        <v xml:space="preserve"> </v>
      </c>
    </row>
    <row r="81" spans="1:14" ht="15" x14ac:dyDescent="0.25">
      <c r="A81" s="131" t="str">
        <f>IF(ISBLANK('ALL Other SINs - Proposal'!A81)," ",'ALL Other SINs - Proposal'!A81)</f>
        <v xml:space="preserve"> </v>
      </c>
      <c r="B81" s="137" t="str">
        <f>IF(ISBLANK('ALL Other SINs - Proposal'!B81)," ",'ALL Other SINs - Proposal'!B81)</f>
        <v xml:space="preserve"> </v>
      </c>
      <c r="C81" s="137" t="str">
        <f>IF(ISBLANK('ALL Other SINs - Proposal'!C81)," ",'ALL Other SINs - Proposal'!C81)</f>
        <v xml:space="preserve"> </v>
      </c>
      <c r="D81" s="138" t="str">
        <f>IF(ISBLANK('ALL Other SINs - Proposal'!D81)," ",'ALL Other SINs - Proposal'!D81)</f>
        <v xml:space="preserve"> </v>
      </c>
      <c r="E81" s="69" t="str">
        <f>IF(ISBLANK('ALL Other SINs - Proposal'!R81)," ",'ALL Other SINs - Proposal'!R81)</f>
        <v xml:space="preserve"> </v>
      </c>
      <c r="F81" s="73" t="str">
        <f>IF(ISBLANK('ALL Other SINs - Proposal'!S81)," ",'ALL Other SINs - Proposal'!S81)</f>
        <v xml:space="preserve"> </v>
      </c>
      <c r="G81" s="173" t="str">
        <f>IF(ISBLANK('ALL Other SINs - Proposal'!T81)," ",'ALL Other SINs - Proposal'!T81)</f>
        <v xml:space="preserve"> </v>
      </c>
      <c r="H81" s="275" t="str">
        <f>IF(ISBLANK('ALL Other SINs - Proposal'!V81)," ",'ALL Other SINs - Proposal'!V81)</f>
        <v xml:space="preserve"> </v>
      </c>
      <c r="I81" s="271" t="str">
        <f>IF(ISBLANK('ALL Other SINs - Proposal'!W81)," ",'ALL Other SINs - Proposal'!W81)</f>
        <v xml:space="preserve"> </v>
      </c>
      <c r="J81" s="71" t="str">
        <f>IF(ISBLANK('ALL Other SINs - Proposal'!X81)," ",'ALL Other SINs - Proposal'!X81)</f>
        <v xml:space="preserve"> </v>
      </c>
      <c r="K81" s="165" t="str">
        <f>IF(ISBLANK('ALL Other SINs - Proposal'!AA81)," ",'ALL Other SINs - Proposal'!AA81)</f>
        <v xml:space="preserve"> </v>
      </c>
      <c r="L81" s="178" t="str">
        <f>IF(ISBLANK('ALL Other SINs - Proposal'!AB81)," ",'ALL Other SINs - Proposal'!AB81)</f>
        <v xml:space="preserve"> </v>
      </c>
      <c r="M81" s="72" t="str">
        <f t="shared" si="2"/>
        <v xml:space="preserve"> </v>
      </c>
      <c r="N81" s="167" t="str">
        <f t="shared" si="3"/>
        <v xml:space="preserve"> </v>
      </c>
    </row>
    <row r="82" spans="1:14" ht="15" x14ac:dyDescent="0.25">
      <c r="A82" s="131" t="str">
        <f>IF(ISBLANK('ALL Other SINs - Proposal'!A82)," ",'ALL Other SINs - Proposal'!A82)</f>
        <v xml:space="preserve"> </v>
      </c>
      <c r="B82" s="137" t="str">
        <f>IF(ISBLANK('ALL Other SINs - Proposal'!B82)," ",'ALL Other SINs - Proposal'!B82)</f>
        <v xml:space="preserve"> </v>
      </c>
      <c r="C82" s="137" t="str">
        <f>IF(ISBLANK('ALL Other SINs - Proposal'!C82)," ",'ALL Other SINs - Proposal'!C82)</f>
        <v xml:space="preserve"> </v>
      </c>
      <c r="D82" s="138" t="str">
        <f>IF(ISBLANK('ALL Other SINs - Proposal'!D82)," ",'ALL Other SINs - Proposal'!D82)</f>
        <v xml:space="preserve"> </v>
      </c>
      <c r="E82" s="69" t="str">
        <f>IF(ISBLANK('ALL Other SINs - Proposal'!R82)," ",'ALL Other SINs - Proposal'!R82)</f>
        <v xml:space="preserve"> </v>
      </c>
      <c r="F82" s="73" t="str">
        <f>IF(ISBLANK('ALL Other SINs - Proposal'!S82)," ",'ALL Other SINs - Proposal'!S82)</f>
        <v xml:space="preserve"> </v>
      </c>
      <c r="G82" s="173" t="str">
        <f>IF(ISBLANK('ALL Other SINs - Proposal'!T82)," ",'ALL Other SINs - Proposal'!T82)</f>
        <v xml:space="preserve"> </v>
      </c>
      <c r="H82" s="275" t="str">
        <f>IF(ISBLANK('ALL Other SINs - Proposal'!V82)," ",'ALL Other SINs - Proposal'!V82)</f>
        <v xml:space="preserve"> </v>
      </c>
      <c r="I82" s="271" t="str">
        <f>IF(ISBLANK('ALL Other SINs - Proposal'!W82)," ",'ALL Other SINs - Proposal'!W82)</f>
        <v xml:space="preserve"> </v>
      </c>
      <c r="J82" s="71" t="str">
        <f>IF(ISBLANK('ALL Other SINs - Proposal'!X82)," ",'ALL Other SINs - Proposal'!X82)</f>
        <v xml:space="preserve"> </v>
      </c>
      <c r="K82" s="165" t="str">
        <f>IF(ISBLANK('ALL Other SINs - Proposal'!AA82)," ",'ALL Other SINs - Proposal'!AA82)</f>
        <v xml:space="preserve"> </v>
      </c>
      <c r="L82" s="178" t="str">
        <f>IF(ISBLANK('ALL Other SINs - Proposal'!AB82)," ",'ALL Other SINs - Proposal'!AB82)</f>
        <v xml:space="preserve"> </v>
      </c>
      <c r="M82" s="72" t="str">
        <f t="shared" si="2"/>
        <v xml:space="preserve"> </v>
      </c>
      <c r="N82" s="167" t="str">
        <f t="shared" si="3"/>
        <v xml:space="preserve"> </v>
      </c>
    </row>
    <row r="83" spans="1:14" ht="15" x14ac:dyDescent="0.25">
      <c r="A83" s="131" t="str">
        <f>IF(ISBLANK('ALL Other SINs - Proposal'!A83)," ",'ALL Other SINs - Proposal'!A83)</f>
        <v xml:space="preserve"> </v>
      </c>
      <c r="B83" s="137" t="str">
        <f>IF(ISBLANK('ALL Other SINs - Proposal'!B83)," ",'ALL Other SINs - Proposal'!B83)</f>
        <v xml:space="preserve"> </v>
      </c>
      <c r="C83" s="137" t="str">
        <f>IF(ISBLANK('ALL Other SINs - Proposal'!C83)," ",'ALL Other SINs - Proposal'!C83)</f>
        <v xml:space="preserve"> </v>
      </c>
      <c r="D83" s="138" t="str">
        <f>IF(ISBLANK('ALL Other SINs - Proposal'!D83)," ",'ALL Other SINs - Proposal'!D83)</f>
        <v xml:space="preserve"> </v>
      </c>
      <c r="E83" s="69" t="str">
        <f>IF(ISBLANK('ALL Other SINs - Proposal'!R83)," ",'ALL Other SINs - Proposal'!R83)</f>
        <v xml:space="preserve"> </v>
      </c>
      <c r="F83" s="73" t="str">
        <f>IF(ISBLANK('ALL Other SINs - Proposal'!S83)," ",'ALL Other SINs - Proposal'!S83)</f>
        <v xml:space="preserve"> </v>
      </c>
      <c r="G83" s="173" t="str">
        <f>IF(ISBLANK('ALL Other SINs - Proposal'!T83)," ",'ALL Other SINs - Proposal'!T83)</f>
        <v xml:space="preserve"> </v>
      </c>
      <c r="H83" s="275" t="str">
        <f>IF(ISBLANK('ALL Other SINs - Proposal'!V83)," ",'ALL Other SINs - Proposal'!V83)</f>
        <v xml:space="preserve"> </v>
      </c>
      <c r="I83" s="271" t="str">
        <f>IF(ISBLANK('ALL Other SINs - Proposal'!W83)," ",'ALL Other SINs - Proposal'!W83)</f>
        <v xml:space="preserve"> </v>
      </c>
      <c r="J83" s="71" t="str">
        <f>IF(ISBLANK('ALL Other SINs - Proposal'!X83)," ",'ALL Other SINs - Proposal'!X83)</f>
        <v xml:space="preserve"> </v>
      </c>
      <c r="K83" s="165" t="str">
        <f>IF(ISBLANK('ALL Other SINs - Proposal'!AA83)," ",'ALL Other SINs - Proposal'!AA83)</f>
        <v xml:space="preserve"> </v>
      </c>
      <c r="L83" s="178" t="str">
        <f>IF(ISBLANK('ALL Other SINs - Proposal'!AB83)," ",'ALL Other SINs - Proposal'!AB83)</f>
        <v xml:space="preserve"> </v>
      </c>
      <c r="M83" s="72" t="str">
        <f t="shared" si="2"/>
        <v xml:space="preserve"> </v>
      </c>
      <c r="N83" s="167" t="str">
        <f t="shared" si="3"/>
        <v xml:space="preserve"> </v>
      </c>
    </row>
    <row r="84" spans="1:14" ht="15" x14ac:dyDescent="0.25">
      <c r="A84" s="131" t="str">
        <f>IF(ISBLANK('ALL Other SINs - Proposal'!A84)," ",'ALL Other SINs - Proposal'!A84)</f>
        <v xml:space="preserve"> </v>
      </c>
      <c r="B84" s="137" t="str">
        <f>IF(ISBLANK('ALL Other SINs - Proposal'!B84)," ",'ALL Other SINs - Proposal'!B84)</f>
        <v xml:space="preserve"> </v>
      </c>
      <c r="C84" s="137" t="str">
        <f>IF(ISBLANK('ALL Other SINs - Proposal'!C84)," ",'ALL Other SINs - Proposal'!C84)</f>
        <v xml:space="preserve"> </v>
      </c>
      <c r="D84" s="138" t="str">
        <f>IF(ISBLANK('ALL Other SINs - Proposal'!D84)," ",'ALL Other SINs - Proposal'!D84)</f>
        <v xml:space="preserve"> </v>
      </c>
      <c r="E84" s="69" t="str">
        <f>IF(ISBLANK('ALL Other SINs - Proposal'!R84)," ",'ALL Other SINs - Proposal'!R84)</f>
        <v xml:space="preserve"> </v>
      </c>
      <c r="F84" s="73" t="str">
        <f>IF(ISBLANK('ALL Other SINs - Proposal'!S84)," ",'ALL Other SINs - Proposal'!S84)</f>
        <v xml:space="preserve"> </v>
      </c>
      <c r="G84" s="173" t="str">
        <f>IF(ISBLANK('ALL Other SINs - Proposal'!T84)," ",'ALL Other SINs - Proposal'!T84)</f>
        <v xml:space="preserve"> </v>
      </c>
      <c r="H84" s="275" t="str">
        <f>IF(ISBLANK('ALL Other SINs - Proposal'!V84)," ",'ALL Other SINs - Proposal'!V84)</f>
        <v xml:space="preserve"> </v>
      </c>
      <c r="I84" s="271" t="str">
        <f>IF(ISBLANK('ALL Other SINs - Proposal'!W84)," ",'ALL Other SINs - Proposal'!W84)</f>
        <v xml:space="preserve"> </v>
      </c>
      <c r="J84" s="71" t="str">
        <f>IF(ISBLANK('ALL Other SINs - Proposal'!X84)," ",'ALL Other SINs - Proposal'!X84)</f>
        <v xml:space="preserve"> </v>
      </c>
      <c r="K84" s="165" t="str">
        <f>IF(ISBLANK('ALL Other SINs - Proposal'!AA84)," ",'ALL Other SINs - Proposal'!AA84)</f>
        <v xml:space="preserve"> </v>
      </c>
      <c r="L84" s="178" t="str">
        <f>IF(ISBLANK('ALL Other SINs - Proposal'!AB84)," ",'ALL Other SINs - Proposal'!AB84)</f>
        <v xml:space="preserve"> </v>
      </c>
      <c r="M84" s="72" t="str">
        <f t="shared" si="2"/>
        <v xml:space="preserve"> </v>
      </c>
      <c r="N84" s="167" t="str">
        <f t="shared" si="3"/>
        <v xml:space="preserve"> </v>
      </c>
    </row>
    <row r="85" spans="1:14" ht="15" x14ac:dyDescent="0.25">
      <c r="A85" s="131" t="str">
        <f>IF(ISBLANK('ALL Other SINs - Proposal'!A85)," ",'ALL Other SINs - Proposal'!A85)</f>
        <v xml:space="preserve"> </v>
      </c>
      <c r="B85" s="137" t="str">
        <f>IF(ISBLANK('ALL Other SINs - Proposal'!B85)," ",'ALL Other SINs - Proposal'!B85)</f>
        <v xml:space="preserve"> </v>
      </c>
      <c r="C85" s="137" t="str">
        <f>IF(ISBLANK('ALL Other SINs - Proposal'!C85)," ",'ALL Other SINs - Proposal'!C85)</f>
        <v xml:space="preserve"> </v>
      </c>
      <c r="D85" s="138" t="str">
        <f>IF(ISBLANK('ALL Other SINs - Proposal'!D85)," ",'ALL Other SINs - Proposal'!D85)</f>
        <v xml:space="preserve"> </v>
      </c>
      <c r="E85" s="69" t="str">
        <f>IF(ISBLANK('ALL Other SINs - Proposal'!R85)," ",'ALL Other SINs - Proposal'!R85)</f>
        <v xml:space="preserve"> </v>
      </c>
      <c r="F85" s="73" t="str">
        <f>IF(ISBLANK('ALL Other SINs - Proposal'!S85)," ",'ALL Other SINs - Proposal'!S85)</f>
        <v xml:space="preserve"> </v>
      </c>
      <c r="G85" s="173" t="str">
        <f>IF(ISBLANK('ALL Other SINs - Proposal'!T85)," ",'ALL Other SINs - Proposal'!T85)</f>
        <v xml:space="preserve"> </v>
      </c>
      <c r="H85" s="275" t="str">
        <f>IF(ISBLANK('ALL Other SINs - Proposal'!V85)," ",'ALL Other SINs - Proposal'!V85)</f>
        <v xml:space="preserve"> </v>
      </c>
      <c r="I85" s="271" t="str">
        <f>IF(ISBLANK('ALL Other SINs - Proposal'!W85)," ",'ALL Other SINs - Proposal'!W85)</f>
        <v xml:space="preserve"> </v>
      </c>
      <c r="J85" s="71" t="str">
        <f>IF(ISBLANK('ALL Other SINs - Proposal'!X85)," ",'ALL Other SINs - Proposal'!X85)</f>
        <v xml:space="preserve"> </v>
      </c>
      <c r="K85" s="165" t="str">
        <f>IF(ISBLANK('ALL Other SINs - Proposal'!AA85)," ",'ALL Other SINs - Proposal'!AA85)</f>
        <v xml:space="preserve"> </v>
      </c>
      <c r="L85" s="178" t="str">
        <f>IF(ISBLANK('ALL Other SINs - Proposal'!AB85)," ",'ALL Other SINs - Proposal'!AB85)</f>
        <v xml:space="preserve"> </v>
      </c>
      <c r="M85" s="72" t="str">
        <f t="shared" si="2"/>
        <v xml:space="preserve"> </v>
      </c>
      <c r="N85" s="167" t="str">
        <f t="shared" si="3"/>
        <v xml:space="preserve"> </v>
      </c>
    </row>
    <row r="86" spans="1:14" ht="15" x14ac:dyDescent="0.25">
      <c r="A86" s="131" t="str">
        <f>IF(ISBLANK('ALL Other SINs - Proposal'!A86)," ",'ALL Other SINs - Proposal'!A86)</f>
        <v xml:space="preserve"> </v>
      </c>
      <c r="B86" s="137" t="str">
        <f>IF(ISBLANK('ALL Other SINs - Proposal'!B86)," ",'ALL Other SINs - Proposal'!B86)</f>
        <v xml:space="preserve"> </v>
      </c>
      <c r="C86" s="137" t="str">
        <f>IF(ISBLANK('ALL Other SINs - Proposal'!C86)," ",'ALL Other SINs - Proposal'!C86)</f>
        <v xml:space="preserve"> </v>
      </c>
      <c r="D86" s="138" t="str">
        <f>IF(ISBLANK('ALL Other SINs - Proposal'!D86)," ",'ALL Other SINs - Proposal'!D86)</f>
        <v xml:space="preserve"> </v>
      </c>
      <c r="E86" s="69" t="str">
        <f>IF(ISBLANK('ALL Other SINs - Proposal'!R86)," ",'ALL Other SINs - Proposal'!R86)</f>
        <v xml:space="preserve"> </v>
      </c>
      <c r="F86" s="73" t="str">
        <f>IF(ISBLANK('ALL Other SINs - Proposal'!S86)," ",'ALL Other SINs - Proposal'!S86)</f>
        <v xml:space="preserve"> </v>
      </c>
      <c r="G86" s="173" t="str">
        <f>IF(ISBLANK('ALL Other SINs - Proposal'!T86)," ",'ALL Other SINs - Proposal'!T86)</f>
        <v xml:space="preserve"> </v>
      </c>
      <c r="H86" s="275" t="str">
        <f>IF(ISBLANK('ALL Other SINs - Proposal'!V86)," ",'ALL Other SINs - Proposal'!V86)</f>
        <v xml:space="preserve"> </v>
      </c>
      <c r="I86" s="271" t="str">
        <f>IF(ISBLANK('ALL Other SINs - Proposal'!W86)," ",'ALL Other SINs - Proposal'!W86)</f>
        <v xml:space="preserve"> </v>
      </c>
      <c r="J86" s="71" t="str">
        <f>IF(ISBLANK('ALL Other SINs - Proposal'!X86)," ",'ALL Other SINs - Proposal'!X86)</f>
        <v xml:space="preserve"> </v>
      </c>
      <c r="K86" s="165" t="str">
        <f>IF(ISBLANK('ALL Other SINs - Proposal'!AA86)," ",'ALL Other SINs - Proposal'!AA86)</f>
        <v xml:space="preserve"> </v>
      </c>
      <c r="L86" s="178" t="str">
        <f>IF(ISBLANK('ALL Other SINs - Proposal'!AB86)," ",'ALL Other SINs - Proposal'!AB86)</f>
        <v xml:space="preserve"> </v>
      </c>
      <c r="M86" s="72" t="str">
        <f t="shared" si="2"/>
        <v xml:space="preserve"> </v>
      </c>
      <c r="N86" s="167" t="str">
        <f t="shared" si="3"/>
        <v xml:space="preserve"> </v>
      </c>
    </row>
    <row r="87" spans="1:14" ht="15" x14ac:dyDescent="0.25">
      <c r="A87" s="131" t="str">
        <f>IF(ISBLANK('ALL Other SINs - Proposal'!A87)," ",'ALL Other SINs - Proposal'!A87)</f>
        <v xml:space="preserve"> </v>
      </c>
      <c r="B87" s="137" t="str">
        <f>IF(ISBLANK('ALL Other SINs - Proposal'!B87)," ",'ALL Other SINs - Proposal'!B87)</f>
        <v xml:space="preserve"> </v>
      </c>
      <c r="C87" s="137" t="str">
        <f>IF(ISBLANK('ALL Other SINs - Proposal'!C87)," ",'ALL Other SINs - Proposal'!C87)</f>
        <v xml:space="preserve"> </v>
      </c>
      <c r="D87" s="138" t="str">
        <f>IF(ISBLANK('ALL Other SINs - Proposal'!D87)," ",'ALL Other SINs - Proposal'!D87)</f>
        <v xml:space="preserve"> </v>
      </c>
      <c r="E87" s="69" t="str">
        <f>IF(ISBLANK('ALL Other SINs - Proposal'!R87)," ",'ALL Other SINs - Proposal'!R87)</f>
        <v xml:space="preserve"> </v>
      </c>
      <c r="F87" s="73" t="str">
        <f>IF(ISBLANK('ALL Other SINs - Proposal'!S87)," ",'ALL Other SINs - Proposal'!S87)</f>
        <v xml:space="preserve"> </v>
      </c>
      <c r="G87" s="173" t="str">
        <f>IF(ISBLANK('ALL Other SINs - Proposal'!T87)," ",'ALL Other SINs - Proposal'!T87)</f>
        <v xml:space="preserve"> </v>
      </c>
      <c r="H87" s="275" t="str">
        <f>IF(ISBLANK('ALL Other SINs - Proposal'!V87)," ",'ALL Other SINs - Proposal'!V87)</f>
        <v xml:space="preserve"> </v>
      </c>
      <c r="I87" s="271" t="str">
        <f>IF(ISBLANK('ALL Other SINs - Proposal'!W87)," ",'ALL Other SINs - Proposal'!W87)</f>
        <v xml:space="preserve"> </v>
      </c>
      <c r="J87" s="71" t="str">
        <f>IF(ISBLANK('ALL Other SINs - Proposal'!X87)," ",'ALL Other SINs - Proposal'!X87)</f>
        <v xml:space="preserve"> </v>
      </c>
      <c r="K87" s="165" t="str">
        <f>IF(ISBLANK('ALL Other SINs - Proposal'!AA87)," ",'ALL Other SINs - Proposal'!AA87)</f>
        <v xml:space="preserve"> </v>
      </c>
      <c r="L87" s="178" t="str">
        <f>IF(ISBLANK('ALL Other SINs - Proposal'!AB87)," ",'ALL Other SINs - Proposal'!AB87)</f>
        <v xml:space="preserve"> </v>
      </c>
      <c r="M87" s="72" t="str">
        <f t="shared" si="2"/>
        <v xml:space="preserve"> </v>
      </c>
      <c r="N87" s="167" t="str">
        <f t="shared" si="3"/>
        <v xml:space="preserve"> </v>
      </c>
    </row>
    <row r="88" spans="1:14" ht="15" x14ac:dyDescent="0.25">
      <c r="A88" s="131" t="str">
        <f>IF(ISBLANK('ALL Other SINs - Proposal'!A88)," ",'ALL Other SINs - Proposal'!A88)</f>
        <v xml:space="preserve"> </v>
      </c>
      <c r="B88" s="137" t="str">
        <f>IF(ISBLANK('ALL Other SINs - Proposal'!B88)," ",'ALL Other SINs - Proposal'!B88)</f>
        <v xml:space="preserve"> </v>
      </c>
      <c r="C88" s="137" t="str">
        <f>IF(ISBLANK('ALL Other SINs - Proposal'!C88)," ",'ALL Other SINs - Proposal'!C88)</f>
        <v xml:space="preserve"> </v>
      </c>
      <c r="D88" s="138" t="str">
        <f>IF(ISBLANK('ALL Other SINs - Proposal'!D88)," ",'ALL Other SINs - Proposal'!D88)</f>
        <v xml:space="preserve"> </v>
      </c>
      <c r="E88" s="69" t="str">
        <f>IF(ISBLANK('ALL Other SINs - Proposal'!R88)," ",'ALL Other SINs - Proposal'!R88)</f>
        <v xml:space="preserve"> </v>
      </c>
      <c r="F88" s="73" t="str">
        <f>IF(ISBLANK('ALL Other SINs - Proposal'!S88)," ",'ALL Other SINs - Proposal'!S88)</f>
        <v xml:space="preserve"> </v>
      </c>
      <c r="G88" s="173" t="str">
        <f>IF(ISBLANK('ALL Other SINs - Proposal'!T88)," ",'ALL Other SINs - Proposal'!T88)</f>
        <v xml:space="preserve"> </v>
      </c>
      <c r="H88" s="275" t="str">
        <f>IF(ISBLANK('ALL Other SINs - Proposal'!V88)," ",'ALL Other SINs - Proposal'!V88)</f>
        <v xml:space="preserve"> </v>
      </c>
      <c r="I88" s="271" t="str">
        <f>IF(ISBLANK('ALL Other SINs - Proposal'!W88)," ",'ALL Other SINs - Proposal'!W88)</f>
        <v xml:space="preserve"> </v>
      </c>
      <c r="J88" s="71" t="str">
        <f>IF(ISBLANK('ALL Other SINs - Proposal'!X88)," ",'ALL Other SINs - Proposal'!X88)</f>
        <v xml:space="preserve"> </v>
      </c>
      <c r="K88" s="165" t="str">
        <f>IF(ISBLANK('ALL Other SINs - Proposal'!AA88)," ",'ALL Other SINs - Proposal'!AA88)</f>
        <v xml:space="preserve"> </v>
      </c>
      <c r="L88" s="178" t="str">
        <f>IF(ISBLANK('ALL Other SINs - Proposal'!AB88)," ",'ALL Other SINs - Proposal'!AB88)</f>
        <v xml:space="preserve"> </v>
      </c>
      <c r="M88" s="72" t="str">
        <f t="shared" si="2"/>
        <v xml:space="preserve"> </v>
      </c>
      <c r="N88" s="167" t="str">
        <f t="shared" si="3"/>
        <v xml:space="preserve"> </v>
      </c>
    </row>
    <row r="89" spans="1:14" ht="15" x14ac:dyDescent="0.25">
      <c r="A89" s="131" t="str">
        <f>IF(ISBLANK('ALL Other SINs - Proposal'!A89)," ",'ALL Other SINs - Proposal'!A89)</f>
        <v xml:space="preserve"> </v>
      </c>
      <c r="B89" s="137" t="str">
        <f>IF(ISBLANK('ALL Other SINs - Proposal'!B89)," ",'ALL Other SINs - Proposal'!B89)</f>
        <v xml:space="preserve"> </v>
      </c>
      <c r="C89" s="137" t="str">
        <f>IF(ISBLANK('ALL Other SINs - Proposal'!C89)," ",'ALL Other SINs - Proposal'!C89)</f>
        <v xml:space="preserve"> </v>
      </c>
      <c r="D89" s="138" t="str">
        <f>IF(ISBLANK('ALL Other SINs - Proposal'!D89)," ",'ALL Other SINs - Proposal'!D89)</f>
        <v xml:space="preserve"> </v>
      </c>
      <c r="E89" s="69" t="str">
        <f>IF(ISBLANK('ALL Other SINs - Proposal'!R89)," ",'ALL Other SINs - Proposal'!R89)</f>
        <v xml:space="preserve"> </v>
      </c>
      <c r="F89" s="73" t="str">
        <f>IF(ISBLANK('ALL Other SINs - Proposal'!S89)," ",'ALL Other SINs - Proposal'!S89)</f>
        <v xml:space="preserve"> </v>
      </c>
      <c r="G89" s="173" t="str">
        <f>IF(ISBLANK('ALL Other SINs - Proposal'!T89)," ",'ALL Other SINs - Proposal'!T89)</f>
        <v xml:space="preserve"> </v>
      </c>
      <c r="H89" s="275" t="str">
        <f>IF(ISBLANK('ALL Other SINs - Proposal'!V89)," ",'ALL Other SINs - Proposal'!V89)</f>
        <v xml:space="preserve"> </v>
      </c>
      <c r="I89" s="271" t="str">
        <f>IF(ISBLANK('ALL Other SINs - Proposal'!W89)," ",'ALL Other SINs - Proposal'!W89)</f>
        <v xml:space="preserve"> </v>
      </c>
      <c r="J89" s="71" t="str">
        <f>IF(ISBLANK('ALL Other SINs - Proposal'!X89)," ",'ALL Other SINs - Proposal'!X89)</f>
        <v xml:space="preserve"> </v>
      </c>
      <c r="K89" s="165" t="str">
        <f>IF(ISBLANK('ALL Other SINs - Proposal'!AA89)," ",'ALL Other SINs - Proposal'!AA89)</f>
        <v xml:space="preserve"> </v>
      </c>
      <c r="L89" s="178" t="str">
        <f>IF(ISBLANK('ALL Other SINs - Proposal'!AB89)," ",'ALL Other SINs - Proposal'!AB89)</f>
        <v xml:space="preserve"> </v>
      </c>
      <c r="M89" s="72" t="str">
        <f t="shared" si="2"/>
        <v xml:space="preserve"> </v>
      </c>
      <c r="N89" s="167" t="str">
        <f t="shared" si="3"/>
        <v xml:space="preserve"> </v>
      </c>
    </row>
    <row r="90" spans="1:14" ht="15" x14ac:dyDescent="0.25">
      <c r="A90" s="131" t="str">
        <f>IF(ISBLANK('ALL Other SINs - Proposal'!A90)," ",'ALL Other SINs - Proposal'!A90)</f>
        <v xml:space="preserve"> </v>
      </c>
      <c r="B90" s="137" t="str">
        <f>IF(ISBLANK('ALL Other SINs - Proposal'!B90)," ",'ALL Other SINs - Proposal'!B90)</f>
        <v xml:space="preserve"> </v>
      </c>
      <c r="C90" s="137" t="str">
        <f>IF(ISBLANK('ALL Other SINs - Proposal'!C90)," ",'ALL Other SINs - Proposal'!C90)</f>
        <v xml:space="preserve"> </v>
      </c>
      <c r="D90" s="138" t="str">
        <f>IF(ISBLANK('ALL Other SINs - Proposal'!D90)," ",'ALL Other SINs - Proposal'!D90)</f>
        <v xml:space="preserve"> </v>
      </c>
      <c r="E90" s="69" t="str">
        <f>IF(ISBLANK('ALL Other SINs - Proposal'!R90)," ",'ALL Other SINs - Proposal'!R90)</f>
        <v xml:space="preserve"> </v>
      </c>
      <c r="F90" s="73" t="str">
        <f>IF(ISBLANK('ALL Other SINs - Proposal'!S90)," ",'ALL Other SINs - Proposal'!S90)</f>
        <v xml:space="preserve"> </v>
      </c>
      <c r="G90" s="173" t="str">
        <f>IF(ISBLANK('ALL Other SINs - Proposal'!T90)," ",'ALL Other SINs - Proposal'!T90)</f>
        <v xml:space="preserve"> </v>
      </c>
      <c r="H90" s="275" t="str">
        <f>IF(ISBLANK('ALL Other SINs - Proposal'!V90)," ",'ALL Other SINs - Proposal'!V90)</f>
        <v xml:space="preserve"> </v>
      </c>
      <c r="I90" s="271" t="str">
        <f>IF(ISBLANK('ALL Other SINs - Proposal'!W90)," ",'ALL Other SINs - Proposal'!W90)</f>
        <v xml:space="preserve"> </v>
      </c>
      <c r="J90" s="71" t="str">
        <f>IF(ISBLANK('ALL Other SINs - Proposal'!X90)," ",'ALL Other SINs - Proposal'!X90)</f>
        <v xml:space="preserve"> </v>
      </c>
      <c r="K90" s="165" t="str">
        <f>IF(ISBLANK('ALL Other SINs - Proposal'!AA90)," ",'ALL Other SINs - Proposal'!AA90)</f>
        <v xml:space="preserve"> </v>
      </c>
      <c r="L90" s="178" t="str">
        <f>IF(ISBLANK('ALL Other SINs - Proposal'!AB90)," ",'ALL Other SINs - Proposal'!AB90)</f>
        <v xml:space="preserve"> </v>
      </c>
      <c r="M90" s="72" t="str">
        <f t="shared" si="2"/>
        <v xml:space="preserve"> </v>
      </c>
      <c r="N90" s="167" t="str">
        <f t="shared" si="3"/>
        <v xml:space="preserve"> </v>
      </c>
    </row>
    <row r="91" spans="1:14" ht="15" x14ac:dyDescent="0.25">
      <c r="A91" s="131" t="str">
        <f>IF(ISBLANK('ALL Other SINs - Proposal'!A91)," ",'ALL Other SINs - Proposal'!A91)</f>
        <v xml:space="preserve"> </v>
      </c>
      <c r="B91" s="137" t="str">
        <f>IF(ISBLANK('ALL Other SINs - Proposal'!B91)," ",'ALL Other SINs - Proposal'!B91)</f>
        <v xml:space="preserve"> </v>
      </c>
      <c r="C91" s="137" t="str">
        <f>IF(ISBLANK('ALL Other SINs - Proposal'!C91)," ",'ALL Other SINs - Proposal'!C91)</f>
        <v xml:space="preserve"> </v>
      </c>
      <c r="D91" s="138" t="str">
        <f>IF(ISBLANK('ALL Other SINs - Proposal'!D91)," ",'ALL Other SINs - Proposal'!D91)</f>
        <v xml:space="preserve"> </v>
      </c>
      <c r="E91" s="69" t="str">
        <f>IF(ISBLANK('ALL Other SINs - Proposal'!R91)," ",'ALL Other SINs - Proposal'!R91)</f>
        <v xml:space="preserve"> </v>
      </c>
      <c r="F91" s="73" t="str">
        <f>IF(ISBLANK('ALL Other SINs - Proposal'!S91)," ",'ALL Other SINs - Proposal'!S91)</f>
        <v xml:space="preserve"> </v>
      </c>
      <c r="G91" s="173" t="str">
        <f>IF(ISBLANK('ALL Other SINs - Proposal'!T91)," ",'ALL Other SINs - Proposal'!T91)</f>
        <v xml:space="preserve"> </v>
      </c>
      <c r="H91" s="275" t="str">
        <f>IF(ISBLANK('ALL Other SINs - Proposal'!V91)," ",'ALL Other SINs - Proposal'!V91)</f>
        <v xml:space="preserve"> </v>
      </c>
      <c r="I91" s="271" t="str">
        <f>IF(ISBLANK('ALL Other SINs - Proposal'!W91)," ",'ALL Other SINs - Proposal'!W91)</f>
        <v xml:space="preserve"> </v>
      </c>
      <c r="J91" s="71" t="str">
        <f>IF(ISBLANK('ALL Other SINs - Proposal'!X91)," ",'ALL Other SINs - Proposal'!X91)</f>
        <v xml:space="preserve"> </v>
      </c>
      <c r="K91" s="165" t="str">
        <f>IF(ISBLANK('ALL Other SINs - Proposal'!AA91)," ",'ALL Other SINs - Proposal'!AA91)</f>
        <v xml:space="preserve"> </v>
      </c>
      <c r="L91" s="178" t="str">
        <f>IF(ISBLANK('ALL Other SINs - Proposal'!AB91)," ",'ALL Other SINs - Proposal'!AB91)</f>
        <v xml:space="preserve"> </v>
      </c>
      <c r="M91" s="72" t="str">
        <f t="shared" si="2"/>
        <v xml:space="preserve"> </v>
      </c>
      <c r="N91" s="167" t="str">
        <f t="shared" si="3"/>
        <v xml:space="preserve"> </v>
      </c>
    </row>
    <row r="92" spans="1:14" ht="15" x14ac:dyDescent="0.25">
      <c r="A92" s="131" t="str">
        <f>IF(ISBLANK('ALL Other SINs - Proposal'!A92)," ",'ALL Other SINs - Proposal'!A92)</f>
        <v xml:space="preserve"> </v>
      </c>
      <c r="B92" s="137" t="str">
        <f>IF(ISBLANK('ALL Other SINs - Proposal'!B92)," ",'ALL Other SINs - Proposal'!B92)</f>
        <v xml:space="preserve"> </v>
      </c>
      <c r="C92" s="137" t="str">
        <f>IF(ISBLANK('ALL Other SINs - Proposal'!C92)," ",'ALL Other SINs - Proposal'!C92)</f>
        <v xml:space="preserve"> </v>
      </c>
      <c r="D92" s="138" t="str">
        <f>IF(ISBLANK('ALL Other SINs - Proposal'!D92)," ",'ALL Other SINs - Proposal'!D92)</f>
        <v xml:space="preserve"> </v>
      </c>
      <c r="E92" s="69" t="str">
        <f>IF(ISBLANK('ALL Other SINs - Proposal'!R92)," ",'ALL Other SINs - Proposal'!R92)</f>
        <v xml:space="preserve"> </v>
      </c>
      <c r="F92" s="73" t="str">
        <f>IF(ISBLANK('ALL Other SINs - Proposal'!S92)," ",'ALL Other SINs - Proposal'!S92)</f>
        <v xml:space="preserve"> </v>
      </c>
      <c r="G92" s="173" t="str">
        <f>IF(ISBLANK('ALL Other SINs - Proposal'!T92)," ",'ALL Other SINs - Proposal'!T92)</f>
        <v xml:space="preserve"> </v>
      </c>
      <c r="H92" s="275" t="str">
        <f>IF(ISBLANK('ALL Other SINs - Proposal'!V92)," ",'ALL Other SINs - Proposal'!V92)</f>
        <v xml:space="preserve"> </v>
      </c>
      <c r="I92" s="271" t="str">
        <f>IF(ISBLANK('ALL Other SINs - Proposal'!W92)," ",'ALL Other SINs - Proposal'!W92)</f>
        <v xml:space="preserve"> </v>
      </c>
      <c r="J92" s="71" t="str">
        <f>IF(ISBLANK('ALL Other SINs - Proposal'!X92)," ",'ALL Other SINs - Proposal'!X92)</f>
        <v xml:space="preserve"> </v>
      </c>
      <c r="K92" s="165" t="str">
        <f>IF(ISBLANK('ALL Other SINs - Proposal'!AA92)," ",'ALL Other SINs - Proposal'!AA92)</f>
        <v xml:space="preserve"> </v>
      </c>
      <c r="L92" s="178" t="str">
        <f>IF(ISBLANK('ALL Other SINs - Proposal'!AB92)," ",'ALL Other SINs - Proposal'!AB92)</f>
        <v xml:space="preserve"> </v>
      </c>
      <c r="M92" s="72" t="str">
        <f t="shared" si="2"/>
        <v xml:space="preserve"> </v>
      </c>
      <c r="N92" s="167" t="str">
        <f t="shared" si="3"/>
        <v xml:space="preserve"> </v>
      </c>
    </row>
    <row r="93" spans="1:14" ht="15" x14ac:dyDescent="0.25">
      <c r="A93" s="131" t="str">
        <f>IF(ISBLANK('ALL Other SINs - Proposal'!A93)," ",'ALL Other SINs - Proposal'!A93)</f>
        <v xml:space="preserve"> </v>
      </c>
      <c r="B93" s="137" t="str">
        <f>IF(ISBLANK('ALL Other SINs - Proposal'!B93)," ",'ALL Other SINs - Proposal'!B93)</f>
        <v xml:space="preserve"> </v>
      </c>
      <c r="C93" s="137" t="str">
        <f>IF(ISBLANK('ALL Other SINs - Proposal'!C93)," ",'ALL Other SINs - Proposal'!C93)</f>
        <v xml:space="preserve"> </v>
      </c>
      <c r="D93" s="138" t="str">
        <f>IF(ISBLANK('ALL Other SINs - Proposal'!D93)," ",'ALL Other SINs - Proposal'!D93)</f>
        <v xml:space="preserve"> </v>
      </c>
      <c r="E93" s="69" t="str">
        <f>IF(ISBLANK('ALL Other SINs - Proposal'!R93)," ",'ALL Other SINs - Proposal'!R93)</f>
        <v xml:space="preserve"> </v>
      </c>
      <c r="F93" s="73" t="str">
        <f>IF(ISBLANK('ALL Other SINs - Proposal'!S93)," ",'ALL Other SINs - Proposal'!S93)</f>
        <v xml:space="preserve"> </v>
      </c>
      <c r="G93" s="173" t="str">
        <f>IF(ISBLANK('ALL Other SINs - Proposal'!T93)," ",'ALL Other SINs - Proposal'!T93)</f>
        <v xml:space="preserve"> </v>
      </c>
      <c r="H93" s="275" t="str">
        <f>IF(ISBLANK('ALL Other SINs - Proposal'!V93)," ",'ALL Other SINs - Proposal'!V93)</f>
        <v xml:space="preserve"> </v>
      </c>
      <c r="I93" s="271" t="str">
        <f>IF(ISBLANK('ALL Other SINs - Proposal'!W93)," ",'ALL Other SINs - Proposal'!W93)</f>
        <v xml:space="preserve"> </v>
      </c>
      <c r="J93" s="71" t="str">
        <f>IF(ISBLANK('ALL Other SINs - Proposal'!X93)," ",'ALL Other SINs - Proposal'!X93)</f>
        <v xml:space="preserve"> </v>
      </c>
      <c r="K93" s="165" t="str">
        <f>IF(ISBLANK('ALL Other SINs - Proposal'!AA93)," ",'ALL Other SINs - Proposal'!AA93)</f>
        <v xml:space="preserve"> </v>
      </c>
      <c r="L93" s="178" t="str">
        <f>IF(ISBLANK('ALL Other SINs - Proposal'!AB93)," ",'ALL Other SINs - Proposal'!AB93)</f>
        <v xml:space="preserve"> </v>
      </c>
      <c r="M93" s="72" t="str">
        <f t="shared" si="2"/>
        <v xml:space="preserve"> </v>
      </c>
      <c r="N93" s="167" t="str">
        <f t="shared" si="3"/>
        <v xml:space="preserve"> </v>
      </c>
    </row>
    <row r="94" spans="1:14" ht="15" x14ac:dyDescent="0.25">
      <c r="A94" s="131" t="str">
        <f>IF(ISBLANK('ALL Other SINs - Proposal'!A94)," ",'ALL Other SINs - Proposal'!A94)</f>
        <v xml:space="preserve"> </v>
      </c>
      <c r="B94" s="137" t="str">
        <f>IF(ISBLANK('ALL Other SINs - Proposal'!B94)," ",'ALL Other SINs - Proposal'!B94)</f>
        <v xml:space="preserve"> </v>
      </c>
      <c r="C94" s="137" t="str">
        <f>IF(ISBLANK('ALL Other SINs - Proposal'!C94)," ",'ALL Other SINs - Proposal'!C94)</f>
        <v xml:space="preserve"> </v>
      </c>
      <c r="D94" s="138" t="str">
        <f>IF(ISBLANK('ALL Other SINs - Proposal'!D94)," ",'ALL Other SINs - Proposal'!D94)</f>
        <v xml:space="preserve"> </v>
      </c>
      <c r="E94" s="69" t="str">
        <f>IF(ISBLANK('ALL Other SINs - Proposal'!R94)," ",'ALL Other SINs - Proposal'!R94)</f>
        <v xml:space="preserve"> </v>
      </c>
      <c r="F94" s="73" t="str">
        <f>IF(ISBLANK('ALL Other SINs - Proposal'!S94)," ",'ALL Other SINs - Proposal'!S94)</f>
        <v xml:space="preserve"> </v>
      </c>
      <c r="G94" s="173" t="str">
        <f>IF(ISBLANK('ALL Other SINs - Proposal'!T94)," ",'ALL Other SINs - Proposal'!T94)</f>
        <v xml:space="preserve"> </v>
      </c>
      <c r="H94" s="275" t="str">
        <f>IF(ISBLANK('ALL Other SINs - Proposal'!V94)," ",'ALL Other SINs - Proposal'!V94)</f>
        <v xml:space="preserve"> </v>
      </c>
      <c r="I94" s="271" t="str">
        <f>IF(ISBLANK('ALL Other SINs - Proposal'!W94)," ",'ALL Other SINs - Proposal'!W94)</f>
        <v xml:space="preserve"> </v>
      </c>
      <c r="J94" s="71" t="str">
        <f>IF(ISBLANK('ALL Other SINs - Proposal'!X94)," ",'ALL Other SINs - Proposal'!X94)</f>
        <v xml:space="preserve"> </v>
      </c>
      <c r="K94" s="165" t="str">
        <f>IF(ISBLANK('ALL Other SINs - Proposal'!AA94)," ",'ALL Other SINs - Proposal'!AA94)</f>
        <v xml:space="preserve"> </v>
      </c>
      <c r="L94" s="178" t="str">
        <f>IF(ISBLANK('ALL Other SINs - Proposal'!AB94)," ",'ALL Other SINs - Proposal'!AB94)</f>
        <v xml:space="preserve"> </v>
      </c>
      <c r="M94" s="72" t="str">
        <f t="shared" si="2"/>
        <v xml:space="preserve"> </v>
      </c>
      <c r="N94" s="167" t="str">
        <f t="shared" si="3"/>
        <v xml:space="preserve"> </v>
      </c>
    </row>
    <row r="95" spans="1:14" ht="15" x14ac:dyDescent="0.25">
      <c r="A95" s="131" t="str">
        <f>IF(ISBLANK('ALL Other SINs - Proposal'!A95)," ",'ALL Other SINs - Proposal'!A95)</f>
        <v xml:space="preserve"> </v>
      </c>
      <c r="B95" s="137" t="str">
        <f>IF(ISBLANK('ALL Other SINs - Proposal'!B95)," ",'ALL Other SINs - Proposal'!B95)</f>
        <v xml:space="preserve"> </v>
      </c>
      <c r="C95" s="137" t="str">
        <f>IF(ISBLANK('ALL Other SINs - Proposal'!C95)," ",'ALL Other SINs - Proposal'!C95)</f>
        <v xml:space="preserve"> </v>
      </c>
      <c r="D95" s="138" t="str">
        <f>IF(ISBLANK('ALL Other SINs - Proposal'!D95)," ",'ALL Other SINs - Proposal'!D95)</f>
        <v xml:space="preserve"> </v>
      </c>
      <c r="E95" s="69" t="str">
        <f>IF(ISBLANK('ALL Other SINs - Proposal'!R95)," ",'ALL Other SINs - Proposal'!R95)</f>
        <v xml:space="preserve"> </v>
      </c>
      <c r="F95" s="73" t="str">
        <f>IF(ISBLANK('ALL Other SINs - Proposal'!S95)," ",'ALL Other SINs - Proposal'!S95)</f>
        <v xml:space="preserve"> </v>
      </c>
      <c r="G95" s="173" t="str">
        <f>IF(ISBLANK('ALL Other SINs - Proposal'!T95)," ",'ALL Other SINs - Proposal'!T95)</f>
        <v xml:space="preserve"> </v>
      </c>
      <c r="H95" s="275" t="str">
        <f>IF(ISBLANK('ALL Other SINs - Proposal'!V95)," ",'ALL Other SINs - Proposal'!V95)</f>
        <v xml:space="preserve"> </v>
      </c>
      <c r="I95" s="271" t="str">
        <f>IF(ISBLANK('ALL Other SINs - Proposal'!W95)," ",'ALL Other SINs - Proposal'!W95)</f>
        <v xml:space="preserve"> </v>
      </c>
      <c r="J95" s="71" t="str">
        <f>IF(ISBLANK('ALL Other SINs - Proposal'!X95)," ",'ALL Other SINs - Proposal'!X95)</f>
        <v xml:space="preserve"> </v>
      </c>
      <c r="K95" s="165" t="str">
        <f>IF(ISBLANK('ALL Other SINs - Proposal'!AA95)," ",'ALL Other SINs - Proposal'!AA95)</f>
        <v xml:space="preserve"> </v>
      </c>
      <c r="L95" s="178" t="str">
        <f>IF(ISBLANK('ALL Other SINs - Proposal'!AB95)," ",'ALL Other SINs - Proposal'!AB95)</f>
        <v xml:space="preserve"> </v>
      </c>
      <c r="M95" s="72" t="str">
        <f t="shared" si="2"/>
        <v xml:space="preserve"> </v>
      </c>
      <c r="N95" s="167" t="str">
        <f t="shared" si="3"/>
        <v xml:space="preserve"> </v>
      </c>
    </row>
    <row r="96" spans="1:14" ht="15" x14ac:dyDescent="0.25">
      <c r="A96" s="131" t="str">
        <f>IF(ISBLANK('ALL Other SINs - Proposal'!A96)," ",'ALL Other SINs - Proposal'!A96)</f>
        <v xml:space="preserve"> </v>
      </c>
      <c r="B96" s="137" t="str">
        <f>IF(ISBLANK('ALL Other SINs - Proposal'!B96)," ",'ALL Other SINs - Proposal'!B96)</f>
        <v xml:space="preserve"> </v>
      </c>
      <c r="C96" s="137" t="str">
        <f>IF(ISBLANK('ALL Other SINs - Proposal'!C96)," ",'ALL Other SINs - Proposal'!C96)</f>
        <v xml:space="preserve"> </v>
      </c>
      <c r="D96" s="138" t="str">
        <f>IF(ISBLANK('ALL Other SINs - Proposal'!D96)," ",'ALL Other SINs - Proposal'!D96)</f>
        <v xml:space="preserve"> </v>
      </c>
      <c r="E96" s="69" t="str">
        <f>IF(ISBLANK('ALL Other SINs - Proposal'!R96)," ",'ALL Other SINs - Proposal'!R96)</f>
        <v xml:space="preserve"> </v>
      </c>
      <c r="F96" s="73" t="str">
        <f>IF(ISBLANK('ALL Other SINs - Proposal'!S96)," ",'ALL Other SINs - Proposal'!S96)</f>
        <v xml:space="preserve"> </v>
      </c>
      <c r="G96" s="173" t="str">
        <f>IF(ISBLANK('ALL Other SINs - Proposal'!T96)," ",'ALL Other SINs - Proposal'!T96)</f>
        <v xml:space="preserve"> </v>
      </c>
      <c r="H96" s="275" t="str">
        <f>IF(ISBLANK('ALL Other SINs - Proposal'!V96)," ",'ALL Other SINs - Proposal'!V96)</f>
        <v xml:space="preserve"> </v>
      </c>
      <c r="I96" s="271" t="str">
        <f>IF(ISBLANK('ALL Other SINs - Proposal'!W96)," ",'ALL Other SINs - Proposal'!W96)</f>
        <v xml:space="preserve"> </v>
      </c>
      <c r="J96" s="71" t="str">
        <f>IF(ISBLANK('ALL Other SINs - Proposal'!X96)," ",'ALL Other SINs - Proposal'!X96)</f>
        <v xml:space="preserve"> </v>
      </c>
      <c r="K96" s="165" t="str">
        <f>IF(ISBLANK('ALL Other SINs - Proposal'!AA96)," ",'ALL Other SINs - Proposal'!AA96)</f>
        <v xml:space="preserve"> </v>
      </c>
      <c r="L96" s="178" t="str">
        <f>IF(ISBLANK('ALL Other SINs - Proposal'!AB96)," ",'ALL Other SINs - Proposal'!AB96)</f>
        <v xml:space="preserve"> </v>
      </c>
      <c r="M96" s="72" t="str">
        <f t="shared" si="2"/>
        <v xml:space="preserve"> </v>
      </c>
      <c r="N96" s="167" t="str">
        <f t="shared" si="3"/>
        <v xml:space="preserve"> </v>
      </c>
    </row>
    <row r="97" spans="1:14" ht="15" x14ac:dyDescent="0.25">
      <c r="A97" s="131" t="str">
        <f>IF(ISBLANK('ALL Other SINs - Proposal'!A97)," ",'ALL Other SINs - Proposal'!A97)</f>
        <v xml:space="preserve"> </v>
      </c>
      <c r="B97" s="137" t="str">
        <f>IF(ISBLANK('ALL Other SINs - Proposal'!B97)," ",'ALL Other SINs - Proposal'!B97)</f>
        <v xml:space="preserve"> </v>
      </c>
      <c r="C97" s="137" t="str">
        <f>IF(ISBLANK('ALL Other SINs - Proposal'!C97)," ",'ALL Other SINs - Proposal'!C97)</f>
        <v xml:space="preserve"> </v>
      </c>
      <c r="D97" s="138" t="str">
        <f>IF(ISBLANK('ALL Other SINs - Proposal'!D97)," ",'ALL Other SINs - Proposal'!D97)</f>
        <v xml:space="preserve"> </v>
      </c>
      <c r="E97" s="69" t="str">
        <f>IF(ISBLANK('ALL Other SINs - Proposal'!R97)," ",'ALL Other SINs - Proposal'!R97)</f>
        <v xml:space="preserve"> </v>
      </c>
      <c r="F97" s="73" t="str">
        <f>IF(ISBLANK('ALL Other SINs - Proposal'!S97)," ",'ALL Other SINs - Proposal'!S97)</f>
        <v xml:space="preserve"> </v>
      </c>
      <c r="G97" s="173" t="str">
        <f>IF(ISBLANK('ALL Other SINs - Proposal'!T97)," ",'ALL Other SINs - Proposal'!T97)</f>
        <v xml:space="preserve"> </v>
      </c>
      <c r="H97" s="275" t="str">
        <f>IF(ISBLANK('ALL Other SINs - Proposal'!V97)," ",'ALL Other SINs - Proposal'!V97)</f>
        <v xml:space="preserve"> </v>
      </c>
      <c r="I97" s="271" t="str">
        <f>IF(ISBLANK('ALL Other SINs - Proposal'!W97)," ",'ALL Other SINs - Proposal'!W97)</f>
        <v xml:space="preserve"> </v>
      </c>
      <c r="J97" s="71" t="str">
        <f>IF(ISBLANK('ALL Other SINs - Proposal'!X97)," ",'ALL Other SINs - Proposal'!X97)</f>
        <v xml:space="preserve"> </v>
      </c>
      <c r="K97" s="165" t="str">
        <f>IF(ISBLANK('ALL Other SINs - Proposal'!AA97)," ",'ALL Other SINs - Proposal'!AA97)</f>
        <v xml:space="preserve"> </v>
      </c>
      <c r="L97" s="178" t="str">
        <f>IF(ISBLANK('ALL Other SINs - Proposal'!AB97)," ",'ALL Other SINs - Proposal'!AB97)</f>
        <v xml:space="preserve"> </v>
      </c>
      <c r="M97" s="72" t="str">
        <f t="shared" si="2"/>
        <v xml:space="preserve"> </v>
      </c>
      <c r="N97" s="167" t="str">
        <f t="shared" si="3"/>
        <v xml:space="preserve"> </v>
      </c>
    </row>
    <row r="98" spans="1:14" ht="15" x14ac:dyDescent="0.25">
      <c r="A98" s="131" t="str">
        <f>IF(ISBLANK('ALL Other SINs - Proposal'!A98)," ",'ALL Other SINs - Proposal'!A98)</f>
        <v xml:space="preserve"> </v>
      </c>
      <c r="B98" s="137" t="str">
        <f>IF(ISBLANK('ALL Other SINs - Proposal'!B98)," ",'ALL Other SINs - Proposal'!B98)</f>
        <v xml:space="preserve"> </v>
      </c>
      <c r="C98" s="137" t="str">
        <f>IF(ISBLANK('ALL Other SINs - Proposal'!C98)," ",'ALL Other SINs - Proposal'!C98)</f>
        <v xml:space="preserve"> </v>
      </c>
      <c r="D98" s="138" t="str">
        <f>IF(ISBLANK('ALL Other SINs - Proposal'!D98)," ",'ALL Other SINs - Proposal'!D98)</f>
        <v xml:space="preserve"> </v>
      </c>
      <c r="E98" s="69" t="str">
        <f>IF(ISBLANK('ALL Other SINs - Proposal'!R98)," ",'ALL Other SINs - Proposal'!R98)</f>
        <v xml:space="preserve"> </v>
      </c>
      <c r="F98" s="73" t="str">
        <f>IF(ISBLANK('ALL Other SINs - Proposal'!S98)," ",'ALL Other SINs - Proposal'!S98)</f>
        <v xml:space="preserve"> </v>
      </c>
      <c r="G98" s="173" t="str">
        <f>IF(ISBLANK('ALL Other SINs - Proposal'!T98)," ",'ALL Other SINs - Proposal'!T98)</f>
        <v xml:space="preserve"> </v>
      </c>
      <c r="H98" s="275" t="str">
        <f>IF(ISBLANK('ALL Other SINs - Proposal'!V98)," ",'ALL Other SINs - Proposal'!V98)</f>
        <v xml:space="preserve"> </v>
      </c>
      <c r="I98" s="271" t="str">
        <f>IF(ISBLANK('ALL Other SINs - Proposal'!W98)," ",'ALL Other SINs - Proposal'!W98)</f>
        <v xml:space="preserve"> </v>
      </c>
      <c r="J98" s="71" t="str">
        <f>IF(ISBLANK('ALL Other SINs - Proposal'!X98)," ",'ALL Other SINs - Proposal'!X98)</f>
        <v xml:space="preserve"> </v>
      </c>
      <c r="K98" s="165" t="str">
        <f>IF(ISBLANK('ALL Other SINs - Proposal'!AA98)," ",'ALL Other SINs - Proposal'!AA98)</f>
        <v xml:space="preserve"> </v>
      </c>
      <c r="L98" s="178" t="str">
        <f>IF(ISBLANK('ALL Other SINs - Proposal'!AB98)," ",'ALL Other SINs - Proposal'!AB98)</f>
        <v xml:space="preserve"> </v>
      </c>
      <c r="M98" s="72" t="str">
        <f t="shared" si="2"/>
        <v xml:space="preserve"> </v>
      </c>
      <c r="N98" s="167" t="str">
        <f t="shared" si="3"/>
        <v xml:space="preserve"> </v>
      </c>
    </row>
    <row r="99" spans="1:14" ht="15" x14ac:dyDescent="0.25">
      <c r="A99" s="131" t="str">
        <f>IF(ISBLANK('ALL Other SINs - Proposal'!A99)," ",'ALL Other SINs - Proposal'!A99)</f>
        <v xml:space="preserve"> </v>
      </c>
      <c r="B99" s="137" t="str">
        <f>IF(ISBLANK('ALL Other SINs - Proposal'!B99)," ",'ALL Other SINs - Proposal'!B99)</f>
        <v xml:space="preserve"> </v>
      </c>
      <c r="C99" s="137" t="str">
        <f>IF(ISBLANK('ALL Other SINs - Proposal'!C99)," ",'ALL Other SINs - Proposal'!C99)</f>
        <v xml:space="preserve"> </v>
      </c>
      <c r="D99" s="138" t="str">
        <f>IF(ISBLANK('ALL Other SINs - Proposal'!D99)," ",'ALL Other SINs - Proposal'!D99)</f>
        <v xml:space="preserve"> </v>
      </c>
      <c r="E99" s="69" t="str">
        <f>IF(ISBLANK('ALL Other SINs - Proposal'!R99)," ",'ALL Other SINs - Proposal'!R99)</f>
        <v xml:space="preserve"> </v>
      </c>
      <c r="F99" s="73" t="str">
        <f>IF(ISBLANK('ALL Other SINs - Proposal'!S99)," ",'ALL Other SINs - Proposal'!S99)</f>
        <v xml:space="preserve"> </v>
      </c>
      <c r="G99" s="173" t="str">
        <f>IF(ISBLANK('ALL Other SINs - Proposal'!T99)," ",'ALL Other SINs - Proposal'!T99)</f>
        <v xml:space="preserve"> </v>
      </c>
      <c r="H99" s="275" t="str">
        <f>IF(ISBLANK('ALL Other SINs - Proposal'!V99)," ",'ALL Other SINs - Proposal'!V99)</f>
        <v xml:space="preserve"> </v>
      </c>
      <c r="I99" s="271" t="str">
        <f>IF(ISBLANK('ALL Other SINs - Proposal'!W99)," ",'ALL Other SINs - Proposal'!W99)</f>
        <v xml:space="preserve"> </v>
      </c>
      <c r="J99" s="71" t="str">
        <f>IF(ISBLANK('ALL Other SINs - Proposal'!X99)," ",'ALL Other SINs - Proposal'!X99)</f>
        <v xml:space="preserve"> </v>
      </c>
      <c r="K99" s="165" t="str">
        <f>IF(ISBLANK('ALL Other SINs - Proposal'!AA99)," ",'ALL Other SINs - Proposal'!AA99)</f>
        <v xml:space="preserve"> </v>
      </c>
      <c r="L99" s="178" t="str">
        <f>IF(ISBLANK('ALL Other SINs - Proposal'!AB99)," ",'ALL Other SINs - Proposal'!AB99)</f>
        <v xml:space="preserve"> </v>
      </c>
      <c r="M99" s="72" t="str">
        <f t="shared" si="2"/>
        <v xml:space="preserve"> </v>
      </c>
      <c r="N99" s="167" t="str">
        <f t="shared" si="3"/>
        <v xml:space="preserve"> </v>
      </c>
    </row>
    <row r="100" spans="1:14" ht="15" x14ac:dyDescent="0.25">
      <c r="A100" s="131" t="str">
        <f>IF(ISBLANK('ALL Other SINs - Proposal'!A100)," ",'ALL Other SINs - Proposal'!A100)</f>
        <v xml:space="preserve"> </v>
      </c>
      <c r="B100" s="137" t="str">
        <f>IF(ISBLANK('ALL Other SINs - Proposal'!B100)," ",'ALL Other SINs - Proposal'!B100)</f>
        <v xml:space="preserve"> </v>
      </c>
      <c r="C100" s="137" t="str">
        <f>IF(ISBLANK('ALL Other SINs - Proposal'!C100)," ",'ALL Other SINs - Proposal'!C100)</f>
        <v xml:space="preserve"> </v>
      </c>
      <c r="D100" s="138" t="str">
        <f>IF(ISBLANK('ALL Other SINs - Proposal'!D100)," ",'ALL Other SINs - Proposal'!D100)</f>
        <v xml:space="preserve"> </v>
      </c>
      <c r="E100" s="69" t="str">
        <f>IF(ISBLANK('ALL Other SINs - Proposal'!R100)," ",'ALL Other SINs - Proposal'!R100)</f>
        <v xml:space="preserve"> </v>
      </c>
      <c r="F100" s="73" t="str">
        <f>IF(ISBLANK('ALL Other SINs - Proposal'!S100)," ",'ALL Other SINs - Proposal'!S100)</f>
        <v xml:space="preserve"> </v>
      </c>
      <c r="G100" s="173" t="str">
        <f>IF(ISBLANK('ALL Other SINs - Proposal'!T100)," ",'ALL Other SINs - Proposal'!T100)</f>
        <v xml:space="preserve"> </v>
      </c>
      <c r="H100" s="275" t="str">
        <f>IF(ISBLANK('ALL Other SINs - Proposal'!V100)," ",'ALL Other SINs - Proposal'!V100)</f>
        <v xml:space="preserve"> </v>
      </c>
      <c r="I100" s="271" t="str">
        <f>IF(ISBLANK('ALL Other SINs - Proposal'!W100)," ",'ALL Other SINs - Proposal'!W100)</f>
        <v xml:space="preserve"> </v>
      </c>
      <c r="J100" s="71" t="str">
        <f>IF(ISBLANK('ALL Other SINs - Proposal'!X100)," ",'ALL Other SINs - Proposal'!X100)</f>
        <v xml:space="preserve"> </v>
      </c>
      <c r="K100" s="165" t="str">
        <f>IF(ISBLANK('ALL Other SINs - Proposal'!AA100)," ",'ALL Other SINs - Proposal'!AA100)</f>
        <v xml:space="preserve"> </v>
      </c>
      <c r="L100" s="178" t="str">
        <f>IF(ISBLANK('ALL Other SINs - Proposal'!AB100)," ",'ALL Other SINs - Proposal'!AB100)</f>
        <v xml:space="preserve"> </v>
      </c>
      <c r="M100" s="72" t="str">
        <f t="shared" si="2"/>
        <v xml:space="preserve"> </v>
      </c>
      <c r="N100" s="167" t="str">
        <f t="shared" si="3"/>
        <v xml:space="preserve"> </v>
      </c>
    </row>
    <row r="101" spans="1:14" ht="15" x14ac:dyDescent="0.25">
      <c r="A101" s="131" t="str">
        <f>IF(ISBLANK('ALL Other SINs - Proposal'!A101)," ",'ALL Other SINs - Proposal'!A101)</f>
        <v xml:space="preserve"> </v>
      </c>
      <c r="B101" s="137" t="str">
        <f>IF(ISBLANK('ALL Other SINs - Proposal'!B101)," ",'ALL Other SINs - Proposal'!B101)</f>
        <v xml:space="preserve"> </v>
      </c>
      <c r="C101" s="137" t="str">
        <f>IF(ISBLANK('ALL Other SINs - Proposal'!C101)," ",'ALL Other SINs - Proposal'!C101)</f>
        <v xml:space="preserve"> </v>
      </c>
      <c r="D101" s="138" t="str">
        <f>IF(ISBLANK('ALL Other SINs - Proposal'!D101)," ",'ALL Other SINs - Proposal'!D101)</f>
        <v xml:space="preserve"> </v>
      </c>
      <c r="E101" s="69" t="str">
        <f>IF(ISBLANK('ALL Other SINs - Proposal'!R101)," ",'ALL Other SINs - Proposal'!R101)</f>
        <v xml:space="preserve"> </v>
      </c>
      <c r="F101" s="73" t="str">
        <f>IF(ISBLANK('ALL Other SINs - Proposal'!S101)," ",'ALL Other SINs - Proposal'!S101)</f>
        <v xml:space="preserve"> </v>
      </c>
      <c r="G101" s="173" t="str">
        <f>IF(ISBLANK('ALL Other SINs - Proposal'!T101)," ",'ALL Other SINs - Proposal'!T101)</f>
        <v xml:space="preserve"> </v>
      </c>
      <c r="H101" s="275" t="str">
        <f>IF(ISBLANK('ALL Other SINs - Proposal'!V101)," ",'ALL Other SINs - Proposal'!V101)</f>
        <v xml:space="preserve"> </v>
      </c>
      <c r="I101" s="271" t="str">
        <f>IF(ISBLANK('ALL Other SINs - Proposal'!W101)," ",'ALL Other SINs - Proposal'!W101)</f>
        <v xml:space="preserve"> </v>
      </c>
      <c r="J101" s="71" t="str">
        <f>IF(ISBLANK('ALL Other SINs - Proposal'!X101)," ",'ALL Other SINs - Proposal'!X101)</f>
        <v xml:space="preserve"> </v>
      </c>
      <c r="K101" s="165" t="str">
        <f>IF(ISBLANK('ALL Other SINs - Proposal'!AA101)," ",'ALL Other SINs - Proposal'!AA101)</f>
        <v xml:space="preserve"> </v>
      </c>
      <c r="L101" s="178" t="str">
        <f>IF(ISBLANK('ALL Other SINs - Proposal'!AB101)," ",'ALL Other SINs - Proposal'!AB101)</f>
        <v xml:space="preserve"> </v>
      </c>
      <c r="M101" s="72" t="str">
        <f t="shared" si="2"/>
        <v xml:space="preserve"> </v>
      </c>
      <c r="N101" s="167" t="str">
        <f t="shared" si="3"/>
        <v xml:space="preserve"> </v>
      </c>
    </row>
    <row r="102" spans="1:14" ht="15" x14ac:dyDescent="0.25">
      <c r="A102" s="131" t="str">
        <f>IF(ISBLANK('ALL Other SINs - Proposal'!A102)," ",'ALL Other SINs - Proposal'!A102)</f>
        <v xml:space="preserve"> </v>
      </c>
      <c r="B102" s="137" t="str">
        <f>IF(ISBLANK('ALL Other SINs - Proposal'!B102)," ",'ALL Other SINs - Proposal'!B102)</f>
        <v xml:space="preserve"> </v>
      </c>
      <c r="C102" s="137" t="str">
        <f>IF(ISBLANK('ALL Other SINs - Proposal'!C102)," ",'ALL Other SINs - Proposal'!C102)</f>
        <v xml:space="preserve"> </v>
      </c>
      <c r="D102" s="138" t="str">
        <f>IF(ISBLANK('ALL Other SINs - Proposal'!D102)," ",'ALL Other SINs - Proposal'!D102)</f>
        <v xml:space="preserve"> </v>
      </c>
      <c r="E102" s="69" t="str">
        <f>IF(ISBLANK('ALL Other SINs - Proposal'!R102)," ",'ALL Other SINs - Proposal'!R102)</f>
        <v xml:space="preserve"> </v>
      </c>
      <c r="F102" s="73" t="str">
        <f>IF(ISBLANK('ALL Other SINs - Proposal'!S102)," ",'ALL Other SINs - Proposal'!S102)</f>
        <v xml:space="preserve"> </v>
      </c>
      <c r="G102" s="173" t="str">
        <f>IF(ISBLANK('ALL Other SINs - Proposal'!T102)," ",'ALL Other SINs - Proposal'!T102)</f>
        <v xml:space="preserve"> </v>
      </c>
      <c r="H102" s="275" t="str">
        <f>IF(ISBLANK('ALL Other SINs - Proposal'!V102)," ",'ALL Other SINs - Proposal'!V102)</f>
        <v xml:space="preserve"> </v>
      </c>
      <c r="I102" s="271" t="str">
        <f>IF(ISBLANK('ALL Other SINs - Proposal'!W102)," ",'ALL Other SINs - Proposal'!W102)</f>
        <v xml:space="preserve"> </v>
      </c>
      <c r="J102" s="71" t="str">
        <f>IF(ISBLANK('ALL Other SINs - Proposal'!X102)," ",'ALL Other SINs - Proposal'!X102)</f>
        <v xml:space="preserve"> </v>
      </c>
      <c r="K102" s="165" t="str">
        <f>IF(ISBLANK('ALL Other SINs - Proposal'!AA102)," ",'ALL Other SINs - Proposal'!AA102)</f>
        <v xml:space="preserve"> </v>
      </c>
      <c r="L102" s="178" t="str">
        <f>IF(ISBLANK('ALL Other SINs - Proposal'!AB102)," ",'ALL Other SINs - Proposal'!AB102)</f>
        <v xml:space="preserve"> </v>
      </c>
      <c r="M102" s="72" t="str">
        <f t="shared" si="2"/>
        <v xml:space="preserve"> </v>
      </c>
      <c r="N102" s="167" t="str">
        <f t="shared" si="3"/>
        <v xml:space="preserve"> </v>
      </c>
    </row>
    <row r="103" spans="1:14" ht="15" x14ac:dyDescent="0.25">
      <c r="A103" s="131" t="str">
        <f>IF(ISBLANK('ALL Other SINs - Proposal'!A103)," ",'ALL Other SINs - Proposal'!A103)</f>
        <v xml:space="preserve"> </v>
      </c>
      <c r="B103" s="137" t="str">
        <f>IF(ISBLANK('ALL Other SINs - Proposal'!B103)," ",'ALL Other SINs - Proposal'!B103)</f>
        <v xml:space="preserve"> </v>
      </c>
      <c r="C103" s="137" t="str">
        <f>IF(ISBLANK('ALL Other SINs - Proposal'!C103)," ",'ALL Other SINs - Proposal'!C103)</f>
        <v xml:space="preserve"> </v>
      </c>
      <c r="D103" s="138" t="str">
        <f>IF(ISBLANK('ALL Other SINs - Proposal'!D103)," ",'ALL Other SINs - Proposal'!D103)</f>
        <v xml:space="preserve"> </v>
      </c>
      <c r="E103" s="69" t="str">
        <f>IF(ISBLANK('ALL Other SINs - Proposal'!R103)," ",'ALL Other SINs - Proposal'!R103)</f>
        <v xml:space="preserve"> </v>
      </c>
      <c r="F103" s="73" t="str">
        <f>IF(ISBLANK('ALL Other SINs - Proposal'!S103)," ",'ALL Other SINs - Proposal'!S103)</f>
        <v xml:space="preserve"> </v>
      </c>
      <c r="G103" s="173" t="str">
        <f>IF(ISBLANK('ALL Other SINs - Proposal'!T103)," ",'ALL Other SINs - Proposal'!T103)</f>
        <v xml:space="preserve"> </v>
      </c>
      <c r="H103" s="275" t="str">
        <f>IF(ISBLANK('ALL Other SINs - Proposal'!V103)," ",'ALL Other SINs - Proposal'!V103)</f>
        <v xml:space="preserve"> </v>
      </c>
      <c r="I103" s="271" t="str">
        <f>IF(ISBLANK('ALL Other SINs - Proposal'!W103)," ",'ALL Other SINs - Proposal'!W103)</f>
        <v xml:space="preserve"> </v>
      </c>
      <c r="J103" s="71" t="str">
        <f>IF(ISBLANK('ALL Other SINs - Proposal'!X103)," ",'ALL Other SINs - Proposal'!X103)</f>
        <v xml:space="preserve"> </v>
      </c>
      <c r="K103" s="165" t="str">
        <f>IF(ISBLANK('ALL Other SINs - Proposal'!AA103)," ",'ALL Other SINs - Proposal'!AA103)</f>
        <v xml:space="preserve"> </v>
      </c>
      <c r="L103" s="178" t="str">
        <f>IF(ISBLANK('ALL Other SINs - Proposal'!AB103)," ",'ALL Other SINs - Proposal'!AB103)</f>
        <v xml:space="preserve"> </v>
      </c>
      <c r="M103" s="72" t="str">
        <f t="shared" si="2"/>
        <v xml:space="preserve"> </v>
      </c>
      <c r="N103" s="167" t="str">
        <f t="shared" si="3"/>
        <v xml:space="preserve"> </v>
      </c>
    </row>
    <row r="104" spans="1:14" ht="15" x14ac:dyDescent="0.25">
      <c r="A104" s="131" t="str">
        <f>IF(ISBLANK('ALL Other SINs - Proposal'!A104)," ",'ALL Other SINs - Proposal'!A104)</f>
        <v xml:space="preserve"> </v>
      </c>
      <c r="B104" s="137" t="str">
        <f>IF(ISBLANK('ALL Other SINs - Proposal'!B104)," ",'ALL Other SINs - Proposal'!B104)</f>
        <v xml:space="preserve"> </v>
      </c>
      <c r="C104" s="137" t="str">
        <f>IF(ISBLANK('ALL Other SINs - Proposal'!C104)," ",'ALL Other SINs - Proposal'!C104)</f>
        <v xml:space="preserve"> </v>
      </c>
      <c r="D104" s="138" t="str">
        <f>IF(ISBLANK('ALL Other SINs - Proposal'!D104)," ",'ALL Other SINs - Proposal'!D104)</f>
        <v xml:space="preserve"> </v>
      </c>
      <c r="E104" s="69" t="str">
        <f>IF(ISBLANK('ALL Other SINs - Proposal'!R104)," ",'ALL Other SINs - Proposal'!R104)</f>
        <v xml:space="preserve"> </v>
      </c>
      <c r="F104" s="73" t="str">
        <f>IF(ISBLANK('ALL Other SINs - Proposal'!S104)," ",'ALL Other SINs - Proposal'!S104)</f>
        <v xml:space="preserve"> </v>
      </c>
      <c r="G104" s="173" t="str">
        <f>IF(ISBLANK('ALL Other SINs - Proposal'!T104)," ",'ALL Other SINs - Proposal'!T104)</f>
        <v xml:space="preserve"> </v>
      </c>
      <c r="H104" s="275" t="str">
        <f>IF(ISBLANK('ALL Other SINs - Proposal'!V104)," ",'ALL Other SINs - Proposal'!V104)</f>
        <v xml:space="preserve"> </v>
      </c>
      <c r="I104" s="271" t="str">
        <f>IF(ISBLANK('ALL Other SINs - Proposal'!W104)," ",'ALL Other SINs - Proposal'!W104)</f>
        <v xml:space="preserve"> </v>
      </c>
      <c r="J104" s="71" t="str">
        <f>IF(ISBLANK('ALL Other SINs - Proposal'!X104)," ",'ALL Other SINs - Proposal'!X104)</f>
        <v xml:space="preserve"> </v>
      </c>
      <c r="K104" s="165" t="str">
        <f>IF(ISBLANK('ALL Other SINs - Proposal'!AA104)," ",'ALL Other SINs - Proposal'!AA104)</f>
        <v xml:space="preserve"> </v>
      </c>
      <c r="L104" s="178" t="str">
        <f>IF(ISBLANK('ALL Other SINs - Proposal'!AB104)," ",'ALL Other SINs - Proposal'!AB104)</f>
        <v xml:space="preserve"> </v>
      </c>
      <c r="M104" s="72" t="str">
        <f t="shared" si="2"/>
        <v xml:space="preserve"> </v>
      </c>
      <c r="N104" s="167" t="str">
        <f t="shared" si="3"/>
        <v xml:space="preserve"> </v>
      </c>
    </row>
    <row r="105" spans="1:14" ht="15" x14ac:dyDescent="0.25">
      <c r="A105" s="131" t="str">
        <f>IF(ISBLANK('ALL Other SINs - Proposal'!A105)," ",'ALL Other SINs - Proposal'!A105)</f>
        <v xml:space="preserve"> </v>
      </c>
      <c r="B105" s="137" t="str">
        <f>IF(ISBLANK('ALL Other SINs - Proposal'!B105)," ",'ALL Other SINs - Proposal'!B105)</f>
        <v xml:space="preserve"> </v>
      </c>
      <c r="C105" s="137" t="str">
        <f>IF(ISBLANK('ALL Other SINs - Proposal'!C105)," ",'ALL Other SINs - Proposal'!C105)</f>
        <v xml:space="preserve"> </v>
      </c>
      <c r="D105" s="138" t="str">
        <f>IF(ISBLANK('ALL Other SINs - Proposal'!D105)," ",'ALL Other SINs - Proposal'!D105)</f>
        <v xml:space="preserve"> </v>
      </c>
      <c r="E105" s="69" t="str">
        <f>IF(ISBLANK('ALL Other SINs - Proposal'!R105)," ",'ALL Other SINs - Proposal'!R105)</f>
        <v xml:space="preserve"> </v>
      </c>
      <c r="F105" s="73" t="str">
        <f>IF(ISBLANK('ALL Other SINs - Proposal'!S105)," ",'ALL Other SINs - Proposal'!S105)</f>
        <v xml:space="preserve"> </v>
      </c>
      <c r="G105" s="173" t="str">
        <f>IF(ISBLANK('ALL Other SINs - Proposal'!T105)," ",'ALL Other SINs - Proposal'!T105)</f>
        <v xml:space="preserve"> </v>
      </c>
      <c r="H105" s="275" t="str">
        <f>IF(ISBLANK('ALL Other SINs - Proposal'!V105)," ",'ALL Other SINs - Proposal'!V105)</f>
        <v xml:space="preserve"> </v>
      </c>
      <c r="I105" s="271" t="str">
        <f>IF(ISBLANK('ALL Other SINs - Proposal'!W105)," ",'ALL Other SINs - Proposal'!W105)</f>
        <v xml:space="preserve"> </v>
      </c>
      <c r="J105" s="71" t="str">
        <f>IF(ISBLANK('ALL Other SINs - Proposal'!X105)," ",'ALL Other SINs - Proposal'!X105)</f>
        <v xml:space="preserve"> </v>
      </c>
      <c r="K105" s="165" t="str">
        <f>IF(ISBLANK('ALL Other SINs - Proposal'!AA105)," ",'ALL Other SINs - Proposal'!AA105)</f>
        <v xml:space="preserve"> </v>
      </c>
      <c r="L105" s="178" t="str">
        <f>IF(ISBLANK('ALL Other SINs - Proposal'!AB105)," ",'ALL Other SINs - Proposal'!AB105)</f>
        <v xml:space="preserve"> </v>
      </c>
      <c r="M105" s="72" t="str">
        <f t="shared" si="2"/>
        <v xml:space="preserve"> </v>
      </c>
      <c r="N105" s="167" t="str">
        <f t="shared" si="3"/>
        <v xml:space="preserve"> </v>
      </c>
    </row>
    <row r="106" spans="1:14" ht="15" x14ac:dyDescent="0.25">
      <c r="A106" s="131" t="str">
        <f>IF(ISBLANK('ALL Other SINs - Proposal'!A106)," ",'ALL Other SINs - Proposal'!A106)</f>
        <v xml:space="preserve"> </v>
      </c>
      <c r="B106" s="137" t="str">
        <f>IF(ISBLANK('ALL Other SINs - Proposal'!B106)," ",'ALL Other SINs - Proposal'!B106)</f>
        <v xml:space="preserve"> </v>
      </c>
      <c r="C106" s="137" t="str">
        <f>IF(ISBLANK('ALL Other SINs - Proposal'!C106)," ",'ALL Other SINs - Proposal'!C106)</f>
        <v xml:space="preserve"> </v>
      </c>
      <c r="D106" s="138" t="str">
        <f>IF(ISBLANK('ALL Other SINs - Proposal'!D106)," ",'ALL Other SINs - Proposal'!D106)</f>
        <v xml:space="preserve"> </v>
      </c>
      <c r="E106" s="69" t="str">
        <f>IF(ISBLANK('ALL Other SINs - Proposal'!R106)," ",'ALL Other SINs - Proposal'!R106)</f>
        <v xml:space="preserve"> </v>
      </c>
      <c r="F106" s="73" t="str">
        <f>IF(ISBLANK('ALL Other SINs - Proposal'!S106)," ",'ALL Other SINs - Proposal'!S106)</f>
        <v xml:space="preserve"> </v>
      </c>
      <c r="G106" s="173" t="str">
        <f>IF(ISBLANK('ALL Other SINs - Proposal'!T106)," ",'ALL Other SINs - Proposal'!T106)</f>
        <v xml:space="preserve"> </v>
      </c>
      <c r="H106" s="275" t="str">
        <f>IF(ISBLANK('ALL Other SINs - Proposal'!V106)," ",'ALL Other SINs - Proposal'!V106)</f>
        <v xml:space="preserve"> </v>
      </c>
      <c r="I106" s="271" t="str">
        <f>IF(ISBLANK('ALL Other SINs - Proposal'!W106)," ",'ALL Other SINs - Proposal'!W106)</f>
        <v xml:space="preserve"> </v>
      </c>
      <c r="J106" s="71" t="str">
        <f>IF(ISBLANK('ALL Other SINs - Proposal'!X106)," ",'ALL Other SINs - Proposal'!X106)</f>
        <v xml:space="preserve"> </v>
      </c>
      <c r="K106" s="165" t="str">
        <f>IF(ISBLANK('ALL Other SINs - Proposal'!AA106)," ",'ALL Other SINs - Proposal'!AA106)</f>
        <v xml:space="preserve"> </v>
      </c>
      <c r="L106" s="178" t="str">
        <f>IF(ISBLANK('ALL Other SINs - Proposal'!AB106)," ",'ALL Other SINs - Proposal'!AB106)</f>
        <v xml:space="preserve"> </v>
      </c>
      <c r="M106" s="72" t="str">
        <f t="shared" si="2"/>
        <v xml:space="preserve"> </v>
      </c>
      <c r="N106" s="167" t="str">
        <f t="shared" si="3"/>
        <v xml:space="preserve"> </v>
      </c>
    </row>
    <row r="107" spans="1:14" ht="15" x14ac:dyDescent="0.25">
      <c r="A107" s="131" t="str">
        <f>IF(ISBLANK('ALL Other SINs - Proposal'!A107)," ",'ALL Other SINs - Proposal'!A107)</f>
        <v xml:space="preserve"> </v>
      </c>
      <c r="B107" s="137" t="str">
        <f>IF(ISBLANK('ALL Other SINs - Proposal'!B107)," ",'ALL Other SINs - Proposal'!B107)</f>
        <v xml:space="preserve"> </v>
      </c>
      <c r="C107" s="137" t="str">
        <f>IF(ISBLANK('ALL Other SINs - Proposal'!C107)," ",'ALL Other SINs - Proposal'!C107)</f>
        <v xml:space="preserve"> </v>
      </c>
      <c r="D107" s="138" t="str">
        <f>IF(ISBLANK('ALL Other SINs - Proposal'!D107)," ",'ALL Other SINs - Proposal'!D107)</f>
        <v xml:space="preserve"> </v>
      </c>
      <c r="E107" s="69" t="str">
        <f>IF(ISBLANK('ALL Other SINs - Proposal'!R107)," ",'ALL Other SINs - Proposal'!R107)</f>
        <v xml:space="preserve"> </v>
      </c>
      <c r="F107" s="73" t="str">
        <f>IF(ISBLANK('ALL Other SINs - Proposal'!S107)," ",'ALL Other SINs - Proposal'!S107)</f>
        <v xml:space="preserve"> </v>
      </c>
      <c r="G107" s="173" t="str">
        <f>IF(ISBLANK('ALL Other SINs - Proposal'!T107)," ",'ALL Other SINs - Proposal'!T107)</f>
        <v xml:space="preserve"> </v>
      </c>
      <c r="H107" s="275" t="str">
        <f>IF(ISBLANK('ALL Other SINs - Proposal'!V107)," ",'ALL Other SINs - Proposal'!V107)</f>
        <v xml:space="preserve"> </v>
      </c>
      <c r="I107" s="271" t="str">
        <f>IF(ISBLANK('ALL Other SINs - Proposal'!W107)," ",'ALL Other SINs - Proposal'!W107)</f>
        <v xml:space="preserve"> </v>
      </c>
      <c r="J107" s="71" t="str">
        <f>IF(ISBLANK('ALL Other SINs - Proposal'!X107)," ",'ALL Other SINs - Proposal'!X107)</f>
        <v xml:space="preserve"> </v>
      </c>
      <c r="K107" s="165" t="str">
        <f>IF(ISBLANK('ALL Other SINs - Proposal'!AA107)," ",'ALL Other SINs - Proposal'!AA107)</f>
        <v xml:space="preserve"> </v>
      </c>
      <c r="L107" s="178" t="str">
        <f>IF(ISBLANK('ALL Other SINs - Proposal'!AB107)," ",'ALL Other SINs - Proposal'!AB107)</f>
        <v xml:space="preserve"> </v>
      </c>
      <c r="M107" s="72" t="str">
        <f t="shared" si="2"/>
        <v xml:space="preserve"> </v>
      </c>
      <c r="N107" s="167" t="str">
        <f t="shared" si="3"/>
        <v xml:space="preserve"> </v>
      </c>
    </row>
    <row r="108" spans="1:14" ht="15" x14ac:dyDescent="0.25">
      <c r="A108" s="131" t="str">
        <f>IF(ISBLANK('ALL Other SINs - Proposal'!A108)," ",'ALL Other SINs - Proposal'!A108)</f>
        <v xml:space="preserve"> </v>
      </c>
      <c r="B108" s="137" t="str">
        <f>IF(ISBLANK('ALL Other SINs - Proposal'!B108)," ",'ALL Other SINs - Proposal'!B108)</f>
        <v xml:space="preserve"> </v>
      </c>
      <c r="C108" s="137" t="str">
        <f>IF(ISBLANK('ALL Other SINs - Proposal'!C108)," ",'ALL Other SINs - Proposal'!C108)</f>
        <v xml:space="preserve"> </v>
      </c>
      <c r="D108" s="138" t="str">
        <f>IF(ISBLANK('ALL Other SINs - Proposal'!D108)," ",'ALL Other SINs - Proposal'!D108)</f>
        <v xml:space="preserve"> </v>
      </c>
      <c r="E108" s="69" t="str">
        <f>IF(ISBLANK('ALL Other SINs - Proposal'!R108)," ",'ALL Other SINs - Proposal'!R108)</f>
        <v xml:space="preserve"> </v>
      </c>
      <c r="F108" s="73" t="str">
        <f>IF(ISBLANK('ALL Other SINs - Proposal'!S108)," ",'ALL Other SINs - Proposal'!S108)</f>
        <v xml:space="preserve"> </v>
      </c>
      <c r="G108" s="173" t="str">
        <f>IF(ISBLANK('ALL Other SINs - Proposal'!T108)," ",'ALL Other SINs - Proposal'!T108)</f>
        <v xml:space="preserve"> </v>
      </c>
      <c r="H108" s="275" t="str">
        <f>IF(ISBLANK('ALL Other SINs - Proposal'!V108)," ",'ALL Other SINs - Proposal'!V108)</f>
        <v xml:space="preserve"> </v>
      </c>
      <c r="I108" s="271" t="str">
        <f>IF(ISBLANK('ALL Other SINs - Proposal'!W108)," ",'ALL Other SINs - Proposal'!W108)</f>
        <v xml:space="preserve"> </v>
      </c>
      <c r="J108" s="71" t="str">
        <f>IF(ISBLANK('ALL Other SINs - Proposal'!X108)," ",'ALL Other SINs - Proposal'!X108)</f>
        <v xml:space="preserve"> </v>
      </c>
      <c r="K108" s="165" t="str">
        <f>IF(ISBLANK('ALL Other SINs - Proposal'!AA108)," ",'ALL Other SINs - Proposal'!AA108)</f>
        <v xml:space="preserve"> </v>
      </c>
      <c r="L108" s="178" t="str">
        <f>IF(ISBLANK('ALL Other SINs - Proposal'!AB108)," ",'ALL Other SINs - Proposal'!AB108)</f>
        <v xml:space="preserve"> </v>
      </c>
      <c r="M108" s="72" t="str">
        <f t="shared" si="2"/>
        <v xml:space="preserve"> </v>
      </c>
      <c r="N108" s="167" t="str">
        <f t="shared" si="3"/>
        <v xml:space="preserve"> </v>
      </c>
    </row>
    <row r="109" spans="1:14" ht="15" x14ac:dyDescent="0.25">
      <c r="A109" s="131" t="str">
        <f>IF(ISBLANK('ALL Other SINs - Proposal'!A109)," ",'ALL Other SINs - Proposal'!A109)</f>
        <v xml:space="preserve"> </v>
      </c>
      <c r="B109" s="137" t="str">
        <f>IF(ISBLANK('ALL Other SINs - Proposal'!B109)," ",'ALL Other SINs - Proposal'!B109)</f>
        <v xml:space="preserve"> </v>
      </c>
      <c r="C109" s="137" t="str">
        <f>IF(ISBLANK('ALL Other SINs - Proposal'!C109)," ",'ALL Other SINs - Proposal'!C109)</f>
        <v xml:space="preserve"> </v>
      </c>
      <c r="D109" s="138" t="str">
        <f>IF(ISBLANK('ALL Other SINs - Proposal'!D109)," ",'ALL Other SINs - Proposal'!D109)</f>
        <v xml:space="preserve"> </v>
      </c>
      <c r="E109" s="69" t="str">
        <f>IF(ISBLANK('ALL Other SINs - Proposal'!R109)," ",'ALL Other SINs - Proposal'!R109)</f>
        <v xml:space="preserve"> </v>
      </c>
      <c r="F109" s="73" t="str">
        <f>IF(ISBLANK('ALL Other SINs - Proposal'!S109)," ",'ALL Other SINs - Proposal'!S109)</f>
        <v xml:space="preserve"> </v>
      </c>
      <c r="G109" s="173" t="str">
        <f>IF(ISBLANK('ALL Other SINs - Proposal'!T109)," ",'ALL Other SINs - Proposal'!T109)</f>
        <v xml:space="preserve"> </v>
      </c>
      <c r="H109" s="275" t="str">
        <f>IF(ISBLANK('ALL Other SINs - Proposal'!V109)," ",'ALL Other SINs - Proposal'!V109)</f>
        <v xml:space="preserve"> </v>
      </c>
      <c r="I109" s="271" t="str">
        <f>IF(ISBLANK('ALL Other SINs - Proposal'!W109)," ",'ALL Other SINs - Proposal'!W109)</f>
        <v xml:space="preserve"> </v>
      </c>
      <c r="J109" s="71" t="str">
        <f>IF(ISBLANK('ALL Other SINs - Proposal'!X109)," ",'ALL Other SINs - Proposal'!X109)</f>
        <v xml:space="preserve"> </v>
      </c>
      <c r="K109" s="165" t="str">
        <f>IF(ISBLANK('ALL Other SINs - Proposal'!AA109)," ",'ALL Other SINs - Proposal'!AA109)</f>
        <v xml:space="preserve"> </v>
      </c>
      <c r="L109" s="178" t="str">
        <f>IF(ISBLANK('ALL Other SINs - Proposal'!AB109)," ",'ALL Other SINs - Proposal'!AB109)</f>
        <v xml:space="preserve"> </v>
      </c>
      <c r="M109" s="72" t="str">
        <f t="shared" si="2"/>
        <v xml:space="preserve"> </v>
      </c>
      <c r="N109" s="167" t="str">
        <f t="shared" si="3"/>
        <v xml:space="preserve"> </v>
      </c>
    </row>
    <row r="110" spans="1:14" ht="15" x14ac:dyDescent="0.25">
      <c r="A110" s="131" t="str">
        <f>IF(ISBLANK('ALL Other SINs - Proposal'!A110)," ",'ALL Other SINs - Proposal'!A110)</f>
        <v xml:space="preserve"> </v>
      </c>
      <c r="B110" s="137" t="str">
        <f>IF(ISBLANK('ALL Other SINs - Proposal'!B110)," ",'ALL Other SINs - Proposal'!B110)</f>
        <v xml:space="preserve"> </v>
      </c>
      <c r="C110" s="137" t="str">
        <f>IF(ISBLANK('ALL Other SINs - Proposal'!C110)," ",'ALL Other SINs - Proposal'!C110)</f>
        <v xml:space="preserve"> </v>
      </c>
      <c r="D110" s="138" t="str">
        <f>IF(ISBLANK('ALL Other SINs - Proposal'!D110)," ",'ALL Other SINs - Proposal'!D110)</f>
        <v xml:space="preserve"> </v>
      </c>
      <c r="E110" s="69" t="str">
        <f>IF(ISBLANK('ALL Other SINs - Proposal'!R110)," ",'ALL Other SINs - Proposal'!R110)</f>
        <v xml:space="preserve"> </v>
      </c>
      <c r="F110" s="73" t="str">
        <f>IF(ISBLANK('ALL Other SINs - Proposal'!S110)," ",'ALL Other SINs - Proposal'!S110)</f>
        <v xml:space="preserve"> </v>
      </c>
      <c r="G110" s="173" t="str">
        <f>IF(ISBLANK('ALL Other SINs - Proposal'!T110)," ",'ALL Other SINs - Proposal'!T110)</f>
        <v xml:space="preserve"> </v>
      </c>
      <c r="H110" s="275" t="str">
        <f>IF(ISBLANK('ALL Other SINs - Proposal'!V110)," ",'ALL Other SINs - Proposal'!V110)</f>
        <v xml:space="preserve"> </v>
      </c>
      <c r="I110" s="271" t="str">
        <f>IF(ISBLANK('ALL Other SINs - Proposal'!W110)," ",'ALL Other SINs - Proposal'!W110)</f>
        <v xml:space="preserve"> </v>
      </c>
      <c r="J110" s="71" t="str">
        <f>IF(ISBLANK('ALL Other SINs - Proposal'!X110)," ",'ALL Other SINs - Proposal'!X110)</f>
        <v xml:space="preserve"> </v>
      </c>
      <c r="K110" s="165" t="str">
        <f>IF(ISBLANK('ALL Other SINs - Proposal'!AA110)," ",'ALL Other SINs - Proposal'!AA110)</f>
        <v xml:space="preserve"> </v>
      </c>
      <c r="L110" s="178" t="str">
        <f>IF(ISBLANK('ALL Other SINs - Proposal'!AB110)," ",'ALL Other SINs - Proposal'!AB110)</f>
        <v xml:space="preserve"> </v>
      </c>
      <c r="M110" s="72" t="str">
        <f t="shared" si="2"/>
        <v xml:space="preserve"> </v>
      </c>
      <c r="N110" s="167" t="str">
        <f t="shared" si="3"/>
        <v xml:space="preserve"> </v>
      </c>
    </row>
    <row r="111" spans="1:14" ht="15" x14ac:dyDescent="0.25">
      <c r="A111" s="131" t="str">
        <f>IF(ISBLANK('ALL Other SINs - Proposal'!A111)," ",'ALL Other SINs - Proposal'!A111)</f>
        <v xml:space="preserve"> </v>
      </c>
      <c r="B111" s="137" t="str">
        <f>IF(ISBLANK('ALL Other SINs - Proposal'!B111)," ",'ALL Other SINs - Proposal'!B111)</f>
        <v xml:space="preserve"> </v>
      </c>
      <c r="C111" s="137" t="str">
        <f>IF(ISBLANK('ALL Other SINs - Proposal'!C111)," ",'ALL Other SINs - Proposal'!C111)</f>
        <v xml:space="preserve"> </v>
      </c>
      <c r="D111" s="138" t="str">
        <f>IF(ISBLANK('ALL Other SINs - Proposal'!D111)," ",'ALL Other SINs - Proposal'!D111)</f>
        <v xml:space="preserve"> </v>
      </c>
      <c r="E111" s="69" t="str">
        <f>IF(ISBLANK('ALL Other SINs - Proposal'!R111)," ",'ALL Other SINs - Proposal'!R111)</f>
        <v xml:space="preserve"> </v>
      </c>
      <c r="F111" s="73" t="str">
        <f>IF(ISBLANK('ALL Other SINs - Proposal'!S111)," ",'ALL Other SINs - Proposal'!S111)</f>
        <v xml:space="preserve"> </v>
      </c>
      <c r="G111" s="173" t="str">
        <f>IF(ISBLANK('ALL Other SINs - Proposal'!T111)," ",'ALL Other SINs - Proposal'!T111)</f>
        <v xml:space="preserve"> </v>
      </c>
      <c r="H111" s="275" t="str">
        <f>IF(ISBLANK('ALL Other SINs - Proposal'!V111)," ",'ALL Other SINs - Proposal'!V111)</f>
        <v xml:space="preserve"> </v>
      </c>
      <c r="I111" s="271" t="str">
        <f>IF(ISBLANK('ALL Other SINs - Proposal'!W111)," ",'ALL Other SINs - Proposal'!W111)</f>
        <v xml:space="preserve"> </v>
      </c>
      <c r="J111" s="71" t="str">
        <f>IF(ISBLANK('ALL Other SINs - Proposal'!X111)," ",'ALL Other SINs - Proposal'!X111)</f>
        <v xml:space="preserve"> </v>
      </c>
      <c r="K111" s="165" t="str">
        <f>IF(ISBLANK('ALL Other SINs - Proposal'!AA111)," ",'ALL Other SINs - Proposal'!AA111)</f>
        <v xml:space="preserve"> </v>
      </c>
      <c r="L111" s="178" t="str">
        <f>IF(ISBLANK('ALL Other SINs - Proposal'!AB111)," ",'ALL Other SINs - Proposal'!AB111)</f>
        <v xml:space="preserve"> </v>
      </c>
      <c r="M111" s="72" t="str">
        <f t="shared" si="2"/>
        <v xml:space="preserve"> </v>
      </c>
      <c r="N111" s="167" t="str">
        <f t="shared" si="3"/>
        <v xml:space="preserve"> </v>
      </c>
    </row>
    <row r="112" spans="1:14" ht="15" x14ac:dyDescent="0.25">
      <c r="A112" s="131" t="str">
        <f>IF(ISBLANK('ALL Other SINs - Proposal'!A112)," ",'ALL Other SINs - Proposal'!A112)</f>
        <v xml:space="preserve"> </v>
      </c>
      <c r="B112" s="137" t="str">
        <f>IF(ISBLANK('ALL Other SINs - Proposal'!B112)," ",'ALL Other SINs - Proposal'!B112)</f>
        <v xml:space="preserve"> </v>
      </c>
      <c r="C112" s="137" t="str">
        <f>IF(ISBLANK('ALL Other SINs - Proposal'!C112)," ",'ALL Other SINs - Proposal'!C112)</f>
        <v xml:space="preserve"> </v>
      </c>
      <c r="D112" s="138" t="str">
        <f>IF(ISBLANK('ALL Other SINs - Proposal'!D112)," ",'ALL Other SINs - Proposal'!D112)</f>
        <v xml:space="preserve"> </v>
      </c>
      <c r="E112" s="69" t="str">
        <f>IF(ISBLANK('ALL Other SINs - Proposal'!R112)," ",'ALL Other SINs - Proposal'!R112)</f>
        <v xml:space="preserve"> </v>
      </c>
      <c r="F112" s="73" t="str">
        <f>IF(ISBLANK('ALL Other SINs - Proposal'!S112)," ",'ALL Other SINs - Proposal'!S112)</f>
        <v xml:space="preserve"> </v>
      </c>
      <c r="G112" s="173" t="str">
        <f>IF(ISBLANK('ALL Other SINs - Proposal'!T112)," ",'ALL Other SINs - Proposal'!T112)</f>
        <v xml:space="preserve"> </v>
      </c>
      <c r="H112" s="275" t="str">
        <f>IF(ISBLANK('ALL Other SINs - Proposal'!V112)," ",'ALL Other SINs - Proposal'!V112)</f>
        <v xml:space="preserve"> </v>
      </c>
      <c r="I112" s="271" t="str">
        <f>IF(ISBLANK('ALL Other SINs - Proposal'!W112)," ",'ALL Other SINs - Proposal'!W112)</f>
        <v xml:space="preserve"> </v>
      </c>
      <c r="J112" s="71" t="str">
        <f>IF(ISBLANK('ALL Other SINs - Proposal'!X112)," ",'ALL Other SINs - Proposal'!X112)</f>
        <v xml:space="preserve"> </v>
      </c>
      <c r="K112" s="165" t="str">
        <f>IF(ISBLANK('ALL Other SINs - Proposal'!AA112)," ",'ALL Other SINs - Proposal'!AA112)</f>
        <v xml:space="preserve"> </v>
      </c>
      <c r="L112" s="178" t="str">
        <f>IF(ISBLANK('ALL Other SINs - Proposal'!AB112)," ",'ALL Other SINs - Proposal'!AB112)</f>
        <v xml:space="preserve"> </v>
      </c>
      <c r="M112" s="72" t="str">
        <f t="shared" si="2"/>
        <v xml:space="preserve"> </v>
      </c>
      <c r="N112" s="167" t="str">
        <f t="shared" si="3"/>
        <v xml:space="preserve"> </v>
      </c>
    </row>
    <row r="113" spans="1:14" ht="15" x14ac:dyDescent="0.25">
      <c r="A113" s="131" t="str">
        <f>IF(ISBLANK('ALL Other SINs - Proposal'!A113)," ",'ALL Other SINs - Proposal'!A113)</f>
        <v xml:space="preserve"> </v>
      </c>
      <c r="B113" s="137" t="str">
        <f>IF(ISBLANK('ALL Other SINs - Proposal'!B113)," ",'ALL Other SINs - Proposal'!B113)</f>
        <v xml:space="preserve"> </v>
      </c>
      <c r="C113" s="137" t="str">
        <f>IF(ISBLANK('ALL Other SINs - Proposal'!C113)," ",'ALL Other SINs - Proposal'!C113)</f>
        <v xml:space="preserve"> </v>
      </c>
      <c r="D113" s="138" t="str">
        <f>IF(ISBLANK('ALL Other SINs - Proposal'!D113)," ",'ALL Other SINs - Proposal'!D113)</f>
        <v xml:space="preserve"> </v>
      </c>
      <c r="E113" s="69" t="str">
        <f>IF(ISBLANK('ALL Other SINs - Proposal'!R113)," ",'ALL Other SINs - Proposal'!R113)</f>
        <v xml:space="preserve"> </v>
      </c>
      <c r="F113" s="73" t="str">
        <f>IF(ISBLANK('ALL Other SINs - Proposal'!S113)," ",'ALL Other SINs - Proposal'!S113)</f>
        <v xml:space="preserve"> </v>
      </c>
      <c r="G113" s="173" t="str">
        <f>IF(ISBLANK('ALL Other SINs - Proposal'!T113)," ",'ALL Other SINs - Proposal'!T113)</f>
        <v xml:space="preserve"> </v>
      </c>
      <c r="H113" s="275" t="str">
        <f>IF(ISBLANK('ALL Other SINs - Proposal'!V113)," ",'ALL Other SINs - Proposal'!V113)</f>
        <v xml:space="preserve"> </v>
      </c>
      <c r="I113" s="271" t="str">
        <f>IF(ISBLANK('ALL Other SINs - Proposal'!W113)," ",'ALL Other SINs - Proposal'!W113)</f>
        <v xml:space="preserve"> </v>
      </c>
      <c r="J113" s="71" t="str">
        <f>IF(ISBLANK('ALL Other SINs - Proposal'!X113)," ",'ALL Other SINs - Proposal'!X113)</f>
        <v xml:space="preserve"> </v>
      </c>
      <c r="K113" s="165" t="str">
        <f>IF(ISBLANK('ALL Other SINs - Proposal'!AA113)," ",'ALL Other SINs - Proposal'!AA113)</f>
        <v xml:space="preserve"> </v>
      </c>
      <c r="L113" s="178" t="str">
        <f>IF(ISBLANK('ALL Other SINs - Proposal'!AB113)," ",'ALL Other SINs - Proposal'!AB113)</f>
        <v xml:space="preserve"> </v>
      </c>
      <c r="M113" s="72" t="str">
        <f t="shared" si="2"/>
        <v xml:space="preserve"> </v>
      </c>
      <c r="N113" s="167" t="str">
        <f t="shared" si="3"/>
        <v xml:space="preserve"> </v>
      </c>
    </row>
    <row r="114" spans="1:14" ht="15" x14ac:dyDescent="0.25">
      <c r="A114" s="131" t="str">
        <f>IF(ISBLANK('ALL Other SINs - Proposal'!A114)," ",'ALL Other SINs - Proposal'!A114)</f>
        <v xml:space="preserve"> </v>
      </c>
      <c r="B114" s="137" t="str">
        <f>IF(ISBLANK('ALL Other SINs - Proposal'!B114)," ",'ALL Other SINs - Proposal'!B114)</f>
        <v xml:space="preserve"> </v>
      </c>
      <c r="C114" s="137" t="str">
        <f>IF(ISBLANK('ALL Other SINs - Proposal'!C114)," ",'ALL Other SINs - Proposal'!C114)</f>
        <v xml:space="preserve"> </v>
      </c>
      <c r="D114" s="138" t="str">
        <f>IF(ISBLANK('ALL Other SINs - Proposal'!D114)," ",'ALL Other SINs - Proposal'!D114)</f>
        <v xml:space="preserve"> </v>
      </c>
      <c r="E114" s="69" t="str">
        <f>IF(ISBLANK('ALL Other SINs - Proposal'!R114)," ",'ALL Other SINs - Proposal'!R114)</f>
        <v xml:space="preserve"> </v>
      </c>
      <c r="F114" s="73" t="str">
        <f>IF(ISBLANK('ALL Other SINs - Proposal'!S114)," ",'ALL Other SINs - Proposal'!S114)</f>
        <v xml:space="preserve"> </v>
      </c>
      <c r="G114" s="173" t="str">
        <f>IF(ISBLANK('ALL Other SINs - Proposal'!T114)," ",'ALL Other SINs - Proposal'!T114)</f>
        <v xml:space="preserve"> </v>
      </c>
      <c r="H114" s="275" t="str">
        <f>IF(ISBLANK('ALL Other SINs - Proposal'!V114)," ",'ALL Other SINs - Proposal'!V114)</f>
        <v xml:space="preserve"> </v>
      </c>
      <c r="I114" s="271" t="str">
        <f>IF(ISBLANK('ALL Other SINs - Proposal'!W114)," ",'ALL Other SINs - Proposal'!W114)</f>
        <v xml:space="preserve"> </v>
      </c>
      <c r="J114" s="71" t="str">
        <f>IF(ISBLANK('ALL Other SINs - Proposal'!X114)," ",'ALL Other SINs - Proposal'!X114)</f>
        <v xml:space="preserve"> </v>
      </c>
      <c r="K114" s="165" t="str">
        <f>IF(ISBLANK('ALL Other SINs - Proposal'!AA114)," ",'ALL Other SINs - Proposal'!AA114)</f>
        <v xml:space="preserve"> </v>
      </c>
      <c r="L114" s="178" t="str">
        <f>IF(ISBLANK('ALL Other SINs - Proposal'!AB114)," ",'ALL Other SINs - Proposal'!AB114)</f>
        <v xml:space="preserve"> </v>
      </c>
      <c r="M114" s="72" t="str">
        <f t="shared" si="2"/>
        <v xml:space="preserve"> </v>
      </c>
      <c r="N114" s="167" t="str">
        <f t="shared" si="3"/>
        <v xml:space="preserve"> </v>
      </c>
    </row>
    <row r="115" spans="1:14" ht="15" x14ac:dyDescent="0.25">
      <c r="A115" s="131" t="str">
        <f>IF(ISBLANK('ALL Other SINs - Proposal'!A115)," ",'ALL Other SINs - Proposal'!A115)</f>
        <v xml:space="preserve"> </v>
      </c>
      <c r="B115" s="137" t="str">
        <f>IF(ISBLANK('ALL Other SINs - Proposal'!B115)," ",'ALL Other SINs - Proposal'!B115)</f>
        <v xml:space="preserve"> </v>
      </c>
      <c r="C115" s="137" t="str">
        <f>IF(ISBLANK('ALL Other SINs - Proposal'!C115)," ",'ALL Other SINs - Proposal'!C115)</f>
        <v xml:space="preserve"> </v>
      </c>
      <c r="D115" s="138" t="str">
        <f>IF(ISBLANK('ALL Other SINs - Proposal'!D115)," ",'ALL Other SINs - Proposal'!D115)</f>
        <v xml:space="preserve"> </v>
      </c>
      <c r="E115" s="69" t="str">
        <f>IF(ISBLANK('ALL Other SINs - Proposal'!R115)," ",'ALL Other SINs - Proposal'!R115)</f>
        <v xml:space="preserve"> </v>
      </c>
      <c r="F115" s="73" t="str">
        <f>IF(ISBLANK('ALL Other SINs - Proposal'!S115)," ",'ALL Other SINs - Proposal'!S115)</f>
        <v xml:space="preserve"> </v>
      </c>
      <c r="G115" s="173" t="str">
        <f>IF(ISBLANK('ALL Other SINs - Proposal'!T115)," ",'ALL Other SINs - Proposal'!T115)</f>
        <v xml:space="preserve"> </v>
      </c>
      <c r="H115" s="275" t="str">
        <f>IF(ISBLANK('ALL Other SINs - Proposal'!V115)," ",'ALL Other SINs - Proposal'!V115)</f>
        <v xml:space="preserve"> </v>
      </c>
      <c r="I115" s="271" t="str">
        <f>IF(ISBLANK('ALL Other SINs - Proposal'!W115)," ",'ALL Other SINs - Proposal'!W115)</f>
        <v xml:space="preserve"> </v>
      </c>
      <c r="J115" s="71" t="str">
        <f>IF(ISBLANK('ALL Other SINs - Proposal'!X115)," ",'ALL Other SINs - Proposal'!X115)</f>
        <v xml:space="preserve"> </v>
      </c>
      <c r="K115" s="165" t="str">
        <f>IF(ISBLANK('ALL Other SINs - Proposal'!AA115)," ",'ALL Other SINs - Proposal'!AA115)</f>
        <v xml:space="preserve"> </v>
      </c>
      <c r="L115" s="178" t="str">
        <f>IF(ISBLANK('ALL Other SINs - Proposal'!AB115)," ",'ALL Other SINs - Proposal'!AB115)</f>
        <v xml:space="preserve"> </v>
      </c>
      <c r="M115" s="72" t="str">
        <f t="shared" si="2"/>
        <v xml:space="preserve"> </v>
      </c>
      <c r="N115" s="167" t="str">
        <f t="shared" si="3"/>
        <v xml:space="preserve"> </v>
      </c>
    </row>
    <row r="116" spans="1:14" ht="15" x14ac:dyDescent="0.25">
      <c r="A116" s="131" t="str">
        <f>IF(ISBLANK('ALL Other SINs - Proposal'!A116)," ",'ALL Other SINs - Proposal'!A116)</f>
        <v xml:space="preserve"> </v>
      </c>
      <c r="B116" s="137" t="str">
        <f>IF(ISBLANK('ALL Other SINs - Proposal'!B116)," ",'ALL Other SINs - Proposal'!B116)</f>
        <v xml:space="preserve"> </v>
      </c>
      <c r="C116" s="137" t="str">
        <f>IF(ISBLANK('ALL Other SINs - Proposal'!C116)," ",'ALL Other SINs - Proposal'!C116)</f>
        <v xml:space="preserve"> </v>
      </c>
      <c r="D116" s="138" t="str">
        <f>IF(ISBLANK('ALL Other SINs - Proposal'!D116)," ",'ALL Other SINs - Proposal'!D116)</f>
        <v xml:space="preserve"> </v>
      </c>
      <c r="E116" s="69" t="str">
        <f>IF(ISBLANK('ALL Other SINs - Proposal'!R116)," ",'ALL Other SINs - Proposal'!R116)</f>
        <v xml:space="preserve"> </v>
      </c>
      <c r="F116" s="73" t="str">
        <f>IF(ISBLANK('ALL Other SINs - Proposal'!S116)," ",'ALL Other SINs - Proposal'!S116)</f>
        <v xml:space="preserve"> </v>
      </c>
      <c r="G116" s="173" t="str">
        <f>IF(ISBLANK('ALL Other SINs - Proposal'!T116)," ",'ALL Other SINs - Proposal'!T116)</f>
        <v xml:space="preserve"> </v>
      </c>
      <c r="H116" s="275" t="str">
        <f>IF(ISBLANK('ALL Other SINs - Proposal'!V116)," ",'ALL Other SINs - Proposal'!V116)</f>
        <v xml:space="preserve"> </v>
      </c>
      <c r="I116" s="271" t="str">
        <f>IF(ISBLANK('ALL Other SINs - Proposal'!W116)," ",'ALL Other SINs - Proposal'!W116)</f>
        <v xml:space="preserve"> </v>
      </c>
      <c r="J116" s="71" t="str">
        <f>IF(ISBLANK('ALL Other SINs - Proposal'!X116)," ",'ALL Other SINs - Proposal'!X116)</f>
        <v xml:space="preserve"> </v>
      </c>
      <c r="K116" s="165" t="str">
        <f>IF(ISBLANK('ALL Other SINs - Proposal'!AA116)," ",'ALL Other SINs - Proposal'!AA116)</f>
        <v xml:space="preserve"> </v>
      </c>
      <c r="L116" s="178" t="str">
        <f>IF(ISBLANK('ALL Other SINs - Proposal'!AB116)," ",'ALL Other SINs - Proposal'!AB116)</f>
        <v xml:space="preserve"> </v>
      </c>
      <c r="M116" s="72" t="str">
        <f t="shared" si="2"/>
        <v xml:space="preserve"> </v>
      </c>
      <c r="N116" s="167" t="str">
        <f t="shared" si="3"/>
        <v xml:space="preserve"> </v>
      </c>
    </row>
    <row r="117" spans="1:14" ht="15" x14ac:dyDescent="0.25">
      <c r="A117" s="131" t="str">
        <f>IF(ISBLANK('ALL Other SINs - Proposal'!A117)," ",'ALL Other SINs - Proposal'!A117)</f>
        <v xml:space="preserve"> </v>
      </c>
      <c r="B117" s="137" t="str">
        <f>IF(ISBLANK('ALL Other SINs - Proposal'!B117)," ",'ALL Other SINs - Proposal'!B117)</f>
        <v xml:space="preserve"> </v>
      </c>
      <c r="C117" s="137" t="str">
        <f>IF(ISBLANK('ALL Other SINs - Proposal'!C117)," ",'ALL Other SINs - Proposal'!C117)</f>
        <v xml:space="preserve"> </v>
      </c>
      <c r="D117" s="138" t="str">
        <f>IF(ISBLANK('ALL Other SINs - Proposal'!D117)," ",'ALL Other SINs - Proposal'!D117)</f>
        <v xml:space="preserve"> </v>
      </c>
      <c r="E117" s="69" t="str">
        <f>IF(ISBLANK('ALL Other SINs - Proposal'!R117)," ",'ALL Other SINs - Proposal'!R117)</f>
        <v xml:space="preserve"> </v>
      </c>
      <c r="F117" s="73" t="str">
        <f>IF(ISBLANK('ALL Other SINs - Proposal'!S117)," ",'ALL Other SINs - Proposal'!S117)</f>
        <v xml:space="preserve"> </v>
      </c>
      <c r="G117" s="173" t="str">
        <f>IF(ISBLANK('ALL Other SINs - Proposal'!T117)," ",'ALL Other SINs - Proposal'!T117)</f>
        <v xml:space="preserve"> </v>
      </c>
      <c r="H117" s="275" t="str">
        <f>IF(ISBLANK('ALL Other SINs - Proposal'!V117)," ",'ALL Other SINs - Proposal'!V117)</f>
        <v xml:space="preserve"> </v>
      </c>
      <c r="I117" s="271" t="str">
        <f>IF(ISBLANK('ALL Other SINs - Proposal'!W117)," ",'ALL Other SINs - Proposal'!W117)</f>
        <v xml:space="preserve"> </v>
      </c>
      <c r="J117" s="71" t="str">
        <f>IF(ISBLANK('ALL Other SINs - Proposal'!X117)," ",'ALL Other SINs - Proposal'!X117)</f>
        <v xml:space="preserve"> </v>
      </c>
      <c r="K117" s="165" t="str">
        <f>IF(ISBLANK('ALL Other SINs - Proposal'!AA117)," ",'ALL Other SINs - Proposal'!AA117)</f>
        <v xml:space="preserve"> </v>
      </c>
      <c r="L117" s="178" t="str">
        <f>IF(ISBLANK('ALL Other SINs - Proposal'!AB117)," ",'ALL Other SINs - Proposal'!AB117)</f>
        <v xml:space="preserve"> </v>
      </c>
      <c r="M117" s="72" t="str">
        <f t="shared" si="2"/>
        <v xml:space="preserve"> </v>
      </c>
      <c r="N117" s="167" t="str">
        <f t="shared" si="3"/>
        <v xml:space="preserve"> </v>
      </c>
    </row>
    <row r="118" spans="1:14" ht="15" x14ac:dyDescent="0.25">
      <c r="A118" s="131" t="str">
        <f>IF(ISBLANK('ALL Other SINs - Proposal'!A118)," ",'ALL Other SINs - Proposal'!A118)</f>
        <v xml:space="preserve"> </v>
      </c>
      <c r="B118" s="137" t="str">
        <f>IF(ISBLANK('ALL Other SINs - Proposal'!B118)," ",'ALL Other SINs - Proposal'!B118)</f>
        <v xml:space="preserve"> </v>
      </c>
      <c r="C118" s="137" t="str">
        <f>IF(ISBLANK('ALL Other SINs - Proposal'!C118)," ",'ALL Other SINs - Proposal'!C118)</f>
        <v xml:space="preserve"> </v>
      </c>
      <c r="D118" s="138" t="str">
        <f>IF(ISBLANK('ALL Other SINs - Proposal'!D118)," ",'ALL Other SINs - Proposal'!D118)</f>
        <v xml:space="preserve"> </v>
      </c>
      <c r="E118" s="69" t="str">
        <f>IF(ISBLANK('ALL Other SINs - Proposal'!R118)," ",'ALL Other SINs - Proposal'!R118)</f>
        <v xml:space="preserve"> </v>
      </c>
      <c r="F118" s="73" t="str">
        <f>IF(ISBLANK('ALL Other SINs - Proposal'!S118)," ",'ALL Other SINs - Proposal'!S118)</f>
        <v xml:space="preserve"> </v>
      </c>
      <c r="G118" s="173" t="str">
        <f>IF(ISBLANK('ALL Other SINs - Proposal'!T118)," ",'ALL Other SINs - Proposal'!T118)</f>
        <v xml:space="preserve"> </v>
      </c>
      <c r="H118" s="275" t="str">
        <f>IF(ISBLANK('ALL Other SINs - Proposal'!V118)," ",'ALL Other SINs - Proposal'!V118)</f>
        <v xml:space="preserve"> </v>
      </c>
      <c r="I118" s="271" t="str">
        <f>IF(ISBLANK('ALL Other SINs - Proposal'!W118)," ",'ALL Other SINs - Proposal'!W118)</f>
        <v xml:space="preserve"> </v>
      </c>
      <c r="J118" s="71" t="str">
        <f>IF(ISBLANK('ALL Other SINs - Proposal'!X118)," ",'ALL Other SINs - Proposal'!X118)</f>
        <v xml:space="preserve"> </v>
      </c>
      <c r="K118" s="165" t="str">
        <f>IF(ISBLANK('ALL Other SINs - Proposal'!AA118)," ",'ALL Other SINs - Proposal'!AA118)</f>
        <v xml:space="preserve"> </v>
      </c>
      <c r="L118" s="178" t="str">
        <f>IF(ISBLANK('ALL Other SINs - Proposal'!AB118)," ",'ALL Other SINs - Proposal'!AB118)</f>
        <v xml:space="preserve"> </v>
      </c>
      <c r="M118" s="72" t="str">
        <f t="shared" si="2"/>
        <v xml:space="preserve"> </v>
      </c>
      <c r="N118" s="167" t="str">
        <f t="shared" si="3"/>
        <v xml:space="preserve"> </v>
      </c>
    </row>
    <row r="119" spans="1:14" ht="15" x14ac:dyDescent="0.25">
      <c r="A119" s="131" t="str">
        <f>IF(ISBLANK('ALL Other SINs - Proposal'!A119)," ",'ALL Other SINs - Proposal'!A119)</f>
        <v xml:space="preserve"> </v>
      </c>
      <c r="B119" s="137" t="str">
        <f>IF(ISBLANK('ALL Other SINs - Proposal'!B119)," ",'ALL Other SINs - Proposal'!B119)</f>
        <v xml:space="preserve"> </v>
      </c>
      <c r="C119" s="137" t="str">
        <f>IF(ISBLANK('ALL Other SINs - Proposal'!C119)," ",'ALL Other SINs - Proposal'!C119)</f>
        <v xml:space="preserve"> </v>
      </c>
      <c r="D119" s="138" t="str">
        <f>IF(ISBLANK('ALL Other SINs - Proposal'!D119)," ",'ALL Other SINs - Proposal'!D119)</f>
        <v xml:space="preserve"> </v>
      </c>
      <c r="E119" s="69" t="str">
        <f>IF(ISBLANK('ALL Other SINs - Proposal'!R119)," ",'ALL Other SINs - Proposal'!R119)</f>
        <v xml:space="preserve"> </v>
      </c>
      <c r="F119" s="73" t="str">
        <f>IF(ISBLANK('ALL Other SINs - Proposal'!S119)," ",'ALL Other SINs - Proposal'!S119)</f>
        <v xml:space="preserve"> </v>
      </c>
      <c r="G119" s="173" t="str">
        <f>IF(ISBLANK('ALL Other SINs - Proposal'!T119)," ",'ALL Other SINs - Proposal'!T119)</f>
        <v xml:space="preserve"> </v>
      </c>
      <c r="H119" s="275" t="str">
        <f>IF(ISBLANK('ALL Other SINs - Proposal'!V119)," ",'ALL Other SINs - Proposal'!V119)</f>
        <v xml:space="preserve"> </v>
      </c>
      <c r="I119" s="271" t="str">
        <f>IF(ISBLANK('ALL Other SINs - Proposal'!W119)," ",'ALL Other SINs - Proposal'!W119)</f>
        <v xml:space="preserve"> </v>
      </c>
      <c r="J119" s="71" t="str">
        <f>IF(ISBLANK('ALL Other SINs - Proposal'!X119)," ",'ALL Other SINs - Proposal'!X119)</f>
        <v xml:space="preserve"> </v>
      </c>
      <c r="K119" s="165" t="str">
        <f>IF(ISBLANK('ALL Other SINs - Proposal'!AA119)," ",'ALL Other SINs - Proposal'!AA119)</f>
        <v xml:space="preserve"> </v>
      </c>
      <c r="L119" s="178" t="str">
        <f>IF(ISBLANK('ALL Other SINs - Proposal'!AB119)," ",'ALL Other SINs - Proposal'!AB119)</f>
        <v xml:space="preserve"> </v>
      </c>
      <c r="M119" s="72" t="str">
        <f t="shared" si="2"/>
        <v xml:space="preserve"> </v>
      </c>
      <c r="N119" s="167" t="str">
        <f t="shared" si="3"/>
        <v xml:space="preserve"> </v>
      </c>
    </row>
    <row r="120" spans="1:14" ht="15" x14ac:dyDescent="0.25">
      <c r="A120" s="131" t="str">
        <f>IF(ISBLANK('ALL Other SINs - Proposal'!A120)," ",'ALL Other SINs - Proposal'!A120)</f>
        <v xml:space="preserve"> </v>
      </c>
      <c r="B120" s="137" t="str">
        <f>IF(ISBLANK('ALL Other SINs - Proposal'!B120)," ",'ALL Other SINs - Proposal'!B120)</f>
        <v xml:space="preserve"> </v>
      </c>
      <c r="C120" s="137" t="str">
        <f>IF(ISBLANK('ALL Other SINs - Proposal'!C120)," ",'ALL Other SINs - Proposal'!C120)</f>
        <v xml:space="preserve"> </v>
      </c>
      <c r="D120" s="138" t="str">
        <f>IF(ISBLANK('ALL Other SINs - Proposal'!D120)," ",'ALL Other SINs - Proposal'!D120)</f>
        <v xml:space="preserve"> </v>
      </c>
      <c r="E120" s="69" t="str">
        <f>IF(ISBLANK('ALL Other SINs - Proposal'!R120)," ",'ALL Other SINs - Proposal'!R120)</f>
        <v xml:space="preserve"> </v>
      </c>
      <c r="F120" s="73" t="str">
        <f>IF(ISBLANK('ALL Other SINs - Proposal'!S120)," ",'ALL Other SINs - Proposal'!S120)</f>
        <v xml:space="preserve"> </v>
      </c>
      <c r="G120" s="173" t="str">
        <f>IF(ISBLANK('ALL Other SINs - Proposal'!T120)," ",'ALL Other SINs - Proposal'!T120)</f>
        <v xml:space="preserve"> </v>
      </c>
      <c r="H120" s="275" t="str">
        <f>IF(ISBLANK('ALL Other SINs - Proposal'!V120)," ",'ALL Other SINs - Proposal'!V120)</f>
        <v xml:space="preserve"> </v>
      </c>
      <c r="I120" s="271" t="str">
        <f>IF(ISBLANK('ALL Other SINs - Proposal'!W120)," ",'ALL Other SINs - Proposal'!W120)</f>
        <v xml:space="preserve"> </v>
      </c>
      <c r="J120" s="71" t="str">
        <f>IF(ISBLANK('ALL Other SINs - Proposal'!X120)," ",'ALL Other SINs - Proposal'!X120)</f>
        <v xml:space="preserve"> </v>
      </c>
      <c r="K120" s="165" t="str">
        <f>IF(ISBLANK('ALL Other SINs - Proposal'!AA120)," ",'ALL Other SINs - Proposal'!AA120)</f>
        <v xml:space="preserve"> </v>
      </c>
      <c r="L120" s="178" t="str">
        <f>IF(ISBLANK('ALL Other SINs - Proposal'!AB120)," ",'ALL Other SINs - Proposal'!AB120)</f>
        <v xml:space="preserve"> </v>
      </c>
      <c r="M120" s="72" t="str">
        <f t="shared" si="2"/>
        <v xml:space="preserve"> </v>
      </c>
      <c r="N120" s="167" t="str">
        <f t="shared" si="3"/>
        <v xml:space="preserve"> </v>
      </c>
    </row>
    <row r="121" spans="1:14" ht="15" x14ac:dyDescent="0.25">
      <c r="A121" s="131" t="str">
        <f>IF(ISBLANK('ALL Other SINs - Proposal'!A121)," ",'ALL Other SINs - Proposal'!A121)</f>
        <v xml:space="preserve"> </v>
      </c>
      <c r="B121" s="137" t="str">
        <f>IF(ISBLANK('ALL Other SINs - Proposal'!B121)," ",'ALL Other SINs - Proposal'!B121)</f>
        <v xml:space="preserve"> </v>
      </c>
      <c r="C121" s="137" t="str">
        <f>IF(ISBLANK('ALL Other SINs - Proposal'!C121)," ",'ALL Other SINs - Proposal'!C121)</f>
        <v xml:space="preserve"> </v>
      </c>
      <c r="D121" s="138" t="str">
        <f>IF(ISBLANK('ALL Other SINs - Proposal'!D121)," ",'ALL Other SINs - Proposal'!D121)</f>
        <v xml:space="preserve"> </v>
      </c>
      <c r="E121" s="69" t="str">
        <f>IF(ISBLANK('ALL Other SINs - Proposal'!R121)," ",'ALL Other SINs - Proposal'!R121)</f>
        <v xml:space="preserve"> </v>
      </c>
      <c r="F121" s="73" t="str">
        <f>IF(ISBLANK('ALL Other SINs - Proposal'!S121)," ",'ALL Other SINs - Proposal'!S121)</f>
        <v xml:space="preserve"> </v>
      </c>
      <c r="G121" s="173" t="str">
        <f>IF(ISBLANK('ALL Other SINs - Proposal'!T121)," ",'ALL Other SINs - Proposal'!T121)</f>
        <v xml:space="preserve"> </v>
      </c>
      <c r="H121" s="275" t="str">
        <f>IF(ISBLANK('ALL Other SINs - Proposal'!V121)," ",'ALL Other SINs - Proposal'!V121)</f>
        <v xml:space="preserve"> </v>
      </c>
      <c r="I121" s="271" t="str">
        <f>IF(ISBLANK('ALL Other SINs - Proposal'!W121)," ",'ALL Other SINs - Proposal'!W121)</f>
        <v xml:space="preserve"> </v>
      </c>
      <c r="J121" s="71" t="str">
        <f>IF(ISBLANK('ALL Other SINs - Proposal'!X121)," ",'ALL Other SINs - Proposal'!X121)</f>
        <v xml:space="preserve"> </v>
      </c>
      <c r="K121" s="165" t="str">
        <f>IF(ISBLANK('ALL Other SINs - Proposal'!AA121)," ",'ALL Other SINs - Proposal'!AA121)</f>
        <v xml:space="preserve"> </v>
      </c>
      <c r="L121" s="178" t="str">
        <f>IF(ISBLANK('ALL Other SINs - Proposal'!AB121)," ",'ALL Other SINs - Proposal'!AB121)</f>
        <v xml:space="preserve"> </v>
      </c>
      <c r="M121" s="72" t="str">
        <f t="shared" si="2"/>
        <v xml:space="preserve"> </v>
      </c>
      <c r="N121" s="167" t="str">
        <f t="shared" si="3"/>
        <v xml:space="preserve"> </v>
      </c>
    </row>
    <row r="122" spans="1:14" ht="15" x14ac:dyDescent="0.25">
      <c r="A122" s="131" t="str">
        <f>IF(ISBLANK('ALL Other SINs - Proposal'!A122)," ",'ALL Other SINs - Proposal'!A122)</f>
        <v xml:space="preserve"> </v>
      </c>
      <c r="B122" s="137" t="str">
        <f>IF(ISBLANK('ALL Other SINs - Proposal'!B122)," ",'ALL Other SINs - Proposal'!B122)</f>
        <v xml:space="preserve"> </v>
      </c>
      <c r="C122" s="137" t="str">
        <f>IF(ISBLANK('ALL Other SINs - Proposal'!C122)," ",'ALL Other SINs - Proposal'!C122)</f>
        <v xml:space="preserve"> </v>
      </c>
      <c r="D122" s="138" t="str">
        <f>IF(ISBLANK('ALL Other SINs - Proposal'!D122)," ",'ALL Other SINs - Proposal'!D122)</f>
        <v xml:space="preserve"> </v>
      </c>
      <c r="E122" s="69" t="str">
        <f>IF(ISBLANK('ALL Other SINs - Proposal'!R122)," ",'ALL Other SINs - Proposal'!R122)</f>
        <v xml:space="preserve"> </v>
      </c>
      <c r="F122" s="73" t="str">
        <f>IF(ISBLANK('ALL Other SINs - Proposal'!S122)," ",'ALL Other SINs - Proposal'!S122)</f>
        <v xml:space="preserve"> </v>
      </c>
      <c r="G122" s="173" t="str">
        <f>IF(ISBLANK('ALL Other SINs - Proposal'!T122)," ",'ALL Other SINs - Proposal'!T122)</f>
        <v xml:space="preserve"> </v>
      </c>
      <c r="H122" s="275" t="str">
        <f>IF(ISBLANK('ALL Other SINs - Proposal'!V122)," ",'ALL Other SINs - Proposal'!V122)</f>
        <v xml:space="preserve"> </v>
      </c>
      <c r="I122" s="271" t="str">
        <f>IF(ISBLANK('ALL Other SINs - Proposal'!W122)," ",'ALL Other SINs - Proposal'!W122)</f>
        <v xml:space="preserve"> </v>
      </c>
      <c r="J122" s="71" t="str">
        <f>IF(ISBLANK('ALL Other SINs - Proposal'!X122)," ",'ALL Other SINs - Proposal'!X122)</f>
        <v xml:space="preserve"> </v>
      </c>
      <c r="K122" s="165" t="str">
        <f>IF(ISBLANK('ALL Other SINs - Proposal'!AA122)," ",'ALL Other SINs - Proposal'!AA122)</f>
        <v xml:space="preserve"> </v>
      </c>
      <c r="L122" s="178" t="str">
        <f>IF(ISBLANK('ALL Other SINs - Proposal'!AB122)," ",'ALL Other SINs - Proposal'!AB122)</f>
        <v xml:space="preserve"> </v>
      </c>
      <c r="M122" s="72" t="str">
        <f t="shared" si="2"/>
        <v xml:space="preserve"> </v>
      </c>
      <c r="N122" s="167" t="str">
        <f t="shared" si="3"/>
        <v xml:space="preserve"> </v>
      </c>
    </row>
    <row r="123" spans="1:14" ht="15" x14ac:dyDescent="0.25">
      <c r="A123" s="131" t="str">
        <f>IF(ISBLANK('ALL Other SINs - Proposal'!A123)," ",'ALL Other SINs - Proposal'!A123)</f>
        <v xml:space="preserve"> </v>
      </c>
      <c r="B123" s="137" t="str">
        <f>IF(ISBLANK('ALL Other SINs - Proposal'!B123)," ",'ALL Other SINs - Proposal'!B123)</f>
        <v xml:space="preserve"> </v>
      </c>
      <c r="C123" s="137" t="str">
        <f>IF(ISBLANK('ALL Other SINs - Proposal'!C123)," ",'ALL Other SINs - Proposal'!C123)</f>
        <v xml:space="preserve"> </v>
      </c>
      <c r="D123" s="138" t="str">
        <f>IF(ISBLANK('ALL Other SINs - Proposal'!D123)," ",'ALL Other SINs - Proposal'!D123)</f>
        <v xml:space="preserve"> </v>
      </c>
      <c r="E123" s="69" t="str">
        <f>IF(ISBLANK('ALL Other SINs - Proposal'!R123)," ",'ALL Other SINs - Proposal'!R123)</f>
        <v xml:space="preserve"> </v>
      </c>
      <c r="F123" s="73" t="str">
        <f>IF(ISBLANK('ALL Other SINs - Proposal'!S123)," ",'ALL Other SINs - Proposal'!S123)</f>
        <v xml:space="preserve"> </v>
      </c>
      <c r="G123" s="173" t="str">
        <f>IF(ISBLANK('ALL Other SINs - Proposal'!T123)," ",'ALL Other SINs - Proposal'!T123)</f>
        <v xml:space="preserve"> </v>
      </c>
      <c r="H123" s="275" t="str">
        <f>IF(ISBLANK('ALL Other SINs - Proposal'!V123)," ",'ALL Other SINs - Proposal'!V123)</f>
        <v xml:space="preserve"> </v>
      </c>
      <c r="I123" s="271" t="str">
        <f>IF(ISBLANK('ALL Other SINs - Proposal'!W123)," ",'ALL Other SINs - Proposal'!W123)</f>
        <v xml:space="preserve"> </v>
      </c>
      <c r="J123" s="71" t="str">
        <f>IF(ISBLANK('ALL Other SINs - Proposal'!X123)," ",'ALL Other SINs - Proposal'!X123)</f>
        <v xml:space="preserve"> </v>
      </c>
      <c r="K123" s="165" t="str">
        <f>IF(ISBLANK('ALL Other SINs - Proposal'!AA123)," ",'ALL Other SINs - Proposal'!AA123)</f>
        <v xml:space="preserve"> </v>
      </c>
      <c r="L123" s="178" t="str">
        <f>IF(ISBLANK('ALL Other SINs - Proposal'!AB123)," ",'ALL Other SINs - Proposal'!AB123)</f>
        <v xml:space="preserve"> </v>
      </c>
      <c r="M123" s="72" t="str">
        <f t="shared" si="2"/>
        <v xml:space="preserve"> </v>
      </c>
      <c r="N123" s="167" t="str">
        <f t="shared" si="3"/>
        <v xml:space="preserve"> </v>
      </c>
    </row>
    <row r="124" spans="1:14" ht="15" x14ac:dyDescent="0.25">
      <c r="A124" s="131" t="str">
        <f>IF(ISBLANK('ALL Other SINs - Proposal'!A124)," ",'ALL Other SINs - Proposal'!A124)</f>
        <v xml:space="preserve"> </v>
      </c>
      <c r="B124" s="137" t="str">
        <f>IF(ISBLANK('ALL Other SINs - Proposal'!B124)," ",'ALL Other SINs - Proposal'!B124)</f>
        <v xml:space="preserve"> </v>
      </c>
      <c r="C124" s="137" t="str">
        <f>IF(ISBLANK('ALL Other SINs - Proposal'!C124)," ",'ALL Other SINs - Proposal'!C124)</f>
        <v xml:space="preserve"> </v>
      </c>
      <c r="D124" s="138" t="str">
        <f>IF(ISBLANK('ALL Other SINs - Proposal'!D124)," ",'ALL Other SINs - Proposal'!D124)</f>
        <v xml:space="preserve"> </v>
      </c>
      <c r="E124" s="69" t="str">
        <f>IF(ISBLANK('ALL Other SINs - Proposal'!R124)," ",'ALL Other SINs - Proposal'!R124)</f>
        <v xml:space="preserve"> </v>
      </c>
      <c r="F124" s="73" t="str">
        <f>IF(ISBLANK('ALL Other SINs - Proposal'!S124)," ",'ALL Other SINs - Proposal'!S124)</f>
        <v xml:space="preserve"> </v>
      </c>
      <c r="G124" s="173" t="str">
        <f>IF(ISBLANK('ALL Other SINs - Proposal'!T124)," ",'ALL Other SINs - Proposal'!T124)</f>
        <v xml:space="preserve"> </v>
      </c>
      <c r="H124" s="275" t="str">
        <f>IF(ISBLANK('ALL Other SINs - Proposal'!V124)," ",'ALL Other SINs - Proposal'!V124)</f>
        <v xml:space="preserve"> </v>
      </c>
      <c r="I124" s="271" t="str">
        <f>IF(ISBLANK('ALL Other SINs - Proposal'!W124)," ",'ALL Other SINs - Proposal'!W124)</f>
        <v xml:space="preserve"> </v>
      </c>
      <c r="J124" s="71" t="str">
        <f>IF(ISBLANK('ALL Other SINs - Proposal'!X124)," ",'ALL Other SINs - Proposal'!X124)</f>
        <v xml:space="preserve"> </v>
      </c>
      <c r="K124" s="165" t="str">
        <f>IF(ISBLANK('ALL Other SINs - Proposal'!AA124)," ",'ALL Other SINs - Proposal'!AA124)</f>
        <v xml:space="preserve"> </v>
      </c>
      <c r="L124" s="178" t="str">
        <f>IF(ISBLANK('ALL Other SINs - Proposal'!AB124)," ",'ALL Other SINs - Proposal'!AB124)</f>
        <v xml:space="preserve"> </v>
      </c>
      <c r="M124" s="72" t="str">
        <f t="shared" si="2"/>
        <v xml:space="preserve"> </v>
      </c>
      <c r="N124" s="167" t="str">
        <f t="shared" si="3"/>
        <v xml:space="preserve"> </v>
      </c>
    </row>
    <row r="125" spans="1:14" ht="15" x14ac:dyDescent="0.25">
      <c r="A125" s="131" t="str">
        <f>IF(ISBLANK('ALL Other SINs - Proposal'!A125)," ",'ALL Other SINs - Proposal'!A125)</f>
        <v xml:space="preserve"> </v>
      </c>
      <c r="B125" s="137" t="str">
        <f>IF(ISBLANK('ALL Other SINs - Proposal'!B125)," ",'ALL Other SINs - Proposal'!B125)</f>
        <v xml:space="preserve"> </v>
      </c>
      <c r="C125" s="137" t="str">
        <f>IF(ISBLANK('ALL Other SINs - Proposal'!C125)," ",'ALL Other SINs - Proposal'!C125)</f>
        <v xml:space="preserve"> </v>
      </c>
      <c r="D125" s="138" t="str">
        <f>IF(ISBLANK('ALL Other SINs - Proposal'!D125)," ",'ALL Other SINs - Proposal'!D125)</f>
        <v xml:space="preserve"> </v>
      </c>
      <c r="E125" s="69" t="str">
        <f>IF(ISBLANK('ALL Other SINs - Proposal'!R125)," ",'ALL Other SINs - Proposal'!R125)</f>
        <v xml:space="preserve"> </v>
      </c>
      <c r="F125" s="73" t="str">
        <f>IF(ISBLANK('ALL Other SINs - Proposal'!S125)," ",'ALL Other SINs - Proposal'!S125)</f>
        <v xml:space="preserve"> </v>
      </c>
      <c r="G125" s="173" t="str">
        <f>IF(ISBLANK('ALL Other SINs - Proposal'!T125)," ",'ALL Other SINs - Proposal'!T125)</f>
        <v xml:space="preserve"> </v>
      </c>
      <c r="H125" s="275" t="str">
        <f>IF(ISBLANK('ALL Other SINs - Proposal'!V125)," ",'ALL Other SINs - Proposal'!V125)</f>
        <v xml:space="preserve"> </v>
      </c>
      <c r="I125" s="271" t="str">
        <f>IF(ISBLANK('ALL Other SINs - Proposal'!W125)," ",'ALL Other SINs - Proposal'!W125)</f>
        <v xml:space="preserve"> </v>
      </c>
      <c r="J125" s="71" t="str">
        <f>IF(ISBLANK('ALL Other SINs - Proposal'!X125)," ",'ALL Other SINs - Proposal'!X125)</f>
        <v xml:space="preserve"> </v>
      </c>
      <c r="K125" s="165" t="str">
        <f>IF(ISBLANK('ALL Other SINs - Proposal'!AA125)," ",'ALL Other SINs - Proposal'!AA125)</f>
        <v xml:space="preserve"> </v>
      </c>
      <c r="L125" s="178" t="str">
        <f>IF(ISBLANK('ALL Other SINs - Proposal'!AB125)," ",'ALL Other SINs - Proposal'!AB125)</f>
        <v xml:space="preserve"> </v>
      </c>
      <c r="M125" s="72" t="str">
        <f t="shared" si="2"/>
        <v xml:space="preserve"> </v>
      </c>
      <c r="N125" s="167" t="str">
        <f t="shared" si="3"/>
        <v xml:space="preserve"> </v>
      </c>
    </row>
    <row r="126" spans="1:14" ht="15" x14ac:dyDescent="0.25">
      <c r="A126" s="131" t="str">
        <f>IF(ISBLANK('ALL Other SINs - Proposal'!A126)," ",'ALL Other SINs - Proposal'!A126)</f>
        <v xml:space="preserve"> </v>
      </c>
      <c r="B126" s="137" t="str">
        <f>IF(ISBLANK('ALL Other SINs - Proposal'!B126)," ",'ALL Other SINs - Proposal'!B126)</f>
        <v xml:space="preserve"> </v>
      </c>
      <c r="C126" s="137" t="str">
        <f>IF(ISBLANK('ALL Other SINs - Proposal'!C126)," ",'ALL Other SINs - Proposal'!C126)</f>
        <v xml:space="preserve"> </v>
      </c>
      <c r="D126" s="138" t="str">
        <f>IF(ISBLANK('ALL Other SINs - Proposal'!D126)," ",'ALL Other SINs - Proposal'!D126)</f>
        <v xml:space="preserve"> </v>
      </c>
      <c r="E126" s="69" t="str">
        <f>IF(ISBLANK('ALL Other SINs - Proposal'!R126)," ",'ALL Other SINs - Proposal'!R126)</f>
        <v xml:space="preserve"> </v>
      </c>
      <c r="F126" s="73" t="str">
        <f>IF(ISBLANK('ALL Other SINs - Proposal'!S126)," ",'ALL Other SINs - Proposal'!S126)</f>
        <v xml:space="preserve"> </v>
      </c>
      <c r="G126" s="173" t="str">
        <f>IF(ISBLANK('ALL Other SINs - Proposal'!T126)," ",'ALL Other SINs - Proposal'!T126)</f>
        <v xml:space="preserve"> </v>
      </c>
      <c r="H126" s="275" t="str">
        <f>IF(ISBLANK('ALL Other SINs - Proposal'!V126)," ",'ALL Other SINs - Proposal'!V126)</f>
        <v xml:space="preserve"> </v>
      </c>
      <c r="I126" s="271" t="str">
        <f>IF(ISBLANK('ALL Other SINs - Proposal'!W126)," ",'ALL Other SINs - Proposal'!W126)</f>
        <v xml:space="preserve"> </v>
      </c>
      <c r="J126" s="71" t="str">
        <f>IF(ISBLANK('ALL Other SINs - Proposal'!X126)," ",'ALL Other SINs - Proposal'!X126)</f>
        <v xml:space="preserve"> </v>
      </c>
      <c r="K126" s="165" t="str">
        <f>IF(ISBLANK('ALL Other SINs - Proposal'!AA126)," ",'ALL Other SINs - Proposal'!AA126)</f>
        <v xml:space="preserve"> </v>
      </c>
      <c r="L126" s="178" t="str">
        <f>IF(ISBLANK('ALL Other SINs - Proposal'!AB126)," ",'ALL Other SINs - Proposal'!AB126)</f>
        <v xml:space="preserve"> </v>
      </c>
      <c r="M126" s="72" t="str">
        <f t="shared" si="2"/>
        <v xml:space="preserve"> </v>
      </c>
      <c r="N126" s="167" t="str">
        <f t="shared" si="3"/>
        <v xml:space="preserve"> </v>
      </c>
    </row>
    <row r="127" spans="1:14" ht="15" x14ac:dyDescent="0.25">
      <c r="A127" s="131" t="str">
        <f>IF(ISBLANK('ALL Other SINs - Proposal'!A127)," ",'ALL Other SINs - Proposal'!A127)</f>
        <v xml:space="preserve"> </v>
      </c>
      <c r="B127" s="137" t="str">
        <f>IF(ISBLANK('ALL Other SINs - Proposal'!B127)," ",'ALL Other SINs - Proposal'!B127)</f>
        <v xml:space="preserve"> </v>
      </c>
      <c r="C127" s="137" t="str">
        <f>IF(ISBLANK('ALL Other SINs - Proposal'!C127)," ",'ALL Other SINs - Proposal'!C127)</f>
        <v xml:space="preserve"> </v>
      </c>
      <c r="D127" s="138" t="str">
        <f>IF(ISBLANK('ALL Other SINs - Proposal'!D127)," ",'ALL Other SINs - Proposal'!D127)</f>
        <v xml:space="preserve"> </v>
      </c>
      <c r="E127" s="69" t="str">
        <f>IF(ISBLANK('ALL Other SINs - Proposal'!R127)," ",'ALL Other SINs - Proposal'!R127)</f>
        <v xml:space="preserve"> </v>
      </c>
      <c r="F127" s="73" t="str">
        <f>IF(ISBLANK('ALL Other SINs - Proposal'!S127)," ",'ALL Other SINs - Proposal'!S127)</f>
        <v xml:space="preserve"> </v>
      </c>
      <c r="G127" s="173" t="str">
        <f>IF(ISBLANK('ALL Other SINs - Proposal'!T127)," ",'ALL Other SINs - Proposal'!T127)</f>
        <v xml:space="preserve"> </v>
      </c>
      <c r="H127" s="275" t="str">
        <f>IF(ISBLANK('ALL Other SINs - Proposal'!V127)," ",'ALL Other SINs - Proposal'!V127)</f>
        <v xml:space="preserve"> </v>
      </c>
      <c r="I127" s="271" t="str">
        <f>IF(ISBLANK('ALL Other SINs - Proposal'!W127)," ",'ALL Other SINs - Proposal'!W127)</f>
        <v xml:space="preserve"> </v>
      </c>
      <c r="J127" s="71" t="str">
        <f>IF(ISBLANK('ALL Other SINs - Proposal'!X127)," ",'ALL Other SINs - Proposal'!X127)</f>
        <v xml:space="preserve"> </v>
      </c>
      <c r="K127" s="165" t="str">
        <f>IF(ISBLANK('ALL Other SINs - Proposal'!AA127)," ",'ALL Other SINs - Proposal'!AA127)</f>
        <v xml:space="preserve"> </v>
      </c>
      <c r="L127" s="178" t="str">
        <f>IF(ISBLANK('ALL Other SINs - Proposal'!AB127)," ",'ALL Other SINs - Proposal'!AB127)</f>
        <v xml:space="preserve"> </v>
      </c>
      <c r="M127" s="72" t="str">
        <f t="shared" si="2"/>
        <v xml:space="preserve"> </v>
      </c>
      <c r="N127" s="167" t="str">
        <f t="shared" si="3"/>
        <v xml:space="preserve"> </v>
      </c>
    </row>
    <row r="128" spans="1:14" ht="15" x14ac:dyDescent="0.25">
      <c r="A128" s="131" t="str">
        <f>IF(ISBLANK('ALL Other SINs - Proposal'!A128)," ",'ALL Other SINs - Proposal'!A128)</f>
        <v xml:space="preserve"> </v>
      </c>
      <c r="B128" s="137" t="str">
        <f>IF(ISBLANK('ALL Other SINs - Proposal'!B128)," ",'ALL Other SINs - Proposal'!B128)</f>
        <v xml:space="preserve"> </v>
      </c>
      <c r="C128" s="137" t="str">
        <f>IF(ISBLANK('ALL Other SINs - Proposal'!C128)," ",'ALL Other SINs - Proposal'!C128)</f>
        <v xml:space="preserve"> </v>
      </c>
      <c r="D128" s="138" t="str">
        <f>IF(ISBLANK('ALL Other SINs - Proposal'!D128)," ",'ALL Other SINs - Proposal'!D128)</f>
        <v xml:space="preserve"> </v>
      </c>
      <c r="E128" s="69" t="str">
        <f>IF(ISBLANK('ALL Other SINs - Proposal'!R128)," ",'ALL Other SINs - Proposal'!R128)</f>
        <v xml:space="preserve"> </v>
      </c>
      <c r="F128" s="73" t="str">
        <f>IF(ISBLANK('ALL Other SINs - Proposal'!S128)," ",'ALL Other SINs - Proposal'!S128)</f>
        <v xml:space="preserve"> </v>
      </c>
      <c r="G128" s="173" t="str">
        <f>IF(ISBLANK('ALL Other SINs - Proposal'!T128)," ",'ALL Other SINs - Proposal'!T128)</f>
        <v xml:space="preserve"> </v>
      </c>
      <c r="H128" s="275" t="str">
        <f>IF(ISBLANK('ALL Other SINs - Proposal'!V128)," ",'ALL Other SINs - Proposal'!V128)</f>
        <v xml:space="preserve"> </v>
      </c>
      <c r="I128" s="271" t="str">
        <f>IF(ISBLANK('ALL Other SINs - Proposal'!W128)," ",'ALL Other SINs - Proposal'!W128)</f>
        <v xml:space="preserve"> </v>
      </c>
      <c r="J128" s="71" t="str">
        <f>IF(ISBLANK('ALL Other SINs - Proposal'!X128)," ",'ALL Other SINs - Proposal'!X128)</f>
        <v xml:space="preserve"> </v>
      </c>
      <c r="K128" s="165" t="str">
        <f>IF(ISBLANK('ALL Other SINs - Proposal'!AA128)," ",'ALL Other SINs - Proposal'!AA128)</f>
        <v xml:space="preserve"> </v>
      </c>
      <c r="L128" s="178" t="str">
        <f>IF(ISBLANK('ALL Other SINs - Proposal'!AB128)," ",'ALL Other SINs - Proposal'!AB128)</f>
        <v xml:space="preserve"> </v>
      </c>
      <c r="M128" s="72" t="str">
        <f t="shared" si="2"/>
        <v xml:space="preserve"> </v>
      </c>
      <c r="N128" s="167" t="str">
        <f t="shared" si="3"/>
        <v xml:space="preserve"> </v>
      </c>
    </row>
    <row r="129" spans="1:14" ht="15" x14ac:dyDescent="0.25">
      <c r="A129" s="131" t="str">
        <f>IF(ISBLANK('ALL Other SINs - Proposal'!A129)," ",'ALL Other SINs - Proposal'!A129)</f>
        <v xml:space="preserve"> </v>
      </c>
      <c r="B129" s="137" t="str">
        <f>IF(ISBLANK('ALL Other SINs - Proposal'!B129)," ",'ALL Other SINs - Proposal'!B129)</f>
        <v xml:space="preserve"> </v>
      </c>
      <c r="C129" s="137" t="str">
        <f>IF(ISBLANK('ALL Other SINs - Proposal'!C129)," ",'ALL Other SINs - Proposal'!C129)</f>
        <v xml:space="preserve"> </v>
      </c>
      <c r="D129" s="138" t="str">
        <f>IF(ISBLANK('ALL Other SINs - Proposal'!D129)," ",'ALL Other SINs - Proposal'!D129)</f>
        <v xml:space="preserve"> </v>
      </c>
      <c r="E129" s="69" t="str">
        <f>IF(ISBLANK('ALL Other SINs - Proposal'!R129)," ",'ALL Other SINs - Proposal'!R129)</f>
        <v xml:space="preserve"> </v>
      </c>
      <c r="F129" s="73" t="str">
        <f>IF(ISBLANK('ALL Other SINs - Proposal'!S129)," ",'ALL Other SINs - Proposal'!S129)</f>
        <v xml:space="preserve"> </v>
      </c>
      <c r="G129" s="173" t="str">
        <f>IF(ISBLANK('ALL Other SINs - Proposal'!T129)," ",'ALL Other SINs - Proposal'!T129)</f>
        <v xml:space="preserve"> </v>
      </c>
      <c r="H129" s="275" t="str">
        <f>IF(ISBLANK('ALL Other SINs - Proposal'!V129)," ",'ALL Other SINs - Proposal'!V129)</f>
        <v xml:space="preserve"> </v>
      </c>
      <c r="I129" s="271" t="str">
        <f>IF(ISBLANK('ALL Other SINs - Proposal'!W129)," ",'ALL Other SINs - Proposal'!W129)</f>
        <v xml:space="preserve"> </v>
      </c>
      <c r="J129" s="71" t="str">
        <f>IF(ISBLANK('ALL Other SINs - Proposal'!X129)," ",'ALL Other SINs - Proposal'!X129)</f>
        <v xml:space="preserve"> </v>
      </c>
      <c r="K129" s="165" t="str">
        <f>IF(ISBLANK('ALL Other SINs - Proposal'!AA129)," ",'ALL Other SINs - Proposal'!AA129)</f>
        <v xml:space="preserve"> </v>
      </c>
      <c r="L129" s="178" t="str">
        <f>IF(ISBLANK('ALL Other SINs - Proposal'!AB129)," ",'ALL Other SINs - Proposal'!AB129)</f>
        <v xml:space="preserve"> </v>
      </c>
      <c r="M129" s="72" t="str">
        <f t="shared" si="2"/>
        <v xml:space="preserve"> </v>
      </c>
      <c r="N129" s="167" t="str">
        <f t="shared" si="3"/>
        <v xml:space="preserve"> </v>
      </c>
    </row>
    <row r="130" spans="1:14" ht="15" x14ac:dyDescent="0.25">
      <c r="A130" s="131" t="str">
        <f>IF(ISBLANK('ALL Other SINs - Proposal'!A130)," ",'ALL Other SINs - Proposal'!A130)</f>
        <v xml:space="preserve"> </v>
      </c>
      <c r="B130" s="137" t="str">
        <f>IF(ISBLANK('ALL Other SINs - Proposal'!B130)," ",'ALL Other SINs - Proposal'!B130)</f>
        <v xml:space="preserve"> </v>
      </c>
      <c r="C130" s="137" t="str">
        <f>IF(ISBLANK('ALL Other SINs - Proposal'!C130)," ",'ALL Other SINs - Proposal'!C130)</f>
        <v xml:space="preserve"> </v>
      </c>
      <c r="D130" s="138" t="str">
        <f>IF(ISBLANK('ALL Other SINs - Proposal'!D130)," ",'ALL Other SINs - Proposal'!D130)</f>
        <v xml:space="preserve"> </v>
      </c>
      <c r="E130" s="69" t="str">
        <f>IF(ISBLANK('ALL Other SINs - Proposal'!R130)," ",'ALL Other SINs - Proposal'!R130)</f>
        <v xml:space="preserve"> </v>
      </c>
      <c r="F130" s="73" t="str">
        <f>IF(ISBLANK('ALL Other SINs - Proposal'!S130)," ",'ALL Other SINs - Proposal'!S130)</f>
        <v xml:space="preserve"> </v>
      </c>
      <c r="G130" s="173" t="str">
        <f>IF(ISBLANK('ALL Other SINs - Proposal'!T130)," ",'ALL Other SINs - Proposal'!T130)</f>
        <v xml:space="preserve"> </v>
      </c>
      <c r="H130" s="275" t="str">
        <f>IF(ISBLANK('ALL Other SINs - Proposal'!V130)," ",'ALL Other SINs - Proposal'!V130)</f>
        <v xml:space="preserve"> </v>
      </c>
      <c r="I130" s="271" t="str">
        <f>IF(ISBLANK('ALL Other SINs - Proposal'!W130)," ",'ALL Other SINs - Proposal'!W130)</f>
        <v xml:space="preserve"> </v>
      </c>
      <c r="J130" s="71" t="str">
        <f>IF(ISBLANK('ALL Other SINs - Proposal'!X130)," ",'ALL Other SINs - Proposal'!X130)</f>
        <v xml:space="preserve"> </v>
      </c>
      <c r="K130" s="165" t="str">
        <f>IF(ISBLANK('ALL Other SINs - Proposal'!AA130)," ",'ALL Other SINs - Proposal'!AA130)</f>
        <v xml:space="preserve"> </v>
      </c>
      <c r="L130" s="178" t="str">
        <f>IF(ISBLANK('ALL Other SINs - Proposal'!AB130)," ",'ALL Other SINs - Proposal'!AB130)</f>
        <v xml:space="preserve"> </v>
      </c>
      <c r="M130" s="72" t="str">
        <f t="shared" si="2"/>
        <v xml:space="preserve"> </v>
      </c>
      <c r="N130" s="167" t="str">
        <f t="shared" si="3"/>
        <v xml:space="preserve"> </v>
      </c>
    </row>
    <row r="131" spans="1:14" ht="15" x14ac:dyDescent="0.25">
      <c r="A131" s="131" t="str">
        <f>IF(ISBLANK('ALL Other SINs - Proposal'!A131)," ",'ALL Other SINs - Proposal'!A131)</f>
        <v xml:space="preserve"> </v>
      </c>
      <c r="B131" s="137" t="str">
        <f>IF(ISBLANK('ALL Other SINs - Proposal'!B131)," ",'ALL Other SINs - Proposal'!B131)</f>
        <v xml:space="preserve"> </v>
      </c>
      <c r="C131" s="137" t="str">
        <f>IF(ISBLANK('ALL Other SINs - Proposal'!C131)," ",'ALL Other SINs - Proposal'!C131)</f>
        <v xml:space="preserve"> </v>
      </c>
      <c r="D131" s="138" t="str">
        <f>IF(ISBLANK('ALL Other SINs - Proposal'!D131)," ",'ALL Other SINs - Proposal'!D131)</f>
        <v xml:space="preserve"> </v>
      </c>
      <c r="E131" s="69" t="str">
        <f>IF(ISBLANK('ALL Other SINs - Proposal'!R131)," ",'ALL Other SINs - Proposal'!R131)</f>
        <v xml:space="preserve"> </v>
      </c>
      <c r="F131" s="73" t="str">
        <f>IF(ISBLANK('ALL Other SINs - Proposal'!S131)," ",'ALL Other SINs - Proposal'!S131)</f>
        <v xml:space="preserve"> </v>
      </c>
      <c r="G131" s="173" t="str">
        <f>IF(ISBLANK('ALL Other SINs - Proposal'!T131)," ",'ALL Other SINs - Proposal'!T131)</f>
        <v xml:space="preserve"> </v>
      </c>
      <c r="H131" s="275" t="str">
        <f>IF(ISBLANK('ALL Other SINs - Proposal'!V131)," ",'ALL Other SINs - Proposal'!V131)</f>
        <v xml:space="preserve"> </v>
      </c>
      <c r="I131" s="271" t="str">
        <f>IF(ISBLANK('ALL Other SINs - Proposal'!W131)," ",'ALL Other SINs - Proposal'!W131)</f>
        <v xml:space="preserve"> </v>
      </c>
      <c r="J131" s="71" t="str">
        <f>IF(ISBLANK('ALL Other SINs - Proposal'!X131)," ",'ALL Other SINs - Proposal'!X131)</f>
        <v xml:space="preserve"> </v>
      </c>
      <c r="K131" s="165" t="str">
        <f>IF(ISBLANK('ALL Other SINs - Proposal'!AA131)," ",'ALL Other SINs - Proposal'!AA131)</f>
        <v xml:space="preserve"> </v>
      </c>
      <c r="L131" s="178" t="str">
        <f>IF(ISBLANK('ALL Other SINs - Proposal'!AB131)," ",'ALL Other SINs - Proposal'!AB131)</f>
        <v xml:space="preserve"> </v>
      </c>
      <c r="M131" s="72" t="str">
        <f t="shared" ref="M131:M194" si="4">IFERROR(IF((ROUND(K131,2))&lt;=(ROUND(F131,2)),"YES","NO")," ")</f>
        <v xml:space="preserve"> </v>
      </c>
      <c r="N131" s="167" t="str">
        <f t="shared" ref="N131:N194" si="5">IFERROR(IF(ISBLANK(K131)," ",(ROUND(K131,2))/(ROUND(I131,2)))," ")</f>
        <v xml:space="preserve"> </v>
      </c>
    </row>
    <row r="132" spans="1:14" ht="15" x14ac:dyDescent="0.25">
      <c r="A132" s="131" t="str">
        <f>IF(ISBLANK('ALL Other SINs - Proposal'!A132)," ",'ALL Other SINs - Proposal'!A132)</f>
        <v xml:space="preserve"> </v>
      </c>
      <c r="B132" s="137" t="str">
        <f>IF(ISBLANK('ALL Other SINs - Proposal'!B132)," ",'ALL Other SINs - Proposal'!B132)</f>
        <v xml:space="preserve"> </v>
      </c>
      <c r="C132" s="137" t="str">
        <f>IF(ISBLANK('ALL Other SINs - Proposal'!C132)," ",'ALL Other SINs - Proposal'!C132)</f>
        <v xml:space="preserve"> </v>
      </c>
      <c r="D132" s="138" t="str">
        <f>IF(ISBLANK('ALL Other SINs - Proposal'!D132)," ",'ALL Other SINs - Proposal'!D132)</f>
        <v xml:space="preserve"> </v>
      </c>
      <c r="E132" s="69" t="str">
        <f>IF(ISBLANK('ALL Other SINs - Proposal'!R132)," ",'ALL Other SINs - Proposal'!R132)</f>
        <v xml:space="preserve"> </v>
      </c>
      <c r="F132" s="73" t="str">
        <f>IF(ISBLANK('ALL Other SINs - Proposal'!S132)," ",'ALL Other SINs - Proposal'!S132)</f>
        <v xml:space="preserve"> </v>
      </c>
      <c r="G132" s="173" t="str">
        <f>IF(ISBLANK('ALL Other SINs - Proposal'!T132)," ",'ALL Other SINs - Proposal'!T132)</f>
        <v xml:space="preserve"> </v>
      </c>
      <c r="H132" s="275" t="str">
        <f>IF(ISBLANK('ALL Other SINs - Proposal'!V132)," ",'ALL Other SINs - Proposal'!V132)</f>
        <v xml:space="preserve"> </v>
      </c>
      <c r="I132" s="271" t="str">
        <f>IF(ISBLANK('ALL Other SINs - Proposal'!W132)," ",'ALL Other SINs - Proposal'!W132)</f>
        <v xml:space="preserve"> </v>
      </c>
      <c r="J132" s="71" t="str">
        <f>IF(ISBLANK('ALL Other SINs - Proposal'!X132)," ",'ALL Other SINs - Proposal'!X132)</f>
        <v xml:space="preserve"> </v>
      </c>
      <c r="K132" s="165" t="str">
        <f>IF(ISBLANK('ALL Other SINs - Proposal'!AA132)," ",'ALL Other SINs - Proposal'!AA132)</f>
        <v xml:space="preserve"> </v>
      </c>
      <c r="L132" s="178" t="str">
        <f>IF(ISBLANK('ALL Other SINs - Proposal'!AB132)," ",'ALL Other SINs - Proposal'!AB132)</f>
        <v xml:space="preserve"> </v>
      </c>
      <c r="M132" s="72" t="str">
        <f t="shared" si="4"/>
        <v xml:space="preserve"> </v>
      </c>
      <c r="N132" s="167" t="str">
        <f t="shared" si="5"/>
        <v xml:space="preserve"> </v>
      </c>
    </row>
    <row r="133" spans="1:14" ht="15" x14ac:dyDescent="0.25">
      <c r="A133" s="131" t="str">
        <f>IF(ISBLANK('ALL Other SINs - Proposal'!A133)," ",'ALL Other SINs - Proposal'!A133)</f>
        <v xml:space="preserve"> </v>
      </c>
      <c r="B133" s="137" t="str">
        <f>IF(ISBLANK('ALL Other SINs - Proposal'!B133)," ",'ALL Other SINs - Proposal'!B133)</f>
        <v xml:space="preserve"> </v>
      </c>
      <c r="C133" s="137" t="str">
        <f>IF(ISBLANK('ALL Other SINs - Proposal'!C133)," ",'ALL Other SINs - Proposal'!C133)</f>
        <v xml:space="preserve"> </v>
      </c>
      <c r="D133" s="138" t="str">
        <f>IF(ISBLANK('ALL Other SINs - Proposal'!D133)," ",'ALL Other SINs - Proposal'!D133)</f>
        <v xml:space="preserve"> </v>
      </c>
      <c r="E133" s="69" t="str">
        <f>IF(ISBLANK('ALL Other SINs - Proposal'!R133)," ",'ALL Other SINs - Proposal'!R133)</f>
        <v xml:space="preserve"> </v>
      </c>
      <c r="F133" s="73" t="str">
        <f>IF(ISBLANK('ALL Other SINs - Proposal'!S133)," ",'ALL Other SINs - Proposal'!S133)</f>
        <v xml:space="preserve"> </v>
      </c>
      <c r="G133" s="173" t="str">
        <f>IF(ISBLANK('ALL Other SINs - Proposal'!T133)," ",'ALL Other SINs - Proposal'!T133)</f>
        <v xml:space="preserve"> </v>
      </c>
      <c r="H133" s="275" t="str">
        <f>IF(ISBLANK('ALL Other SINs - Proposal'!V133)," ",'ALL Other SINs - Proposal'!V133)</f>
        <v xml:space="preserve"> </v>
      </c>
      <c r="I133" s="271" t="str">
        <f>IF(ISBLANK('ALL Other SINs - Proposal'!W133)," ",'ALL Other SINs - Proposal'!W133)</f>
        <v xml:space="preserve"> </v>
      </c>
      <c r="J133" s="71" t="str">
        <f>IF(ISBLANK('ALL Other SINs - Proposal'!X133)," ",'ALL Other SINs - Proposal'!X133)</f>
        <v xml:space="preserve"> </v>
      </c>
      <c r="K133" s="165" t="str">
        <f>IF(ISBLANK('ALL Other SINs - Proposal'!AA133)," ",'ALL Other SINs - Proposal'!AA133)</f>
        <v xml:space="preserve"> </v>
      </c>
      <c r="L133" s="178" t="str">
        <f>IF(ISBLANK('ALL Other SINs - Proposal'!AB133)," ",'ALL Other SINs - Proposal'!AB133)</f>
        <v xml:space="preserve"> </v>
      </c>
      <c r="M133" s="72" t="str">
        <f t="shared" si="4"/>
        <v xml:space="preserve"> </v>
      </c>
      <c r="N133" s="167" t="str">
        <f t="shared" si="5"/>
        <v xml:space="preserve"> </v>
      </c>
    </row>
    <row r="134" spans="1:14" ht="15" x14ac:dyDescent="0.25">
      <c r="A134" s="131" t="str">
        <f>IF(ISBLANK('ALL Other SINs - Proposal'!A134)," ",'ALL Other SINs - Proposal'!A134)</f>
        <v xml:space="preserve"> </v>
      </c>
      <c r="B134" s="137" t="str">
        <f>IF(ISBLANK('ALL Other SINs - Proposal'!B134)," ",'ALL Other SINs - Proposal'!B134)</f>
        <v xml:space="preserve"> </v>
      </c>
      <c r="C134" s="137" t="str">
        <f>IF(ISBLANK('ALL Other SINs - Proposal'!C134)," ",'ALL Other SINs - Proposal'!C134)</f>
        <v xml:space="preserve"> </v>
      </c>
      <c r="D134" s="138" t="str">
        <f>IF(ISBLANK('ALL Other SINs - Proposal'!D134)," ",'ALL Other SINs - Proposal'!D134)</f>
        <v xml:space="preserve"> </v>
      </c>
      <c r="E134" s="69" t="str">
        <f>IF(ISBLANK('ALL Other SINs - Proposal'!R134)," ",'ALL Other SINs - Proposal'!R134)</f>
        <v xml:space="preserve"> </v>
      </c>
      <c r="F134" s="73" t="str">
        <f>IF(ISBLANK('ALL Other SINs - Proposal'!S134)," ",'ALL Other SINs - Proposal'!S134)</f>
        <v xml:space="preserve"> </v>
      </c>
      <c r="G134" s="173" t="str">
        <f>IF(ISBLANK('ALL Other SINs - Proposal'!T134)," ",'ALL Other SINs - Proposal'!T134)</f>
        <v xml:space="preserve"> </v>
      </c>
      <c r="H134" s="275" t="str">
        <f>IF(ISBLANK('ALL Other SINs - Proposal'!V134)," ",'ALL Other SINs - Proposal'!V134)</f>
        <v xml:space="preserve"> </v>
      </c>
      <c r="I134" s="271" t="str">
        <f>IF(ISBLANK('ALL Other SINs - Proposal'!W134)," ",'ALL Other SINs - Proposal'!W134)</f>
        <v xml:space="preserve"> </v>
      </c>
      <c r="J134" s="71" t="str">
        <f>IF(ISBLANK('ALL Other SINs - Proposal'!X134)," ",'ALL Other SINs - Proposal'!X134)</f>
        <v xml:space="preserve"> </v>
      </c>
      <c r="K134" s="165" t="str">
        <f>IF(ISBLANK('ALL Other SINs - Proposal'!AA134)," ",'ALL Other SINs - Proposal'!AA134)</f>
        <v xml:space="preserve"> </v>
      </c>
      <c r="L134" s="178" t="str">
        <f>IF(ISBLANK('ALL Other SINs - Proposal'!AB134)," ",'ALL Other SINs - Proposal'!AB134)</f>
        <v xml:space="preserve"> </v>
      </c>
      <c r="M134" s="72" t="str">
        <f t="shared" si="4"/>
        <v xml:space="preserve"> </v>
      </c>
      <c r="N134" s="167" t="str">
        <f t="shared" si="5"/>
        <v xml:space="preserve"> </v>
      </c>
    </row>
    <row r="135" spans="1:14" ht="15" x14ac:dyDescent="0.25">
      <c r="A135" s="131" t="str">
        <f>IF(ISBLANK('ALL Other SINs - Proposal'!A135)," ",'ALL Other SINs - Proposal'!A135)</f>
        <v xml:space="preserve"> </v>
      </c>
      <c r="B135" s="137" t="str">
        <f>IF(ISBLANK('ALL Other SINs - Proposal'!B135)," ",'ALL Other SINs - Proposal'!B135)</f>
        <v xml:space="preserve"> </v>
      </c>
      <c r="C135" s="137" t="str">
        <f>IF(ISBLANK('ALL Other SINs - Proposal'!C135)," ",'ALL Other SINs - Proposal'!C135)</f>
        <v xml:space="preserve"> </v>
      </c>
      <c r="D135" s="138" t="str">
        <f>IF(ISBLANK('ALL Other SINs - Proposal'!D135)," ",'ALL Other SINs - Proposal'!D135)</f>
        <v xml:space="preserve"> </v>
      </c>
      <c r="E135" s="69" t="str">
        <f>IF(ISBLANK('ALL Other SINs - Proposal'!R135)," ",'ALL Other SINs - Proposal'!R135)</f>
        <v xml:space="preserve"> </v>
      </c>
      <c r="F135" s="73" t="str">
        <f>IF(ISBLANK('ALL Other SINs - Proposal'!S135)," ",'ALL Other SINs - Proposal'!S135)</f>
        <v xml:space="preserve"> </v>
      </c>
      <c r="G135" s="173" t="str">
        <f>IF(ISBLANK('ALL Other SINs - Proposal'!T135)," ",'ALL Other SINs - Proposal'!T135)</f>
        <v xml:space="preserve"> </v>
      </c>
      <c r="H135" s="275" t="str">
        <f>IF(ISBLANK('ALL Other SINs - Proposal'!V135)," ",'ALL Other SINs - Proposal'!V135)</f>
        <v xml:space="preserve"> </v>
      </c>
      <c r="I135" s="271" t="str">
        <f>IF(ISBLANK('ALL Other SINs - Proposal'!W135)," ",'ALL Other SINs - Proposal'!W135)</f>
        <v xml:space="preserve"> </v>
      </c>
      <c r="J135" s="71" t="str">
        <f>IF(ISBLANK('ALL Other SINs - Proposal'!X135)," ",'ALL Other SINs - Proposal'!X135)</f>
        <v xml:space="preserve"> </v>
      </c>
      <c r="K135" s="165" t="str">
        <f>IF(ISBLANK('ALL Other SINs - Proposal'!AA135)," ",'ALL Other SINs - Proposal'!AA135)</f>
        <v xml:space="preserve"> </v>
      </c>
      <c r="L135" s="178" t="str">
        <f>IF(ISBLANK('ALL Other SINs - Proposal'!AB135)," ",'ALL Other SINs - Proposal'!AB135)</f>
        <v xml:space="preserve"> </v>
      </c>
      <c r="M135" s="72" t="str">
        <f t="shared" si="4"/>
        <v xml:space="preserve"> </v>
      </c>
      <c r="N135" s="167" t="str">
        <f t="shared" si="5"/>
        <v xml:space="preserve"> </v>
      </c>
    </row>
    <row r="136" spans="1:14" ht="15" x14ac:dyDescent="0.25">
      <c r="A136" s="131" t="str">
        <f>IF(ISBLANK('ALL Other SINs - Proposal'!A136)," ",'ALL Other SINs - Proposal'!A136)</f>
        <v xml:space="preserve"> </v>
      </c>
      <c r="B136" s="137" t="str">
        <f>IF(ISBLANK('ALL Other SINs - Proposal'!B136)," ",'ALL Other SINs - Proposal'!B136)</f>
        <v xml:space="preserve"> </v>
      </c>
      <c r="C136" s="137" t="str">
        <f>IF(ISBLANK('ALL Other SINs - Proposal'!C136)," ",'ALL Other SINs - Proposal'!C136)</f>
        <v xml:space="preserve"> </v>
      </c>
      <c r="D136" s="138" t="str">
        <f>IF(ISBLANK('ALL Other SINs - Proposal'!D136)," ",'ALL Other SINs - Proposal'!D136)</f>
        <v xml:space="preserve"> </v>
      </c>
      <c r="E136" s="69" t="str">
        <f>IF(ISBLANK('ALL Other SINs - Proposal'!R136)," ",'ALL Other SINs - Proposal'!R136)</f>
        <v xml:space="preserve"> </v>
      </c>
      <c r="F136" s="73" t="str">
        <f>IF(ISBLANK('ALL Other SINs - Proposal'!S136)," ",'ALL Other SINs - Proposal'!S136)</f>
        <v xml:space="preserve"> </v>
      </c>
      <c r="G136" s="173" t="str">
        <f>IF(ISBLANK('ALL Other SINs - Proposal'!T136)," ",'ALL Other SINs - Proposal'!T136)</f>
        <v xml:space="preserve"> </v>
      </c>
      <c r="H136" s="275" t="str">
        <f>IF(ISBLANK('ALL Other SINs - Proposal'!V136)," ",'ALL Other SINs - Proposal'!V136)</f>
        <v xml:space="preserve"> </v>
      </c>
      <c r="I136" s="271" t="str">
        <f>IF(ISBLANK('ALL Other SINs - Proposal'!W136)," ",'ALL Other SINs - Proposal'!W136)</f>
        <v xml:space="preserve"> </v>
      </c>
      <c r="J136" s="71" t="str">
        <f>IF(ISBLANK('ALL Other SINs - Proposal'!X136)," ",'ALL Other SINs - Proposal'!X136)</f>
        <v xml:space="preserve"> </v>
      </c>
      <c r="K136" s="165" t="str">
        <f>IF(ISBLANK('ALL Other SINs - Proposal'!AA136)," ",'ALL Other SINs - Proposal'!AA136)</f>
        <v xml:space="preserve"> </v>
      </c>
      <c r="L136" s="178" t="str">
        <f>IF(ISBLANK('ALL Other SINs - Proposal'!AB136)," ",'ALL Other SINs - Proposal'!AB136)</f>
        <v xml:space="preserve"> </v>
      </c>
      <c r="M136" s="72" t="str">
        <f t="shared" si="4"/>
        <v xml:space="preserve"> </v>
      </c>
      <c r="N136" s="167" t="str">
        <f t="shared" si="5"/>
        <v xml:space="preserve"> </v>
      </c>
    </row>
    <row r="137" spans="1:14" ht="15" x14ac:dyDescent="0.25">
      <c r="A137" s="131" t="str">
        <f>IF(ISBLANK('ALL Other SINs - Proposal'!A137)," ",'ALL Other SINs - Proposal'!A137)</f>
        <v xml:space="preserve"> </v>
      </c>
      <c r="B137" s="137" t="str">
        <f>IF(ISBLANK('ALL Other SINs - Proposal'!B137)," ",'ALL Other SINs - Proposal'!B137)</f>
        <v xml:space="preserve"> </v>
      </c>
      <c r="C137" s="137" t="str">
        <f>IF(ISBLANK('ALL Other SINs - Proposal'!C137)," ",'ALL Other SINs - Proposal'!C137)</f>
        <v xml:space="preserve"> </v>
      </c>
      <c r="D137" s="138" t="str">
        <f>IF(ISBLANK('ALL Other SINs - Proposal'!D137)," ",'ALL Other SINs - Proposal'!D137)</f>
        <v xml:space="preserve"> </v>
      </c>
      <c r="E137" s="69" t="str">
        <f>IF(ISBLANK('ALL Other SINs - Proposal'!R137)," ",'ALL Other SINs - Proposal'!R137)</f>
        <v xml:space="preserve"> </v>
      </c>
      <c r="F137" s="73" t="str">
        <f>IF(ISBLANK('ALL Other SINs - Proposal'!S137)," ",'ALL Other SINs - Proposal'!S137)</f>
        <v xml:space="preserve"> </v>
      </c>
      <c r="G137" s="173" t="str">
        <f>IF(ISBLANK('ALL Other SINs - Proposal'!T137)," ",'ALL Other SINs - Proposal'!T137)</f>
        <v xml:space="preserve"> </v>
      </c>
      <c r="H137" s="275" t="str">
        <f>IF(ISBLANK('ALL Other SINs - Proposal'!V137)," ",'ALL Other SINs - Proposal'!V137)</f>
        <v xml:space="preserve"> </v>
      </c>
      <c r="I137" s="271" t="str">
        <f>IF(ISBLANK('ALL Other SINs - Proposal'!W137)," ",'ALL Other SINs - Proposal'!W137)</f>
        <v xml:space="preserve"> </v>
      </c>
      <c r="J137" s="71" t="str">
        <f>IF(ISBLANK('ALL Other SINs - Proposal'!X137)," ",'ALL Other SINs - Proposal'!X137)</f>
        <v xml:space="preserve"> </v>
      </c>
      <c r="K137" s="165" t="str">
        <f>IF(ISBLANK('ALL Other SINs - Proposal'!AA137)," ",'ALL Other SINs - Proposal'!AA137)</f>
        <v xml:space="preserve"> </v>
      </c>
      <c r="L137" s="178" t="str">
        <f>IF(ISBLANK('ALL Other SINs - Proposal'!AB137)," ",'ALL Other SINs - Proposal'!AB137)</f>
        <v xml:space="preserve"> </v>
      </c>
      <c r="M137" s="72" t="str">
        <f t="shared" si="4"/>
        <v xml:space="preserve"> </v>
      </c>
      <c r="N137" s="167" t="str">
        <f t="shared" si="5"/>
        <v xml:space="preserve"> </v>
      </c>
    </row>
    <row r="138" spans="1:14" ht="15" x14ac:dyDescent="0.25">
      <c r="A138" s="131" t="str">
        <f>IF(ISBLANK('ALL Other SINs - Proposal'!A138)," ",'ALL Other SINs - Proposal'!A138)</f>
        <v xml:space="preserve"> </v>
      </c>
      <c r="B138" s="137" t="str">
        <f>IF(ISBLANK('ALL Other SINs - Proposal'!B138)," ",'ALL Other SINs - Proposal'!B138)</f>
        <v xml:space="preserve"> </v>
      </c>
      <c r="C138" s="137" t="str">
        <f>IF(ISBLANK('ALL Other SINs - Proposal'!C138)," ",'ALL Other SINs - Proposal'!C138)</f>
        <v xml:space="preserve"> </v>
      </c>
      <c r="D138" s="138" t="str">
        <f>IF(ISBLANK('ALL Other SINs - Proposal'!D138)," ",'ALL Other SINs - Proposal'!D138)</f>
        <v xml:space="preserve"> </v>
      </c>
      <c r="E138" s="69" t="str">
        <f>IF(ISBLANK('ALL Other SINs - Proposal'!R138)," ",'ALL Other SINs - Proposal'!R138)</f>
        <v xml:space="preserve"> </v>
      </c>
      <c r="F138" s="73" t="str">
        <f>IF(ISBLANK('ALL Other SINs - Proposal'!S138)," ",'ALL Other SINs - Proposal'!S138)</f>
        <v xml:space="preserve"> </v>
      </c>
      <c r="G138" s="173" t="str">
        <f>IF(ISBLANK('ALL Other SINs - Proposal'!T138)," ",'ALL Other SINs - Proposal'!T138)</f>
        <v xml:space="preserve"> </v>
      </c>
      <c r="H138" s="275" t="str">
        <f>IF(ISBLANK('ALL Other SINs - Proposal'!V138)," ",'ALL Other SINs - Proposal'!V138)</f>
        <v xml:space="preserve"> </v>
      </c>
      <c r="I138" s="271" t="str">
        <f>IF(ISBLANK('ALL Other SINs - Proposal'!W138)," ",'ALL Other SINs - Proposal'!W138)</f>
        <v xml:space="preserve"> </v>
      </c>
      <c r="J138" s="71" t="str">
        <f>IF(ISBLANK('ALL Other SINs - Proposal'!X138)," ",'ALL Other SINs - Proposal'!X138)</f>
        <v xml:space="preserve"> </v>
      </c>
      <c r="K138" s="165" t="str">
        <f>IF(ISBLANK('ALL Other SINs - Proposal'!AA138)," ",'ALL Other SINs - Proposal'!AA138)</f>
        <v xml:space="preserve"> </v>
      </c>
      <c r="L138" s="178" t="str">
        <f>IF(ISBLANK('ALL Other SINs - Proposal'!AB138)," ",'ALL Other SINs - Proposal'!AB138)</f>
        <v xml:space="preserve"> </v>
      </c>
      <c r="M138" s="72" t="str">
        <f t="shared" si="4"/>
        <v xml:space="preserve"> </v>
      </c>
      <c r="N138" s="167" t="str">
        <f t="shared" si="5"/>
        <v xml:space="preserve"> </v>
      </c>
    </row>
    <row r="139" spans="1:14" ht="15" x14ac:dyDescent="0.25">
      <c r="A139" s="131" t="str">
        <f>IF(ISBLANK('ALL Other SINs - Proposal'!A139)," ",'ALL Other SINs - Proposal'!A139)</f>
        <v xml:space="preserve"> </v>
      </c>
      <c r="B139" s="137" t="str">
        <f>IF(ISBLANK('ALL Other SINs - Proposal'!B139)," ",'ALL Other SINs - Proposal'!B139)</f>
        <v xml:space="preserve"> </v>
      </c>
      <c r="C139" s="137" t="str">
        <f>IF(ISBLANK('ALL Other SINs - Proposal'!C139)," ",'ALL Other SINs - Proposal'!C139)</f>
        <v xml:space="preserve"> </v>
      </c>
      <c r="D139" s="138" t="str">
        <f>IF(ISBLANK('ALL Other SINs - Proposal'!D139)," ",'ALL Other SINs - Proposal'!D139)</f>
        <v xml:space="preserve"> </v>
      </c>
      <c r="E139" s="69" t="str">
        <f>IF(ISBLANK('ALL Other SINs - Proposal'!R139)," ",'ALL Other SINs - Proposal'!R139)</f>
        <v xml:space="preserve"> </v>
      </c>
      <c r="F139" s="73" t="str">
        <f>IF(ISBLANK('ALL Other SINs - Proposal'!S139)," ",'ALL Other SINs - Proposal'!S139)</f>
        <v xml:space="preserve"> </v>
      </c>
      <c r="G139" s="173" t="str">
        <f>IF(ISBLANK('ALL Other SINs - Proposal'!T139)," ",'ALL Other SINs - Proposal'!T139)</f>
        <v xml:space="preserve"> </v>
      </c>
      <c r="H139" s="275" t="str">
        <f>IF(ISBLANK('ALL Other SINs - Proposal'!V139)," ",'ALL Other SINs - Proposal'!V139)</f>
        <v xml:space="preserve"> </v>
      </c>
      <c r="I139" s="271" t="str">
        <f>IF(ISBLANK('ALL Other SINs - Proposal'!W139)," ",'ALL Other SINs - Proposal'!W139)</f>
        <v xml:space="preserve"> </v>
      </c>
      <c r="J139" s="71" t="str">
        <f>IF(ISBLANK('ALL Other SINs - Proposal'!X139)," ",'ALL Other SINs - Proposal'!X139)</f>
        <v xml:space="preserve"> </v>
      </c>
      <c r="K139" s="165" t="str">
        <f>IF(ISBLANK('ALL Other SINs - Proposal'!AA139)," ",'ALL Other SINs - Proposal'!AA139)</f>
        <v xml:space="preserve"> </v>
      </c>
      <c r="L139" s="178" t="str">
        <f>IF(ISBLANK('ALL Other SINs - Proposal'!AB139)," ",'ALL Other SINs - Proposal'!AB139)</f>
        <v xml:space="preserve"> </v>
      </c>
      <c r="M139" s="72" t="str">
        <f t="shared" si="4"/>
        <v xml:space="preserve"> </v>
      </c>
      <c r="N139" s="167" t="str">
        <f t="shared" si="5"/>
        <v xml:space="preserve"> </v>
      </c>
    </row>
    <row r="140" spans="1:14" ht="15" x14ac:dyDescent="0.25">
      <c r="A140" s="131" t="str">
        <f>IF(ISBLANK('ALL Other SINs - Proposal'!A140)," ",'ALL Other SINs - Proposal'!A140)</f>
        <v xml:space="preserve"> </v>
      </c>
      <c r="B140" s="137" t="str">
        <f>IF(ISBLANK('ALL Other SINs - Proposal'!B140)," ",'ALL Other SINs - Proposal'!B140)</f>
        <v xml:space="preserve"> </v>
      </c>
      <c r="C140" s="137" t="str">
        <f>IF(ISBLANK('ALL Other SINs - Proposal'!C140)," ",'ALL Other SINs - Proposal'!C140)</f>
        <v xml:space="preserve"> </v>
      </c>
      <c r="D140" s="138" t="str">
        <f>IF(ISBLANK('ALL Other SINs - Proposal'!D140)," ",'ALL Other SINs - Proposal'!D140)</f>
        <v xml:space="preserve"> </v>
      </c>
      <c r="E140" s="69" t="str">
        <f>IF(ISBLANK('ALL Other SINs - Proposal'!R140)," ",'ALL Other SINs - Proposal'!R140)</f>
        <v xml:space="preserve"> </v>
      </c>
      <c r="F140" s="73" t="str">
        <f>IF(ISBLANK('ALL Other SINs - Proposal'!S140)," ",'ALL Other SINs - Proposal'!S140)</f>
        <v xml:space="preserve"> </v>
      </c>
      <c r="G140" s="173" t="str">
        <f>IF(ISBLANK('ALL Other SINs - Proposal'!T140)," ",'ALL Other SINs - Proposal'!T140)</f>
        <v xml:space="preserve"> </v>
      </c>
      <c r="H140" s="275" t="str">
        <f>IF(ISBLANK('ALL Other SINs - Proposal'!V140)," ",'ALL Other SINs - Proposal'!V140)</f>
        <v xml:space="preserve"> </v>
      </c>
      <c r="I140" s="271" t="str">
        <f>IF(ISBLANK('ALL Other SINs - Proposal'!W140)," ",'ALL Other SINs - Proposal'!W140)</f>
        <v xml:space="preserve"> </v>
      </c>
      <c r="J140" s="71" t="str">
        <f>IF(ISBLANK('ALL Other SINs - Proposal'!X140)," ",'ALL Other SINs - Proposal'!X140)</f>
        <v xml:space="preserve"> </v>
      </c>
      <c r="K140" s="165" t="str">
        <f>IF(ISBLANK('ALL Other SINs - Proposal'!AA140)," ",'ALL Other SINs - Proposal'!AA140)</f>
        <v xml:space="preserve"> </v>
      </c>
      <c r="L140" s="178" t="str">
        <f>IF(ISBLANK('ALL Other SINs - Proposal'!AB140)," ",'ALL Other SINs - Proposal'!AB140)</f>
        <v xml:space="preserve"> </v>
      </c>
      <c r="M140" s="72" t="str">
        <f t="shared" si="4"/>
        <v xml:space="preserve"> </v>
      </c>
      <c r="N140" s="167" t="str">
        <f t="shared" si="5"/>
        <v xml:space="preserve"> </v>
      </c>
    </row>
    <row r="141" spans="1:14" ht="15" x14ac:dyDescent="0.25">
      <c r="A141" s="131" t="str">
        <f>IF(ISBLANK('ALL Other SINs - Proposal'!A141)," ",'ALL Other SINs - Proposal'!A141)</f>
        <v xml:space="preserve"> </v>
      </c>
      <c r="B141" s="137" t="str">
        <f>IF(ISBLANK('ALL Other SINs - Proposal'!B141)," ",'ALL Other SINs - Proposal'!B141)</f>
        <v xml:space="preserve"> </v>
      </c>
      <c r="C141" s="137" t="str">
        <f>IF(ISBLANK('ALL Other SINs - Proposal'!C141)," ",'ALL Other SINs - Proposal'!C141)</f>
        <v xml:space="preserve"> </v>
      </c>
      <c r="D141" s="138" t="str">
        <f>IF(ISBLANK('ALL Other SINs - Proposal'!D141)," ",'ALL Other SINs - Proposal'!D141)</f>
        <v xml:space="preserve"> </v>
      </c>
      <c r="E141" s="69" t="str">
        <f>IF(ISBLANK('ALL Other SINs - Proposal'!R141)," ",'ALL Other SINs - Proposal'!R141)</f>
        <v xml:space="preserve"> </v>
      </c>
      <c r="F141" s="73" t="str">
        <f>IF(ISBLANK('ALL Other SINs - Proposal'!S141)," ",'ALL Other SINs - Proposal'!S141)</f>
        <v xml:space="preserve"> </v>
      </c>
      <c r="G141" s="173" t="str">
        <f>IF(ISBLANK('ALL Other SINs - Proposal'!T141)," ",'ALL Other SINs - Proposal'!T141)</f>
        <v xml:space="preserve"> </v>
      </c>
      <c r="H141" s="275" t="str">
        <f>IF(ISBLANK('ALL Other SINs - Proposal'!V141)," ",'ALL Other SINs - Proposal'!V141)</f>
        <v xml:space="preserve"> </v>
      </c>
      <c r="I141" s="271" t="str">
        <f>IF(ISBLANK('ALL Other SINs - Proposal'!W141)," ",'ALL Other SINs - Proposal'!W141)</f>
        <v xml:space="preserve"> </v>
      </c>
      <c r="J141" s="71" t="str">
        <f>IF(ISBLANK('ALL Other SINs - Proposal'!X141)," ",'ALL Other SINs - Proposal'!X141)</f>
        <v xml:space="preserve"> </v>
      </c>
      <c r="K141" s="165" t="str">
        <f>IF(ISBLANK('ALL Other SINs - Proposal'!AA141)," ",'ALL Other SINs - Proposal'!AA141)</f>
        <v xml:space="preserve"> </v>
      </c>
      <c r="L141" s="178" t="str">
        <f>IF(ISBLANK('ALL Other SINs - Proposal'!AB141)," ",'ALL Other SINs - Proposal'!AB141)</f>
        <v xml:space="preserve"> </v>
      </c>
      <c r="M141" s="72" t="str">
        <f t="shared" si="4"/>
        <v xml:space="preserve"> </v>
      </c>
      <c r="N141" s="167" t="str">
        <f t="shared" si="5"/>
        <v xml:space="preserve"> </v>
      </c>
    </row>
    <row r="142" spans="1:14" ht="15" x14ac:dyDescent="0.25">
      <c r="A142" s="131" t="str">
        <f>IF(ISBLANK('ALL Other SINs - Proposal'!A142)," ",'ALL Other SINs - Proposal'!A142)</f>
        <v xml:space="preserve"> </v>
      </c>
      <c r="B142" s="137" t="str">
        <f>IF(ISBLANK('ALL Other SINs - Proposal'!B142)," ",'ALL Other SINs - Proposal'!B142)</f>
        <v xml:space="preserve"> </v>
      </c>
      <c r="C142" s="137" t="str">
        <f>IF(ISBLANK('ALL Other SINs - Proposal'!C142)," ",'ALL Other SINs - Proposal'!C142)</f>
        <v xml:space="preserve"> </v>
      </c>
      <c r="D142" s="138" t="str">
        <f>IF(ISBLANK('ALL Other SINs - Proposal'!D142)," ",'ALL Other SINs - Proposal'!D142)</f>
        <v xml:space="preserve"> </v>
      </c>
      <c r="E142" s="69" t="str">
        <f>IF(ISBLANK('ALL Other SINs - Proposal'!R142)," ",'ALL Other SINs - Proposal'!R142)</f>
        <v xml:space="preserve"> </v>
      </c>
      <c r="F142" s="73" t="str">
        <f>IF(ISBLANK('ALL Other SINs - Proposal'!S142)," ",'ALL Other SINs - Proposal'!S142)</f>
        <v xml:space="preserve"> </v>
      </c>
      <c r="G142" s="173" t="str">
        <f>IF(ISBLANK('ALL Other SINs - Proposal'!T142)," ",'ALL Other SINs - Proposal'!T142)</f>
        <v xml:space="preserve"> </v>
      </c>
      <c r="H142" s="275" t="str">
        <f>IF(ISBLANK('ALL Other SINs - Proposal'!V142)," ",'ALL Other SINs - Proposal'!V142)</f>
        <v xml:space="preserve"> </v>
      </c>
      <c r="I142" s="271" t="str">
        <f>IF(ISBLANK('ALL Other SINs - Proposal'!W142)," ",'ALL Other SINs - Proposal'!W142)</f>
        <v xml:space="preserve"> </v>
      </c>
      <c r="J142" s="71" t="str">
        <f>IF(ISBLANK('ALL Other SINs - Proposal'!X142)," ",'ALL Other SINs - Proposal'!X142)</f>
        <v xml:space="preserve"> </v>
      </c>
      <c r="K142" s="165" t="str">
        <f>IF(ISBLANK('ALL Other SINs - Proposal'!AA142)," ",'ALL Other SINs - Proposal'!AA142)</f>
        <v xml:space="preserve"> </v>
      </c>
      <c r="L142" s="178" t="str">
        <f>IF(ISBLANK('ALL Other SINs - Proposal'!AB142)," ",'ALL Other SINs - Proposal'!AB142)</f>
        <v xml:space="preserve"> </v>
      </c>
      <c r="M142" s="72" t="str">
        <f t="shared" si="4"/>
        <v xml:space="preserve"> </v>
      </c>
      <c r="N142" s="167" t="str">
        <f t="shared" si="5"/>
        <v xml:space="preserve"> </v>
      </c>
    </row>
    <row r="143" spans="1:14" ht="15" x14ac:dyDescent="0.25">
      <c r="A143" s="131" t="str">
        <f>IF(ISBLANK('ALL Other SINs - Proposal'!A143)," ",'ALL Other SINs - Proposal'!A143)</f>
        <v xml:space="preserve"> </v>
      </c>
      <c r="B143" s="137" t="str">
        <f>IF(ISBLANK('ALL Other SINs - Proposal'!B143)," ",'ALL Other SINs - Proposal'!B143)</f>
        <v xml:space="preserve"> </v>
      </c>
      <c r="C143" s="137" t="str">
        <f>IF(ISBLANK('ALL Other SINs - Proposal'!C143)," ",'ALL Other SINs - Proposal'!C143)</f>
        <v xml:space="preserve"> </v>
      </c>
      <c r="D143" s="138" t="str">
        <f>IF(ISBLANK('ALL Other SINs - Proposal'!D143)," ",'ALL Other SINs - Proposal'!D143)</f>
        <v xml:space="preserve"> </v>
      </c>
      <c r="E143" s="69" t="str">
        <f>IF(ISBLANK('ALL Other SINs - Proposal'!R143)," ",'ALL Other SINs - Proposal'!R143)</f>
        <v xml:space="preserve"> </v>
      </c>
      <c r="F143" s="73" t="str">
        <f>IF(ISBLANK('ALL Other SINs - Proposal'!S143)," ",'ALL Other SINs - Proposal'!S143)</f>
        <v xml:space="preserve"> </v>
      </c>
      <c r="G143" s="173" t="str">
        <f>IF(ISBLANK('ALL Other SINs - Proposal'!T143)," ",'ALL Other SINs - Proposal'!T143)</f>
        <v xml:space="preserve"> </v>
      </c>
      <c r="H143" s="275" t="str">
        <f>IF(ISBLANK('ALL Other SINs - Proposal'!V143)," ",'ALL Other SINs - Proposal'!V143)</f>
        <v xml:space="preserve"> </v>
      </c>
      <c r="I143" s="271" t="str">
        <f>IF(ISBLANK('ALL Other SINs - Proposal'!W143)," ",'ALL Other SINs - Proposal'!W143)</f>
        <v xml:space="preserve"> </v>
      </c>
      <c r="J143" s="71" t="str">
        <f>IF(ISBLANK('ALL Other SINs - Proposal'!X143)," ",'ALL Other SINs - Proposal'!X143)</f>
        <v xml:space="preserve"> </v>
      </c>
      <c r="K143" s="165" t="str">
        <f>IF(ISBLANK('ALL Other SINs - Proposal'!AA143)," ",'ALL Other SINs - Proposal'!AA143)</f>
        <v xml:space="preserve"> </v>
      </c>
      <c r="L143" s="178" t="str">
        <f>IF(ISBLANK('ALL Other SINs - Proposal'!AB143)," ",'ALL Other SINs - Proposal'!AB143)</f>
        <v xml:space="preserve"> </v>
      </c>
      <c r="M143" s="72" t="str">
        <f t="shared" si="4"/>
        <v xml:space="preserve"> </v>
      </c>
      <c r="N143" s="167" t="str">
        <f t="shared" si="5"/>
        <v xml:space="preserve"> </v>
      </c>
    </row>
    <row r="144" spans="1:14" ht="15" x14ac:dyDescent="0.25">
      <c r="A144" s="131" t="str">
        <f>IF(ISBLANK('ALL Other SINs - Proposal'!A144)," ",'ALL Other SINs - Proposal'!A144)</f>
        <v xml:space="preserve"> </v>
      </c>
      <c r="B144" s="137" t="str">
        <f>IF(ISBLANK('ALL Other SINs - Proposal'!B144)," ",'ALL Other SINs - Proposal'!B144)</f>
        <v xml:space="preserve"> </v>
      </c>
      <c r="C144" s="137" t="str">
        <f>IF(ISBLANK('ALL Other SINs - Proposal'!C144)," ",'ALL Other SINs - Proposal'!C144)</f>
        <v xml:space="preserve"> </v>
      </c>
      <c r="D144" s="138" t="str">
        <f>IF(ISBLANK('ALL Other SINs - Proposal'!D144)," ",'ALL Other SINs - Proposal'!D144)</f>
        <v xml:space="preserve"> </v>
      </c>
      <c r="E144" s="69" t="str">
        <f>IF(ISBLANK('ALL Other SINs - Proposal'!R144)," ",'ALL Other SINs - Proposal'!R144)</f>
        <v xml:space="preserve"> </v>
      </c>
      <c r="F144" s="73" t="str">
        <f>IF(ISBLANK('ALL Other SINs - Proposal'!S144)," ",'ALL Other SINs - Proposal'!S144)</f>
        <v xml:space="preserve"> </v>
      </c>
      <c r="G144" s="173" t="str">
        <f>IF(ISBLANK('ALL Other SINs - Proposal'!T144)," ",'ALL Other SINs - Proposal'!T144)</f>
        <v xml:space="preserve"> </v>
      </c>
      <c r="H144" s="275" t="str">
        <f>IF(ISBLANK('ALL Other SINs - Proposal'!V144)," ",'ALL Other SINs - Proposal'!V144)</f>
        <v xml:space="preserve"> </v>
      </c>
      <c r="I144" s="271" t="str">
        <f>IF(ISBLANK('ALL Other SINs - Proposal'!W144)," ",'ALL Other SINs - Proposal'!W144)</f>
        <v xml:space="preserve"> </v>
      </c>
      <c r="J144" s="71" t="str">
        <f>IF(ISBLANK('ALL Other SINs - Proposal'!X144)," ",'ALL Other SINs - Proposal'!X144)</f>
        <v xml:space="preserve"> </v>
      </c>
      <c r="K144" s="165" t="str">
        <f>IF(ISBLANK('ALL Other SINs - Proposal'!AA144)," ",'ALL Other SINs - Proposal'!AA144)</f>
        <v xml:space="preserve"> </v>
      </c>
      <c r="L144" s="178" t="str">
        <f>IF(ISBLANK('ALL Other SINs - Proposal'!AB144)," ",'ALL Other SINs - Proposal'!AB144)</f>
        <v xml:space="preserve"> </v>
      </c>
      <c r="M144" s="72" t="str">
        <f t="shared" si="4"/>
        <v xml:space="preserve"> </v>
      </c>
      <c r="N144" s="167" t="str">
        <f t="shared" si="5"/>
        <v xml:space="preserve"> </v>
      </c>
    </row>
    <row r="145" spans="1:14" ht="15" x14ac:dyDescent="0.25">
      <c r="A145" s="131" t="str">
        <f>IF(ISBLANK('ALL Other SINs - Proposal'!A145)," ",'ALL Other SINs - Proposal'!A145)</f>
        <v xml:space="preserve"> </v>
      </c>
      <c r="B145" s="137" t="str">
        <f>IF(ISBLANK('ALL Other SINs - Proposal'!B145)," ",'ALL Other SINs - Proposal'!B145)</f>
        <v xml:space="preserve"> </v>
      </c>
      <c r="C145" s="137" t="str">
        <f>IF(ISBLANK('ALL Other SINs - Proposal'!C145)," ",'ALL Other SINs - Proposal'!C145)</f>
        <v xml:space="preserve"> </v>
      </c>
      <c r="D145" s="138" t="str">
        <f>IF(ISBLANK('ALL Other SINs - Proposal'!D145)," ",'ALL Other SINs - Proposal'!D145)</f>
        <v xml:space="preserve"> </v>
      </c>
      <c r="E145" s="69" t="str">
        <f>IF(ISBLANK('ALL Other SINs - Proposal'!R145)," ",'ALL Other SINs - Proposal'!R145)</f>
        <v xml:space="preserve"> </v>
      </c>
      <c r="F145" s="73" t="str">
        <f>IF(ISBLANK('ALL Other SINs - Proposal'!S145)," ",'ALL Other SINs - Proposal'!S145)</f>
        <v xml:space="preserve"> </v>
      </c>
      <c r="G145" s="173" t="str">
        <f>IF(ISBLANK('ALL Other SINs - Proposal'!T145)," ",'ALL Other SINs - Proposal'!T145)</f>
        <v xml:space="preserve"> </v>
      </c>
      <c r="H145" s="275" t="str">
        <f>IF(ISBLANK('ALL Other SINs - Proposal'!V145)," ",'ALL Other SINs - Proposal'!V145)</f>
        <v xml:space="preserve"> </v>
      </c>
      <c r="I145" s="271" t="str">
        <f>IF(ISBLANK('ALL Other SINs - Proposal'!W145)," ",'ALL Other SINs - Proposal'!W145)</f>
        <v xml:space="preserve"> </v>
      </c>
      <c r="J145" s="71" t="str">
        <f>IF(ISBLANK('ALL Other SINs - Proposal'!X145)," ",'ALL Other SINs - Proposal'!X145)</f>
        <v xml:space="preserve"> </v>
      </c>
      <c r="K145" s="165" t="str">
        <f>IF(ISBLANK('ALL Other SINs - Proposal'!AA145)," ",'ALL Other SINs - Proposal'!AA145)</f>
        <v xml:space="preserve"> </v>
      </c>
      <c r="L145" s="178" t="str">
        <f>IF(ISBLANK('ALL Other SINs - Proposal'!AB145)," ",'ALL Other SINs - Proposal'!AB145)</f>
        <v xml:space="preserve"> </v>
      </c>
      <c r="M145" s="72" t="str">
        <f t="shared" si="4"/>
        <v xml:space="preserve"> </v>
      </c>
      <c r="N145" s="167" t="str">
        <f t="shared" si="5"/>
        <v xml:space="preserve"> </v>
      </c>
    </row>
    <row r="146" spans="1:14" ht="15" x14ac:dyDescent="0.25">
      <c r="A146" s="131" t="str">
        <f>IF(ISBLANK('ALL Other SINs - Proposal'!A146)," ",'ALL Other SINs - Proposal'!A146)</f>
        <v xml:space="preserve"> </v>
      </c>
      <c r="B146" s="137" t="str">
        <f>IF(ISBLANK('ALL Other SINs - Proposal'!B146)," ",'ALL Other SINs - Proposal'!B146)</f>
        <v xml:space="preserve"> </v>
      </c>
      <c r="C146" s="137" t="str">
        <f>IF(ISBLANK('ALL Other SINs - Proposal'!C146)," ",'ALL Other SINs - Proposal'!C146)</f>
        <v xml:space="preserve"> </v>
      </c>
      <c r="D146" s="138" t="str">
        <f>IF(ISBLANK('ALL Other SINs - Proposal'!D146)," ",'ALL Other SINs - Proposal'!D146)</f>
        <v xml:space="preserve"> </v>
      </c>
      <c r="E146" s="69" t="str">
        <f>IF(ISBLANK('ALL Other SINs - Proposal'!R146)," ",'ALL Other SINs - Proposal'!R146)</f>
        <v xml:space="preserve"> </v>
      </c>
      <c r="F146" s="73" t="str">
        <f>IF(ISBLANK('ALL Other SINs - Proposal'!S146)," ",'ALL Other SINs - Proposal'!S146)</f>
        <v xml:space="preserve"> </v>
      </c>
      <c r="G146" s="173" t="str">
        <f>IF(ISBLANK('ALL Other SINs - Proposal'!T146)," ",'ALL Other SINs - Proposal'!T146)</f>
        <v xml:space="preserve"> </v>
      </c>
      <c r="H146" s="275" t="str">
        <f>IF(ISBLANK('ALL Other SINs - Proposal'!V146)," ",'ALL Other SINs - Proposal'!V146)</f>
        <v xml:space="preserve"> </v>
      </c>
      <c r="I146" s="271" t="str">
        <f>IF(ISBLANK('ALL Other SINs - Proposal'!W146)," ",'ALL Other SINs - Proposal'!W146)</f>
        <v xml:space="preserve"> </v>
      </c>
      <c r="J146" s="71" t="str">
        <f>IF(ISBLANK('ALL Other SINs - Proposal'!X146)," ",'ALL Other SINs - Proposal'!X146)</f>
        <v xml:space="preserve"> </v>
      </c>
      <c r="K146" s="165" t="str">
        <f>IF(ISBLANK('ALL Other SINs - Proposal'!AA146)," ",'ALL Other SINs - Proposal'!AA146)</f>
        <v xml:space="preserve"> </v>
      </c>
      <c r="L146" s="178" t="str">
        <f>IF(ISBLANK('ALL Other SINs - Proposal'!AB146)," ",'ALL Other SINs - Proposal'!AB146)</f>
        <v xml:space="preserve"> </v>
      </c>
      <c r="M146" s="72" t="str">
        <f t="shared" si="4"/>
        <v xml:space="preserve"> </v>
      </c>
      <c r="N146" s="167" t="str">
        <f t="shared" si="5"/>
        <v xml:space="preserve"> </v>
      </c>
    </row>
    <row r="147" spans="1:14" ht="15" x14ac:dyDescent="0.25">
      <c r="A147" s="131" t="str">
        <f>IF(ISBLANK('ALL Other SINs - Proposal'!A147)," ",'ALL Other SINs - Proposal'!A147)</f>
        <v xml:space="preserve"> </v>
      </c>
      <c r="B147" s="137" t="str">
        <f>IF(ISBLANK('ALL Other SINs - Proposal'!B147)," ",'ALL Other SINs - Proposal'!B147)</f>
        <v xml:space="preserve"> </v>
      </c>
      <c r="C147" s="137" t="str">
        <f>IF(ISBLANK('ALL Other SINs - Proposal'!C147)," ",'ALL Other SINs - Proposal'!C147)</f>
        <v xml:space="preserve"> </v>
      </c>
      <c r="D147" s="138" t="str">
        <f>IF(ISBLANK('ALL Other SINs - Proposal'!D147)," ",'ALL Other SINs - Proposal'!D147)</f>
        <v xml:space="preserve"> </v>
      </c>
      <c r="E147" s="69" t="str">
        <f>IF(ISBLANK('ALL Other SINs - Proposal'!R147)," ",'ALL Other SINs - Proposal'!R147)</f>
        <v xml:space="preserve"> </v>
      </c>
      <c r="F147" s="73" t="str">
        <f>IF(ISBLANK('ALL Other SINs - Proposal'!S147)," ",'ALL Other SINs - Proposal'!S147)</f>
        <v xml:space="preserve"> </v>
      </c>
      <c r="G147" s="173" t="str">
        <f>IF(ISBLANK('ALL Other SINs - Proposal'!T147)," ",'ALL Other SINs - Proposal'!T147)</f>
        <v xml:space="preserve"> </v>
      </c>
      <c r="H147" s="275" t="str">
        <f>IF(ISBLANK('ALL Other SINs - Proposal'!V147)," ",'ALL Other SINs - Proposal'!V147)</f>
        <v xml:space="preserve"> </v>
      </c>
      <c r="I147" s="271" t="str">
        <f>IF(ISBLANK('ALL Other SINs - Proposal'!W147)," ",'ALL Other SINs - Proposal'!W147)</f>
        <v xml:space="preserve"> </v>
      </c>
      <c r="J147" s="71" t="str">
        <f>IF(ISBLANK('ALL Other SINs - Proposal'!X147)," ",'ALL Other SINs - Proposal'!X147)</f>
        <v xml:space="preserve"> </v>
      </c>
      <c r="K147" s="165" t="str">
        <f>IF(ISBLANK('ALL Other SINs - Proposal'!AA147)," ",'ALL Other SINs - Proposal'!AA147)</f>
        <v xml:space="preserve"> </v>
      </c>
      <c r="L147" s="178" t="str">
        <f>IF(ISBLANK('ALL Other SINs - Proposal'!AB147)," ",'ALL Other SINs - Proposal'!AB147)</f>
        <v xml:space="preserve"> </v>
      </c>
      <c r="M147" s="72" t="str">
        <f t="shared" si="4"/>
        <v xml:space="preserve"> </v>
      </c>
      <c r="N147" s="167" t="str">
        <f t="shared" si="5"/>
        <v xml:space="preserve"> </v>
      </c>
    </row>
    <row r="148" spans="1:14" ht="15" x14ac:dyDescent="0.25">
      <c r="A148" s="131" t="str">
        <f>IF(ISBLANK('ALL Other SINs - Proposal'!A148)," ",'ALL Other SINs - Proposal'!A148)</f>
        <v xml:space="preserve"> </v>
      </c>
      <c r="B148" s="137" t="str">
        <f>IF(ISBLANK('ALL Other SINs - Proposal'!B148)," ",'ALL Other SINs - Proposal'!B148)</f>
        <v xml:space="preserve"> </v>
      </c>
      <c r="C148" s="137" t="str">
        <f>IF(ISBLANK('ALL Other SINs - Proposal'!C148)," ",'ALL Other SINs - Proposal'!C148)</f>
        <v xml:space="preserve"> </v>
      </c>
      <c r="D148" s="138" t="str">
        <f>IF(ISBLANK('ALL Other SINs - Proposal'!D148)," ",'ALL Other SINs - Proposal'!D148)</f>
        <v xml:space="preserve"> </v>
      </c>
      <c r="E148" s="69" t="str">
        <f>IF(ISBLANK('ALL Other SINs - Proposal'!R148)," ",'ALL Other SINs - Proposal'!R148)</f>
        <v xml:space="preserve"> </v>
      </c>
      <c r="F148" s="73" t="str">
        <f>IF(ISBLANK('ALL Other SINs - Proposal'!S148)," ",'ALL Other SINs - Proposal'!S148)</f>
        <v xml:space="preserve"> </v>
      </c>
      <c r="G148" s="173" t="str">
        <f>IF(ISBLANK('ALL Other SINs - Proposal'!T148)," ",'ALL Other SINs - Proposal'!T148)</f>
        <v xml:space="preserve"> </v>
      </c>
      <c r="H148" s="275" t="str">
        <f>IF(ISBLANK('ALL Other SINs - Proposal'!V148)," ",'ALL Other SINs - Proposal'!V148)</f>
        <v xml:space="preserve"> </v>
      </c>
      <c r="I148" s="271" t="str">
        <f>IF(ISBLANK('ALL Other SINs - Proposal'!W148)," ",'ALL Other SINs - Proposal'!W148)</f>
        <v xml:space="preserve"> </v>
      </c>
      <c r="J148" s="71" t="str">
        <f>IF(ISBLANK('ALL Other SINs - Proposal'!X148)," ",'ALL Other SINs - Proposal'!X148)</f>
        <v xml:space="preserve"> </v>
      </c>
      <c r="K148" s="165" t="str">
        <f>IF(ISBLANK('ALL Other SINs - Proposal'!AA148)," ",'ALL Other SINs - Proposal'!AA148)</f>
        <v xml:space="preserve"> </v>
      </c>
      <c r="L148" s="178" t="str">
        <f>IF(ISBLANK('ALL Other SINs - Proposal'!AB148)," ",'ALL Other SINs - Proposal'!AB148)</f>
        <v xml:space="preserve"> </v>
      </c>
      <c r="M148" s="72" t="str">
        <f t="shared" si="4"/>
        <v xml:space="preserve"> </v>
      </c>
      <c r="N148" s="167" t="str">
        <f t="shared" si="5"/>
        <v xml:space="preserve"> </v>
      </c>
    </row>
    <row r="149" spans="1:14" ht="15" x14ac:dyDescent="0.25">
      <c r="A149" s="131" t="str">
        <f>IF(ISBLANK('ALL Other SINs - Proposal'!A149)," ",'ALL Other SINs - Proposal'!A149)</f>
        <v xml:space="preserve"> </v>
      </c>
      <c r="B149" s="137" t="str">
        <f>IF(ISBLANK('ALL Other SINs - Proposal'!B149)," ",'ALL Other SINs - Proposal'!B149)</f>
        <v xml:space="preserve"> </v>
      </c>
      <c r="C149" s="137" t="str">
        <f>IF(ISBLANK('ALL Other SINs - Proposal'!C149)," ",'ALL Other SINs - Proposal'!C149)</f>
        <v xml:space="preserve"> </v>
      </c>
      <c r="D149" s="138" t="str">
        <f>IF(ISBLANK('ALL Other SINs - Proposal'!D149)," ",'ALL Other SINs - Proposal'!D149)</f>
        <v xml:space="preserve"> </v>
      </c>
      <c r="E149" s="69" t="str">
        <f>IF(ISBLANK('ALL Other SINs - Proposal'!R149)," ",'ALL Other SINs - Proposal'!R149)</f>
        <v xml:space="preserve"> </v>
      </c>
      <c r="F149" s="73" t="str">
        <f>IF(ISBLANK('ALL Other SINs - Proposal'!S149)," ",'ALL Other SINs - Proposal'!S149)</f>
        <v xml:space="preserve"> </v>
      </c>
      <c r="G149" s="173" t="str">
        <f>IF(ISBLANK('ALL Other SINs - Proposal'!T149)," ",'ALL Other SINs - Proposal'!T149)</f>
        <v xml:space="preserve"> </v>
      </c>
      <c r="H149" s="275" t="str">
        <f>IF(ISBLANK('ALL Other SINs - Proposal'!V149)," ",'ALL Other SINs - Proposal'!V149)</f>
        <v xml:space="preserve"> </v>
      </c>
      <c r="I149" s="271" t="str">
        <f>IF(ISBLANK('ALL Other SINs - Proposal'!W149)," ",'ALL Other SINs - Proposal'!W149)</f>
        <v xml:space="preserve"> </v>
      </c>
      <c r="J149" s="71" t="str">
        <f>IF(ISBLANK('ALL Other SINs - Proposal'!X149)," ",'ALL Other SINs - Proposal'!X149)</f>
        <v xml:space="preserve"> </v>
      </c>
      <c r="K149" s="165" t="str">
        <f>IF(ISBLANK('ALL Other SINs - Proposal'!AA149)," ",'ALL Other SINs - Proposal'!AA149)</f>
        <v xml:space="preserve"> </v>
      </c>
      <c r="L149" s="178" t="str">
        <f>IF(ISBLANK('ALL Other SINs - Proposal'!AB149)," ",'ALL Other SINs - Proposal'!AB149)</f>
        <v xml:space="preserve"> </v>
      </c>
      <c r="M149" s="72" t="str">
        <f t="shared" si="4"/>
        <v xml:space="preserve"> </v>
      </c>
      <c r="N149" s="167" t="str">
        <f t="shared" si="5"/>
        <v xml:space="preserve"> </v>
      </c>
    </row>
    <row r="150" spans="1:14" ht="15" x14ac:dyDescent="0.25">
      <c r="A150" s="131" t="str">
        <f>IF(ISBLANK('ALL Other SINs - Proposal'!A150)," ",'ALL Other SINs - Proposal'!A150)</f>
        <v xml:space="preserve"> </v>
      </c>
      <c r="B150" s="137" t="str">
        <f>IF(ISBLANK('ALL Other SINs - Proposal'!B150)," ",'ALL Other SINs - Proposal'!B150)</f>
        <v xml:space="preserve"> </v>
      </c>
      <c r="C150" s="137" t="str">
        <f>IF(ISBLANK('ALL Other SINs - Proposal'!C150)," ",'ALL Other SINs - Proposal'!C150)</f>
        <v xml:space="preserve"> </v>
      </c>
      <c r="D150" s="138" t="str">
        <f>IF(ISBLANK('ALL Other SINs - Proposal'!D150)," ",'ALL Other SINs - Proposal'!D150)</f>
        <v xml:space="preserve"> </v>
      </c>
      <c r="E150" s="69" t="str">
        <f>IF(ISBLANK('ALL Other SINs - Proposal'!R150)," ",'ALL Other SINs - Proposal'!R150)</f>
        <v xml:space="preserve"> </v>
      </c>
      <c r="F150" s="73" t="str">
        <f>IF(ISBLANK('ALL Other SINs - Proposal'!S150)," ",'ALL Other SINs - Proposal'!S150)</f>
        <v xml:space="preserve"> </v>
      </c>
      <c r="G150" s="173" t="str">
        <f>IF(ISBLANK('ALL Other SINs - Proposal'!T150)," ",'ALL Other SINs - Proposal'!T150)</f>
        <v xml:space="preserve"> </v>
      </c>
      <c r="H150" s="275" t="str">
        <f>IF(ISBLANK('ALL Other SINs - Proposal'!V150)," ",'ALL Other SINs - Proposal'!V150)</f>
        <v xml:space="preserve"> </v>
      </c>
      <c r="I150" s="271" t="str">
        <f>IF(ISBLANK('ALL Other SINs - Proposal'!W150)," ",'ALL Other SINs - Proposal'!W150)</f>
        <v xml:space="preserve"> </v>
      </c>
      <c r="J150" s="71" t="str">
        <f>IF(ISBLANK('ALL Other SINs - Proposal'!X150)," ",'ALL Other SINs - Proposal'!X150)</f>
        <v xml:space="preserve"> </v>
      </c>
      <c r="K150" s="165" t="str">
        <f>IF(ISBLANK('ALL Other SINs - Proposal'!AA150)," ",'ALL Other SINs - Proposal'!AA150)</f>
        <v xml:space="preserve"> </v>
      </c>
      <c r="L150" s="178" t="str">
        <f>IF(ISBLANK('ALL Other SINs - Proposal'!AB150)," ",'ALL Other SINs - Proposal'!AB150)</f>
        <v xml:space="preserve"> </v>
      </c>
      <c r="M150" s="72" t="str">
        <f t="shared" si="4"/>
        <v xml:space="preserve"> </v>
      </c>
      <c r="N150" s="167" t="str">
        <f t="shared" si="5"/>
        <v xml:space="preserve"> </v>
      </c>
    </row>
    <row r="151" spans="1:14" ht="15" x14ac:dyDescent="0.25">
      <c r="A151" s="131" t="str">
        <f>IF(ISBLANK('ALL Other SINs - Proposal'!A151)," ",'ALL Other SINs - Proposal'!A151)</f>
        <v xml:space="preserve"> </v>
      </c>
      <c r="B151" s="137" t="str">
        <f>IF(ISBLANK('ALL Other SINs - Proposal'!B151)," ",'ALL Other SINs - Proposal'!B151)</f>
        <v xml:space="preserve"> </v>
      </c>
      <c r="C151" s="137" t="str">
        <f>IF(ISBLANK('ALL Other SINs - Proposal'!C151)," ",'ALL Other SINs - Proposal'!C151)</f>
        <v xml:space="preserve"> </v>
      </c>
      <c r="D151" s="138" t="str">
        <f>IF(ISBLANK('ALL Other SINs - Proposal'!D151)," ",'ALL Other SINs - Proposal'!D151)</f>
        <v xml:space="preserve"> </v>
      </c>
      <c r="E151" s="69" t="str">
        <f>IF(ISBLANK('ALL Other SINs - Proposal'!R151)," ",'ALL Other SINs - Proposal'!R151)</f>
        <v xml:space="preserve"> </v>
      </c>
      <c r="F151" s="73" t="str">
        <f>IF(ISBLANK('ALL Other SINs - Proposal'!S151)," ",'ALL Other SINs - Proposal'!S151)</f>
        <v xml:space="preserve"> </v>
      </c>
      <c r="G151" s="173" t="str">
        <f>IF(ISBLANK('ALL Other SINs - Proposal'!T151)," ",'ALL Other SINs - Proposal'!T151)</f>
        <v xml:space="preserve"> </v>
      </c>
      <c r="H151" s="275" t="str">
        <f>IF(ISBLANK('ALL Other SINs - Proposal'!V151)," ",'ALL Other SINs - Proposal'!V151)</f>
        <v xml:space="preserve"> </v>
      </c>
      <c r="I151" s="271" t="str">
        <f>IF(ISBLANK('ALL Other SINs - Proposal'!W151)," ",'ALL Other SINs - Proposal'!W151)</f>
        <v xml:space="preserve"> </v>
      </c>
      <c r="J151" s="71" t="str">
        <f>IF(ISBLANK('ALL Other SINs - Proposal'!X151)," ",'ALL Other SINs - Proposal'!X151)</f>
        <v xml:space="preserve"> </v>
      </c>
      <c r="K151" s="165" t="str">
        <f>IF(ISBLANK('ALL Other SINs - Proposal'!AA151)," ",'ALL Other SINs - Proposal'!AA151)</f>
        <v xml:space="preserve"> </v>
      </c>
      <c r="L151" s="178" t="str">
        <f>IF(ISBLANK('ALL Other SINs - Proposal'!AB151)," ",'ALL Other SINs - Proposal'!AB151)</f>
        <v xml:space="preserve"> </v>
      </c>
      <c r="M151" s="72" t="str">
        <f t="shared" si="4"/>
        <v xml:space="preserve"> </v>
      </c>
      <c r="N151" s="167" t="str">
        <f t="shared" si="5"/>
        <v xml:space="preserve"> </v>
      </c>
    </row>
    <row r="152" spans="1:14" ht="15" x14ac:dyDescent="0.25">
      <c r="A152" s="131" t="str">
        <f>IF(ISBLANK('ALL Other SINs - Proposal'!A152)," ",'ALL Other SINs - Proposal'!A152)</f>
        <v xml:space="preserve"> </v>
      </c>
      <c r="B152" s="137" t="str">
        <f>IF(ISBLANK('ALL Other SINs - Proposal'!B152)," ",'ALL Other SINs - Proposal'!B152)</f>
        <v xml:space="preserve"> </v>
      </c>
      <c r="C152" s="137" t="str">
        <f>IF(ISBLANK('ALL Other SINs - Proposal'!C152)," ",'ALL Other SINs - Proposal'!C152)</f>
        <v xml:space="preserve"> </v>
      </c>
      <c r="D152" s="138" t="str">
        <f>IF(ISBLANK('ALL Other SINs - Proposal'!D152)," ",'ALL Other SINs - Proposal'!D152)</f>
        <v xml:space="preserve"> </v>
      </c>
      <c r="E152" s="69" t="str">
        <f>IF(ISBLANK('ALL Other SINs - Proposal'!R152)," ",'ALL Other SINs - Proposal'!R152)</f>
        <v xml:space="preserve"> </v>
      </c>
      <c r="F152" s="73" t="str">
        <f>IF(ISBLANK('ALL Other SINs - Proposal'!S152)," ",'ALL Other SINs - Proposal'!S152)</f>
        <v xml:space="preserve"> </v>
      </c>
      <c r="G152" s="173" t="str">
        <f>IF(ISBLANK('ALL Other SINs - Proposal'!T152)," ",'ALL Other SINs - Proposal'!T152)</f>
        <v xml:space="preserve"> </v>
      </c>
      <c r="H152" s="275" t="str">
        <f>IF(ISBLANK('ALL Other SINs - Proposal'!V152)," ",'ALL Other SINs - Proposal'!V152)</f>
        <v xml:space="preserve"> </v>
      </c>
      <c r="I152" s="271" t="str">
        <f>IF(ISBLANK('ALL Other SINs - Proposal'!W152)," ",'ALL Other SINs - Proposal'!W152)</f>
        <v xml:space="preserve"> </v>
      </c>
      <c r="J152" s="71" t="str">
        <f>IF(ISBLANK('ALL Other SINs - Proposal'!X152)," ",'ALL Other SINs - Proposal'!X152)</f>
        <v xml:space="preserve"> </v>
      </c>
      <c r="K152" s="165" t="str">
        <f>IF(ISBLANK('ALL Other SINs - Proposal'!AA152)," ",'ALL Other SINs - Proposal'!AA152)</f>
        <v xml:space="preserve"> </v>
      </c>
      <c r="L152" s="178" t="str">
        <f>IF(ISBLANK('ALL Other SINs - Proposal'!AB152)," ",'ALL Other SINs - Proposal'!AB152)</f>
        <v xml:space="preserve"> </v>
      </c>
      <c r="M152" s="72" t="str">
        <f t="shared" si="4"/>
        <v xml:space="preserve"> </v>
      </c>
      <c r="N152" s="167" t="str">
        <f t="shared" si="5"/>
        <v xml:space="preserve"> </v>
      </c>
    </row>
    <row r="153" spans="1:14" ht="15" x14ac:dyDescent="0.25">
      <c r="A153" s="131" t="str">
        <f>IF(ISBLANK('ALL Other SINs - Proposal'!A153)," ",'ALL Other SINs - Proposal'!A153)</f>
        <v xml:space="preserve"> </v>
      </c>
      <c r="B153" s="137" t="str">
        <f>IF(ISBLANK('ALL Other SINs - Proposal'!B153)," ",'ALL Other SINs - Proposal'!B153)</f>
        <v xml:space="preserve"> </v>
      </c>
      <c r="C153" s="137" t="str">
        <f>IF(ISBLANK('ALL Other SINs - Proposal'!C153)," ",'ALL Other SINs - Proposal'!C153)</f>
        <v xml:space="preserve"> </v>
      </c>
      <c r="D153" s="138" t="str">
        <f>IF(ISBLANK('ALL Other SINs - Proposal'!D153)," ",'ALL Other SINs - Proposal'!D153)</f>
        <v xml:space="preserve"> </v>
      </c>
      <c r="E153" s="69" t="str">
        <f>IF(ISBLANK('ALL Other SINs - Proposal'!R153)," ",'ALL Other SINs - Proposal'!R153)</f>
        <v xml:space="preserve"> </v>
      </c>
      <c r="F153" s="73" t="str">
        <f>IF(ISBLANK('ALL Other SINs - Proposal'!S153)," ",'ALL Other SINs - Proposal'!S153)</f>
        <v xml:space="preserve"> </v>
      </c>
      <c r="G153" s="173" t="str">
        <f>IF(ISBLANK('ALL Other SINs - Proposal'!T153)," ",'ALL Other SINs - Proposal'!T153)</f>
        <v xml:space="preserve"> </v>
      </c>
      <c r="H153" s="275" t="str">
        <f>IF(ISBLANK('ALL Other SINs - Proposal'!V153)," ",'ALL Other SINs - Proposal'!V153)</f>
        <v xml:space="preserve"> </v>
      </c>
      <c r="I153" s="271" t="str">
        <f>IF(ISBLANK('ALL Other SINs - Proposal'!W153)," ",'ALL Other SINs - Proposal'!W153)</f>
        <v xml:space="preserve"> </v>
      </c>
      <c r="J153" s="71" t="str">
        <f>IF(ISBLANK('ALL Other SINs - Proposal'!X153)," ",'ALL Other SINs - Proposal'!X153)</f>
        <v xml:space="preserve"> </v>
      </c>
      <c r="K153" s="165" t="str">
        <f>IF(ISBLANK('ALL Other SINs - Proposal'!AA153)," ",'ALL Other SINs - Proposal'!AA153)</f>
        <v xml:space="preserve"> </v>
      </c>
      <c r="L153" s="178" t="str">
        <f>IF(ISBLANK('ALL Other SINs - Proposal'!AB153)," ",'ALL Other SINs - Proposal'!AB153)</f>
        <v xml:space="preserve"> </v>
      </c>
      <c r="M153" s="72" t="str">
        <f t="shared" si="4"/>
        <v xml:space="preserve"> </v>
      </c>
      <c r="N153" s="167" t="str">
        <f t="shared" si="5"/>
        <v xml:space="preserve"> </v>
      </c>
    </row>
    <row r="154" spans="1:14" ht="15" x14ac:dyDescent="0.25">
      <c r="A154" s="131" t="str">
        <f>IF(ISBLANK('ALL Other SINs - Proposal'!A154)," ",'ALL Other SINs - Proposal'!A154)</f>
        <v xml:space="preserve"> </v>
      </c>
      <c r="B154" s="137" t="str">
        <f>IF(ISBLANK('ALL Other SINs - Proposal'!B154)," ",'ALL Other SINs - Proposal'!B154)</f>
        <v xml:space="preserve"> </v>
      </c>
      <c r="C154" s="137" t="str">
        <f>IF(ISBLANK('ALL Other SINs - Proposal'!C154)," ",'ALL Other SINs - Proposal'!C154)</f>
        <v xml:space="preserve"> </v>
      </c>
      <c r="D154" s="138" t="str">
        <f>IF(ISBLANK('ALL Other SINs - Proposal'!D154)," ",'ALL Other SINs - Proposal'!D154)</f>
        <v xml:space="preserve"> </v>
      </c>
      <c r="E154" s="69" t="str">
        <f>IF(ISBLANK('ALL Other SINs - Proposal'!R154)," ",'ALL Other SINs - Proposal'!R154)</f>
        <v xml:space="preserve"> </v>
      </c>
      <c r="F154" s="73" t="str">
        <f>IF(ISBLANK('ALL Other SINs - Proposal'!S154)," ",'ALL Other SINs - Proposal'!S154)</f>
        <v xml:space="preserve"> </v>
      </c>
      <c r="G154" s="173" t="str">
        <f>IF(ISBLANK('ALL Other SINs - Proposal'!T154)," ",'ALL Other SINs - Proposal'!T154)</f>
        <v xml:space="preserve"> </v>
      </c>
      <c r="H154" s="275" t="str">
        <f>IF(ISBLANK('ALL Other SINs - Proposal'!V154)," ",'ALL Other SINs - Proposal'!V154)</f>
        <v xml:space="preserve"> </v>
      </c>
      <c r="I154" s="271" t="str">
        <f>IF(ISBLANK('ALL Other SINs - Proposal'!W154)," ",'ALL Other SINs - Proposal'!W154)</f>
        <v xml:space="preserve"> </v>
      </c>
      <c r="J154" s="71" t="str">
        <f>IF(ISBLANK('ALL Other SINs - Proposal'!X154)," ",'ALL Other SINs - Proposal'!X154)</f>
        <v xml:space="preserve"> </v>
      </c>
      <c r="K154" s="165" t="str">
        <f>IF(ISBLANK('ALL Other SINs - Proposal'!AA154)," ",'ALL Other SINs - Proposal'!AA154)</f>
        <v xml:space="preserve"> </v>
      </c>
      <c r="L154" s="178" t="str">
        <f>IF(ISBLANK('ALL Other SINs - Proposal'!AB154)," ",'ALL Other SINs - Proposal'!AB154)</f>
        <v xml:space="preserve"> </v>
      </c>
      <c r="M154" s="72" t="str">
        <f t="shared" si="4"/>
        <v xml:space="preserve"> </v>
      </c>
      <c r="N154" s="167" t="str">
        <f t="shared" si="5"/>
        <v xml:space="preserve"> </v>
      </c>
    </row>
    <row r="155" spans="1:14" ht="15" x14ac:dyDescent="0.25">
      <c r="A155" s="131" t="str">
        <f>IF(ISBLANK('ALL Other SINs - Proposal'!A155)," ",'ALL Other SINs - Proposal'!A155)</f>
        <v xml:space="preserve"> </v>
      </c>
      <c r="B155" s="137" t="str">
        <f>IF(ISBLANK('ALL Other SINs - Proposal'!B155)," ",'ALL Other SINs - Proposal'!B155)</f>
        <v xml:space="preserve"> </v>
      </c>
      <c r="C155" s="137" t="str">
        <f>IF(ISBLANK('ALL Other SINs - Proposal'!C155)," ",'ALL Other SINs - Proposal'!C155)</f>
        <v xml:space="preserve"> </v>
      </c>
      <c r="D155" s="138" t="str">
        <f>IF(ISBLANK('ALL Other SINs - Proposal'!D155)," ",'ALL Other SINs - Proposal'!D155)</f>
        <v xml:space="preserve"> </v>
      </c>
      <c r="E155" s="69" t="str">
        <f>IF(ISBLANK('ALL Other SINs - Proposal'!R155)," ",'ALL Other SINs - Proposal'!R155)</f>
        <v xml:space="preserve"> </v>
      </c>
      <c r="F155" s="73" t="str">
        <f>IF(ISBLANK('ALL Other SINs - Proposal'!S155)," ",'ALL Other SINs - Proposal'!S155)</f>
        <v xml:space="preserve"> </v>
      </c>
      <c r="G155" s="173" t="str">
        <f>IF(ISBLANK('ALL Other SINs - Proposal'!T155)," ",'ALL Other SINs - Proposal'!T155)</f>
        <v xml:space="preserve"> </v>
      </c>
      <c r="H155" s="275" t="str">
        <f>IF(ISBLANK('ALL Other SINs - Proposal'!V155)," ",'ALL Other SINs - Proposal'!V155)</f>
        <v xml:space="preserve"> </v>
      </c>
      <c r="I155" s="271" t="str">
        <f>IF(ISBLANK('ALL Other SINs - Proposal'!W155)," ",'ALL Other SINs - Proposal'!W155)</f>
        <v xml:space="preserve"> </v>
      </c>
      <c r="J155" s="71" t="str">
        <f>IF(ISBLANK('ALL Other SINs - Proposal'!X155)," ",'ALL Other SINs - Proposal'!X155)</f>
        <v xml:space="preserve"> </v>
      </c>
      <c r="K155" s="165" t="str">
        <f>IF(ISBLANK('ALL Other SINs - Proposal'!AA155)," ",'ALL Other SINs - Proposal'!AA155)</f>
        <v xml:space="preserve"> </v>
      </c>
      <c r="L155" s="178" t="str">
        <f>IF(ISBLANK('ALL Other SINs - Proposal'!AB155)," ",'ALL Other SINs - Proposal'!AB155)</f>
        <v xml:space="preserve"> </v>
      </c>
      <c r="M155" s="72" t="str">
        <f t="shared" si="4"/>
        <v xml:space="preserve"> </v>
      </c>
      <c r="N155" s="167" t="str">
        <f t="shared" si="5"/>
        <v xml:space="preserve"> </v>
      </c>
    </row>
    <row r="156" spans="1:14" ht="15" x14ac:dyDescent="0.25">
      <c r="A156" s="131" t="str">
        <f>IF(ISBLANK('ALL Other SINs - Proposal'!A156)," ",'ALL Other SINs - Proposal'!A156)</f>
        <v xml:space="preserve"> </v>
      </c>
      <c r="B156" s="137" t="str">
        <f>IF(ISBLANK('ALL Other SINs - Proposal'!B156)," ",'ALL Other SINs - Proposal'!B156)</f>
        <v xml:space="preserve"> </v>
      </c>
      <c r="C156" s="137" t="str">
        <f>IF(ISBLANK('ALL Other SINs - Proposal'!C156)," ",'ALL Other SINs - Proposal'!C156)</f>
        <v xml:space="preserve"> </v>
      </c>
      <c r="D156" s="138" t="str">
        <f>IF(ISBLANK('ALL Other SINs - Proposal'!D156)," ",'ALL Other SINs - Proposal'!D156)</f>
        <v xml:space="preserve"> </v>
      </c>
      <c r="E156" s="69" t="str">
        <f>IF(ISBLANK('ALL Other SINs - Proposal'!R156)," ",'ALL Other SINs - Proposal'!R156)</f>
        <v xml:space="preserve"> </v>
      </c>
      <c r="F156" s="73" t="str">
        <f>IF(ISBLANK('ALL Other SINs - Proposal'!S156)," ",'ALL Other SINs - Proposal'!S156)</f>
        <v xml:space="preserve"> </v>
      </c>
      <c r="G156" s="173" t="str">
        <f>IF(ISBLANK('ALL Other SINs - Proposal'!T156)," ",'ALL Other SINs - Proposal'!T156)</f>
        <v xml:space="preserve"> </v>
      </c>
      <c r="H156" s="275" t="str">
        <f>IF(ISBLANK('ALL Other SINs - Proposal'!V156)," ",'ALL Other SINs - Proposal'!V156)</f>
        <v xml:space="preserve"> </v>
      </c>
      <c r="I156" s="271" t="str">
        <f>IF(ISBLANK('ALL Other SINs - Proposal'!W156)," ",'ALL Other SINs - Proposal'!W156)</f>
        <v xml:space="preserve"> </v>
      </c>
      <c r="J156" s="71" t="str">
        <f>IF(ISBLANK('ALL Other SINs - Proposal'!X156)," ",'ALL Other SINs - Proposal'!X156)</f>
        <v xml:space="preserve"> </v>
      </c>
      <c r="K156" s="165" t="str">
        <f>IF(ISBLANK('ALL Other SINs - Proposal'!AA156)," ",'ALL Other SINs - Proposal'!AA156)</f>
        <v xml:space="preserve"> </v>
      </c>
      <c r="L156" s="178" t="str">
        <f>IF(ISBLANK('ALL Other SINs - Proposal'!AB156)," ",'ALL Other SINs - Proposal'!AB156)</f>
        <v xml:space="preserve"> </v>
      </c>
      <c r="M156" s="72" t="str">
        <f t="shared" si="4"/>
        <v xml:space="preserve"> </v>
      </c>
      <c r="N156" s="167" t="str">
        <f t="shared" si="5"/>
        <v xml:space="preserve"> </v>
      </c>
    </row>
    <row r="157" spans="1:14" ht="15" x14ac:dyDescent="0.25">
      <c r="A157" s="131" t="str">
        <f>IF(ISBLANK('ALL Other SINs - Proposal'!A157)," ",'ALL Other SINs - Proposal'!A157)</f>
        <v xml:space="preserve"> </v>
      </c>
      <c r="B157" s="137" t="str">
        <f>IF(ISBLANK('ALL Other SINs - Proposal'!B157)," ",'ALL Other SINs - Proposal'!B157)</f>
        <v xml:space="preserve"> </v>
      </c>
      <c r="C157" s="137" t="str">
        <f>IF(ISBLANK('ALL Other SINs - Proposal'!C157)," ",'ALL Other SINs - Proposal'!C157)</f>
        <v xml:space="preserve"> </v>
      </c>
      <c r="D157" s="138" t="str">
        <f>IF(ISBLANK('ALL Other SINs - Proposal'!D157)," ",'ALL Other SINs - Proposal'!D157)</f>
        <v xml:space="preserve"> </v>
      </c>
      <c r="E157" s="69" t="str">
        <f>IF(ISBLANK('ALL Other SINs - Proposal'!R157)," ",'ALL Other SINs - Proposal'!R157)</f>
        <v xml:space="preserve"> </v>
      </c>
      <c r="F157" s="73" t="str">
        <f>IF(ISBLANK('ALL Other SINs - Proposal'!S157)," ",'ALL Other SINs - Proposal'!S157)</f>
        <v xml:space="preserve"> </v>
      </c>
      <c r="G157" s="173" t="str">
        <f>IF(ISBLANK('ALL Other SINs - Proposal'!T157)," ",'ALL Other SINs - Proposal'!T157)</f>
        <v xml:space="preserve"> </v>
      </c>
      <c r="H157" s="275" t="str">
        <f>IF(ISBLANK('ALL Other SINs - Proposal'!V157)," ",'ALL Other SINs - Proposal'!V157)</f>
        <v xml:space="preserve"> </v>
      </c>
      <c r="I157" s="271" t="str">
        <f>IF(ISBLANK('ALL Other SINs - Proposal'!W157)," ",'ALL Other SINs - Proposal'!W157)</f>
        <v xml:space="preserve"> </v>
      </c>
      <c r="J157" s="71" t="str">
        <f>IF(ISBLANK('ALL Other SINs - Proposal'!X157)," ",'ALL Other SINs - Proposal'!X157)</f>
        <v xml:space="preserve"> </v>
      </c>
      <c r="K157" s="165" t="str">
        <f>IF(ISBLANK('ALL Other SINs - Proposal'!AA157)," ",'ALL Other SINs - Proposal'!AA157)</f>
        <v xml:space="preserve"> </v>
      </c>
      <c r="L157" s="178" t="str">
        <f>IF(ISBLANK('ALL Other SINs - Proposal'!AB157)," ",'ALL Other SINs - Proposal'!AB157)</f>
        <v xml:space="preserve"> </v>
      </c>
      <c r="M157" s="72" t="str">
        <f t="shared" si="4"/>
        <v xml:space="preserve"> </v>
      </c>
      <c r="N157" s="167" t="str">
        <f t="shared" si="5"/>
        <v xml:space="preserve"> </v>
      </c>
    </row>
    <row r="158" spans="1:14" ht="15" x14ac:dyDescent="0.25">
      <c r="A158" s="131" t="str">
        <f>IF(ISBLANK('ALL Other SINs - Proposal'!A158)," ",'ALL Other SINs - Proposal'!A158)</f>
        <v xml:space="preserve"> </v>
      </c>
      <c r="B158" s="137" t="str">
        <f>IF(ISBLANK('ALL Other SINs - Proposal'!B158)," ",'ALL Other SINs - Proposal'!B158)</f>
        <v xml:space="preserve"> </v>
      </c>
      <c r="C158" s="137" t="str">
        <f>IF(ISBLANK('ALL Other SINs - Proposal'!C158)," ",'ALL Other SINs - Proposal'!C158)</f>
        <v xml:space="preserve"> </v>
      </c>
      <c r="D158" s="138" t="str">
        <f>IF(ISBLANK('ALL Other SINs - Proposal'!D158)," ",'ALL Other SINs - Proposal'!D158)</f>
        <v xml:space="preserve"> </v>
      </c>
      <c r="E158" s="69" t="str">
        <f>IF(ISBLANK('ALL Other SINs - Proposal'!R158)," ",'ALL Other SINs - Proposal'!R158)</f>
        <v xml:space="preserve"> </v>
      </c>
      <c r="F158" s="73" t="str">
        <f>IF(ISBLANK('ALL Other SINs - Proposal'!S158)," ",'ALL Other SINs - Proposal'!S158)</f>
        <v xml:space="preserve"> </v>
      </c>
      <c r="G158" s="173" t="str">
        <f>IF(ISBLANK('ALL Other SINs - Proposal'!T158)," ",'ALL Other SINs - Proposal'!T158)</f>
        <v xml:space="preserve"> </v>
      </c>
      <c r="H158" s="275" t="str">
        <f>IF(ISBLANK('ALL Other SINs - Proposal'!V158)," ",'ALL Other SINs - Proposal'!V158)</f>
        <v xml:space="preserve"> </v>
      </c>
      <c r="I158" s="271" t="str">
        <f>IF(ISBLANK('ALL Other SINs - Proposal'!W158)," ",'ALL Other SINs - Proposal'!W158)</f>
        <v xml:space="preserve"> </v>
      </c>
      <c r="J158" s="71" t="str">
        <f>IF(ISBLANK('ALL Other SINs - Proposal'!X158)," ",'ALL Other SINs - Proposal'!X158)</f>
        <v xml:space="preserve"> </v>
      </c>
      <c r="K158" s="165" t="str">
        <f>IF(ISBLANK('ALL Other SINs - Proposal'!AA158)," ",'ALL Other SINs - Proposal'!AA158)</f>
        <v xml:space="preserve"> </v>
      </c>
      <c r="L158" s="178" t="str">
        <f>IF(ISBLANK('ALL Other SINs - Proposal'!AB158)," ",'ALL Other SINs - Proposal'!AB158)</f>
        <v xml:space="preserve"> </v>
      </c>
      <c r="M158" s="72" t="str">
        <f t="shared" si="4"/>
        <v xml:space="preserve"> </v>
      </c>
      <c r="N158" s="167" t="str">
        <f t="shared" si="5"/>
        <v xml:space="preserve"> </v>
      </c>
    </row>
    <row r="159" spans="1:14" ht="15" x14ac:dyDescent="0.25">
      <c r="A159" s="131" t="str">
        <f>IF(ISBLANK('ALL Other SINs - Proposal'!A159)," ",'ALL Other SINs - Proposal'!A159)</f>
        <v xml:space="preserve"> </v>
      </c>
      <c r="B159" s="137" t="str">
        <f>IF(ISBLANK('ALL Other SINs - Proposal'!B159)," ",'ALL Other SINs - Proposal'!B159)</f>
        <v xml:space="preserve"> </v>
      </c>
      <c r="C159" s="137" t="str">
        <f>IF(ISBLANK('ALL Other SINs - Proposal'!C159)," ",'ALL Other SINs - Proposal'!C159)</f>
        <v xml:space="preserve"> </v>
      </c>
      <c r="D159" s="138" t="str">
        <f>IF(ISBLANK('ALL Other SINs - Proposal'!D159)," ",'ALL Other SINs - Proposal'!D159)</f>
        <v xml:space="preserve"> </v>
      </c>
      <c r="E159" s="69" t="str">
        <f>IF(ISBLANK('ALL Other SINs - Proposal'!R159)," ",'ALL Other SINs - Proposal'!R159)</f>
        <v xml:space="preserve"> </v>
      </c>
      <c r="F159" s="73" t="str">
        <f>IF(ISBLANK('ALL Other SINs - Proposal'!S159)," ",'ALL Other SINs - Proposal'!S159)</f>
        <v xml:space="preserve"> </v>
      </c>
      <c r="G159" s="173" t="str">
        <f>IF(ISBLANK('ALL Other SINs - Proposal'!T159)," ",'ALL Other SINs - Proposal'!T159)</f>
        <v xml:space="preserve"> </v>
      </c>
      <c r="H159" s="275" t="str">
        <f>IF(ISBLANK('ALL Other SINs - Proposal'!V159)," ",'ALL Other SINs - Proposal'!V159)</f>
        <v xml:space="preserve"> </v>
      </c>
      <c r="I159" s="271" t="str">
        <f>IF(ISBLANK('ALL Other SINs - Proposal'!W159)," ",'ALL Other SINs - Proposal'!W159)</f>
        <v xml:space="preserve"> </v>
      </c>
      <c r="J159" s="71" t="str">
        <f>IF(ISBLANK('ALL Other SINs - Proposal'!X159)," ",'ALL Other SINs - Proposal'!X159)</f>
        <v xml:space="preserve"> </v>
      </c>
      <c r="K159" s="165" t="str">
        <f>IF(ISBLANK('ALL Other SINs - Proposal'!AA159)," ",'ALL Other SINs - Proposal'!AA159)</f>
        <v xml:space="preserve"> </v>
      </c>
      <c r="L159" s="178" t="str">
        <f>IF(ISBLANK('ALL Other SINs - Proposal'!AB159)," ",'ALL Other SINs - Proposal'!AB159)</f>
        <v xml:space="preserve"> </v>
      </c>
      <c r="M159" s="72" t="str">
        <f t="shared" si="4"/>
        <v xml:space="preserve"> </v>
      </c>
      <c r="N159" s="167" t="str">
        <f t="shared" si="5"/>
        <v xml:space="preserve"> </v>
      </c>
    </row>
    <row r="160" spans="1:14" ht="15" x14ac:dyDescent="0.25">
      <c r="A160" s="131" t="str">
        <f>IF(ISBLANK('ALL Other SINs - Proposal'!A160)," ",'ALL Other SINs - Proposal'!A160)</f>
        <v xml:space="preserve"> </v>
      </c>
      <c r="B160" s="137" t="str">
        <f>IF(ISBLANK('ALL Other SINs - Proposal'!B160)," ",'ALL Other SINs - Proposal'!B160)</f>
        <v xml:space="preserve"> </v>
      </c>
      <c r="C160" s="137" t="str">
        <f>IF(ISBLANK('ALL Other SINs - Proposal'!C160)," ",'ALL Other SINs - Proposal'!C160)</f>
        <v xml:space="preserve"> </v>
      </c>
      <c r="D160" s="138" t="str">
        <f>IF(ISBLANK('ALL Other SINs - Proposal'!D160)," ",'ALL Other SINs - Proposal'!D160)</f>
        <v xml:space="preserve"> </v>
      </c>
      <c r="E160" s="69" t="str">
        <f>IF(ISBLANK('ALL Other SINs - Proposal'!R160)," ",'ALL Other SINs - Proposal'!R160)</f>
        <v xml:space="preserve"> </v>
      </c>
      <c r="F160" s="73" t="str">
        <f>IF(ISBLANK('ALL Other SINs - Proposal'!S160)," ",'ALL Other SINs - Proposal'!S160)</f>
        <v xml:space="preserve"> </v>
      </c>
      <c r="G160" s="173" t="str">
        <f>IF(ISBLANK('ALL Other SINs - Proposal'!T160)," ",'ALL Other SINs - Proposal'!T160)</f>
        <v xml:space="preserve"> </v>
      </c>
      <c r="H160" s="275" t="str">
        <f>IF(ISBLANK('ALL Other SINs - Proposal'!V160)," ",'ALL Other SINs - Proposal'!V160)</f>
        <v xml:space="preserve"> </v>
      </c>
      <c r="I160" s="271" t="str">
        <f>IF(ISBLANK('ALL Other SINs - Proposal'!W160)," ",'ALL Other SINs - Proposal'!W160)</f>
        <v xml:space="preserve"> </v>
      </c>
      <c r="J160" s="71" t="str">
        <f>IF(ISBLANK('ALL Other SINs - Proposal'!X160)," ",'ALL Other SINs - Proposal'!X160)</f>
        <v xml:space="preserve"> </v>
      </c>
      <c r="K160" s="165" t="str">
        <f>IF(ISBLANK('ALL Other SINs - Proposal'!AA160)," ",'ALL Other SINs - Proposal'!AA160)</f>
        <v xml:space="preserve"> </v>
      </c>
      <c r="L160" s="178" t="str">
        <f>IF(ISBLANK('ALL Other SINs - Proposal'!AB160)," ",'ALL Other SINs - Proposal'!AB160)</f>
        <v xml:space="preserve"> </v>
      </c>
      <c r="M160" s="72" t="str">
        <f t="shared" si="4"/>
        <v xml:space="preserve"> </v>
      </c>
      <c r="N160" s="167" t="str">
        <f t="shared" si="5"/>
        <v xml:space="preserve"> </v>
      </c>
    </row>
    <row r="161" spans="1:14" ht="15" x14ac:dyDescent="0.25">
      <c r="A161" s="131" t="str">
        <f>IF(ISBLANK('ALL Other SINs - Proposal'!A161)," ",'ALL Other SINs - Proposal'!A161)</f>
        <v xml:space="preserve"> </v>
      </c>
      <c r="B161" s="137" t="str">
        <f>IF(ISBLANK('ALL Other SINs - Proposal'!B161)," ",'ALL Other SINs - Proposal'!B161)</f>
        <v xml:space="preserve"> </v>
      </c>
      <c r="C161" s="137" t="str">
        <f>IF(ISBLANK('ALL Other SINs - Proposal'!C161)," ",'ALL Other SINs - Proposal'!C161)</f>
        <v xml:space="preserve"> </v>
      </c>
      <c r="D161" s="138" t="str">
        <f>IF(ISBLANK('ALL Other SINs - Proposal'!D161)," ",'ALL Other SINs - Proposal'!D161)</f>
        <v xml:space="preserve"> </v>
      </c>
      <c r="E161" s="69" t="str">
        <f>IF(ISBLANK('ALL Other SINs - Proposal'!R161)," ",'ALL Other SINs - Proposal'!R161)</f>
        <v xml:space="preserve"> </v>
      </c>
      <c r="F161" s="73" t="str">
        <f>IF(ISBLANK('ALL Other SINs - Proposal'!S161)," ",'ALL Other SINs - Proposal'!S161)</f>
        <v xml:space="preserve"> </v>
      </c>
      <c r="G161" s="173" t="str">
        <f>IF(ISBLANK('ALL Other SINs - Proposal'!T161)," ",'ALL Other SINs - Proposal'!T161)</f>
        <v xml:space="preserve"> </v>
      </c>
      <c r="H161" s="275" t="str">
        <f>IF(ISBLANK('ALL Other SINs - Proposal'!V161)," ",'ALL Other SINs - Proposal'!V161)</f>
        <v xml:space="preserve"> </v>
      </c>
      <c r="I161" s="271" t="str">
        <f>IF(ISBLANK('ALL Other SINs - Proposal'!W161)," ",'ALL Other SINs - Proposal'!W161)</f>
        <v xml:space="preserve"> </v>
      </c>
      <c r="J161" s="71" t="str">
        <f>IF(ISBLANK('ALL Other SINs - Proposal'!X161)," ",'ALL Other SINs - Proposal'!X161)</f>
        <v xml:space="preserve"> </v>
      </c>
      <c r="K161" s="165" t="str">
        <f>IF(ISBLANK('ALL Other SINs - Proposal'!AA161)," ",'ALL Other SINs - Proposal'!AA161)</f>
        <v xml:space="preserve"> </v>
      </c>
      <c r="L161" s="178" t="str">
        <f>IF(ISBLANK('ALL Other SINs - Proposal'!AB161)," ",'ALL Other SINs - Proposal'!AB161)</f>
        <v xml:space="preserve"> </v>
      </c>
      <c r="M161" s="72" t="str">
        <f t="shared" si="4"/>
        <v xml:space="preserve"> </v>
      </c>
      <c r="N161" s="167" t="str">
        <f t="shared" si="5"/>
        <v xml:space="preserve"> </v>
      </c>
    </row>
    <row r="162" spans="1:14" ht="15" x14ac:dyDescent="0.25">
      <c r="A162" s="131" t="str">
        <f>IF(ISBLANK('ALL Other SINs - Proposal'!A162)," ",'ALL Other SINs - Proposal'!A162)</f>
        <v xml:space="preserve"> </v>
      </c>
      <c r="B162" s="137" t="str">
        <f>IF(ISBLANK('ALL Other SINs - Proposal'!B162)," ",'ALL Other SINs - Proposal'!B162)</f>
        <v xml:space="preserve"> </v>
      </c>
      <c r="C162" s="137" t="str">
        <f>IF(ISBLANK('ALL Other SINs - Proposal'!C162)," ",'ALL Other SINs - Proposal'!C162)</f>
        <v xml:space="preserve"> </v>
      </c>
      <c r="D162" s="138" t="str">
        <f>IF(ISBLANK('ALL Other SINs - Proposal'!D162)," ",'ALL Other SINs - Proposal'!D162)</f>
        <v xml:space="preserve"> </v>
      </c>
      <c r="E162" s="69" t="str">
        <f>IF(ISBLANK('ALL Other SINs - Proposal'!R162)," ",'ALL Other SINs - Proposal'!R162)</f>
        <v xml:space="preserve"> </v>
      </c>
      <c r="F162" s="73" t="str">
        <f>IF(ISBLANK('ALL Other SINs - Proposal'!S162)," ",'ALL Other SINs - Proposal'!S162)</f>
        <v xml:space="preserve"> </v>
      </c>
      <c r="G162" s="173" t="str">
        <f>IF(ISBLANK('ALL Other SINs - Proposal'!T162)," ",'ALL Other SINs - Proposal'!T162)</f>
        <v xml:space="preserve"> </v>
      </c>
      <c r="H162" s="275" t="str">
        <f>IF(ISBLANK('ALL Other SINs - Proposal'!V162)," ",'ALL Other SINs - Proposal'!V162)</f>
        <v xml:space="preserve"> </v>
      </c>
      <c r="I162" s="271" t="str">
        <f>IF(ISBLANK('ALL Other SINs - Proposal'!W162)," ",'ALL Other SINs - Proposal'!W162)</f>
        <v xml:space="preserve"> </v>
      </c>
      <c r="J162" s="71" t="str">
        <f>IF(ISBLANK('ALL Other SINs - Proposal'!X162)," ",'ALL Other SINs - Proposal'!X162)</f>
        <v xml:space="preserve"> </v>
      </c>
      <c r="K162" s="165" t="str">
        <f>IF(ISBLANK('ALL Other SINs - Proposal'!AA162)," ",'ALL Other SINs - Proposal'!AA162)</f>
        <v xml:space="preserve"> </v>
      </c>
      <c r="L162" s="178" t="str">
        <f>IF(ISBLANK('ALL Other SINs - Proposal'!AB162)," ",'ALL Other SINs - Proposal'!AB162)</f>
        <v xml:space="preserve"> </v>
      </c>
      <c r="M162" s="72" t="str">
        <f t="shared" si="4"/>
        <v xml:space="preserve"> </v>
      </c>
      <c r="N162" s="167" t="str">
        <f t="shared" si="5"/>
        <v xml:space="preserve"> </v>
      </c>
    </row>
    <row r="163" spans="1:14" ht="15" x14ac:dyDescent="0.25">
      <c r="A163" s="131" t="str">
        <f>IF(ISBLANK('ALL Other SINs - Proposal'!A163)," ",'ALL Other SINs - Proposal'!A163)</f>
        <v xml:space="preserve"> </v>
      </c>
      <c r="B163" s="137" t="str">
        <f>IF(ISBLANK('ALL Other SINs - Proposal'!B163)," ",'ALL Other SINs - Proposal'!B163)</f>
        <v xml:space="preserve"> </v>
      </c>
      <c r="C163" s="137" t="str">
        <f>IF(ISBLANK('ALL Other SINs - Proposal'!C163)," ",'ALL Other SINs - Proposal'!C163)</f>
        <v xml:space="preserve"> </v>
      </c>
      <c r="D163" s="138" t="str">
        <f>IF(ISBLANK('ALL Other SINs - Proposal'!D163)," ",'ALL Other SINs - Proposal'!D163)</f>
        <v xml:space="preserve"> </v>
      </c>
      <c r="E163" s="69" t="str">
        <f>IF(ISBLANK('ALL Other SINs - Proposal'!R163)," ",'ALL Other SINs - Proposal'!R163)</f>
        <v xml:space="preserve"> </v>
      </c>
      <c r="F163" s="73" t="str">
        <f>IF(ISBLANK('ALL Other SINs - Proposal'!S163)," ",'ALL Other SINs - Proposal'!S163)</f>
        <v xml:space="preserve"> </v>
      </c>
      <c r="G163" s="173" t="str">
        <f>IF(ISBLANK('ALL Other SINs - Proposal'!T163)," ",'ALL Other SINs - Proposal'!T163)</f>
        <v xml:space="preserve"> </v>
      </c>
      <c r="H163" s="275" t="str">
        <f>IF(ISBLANK('ALL Other SINs - Proposal'!V163)," ",'ALL Other SINs - Proposal'!V163)</f>
        <v xml:space="preserve"> </v>
      </c>
      <c r="I163" s="271" t="str">
        <f>IF(ISBLANK('ALL Other SINs - Proposal'!W163)," ",'ALL Other SINs - Proposal'!W163)</f>
        <v xml:space="preserve"> </v>
      </c>
      <c r="J163" s="71" t="str">
        <f>IF(ISBLANK('ALL Other SINs - Proposal'!X163)," ",'ALL Other SINs - Proposal'!X163)</f>
        <v xml:space="preserve"> </v>
      </c>
      <c r="K163" s="165" t="str">
        <f>IF(ISBLANK('ALL Other SINs - Proposal'!AA163)," ",'ALL Other SINs - Proposal'!AA163)</f>
        <v xml:space="preserve"> </v>
      </c>
      <c r="L163" s="178" t="str">
        <f>IF(ISBLANK('ALL Other SINs - Proposal'!AB163)," ",'ALL Other SINs - Proposal'!AB163)</f>
        <v xml:space="preserve"> </v>
      </c>
      <c r="M163" s="72" t="str">
        <f t="shared" si="4"/>
        <v xml:space="preserve"> </v>
      </c>
      <c r="N163" s="167" t="str">
        <f t="shared" si="5"/>
        <v xml:space="preserve"> </v>
      </c>
    </row>
    <row r="164" spans="1:14" ht="15" x14ac:dyDescent="0.25">
      <c r="A164" s="131" t="str">
        <f>IF(ISBLANK('ALL Other SINs - Proposal'!A164)," ",'ALL Other SINs - Proposal'!A164)</f>
        <v xml:space="preserve"> </v>
      </c>
      <c r="B164" s="137" t="str">
        <f>IF(ISBLANK('ALL Other SINs - Proposal'!B164)," ",'ALL Other SINs - Proposal'!B164)</f>
        <v xml:space="preserve"> </v>
      </c>
      <c r="C164" s="137" t="str">
        <f>IF(ISBLANK('ALL Other SINs - Proposal'!C164)," ",'ALL Other SINs - Proposal'!C164)</f>
        <v xml:space="preserve"> </v>
      </c>
      <c r="D164" s="138" t="str">
        <f>IF(ISBLANK('ALL Other SINs - Proposal'!D164)," ",'ALL Other SINs - Proposal'!D164)</f>
        <v xml:space="preserve"> </v>
      </c>
      <c r="E164" s="69" t="str">
        <f>IF(ISBLANK('ALL Other SINs - Proposal'!R164)," ",'ALL Other SINs - Proposal'!R164)</f>
        <v xml:space="preserve"> </v>
      </c>
      <c r="F164" s="73" t="str">
        <f>IF(ISBLANK('ALL Other SINs - Proposal'!S164)," ",'ALL Other SINs - Proposal'!S164)</f>
        <v xml:space="preserve"> </v>
      </c>
      <c r="G164" s="173" t="str">
        <f>IF(ISBLANK('ALL Other SINs - Proposal'!T164)," ",'ALL Other SINs - Proposal'!T164)</f>
        <v xml:space="preserve"> </v>
      </c>
      <c r="H164" s="275" t="str">
        <f>IF(ISBLANK('ALL Other SINs - Proposal'!V164)," ",'ALL Other SINs - Proposal'!V164)</f>
        <v xml:space="preserve"> </v>
      </c>
      <c r="I164" s="271" t="str">
        <f>IF(ISBLANK('ALL Other SINs - Proposal'!W164)," ",'ALL Other SINs - Proposal'!W164)</f>
        <v xml:space="preserve"> </v>
      </c>
      <c r="J164" s="71" t="str">
        <f>IF(ISBLANK('ALL Other SINs - Proposal'!X164)," ",'ALL Other SINs - Proposal'!X164)</f>
        <v xml:space="preserve"> </v>
      </c>
      <c r="K164" s="165" t="str">
        <f>IF(ISBLANK('ALL Other SINs - Proposal'!AA164)," ",'ALL Other SINs - Proposal'!AA164)</f>
        <v xml:space="preserve"> </v>
      </c>
      <c r="L164" s="178" t="str">
        <f>IF(ISBLANK('ALL Other SINs - Proposal'!AB164)," ",'ALL Other SINs - Proposal'!AB164)</f>
        <v xml:space="preserve"> </v>
      </c>
      <c r="M164" s="72" t="str">
        <f t="shared" si="4"/>
        <v xml:space="preserve"> </v>
      </c>
      <c r="N164" s="167" t="str">
        <f t="shared" si="5"/>
        <v xml:space="preserve"> </v>
      </c>
    </row>
    <row r="165" spans="1:14" ht="15" x14ac:dyDescent="0.25">
      <c r="A165" s="131" t="str">
        <f>IF(ISBLANK('ALL Other SINs - Proposal'!A165)," ",'ALL Other SINs - Proposal'!A165)</f>
        <v xml:space="preserve"> </v>
      </c>
      <c r="B165" s="137" t="str">
        <f>IF(ISBLANK('ALL Other SINs - Proposal'!B165)," ",'ALL Other SINs - Proposal'!B165)</f>
        <v xml:space="preserve"> </v>
      </c>
      <c r="C165" s="137" t="str">
        <f>IF(ISBLANK('ALL Other SINs - Proposal'!C165)," ",'ALL Other SINs - Proposal'!C165)</f>
        <v xml:space="preserve"> </v>
      </c>
      <c r="D165" s="138" t="str">
        <f>IF(ISBLANK('ALL Other SINs - Proposal'!D165)," ",'ALL Other SINs - Proposal'!D165)</f>
        <v xml:space="preserve"> </v>
      </c>
      <c r="E165" s="69" t="str">
        <f>IF(ISBLANK('ALL Other SINs - Proposal'!R165)," ",'ALL Other SINs - Proposal'!R165)</f>
        <v xml:space="preserve"> </v>
      </c>
      <c r="F165" s="73" t="str">
        <f>IF(ISBLANK('ALL Other SINs - Proposal'!S165)," ",'ALL Other SINs - Proposal'!S165)</f>
        <v xml:space="preserve"> </v>
      </c>
      <c r="G165" s="173" t="str">
        <f>IF(ISBLANK('ALL Other SINs - Proposal'!T165)," ",'ALL Other SINs - Proposal'!T165)</f>
        <v xml:space="preserve"> </v>
      </c>
      <c r="H165" s="275" t="str">
        <f>IF(ISBLANK('ALL Other SINs - Proposal'!V165)," ",'ALL Other SINs - Proposal'!V165)</f>
        <v xml:space="preserve"> </v>
      </c>
      <c r="I165" s="271" t="str">
        <f>IF(ISBLANK('ALL Other SINs - Proposal'!W165)," ",'ALL Other SINs - Proposal'!W165)</f>
        <v xml:space="preserve"> </v>
      </c>
      <c r="J165" s="71" t="str">
        <f>IF(ISBLANK('ALL Other SINs - Proposal'!X165)," ",'ALL Other SINs - Proposal'!X165)</f>
        <v xml:space="preserve"> </v>
      </c>
      <c r="K165" s="165" t="str">
        <f>IF(ISBLANK('ALL Other SINs - Proposal'!AA165)," ",'ALL Other SINs - Proposal'!AA165)</f>
        <v xml:space="preserve"> </v>
      </c>
      <c r="L165" s="178" t="str">
        <f>IF(ISBLANK('ALL Other SINs - Proposal'!AB165)," ",'ALL Other SINs - Proposal'!AB165)</f>
        <v xml:space="preserve"> </v>
      </c>
      <c r="M165" s="72" t="str">
        <f t="shared" si="4"/>
        <v xml:space="preserve"> </v>
      </c>
      <c r="N165" s="167" t="str">
        <f t="shared" si="5"/>
        <v xml:space="preserve"> </v>
      </c>
    </row>
    <row r="166" spans="1:14" ht="15" x14ac:dyDescent="0.25">
      <c r="A166" s="131" t="str">
        <f>IF(ISBLANK('ALL Other SINs - Proposal'!A166)," ",'ALL Other SINs - Proposal'!A166)</f>
        <v xml:space="preserve"> </v>
      </c>
      <c r="B166" s="137" t="str">
        <f>IF(ISBLANK('ALL Other SINs - Proposal'!B166)," ",'ALL Other SINs - Proposal'!B166)</f>
        <v xml:space="preserve"> </v>
      </c>
      <c r="C166" s="137" t="str">
        <f>IF(ISBLANK('ALL Other SINs - Proposal'!C166)," ",'ALL Other SINs - Proposal'!C166)</f>
        <v xml:space="preserve"> </v>
      </c>
      <c r="D166" s="138" t="str">
        <f>IF(ISBLANK('ALL Other SINs - Proposal'!D166)," ",'ALL Other SINs - Proposal'!D166)</f>
        <v xml:space="preserve"> </v>
      </c>
      <c r="E166" s="69" t="str">
        <f>IF(ISBLANK('ALL Other SINs - Proposal'!R166)," ",'ALL Other SINs - Proposal'!R166)</f>
        <v xml:space="preserve"> </v>
      </c>
      <c r="F166" s="73" t="str">
        <f>IF(ISBLANK('ALL Other SINs - Proposal'!S166)," ",'ALL Other SINs - Proposal'!S166)</f>
        <v xml:space="preserve"> </v>
      </c>
      <c r="G166" s="173" t="str">
        <f>IF(ISBLANK('ALL Other SINs - Proposal'!T166)," ",'ALL Other SINs - Proposal'!T166)</f>
        <v xml:space="preserve"> </v>
      </c>
      <c r="H166" s="275" t="str">
        <f>IF(ISBLANK('ALL Other SINs - Proposal'!V166)," ",'ALL Other SINs - Proposal'!V166)</f>
        <v xml:space="preserve"> </v>
      </c>
      <c r="I166" s="271" t="str">
        <f>IF(ISBLANK('ALL Other SINs - Proposal'!W166)," ",'ALL Other SINs - Proposal'!W166)</f>
        <v xml:space="preserve"> </v>
      </c>
      <c r="J166" s="71" t="str">
        <f>IF(ISBLANK('ALL Other SINs - Proposal'!X166)," ",'ALL Other SINs - Proposal'!X166)</f>
        <v xml:space="preserve"> </v>
      </c>
      <c r="K166" s="165" t="str">
        <f>IF(ISBLANK('ALL Other SINs - Proposal'!AA166)," ",'ALL Other SINs - Proposal'!AA166)</f>
        <v xml:space="preserve"> </v>
      </c>
      <c r="L166" s="178" t="str">
        <f>IF(ISBLANK('ALL Other SINs - Proposal'!AB166)," ",'ALL Other SINs - Proposal'!AB166)</f>
        <v xml:space="preserve"> </v>
      </c>
      <c r="M166" s="72" t="str">
        <f t="shared" si="4"/>
        <v xml:space="preserve"> </v>
      </c>
      <c r="N166" s="167" t="str">
        <f t="shared" si="5"/>
        <v xml:space="preserve"> </v>
      </c>
    </row>
    <row r="167" spans="1:14" ht="15" x14ac:dyDescent="0.25">
      <c r="A167" s="131" t="str">
        <f>IF(ISBLANK('ALL Other SINs - Proposal'!A167)," ",'ALL Other SINs - Proposal'!A167)</f>
        <v xml:space="preserve"> </v>
      </c>
      <c r="B167" s="137" t="str">
        <f>IF(ISBLANK('ALL Other SINs - Proposal'!B167)," ",'ALL Other SINs - Proposal'!B167)</f>
        <v xml:space="preserve"> </v>
      </c>
      <c r="C167" s="137" t="str">
        <f>IF(ISBLANK('ALL Other SINs - Proposal'!C167)," ",'ALL Other SINs - Proposal'!C167)</f>
        <v xml:space="preserve"> </v>
      </c>
      <c r="D167" s="138" t="str">
        <f>IF(ISBLANK('ALL Other SINs - Proposal'!D167)," ",'ALL Other SINs - Proposal'!D167)</f>
        <v xml:space="preserve"> </v>
      </c>
      <c r="E167" s="69" t="str">
        <f>IF(ISBLANK('ALL Other SINs - Proposal'!R167)," ",'ALL Other SINs - Proposal'!R167)</f>
        <v xml:space="preserve"> </v>
      </c>
      <c r="F167" s="73" t="str">
        <f>IF(ISBLANK('ALL Other SINs - Proposal'!S167)," ",'ALL Other SINs - Proposal'!S167)</f>
        <v xml:space="preserve"> </v>
      </c>
      <c r="G167" s="173" t="str">
        <f>IF(ISBLANK('ALL Other SINs - Proposal'!T167)," ",'ALL Other SINs - Proposal'!T167)</f>
        <v xml:space="preserve"> </v>
      </c>
      <c r="H167" s="275" t="str">
        <f>IF(ISBLANK('ALL Other SINs - Proposal'!V167)," ",'ALL Other SINs - Proposal'!V167)</f>
        <v xml:space="preserve"> </v>
      </c>
      <c r="I167" s="271" t="str">
        <f>IF(ISBLANK('ALL Other SINs - Proposal'!W167)," ",'ALL Other SINs - Proposal'!W167)</f>
        <v xml:space="preserve"> </v>
      </c>
      <c r="J167" s="71" t="str">
        <f>IF(ISBLANK('ALL Other SINs - Proposal'!X167)," ",'ALL Other SINs - Proposal'!X167)</f>
        <v xml:space="preserve"> </v>
      </c>
      <c r="K167" s="165" t="str">
        <f>IF(ISBLANK('ALL Other SINs - Proposal'!AA167)," ",'ALL Other SINs - Proposal'!AA167)</f>
        <v xml:space="preserve"> </v>
      </c>
      <c r="L167" s="178" t="str">
        <f>IF(ISBLANK('ALL Other SINs - Proposal'!AB167)," ",'ALL Other SINs - Proposal'!AB167)</f>
        <v xml:space="preserve"> </v>
      </c>
      <c r="M167" s="72" t="str">
        <f t="shared" si="4"/>
        <v xml:space="preserve"> </v>
      </c>
      <c r="N167" s="167" t="str">
        <f t="shared" si="5"/>
        <v xml:space="preserve"> </v>
      </c>
    </row>
    <row r="168" spans="1:14" ht="15" x14ac:dyDescent="0.25">
      <c r="A168" s="131" t="str">
        <f>IF(ISBLANK('ALL Other SINs - Proposal'!A168)," ",'ALL Other SINs - Proposal'!A168)</f>
        <v xml:space="preserve"> </v>
      </c>
      <c r="B168" s="137" t="str">
        <f>IF(ISBLANK('ALL Other SINs - Proposal'!B168)," ",'ALL Other SINs - Proposal'!B168)</f>
        <v xml:space="preserve"> </v>
      </c>
      <c r="C168" s="137" t="str">
        <f>IF(ISBLANK('ALL Other SINs - Proposal'!C168)," ",'ALL Other SINs - Proposal'!C168)</f>
        <v xml:space="preserve"> </v>
      </c>
      <c r="D168" s="138" t="str">
        <f>IF(ISBLANK('ALL Other SINs - Proposal'!D168)," ",'ALL Other SINs - Proposal'!D168)</f>
        <v xml:space="preserve"> </v>
      </c>
      <c r="E168" s="69" t="str">
        <f>IF(ISBLANK('ALL Other SINs - Proposal'!R168)," ",'ALL Other SINs - Proposal'!R168)</f>
        <v xml:space="preserve"> </v>
      </c>
      <c r="F168" s="73" t="str">
        <f>IF(ISBLANK('ALL Other SINs - Proposal'!S168)," ",'ALL Other SINs - Proposal'!S168)</f>
        <v xml:space="preserve"> </v>
      </c>
      <c r="G168" s="173" t="str">
        <f>IF(ISBLANK('ALL Other SINs - Proposal'!T168)," ",'ALL Other SINs - Proposal'!T168)</f>
        <v xml:space="preserve"> </v>
      </c>
      <c r="H168" s="275" t="str">
        <f>IF(ISBLANK('ALL Other SINs - Proposal'!V168)," ",'ALL Other SINs - Proposal'!V168)</f>
        <v xml:space="preserve"> </v>
      </c>
      <c r="I168" s="271" t="str">
        <f>IF(ISBLANK('ALL Other SINs - Proposal'!W168)," ",'ALL Other SINs - Proposal'!W168)</f>
        <v xml:space="preserve"> </v>
      </c>
      <c r="J168" s="71" t="str">
        <f>IF(ISBLANK('ALL Other SINs - Proposal'!X168)," ",'ALL Other SINs - Proposal'!X168)</f>
        <v xml:space="preserve"> </v>
      </c>
      <c r="K168" s="165" t="str">
        <f>IF(ISBLANK('ALL Other SINs - Proposal'!AA168)," ",'ALL Other SINs - Proposal'!AA168)</f>
        <v xml:space="preserve"> </v>
      </c>
      <c r="L168" s="178" t="str">
        <f>IF(ISBLANK('ALL Other SINs - Proposal'!AB168)," ",'ALL Other SINs - Proposal'!AB168)</f>
        <v xml:space="preserve"> </v>
      </c>
      <c r="M168" s="72" t="str">
        <f t="shared" si="4"/>
        <v xml:space="preserve"> </v>
      </c>
      <c r="N168" s="167" t="str">
        <f t="shared" si="5"/>
        <v xml:space="preserve"> </v>
      </c>
    </row>
    <row r="169" spans="1:14" ht="15" x14ac:dyDescent="0.25">
      <c r="A169" s="131" t="str">
        <f>IF(ISBLANK('ALL Other SINs - Proposal'!A169)," ",'ALL Other SINs - Proposal'!A169)</f>
        <v xml:space="preserve"> </v>
      </c>
      <c r="B169" s="137" t="str">
        <f>IF(ISBLANK('ALL Other SINs - Proposal'!B169)," ",'ALL Other SINs - Proposal'!B169)</f>
        <v xml:space="preserve"> </v>
      </c>
      <c r="C169" s="137" t="str">
        <f>IF(ISBLANK('ALL Other SINs - Proposal'!C169)," ",'ALL Other SINs - Proposal'!C169)</f>
        <v xml:space="preserve"> </v>
      </c>
      <c r="D169" s="138" t="str">
        <f>IF(ISBLANK('ALL Other SINs - Proposal'!D169)," ",'ALL Other SINs - Proposal'!D169)</f>
        <v xml:space="preserve"> </v>
      </c>
      <c r="E169" s="69" t="str">
        <f>IF(ISBLANK('ALL Other SINs - Proposal'!R169)," ",'ALL Other SINs - Proposal'!R169)</f>
        <v xml:space="preserve"> </v>
      </c>
      <c r="F169" s="73" t="str">
        <f>IF(ISBLANK('ALL Other SINs - Proposal'!S169)," ",'ALL Other SINs - Proposal'!S169)</f>
        <v xml:space="preserve"> </v>
      </c>
      <c r="G169" s="173" t="str">
        <f>IF(ISBLANK('ALL Other SINs - Proposal'!T169)," ",'ALL Other SINs - Proposal'!T169)</f>
        <v xml:space="preserve"> </v>
      </c>
      <c r="H169" s="275" t="str">
        <f>IF(ISBLANK('ALL Other SINs - Proposal'!V169)," ",'ALL Other SINs - Proposal'!V169)</f>
        <v xml:space="preserve"> </v>
      </c>
      <c r="I169" s="271" t="str">
        <f>IF(ISBLANK('ALL Other SINs - Proposal'!W169)," ",'ALL Other SINs - Proposal'!W169)</f>
        <v xml:space="preserve"> </v>
      </c>
      <c r="J169" s="71" t="str">
        <f>IF(ISBLANK('ALL Other SINs - Proposal'!X169)," ",'ALL Other SINs - Proposal'!X169)</f>
        <v xml:space="preserve"> </v>
      </c>
      <c r="K169" s="165" t="str">
        <f>IF(ISBLANK('ALL Other SINs - Proposal'!AA169)," ",'ALL Other SINs - Proposal'!AA169)</f>
        <v xml:space="preserve"> </v>
      </c>
      <c r="L169" s="178" t="str">
        <f>IF(ISBLANK('ALL Other SINs - Proposal'!AB169)," ",'ALL Other SINs - Proposal'!AB169)</f>
        <v xml:space="preserve"> </v>
      </c>
      <c r="M169" s="72" t="str">
        <f t="shared" si="4"/>
        <v xml:space="preserve"> </v>
      </c>
      <c r="N169" s="167" t="str">
        <f t="shared" si="5"/>
        <v xml:space="preserve"> </v>
      </c>
    </row>
    <row r="170" spans="1:14" ht="15" x14ac:dyDescent="0.25">
      <c r="A170" s="131" t="str">
        <f>IF(ISBLANK('ALL Other SINs - Proposal'!A170)," ",'ALL Other SINs - Proposal'!A170)</f>
        <v xml:space="preserve"> </v>
      </c>
      <c r="B170" s="137" t="str">
        <f>IF(ISBLANK('ALL Other SINs - Proposal'!B170)," ",'ALL Other SINs - Proposal'!B170)</f>
        <v xml:space="preserve"> </v>
      </c>
      <c r="C170" s="137" t="str">
        <f>IF(ISBLANK('ALL Other SINs - Proposal'!C170)," ",'ALL Other SINs - Proposal'!C170)</f>
        <v xml:space="preserve"> </v>
      </c>
      <c r="D170" s="138" t="str">
        <f>IF(ISBLANK('ALL Other SINs - Proposal'!D170)," ",'ALL Other SINs - Proposal'!D170)</f>
        <v xml:space="preserve"> </v>
      </c>
      <c r="E170" s="69" t="str">
        <f>IF(ISBLANK('ALL Other SINs - Proposal'!R170)," ",'ALL Other SINs - Proposal'!R170)</f>
        <v xml:space="preserve"> </v>
      </c>
      <c r="F170" s="73" t="str">
        <f>IF(ISBLANK('ALL Other SINs - Proposal'!S170)," ",'ALL Other SINs - Proposal'!S170)</f>
        <v xml:space="preserve"> </v>
      </c>
      <c r="G170" s="173" t="str">
        <f>IF(ISBLANK('ALL Other SINs - Proposal'!T170)," ",'ALL Other SINs - Proposal'!T170)</f>
        <v xml:space="preserve"> </v>
      </c>
      <c r="H170" s="275" t="str">
        <f>IF(ISBLANK('ALL Other SINs - Proposal'!V170)," ",'ALL Other SINs - Proposal'!V170)</f>
        <v xml:space="preserve"> </v>
      </c>
      <c r="I170" s="271" t="str">
        <f>IF(ISBLANK('ALL Other SINs - Proposal'!W170)," ",'ALL Other SINs - Proposal'!W170)</f>
        <v xml:space="preserve"> </v>
      </c>
      <c r="J170" s="71" t="str">
        <f>IF(ISBLANK('ALL Other SINs - Proposal'!X170)," ",'ALL Other SINs - Proposal'!X170)</f>
        <v xml:space="preserve"> </v>
      </c>
      <c r="K170" s="165" t="str">
        <f>IF(ISBLANK('ALL Other SINs - Proposal'!AA170)," ",'ALL Other SINs - Proposal'!AA170)</f>
        <v xml:space="preserve"> </v>
      </c>
      <c r="L170" s="178" t="str">
        <f>IF(ISBLANK('ALL Other SINs - Proposal'!AB170)," ",'ALL Other SINs - Proposal'!AB170)</f>
        <v xml:space="preserve"> </v>
      </c>
      <c r="M170" s="72" t="str">
        <f t="shared" si="4"/>
        <v xml:space="preserve"> </v>
      </c>
      <c r="N170" s="167" t="str">
        <f t="shared" si="5"/>
        <v xml:space="preserve"> </v>
      </c>
    </row>
    <row r="171" spans="1:14" ht="15" x14ac:dyDescent="0.25">
      <c r="A171" s="131" t="str">
        <f>IF(ISBLANK('ALL Other SINs - Proposal'!A171)," ",'ALL Other SINs - Proposal'!A171)</f>
        <v xml:space="preserve"> </v>
      </c>
      <c r="B171" s="137" t="str">
        <f>IF(ISBLANK('ALL Other SINs - Proposal'!B171)," ",'ALL Other SINs - Proposal'!B171)</f>
        <v xml:space="preserve"> </v>
      </c>
      <c r="C171" s="137" t="str">
        <f>IF(ISBLANK('ALL Other SINs - Proposal'!C171)," ",'ALL Other SINs - Proposal'!C171)</f>
        <v xml:space="preserve"> </v>
      </c>
      <c r="D171" s="138" t="str">
        <f>IF(ISBLANK('ALL Other SINs - Proposal'!D171)," ",'ALL Other SINs - Proposal'!D171)</f>
        <v xml:space="preserve"> </v>
      </c>
      <c r="E171" s="69" t="str">
        <f>IF(ISBLANK('ALL Other SINs - Proposal'!R171)," ",'ALL Other SINs - Proposal'!R171)</f>
        <v xml:space="preserve"> </v>
      </c>
      <c r="F171" s="73" t="str">
        <f>IF(ISBLANK('ALL Other SINs - Proposal'!S171)," ",'ALL Other SINs - Proposal'!S171)</f>
        <v xml:space="preserve"> </v>
      </c>
      <c r="G171" s="173" t="str">
        <f>IF(ISBLANK('ALL Other SINs - Proposal'!T171)," ",'ALL Other SINs - Proposal'!T171)</f>
        <v xml:space="preserve"> </v>
      </c>
      <c r="H171" s="275" t="str">
        <f>IF(ISBLANK('ALL Other SINs - Proposal'!V171)," ",'ALL Other SINs - Proposal'!V171)</f>
        <v xml:space="preserve"> </v>
      </c>
      <c r="I171" s="271" t="str">
        <f>IF(ISBLANK('ALL Other SINs - Proposal'!W171)," ",'ALL Other SINs - Proposal'!W171)</f>
        <v xml:space="preserve"> </v>
      </c>
      <c r="J171" s="71" t="str">
        <f>IF(ISBLANK('ALL Other SINs - Proposal'!X171)," ",'ALL Other SINs - Proposal'!X171)</f>
        <v xml:space="preserve"> </v>
      </c>
      <c r="K171" s="165" t="str">
        <f>IF(ISBLANK('ALL Other SINs - Proposal'!AA171)," ",'ALL Other SINs - Proposal'!AA171)</f>
        <v xml:space="preserve"> </v>
      </c>
      <c r="L171" s="178" t="str">
        <f>IF(ISBLANK('ALL Other SINs - Proposal'!AB171)," ",'ALL Other SINs - Proposal'!AB171)</f>
        <v xml:space="preserve"> </v>
      </c>
      <c r="M171" s="72" t="str">
        <f t="shared" si="4"/>
        <v xml:space="preserve"> </v>
      </c>
      <c r="N171" s="167" t="str">
        <f t="shared" si="5"/>
        <v xml:space="preserve"> </v>
      </c>
    </row>
    <row r="172" spans="1:14" ht="15" x14ac:dyDescent="0.25">
      <c r="A172" s="131" t="str">
        <f>IF(ISBLANK('ALL Other SINs - Proposal'!A172)," ",'ALL Other SINs - Proposal'!A172)</f>
        <v xml:space="preserve"> </v>
      </c>
      <c r="B172" s="137" t="str">
        <f>IF(ISBLANK('ALL Other SINs - Proposal'!B172)," ",'ALL Other SINs - Proposal'!B172)</f>
        <v xml:space="preserve"> </v>
      </c>
      <c r="C172" s="137" t="str">
        <f>IF(ISBLANK('ALL Other SINs - Proposal'!C172)," ",'ALL Other SINs - Proposal'!C172)</f>
        <v xml:space="preserve"> </v>
      </c>
      <c r="D172" s="138" t="str">
        <f>IF(ISBLANK('ALL Other SINs - Proposal'!D172)," ",'ALL Other SINs - Proposal'!D172)</f>
        <v xml:space="preserve"> </v>
      </c>
      <c r="E172" s="69" t="str">
        <f>IF(ISBLANK('ALL Other SINs - Proposal'!R172)," ",'ALL Other SINs - Proposal'!R172)</f>
        <v xml:space="preserve"> </v>
      </c>
      <c r="F172" s="73" t="str">
        <f>IF(ISBLANK('ALL Other SINs - Proposal'!S172)," ",'ALL Other SINs - Proposal'!S172)</f>
        <v xml:space="preserve"> </v>
      </c>
      <c r="G172" s="173" t="str">
        <f>IF(ISBLANK('ALL Other SINs - Proposal'!T172)," ",'ALL Other SINs - Proposal'!T172)</f>
        <v xml:space="preserve"> </v>
      </c>
      <c r="H172" s="275" t="str">
        <f>IF(ISBLANK('ALL Other SINs - Proposal'!V172)," ",'ALL Other SINs - Proposal'!V172)</f>
        <v xml:space="preserve"> </v>
      </c>
      <c r="I172" s="271" t="str">
        <f>IF(ISBLANK('ALL Other SINs - Proposal'!W172)," ",'ALL Other SINs - Proposal'!W172)</f>
        <v xml:space="preserve"> </v>
      </c>
      <c r="J172" s="71" t="str">
        <f>IF(ISBLANK('ALL Other SINs - Proposal'!X172)," ",'ALL Other SINs - Proposal'!X172)</f>
        <v xml:space="preserve"> </v>
      </c>
      <c r="K172" s="165" t="str">
        <f>IF(ISBLANK('ALL Other SINs - Proposal'!AA172)," ",'ALL Other SINs - Proposal'!AA172)</f>
        <v xml:space="preserve"> </v>
      </c>
      <c r="L172" s="178" t="str">
        <f>IF(ISBLANK('ALL Other SINs - Proposal'!AB172)," ",'ALL Other SINs - Proposal'!AB172)</f>
        <v xml:space="preserve"> </v>
      </c>
      <c r="M172" s="72" t="str">
        <f t="shared" si="4"/>
        <v xml:space="preserve"> </v>
      </c>
      <c r="N172" s="167" t="str">
        <f t="shared" si="5"/>
        <v xml:space="preserve"> </v>
      </c>
    </row>
    <row r="173" spans="1:14" ht="15" x14ac:dyDescent="0.25">
      <c r="A173" s="131" t="str">
        <f>IF(ISBLANK('ALL Other SINs - Proposal'!A173)," ",'ALL Other SINs - Proposal'!A173)</f>
        <v xml:space="preserve"> </v>
      </c>
      <c r="B173" s="137" t="str">
        <f>IF(ISBLANK('ALL Other SINs - Proposal'!B173)," ",'ALL Other SINs - Proposal'!B173)</f>
        <v xml:space="preserve"> </v>
      </c>
      <c r="C173" s="137" t="str">
        <f>IF(ISBLANK('ALL Other SINs - Proposal'!C173)," ",'ALL Other SINs - Proposal'!C173)</f>
        <v xml:space="preserve"> </v>
      </c>
      <c r="D173" s="138" t="str">
        <f>IF(ISBLANK('ALL Other SINs - Proposal'!D173)," ",'ALL Other SINs - Proposal'!D173)</f>
        <v xml:space="preserve"> </v>
      </c>
      <c r="E173" s="69" t="str">
        <f>IF(ISBLANK('ALL Other SINs - Proposal'!R173)," ",'ALL Other SINs - Proposal'!R173)</f>
        <v xml:space="preserve"> </v>
      </c>
      <c r="F173" s="73" t="str">
        <f>IF(ISBLANK('ALL Other SINs - Proposal'!S173)," ",'ALL Other SINs - Proposal'!S173)</f>
        <v xml:space="preserve"> </v>
      </c>
      <c r="G173" s="173" t="str">
        <f>IF(ISBLANK('ALL Other SINs - Proposal'!T173)," ",'ALL Other SINs - Proposal'!T173)</f>
        <v xml:space="preserve"> </v>
      </c>
      <c r="H173" s="275" t="str">
        <f>IF(ISBLANK('ALL Other SINs - Proposal'!V173)," ",'ALL Other SINs - Proposal'!V173)</f>
        <v xml:space="preserve"> </v>
      </c>
      <c r="I173" s="271" t="str">
        <f>IF(ISBLANK('ALL Other SINs - Proposal'!W173)," ",'ALL Other SINs - Proposal'!W173)</f>
        <v xml:space="preserve"> </v>
      </c>
      <c r="J173" s="71" t="str">
        <f>IF(ISBLANK('ALL Other SINs - Proposal'!X173)," ",'ALL Other SINs - Proposal'!X173)</f>
        <v xml:space="preserve"> </v>
      </c>
      <c r="K173" s="165" t="str">
        <f>IF(ISBLANK('ALL Other SINs - Proposal'!AA173)," ",'ALL Other SINs - Proposal'!AA173)</f>
        <v xml:space="preserve"> </v>
      </c>
      <c r="L173" s="178" t="str">
        <f>IF(ISBLANK('ALL Other SINs - Proposal'!AB173)," ",'ALL Other SINs - Proposal'!AB173)</f>
        <v xml:space="preserve"> </v>
      </c>
      <c r="M173" s="72" t="str">
        <f t="shared" si="4"/>
        <v xml:space="preserve"> </v>
      </c>
      <c r="N173" s="167" t="str">
        <f t="shared" si="5"/>
        <v xml:space="preserve"> </v>
      </c>
    </row>
    <row r="174" spans="1:14" ht="15" x14ac:dyDescent="0.25">
      <c r="A174" s="131" t="str">
        <f>IF(ISBLANK('ALL Other SINs - Proposal'!A174)," ",'ALL Other SINs - Proposal'!A174)</f>
        <v xml:space="preserve"> </v>
      </c>
      <c r="B174" s="137" t="str">
        <f>IF(ISBLANK('ALL Other SINs - Proposal'!B174)," ",'ALL Other SINs - Proposal'!B174)</f>
        <v xml:space="preserve"> </v>
      </c>
      <c r="C174" s="137" t="str">
        <f>IF(ISBLANK('ALL Other SINs - Proposal'!C174)," ",'ALL Other SINs - Proposal'!C174)</f>
        <v xml:space="preserve"> </v>
      </c>
      <c r="D174" s="138" t="str">
        <f>IF(ISBLANK('ALL Other SINs - Proposal'!D174)," ",'ALL Other SINs - Proposal'!D174)</f>
        <v xml:space="preserve"> </v>
      </c>
      <c r="E174" s="69" t="str">
        <f>IF(ISBLANK('ALL Other SINs - Proposal'!R174)," ",'ALL Other SINs - Proposal'!R174)</f>
        <v xml:space="preserve"> </v>
      </c>
      <c r="F174" s="73" t="str">
        <f>IF(ISBLANK('ALL Other SINs - Proposal'!S174)," ",'ALL Other SINs - Proposal'!S174)</f>
        <v xml:space="preserve"> </v>
      </c>
      <c r="G174" s="173" t="str">
        <f>IF(ISBLANK('ALL Other SINs - Proposal'!T174)," ",'ALL Other SINs - Proposal'!T174)</f>
        <v xml:space="preserve"> </v>
      </c>
      <c r="H174" s="275" t="str">
        <f>IF(ISBLANK('ALL Other SINs - Proposal'!V174)," ",'ALL Other SINs - Proposal'!V174)</f>
        <v xml:space="preserve"> </v>
      </c>
      <c r="I174" s="271" t="str">
        <f>IF(ISBLANK('ALL Other SINs - Proposal'!W174)," ",'ALL Other SINs - Proposal'!W174)</f>
        <v xml:space="preserve"> </v>
      </c>
      <c r="J174" s="71" t="str">
        <f>IF(ISBLANK('ALL Other SINs - Proposal'!X174)," ",'ALL Other SINs - Proposal'!X174)</f>
        <v xml:space="preserve"> </v>
      </c>
      <c r="K174" s="165" t="str">
        <f>IF(ISBLANK('ALL Other SINs - Proposal'!AA174)," ",'ALL Other SINs - Proposal'!AA174)</f>
        <v xml:space="preserve"> </v>
      </c>
      <c r="L174" s="178" t="str">
        <f>IF(ISBLANK('ALL Other SINs - Proposal'!AB174)," ",'ALL Other SINs - Proposal'!AB174)</f>
        <v xml:space="preserve"> </v>
      </c>
      <c r="M174" s="72" t="str">
        <f t="shared" si="4"/>
        <v xml:space="preserve"> </v>
      </c>
      <c r="N174" s="167" t="str">
        <f t="shared" si="5"/>
        <v xml:space="preserve"> </v>
      </c>
    </row>
    <row r="175" spans="1:14" ht="15" x14ac:dyDescent="0.25">
      <c r="A175" s="131" t="str">
        <f>IF(ISBLANK('ALL Other SINs - Proposal'!A175)," ",'ALL Other SINs - Proposal'!A175)</f>
        <v xml:space="preserve"> </v>
      </c>
      <c r="B175" s="137" t="str">
        <f>IF(ISBLANK('ALL Other SINs - Proposal'!B175)," ",'ALL Other SINs - Proposal'!B175)</f>
        <v xml:space="preserve"> </v>
      </c>
      <c r="C175" s="137" t="str">
        <f>IF(ISBLANK('ALL Other SINs - Proposal'!C175)," ",'ALL Other SINs - Proposal'!C175)</f>
        <v xml:space="preserve"> </v>
      </c>
      <c r="D175" s="138" t="str">
        <f>IF(ISBLANK('ALL Other SINs - Proposal'!D175)," ",'ALL Other SINs - Proposal'!D175)</f>
        <v xml:space="preserve"> </v>
      </c>
      <c r="E175" s="69" t="str">
        <f>IF(ISBLANK('ALL Other SINs - Proposal'!R175)," ",'ALL Other SINs - Proposal'!R175)</f>
        <v xml:space="preserve"> </v>
      </c>
      <c r="F175" s="73" t="str">
        <f>IF(ISBLANK('ALL Other SINs - Proposal'!S175)," ",'ALL Other SINs - Proposal'!S175)</f>
        <v xml:space="preserve"> </v>
      </c>
      <c r="G175" s="173" t="str">
        <f>IF(ISBLANK('ALL Other SINs - Proposal'!T175)," ",'ALL Other SINs - Proposal'!T175)</f>
        <v xml:space="preserve"> </v>
      </c>
      <c r="H175" s="275" t="str">
        <f>IF(ISBLANK('ALL Other SINs - Proposal'!V175)," ",'ALL Other SINs - Proposal'!V175)</f>
        <v xml:space="preserve"> </v>
      </c>
      <c r="I175" s="271" t="str">
        <f>IF(ISBLANK('ALL Other SINs - Proposal'!W175)," ",'ALL Other SINs - Proposal'!W175)</f>
        <v xml:space="preserve"> </v>
      </c>
      <c r="J175" s="71" t="str">
        <f>IF(ISBLANK('ALL Other SINs - Proposal'!X175)," ",'ALL Other SINs - Proposal'!X175)</f>
        <v xml:space="preserve"> </v>
      </c>
      <c r="K175" s="165" t="str">
        <f>IF(ISBLANK('ALL Other SINs - Proposal'!AA175)," ",'ALL Other SINs - Proposal'!AA175)</f>
        <v xml:space="preserve"> </v>
      </c>
      <c r="L175" s="178" t="str">
        <f>IF(ISBLANK('ALL Other SINs - Proposal'!AB175)," ",'ALL Other SINs - Proposal'!AB175)</f>
        <v xml:space="preserve"> </v>
      </c>
      <c r="M175" s="72" t="str">
        <f t="shared" si="4"/>
        <v xml:space="preserve"> </v>
      </c>
      <c r="N175" s="167" t="str">
        <f t="shared" si="5"/>
        <v xml:space="preserve"> </v>
      </c>
    </row>
    <row r="176" spans="1:14" ht="15" x14ac:dyDescent="0.25">
      <c r="A176" s="131" t="str">
        <f>IF(ISBLANK('ALL Other SINs - Proposal'!A176)," ",'ALL Other SINs - Proposal'!A176)</f>
        <v xml:space="preserve"> </v>
      </c>
      <c r="B176" s="137" t="str">
        <f>IF(ISBLANK('ALL Other SINs - Proposal'!B176)," ",'ALL Other SINs - Proposal'!B176)</f>
        <v xml:space="preserve"> </v>
      </c>
      <c r="C176" s="137" t="str">
        <f>IF(ISBLANK('ALL Other SINs - Proposal'!C176)," ",'ALL Other SINs - Proposal'!C176)</f>
        <v xml:space="preserve"> </v>
      </c>
      <c r="D176" s="138" t="str">
        <f>IF(ISBLANK('ALL Other SINs - Proposal'!D176)," ",'ALL Other SINs - Proposal'!D176)</f>
        <v xml:space="preserve"> </v>
      </c>
      <c r="E176" s="69" t="str">
        <f>IF(ISBLANK('ALL Other SINs - Proposal'!R176)," ",'ALL Other SINs - Proposal'!R176)</f>
        <v xml:space="preserve"> </v>
      </c>
      <c r="F176" s="73" t="str">
        <f>IF(ISBLANK('ALL Other SINs - Proposal'!S176)," ",'ALL Other SINs - Proposal'!S176)</f>
        <v xml:space="preserve"> </v>
      </c>
      <c r="G176" s="173" t="str">
        <f>IF(ISBLANK('ALL Other SINs - Proposal'!T176)," ",'ALL Other SINs - Proposal'!T176)</f>
        <v xml:space="preserve"> </v>
      </c>
      <c r="H176" s="275" t="str">
        <f>IF(ISBLANK('ALL Other SINs - Proposal'!V176)," ",'ALL Other SINs - Proposal'!V176)</f>
        <v xml:space="preserve"> </v>
      </c>
      <c r="I176" s="271" t="str">
        <f>IF(ISBLANK('ALL Other SINs - Proposal'!W176)," ",'ALL Other SINs - Proposal'!W176)</f>
        <v xml:space="preserve"> </v>
      </c>
      <c r="J176" s="71" t="str">
        <f>IF(ISBLANK('ALL Other SINs - Proposal'!X176)," ",'ALL Other SINs - Proposal'!X176)</f>
        <v xml:space="preserve"> </v>
      </c>
      <c r="K176" s="165" t="str">
        <f>IF(ISBLANK('ALL Other SINs - Proposal'!AA176)," ",'ALL Other SINs - Proposal'!AA176)</f>
        <v xml:space="preserve"> </v>
      </c>
      <c r="L176" s="178" t="str">
        <f>IF(ISBLANK('ALL Other SINs - Proposal'!AB176)," ",'ALL Other SINs - Proposal'!AB176)</f>
        <v xml:space="preserve"> </v>
      </c>
      <c r="M176" s="72" t="str">
        <f t="shared" si="4"/>
        <v xml:space="preserve"> </v>
      </c>
      <c r="N176" s="167" t="str">
        <f t="shared" si="5"/>
        <v xml:space="preserve"> </v>
      </c>
    </row>
    <row r="177" spans="1:14" ht="15" x14ac:dyDescent="0.25">
      <c r="A177" s="131" t="str">
        <f>IF(ISBLANK('ALL Other SINs - Proposal'!A177)," ",'ALL Other SINs - Proposal'!A177)</f>
        <v xml:space="preserve"> </v>
      </c>
      <c r="B177" s="137" t="str">
        <f>IF(ISBLANK('ALL Other SINs - Proposal'!B177)," ",'ALL Other SINs - Proposal'!B177)</f>
        <v xml:space="preserve"> </v>
      </c>
      <c r="C177" s="137" t="str">
        <f>IF(ISBLANK('ALL Other SINs - Proposal'!C177)," ",'ALL Other SINs - Proposal'!C177)</f>
        <v xml:space="preserve"> </v>
      </c>
      <c r="D177" s="138" t="str">
        <f>IF(ISBLANK('ALL Other SINs - Proposal'!D177)," ",'ALL Other SINs - Proposal'!D177)</f>
        <v xml:space="preserve"> </v>
      </c>
      <c r="E177" s="69" t="str">
        <f>IF(ISBLANK('ALL Other SINs - Proposal'!R177)," ",'ALL Other SINs - Proposal'!R177)</f>
        <v xml:space="preserve"> </v>
      </c>
      <c r="F177" s="73" t="str">
        <f>IF(ISBLANK('ALL Other SINs - Proposal'!S177)," ",'ALL Other SINs - Proposal'!S177)</f>
        <v xml:space="preserve"> </v>
      </c>
      <c r="G177" s="173" t="str">
        <f>IF(ISBLANK('ALL Other SINs - Proposal'!T177)," ",'ALL Other SINs - Proposal'!T177)</f>
        <v xml:space="preserve"> </v>
      </c>
      <c r="H177" s="275" t="str">
        <f>IF(ISBLANK('ALL Other SINs - Proposal'!V177)," ",'ALL Other SINs - Proposal'!V177)</f>
        <v xml:space="preserve"> </v>
      </c>
      <c r="I177" s="271" t="str">
        <f>IF(ISBLANK('ALL Other SINs - Proposal'!W177)," ",'ALL Other SINs - Proposal'!W177)</f>
        <v xml:space="preserve"> </v>
      </c>
      <c r="J177" s="71" t="str">
        <f>IF(ISBLANK('ALL Other SINs - Proposal'!X177)," ",'ALL Other SINs - Proposal'!X177)</f>
        <v xml:space="preserve"> </v>
      </c>
      <c r="K177" s="165" t="str">
        <f>IF(ISBLANK('ALL Other SINs - Proposal'!AA177)," ",'ALL Other SINs - Proposal'!AA177)</f>
        <v xml:space="preserve"> </v>
      </c>
      <c r="L177" s="178" t="str">
        <f>IF(ISBLANK('ALL Other SINs - Proposal'!AB177)," ",'ALL Other SINs - Proposal'!AB177)</f>
        <v xml:space="preserve"> </v>
      </c>
      <c r="M177" s="72" t="str">
        <f t="shared" si="4"/>
        <v xml:space="preserve"> </v>
      </c>
      <c r="N177" s="167" t="str">
        <f t="shared" si="5"/>
        <v xml:space="preserve"> </v>
      </c>
    </row>
    <row r="178" spans="1:14" ht="15" x14ac:dyDescent="0.25">
      <c r="A178" s="131" t="str">
        <f>IF(ISBLANK('ALL Other SINs - Proposal'!A178)," ",'ALL Other SINs - Proposal'!A178)</f>
        <v xml:space="preserve"> </v>
      </c>
      <c r="B178" s="137" t="str">
        <f>IF(ISBLANK('ALL Other SINs - Proposal'!B178)," ",'ALL Other SINs - Proposal'!B178)</f>
        <v xml:space="preserve"> </v>
      </c>
      <c r="C178" s="137" t="str">
        <f>IF(ISBLANK('ALL Other SINs - Proposal'!C178)," ",'ALL Other SINs - Proposal'!C178)</f>
        <v xml:space="preserve"> </v>
      </c>
      <c r="D178" s="138" t="str">
        <f>IF(ISBLANK('ALL Other SINs - Proposal'!D178)," ",'ALL Other SINs - Proposal'!D178)</f>
        <v xml:space="preserve"> </v>
      </c>
      <c r="E178" s="69" t="str">
        <f>IF(ISBLANK('ALL Other SINs - Proposal'!R178)," ",'ALL Other SINs - Proposal'!R178)</f>
        <v xml:space="preserve"> </v>
      </c>
      <c r="F178" s="73" t="str">
        <f>IF(ISBLANK('ALL Other SINs - Proposal'!S178)," ",'ALL Other SINs - Proposal'!S178)</f>
        <v xml:space="preserve"> </v>
      </c>
      <c r="G178" s="173" t="str">
        <f>IF(ISBLANK('ALL Other SINs - Proposal'!T178)," ",'ALL Other SINs - Proposal'!T178)</f>
        <v xml:space="preserve"> </v>
      </c>
      <c r="H178" s="275" t="str">
        <f>IF(ISBLANK('ALL Other SINs - Proposal'!V178)," ",'ALL Other SINs - Proposal'!V178)</f>
        <v xml:space="preserve"> </v>
      </c>
      <c r="I178" s="271" t="str">
        <f>IF(ISBLANK('ALL Other SINs - Proposal'!W178)," ",'ALL Other SINs - Proposal'!W178)</f>
        <v xml:space="preserve"> </v>
      </c>
      <c r="J178" s="71" t="str">
        <f>IF(ISBLANK('ALL Other SINs - Proposal'!X178)," ",'ALL Other SINs - Proposal'!X178)</f>
        <v xml:space="preserve"> </v>
      </c>
      <c r="K178" s="165" t="str">
        <f>IF(ISBLANK('ALL Other SINs - Proposal'!AA178)," ",'ALL Other SINs - Proposal'!AA178)</f>
        <v xml:space="preserve"> </v>
      </c>
      <c r="L178" s="178" t="str">
        <f>IF(ISBLANK('ALL Other SINs - Proposal'!AB178)," ",'ALL Other SINs - Proposal'!AB178)</f>
        <v xml:space="preserve"> </v>
      </c>
      <c r="M178" s="72" t="str">
        <f t="shared" si="4"/>
        <v xml:space="preserve"> </v>
      </c>
      <c r="N178" s="167" t="str">
        <f t="shared" si="5"/>
        <v xml:space="preserve"> </v>
      </c>
    </row>
    <row r="179" spans="1:14" ht="15" x14ac:dyDescent="0.25">
      <c r="A179" s="131" t="str">
        <f>IF(ISBLANK('ALL Other SINs - Proposal'!A179)," ",'ALL Other SINs - Proposal'!A179)</f>
        <v xml:space="preserve"> </v>
      </c>
      <c r="B179" s="137" t="str">
        <f>IF(ISBLANK('ALL Other SINs - Proposal'!B179)," ",'ALL Other SINs - Proposal'!B179)</f>
        <v xml:space="preserve"> </v>
      </c>
      <c r="C179" s="137" t="str">
        <f>IF(ISBLANK('ALL Other SINs - Proposal'!C179)," ",'ALL Other SINs - Proposal'!C179)</f>
        <v xml:space="preserve"> </v>
      </c>
      <c r="D179" s="138" t="str">
        <f>IF(ISBLANK('ALL Other SINs - Proposal'!D179)," ",'ALL Other SINs - Proposal'!D179)</f>
        <v xml:space="preserve"> </v>
      </c>
      <c r="E179" s="69" t="str">
        <f>IF(ISBLANK('ALL Other SINs - Proposal'!R179)," ",'ALL Other SINs - Proposal'!R179)</f>
        <v xml:space="preserve"> </v>
      </c>
      <c r="F179" s="73" t="str">
        <f>IF(ISBLANK('ALL Other SINs - Proposal'!S179)," ",'ALL Other SINs - Proposal'!S179)</f>
        <v xml:space="preserve"> </v>
      </c>
      <c r="G179" s="173" t="str">
        <f>IF(ISBLANK('ALL Other SINs - Proposal'!T179)," ",'ALL Other SINs - Proposal'!T179)</f>
        <v xml:space="preserve"> </v>
      </c>
      <c r="H179" s="275" t="str">
        <f>IF(ISBLANK('ALL Other SINs - Proposal'!V179)," ",'ALL Other SINs - Proposal'!V179)</f>
        <v xml:space="preserve"> </v>
      </c>
      <c r="I179" s="271" t="str">
        <f>IF(ISBLANK('ALL Other SINs - Proposal'!W179)," ",'ALL Other SINs - Proposal'!W179)</f>
        <v xml:space="preserve"> </v>
      </c>
      <c r="J179" s="71" t="str">
        <f>IF(ISBLANK('ALL Other SINs - Proposal'!X179)," ",'ALL Other SINs - Proposal'!X179)</f>
        <v xml:space="preserve"> </v>
      </c>
      <c r="K179" s="165" t="str">
        <f>IF(ISBLANK('ALL Other SINs - Proposal'!AA179)," ",'ALL Other SINs - Proposal'!AA179)</f>
        <v xml:space="preserve"> </v>
      </c>
      <c r="L179" s="178" t="str">
        <f>IF(ISBLANK('ALL Other SINs - Proposal'!AB179)," ",'ALL Other SINs - Proposal'!AB179)</f>
        <v xml:space="preserve"> </v>
      </c>
      <c r="M179" s="72" t="str">
        <f t="shared" si="4"/>
        <v xml:space="preserve"> </v>
      </c>
      <c r="N179" s="167" t="str">
        <f t="shared" si="5"/>
        <v xml:space="preserve"> </v>
      </c>
    </row>
    <row r="180" spans="1:14" ht="15" x14ac:dyDescent="0.25">
      <c r="A180" s="131" t="str">
        <f>IF(ISBLANK('ALL Other SINs - Proposal'!A180)," ",'ALL Other SINs - Proposal'!A180)</f>
        <v xml:space="preserve"> </v>
      </c>
      <c r="B180" s="137" t="str">
        <f>IF(ISBLANK('ALL Other SINs - Proposal'!B180)," ",'ALL Other SINs - Proposal'!B180)</f>
        <v xml:space="preserve"> </v>
      </c>
      <c r="C180" s="137" t="str">
        <f>IF(ISBLANK('ALL Other SINs - Proposal'!C180)," ",'ALL Other SINs - Proposal'!C180)</f>
        <v xml:space="preserve"> </v>
      </c>
      <c r="D180" s="138" t="str">
        <f>IF(ISBLANK('ALL Other SINs - Proposal'!D180)," ",'ALL Other SINs - Proposal'!D180)</f>
        <v xml:space="preserve"> </v>
      </c>
      <c r="E180" s="69" t="str">
        <f>IF(ISBLANK('ALL Other SINs - Proposal'!R180)," ",'ALL Other SINs - Proposal'!R180)</f>
        <v xml:space="preserve"> </v>
      </c>
      <c r="F180" s="73" t="str">
        <f>IF(ISBLANK('ALL Other SINs - Proposal'!S180)," ",'ALL Other SINs - Proposal'!S180)</f>
        <v xml:space="preserve"> </v>
      </c>
      <c r="G180" s="173" t="str">
        <f>IF(ISBLANK('ALL Other SINs - Proposal'!T180)," ",'ALL Other SINs - Proposal'!T180)</f>
        <v xml:space="preserve"> </v>
      </c>
      <c r="H180" s="275" t="str">
        <f>IF(ISBLANK('ALL Other SINs - Proposal'!V180)," ",'ALL Other SINs - Proposal'!V180)</f>
        <v xml:space="preserve"> </v>
      </c>
      <c r="I180" s="271" t="str">
        <f>IF(ISBLANK('ALL Other SINs - Proposal'!W180)," ",'ALL Other SINs - Proposal'!W180)</f>
        <v xml:space="preserve"> </v>
      </c>
      <c r="J180" s="71" t="str">
        <f>IF(ISBLANK('ALL Other SINs - Proposal'!X180)," ",'ALL Other SINs - Proposal'!X180)</f>
        <v xml:space="preserve"> </v>
      </c>
      <c r="K180" s="165" t="str">
        <f>IF(ISBLANK('ALL Other SINs - Proposal'!AA180)," ",'ALL Other SINs - Proposal'!AA180)</f>
        <v xml:space="preserve"> </v>
      </c>
      <c r="L180" s="178" t="str">
        <f>IF(ISBLANK('ALL Other SINs - Proposal'!AB180)," ",'ALL Other SINs - Proposal'!AB180)</f>
        <v xml:space="preserve"> </v>
      </c>
      <c r="M180" s="72" t="str">
        <f t="shared" si="4"/>
        <v xml:space="preserve"> </v>
      </c>
      <c r="N180" s="167" t="str">
        <f t="shared" si="5"/>
        <v xml:space="preserve"> </v>
      </c>
    </row>
    <row r="181" spans="1:14" ht="15" x14ac:dyDescent="0.25">
      <c r="A181" s="131" t="str">
        <f>IF(ISBLANK('ALL Other SINs - Proposal'!A181)," ",'ALL Other SINs - Proposal'!A181)</f>
        <v xml:space="preserve"> </v>
      </c>
      <c r="B181" s="137" t="str">
        <f>IF(ISBLANK('ALL Other SINs - Proposal'!B181)," ",'ALL Other SINs - Proposal'!B181)</f>
        <v xml:space="preserve"> </v>
      </c>
      <c r="C181" s="137" t="str">
        <f>IF(ISBLANK('ALL Other SINs - Proposal'!C181)," ",'ALL Other SINs - Proposal'!C181)</f>
        <v xml:space="preserve"> </v>
      </c>
      <c r="D181" s="138" t="str">
        <f>IF(ISBLANK('ALL Other SINs - Proposal'!D181)," ",'ALL Other SINs - Proposal'!D181)</f>
        <v xml:space="preserve"> </v>
      </c>
      <c r="E181" s="69" t="str">
        <f>IF(ISBLANK('ALL Other SINs - Proposal'!R181)," ",'ALL Other SINs - Proposal'!R181)</f>
        <v xml:space="preserve"> </v>
      </c>
      <c r="F181" s="73" t="str">
        <f>IF(ISBLANK('ALL Other SINs - Proposal'!S181)," ",'ALL Other SINs - Proposal'!S181)</f>
        <v xml:space="preserve"> </v>
      </c>
      <c r="G181" s="173" t="str">
        <f>IF(ISBLANK('ALL Other SINs - Proposal'!T181)," ",'ALL Other SINs - Proposal'!T181)</f>
        <v xml:space="preserve"> </v>
      </c>
      <c r="H181" s="275" t="str">
        <f>IF(ISBLANK('ALL Other SINs - Proposal'!V181)," ",'ALL Other SINs - Proposal'!V181)</f>
        <v xml:space="preserve"> </v>
      </c>
      <c r="I181" s="271" t="str">
        <f>IF(ISBLANK('ALL Other SINs - Proposal'!W181)," ",'ALL Other SINs - Proposal'!W181)</f>
        <v xml:space="preserve"> </v>
      </c>
      <c r="J181" s="71" t="str">
        <f>IF(ISBLANK('ALL Other SINs - Proposal'!X181)," ",'ALL Other SINs - Proposal'!X181)</f>
        <v xml:space="preserve"> </v>
      </c>
      <c r="K181" s="165" t="str">
        <f>IF(ISBLANK('ALL Other SINs - Proposal'!AA181)," ",'ALL Other SINs - Proposal'!AA181)</f>
        <v xml:space="preserve"> </v>
      </c>
      <c r="L181" s="178" t="str">
        <f>IF(ISBLANK('ALL Other SINs - Proposal'!AB181)," ",'ALL Other SINs - Proposal'!AB181)</f>
        <v xml:space="preserve"> </v>
      </c>
      <c r="M181" s="72" t="str">
        <f t="shared" si="4"/>
        <v xml:space="preserve"> </v>
      </c>
      <c r="N181" s="167" t="str">
        <f t="shared" si="5"/>
        <v xml:space="preserve"> </v>
      </c>
    </row>
    <row r="182" spans="1:14" ht="15" x14ac:dyDescent="0.25">
      <c r="A182" s="131" t="str">
        <f>IF(ISBLANK('ALL Other SINs - Proposal'!A182)," ",'ALL Other SINs - Proposal'!A182)</f>
        <v xml:space="preserve"> </v>
      </c>
      <c r="B182" s="137" t="str">
        <f>IF(ISBLANK('ALL Other SINs - Proposal'!B182)," ",'ALL Other SINs - Proposal'!B182)</f>
        <v xml:space="preserve"> </v>
      </c>
      <c r="C182" s="137" t="str">
        <f>IF(ISBLANK('ALL Other SINs - Proposal'!C182)," ",'ALL Other SINs - Proposal'!C182)</f>
        <v xml:space="preserve"> </v>
      </c>
      <c r="D182" s="138" t="str">
        <f>IF(ISBLANK('ALL Other SINs - Proposal'!D182)," ",'ALL Other SINs - Proposal'!D182)</f>
        <v xml:space="preserve"> </v>
      </c>
      <c r="E182" s="69" t="str">
        <f>IF(ISBLANK('ALL Other SINs - Proposal'!R182)," ",'ALL Other SINs - Proposal'!R182)</f>
        <v xml:space="preserve"> </v>
      </c>
      <c r="F182" s="73" t="str">
        <f>IF(ISBLANK('ALL Other SINs - Proposal'!S182)," ",'ALL Other SINs - Proposal'!S182)</f>
        <v xml:space="preserve"> </v>
      </c>
      <c r="G182" s="173" t="str">
        <f>IF(ISBLANK('ALL Other SINs - Proposal'!T182)," ",'ALL Other SINs - Proposal'!T182)</f>
        <v xml:space="preserve"> </v>
      </c>
      <c r="H182" s="275" t="str">
        <f>IF(ISBLANK('ALL Other SINs - Proposal'!V182)," ",'ALL Other SINs - Proposal'!V182)</f>
        <v xml:space="preserve"> </v>
      </c>
      <c r="I182" s="271" t="str">
        <f>IF(ISBLANK('ALL Other SINs - Proposal'!W182)," ",'ALL Other SINs - Proposal'!W182)</f>
        <v xml:space="preserve"> </v>
      </c>
      <c r="J182" s="71" t="str">
        <f>IF(ISBLANK('ALL Other SINs - Proposal'!X182)," ",'ALL Other SINs - Proposal'!X182)</f>
        <v xml:space="preserve"> </v>
      </c>
      <c r="K182" s="165" t="str">
        <f>IF(ISBLANK('ALL Other SINs - Proposal'!AA182)," ",'ALL Other SINs - Proposal'!AA182)</f>
        <v xml:space="preserve"> </v>
      </c>
      <c r="L182" s="178" t="str">
        <f>IF(ISBLANK('ALL Other SINs - Proposal'!AB182)," ",'ALL Other SINs - Proposal'!AB182)</f>
        <v xml:space="preserve"> </v>
      </c>
      <c r="M182" s="72" t="str">
        <f t="shared" si="4"/>
        <v xml:space="preserve"> </v>
      </c>
      <c r="N182" s="167" t="str">
        <f t="shared" si="5"/>
        <v xml:space="preserve"> </v>
      </c>
    </row>
    <row r="183" spans="1:14" ht="15" x14ac:dyDescent="0.25">
      <c r="A183" s="131" t="str">
        <f>IF(ISBLANK('ALL Other SINs - Proposal'!A183)," ",'ALL Other SINs - Proposal'!A183)</f>
        <v xml:space="preserve"> </v>
      </c>
      <c r="B183" s="137" t="str">
        <f>IF(ISBLANK('ALL Other SINs - Proposal'!B183)," ",'ALL Other SINs - Proposal'!B183)</f>
        <v xml:space="preserve"> </v>
      </c>
      <c r="C183" s="137" t="str">
        <f>IF(ISBLANK('ALL Other SINs - Proposal'!C183)," ",'ALL Other SINs - Proposal'!C183)</f>
        <v xml:space="preserve"> </v>
      </c>
      <c r="D183" s="138" t="str">
        <f>IF(ISBLANK('ALL Other SINs - Proposal'!D183)," ",'ALL Other SINs - Proposal'!D183)</f>
        <v xml:space="preserve"> </v>
      </c>
      <c r="E183" s="69" t="str">
        <f>IF(ISBLANK('ALL Other SINs - Proposal'!R183)," ",'ALL Other SINs - Proposal'!R183)</f>
        <v xml:space="preserve"> </v>
      </c>
      <c r="F183" s="73" t="str">
        <f>IF(ISBLANK('ALL Other SINs - Proposal'!S183)," ",'ALL Other SINs - Proposal'!S183)</f>
        <v xml:space="preserve"> </v>
      </c>
      <c r="G183" s="173" t="str">
        <f>IF(ISBLANK('ALL Other SINs - Proposal'!T183)," ",'ALL Other SINs - Proposal'!T183)</f>
        <v xml:space="preserve"> </v>
      </c>
      <c r="H183" s="275" t="str">
        <f>IF(ISBLANK('ALL Other SINs - Proposal'!V183)," ",'ALL Other SINs - Proposal'!V183)</f>
        <v xml:space="preserve"> </v>
      </c>
      <c r="I183" s="271" t="str">
        <f>IF(ISBLANK('ALL Other SINs - Proposal'!W183)," ",'ALL Other SINs - Proposal'!W183)</f>
        <v xml:space="preserve"> </v>
      </c>
      <c r="J183" s="71" t="str">
        <f>IF(ISBLANK('ALL Other SINs - Proposal'!X183)," ",'ALL Other SINs - Proposal'!X183)</f>
        <v xml:space="preserve"> </v>
      </c>
      <c r="K183" s="165" t="str">
        <f>IF(ISBLANK('ALL Other SINs - Proposal'!AA183)," ",'ALL Other SINs - Proposal'!AA183)</f>
        <v xml:space="preserve"> </v>
      </c>
      <c r="L183" s="178" t="str">
        <f>IF(ISBLANK('ALL Other SINs - Proposal'!AB183)," ",'ALL Other SINs - Proposal'!AB183)</f>
        <v xml:space="preserve"> </v>
      </c>
      <c r="M183" s="72" t="str">
        <f t="shared" si="4"/>
        <v xml:space="preserve"> </v>
      </c>
      <c r="N183" s="167" t="str">
        <f t="shared" si="5"/>
        <v xml:space="preserve"> </v>
      </c>
    </row>
    <row r="184" spans="1:14" ht="15" x14ac:dyDescent="0.25">
      <c r="A184" s="131" t="str">
        <f>IF(ISBLANK('ALL Other SINs - Proposal'!A184)," ",'ALL Other SINs - Proposal'!A184)</f>
        <v xml:space="preserve"> </v>
      </c>
      <c r="B184" s="137" t="str">
        <f>IF(ISBLANK('ALL Other SINs - Proposal'!B184)," ",'ALL Other SINs - Proposal'!B184)</f>
        <v xml:space="preserve"> </v>
      </c>
      <c r="C184" s="137" t="str">
        <f>IF(ISBLANK('ALL Other SINs - Proposal'!C184)," ",'ALL Other SINs - Proposal'!C184)</f>
        <v xml:space="preserve"> </v>
      </c>
      <c r="D184" s="138" t="str">
        <f>IF(ISBLANK('ALL Other SINs - Proposal'!D184)," ",'ALL Other SINs - Proposal'!D184)</f>
        <v xml:space="preserve"> </v>
      </c>
      <c r="E184" s="69" t="str">
        <f>IF(ISBLANK('ALL Other SINs - Proposal'!R184)," ",'ALL Other SINs - Proposal'!R184)</f>
        <v xml:space="preserve"> </v>
      </c>
      <c r="F184" s="73" t="str">
        <f>IF(ISBLANK('ALL Other SINs - Proposal'!S184)," ",'ALL Other SINs - Proposal'!S184)</f>
        <v xml:space="preserve"> </v>
      </c>
      <c r="G184" s="173" t="str">
        <f>IF(ISBLANK('ALL Other SINs - Proposal'!T184)," ",'ALL Other SINs - Proposal'!T184)</f>
        <v xml:space="preserve"> </v>
      </c>
      <c r="H184" s="275" t="str">
        <f>IF(ISBLANK('ALL Other SINs - Proposal'!V184)," ",'ALL Other SINs - Proposal'!V184)</f>
        <v xml:space="preserve"> </v>
      </c>
      <c r="I184" s="271" t="str">
        <f>IF(ISBLANK('ALL Other SINs - Proposal'!W184)," ",'ALL Other SINs - Proposal'!W184)</f>
        <v xml:space="preserve"> </v>
      </c>
      <c r="J184" s="71" t="str">
        <f>IF(ISBLANK('ALL Other SINs - Proposal'!X184)," ",'ALL Other SINs - Proposal'!X184)</f>
        <v xml:space="preserve"> </v>
      </c>
      <c r="K184" s="165" t="str">
        <f>IF(ISBLANK('ALL Other SINs - Proposal'!AA184)," ",'ALL Other SINs - Proposal'!AA184)</f>
        <v xml:space="preserve"> </v>
      </c>
      <c r="L184" s="178" t="str">
        <f>IF(ISBLANK('ALL Other SINs - Proposal'!AB184)," ",'ALL Other SINs - Proposal'!AB184)</f>
        <v xml:space="preserve"> </v>
      </c>
      <c r="M184" s="72" t="str">
        <f t="shared" si="4"/>
        <v xml:space="preserve"> </v>
      </c>
      <c r="N184" s="167" t="str">
        <f t="shared" si="5"/>
        <v xml:space="preserve"> </v>
      </c>
    </row>
    <row r="185" spans="1:14" ht="15" x14ac:dyDescent="0.25">
      <c r="A185" s="131" t="str">
        <f>IF(ISBLANK('ALL Other SINs - Proposal'!A185)," ",'ALL Other SINs - Proposal'!A185)</f>
        <v xml:space="preserve"> </v>
      </c>
      <c r="B185" s="137" t="str">
        <f>IF(ISBLANK('ALL Other SINs - Proposal'!B185)," ",'ALL Other SINs - Proposal'!B185)</f>
        <v xml:space="preserve"> </v>
      </c>
      <c r="C185" s="137" t="str">
        <f>IF(ISBLANK('ALL Other SINs - Proposal'!C185)," ",'ALL Other SINs - Proposal'!C185)</f>
        <v xml:space="preserve"> </v>
      </c>
      <c r="D185" s="138" t="str">
        <f>IF(ISBLANK('ALL Other SINs - Proposal'!D185)," ",'ALL Other SINs - Proposal'!D185)</f>
        <v xml:space="preserve"> </v>
      </c>
      <c r="E185" s="69" t="str">
        <f>IF(ISBLANK('ALL Other SINs - Proposal'!R185)," ",'ALL Other SINs - Proposal'!R185)</f>
        <v xml:space="preserve"> </v>
      </c>
      <c r="F185" s="73" t="str">
        <f>IF(ISBLANK('ALL Other SINs - Proposal'!S185)," ",'ALL Other SINs - Proposal'!S185)</f>
        <v xml:space="preserve"> </v>
      </c>
      <c r="G185" s="173" t="str">
        <f>IF(ISBLANK('ALL Other SINs - Proposal'!T185)," ",'ALL Other SINs - Proposal'!T185)</f>
        <v xml:space="preserve"> </v>
      </c>
      <c r="H185" s="275" t="str">
        <f>IF(ISBLANK('ALL Other SINs - Proposal'!V185)," ",'ALL Other SINs - Proposal'!V185)</f>
        <v xml:space="preserve"> </v>
      </c>
      <c r="I185" s="271" t="str">
        <f>IF(ISBLANK('ALL Other SINs - Proposal'!W185)," ",'ALL Other SINs - Proposal'!W185)</f>
        <v xml:space="preserve"> </v>
      </c>
      <c r="J185" s="71" t="str">
        <f>IF(ISBLANK('ALL Other SINs - Proposal'!X185)," ",'ALL Other SINs - Proposal'!X185)</f>
        <v xml:space="preserve"> </v>
      </c>
      <c r="K185" s="165" t="str">
        <f>IF(ISBLANK('ALL Other SINs - Proposal'!AA185)," ",'ALL Other SINs - Proposal'!AA185)</f>
        <v xml:space="preserve"> </v>
      </c>
      <c r="L185" s="178" t="str">
        <f>IF(ISBLANK('ALL Other SINs - Proposal'!AB185)," ",'ALL Other SINs - Proposal'!AB185)</f>
        <v xml:space="preserve"> </v>
      </c>
      <c r="M185" s="72" t="str">
        <f t="shared" si="4"/>
        <v xml:space="preserve"> </v>
      </c>
      <c r="N185" s="167" t="str">
        <f t="shared" si="5"/>
        <v xml:space="preserve"> </v>
      </c>
    </row>
    <row r="186" spans="1:14" ht="15" x14ac:dyDescent="0.25">
      <c r="A186" s="131" t="str">
        <f>IF(ISBLANK('ALL Other SINs - Proposal'!A186)," ",'ALL Other SINs - Proposal'!A186)</f>
        <v xml:space="preserve"> </v>
      </c>
      <c r="B186" s="137" t="str">
        <f>IF(ISBLANK('ALL Other SINs - Proposal'!B186)," ",'ALL Other SINs - Proposal'!B186)</f>
        <v xml:space="preserve"> </v>
      </c>
      <c r="C186" s="137" t="str">
        <f>IF(ISBLANK('ALL Other SINs - Proposal'!C186)," ",'ALL Other SINs - Proposal'!C186)</f>
        <v xml:space="preserve"> </v>
      </c>
      <c r="D186" s="138" t="str">
        <f>IF(ISBLANK('ALL Other SINs - Proposal'!D186)," ",'ALL Other SINs - Proposal'!D186)</f>
        <v xml:space="preserve"> </v>
      </c>
      <c r="E186" s="69" t="str">
        <f>IF(ISBLANK('ALL Other SINs - Proposal'!R186)," ",'ALL Other SINs - Proposal'!R186)</f>
        <v xml:space="preserve"> </v>
      </c>
      <c r="F186" s="73" t="str">
        <f>IF(ISBLANK('ALL Other SINs - Proposal'!S186)," ",'ALL Other SINs - Proposal'!S186)</f>
        <v xml:space="preserve"> </v>
      </c>
      <c r="G186" s="173" t="str">
        <f>IF(ISBLANK('ALL Other SINs - Proposal'!T186)," ",'ALL Other SINs - Proposal'!T186)</f>
        <v xml:space="preserve"> </v>
      </c>
      <c r="H186" s="275" t="str">
        <f>IF(ISBLANK('ALL Other SINs - Proposal'!V186)," ",'ALL Other SINs - Proposal'!V186)</f>
        <v xml:space="preserve"> </v>
      </c>
      <c r="I186" s="271" t="str">
        <f>IF(ISBLANK('ALL Other SINs - Proposal'!W186)," ",'ALL Other SINs - Proposal'!W186)</f>
        <v xml:space="preserve"> </v>
      </c>
      <c r="J186" s="71" t="str">
        <f>IF(ISBLANK('ALL Other SINs - Proposal'!X186)," ",'ALL Other SINs - Proposal'!X186)</f>
        <v xml:space="preserve"> </v>
      </c>
      <c r="K186" s="165" t="str">
        <f>IF(ISBLANK('ALL Other SINs - Proposal'!AA186)," ",'ALL Other SINs - Proposal'!AA186)</f>
        <v xml:space="preserve"> </v>
      </c>
      <c r="L186" s="178" t="str">
        <f>IF(ISBLANK('ALL Other SINs - Proposal'!AB186)," ",'ALL Other SINs - Proposal'!AB186)</f>
        <v xml:space="preserve"> </v>
      </c>
      <c r="M186" s="72" t="str">
        <f t="shared" si="4"/>
        <v xml:space="preserve"> </v>
      </c>
      <c r="N186" s="167" t="str">
        <f t="shared" si="5"/>
        <v xml:space="preserve"> </v>
      </c>
    </row>
    <row r="187" spans="1:14" ht="15" x14ac:dyDescent="0.25">
      <c r="A187" s="131" t="str">
        <f>IF(ISBLANK('ALL Other SINs - Proposal'!A187)," ",'ALL Other SINs - Proposal'!A187)</f>
        <v xml:space="preserve"> </v>
      </c>
      <c r="B187" s="137" t="str">
        <f>IF(ISBLANK('ALL Other SINs - Proposal'!B187)," ",'ALL Other SINs - Proposal'!B187)</f>
        <v xml:space="preserve"> </v>
      </c>
      <c r="C187" s="137" t="str">
        <f>IF(ISBLANK('ALL Other SINs - Proposal'!C187)," ",'ALL Other SINs - Proposal'!C187)</f>
        <v xml:space="preserve"> </v>
      </c>
      <c r="D187" s="138" t="str">
        <f>IF(ISBLANK('ALL Other SINs - Proposal'!D187)," ",'ALL Other SINs - Proposal'!D187)</f>
        <v xml:space="preserve"> </v>
      </c>
      <c r="E187" s="69" t="str">
        <f>IF(ISBLANK('ALL Other SINs - Proposal'!R187)," ",'ALL Other SINs - Proposal'!R187)</f>
        <v xml:space="preserve"> </v>
      </c>
      <c r="F187" s="73" t="str">
        <f>IF(ISBLANK('ALL Other SINs - Proposal'!S187)," ",'ALL Other SINs - Proposal'!S187)</f>
        <v xml:space="preserve"> </v>
      </c>
      <c r="G187" s="173" t="str">
        <f>IF(ISBLANK('ALL Other SINs - Proposal'!T187)," ",'ALL Other SINs - Proposal'!T187)</f>
        <v xml:space="preserve"> </v>
      </c>
      <c r="H187" s="275" t="str">
        <f>IF(ISBLANK('ALL Other SINs - Proposal'!V187)," ",'ALL Other SINs - Proposal'!V187)</f>
        <v xml:space="preserve"> </v>
      </c>
      <c r="I187" s="271" t="str">
        <f>IF(ISBLANK('ALL Other SINs - Proposal'!W187)," ",'ALL Other SINs - Proposal'!W187)</f>
        <v xml:space="preserve"> </v>
      </c>
      <c r="J187" s="71" t="str">
        <f>IF(ISBLANK('ALL Other SINs - Proposal'!X187)," ",'ALL Other SINs - Proposal'!X187)</f>
        <v xml:space="preserve"> </v>
      </c>
      <c r="K187" s="165" t="str">
        <f>IF(ISBLANK('ALL Other SINs - Proposal'!AA187)," ",'ALL Other SINs - Proposal'!AA187)</f>
        <v xml:space="preserve"> </v>
      </c>
      <c r="L187" s="178" t="str">
        <f>IF(ISBLANK('ALL Other SINs - Proposal'!AB187)," ",'ALL Other SINs - Proposal'!AB187)</f>
        <v xml:space="preserve"> </v>
      </c>
      <c r="M187" s="72" t="str">
        <f t="shared" si="4"/>
        <v xml:space="preserve"> </v>
      </c>
      <c r="N187" s="167" t="str">
        <f t="shared" si="5"/>
        <v xml:space="preserve"> </v>
      </c>
    </row>
    <row r="188" spans="1:14" ht="15" x14ac:dyDescent="0.25">
      <c r="A188" s="131" t="str">
        <f>IF(ISBLANK('ALL Other SINs - Proposal'!A188)," ",'ALL Other SINs - Proposal'!A188)</f>
        <v xml:space="preserve"> </v>
      </c>
      <c r="B188" s="137" t="str">
        <f>IF(ISBLANK('ALL Other SINs - Proposal'!B188)," ",'ALL Other SINs - Proposal'!B188)</f>
        <v xml:space="preserve"> </v>
      </c>
      <c r="C188" s="137" t="str">
        <f>IF(ISBLANK('ALL Other SINs - Proposal'!C188)," ",'ALL Other SINs - Proposal'!C188)</f>
        <v xml:space="preserve"> </v>
      </c>
      <c r="D188" s="138" t="str">
        <f>IF(ISBLANK('ALL Other SINs - Proposal'!D188)," ",'ALL Other SINs - Proposal'!D188)</f>
        <v xml:space="preserve"> </v>
      </c>
      <c r="E188" s="69" t="str">
        <f>IF(ISBLANK('ALL Other SINs - Proposal'!R188)," ",'ALL Other SINs - Proposal'!R188)</f>
        <v xml:space="preserve"> </v>
      </c>
      <c r="F188" s="73" t="str">
        <f>IF(ISBLANK('ALL Other SINs - Proposal'!S188)," ",'ALL Other SINs - Proposal'!S188)</f>
        <v xml:space="preserve"> </v>
      </c>
      <c r="G188" s="173" t="str">
        <f>IF(ISBLANK('ALL Other SINs - Proposal'!T188)," ",'ALL Other SINs - Proposal'!T188)</f>
        <v xml:space="preserve"> </v>
      </c>
      <c r="H188" s="275" t="str">
        <f>IF(ISBLANK('ALL Other SINs - Proposal'!V188)," ",'ALL Other SINs - Proposal'!V188)</f>
        <v xml:space="preserve"> </v>
      </c>
      <c r="I188" s="271" t="str">
        <f>IF(ISBLANK('ALL Other SINs - Proposal'!W188)," ",'ALL Other SINs - Proposal'!W188)</f>
        <v xml:space="preserve"> </v>
      </c>
      <c r="J188" s="71" t="str">
        <f>IF(ISBLANK('ALL Other SINs - Proposal'!X188)," ",'ALL Other SINs - Proposal'!X188)</f>
        <v xml:space="preserve"> </v>
      </c>
      <c r="K188" s="165" t="str">
        <f>IF(ISBLANK('ALL Other SINs - Proposal'!AA188)," ",'ALL Other SINs - Proposal'!AA188)</f>
        <v xml:space="preserve"> </v>
      </c>
      <c r="L188" s="178" t="str">
        <f>IF(ISBLANK('ALL Other SINs - Proposal'!AB188)," ",'ALL Other SINs - Proposal'!AB188)</f>
        <v xml:space="preserve"> </v>
      </c>
      <c r="M188" s="72" t="str">
        <f t="shared" si="4"/>
        <v xml:space="preserve"> </v>
      </c>
      <c r="N188" s="167" t="str">
        <f t="shared" si="5"/>
        <v xml:space="preserve"> </v>
      </c>
    </row>
    <row r="189" spans="1:14" ht="15" x14ac:dyDescent="0.25">
      <c r="A189" s="131" t="str">
        <f>IF(ISBLANK('ALL Other SINs - Proposal'!A189)," ",'ALL Other SINs - Proposal'!A189)</f>
        <v xml:space="preserve"> </v>
      </c>
      <c r="B189" s="137" t="str">
        <f>IF(ISBLANK('ALL Other SINs - Proposal'!B189)," ",'ALL Other SINs - Proposal'!B189)</f>
        <v xml:space="preserve"> </v>
      </c>
      <c r="C189" s="137" t="str">
        <f>IF(ISBLANK('ALL Other SINs - Proposal'!C189)," ",'ALL Other SINs - Proposal'!C189)</f>
        <v xml:space="preserve"> </v>
      </c>
      <c r="D189" s="138" t="str">
        <f>IF(ISBLANK('ALL Other SINs - Proposal'!D189)," ",'ALL Other SINs - Proposal'!D189)</f>
        <v xml:space="preserve"> </v>
      </c>
      <c r="E189" s="69" t="str">
        <f>IF(ISBLANK('ALL Other SINs - Proposal'!R189)," ",'ALL Other SINs - Proposal'!R189)</f>
        <v xml:space="preserve"> </v>
      </c>
      <c r="F189" s="73" t="str">
        <f>IF(ISBLANK('ALL Other SINs - Proposal'!S189)," ",'ALL Other SINs - Proposal'!S189)</f>
        <v xml:space="preserve"> </v>
      </c>
      <c r="G189" s="173" t="str">
        <f>IF(ISBLANK('ALL Other SINs - Proposal'!T189)," ",'ALL Other SINs - Proposal'!T189)</f>
        <v xml:space="preserve"> </v>
      </c>
      <c r="H189" s="275" t="str">
        <f>IF(ISBLANK('ALL Other SINs - Proposal'!V189)," ",'ALL Other SINs - Proposal'!V189)</f>
        <v xml:space="preserve"> </v>
      </c>
      <c r="I189" s="271" t="str">
        <f>IF(ISBLANK('ALL Other SINs - Proposal'!W189)," ",'ALL Other SINs - Proposal'!W189)</f>
        <v xml:space="preserve"> </v>
      </c>
      <c r="J189" s="71" t="str">
        <f>IF(ISBLANK('ALL Other SINs - Proposal'!X189)," ",'ALL Other SINs - Proposal'!X189)</f>
        <v xml:space="preserve"> </v>
      </c>
      <c r="K189" s="165" t="str">
        <f>IF(ISBLANK('ALL Other SINs - Proposal'!AA189)," ",'ALL Other SINs - Proposal'!AA189)</f>
        <v xml:space="preserve"> </v>
      </c>
      <c r="L189" s="178" t="str">
        <f>IF(ISBLANK('ALL Other SINs - Proposal'!AB189)," ",'ALL Other SINs - Proposal'!AB189)</f>
        <v xml:space="preserve"> </v>
      </c>
      <c r="M189" s="72" t="str">
        <f t="shared" si="4"/>
        <v xml:space="preserve"> </v>
      </c>
      <c r="N189" s="167" t="str">
        <f t="shared" si="5"/>
        <v xml:space="preserve"> </v>
      </c>
    </row>
    <row r="190" spans="1:14" ht="15" x14ac:dyDescent="0.25">
      <c r="A190" s="131" t="str">
        <f>IF(ISBLANK('ALL Other SINs - Proposal'!A190)," ",'ALL Other SINs - Proposal'!A190)</f>
        <v xml:space="preserve"> </v>
      </c>
      <c r="B190" s="137" t="str">
        <f>IF(ISBLANK('ALL Other SINs - Proposal'!B190)," ",'ALL Other SINs - Proposal'!B190)</f>
        <v xml:space="preserve"> </v>
      </c>
      <c r="C190" s="137" t="str">
        <f>IF(ISBLANK('ALL Other SINs - Proposal'!C190)," ",'ALL Other SINs - Proposal'!C190)</f>
        <v xml:space="preserve"> </v>
      </c>
      <c r="D190" s="138" t="str">
        <f>IF(ISBLANK('ALL Other SINs - Proposal'!D190)," ",'ALL Other SINs - Proposal'!D190)</f>
        <v xml:space="preserve"> </v>
      </c>
      <c r="E190" s="69" t="str">
        <f>IF(ISBLANK('ALL Other SINs - Proposal'!R190)," ",'ALL Other SINs - Proposal'!R190)</f>
        <v xml:space="preserve"> </v>
      </c>
      <c r="F190" s="73" t="str">
        <f>IF(ISBLANK('ALL Other SINs - Proposal'!S190)," ",'ALL Other SINs - Proposal'!S190)</f>
        <v xml:space="preserve"> </v>
      </c>
      <c r="G190" s="173" t="str">
        <f>IF(ISBLANK('ALL Other SINs - Proposal'!T190)," ",'ALL Other SINs - Proposal'!T190)</f>
        <v xml:space="preserve"> </v>
      </c>
      <c r="H190" s="275" t="str">
        <f>IF(ISBLANK('ALL Other SINs - Proposal'!V190)," ",'ALL Other SINs - Proposal'!V190)</f>
        <v xml:space="preserve"> </v>
      </c>
      <c r="I190" s="271" t="str">
        <f>IF(ISBLANK('ALL Other SINs - Proposal'!W190)," ",'ALL Other SINs - Proposal'!W190)</f>
        <v xml:space="preserve"> </v>
      </c>
      <c r="J190" s="71" t="str">
        <f>IF(ISBLANK('ALL Other SINs - Proposal'!X190)," ",'ALL Other SINs - Proposal'!X190)</f>
        <v xml:space="preserve"> </v>
      </c>
      <c r="K190" s="165" t="str">
        <f>IF(ISBLANK('ALL Other SINs - Proposal'!AA190)," ",'ALL Other SINs - Proposal'!AA190)</f>
        <v xml:space="preserve"> </v>
      </c>
      <c r="L190" s="178" t="str">
        <f>IF(ISBLANK('ALL Other SINs - Proposal'!AB190)," ",'ALL Other SINs - Proposal'!AB190)</f>
        <v xml:space="preserve"> </v>
      </c>
      <c r="M190" s="72" t="str">
        <f t="shared" si="4"/>
        <v xml:space="preserve"> </v>
      </c>
      <c r="N190" s="167" t="str">
        <f t="shared" si="5"/>
        <v xml:space="preserve"> </v>
      </c>
    </row>
    <row r="191" spans="1:14" ht="15" x14ac:dyDescent="0.25">
      <c r="A191" s="131" t="str">
        <f>IF(ISBLANK('ALL Other SINs - Proposal'!A191)," ",'ALL Other SINs - Proposal'!A191)</f>
        <v xml:space="preserve"> </v>
      </c>
      <c r="B191" s="137" t="str">
        <f>IF(ISBLANK('ALL Other SINs - Proposal'!B191)," ",'ALL Other SINs - Proposal'!B191)</f>
        <v xml:space="preserve"> </v>
      </c>
      <c r="C191" s="137" t="str">
        <f>IF(ISBLANK('ALL Other SINs - Proposal'!C191)," ",'ALL Other SINs - Proposal'!C191)</f>
        <v xml:space="preserve"> </v>
      </c>
      <c r="D191" s="138" t="str">
        <f>IF(ISBLANK('ALL Other SINs - Proposal'!D191)," ",'ALL Other SINs - Proposal'!D191)</f>
        <v xml:space="preserve"> </v>
      </c>
      <c r="E191" s="69" t="str">
        <f>IF(ISBLANK('ALL Other SINs - Proposal'!R191)," ",'ALL Other SINs - Proposal'!R191)</f>
        <v xml:space="preserve"> </v>
      </c>
      <c r="F191" s="73" t="str">
        <f>IF(ISBLANK('ALL Other SINs - Proposal'!S191)," ",'ALL Other SINs - Proposal'!S191)</f>
        <v xml:space="preserve"> </v>
      </c>
      <c r="G191" s="173" t="str">
        <f>IF(ISBLANK('ALL Other SINs - Proposal'!T191)," ",'ALL Other SINs - Proposal'!T191)</f>
        <v xml:space="preserve"> </v>
      </c>
      <c r="H191" s="275" t="str">
        <f>IF(ISBLANK('ALL Other SINs - Proposal'!V191)," ",'ALL Other SINs - Proposal'!V191)</f>
        <v xml:space="preserve"> </v>
      </c>
      <c r="I191" s="271" t="str">
        <f>IF(ISBLANK('ALL Other SINs - Proposal'!W191)," ",'ALL Other SINs - Proposal'!W191)</f>
        <v xml:space="preserve"> </v>
      </c>
      <c r="J191" s="71" t="str">
        <f>IF(ISBLANK('ALL Other SINs - Proposal'!X191)," ",'ALL Other SINs - Proposal'!X191)</f>
        <v xml:space="preserve"> </v>
      </c>
      <c r="K191" s="165" t="str">
        <f>IF(ISBLANK('ALL Other SINs - Proposal'!AA191)," ",'ALL Other SINs - Proposal'!AA191)</f>
        <v xml:space="preserve"> </v>
      </c>
      <c r="L191" s="178" t="str">
        <f>IF(ISBLANK('ALL Other SINs - Proposal'!AB191)," ",'ALL Other SINs - Proposal'!AB191)</f>
        <v xml:space="preserve"> </v>
      </c>
      <c r="M191" s="72" t="str">
        <f t="shared" si="4"/>
        <v xml:space="preserve"> </v>
      </c>
      <c r="N191" s="167" t="str">
        <f t="shared" si="5"/>
        <v xml:space="preserve"> </v>
      </c>
    </row>
    <row r="192" spans="1:14" ht="15" x14ac:dyDescent="0.25">
      <c r="A192" s="131" t="str">
        <f>IF(ISBLANK('ALL Other SINs - Proposal'!A192)," ",'ALL Other SINs - Proposal'!A192)</f>
        <v xml:space="preserve"> </v>
      </c>
      <c r="B192" s="137" t="str">
        <f>IF(ISBLANK('ALL Other SINs - Proposal'!B192)," ",'ALL Other SINs - Proposal'!B192)</f>
        <v xml:space="preserve"> </v>
      </c>
      <c r="C192" s="137" t="str">
        <f>IF(ISBLANK('ALL Other SINs - Proposal'!C192)," ",'ALL Other SINs - Proposal'!C192)</f>
        <v xml:space="preserve"> </v>
      </c>
      <c r="D192" s="138" t="str">
        <f>IF(ISBLANK('ALL Other SINs - Proposal'!D192)," ",'ALL Other SINs - Proposal'!D192)</f>
        <v xml:space="preserve"> </v>
      </c>
      <c r="E192" s="69" t="str">
        <f>IF(ISBLANK('ALL Other SINs - Proposal'!R192)," ",'ALL Other SINs - Proposal'!R192)</f>
        <v xml:space="preserve"> </v>
      </c>
      <c r="F192" s="73" t="str">
        <f>IF(ISBLANK('ALL Other SINs - Proposal'!S192)," ",'ALL Other SINs - Proposal'!S192)</f>
        <v xml:space="preserve"> </v>
      </c>
      <c r="G192" s="173" t="str">
        <f>IF(ISBLANK('ALL Other SINs - Proposal'!T192)," ",'ALL Other SINs - Proposal'!T192)</f>
        <v xml:space="preserve"> </v>
      </c>
      <c r="H192" s="275" t="str">
        <f>IF(ISBLANK('ALL Other SINs - Proposal'!V192)," ",'ALL Other SINs - Proposal'!V192)</f>
        <v xml:space="preserve"> </v>
      </c>
      <c r="I192" s="271" t="str">
        <f>IF(ISBLANK('ALL Other SINs - Proposal'!W192)," ",'ALL Other SINs - Proposal'!W192)</f>
        <v xml:space="preserve"> </v>
      </c>
      <c r="J192" s="71" t="str">
        <f>IF(ISBLANK('ALL Other SINs - Proposal'!X192)," ",'ALL Other SINs - Proposal'!X192)</f>
        <v xml:space="preserve"> </v>
      </c>
      <c r="K192" s="165" t="str">
        <f>IF(ISBLANK('ALL Other SINs - Proposal'!AA192)," ",'ALL Other SINs - Proposal'!AA192)</f>
        <v xml:space="preserve"> </v>
      </c>
      <c r="L192" s="178" t="str">
        <f>IF(ISBLANK('ALL Other SINs - Proposal'!AB192)," ",'ALL Other SINs - Proposal'!AB192)</f>
        <v xml:space="preserve"> </v>
      </c>
      <c r="M192" s="72" t="str">
        <f t="shared" si="4"/>
        <v xml:space="preserve"> </v>
      </c>
      <c r="N192" s="167" t="str">
        <f t="shared" si="5"/>
        <v xml:space="preserve"> </v>
      </c>
    </row>
    <row r="193" spans="1:14" ht="15" x14ac:dyDescent="0.25">
      <c r="A193" s="131" t="str">
        <f>IF(ISBLANK('ALL Other SINs - Proposal'!A193)," ",'ALL Other SINs - Proposal'!A193)</f>
        <v xml:space="preserve"> </v>
      </c>
      <c r="B193" s="137" t="str">
        <f>IF(ISBLANK('ALL Other SINs - Proposal'!B193)," ",'ALL Other SINs - Proposal'!B193)</f>
        <v xml:space="preserve"> </v>
      </c>
      <c r="C193" s="137" t="str">
        <f>IF(ISBLANK('ALL Other SINs - Proposal'!C193)," ",'ALL Other SINs - Proposal'!C193)</f>
        <v xml:space="preserve"> </v>
      </c>
      <c r="D193" s="138" t="str">
        <f>IF(ISBLANK('ALL Other SINs - Proposal'!D193)," ",'ALL Other SINs - Proposal'!D193)</f>
        <v xml:space="preserve"> </v>
      </c>
      <c r="E193" s="69" t="str">
        <f>IF(ISBLANK('ALL Other SINs - Proposal'!R193)," ",'ALL Other SINs - Proposal'!R193)</f>
        <v xml:space="preserve"> </v>
      </c>
      <c r="F193" s="73" t="str">
        <f>IF(ISBLANK('ALL Other SINs - Proposal'!S193)," ",'ALL Other SINs - Proposal'!S193)</f>
        <v xml:space="preserve"> </v>
      </c>
      <c r="G193" s="173" t="str">
        <f>IF(ISBLANK('ALL Other SINs - Proposal'!T193)," ",'ALL Other SINs - Proposal'!T193)</f>
        <v xml:space="preserve"> </v>
      </c>
      <c r="H193" s="275" t="str">
        <f>IF(ISBLANK('ALL Other SINs - Proposal'!V193)," ",'ALL Other SINs - Proposal'!V193)</f>
        <v xml:space="preserve"> </v>
      </c>
      <c r="I193" s="271" t="str">
        <f>IF(ISBLANK('ALL Other SINs - Proposal'!W193)," ",'ALL Other SINs - Proposal'!W193)</f>
        <v xml:space="preserve"> </v>
      </c>
      <c r="J193" s="71" t="str">
        <f>IF(ISBLANK('ALL Other SINs - Proposal'!X193)," ",'ALL Other SINs - Proposal'!X193)</f>
        <v xml:space="preserve"> </v>
      </c>
      <c r="K193" s="165" t="str">
        <f>IF(ISBLANK('ALL Other SINs - Proposal'!AA193)," ",'ALL Other SINs - Proposal'!AA193)</f>
        <v xml:space="preserve"> </v>
      </c>
      <c r="L193" s="178" t="str">
        <f>IF(ISBLANK('ALL Other SINs - Proposal'!AB193)," ",'ALL Other SINs - Proposal'!AB193)</f>
        <v xml:space="preserve"> </v>
      </c>
      <c r="M193" s="72" t="str">
        <f t="shared" si="4"/>
        <v xml:space="preserve"> </v>
      </c>
      <c r="N193" s="167" t="str">
        <f t="shared" si="5"/>
        <v xml:space="preserve"> </v>
      </c>
    </row>
    <row r="194" spans="1:14" ht="15" x14ac:dyDescent="0.25">
      <c r="A194" s="131" t="str">
        <f>IF(ISBLANK('ALL Other SINs - Proposal'!A194)," ",'ALL Other SINs - Proposal'!A194)</f>
        <v xml:space="preserve"> </v>
      </c>
      <c r="B194" s="137" t="str">
        <f>IF(ISBLANK('ALL Other SINs - Proposal'!B194)," ",'ALL Other SINs - Proposal'!B194)</f>
        <v xml:space="preserve"> </v>
      </c>
      <c r="C194" s="137" t="str">
        <f>IF(ISBLANK('ALL Other SINs - Proposal'!C194)," ",'ALL Other SINs - Proposal'!C194)</f>
        <v xml:space="preserve"> </v>
      </c>
      <c r="D194" s="138" t="str">
        <f>IF(ISBLANK('ALL Other SINs - Proposal'!D194)," ",'ALL Other SINs - Proposal'!D194)</f>
        <v xml:space="preserve"> </v>
      </c>
      <c r="E194" s="69" t="str">
        <f>IF(ISBLANK('ALL Other SINs - Proposal'!R194)," ",'ALL Other SINs - Proposal'!R194)</f>
        <v xml:space="preserve"> </v>
      </c>
      <c r="F194" s="73" t="str">
        <f>IF(ISBLANK('ALL Other SINs - Proposal'!S194)," ",'ALL Other SINs - Proposal'!S194)</f>
        <v xml:space="preserve"> </v>
      </c>
      <c r="G194" s="173" t="str">
        <f>IF(ISBLANK('ALL Other SINs - Proposal'!T194)," ",'ALL Other SINs - Proposal'!T194)</f>
        <v xml:space="preserve"> </v>
      </c>
      <c r="H194" s="275" t="str">
        <f>IF(ISBLANK('ALL Other SINs - Proposal'!V194)," ",'ALL Other SINs - Proposal'!V194)</f>
        <v xml:space="preserve"> </v>
      </c>
      <c r="I194" s="271" t="str">
        <f>IF(ISBLANK('ALL Other SINs - Proposal'!W194)," ",'ALL Other SINs - Proposal'!W194)</f>
        <v xml:space="preserve"> </v>
      </c>
      <c r="J194" s="71" t="str">
        <f>IF(ISBLANK('ALL Other SINs - Proposal'!X194)," ",'ALL Other SINs - Proposal'!X194)</f>
        <v xml:space="preserve"> </v>
      </c>
      <c r="K194" s="165" t="str">
        <f>IF(ISBLANK('ALL Other SINs - Proposal'!AA194)," ",'ALL Other SINs - Proposal'!AA194)</f>
        <v xml:space="preserve"> </v>
      </c>
      <c r="L194" s="178" t="str">
        <f>IF(ISBLANK('ALL Other SINs - Proposal'!AB194)," ",'ALL Other SINs - Proposal'!AB194)</f>
        <v xml:space="preserve"> </v>
      </c>
      <c r="M194" s="72" t="str">
        <f t="shared" si="4"/>
        <v xml:space="preserve"> </v>
      </c>
      <c r="N194" s="167" t="str">
        <f t="shared" si="5"/>
        <v xml:space="preserve"> </v>
      </c>
    </row>
    <row r="195" spans="1:14" ht="15" x14ac:dyDescent="0.25">
      <c r="A195" s="131" t="str">
        <f>IF(ISBLANK('ALL Other SINs - Proposal'!A195)," ",'ALL Other SINs - Proposal'!A195)</f>
        <v xml:space="preserve"> </v>
      </c>
      <c r="B195" s="137" t="str">
        <f>IF(ISBLANK('ALL Other SINs - Proposal'!B195)," ",'ALL Other SINs - Proposal'!B195)</f>
        <v xml:space="preserve"> </v>
      </c>
      <c r="C195" s="137" t="str">
        <f>IF(ISBLANK('ALL Other SINs - Proposal'!C195)," ",'ALL Other SINs - Proposal'!C195)</f>
        <v xml:space="preserve"> </v>
      </c>
      <c r="D195" s="138" t="str">
        <f>IF(ISBLANK('ALL Other SINs - Proposal'!D195)," ",'ALL Other SINs - Proposal'!D195)</f>
        <v xml:space="preserve"> </v>
      </c>
      <c r="E195" s="69" t="str">
        <f>IF(ISBLANK('ALL Other SINs - Proposal'!R195)," ",'ALL Other SINs - Proposal'!R195)</f>
        <v xml:space="preserve"> </v>
      </c>
      <c r="F195" s="73" t="str">
        <f>IF(ISBLANK('ALL Other SINs - Proposal'!S195)," ",'ALL Other SINs - Proposal'!S195)</f>
        <v xml:space="preserve"> </v>
      </c>
      <c r="G195" s="173" t="str">
        <f>IF(ISBLANK('ALL Other SINs - Proposal'!T195)," ",'ALL Other SINs - Proposal'!T195)</f>
        <v xml:space="preserve"> </v>
      </c>
      <c r="H195" s="275" t="str">
        <f>IF(ISBLANK('ALL Other SINs - Proposal'!V195)," ",'ALL Other SINs - Proposal'!V195)</f>
        <v xml:space="preserve"> </v>
      </c>
      <c r="I195" s="271" t="str">
        <f>IF(ISBLANK('ALL Other SINs - Proposal'!W195)," ",'ALL Other SINs - Proposal'!W195)</f>
        <v xml:space="preserve"> </v>
      </c>
      <c r="J195" s="71" t="str">
        <f>IF(ISBLANK('ALL Other SINs - Proposal'!X195)," ",'ALL Other SINs - Proposal'!X195)</f>
        <v xml:space="preserve"> </v>
      </c>
      <c r="K195" s="165" t="str">
        <f>IF(ISBLANK('ALL Other SINs - Proposal'!AA195)," ",'ALL Other SINs - Proposal'!AA195)</f>
        <v xml:space="preserve"> </v>
      </c>
      <c r="L195" s="178" t="str">
        <f>IF(ISBLANK('ALL Other SINs - Proposal'!AB195)," ",'ALL Other SINs - Proposal'!AB195)</f>
        <v xml:space="preserve"> </v>
      </c>
      <c r="M195" s="72" t="str">
        <f t="shared" ref="M195:M258" si="6">IFERROR(IF((ROUND(K195,2))&lt;=(ROUND(F195,2)),"YES","NO")," ")</f>
        <v xml:space="preserve"> </v>
      </c>
      <c r="N195" s="167" t="str">
        <f t="shared" ref="N195:N258" si="7">IFERROR(IF(ISBLANK(K195)," ",(ROUND(K195,2))/(ROUND(I195,2)))," ")</f>
        <v xml:space="preserve"> </v>
      </c>
    </row>
    <row r="196" spans="1:14" ht="15" x14ac:dyDescent="0.25">
      <c r="A196" s="131" t="str">
        <f>IF(ISBLANK('ALL Other SINs - Proposal'!A196)," ",'ALL Other SINs - Proposal'!A196)</f>
        <v xml:space="preserve"> </v>
      </c>
      <c r="B196" s="137" t="str">
        <f>IF(ISBLANK('ALL Other SINs - Proposal'!B196)," ",'ALL Other SINs - Proposal'!B196)</f>
        <v xml:space="preserve"> </v>
      </c>
      <c r="C196" s="137" t="str">
        <f>IF(ISBLANK('ALL Other SINs - Proposal'!C196)," ",'ALL Other SINs - Proposal'!C196)</f>
        <v xml:space="preserve"> </v>
      </c>
      <c r="D196" s="138" t="str">
        <f>IF(ISBLANK('ALL Other SINs - Proposal'!D196)," ",'ALL Other SINs - Proposal'!D196)</f>
        <v xml:space="preserve"> </v>
      </c>
      <c r="E196" s="69" t="str">
        <f>IF(ISBLANK('ALL Other SINs - Proposal'!R196)," ",'ALL Other SINs - Proposal'!R196)</f>
        <v xml:space="preserve"> </v>
      </c>
      <c r="F196" s="73" t="str">
        <f>IF(ISBLANK('ALL Other SINs - Proposal'!S196)," ",'ALL Other SINs - Proposal'!S196)</f>
        <v xml:space="preserve"> </v>
      </c>
      <c r="G196" s="173" t="str">
        <f>IF(ISBLANK('ALL Other SINs - Proposal'!T196)," ",'ALL Other SINs - Proposal'!T196)</f>
        <v xml:space="preserve"> </v>
      </c>
      <c r="H196" s="275" t="str">
        <f>IF(ISBLANK('ALL Other SINs - Proposal'!V196)," ",'ALL Other SINs - Proposal'!V196)</f>
        <v xml:space="preserve"> </v>
      </c>
      <c r="I196" s="271" t="str">
        <f>IF(ISBLANK('ALL Other SINs - Proposal'!W196)," ",'ALL Other SINs - Proposal'!W196)</f>
        <v xml:space="preserve"> </v>
      </c>
      <c r="J196" s="71" t="str">
        <f>IF(ISBLANK('ALL Other SINs - Proposal'!X196)," ",'ALL Other SINs - Proposal'!X196)</f>
        <v xml:space="preserve"> </v>
      </c>
      <c r="K196" s="165" t="str">
        <f>IF(ISBLANK('ALL Other SINs - Proposal'!AA196)," ",'ALL Other SINs - Proposal'!AA196)</f>
        <v xml:space="preserve"> </v>
      </c>
      <c r="L196" s="178" t="str">
        <f>IF(ISBLANK('ALL Other SINs - Proposal'!AB196)," ",'ALL Other SINs - Proposal'!AB196)</f>
        <v xml:space="preserve"> </v>
      </c>
      <c r="M196" s="72" t="str">
        <f t="shared" si="6"/>
        <v xml:space="preserve"> </v>
      </c>
      <c r="N196" s="167" t="str">
        <f t="shared" si="7"/>
        <v xml:space="preserve"> </v>
      </c>
    </row>
    <row r="197" spans="1:14" ht="15" x14ac:dyDescent="0.25">
      <c r="A197" s="131" t="str">
        <f>IF(ISBLANK('ALL Other SINs - Proposal'!A197)," ",'ALL Other SINs - Proposal'!A197)</f>
        <v xml:space="preserve"> </v>
      </c>
      <c r="B197" s="137" t="str">
        <f>IF(ISBLANK('ALL Other SINs - Proposal'!B197)," ",'ALL Other SINs - Proposal'!B197)</f>
        <v xml:space="preserve"> </v>
      </c>
      <c r="C197" s="137" t="str">
        <f>IF(ISBLANK('ALL Other SINs - Proposal'!C197)," ",'ALL Other SINs - Proposal'!C197)</f>
        <v xml:space="preserve"> </v>
      </c>
      <c r="D197" s="138" t="str">
        <f>IF(ISBLANK('ALL Other SINs - Proposal'!D197)," ",'ALL Other SINs - Proposal'!D197)</f>
        <v xml:space="preserve"> </v>
      </c>
      <c r="E197" s="69" t="str">
        <f>IF(ISBLANK('ALL Other SINs - Proposal'!R197)," ",'ALL Other SINs - Proposal'!R197)</f>
        <v xml:space="preserve"> </v>
      </c>
      <c r="F197" s="73" t="str">
        <f>IF(ISBLANK('ALL Other SINs - Proposal'!S197)," ",'ALL Other SINs - Proposal'!S197)</f>
        <v xml:space="preserve"> </v>
      </c>
      <c r="G197" s="173" t="str">
        <f>IF(ISBLANK('ALL Other SINs - Proposal'!T197)," ",'ALL Other SINs - Proposal'!T197)</f>
        <v xml:space="preserve"> </v>
      </c>
      <c r="H197" s="275" t="str">
        <f>IF(ISBLANK('ALL Other SINs - Proposal'!V197)," ",'ALL Other SINs - Proposal'!V197)</f>
        <v xml:space="preserve"> </v>
      </c>
      <c r="I197" s="271" t="str">
        <f>IF(ISBLANK('ALL Other SINs - Proposal'!W197)," ",'ALL Other SINs - Proposal'!W197)</f>
        <v xml:space="preserve"> </v>
      </c>
      <c r="J197" s="71" t="str">
        <f>IF(ISBLANK('ALL Other SINs - Proposal'!X197)," ",'ALL Other SINs - Proposal'!X197)</f>
        <v xml:space="preserve"> </v>
      </c>
      <c r="K197" s="165" t="str">
        <f>IF(ISBLANK('ALL Other SINs - Proposal'!AA197)," ",'ALL Other SINs - Proposal'!AA197)</f>
        <v xml:space="preserve"> </v>
      </c>
      <c r="L197" s="178" t="str">
        <f>IF(ISBLANK('ALL Other SINs - Proposal'!AB197)," ",'ALL Other SINs - Proposal'!AB197)</f>
        <v xml:space="preserve"> </v>
      </c>
      <c r="M197" s="72" t="str">
        <f t="shared" si="6"/>
        <v xml:space="preserve"> </v>
      </c>
      <c r="N197" s="167" t="str">
        <f t="shared" si="7"/>
        <v xml:space="preserve"> </v>
      </c>
    </row>
    <row r="198" spans="1:14" ht="15" x14ac:dyDescent="0.25">
      <c r="A198" s="131" t="str">
        <f>IF(ISBLANK('ALL Other SINs - Proposal'!A198)," ",'ALL Other SINs - Proposal'!A198)</f>
        <v xml:space="preserve"> </v>
      </c>
      <c r="B198" s="137" t="str">
        <f>IF(ISBLANK('ALL Other SINs - Proposal'!B198)," ",'ALL Other SINs - Proposal'!B198)</f>
        <v xml:space="preserve"> </v>
      </c>
      <c r="C198" s="137" t="str">
        <f>IF(ISBLANK('ALL Other SINs - Proposal'!C198)," ",'ALL Other SINs - Proposal'!C198)</f>
        <v xml:space="preserve"> </v>
      </c>
      <c r="D198" s="138" t="str">
        <f>IF(ISBLANK('ALL Other SINs - Proposal'!D198)," ",'ALL Other SINs - Proposal'!D198)</f>
        <v xml:space="preserve"> </v>
      </c>
      <c r="E198" s="69" t="str">
        <f>IF(ISBLANK('ALL Other SINs - Proposal'!R198)," ",'ALL Other SINs - Proposal'!R198)</f>
        <v xml:space="preserve"> </v>
      </c>
      <c r="F198" s="73" t="str">
        <f>IF(ISBLANK('ALL Other SINs - Proposal'!S198)," ",'ALL Other SINs - Proposal'!S198)</f>
        <v xml:space="preserve"> </v>
      </c>
      <c r="G198" s="173" t="str">
        <f>IF(ISBLANK('ALL Other SINs - Proposal'!T198)," ",'ALL Other SINs - Proposal'!T198)</f>
        <v xml:space="preserve"> </v>
      </c>
      <c r="H198" s="275" t="str">
        <f>IF(ISBLANK('ALL Other SINs - Proposal'!V198)," ",'ALL Other SINs - Proposal'!V198)</f>
        <v xml:space="preserve"> </v>
      </c>
      <c r="I198" s="271" t="str">
        <f>IF(ISBLANK('ALL Other SINs - Proposal'!W198)," ",'ALL Other SINs - Proposal'!W198)</f>
        <v xml:space="preserve"> </v>
      </c>
      <c r="J198" s="71" t="str">
        <f>IF(ISBLANK('ALL Other SINs - Proposal'!X198)," ",'ALL Other SINs - Proposal'!X198)</f>
        <v xml:space="preserve"> </v>
      </c>
      <c r="K198" s="165" t="str">
        <f>IF(ISBLANK('ALL Other SINs - Proposal'!AA198)," ",'ALL Other SINs - Proposal'!AA198)</f>
        <v xml:space="preserve"> </v>
      </c>
      <c r="L198" s="178" t="str">
        <f>IF(ISBLANK('ALL Other SINs - Proposal'!AB198)," ",'ALL Other SINs - Proposal'!AB198)</f>
        <v xml:space="preserve"> </v>
      </c>
      <c r="M198" s="72" t="str">
        <f t="shared" si="6"/>
        <v xml:space="preserve"> </v>
      </c>
      <c r="N198" s="167" t="str">
        <f t="shared" si="7"/>
        <v xml:space="preserve"> </v>
      </c>
    </row>
    <row r="199" spans="1:14" ht="15" x14ac:dyDescent="0.25">
      <c r="A199" s="131" t="str">
        <f>IF(ISBLANK('ALL Other SINs - Proposal'!A199)," ",'ALL Other SINs - Proposal'!A199)</f>
        <v xml:space="preserve"> </v>
      </c>
      <c r="B199" s="137" t="str">
        <f>IF(ISBLANK('ALL Other SINs - Proposal'!B199)," ",'ALL Other SINs - Proposal'!B199)</f>
        <v xml:space="preserve"> </v>
      </c>
      <c r="C199" s="137" t="str">
        <f>IF(ISBLANK('ALL Other SINs - Proposal'!C199)," ",'ALL Other SINs - Proposal'!C199)</f>
        <v xml:space="preserve"> </v>
      </c>
      <c r="D199" s="138" t="str">
        <f>IF(ISBLANK('ALL Other SINs - Proposal'!D199)," ",'ALL Other SINs - Proposal'!D199)</f>
        <v xml:space="preserve"> </v>
      </c>
      <c r="E199" s="69" t="str">
        <f>IF(ISBLANK('ALL Other SINs - Proposal'!R199)," ",'ALL Other SINs - Proposal'!R199)</f>
        <v xml:space="preserve"> </v>
      </c>
      <c r="F199" s="73" t="str">
        <f>IF(ISBLANK('ALL Other SINs - Proposal'!S199)," ",'ALL Other SINs - Proposal'!S199)</f>
        <v xml:space="preserve"> </v>
      </c>
      <c r="G199" s="173" t="str">
        <f>IF(ISBLANK('ALL Other SINs - Proposal'!T199)," ",'ALL Other SINs - Proposal'!T199)</f>
        <v xml:space="preserve"> </v>
      </c>
      <c r="H199" s="275" t="str">
        <f>IF(ISBLANK('ALL Other SINs - Proposal'!V199)," ",'ALL Other SINs - Proposal'!V199)</f>
        <v xml:space="preserve"> </v>
      </c>
      <c r="I199" s="271" t="str">
        <f>IF(ISBLANK('ALL Other SINs - Proposal'!W199)," ",'ALL Other SINs - Proposal'!W199)</f>
        <v xml:space="preserve"> </v>
      </c>
      <c r="J199" s="71" t="str">
        <f>IF(ISBLANK('ALL Other SINs - Proposal'!X199)," ",'ALL Other SINs - Proposal'!X199)</f>
        <v xml:space="preserve"> </v>
      </c>
      <c r="K199" s="165" t="str">
        <f>IF(ISBLANK('ALL Other SINs - Proposal'!AA199)," ",'ALL Other SINs - Proposal'!AA199)</f>
        <v xml:space="preserve"> </v>
      </c>
      <c r="L199" s="178" t="str">
        <f>IF(ISBLANK('ALL Other SINs - Proposal'!AB199)," ",'ALL Other SINs - Proposal'!AB199)</f>
        <v xml:space="preserve"> </v>
      </c>
      <c r="M199" s="72" t="str">
        <f t="shared" si="6"/>
        <v xml:space="preserve"> </v>
      </c>
      <c r="N199" s="167" t="str">
        <f t="shared" si="7"/>
        <v xml:space="preserve"> </v>
      </c>
    </row>
    <row r="200" spans="1:14" ht="15" x14ac:dyDescent="0.25">
      <c r="A200" s="131" t="str">
        <f>IF(ISBLANK('ALL Other SINs - Proposal'!A200)," ",'ALL Other SINs - Proposal'!A200)</f>
        <v xml:space="preserve"> </v>
      </c>
      <c r="B200" s="137" t="str">
        <f>IF(ISBLANK('ALL Other SINs - Proposal'!B200)," ",'ALL Other SINs - Proposal'!B200)</f>
        <v xml:space="preserve"> </v>
      </c>
      <c r="C200" s="137" t="str">
        <f>IF(ISBLANK('ALL Other SINs - Proposal'!C200)," ",'ALL Other SINs - Proposal'!C200)</f>
        <v xml:space="preserve"> </v>
      </c>
      <c r="D200" s="138" t="str">
        <f>IF(ISBLANK('ALL Other SINs - Proposal'!D200)," ",'ALL Other SINs - Proposal'!D200)</f>
        <v xml:space="preserve"> </v>
      </c>
      <c r="E200" s="69" t="str">
        <f>IF(ISBLANK('ALL Other SINs - Proposal'!R200)," ",'ALL Other SINs - Proposal'!R200)</f>
        <v xml:space="preserve"> </v>
      </c>
      <c r="F200" s="73" t="str">
        <f>IF(ISBLANK('ALL Other SINs - Proposal'!S200)," ",'ALL Other SINs - Proposal'!S200)</f>
        <v xml:space="preserve"> </v>
      </c>
      <c r="G200" s="173" t="str">
        <f>IF(ISBLANK('ALL Other SINs - Proposal'!T200)," ",'ALL Other SINs - Proposal'!T200)</f>
        <v xml:space="preserve"> </v>
      </c>
      <c r="H200" s="275" t="str">
        <f>IF(ISBLANK('ALL Other SINs - Proposal'!V200)," ",'ALL Other SINs - Proposal'!V200)</f>
        <v xml:space="preserve"> </v>
      </c>
      <c r="I200" s="271" t="str">
        <f>IF(ISBLANK('ALL Other SINs - Proposal'!W200)," ",'ALL Other SINs - Proposal'!W200)</f>
        <v xml:space="preserve"> </v>
      </c>
      <c r="J200" s="71" t="str">
        <f>IF(ISBLANK('ALL Other SINs - Proposal'!X200)," ",'ALL Other SINs - Proposal'!X200)</f>
        <v xml:space="preserve"> </v>
      </c>
      <c r="K200" s="165" t="str">
        <f>IF(ISBLANK('ALL Other SINs - Proposal'!AA200)," ",'ALL Other SINs - Proposal'!AA200)</f>
        <v xml:space="preserve"> </v>
      </c>
      <c r="L200" s="178" t="str">
        <f>IF(ISBLANK('ALL Other SINs - Proposal'!AB200)," ",'ALL Other SINs - Proposal'!AB200)</f>
        <v xml:space="preserve"> </v>
      </c>
      <c r="M200" s="72" t="str">
        <f t="shared" si="6"/>
        <v xml:space="preserve"> </v>
      </c>
      <c r="N200" s="167" t="str">
        <f t="shared" si="7"/>
        <v xml:space="preserve"> </v>
      </c>
    </row>
    <row r="201" spans="1:14" ht="15" x14ac:dyDescent="0.25">
      <c r="A201" s="131" t="str">
        <f>IF(ISBLANK('ALL Other SINs - Proposal'!A201)," ",'ALL Other SINs - Proposal'!A201)</f>
        <v xml:space="preserve"> </v>
      </c>
      <c r="B201" s="137" t="str">
        <f>IF(ISBLANK('ALL Other SINs - Proposal'!B201)," ",'ALL Other SINs - Proposal'!B201)</f>
        <v xml:space="preserve"> </v>
      </c>
      <c r="C201" s="137" t="str">
        <f>IF(ISBLANK('ALL Other SINs - Proposal'!C201)," ",'ALL Other SINs - Proposal'!C201)</f>
        <v xml:space="preserve"> </v>
      </c>
      <c r="D201" s="138" t="str">
        <f>IF(ISBLANK('ALL Other SINs - Proposal'!D201)," ",'ALL Other SINs - Proposal'!D201)</f>
        <v xml:space="preserve"> </v>
      </c>
      <c r="E201" s="69" t="str">
        <f>IF(ISBLANK('ALL Other SINs - Proposal'!R201)," ",'ALL Other SINs - Proposal'!R201)</f>
        <v xml:space="preserve"> </v>
      </c>
      <c r="F201" s="73" t="str">
        <f>IF(ISBLANK('ALL Other SINs - Proposal'!S201)," ",'ALL Other SINs - Proposal'!S201)</f>
        <v xml:space="preserve"> </v>
      </c>
      <c r="G201" s="173" t="str">
        <f>IF(ISBLANK('ALL Other SINs - Proposal'!T201)," ",'ALL Other SINs - Proposal'!T201)</f>
        <v xml:space="preserve"> </v>
      </c>
      <c r="H201" s="275" t="str">
        <f>IF(ISBLANK('ALL Other SINs - Proposal'!V201)," ",'ALL Other SINs - Proposal'!V201)</f>
        <v xml:space="preserve"> </v>
      </c>
      <c r="I201" s="271" t="str">
        <f>IF(ISBLANK('ALL Other SINs - Proposal'!W201)," ",'ALL Other SINs - Proposal'!W201)</f>
        <v xml:space="preserve"> </v>
      </c>
      <c r="J201" s="71" t="str">
        <f>IF(ISBLANK('ALL Other SINs - Proposal'!X201)," ",'ALL Other SINs - Proposal'!X201)</f>
        <v xml:space="preserve"> </v>
      </c>
      <c r="K201" s="165" t="str">
        <f>IF(ISBLANK('ALL Other SINs - Proposal'!AA201)," ",'ALL Other SINs - Proposal'!AA201)</f>
        <v xml:space="preserve"> </v>
      </c>
      <c r="L201" s="178" t="str">
        <f>IF(ISBLANK('ALL Other SINs - Proposal'!AB201)," ",'ALL Other SINs - Proposal'!AB201)</f>
        <v xml:space="preserve"> </v>
      </c>
      <c r="M201" s="72" t="str">
        <f t="shared" si="6"/>
        <v xml:space="preserve"> </v>
      </c>
      <c r="N201" s="167" t="str">
        <f t="shared" si="7"/>
        <v xml:space="preserve"> </v>
      </c>
    </row>
    <row r="202" spans="1:14" ht="15" x14ac:dyDescent="0.25">
      <c r="A202" s="131" t="str">
        <f>IF(ISBLANK('ALL Other SINs - Proposal'!A202)," ",'ALL Other SINs - Proposal'!A202)</f>
        <v xml:space="preserve"> </v>
      </c>
      <c r="B202" s="137" t="str">
        <f>IF(ISBLANK('ALL Other SINs - Proposal'!B202)," ",'ALL Other SINs - Proposal'!B202)</f>
        <v xml:space="preserve"> </v>
      </c>
      <c r="C202" s="137" t="str">
        <f>IF(ISBLANK('ALL Other SINs - Proposal'!C202)," ",'ALL Other SINs - Proposal'!C202)</f>
        <v xml:space="preserve"> </v>
      </c>
      <c r="D202" s="138" t="str">
        <f>IF(ISBLANK('ALL Other SINs - Proposal'!D202)," ",'ALL Other SINs - Proposal'!D202)</f>
        <v xml:space="preserve"> </v>
      </c>
      <c r="E202" s="69" t="str">
        <f>IF(ISBLANK('ALL Other SINs - Proposal'!R202)," ",'ALL Other SINs - Proposal'!R202)</f>
        <v xml:space="preserve"> </v>
      </c>
      <c r="F202" s="73" t="str">
        <f>IF(ISBLANK('ALL Other SINs - Proposal'!S202)," ",'ALL Other SINs - Proposal'!S202)</f>
        <v xml:space="preserve"> </v>
      </c>
      <c r="G202" s="173" t="str">
        <f>IF(ISBLANK('ALL Other SINs - Proposal'!T202)," ",'ALL Other SINs - Proposal'!T202)</f>
        <v xml:space="preserve"> </v>
      </c>
      <c r="H202" s="275" t="str">
        <f>IF(ISBLANK('ALL Other SINs - Proposal'!V202)," ",'ALL Other SINs - Proposal'!V202)</f>
        <v xml:space="preserve"> </v>
      </c>
      <c r="I202" s="271" t="str">
        <f>IF(ISBLANK('ALL Other SINs - Proposal'!W202)," ",'ALL Other SINs - Proposal'!W202)</f>
        <v xml:space="preserve"> </v>
      </c>
      <c r="J202" s="71" t="str">
        <f>IF(ISBLANK('ALL Other SINs - Proposal'!X202)," ",'ALL Other SINs - Proposal'!X202)</f>
        <v xml:space="preserve"> </v>
      </c>
      <c r="K202" s="165" t="str">
        <f>IF(ISBLANK('ALL Other SINs - Proposal'!AA202)," ",'ALL Other SINs - Proposal'!AA202)</f>
        <v xml:space="preserve"> </v>
      </c>
      <c r="L202" s="178" t="str">
        <f>IF(ISBLANK('ALL Other SINs - Proposal'!AB202)," ",'ALL Other SINs - Proposal'!AB202)</f>
        <v xml:space="preserve"> </v>
      </c>
      <c r="M202" s="72" t="str">
        <f t="shared" si="6"/>
        <v xml:space="preserve"> </v>
      </c>
      <c r="N202" s="167" t="str">
        <f t="shared" si="7"/>
        <v xml:space="preserve"> </v>
      </c>
    </row>
    <row r="203" spans="1:14" ht="15" x14ac:dyDescent="0.25">
      <c r="A203" s="131" t="str">
        <f>IF(ISBLANK('ALL Other SINs - Proposal'!A203)," ",'ALL Other SINs - Proposal'!A203)</f>
        <v xml:space="preserve"> </v>
      </c>
      <c r="B203" s="137" t="str">
        <f>IF(ISBLANK('ALL Other SINs - Proposal'!B203)," ",'ALL Other SINs - Proposal'!B203)</f>
        <v xml:space="preserve"> </v>
      </c>
      <c r="C203" s="137" t="str">
        <f>IF(ISBLANK('ALL Other SINs - Proposal'!C203)," ",'ALL Other SINs - Proposal'!C203)</f>
        <v xml:space="preserve"> </v>
      </c>
      <c r="D203" s="138" t="str">
        <f>IF(ISBLANK('ALL Other SINs - Proposal'!D203)," ",'ALL Other SINs - Proposal'!D203)</f>
        <v xml:space="preserve"> </v>
      </c>
      <c r="E203" s="69" t="str">
        <f>IF(ISBLANK('ALL Other SINs - Proposal'!R203)," ",'ALL Other SINs - Proposal'!R203)</f>
        <v xml:space="preserve"> </v>
      </c>
      <c r="F203" s="73" t="str">
        <f>IF(ISBLANK('ALL Other SINs - Proposal'!S203)," ",'ALL Other SINs - Proposal'!S203)</f>
        <v xml:space="preserve"> </v>
      </c>
      <c r="G203" s="173" t="str">
        <f>IF(ISBLANK('ALL Other SINs - Proposal'!T203)," ",'ALL Other SINs - Proposal'!T203)</f>
        <v xml:space="preserve"> </v>
      </c>
      <c r="H203" s="275" t="str">
        <f>IF(ISBLANK('ALL Other SINs - Proposal'!V203)," ",'ALL Other SINs - Proposal'!V203)</f>
        <v xml:space="preserve"> </v>
      </c>
      <c r="I203" s="271" t="str">
        <f>IF(ISBLANK('ALL Other SINs - Proposal'!W203)," ",'ALL Other SINs - Proposal'!W203)</f>
        <v xml:space="preserve"> </v>
      </c>
      <c r="J203" s="71" t="str">
        <f>IF(ISBLANK('ALL Other SINs - Proposal'!X203)," ",'ALL Other SINs - Proposal'!X203)</f>
        <v xml:space="preserve"> </v>
      </c>
      <c r="K203" s="165" t="str">
        <f>IF(ISBLANK('ALL Other SINs - Proposal'!AA203)," ",'ALL Other SINs - Proposal'!AA203)</f>
        <v xml:space="preserve"> </v>
      </c>
      <c r="L203" s="178" t="str">
        <f>IF(ISBLANK('ALL Other SINs - Proposal'!AB203)," ",'ALL Other SINs - Proposal'!AB203)</f>
        <v xml:space="preserve"> </v>
      </c>
      <c r="M203" s="72" t="str">
        <f t="shared" si="6"/>
        <v xml:space="preserve"> </v>
      </c>
      <c r="N203" s="167" t="str">
        <f t="shared" si="7"/>
        <v xml:space="preserve"> </v>
      </c>
    </row>
    <row r="204" spans="1:14" ht="15" x14ac:dyDescent="0.25">
      <c r="A204" s="131" t="str">
        <f>IF(ISBLANK('ALL Other SINs - Proposal'!A204)," ",'ALL Other SINs - Proposal'!A204)</f>
        <v xml:space="preserve"> </v>
      </c>
      <c r="B204" s="137" t="str">
        <f>IF(ISBLANK('ALL Other SINs - Proposal'!B204)," ",'ALL Other SINs - Proposal'!B204)</f>
        <v xml:space="preserve"> </v>
      </c>
      <c r="C204" s="137" t="str">
        <f>IF(ISBLANK('ALL Other SINs - Proposal'!C204)," ",'ALL Other SINs - Proposal'!C204)</f>
        <v xml:space="preserve"> </v>
      </c>
      <c r="D204" s="138" t="str">
        <f>IF(ISBLANK('ALL Other SINs - Proposal'!D204)," ",'ALL Other SINs - Proposal'!D204)</f>
        <v xml:space="preserve"> </v>
      </c>
      <c r="E204" s="69" t="str">
        <f>IF(ISBLANK('ALL Other SINs - Proposal'!R204)," ",'ALL Other SINs - Proposal'!R204)</f>
        <v xml:space="preserve"> </v>
      </c>
      <c r="F204" s="73" t="str">
        <f>IF(ISBLANK('ALL Other SINs - Proposal'!S204)," ",'ALL Other SINs - Proposal'!S204)</f>
        <v xml:space="preserve"> </v>
      </c>
      <c r="G204" s="173" t="str">
        <f>IF(ISBLANK('ALL Other SINs - Proposal'!T204)," ",'ALL Other SINs - Proposal'!T204)</f>
        <v xml:space="preserve"> </v>
      </c>
      <c r="H204" s="275" t="str">
        <f>IF(ISBLANK('ALL Other SINs - Proposal'!V204)," ",'ALL Other SINs - Proposal'!V204)</f>
        <v xml:space="preserve"> </v>
      </c>
      <c r="I204" s="271" t="str">
        <f>IF(ISBLANK('ALL Other SINs - Proposal'!W204)," ",'ALL Other SINs - Proposal'!W204)</f>
        <v xml:space="preserve"> </v>
      </c>
      <c r="J204" s="71" t="str">
        <f>IF(ISBLANK('ALL Other SINs - Proposal'!X204)," ",'ALL Other SINs - Proposal'!X204)</f>
        <v xml:space="preserve"> </v>
      </c>
      <c r="K204" s="165" t="str">
        <f>IF(ISBLANK('ALL Other SINs - Proposal'!AA204)," ",'ALL Other SINs - Proposal'!AA204)</f>
        <v xml:space="preserve"> </v>
      </c>
      <c r="L204" s="178" t="str">
        <f>IF(ISBLANK('ALL Other SINs - Proposal'!AB204)," ",'ALL Other SINs - Proposal'!AB204)</f>
        <v xml:space="preserve"> </v>
      </c>
      <c r="M204" s="72" t="str">
        <f t="shared" si="6"/>
        <v xml:space="preserve"> </v>
      </c>
      <c r="N204" s="167" t="str">
        <f t="shared" si="7"/>
        <v xml:space="preserve"> </v>
      </c>
    </row>
    <row r="205" spans="1:14" ht="15" x14ac:dyDescent="0.25">
      <c r="A205" s="131" t="str">
        <f>IF(ISBLANK('ALL Other SINs - Proposal'!A205)," ",'ALL Other SINs - Proposal'!A205)</f>
        <v xml:space="preserve"> </v>
      </c>
      <c r="B205" s="137" t="str">
        <f>IF(ISBLANK('ALL Other SINs - Proposal'!B205)," ",'ALL Other SINs - Proposal'!B205)</f>
        <v xml:space="preserve"> </v>
      </c>
      <c r="C205" s="137" t="str">
        <f>IF(ISBLANK('ALL Other SINs - Proposal'!C205)," ",'ALL Other SINs - Proposal'!C205)</f>
        <v xml:space="preserve"> </v>
      </c>
      <c r="D205" s="138" t="str">
        <f>IF(ISBLANK('ALL Other SINs - Proposal'!D205)," ",'ALL Other SINs - Proposal'!D205)</f>
        <v xml:space="preserve"> </v>
      </c>
      <c r="E205" s="69" t="str">
        <f>IF(ISBLANK('ALL Other SINs - Proposal'!R205)," ",'ALL Other SINs - Proposal'!R205)</f>
        <v xml:space="preserve"> </v>
      </c>
      <c r="F205" s="73" t="str">
        <f>IF(ISBLANK('ALL Other SINs - Proposal'!S205)," ",'ALL Other SINs - Proposal'!S205)</f>
        <v xml:space="preserve"> </v>
      </c>
      <c r="G205" s="173" t="str">
        <f>IF(ISBLANK('ALL Other SINs - Proposal'!T205)," ",'ALL Other SINs - Proposal'!T205)</f>
        <v xml:space="preserve"> </v>
      </c>
      <c r="H205" s="275" t="str">
        <f>IF(ISBLANK('ALL Other SINs - Proposal'!V205)," ",'ALL Other SINs - Proposal'!V205)</f>
        <v xml:space="preserve"> </v>
      </c>
      <c r="I205" s="271" t="str">
        <f>IF(ISBLANK('ALL Other SINs - Proposal'!W205)," ",'ALL Other SINs - Proposal'!W205)</f>
        <v xml:space="preserve"> </v>
      </c>
      <c r="J205" s="71" t="str">
        <f>IF(ISBLANK('ALL Other SINs - Proposal'!X205)," ",'ALL Other SINs - Proposal'!X205)</f>
        <v xml:space="preserve"> </v>
      </c>
      <c r="K205" s="165" t="str">
        <f>IF(ISBLANK('ALL Other SINs - Proposal'!AA205)," ",'ALL Other SINs - Proposal'!AA205)</f>
        <v xml:space="preserve"> </v>
      </c>
      <c r="L205" s="178" t="str">
        <f>IF(ISBLANK('ALL Other SINs - Proposal'!AB205)," ",'ALL Other SINs - Proposal'!AB205)</f>
        <v xml:space="preserve"> </v>
      </c>
      <c r="M205" s="72" t="str">
        <f t="shared" si="6"/>
        <v xml:space="preserve"> </v>
      </c>
      <c r="N205" s="167" t="str">
        <f t="shared" si="7"/>
        <v xml:space="preserve"> </v>
      </c>
    </row>
    <row r="206" spans="1:14" ht="15" x14ac:dyDescent="0.25">
      <c r="A206" s="131" t="str">
        <f>IF(ISBLANK('ALL Other SINs - Proposal'!A206)," ",'ALL Other SINs - Proposal'!A206)</f>
        <v xml:space="preserve"> </v>
      </c>
      <c r="B206" s="137" t="str">
        <f>IF(ISBLANK('ALL Other SINs - Proposal'!B206)," ",'ALL Other SINs - Proposal'!B206)</f>
        <v xml:space="preserve"> </v>
      </c>
      <c r="C206" s="137" t="str">
        <f>IF(ISBLANK('ALL Other SINs - Proposal'!C206)," ",'ALL Other SINs - Proposal'!C206)</f>
        <v xml:space="preserve"> </v>
      </c>
      <c r="D206" s="138" t="str">
        <f>IF(ISBLANK('ALL Other SINs - Proposal'!D206)," ",'ALL Other SINs - Proposal'!D206)</f>
        <v xml:space="preserve"> </v>
      </c>
      <c r="E206" s="69" t="str">
        <f>IF(ISBLANK('ALL Other SINs - Proposal'!R206)," ",'ALL Other SINs - Proposal'!R206)</f>
        <v xml:space="preserve"> </v>
      </c>
      <c r="F206" s="73" t="str">
        <f>IF(ISBLANK('ALL Other SINs - Proposal'!S206)," ",'ALL Other SINs - Proposal'!S206)</f>
        <v xml:space="preserve"> </v>
      </c>
      <c r="G206" s="173" t="str">
        <f>IF(ISBLANK('ALL Other SINs - Proposal'!T206)," ",'ALL Other SINs - Proposal'!T206)</f>
        <v xml:space="preserve"> </v>
      </c>
      <c r="H206" s="275" t="str">
        <f>IF(ISBLANK('ALL Other SINs - Proposal'!V206)," ",'ALL Other SINs - Proposal'!V206)</f>
        <v xml:space="preserve"> </v>
      </c>
      <c r="I206" s="271" t="str">
        <f>IF(ISBLANK('ALL Other SINs - Proposal'!W206)," ",'ALL Other SINs - Proposal'!W206)</f>
        <v xml:space="preserve"> </v>
      </c>
      <c r="J206" s="71" t="str">
        <f>IF(ISBLANK('ALL Other SINs - Proposal'!X206)," ",'ALL Other SINs - Proposal'!X206)</f>
        <v xml:space="preserve"> </v>
      </c>
      <c r="K206" s="165" t="str">
        <f>IF(ISBLANK('ALL Other SINs - Proposal'!AA206)," ",'ALL Other SINs - Proposal'!AA206)</f>
        <v xml:space="preserve"> </v>
      </c>
      <c r="L206" s="178" t="str">
        <f>IF(ISBLANK('ALL Other SINs - Proposal'!AB206)," ",'ALL Other SINs - Proposal'!AB206)</f>
        <v xml:space="preserve"> </v>
      </c>
      <c r="M206" s="72" t="str">
        <f t="shared" si="6"/>
        <v xml:space="preserve"> </v>
      </c>
      <c r="N206" s="167" t="str">
        <f t="shared" si="7"/>
        <v xml:space="preserve"> </v>
      </c>
    </row>
    <row r="207" spans="1:14" ht="15" x14ac:dyDescent="0.25">
      <c r="A207" s="131" t="str">
        <f>IF(ISBLANK('ALL Other SINs - Proposal'!A207)," ",'ALL Other SINs - Proposal'!A207)</f>
        <v xml:space="preserve"> </v>
      </c>
      <c r="B207" s="137" t="str">
        <f>IF(ISBLANK('ALL Other SINs - Proposal'!B207)," ",'ALL Other SINs - Proposal'!B207)</f>
        <v xml:space="preserve"> </v>
      </c>
      <c r="C207" s="137" t="str">
        <f>IF(ISBLANK('ALL Other SINs - Proposal'!C207)," ",'ALL Other SINs - Proposal'!C207)</f>
        <v xml:space="preserve"> </v>
      </c>
      <c r="D207" s="138" t="str">
        <f>IF(ISBLANK('ALL Other SINs - Proposal'!D207)," ",'ALL Other SINs - Proposal'!D207)</f>
        <v xml:space="preserve"> </v>
      </c>
      <c r="E207" s="69" t="str">
        <f>IF(ISBLANK('ALL Other SINs - Proposal'!R207)," ",'ALL Other SINs - Proposal'!R207)</f>
        <v xml:space="preserve"> </v>
      </c>
      <c r="F207" s="73" t="str">
        <f>IF(ISBLANK('ALL Other SINs - Proposal'!S207)," ",'ALL Other SINs - Proposal'!S207)</f>
        <v xml:space="preserve"> </v>
      </c>
      <c r="G207" s="173" t="str">
        <f>IF(ISBLANK('ALL Other SINs - Proposal'!T207)," ",'ALL Other SINs - Proposal'!T207)</f>
        <v xml:space="preserve"> </v>
      </c>
      <c r="H207" s="275" t="str">
        <f>IF(ISBLANK('ALL Other SINs - Proposal'!V207)," ",'ALL Other SINs - Proposal'!V207)</f>
        <v xml:space="preserve"> </v>
      </c>
      <c r="I207" s="271" t="str">
        <f>IF(ISBLANK('ALL Other SINs - Proposal'!W207)," ",'ALL Other SINs - Proposal'!W207)</f>
        <v xml:space="preserve"> </v>
      </c>
      <c r="J207" s="71" t="str">
        <f>IF(ISBLANK('ALL Other SINs - Proposal'!X207)," ",'ALL Other SINs - Proposal'!X207)</f>
        <v xml:space="preserve"> </v>
      </c>
      <c r="K207" s="165" t="str">
        <f>IF(ISBLANK('ALL Other SINs - Proposal'!AA207)," ",'ALL Other SINs - Proposal'!AA207)</f>
        <v xml:space="preserve"> </v>
      </c>
      <c r="L207" s="178" t="str">
        <f>IF(ISBLANK('ALL Other SINs - Proposal'!AB207)," ",'ALL Other SINs - Proposal'!AB207)</f>
        <v xml:space="preserve"> </v>
      </c>
      <c r="M207" s="72" t="str">
        <f t="shared" si="6"/>
        <v xml:space="preserve"> </v>
      </c>
      <c r="N207" s="167" t="str">
        <f t="shared" si="7"/>
        <v xml:space="preserve"> </v>
      </c>
    </row>
    <row r="208" spans="1:14" ht="15" x14ac:dyDescent="0.25">
      <c r="A208" s="131" t="str">
        <f>IF(ISBLANK('ALL Other SINs - Proposal'!A208)," ",'ALL Other SINs - Proposal'!A208)</f>
        <v xml:space="preserve"> </v>
      </c>
      <c r="B208" s="137" t="str">
        <f>IF(ISBLANK('ALL Other SINs - Proposal'!B208)," ",'ALL Other SINs - Proposal'!B208)</f>
        <v xml:space="preserve"> </v>
      </c>
      <c r="C208" s="137" t="str">
        <f>IF(ISBLANK('ALL Other SINs - Proposal'!C208)," ",'ALL Other SINs - Proposal'!C208)</f>
        <v xml:space="preserve"> </v>
      </c>
      <c r="D208" s="138" t="str">
        <f>IF(ISBLANK('ALL Other SINs - Proposal'!D208)," ",'ALL Other SINs - Proposal'!D208)</f>
        <v xml:space="preserve"> </v>
      </c>
      <c r="E208" s="69" t="str">
        <f>IF(ISBLANK('ALL Other SINs - Proposal'!R208)," ",'ALL Other SINs - Proposal'!R208)</f>
        <v xml:space="preserve"> </v>
      </c>
      <c r="F208" s="73" t="str">
        <f>IF(ISBLANK('ALL Other SINs - Proposal'!S208)," ",'ALL Other SINs - Proposal'!S208)</f>
        <v xml:space="preserve"> </v>
      </c>
      <c r="G208" s="173" t="str">
        <f>IF(ISBLANK('ALL Other SINs - Proposal'!T208)," ",'ALL Other SINs - Proposal'!T208)</f>
        <v xml:space="preserve"> </v>
      </c>
      <c r="H208" s="275" t="str">
        <f>IF(ISBLANK('ALL Other SINs - Proposal'!V208)," ",'ALL Other SINs - Proposal'!V208)</f>
        <v xml:space="preserve"> </v>
      </c>
      <c r="I208" s="271" t="str">
        <f>IF(ISBLANK('ALL Other SINs - Proposal'!W208)," ",'ALL Other SINs - Proposal'!W208)</f>
        <v xml:space="preserve"> </v>
      </c>
      <c r="J208" s="71" t="str">
        <f>IF(ISBLANK('ALL Other SINs - Proposal'!X208)," ",'ALL Other SINs - Proposal'!X208)</f>
        <v xml:space="preserve"> </v>
      </c>
      <c r="K208" s="165" t="str">
        <f>IF(ISBLANK('ALL Other SINs - Proposal'!AA208)," ",'ALL Other SINs - Proposal'!AA208)</f>
        <v xml:space="preserve"> </v>
      </c>
      <c r="L208" s="178" t="str">
        <f>IF(ISBLANK('ALL Other SINs - Proposal'!AB208)," ",'ALL Other SINs - Proposal'!AB208)</f>
        <v xml:space="preserve"> </v>
      </c>
      <c r="M208" s="72" t="str">
        <f t="shared" si="6"/>
        <v xml:space="preserve"> </v>
      </c>
      <c r="N208" s="167" t="str">
        <f t="shared" si="7"/>
        <v xml:space="preserve"> </v>
      </c>
    </row>
    <row r="209" spans="1:14" ht="15" x14ac:dyDescent="0.25">
      <c r="A209" s="131" t="str">
        <f>IF(ISBLANK('ALL Other SINs - Proposal'!A209)," ",'ALL Other SINs - Proposal'!A209)</f>
        <v xml:space="preserve"> </v>
      </c>
      <c r="B209" s="137" t="str">
        <f>IF(ISBLANK('ALL Other SINs - Proposal'!B209)," ",'ALL Other SINs - Proposal'!B209)</f>
        <v xml:space="preserve"> </v>
      </c>
      <c r="C209" s="137" t="str">
        <f>IF(ISBLANK('ALL Other SINs - Proposal'!C209)," ",'ALL Other SINs - Proposal'!C209)</f>
        <v xml:space="preserve"> </v>
      </c>
      <c r="D209" s="138" t="str">
        <f>IF(ISBLANK('ALL Other SINs - Proposal'!D209)," ",'ALL Other SINs - Proposal'!D209)</f>
        <v xml:space="preserve"> </v>
      </c>
      <c r="E209" s="69" t="str">
        <f>IF(ISBLANK('ALL Other SINs - Proposal'!R209)," ",'ALL Other SINs - Proposal'!R209)</f>
        <v xml:space="preserve"> </v>
      </c>
      <c r="F209" s="73" t="str">
        <f>IF(ISBLANK('ALL Other SINs - Proposal'!S209)," ",'ALL Other SINs - Proposal'!S209)</f>
        <v xml:space="preserve"> </v>
      </c>
      <c r="G209" s="173" t="str">
        <f>IF(ISBLANK('ALL Other SINs - Proposal'!T209)," ",'ALL Other SINs - Proposal'!T209)</f>
        <v xml:space="preserve"> </v>
      </c>
      <c r="H209" s="275" t="str">
        <f>IF(ISBLANK('ALL Other SINs - Proposal'!V209)," ",'ALL Other SINs - Proposal'!V209)</f>
        <v xml:space="preserve"> </v>
      </c>
      <c r="I209" s="271" t="str">
        <f>IF(ISBLANK('ALL Other SINs - Proposal'!W209)," ",'ALL Other SINs - Proposal'!W209)</f>
        <v xml:space="preserve"> </v>
      </c>
      <c r="J209" s="71" t="str">
        <f>IF(ISBLANK('ALL Other SINs - Proposal'!X209)," ",'ALL Other SINs - Proposal'!X209)</f>
        <v xml:space="preserve"> </v>
      </c>
      <c r="K209" s="165" t="str">
        <f>IF(ISBLANK('ALL Other SINs - Proposal'!AA209)," ",'ALL Other SINs - Proposal'!AA209)</f>
        <v xml:space="preserve"> </v>
      </c>
      <c r="L209" s="178" t="str">
        <f>IF(ISBLANK('ALL Other SINs - Proposal'!AB209)," ",'ALL Other SINs - Proposal'!AB209)</f>
        <v xml:space="preserve"> </v>
      </c>
      <c r="M209" s="72" t="str">
        <f t="shared" si="6"/>
        <v xml:space="preserve"> </v>
      </c>
      <c r="N209" s="167" t="str">
        <f t="shared" si="7"/>
        <v xml:space="preserve"> </v>
      </c>
    </row>
    <row r="210" spans="1:14" ht="15" x14ac:dyDescent="0.25">
      <c r="A210" s="131" t="str">
        <f>IF(ISBLANK('ALL Other SINs - Proposal'!A210)," ",'ALL Other SINs - Proposal'!A210)</f>
        <v xml:space="preserve"> </v>
      </c>
      <c r="B210" s="137" t="str">
        <f>IF(ISBLANK('ALL Other SINs - Proposal'!B210)," ",'ALL Other SINs - Proposal'!B210)</f>
        <v xml:space="preserve"> </v>
      </c>
      <c r="C210" s="137" t="str">
        <f>IF(ISBLANK('ALL Other SINs - Proposal'!C210)," ",'ALL Other SINs - Proposal'!C210)</f>
        <v xml:space="preserve"> </v>
      </c>
      <c r="D210" s="138" t="str">
        <f>IF(ISBLANK('ALL Other SINs - Proposal'!D210)," ",'ALL Other SINs - Proposal'!D210)</f>
        <v xml:space="preserve"> </v>
      </c>
      <c r="E210" s="69" t="str">
        <f>IF(ISBLANK('ALL Other SINs - Proposal'!R210)," ",'ALL Other SINs - Proposal'!R210)</f>
        <v xml:space="preserve"> </v>
      </c>
      <c r="F210" s="73" t="str">
        <f>IF(ISBLANK('ALL Other SINs - Proposal'!S210)," ",'ALL Other SINs - Proposal'!S210)</f>
        <v xml:space="preserve"> </v>
      </c>
      <c r="G210" s="173" t="str">
        <f>IF(ISBLANK('ALL Other SINs - Proposal'!T210)," ",'ALL Other SINs - Proposal'!T210)</f>
        <v xml:space="preserve"> </v>
      </c>
      <c r="H210" s="275" t="str">
        <f>IF(ISBLANK('ALL Other SINs - Proposal'!V210)," ",'ALL Other SINs - Proposal'!V210)</f>
        <v xml:space="preserve"> </v>
      </c>
      <c r="I210" s="271" t="str">
        <f>IF(ISBLANK('ALL Other SINs - Proposal'!W210)," ",'ALL Other SINs - Proposal'!W210)</f>
        <v xml:space="preserve"> </v>
      </c>
      <c r="J210" s="71" t="str">
        <f>IF(ISBLANK('ALL Other SINs - Proposal'!X210)," ",'ALL Other SINs - Proposal'!X210)</f>
        <v xml:space="preserve"> </v>
      </c>
      <c r="K210" s="165" t="str">
        <f>IF(ISBLANK('ALL Other SINs - Proposal'!AA210)," ",'ALL Other SINs - Proposal'!AA210)</f>
        <v xml:space="preserve"> </v>
      </c>
      <c r="L210" s="178" t="str">
        <f>IF(ISBLANK('ALL Other SINs - Proposal'!AB210)," ",'ALL Other SINs - Proposal'!AB210)</f>
        <v xml:space="preserve"> </v>
      </c>
      <c r="M210" s="72" t="str">
        <f t="shared" si="6"/>
        <v xml:space="preserve"> </v>
      </c>
      <c r="N210" s="167" t="str">
        <f t="shared" si="7"/>
        <v xml:space="preserve"> </v>
      </c>
    </row>
    <row r="211" spans="1:14" ht="15" x14ac:dyDescent="0.25">
      <c r="A211" s="131" t="str">
        <f>IF(ISBLANK('ALL Other SINs - Proposal'!A211)," ",'ALL Other SINs - Proposal'!A211)</f>
        <v xml:space="preserve"> </v>
      </c>
      <c r="B211" s="137" t="str">
        <f>IF(ISBLANK('ALL Other SINs - Proposal'!B211)," ",'ALL Other SINs - Proposal'!B211)</f>
        <v xml:space="preserve"> </v>
      </c>
      <c r="C211" s="137" t="str">
        <f>IF(ISBLANK('ALL Other SINs - Proposal'!C211)," ",'ALL Other SINs - Proposal'!C211)</f>
        <v xml:space="preserve"> </v>
      </c>
      <c r="D211" s="138" t="str">
        <f>IF(ISBLANK('ALL Other SINs - Proposal'!D211)," ",'ALL Other SINs - Proposal'!D211)</f>
        <v xml:space="preserve"> </v>
      </c>
      <c r="E211" s="69" t="str">
        <f>IF(ISBLANK('ALL Other SINs - Proposal'!R211)," ",'ALL Other SINs - Proposal'!R211)</f>
        <v xml:space="preserve"> </v>
      </c>
      <c r="F211" s="73" t="str">
        <f>IF(ISBLANK('ALL Other SINs - Proposal'!S211)," ",'ALL Other SINs - Proposal'!S211)</f>
        <v xml:space="preserve"> </v>
      </c>
      <c r="G211" s="173" t="str">
        <f>IF(ISBLANK('ALL Other SINs - Proposal'!T211)," ",'ALL Other SINs - Proposal'!T211)</f>
        <v xml:space="preserve"> </v>
      </c>
      <c r="H211" s="275" t="str">
        <f>IF(ISBLANK('ALL Other SINs - Proposal'!V211)," ",'ALL Other SINs - Proposal'!V211)</f>
        <v xml:space="preserve"> </v>
      </c>
      <c r="I211" s="271" t="str">
        <f>IF(ISBLANK('ALL Other SINs - Proposal'!W211)," ",'ALL Other SINs - Proposal'!W211)</f>
        <v xml:space="preserve"> </v>
      </c>
      <c r="J211" s="71" t="str">
        <f>IF(ISBLANK('ALL Other SINs - Proposal'!X211)," ",'ALL Other SINs - Proposal'!X211)</f>
        <v xml:space="preserve"> </v>
      </c>
      <c r="K211" s="165" t="str">
        <f>IF(ISBLANK('ALL Other SINs - Proposal'!AA211)," ",'ALL Other SINs - Proposal'!AA211)</f>
        <v xml:space="preserve"> </v>
      </c>
      <c r="L211" s="178" t="str">
        <f>IF(ISBLANK('ALL Other SINs - Proposal'!AB211)," ",'ALL Other SINs - Proposal'!AB211)</f>
        <v xml:space="preserve"> </v>
      </c>
      <c r="M211" s="72" t="str">
        <f t="shared" si="6"/>
        <v xml:space="preserve"> </v>
      </c>
      <c r="N211" s="167" t="str">
        <f t="shared" si="7"/>
        <v xml:space="preserve"> </v>
      </c>
    </row>
    <row r="212" spans="1:14" ht="15" x14ac:dyDescent="0.25">
      <c r="A212" s="131" t="str">
        <f>IF(ISBLANK('ALL Other SINs - Proposal'!A212)," ",'ALL Other SINs - Proposal'!A212)</f>
        <v xml:space="preserve"> </v>
      </c>
      <c r="B212" s="137" t="str">
        <f>IF(ISBLANK('ALL Other SINs - Proposal'!B212)," ",'ALL Other SINs - Proposal'!B212)</f>
        <v xml:space="preserve"> </v>
      </c>
      <c r="C212" s="137" t="str">
        <f>IF(ISBLANK('ALL Other SINs - Proposal'!C212)," ",'ALL Other SINs - Proposal'!C212)</f>
        <v xml:space="preserve"> </v>
      </c>
      <c r="D212" s="138" t="str">
        <f>IF(ISBLANK('ALL Other SINs - Proposal'!D212)," ",'ALL Other SINs - Proposal'!D212)</f>
        <v xml:space="preserve"> </v>
      </c>
      <c r="E212" s="69" t="str">
        <f>IF(ISBLANK('ALL Other SINs - Proposal'!R212)," ",'ALL Other SINs - Proposal'!R212)</f>
        <v xml:space="preserve"> </v>
      </c>
      <c r="F212" s="73" t="str">
        <f>IF(ISBLANK('ALL Other SINs - Proposal'!S212)," ",'ALL Other SINs - Proposal'!S212)</f>
        <v xml:space="preserve"> </v>
      </c>
      <c r="G212" s="173" t="str">
        <f>IF(ISBLANK('ALL Other SINs - Proposal'!T212)," ",'ALL Other SINs - Proposal'!T212)</f>
        <v xml:space="preserve"> </v>
      </c>
      <c r="H212" s="275" t="str">
        <f>IF(ISBLANK('ALL Other SINs - Proposal'!V212)," ",'ALL Other SINs - Proposal'!V212)</f>
        <v xml:space="preserve"> </v>
      </c>
      <c r="I212" s="271" t="str">
        <f>IF(ISBLANK('ALL Other SINs - Proposal'!W212)," ",'ALL Other SINs - Proposal'!W212)</f>
        <v xml:space="preserve"> </v>
      </c>
      <c r="J212" s="71" t="str">
        <f>IF(ISBLANK('ALL Other SINs - Proposal'!X212)," ",'ALL Other SINs - Proposal'!X212)</f>
        <v xml:space="preserve"> </v>
      </c>
      <c r="K212" s="165" t="str">
        <f>IF(ISBLANK('ALL Other SINs - Proposal'!AA212)," ",'ALL Other SINs - Proposal'!AA212)</f>
        <v xml:space="preserve"> </v>
      </c>
      <c r="L212" s="178" t="str">
        <f>IF(ISBLANK('ALL Other SINs - Proposal'!AB212)," ",'ALL Other SINs - Proposal'!AB212)</f>
        <v xml:space="preserve"> </v>
      </c>
      <c r="M212" s="72" t="str">
        <f t="shared" si="6"/>
        <v xml:space="preserve"> </v>
      </c>
      <c r="N212" s="167" t="str">
        <f t="shared" si="7"/>
        <v xml:space="preserve"> </v>
      </c>
    </row>
    <row r="213" spans="1:14" ht="15" x14ac:dyDescent="0.25">
      <c r="A213" s="131" t="str">
        <f>IF(ISBLANK('ALL Other SINs - Proposal'!A213)," ",'ALL Other SINs - Proposal'!A213)</f>
        <v xml:space="preserve"> </v>
      </c>
      <c r="B213" s="137" t="str">
        <f>IF(ISBLANK('ALL Other SINs - Proposal'!B213)," ",'ALL Other SINs - Proposal'!B213)</f>
        <v xml:space="preserve"> </v>
      </c>
      <c r="C213" s="137" t="str">
        <f>IF(ISBLANK('ALL Other SINs - Proposal'!C213)," ",'ALL Other SINs - Proposal'!C213)</f>
        <v xml:space="preserve"> </v>
      </c>
      <c r="D213" s="138" t="str">
        <f>IF(ISBLANK('ALL Other SINs - Proposal'!D213)," ",'ALL Other SINs - Proposal'!D213)</f>
        <v xml:space="preserve"> </v>
      </c>
      <c r="E213" s="69" t="str">
        <f>IF(ISBLANK('ALL Other SINs - Proposal'!R213)," ",'ALL Other SINs - Proposal'!R213)</f>
        <v xml:space="preserve"> </v>
      </c>
      <c r="F213" s="73" t="str">
        <f>IF(ISBLANK('ALL Other SINs - Proposal'!S213)," ",'ALL Other SINs - Proposal'!S213)</f>
        <v xml:space="preserve"> </v>
      </c>
      <c r="G213" s="173" t="str">
        <f>IF(ISBLANK('ALL Other SINs - Proposal'!T213)," ",'ALL Other SINs - Proposal'!T213)</f>
        <v xml:space="preserve"> </v>
      </c>
      <c r="H213" s="275" t="str">
        <f>IF(ISBLANK('ALL Other SINs - Proposal'!V213)," ",'ALL Other SINs - Proposal'!V213)</f>
        <v xml:space="preserve"> </v>
      </c>
      <c r="I213" s="271" t="str">
        <f>IF(ISBLANK('ALL Other SINs - Proposal'!W213)," ",'ALL Other SINs - Proposal'!W213)</f>
        <v xml:space="preserve"> </v>
      </c>
      <c r="J213" s="71" t="str">
        <f>IF(ISBLANK('ALL Other SINs - Proposal'!X213)," ",'ALL Other SINs - Proposal'!X213)</f>
        <v xml:space="preserve"> </v>
      </c>
      <c r="K213" s="165" t="str">
        <f>IF(ISBLANK('ALL Other SINs - Proposal'!AA213)," ",'ALL Other SINs - Proposal'!AA213)</f>
        <v xml:space="preserve"> </v>
      </c>
      <c r="L213" s="178" t="str">
        <f>IF(ISBLANK('ALL Other SINs - Proposal'!AB213)," ",'ALL Other SINs - Proposal'!AB213)</f>
        <v xml:space="preserve"> </v>
      </c>
      <c r="M213" s="72" t="str">
        <f t="shared" si="6"/>
        <v xml:space="preserve"> </v>
      </c>
      <c r="N213" s="167" t="str">
        <f t="shared" si="7"/>
        <v xml:space="preserve"> </v>
      </c>
    </row>
    <row r="214" spans="1:14" ht="15" x14ac:dyDescent="0.25">
      <c r="A214" s="131" t="str">
        <f>IF(ISBLANK('ALL Other SINs - Proposal'!A214)," ",'ALL Other SINs - Proposal'!A214)</f>
        <v xml:space="preserve"> </v>
      </c>
      <c r="B214" s="137" t="str">
        <f>IF(ISBLANK('ALL Other SINs - Proposal'!B214)," ",'ALL Other SINs - Proposal'!B214)</f>
        <v xml:space="preserve"> </v>
      </c>
      <c r="C214" s="137" t="str">
        <f>IF(ISBLANK('ALL Other SINs - Proposal'!C214)," ",'ALL Other SINs - Proposal'!C214)</f>
        <v xml:space="preserve"> </v>
      </c>
      <c r="D214" s="138" t="str">
        <f>IF(ISBLANK('ALL Other SINs - Proposal'!D214)," ",'ALL Other SINs - Proposal'!D214)</f>
        <v xml:space="preserve"> </v>
      </c>
      <c r="E214" s="69" t="str">
        <f>IF(ISBLANK('ALL Other SINs - Proposal'!R214)," ",'ALL Other SINs - Proposal'!R214)</f>
        <v xml:space="preserve"> </v>
      </c>
      <c r="F214" s="73" t="str">
        <f>IF(ISBLANK('ALL Other SINs - Proposal'!S214)," ",'ALL Other SINs - Proposal'!S214)</f>
        <v xml:space="preserve"> </v>
      </c>
      <c r="G214" s="173" t="str">
        <f>IF(ISBLANK('ALL Other SINs - Proposal'!T214)," ",'ALL Other SINs - Proposal'!T214)</f>
        <v xml:space="preserve"> </v>
      </c>
      <c r="H214" s="275" t="str">
        <f>IF(ISBLANK('ALL Other SINs - Proposal'!V214)," ",'ALL Other SINs - Proposal'!V214)</f>
        <v xml:space="preserve"> </v>
      </c>
      <c r="I214" s="271" t="str">
        <f>IF(ISBLANK('ALL Other SINs - Proposal'!W214)," ",'ALL Other SINs - Proposal'!W214)</f>
        <v xml:space="preserve"> </v>
      </c>
      <c r="J214" s="71" t="str">
        <f>IF(ISBLANK('ALL Other SINs - Proposal'!X214)," ",'ALL Other SINs - Proposal'!X214)</f>
        <v xml:space="preserve"> </v>
      </c>
      <c r="K214" s="165" t="str">
        <f>IF(ISBLANK('ALL Other SINs - Proposal'!AA214)," ",'ALL Other SINs - Proposal'!AA214)</f>
        <v xml:space="preserve"> </v>
      </c>
      <c r="L214" s="178" t="str">
        <f>IF(ISBLANK('ALL Other SINs - Proposal'!AB214)," ",'ALL Other SINs - Proposal'!AB214)</f>
        <v xml:space="preserve"> </v>
      </c>
      <c r="M214" s="72" t="str">
        <f t="shared" si="6"/>
        <v xml:space="preserve"> </v>
      </c>
      <c r="N214" s="167" t="str">
        <f t="shared" si="7"/>
        <v xml:space="preserve"> </v>
      </c>
    </row>
    <row r="215" spans="1:14" ht="15" x14ac:dyDescent="0.25">
      <c r="A215" s="131" t="str">
        <f>IF(ISBLANK('ALL Other SINs - Proposal'!A215)," ",'ALL Other SINs - Proposal'!A215)</f>
        <v xml:space="preserve"> </v>
      </c>
      <c r="B215" s="137" t="str">
        <f>IF(ISBLANK('ALL Other SINs - Proposal'!B215)," ",'ALL Other SINs - Proposal'!B215)</f>
        <v xml:space="preserve"> </v>
      </c>
      <c r="C215" s="137" t="str">
        <f>IF(ISBLANK('ALL Other SINs - Proposal'!C215)," ",'ALL Other SINs - Proposal'!C215)</f>
        <v xml:space="preserve"> </v>
      </c>
      <c r="D215" s="138" t="str">
        <f>IF(ISBLANK('ALL Other SINs - Proposal'!D215)," ",'ALL Other SINs - Proposal'!D215)</f>
        <v xml:space="preserve"> </v>
      </c>
      <c r="E215" s="69" t="str">
        <f>IF(ISBLANK('ALL Other SINs - Proposal'!R215)," ",'ALL Other SINs - Proposal'!R215)</f>
        <v xml:space="preserve"> </v>
      </c>
      <c r="F215" s="73" t="str">
        <f>IF(ISBLANK('ALL Other SINs - Proposal'!S215)," ",'ALL Other SINs - Proposal'!S215)</f>
        <v xml:space="preserve"> </v>
      </c>
      <c r="G215" s="173" t="str">
        <f>IF(ISBLANK('ALL Other SINs - Proposal'!T215)," ",'ALL Other SINs - Proposal'!T215)</f>
        <v xml:space="preserve"> </v>
      </c>
      <c r="H215" s="275" t="str">
        <f>IF(ISBLANK('ALL Other SINs - Proposal'!V215)," ",'ALL Other SINs - Proposal'!V215)</f>
        <v xml:space="preserve"> </v>
      </c>
      <c r="I215" s="271" t="str">
        <f>IF(ISBLANK('ALL Other SINs - Proposal'!W215)," ",'ALL Other SINs - Proposal'!W215)</f>
        <v xml:space="preserve"> </v>
      </c>
      <c r="J215" s="71" t="str">
        <f>IF(ISBLANK('ALL Other SINs - Proposal'!X215)," ",'ALL Other SINs - Proposal'!X215)</f>
        <v xml:space="preserve"> </v>
      </c>
      <c r="K215" s="165" t="str">
        <f>IF(ISBLANK('ALL Other SINs - Proposal'!AA215)," ",'ALL Other SINs - Proposal'!AA215)</f>
        <v xml:space="preserve"> </v>
      </c>
      <c r="L215" s="178" t="str">
        <f>IF(ISBLANK('ALL Other SINs - Proposal'!AB215)," ",'ALL Other SINs - Proposal'!AB215)</f>
        <v xml:space="preserve"> </v>
      </c>
      <c r="M215" s="72" t="str">
        <f t="shared" si="6"/>
        <v xml:space="preserve"> </v>
      </c>
      <c r="N215" s="167" t="str">
        <f t="shared" si="7"/>
        <v xml:space="preserve"> </v>
      </c>
    </row>
    <row r="216" spans="1:14" ht="15" x14ac:dyDescent="0.25">
      <c r="A216" s="131" t="str">
        <f>IF(ISBLANK('ALL Other SINs - Proposal'!A216)," ",'ALL Other SINs - Proposal'!A216)</f>
        <v xml:space="preserve"> </v>
      </c>
      <c r="B216" s="137" t="str">
        <f>IF(ISBLANK('ALL Other SINs - Proposal'!B216)," ",'ALL Other SINs - Proposal'!B216)</f>
        <v xml:space="preserve"> </v>
      </c>
      <c r="C216" s="137" t="str">
        <f>IF(ISBLANK('ALL Other SINs - Proposal'!C216)," ",'ALL Other SINs - Proposal'!C216)</f>
        <v xml:space="preserve"> </v>
      </c>
      <c r="D216" s="138" t="str">
        <f>IF(ISBLANK('ALL Other SINs - Proposal'!D216)," ",'ALL Other SINs - Proposal'!D216)</f>
        <v xml:space="preserve"> </v>
      </c>
      <c r="E216" s="69" t="str">
        <f>IF(ISBLANK('ALL Other SINs - Proposal'!R216)," ",'ALL Other SINs - Proposal'!R216)</f>
        <v xml:space="preserve"> </v>
      </c>
      <c r="F216" s="73" t="str">
        <f>IF(ISBLANK('ALL Other SINs - Proposal'!S216)," ",'ALL Other SINs - Proposal'!S216)</f>
        <v xml:space="preserve"> </v>
      </c>
      <c r="G216" s="173" t="str">
        <f>IF(ISBLANK('ALL Other SINs - Proposal'!T216)," ",'ALL Other SINs - Proposal'!T216)</f>
        <v xml:space="preserve"> </v>
      </c>
      <c r="H216" s="275" t="str">
        <f>IF(ISBLANK('ALL Other SINs - Proposal'!V216)," ",'ALL Other SINs - Proposal'!V216)</f>
        <v xml:space="preserve"> </v>
      </c>
      <c r="I216" s="271" t="str">
        <f>IF(ISBLANK('ALL Other SINs - Proposal'!W216)," ",'ALL Other SINs - Proposal'!W216)</f>
        <v xml:space="preserve"> </v>
      </c>
      <c r="J216" s="71" t="str">
        <f>IF(ISBLANK('ALL Other SINs - Proposal'!X216)," ",'ALL Other SINs - Proposal'!X216)</f>
        <v xml:space="preserve"> </v>
      </c>
      <c r="K216" s="165" t="str">
        <f>IF(ISBLANK('ALL Other SINs - Proposal'!AA216)," ",'ALL Other SINs - Proposal'!AA216)</f>
        <v xml:space="preserve"> </v>
      </c>
      <c r="L216" s="178" t="str">
        <f>IF(ISBLANK('ALL Other SINs - Proposal'!AB216)," ",'ALL Other SINs - Proposal'!AB216)</f>
        <v xml:space="preserve"> </v>
      </c>
      <c r="M216" s="72" t="str">
        <f t="shared" si="6"/>
        <v xml:space="preserve"> </v>
      </c>
      <c r="N216" s="167" t="str">
        <f t="shared" si="7"/>
        <v xml:space="preserve"> </v>
      </c>
    </row>
    <row r="217" spans="1:14" ht="15" x14ac:dyDescent="0.25">
      <c r="A217" s="131" t="str">
        <f>IF(ISBLANK('ALL Other SINs - Proposal'!A217)," ",'ALL Other SINs - Proposal'!A217)</f>
        <v xml:space="preserve"> </v>
      </c>
      <c r="B217" s="137" t="str">
        <f>IF(ISBLANK('ALL Other SINs - Proposal'!B217)," ",'ALL Other SINs - Proposal'!B217)</f>
        <v xml:space="preserve"> </v>
      </c>
      <c r="C217" s="137" t="str">
        <f>IF(ISBLANK('ALL Other SINs - Proposal'!C217)," ",'ALL Other SINs - Proposal'!C217)</f>
        <v xml:space="preserve"> </v>
      </c>
      <c r="D217" s="138" t="str">
        <f>IF(ISBLANK('ALL Other SINs - Proposal'!D217)," ",'ALL Other SINs - Proposal'!D217)</f>
        <v xml:space="preserve"> </v>
      </c>
      <c r="E217" s="69" t="str">
        <f>IF(ISBLANK('ALL Other SINs - Proposal'!R217)," ",'ALL Other SINs - Proposal'!R217)</f>
        <v xml:space="preserve"> </v>
      </c>
      <c r="F217" s="73" t="str">
        <f>IF(ISBLANK('ALL Other SINs - Proposal'!S217)," ",'ALL Other SINs - Proposal'!S217)</f>
        <v xml:space="preserve"> </v>
      </c>
      <c r="G217" s="173" t="str">
        <f>IF(ISBLANK('ALL Other SINs - Proposal'!T217)," ",'ALL Other SINs - Proposal'!T217)</f>
        <v xml:space="preserve"> </v>
      </c>
      <c r="H217" s="275" t="str">
        <f>IF(ISBLANK('ALL Other SINs - Proposal'!V217)," ",'ALL Other SINs - Proposal'!V217)</f>
        <v xml:space="preserve"> </v>
      </c>
      <c r="I217" s="271" t="str">
        <f>IF(ISBLANK('ALL Other SINs - Proposal'!W217)," ",'ALL Other SINs - Proposal'!W217)</f>
        <v xml:space="preserve"> </v>
      </c>
      <c r="J217" s="71" t="str">
        <f>IF(ISBLANK('ALL Other SINs - Proposal'!X217)," ",'ALL Other SINs - Proposal'!X217)</f>
        <v xml:space="preserve"> </v>
      </c>
      <c r="K217" s="165" t="str">
        <f>IF(ISBLANK('ALL Other SINs - Proposal'!AA217)," ",'ALL Other SINs - Proposal'!AA217)</f>
        <v xml:space="preserve"> </v>
      </c>
      <c r="L217" s="178" t="str">
        <f>IF(ISBLANK('ALL Other SINs - Proposal'!AB217)," ",'ALL Other SINs - Proposal'!AB217)</f>
        <v xml:space="preserve"> </v>
      </c>
      <c r="M217" s="72" t="str">
        <f t="shared" si="6"/>
        <v xml:space="preserve"> </v>
      </c>
      <c r="N217" s="167" t="str">
        <f t="shared" si="7"/>
        <v xml:space="preserve"> </v>
      </c>
    </row>
    <row r="218" spans="1:14" ht="15" x14ac:dyDescent="0.25">
      <c r="A218" s="131" t="str">
        <f>IF(ISBLANK('ALL Other SINs - Proposal'!A218)," ",'ALL Other SINs - Proposal'!A218)</f>
        <v xml:space="preserve"> </v>
      </c>
      <c r="B218" s="137" t="str">
        <f>IF(ISBLANK('ALL Other SINs - Proposal'!B218)," ",'ALL Other SINs - Proposal'!B218)</f>
        <v xml:space="preserve"> </v>
      </c>
      <c r="C218" s="137" t="str">
        <f>IF(ISBLANK('ALL Other SINs - Proposal'!C218)," ",'ALL Other SINs - Proposal'!C218)</f>
        <v xml:space="preserve"> </v>
      </c>
      <c r="D218" s="138" t="str">
        <f>IF(ISBLANK('ALL Other SINs - Proposal'!D218)," ",'ALL Other SINs - Proposal'!D218)</f>
        <v xml:space="preserve"> </v>
      </c>
      <c r="E218" s="69" t="str">
        <f>IF(ISBLANK('ALL Other SINs - Proposal'!R218)," ",'ALL Other SINs - Proposal'!R218)</f>
        <v xml:space="preserve"> </v>
      </c>
      <c r="F218" s="73" t="str">
        <f>IF(ISBLANK('ALL Other SINs - Proposal'!S218)," ",'ALL Other SINs - Proposal'!S218)</f>
        <v xml:space="preserve"> </v>
      </c>
      <c r="G218" s="173" t="str">
        <f>IF(ISBLANK('ALL Other SINs - Proposal'!T218)," ",'ALL Other SINs - Proposal'!T218)</f>
        <v xml:space="preserve"> </v>
      </c>
      <c r="H218" s="275" t="str">
        <f>IF(ISBLANK('ALL Other SINs - Proposal'!V218)," ",'ALL Other SINs - Proposal'!V218)</f>
        <v xml:space="preserve"> </v>
      </c>
      <c r="I218" s="271" t="str">
        <f>IF(ISBLANK('ALL Other SINs - Proposal'!W218)," ",'ALL Other SINs - Proposal'!W218)</f>
        <v xml:space="preserve"> </v>
      </c>
      <c r="J218" s="71" t="str">
        <f>IF(ISBLANK('ALL Other SINs - Proposal'!X218)," ",'ALL Other SINs - Proposal'!X218)</f>
        <v xml:space="preserve"> </v>
      </c>
      <c r="K218" s="165" t="str">
        <f>IF(ISBLANK('ALL Other SINs - Proposal'!AA218)," ",'ALL Other SINs - Proposal'!AA218)</f>
        <v xml:space="preserve"> </v>
      </c>
      <c r="L218" s="178" t="str">
        <f>IF(ISBLANK('ALL Other SINs - Proposal'!AB218)," ",'ALL Other SINs - Proposal'!AB218)</f>
        <v xml:space="preserve"> </v>
      </c>
      <c r="M218" s="72" t="str">
        <f t="shared" si="6"/>
        <v xml:space="preserve"> </v>
      </c>
      <c r="N218" s="167" t="str">
        <f t="shared" si="7"/>
        <v xml:space="preserve"> </v>
      </c>
    </row>
    <row r="219" spans="1:14" ht="15" x14ac:dyDescent="0.25">
      <c r="A219" s="131" t="str">
        <f>IF(ISBLANK('ALL Other SINs - Proposal'!A219)," ",'ALL Other SINs - Proposal'!A219)</f>
        <v xml:space="preserve"> </v>
      </c>
      <c r="B219" s="137" t="str">
        <f>IF(ISBLANK('ALL Other SINs - Proposal'!B219)," ",'ALL Other SINs - Proposal'!B219)</f>
        <v xml:space="preserve"> </v>
      </c>
      <c r="C219" s="137" t="str">
        <f>IF(ISBLANK('ALL Other SINs - Proposal'!C219)," ",'ALL Other SINs - Proposal'!C219)</f>
        <v xml:space="preserve"> </v>
      </c>
      <c r="D219" s="138" t="str">
        <f>IF(ISBLANK('ALL Other SINs - Proposal'!D219)," ",'ALL Other SINs - Proposal'!D219)</f>
        <v xml:space="preserve"> </v>
      </c>
      <c r="E219" s="69" t="str">
        <f>IF(ISBLANK('ALL Other SINs - Proposal'!R219)," ",'ALL Other SINs - Proposal'!R219)</f>
        <v xml:space="preserve"> </v>
      </c>
      <c r="F219" s="73" t="str">
        <f>IF(ISBLANK('ALL Other SINs - Proposal'!S219)," ",'ALL Other SINs - Proposal'!S219)</f>
        <v xml:space="preserve"> </v>
      </c>
      <c r="G219" s="173" t="str">
        <f>IF(ISBLANK('ALL Other SINs - Proposal'!T219)," ",'ALL Other SINs - Proposal'!T219)</f>
        <v xml:space="preserve"> </v>
      </c>
      <c r="H219" s="275" t="str">
        <f>IF(ISBLANK('ALL Other SINs - Proposal'!V219)," ",'ALL Other SINs - Proposal'!V219)</f>
        <v xml:space="preserve"> </v>
      </c>
      <c r="I219" s="271" t="str">
        <f>IF(ISBLANK('ALL Other SINs - Proposal'!W219)," ",'ALL Other SINs - Proposal'!W219)</f>
        <v xml:space="preserve"> </v>
      </c>
      <c r="J219" s="71" t="str">
        <f>IF(ISBLANK('ALL Other SINs - Proposal'!X219)," ",'ALL Other SINs - Proposal'!X219)</f>
        <v xml:space="preserve"> </v>
      </c>
      <c r="K219" s="165" t="str">
        <f>IF(ISBLANK('ALL Other SINs - Proposal'!AA219)," ",'ALL Other SINs - Proposal'!AA219)</f>
        <v xml:space="preserve"> </v>
      </c>
      <c r="L219" s="178" t="str">
        <f>IF(ISBLANK('ALL Other SINs - Proposal'!AB219)," ",'ALL Other SINs - Proposal'!AB219)</f>
        <v xml:space="preserve"> </v>
      </c>
      <c r="M219" s="72" t="str">
        <f t="shared" si="6"/>
        <v xml:space="preserve"> </v>
      </c>
      <c r="N219" s="167" t="str">
        <f t="shared" si="7"/>
        <v xml:space="preserve"> </v>
      </c>
    </row>
    <row r="220" spans="1:14" ht="15" x14ac:dyDescent="0.25">
      <c r="A220" s="131" t="str">
        <f>IF(ISBLANK('ALL Other SINs - Proposal'!A220)," ",'ALL Other SINs - Proposal'!A220)</f>
        <v xml:space="preserve"> </v>
      </c>
      <c r="B220" s="137" t="str">
        <f>IF(ISBLANK('ALL Other SINs - Proposal'!B220)," ",'ALL Other SINs - Proposal'!B220)</f>
        <v xml:space="preserve"> </v>
      </c>
      <c r="C220" s="137" t="str">
        <f>IF(ISBLANK('ALL Other SINs - Proposal'!C220)," ",'ALL Other SINs - Proposal'!C220)</f>
        <v xml:space="preserve"> </v>
      </c>
      <c r="D220" s="138" t="str">
        <f>IF(ISBLANK('ALL Other SINs - Proposal'!D220)," ",'ALL Other SINs - Proposal'!D220)</f>
        <v xml:space="preserve"> </v>
      </c>
      <c r="E220" s="69" t="str">
        <f>IF(ISBLANK('ALL Other SINs - Proposal'!R220)," ",'ALL Other SINs - Proposal'!R220)</f>
        <v xml:space="preserve"> </v>
      </c>
      <c r="F220" s="73" t="str">
        <f>IF(ISBLANK('ALL Other SINs - Proposal'!S220)," ",'ALL Other SINs - Proposal'!S220)</f>
        <v xml:space="preserve"> </v>
      </c>
      <c r="G220" s="173" t="str">
        <f>IF(ISBLANK('ALL Other SINs - Proposal'!T220)," ",'ALL Other SINs - Proposal'!T220)</f>
        <v xml:space="preserve"> </v>
      </c>
      <c r="H220" s="275" t="str">
        <f>IF(ISBLANK('ALL Other SINs - Proposal'!V220)," ",'ALL Other SINs - Proposal'!V220)</f>
        <v xml:space="preserve"> </v>
      </c>
      <c r="I220" s="271" t="str">
        <f>IF(ISBLANK('ALL Other SINs - Proposal'!W220)," ",'ALL Other SINs - Proposal'!W220)</f>
        <v xml:space="preserve"> </v>
      </c>
      <c r="J220" s="71" t="str">
        <f>IF(ISBLANK('ALL Other SINs - Proposal'!X220)," ",'ALL Other SINs - Proposal'!X220)</f>
        <v xml:space="preserve"> </v>
      </c>
      <c r="K220" s="165" t="str">
        <f>IF(ISBLANK('ALL Other SINs - Proposal'!AA220)," ",'ALL Other SINs - Proposal'!AA220)</f>
        <v xml:space="preserve"> </v>
      </c>
      <c r="L220" s="178" t="str">
        <f>IF(ISBLANK('ALL Other SINs - Proposal'!AB220)," ",'ALL Other SINs - Proposal'!AB220)</f>
        <v xml:space="preserve"> </v>
      </c>
      <c r="M220" s="72" t="str">
        <f t="shared" si="6"/>
        <v xml:space="preserve"> </v>
      </c>
      <c r="N220" s="167" t="str">
        <f t="shared" si="7"/>
        <v xml:space="preserve"> </v>
      </c>
    </row>
    <row r="221" spans="1:14" ht="15" x14ac:dyDescent="0.25">
      <c r="A221" s="131" t="str">
        <f>IF(ISBLANK('ALL Other SINs - Proposal'!A221)," ",'ALL Other SINs - Proposal'!A221)</f>
        <v xml:space="preserve"> </v>
      </c>
      <c r="B221" s="137" t="str">
        <f>IF(ISBLANK('ALL Other SINs - Proposal'!B221)," ",'ALL Other SINs - Proposal'!B221)</f>
        <v xml:space="preserve"> </v>
      </c>
      <c r="C221" s="137" t="str">
        <f>IF(ISBLANK('ALL Other SINs - Proposal'!C221)," ",'ALL Other SINs - Proposal'!C221)</f>
        <v xml:space="preserve"> </v>
      </c>
      <c r="D221" s="138" t="str">
        <f>IF(ISBLANK('ALL Other SINs - Proposal'!D221)," ",'ALL Other SINs - Proposal'!D221)</f>
        <v xml:space="preserve"> </v>
      </c>
      <c r="E221" s="69" t="str">
        <f>IF(ISBLANK('ALL Other SINs - Proposal'!R221)," ",'ALL Other SINs - Proposal'!R221)</f>
        <v xml:space="preserve"> </v>
      </c>
      <c r="F221" s="73" t="str">
        <f>IF(ISBLANK('ALL Other SINs - Proposal'!S221)," ",'ALL Other SINs - Proposal'!S221)</f>
        <v xml:space="preserve"> </v>
      </c>
      <c r="G221" s="173" t="str">
        <f>IF(ISBLANK('ALL Other SINs - Proposal'!T221)," ",'ALL Other SINs - Proposal'!T221)</f>
        <v xml:space="preserve"> </v>
      </c>
      <c r="H221" s="275" t="str">
        <f>IF(ISBLANK('ALL Other SINs - Proposal'!V221)," ",'ALL Other SINs - Proposal'!V221)</f>
        <v xml:space="preserve"> </v>
      </c>
      <c r="I221" s="271" t="str">
        <f>IF(ISBLANK('ALL Other SINs - Proposal'!W221)," ",'ALL Other SINs - Proposal'!W221)</f>
        <v xml:space="preserve"> </v>
      </c>
      <c r="J221" s="71" t="str">
        <f>IF(ISBLANK('ALL Other SINs - Proposal'!X221)," ",'ALL Other SINs - Proposal'!X221)</f>
        <v xml:space="preserve"> </v>
      </c>
      <c r="K221" s="165" t="str">
        <f>IF(ISBLANK('ALL Other SINs - Proposal'!AA221)," ",'ALL Other SINs - Proposal'!AA221)</f>
        <v xml:space="preserve"> </v>
      </c>
      <c r="L221" s="178" t="str">
        <f>IF(ISBLANK('ALL Other SINs - Proposal'!AB221)," ",'ALL Other SINs - Proposal'!AB221)</f>
        <v xml:space="preserve"> </v>
      </c>
      <c r="M221" s="72" t="str">
        <f t="shared" si="6"/>
        <v xml:space="preserve"> </v>
      </c>
      <c r="N221" s="167" t="str">
        <f t="shared" si="7"/>
        <v xml:space="preserve"> </v>
      </c>
    </row>
    <row r="222" spans="1:14" ht="15" x14ac:dyDescent="0.25">
      <c r="A222" s="131" t="str">
        <f>IF(ISBLANK('ALL Other SINs - Proposal'!A222)," ",'ALL Other SINs - Proposal'!A222)</f>
        <v xml:space="preserve"> </v>
      </c>
      <c r="B222" s="137" t="str">
        <f>IF(ISBLANK('ALL Other SINs - Proposal'!B222)," ",'ALL Other SINs - Proposal'!B222)</f>
        <v xml:space="preserve"> </v>
      </c>
      <c r="C222" s="137" t="str">
        <f>IF(ISBLANK('ALL Other SINs - Proposal'!C222)," ",'ALL Other SINs - Proposal'!C222)</f>
        <v xml:space="preserve"> </v>
      </c>
      <c r="D222" s="138" t="str">
        <f>IF(ISBLANK('ALL Other SINs - Proposal'!D222)," ",'ALL Other SINs - Proposal'!D222)</f>
        <v xml:space="preserve"> </v>
      </c>
      <c r="E222" s="69" t="str">
        <f>IF(ISBLANK('ALL Other SINs - Proposal'!R222)," ",'ALL Other SINs - Proposal'!R222)</f>
        <v xml:space="preserve"> </v>
      </c>
      <c r="F222" s="73" t="str">
        <f>IF(ISBLANK('ALL Other SINs - Proposal'!S222)," ",'ALL Other SINs - Proposal'!S222)</f>
        <v xml:space="preserve"> </v>
      </c>
      <c r="G222" s="173" t="str">
        <f>IF(ISBLANK('ALL Other SINs - Proposal'!T222)," ",'ALL Other SINs - Proposal'!T222)</f>
        <v xml:space="preserve"> </v>
      </c>
      <c r="H222" s="275" t="str">
        <f>IF(ISBLANK('ALL Other SINs - Proposal'!V222)," ",'ALL Other SINs - Proposal'!V222)</f>
        <v xml:space="preserve"> </v>
      </c>
      <c r="I222" s="271" t="str">
        <f>IF(ISBLANK('ALL Other SINs - Proposal'!W222)," ",'ALL Other SINs - Proposal'!W222)</f>
        <v xml:space="preserve"> </v>
      </c>
      <c r="J222" s="71" t="str">
        <f>IF(ISBLANK('ALL Other SINs - Proposal'!X222)," ",'ALL Other SINs - Proposal'!X222)</f>
        <v xml:space="preserve"> </v>
      </c>
      <c r="K222" s="165" t="str">
        <f>IF(ISBLANK('ALL Other SINs - Proposal'!AA222)," ",'ALL Other SINs - Proposal'!AA222)</f>
        <v xml:space="preserve"> </v>
      </c>
      <c r="L222" s="178" t="str">
        <f>IF(ISBLANK('ALL Other SINs - Proposal'!AB222)," ",'ALL Other SINs - Proposal'!AB222)</f>
        <v xml:space="preserve"> </v>
      </c>
      <c r="M222" s="72" t="str">
        <f t="shared" si="6"/>
        <v xml:space="preserve"> </v>
      </c>
      <c r="N222" s="167" t="str">
        <f t="shared" si="7"/>
        <v xml:space="preserve"> </v>
      </c>
    </row>
    <row r="223" spans="1:14" ht="15" x14ac:dyDescent="0.25">
      <c r="A223" s="131" t="str">
        <f>IF(ISBLANK('ALL Other SINs - Proposal'!A223)," ",'ALL Other SINs - Proposal'!A223)</f>
        <v xml:space="preserve"> </v>
      </c>
      <c r="B223" s="137" t="str">
        <f>IF(ISBLANK('ALL Other SINs - Proposal'!B223)," ",'ALL Other SINs - Proposal'!B223)</f>
        <v xml:space="preserve"> </v>
      </c>
      <c r="C223" s="137" t="str">
        <f>IF(ISBLANK('ALL Other SINs - Proposal'!C223)," ",'ALL Other SINs - Proposal'!C223)</f>
        <v xml:space="preserve"> </v>
      </c>
      <c r="D223" s="138" t="str">
        <f>IF(ISBLANK('ALL Other SINs - Proposal'!D223)," ",'ALL Other SINs - Proposal'!D223)</f>
        <v xml:space="preserve"> </v>
      </c>
      <c r="E223" s="69" t="str">
        <f>IF(ISBLANK('ALL Other SINs - Proposal'!R223)," ",'ALL Other SINs - Proposal'!R223)</f>
        <v xml:space="preserve"> </v>
      </c>
      <c r="F223" s="73" t="str">
        <f>IF(ISBLANK('ALL Other SINs - Proposal'!S223)," ",'ALL Other SINs - Proposal'!S223)</f>
        <v xml:space="preserve"> </v>
      </c>
      <c r="G223" s="173" t="str">
        <f>IF(ISBLANK('ALL Other SINs - Proposal'!T223)," ",'ALL Other SINs - Proposal'!T223)</f>
        <v xml:space="preserve"> </v>
      </c>
      <c r="H223" s="275" t="str">
        <f>IF(ISBLANK('ALL Other SINs - Proposal'!V223)," ",'ALL Other SINs - Proposal'!V223)</f>
        <v xml:space="preserve"> </v>
      </c>
      <c r="I223" s="271" t="str">
        <f>IF(ISBLANK('ALL Other SINs - Proposal'!W223)," ",'ALL Other SINs - Proposal'!W223)</f>
        <v xml:space="preserve"> </v>
      </c>
      <c r="J223" s="71" t="str">
        <f>IF(ISBLANK('ALL Other SINs - Proposal'!X223)," ",'ALL Other SINs - Proposal'!X223)</f>
        <v xml:space="preserve"> </v>
      </c>
      <c r="K223" s="165" t="str">
        <f>IF(ISBLANK('ALL Other SINs - Proposal'!AA223)," ",'ALL Other SINs - Proposal'!AA223)</f>
        <v xml:space="preserve"> </v>
      </c>
      <c r="L223" s="178" t="str">
        <f>IF(ISBLANK('ALL Other SINs - Proposal'!AB223)," ",'ALL Other SINs - Proposal'!AB223)</f>
        <v xml:space="preserve"> </v>
      </c>
      <c r="M223" s="72" t="str">
        <f t="shared" si="6"/>
        <v xml:space="preserve"> </v>
      </c>
      <c r="N223" s="167" t="str">
        <f t="shared" si="7"/>
        <v xml:space="preserve"> </v>
      </c>
    </row>
    <row r="224" spans="1:14" ht="15" x14ac:dyDescent="0.25">
      <c r="A224" s="131" t="str">
        <f>IF(ISBLANK('ALL Other SINs - Proposal'!A224)," ",'ALL Other SINs - Proposal'!A224)</f>
        <v xml:space="preserve"> </v>
      </c>
      <c r="B224" s="137" t="str">
        <f>IF(ISBLANK('ALL Other SINs - Proposal'!B224)," ",'ALL Other SINs - Proposal'!B224)</f>
        <v xml:space="preserve"> </v>
      </c>
      <c r="C224" s="137" t="str">
        <f>IF(ISBLANK('ALL Other SINs - Proposal'!C224)," ",'ALL Other SINs - Proposal'!C224)</f>
        <v xml:space="preserve"> </v>
      </c>
      <c r="D224" s="138" t="str">
        <f>IF(ISBLANK('ALL Other SINs - Proposal'!D224)," ",'ALL Other SINs - Proposal'!D224)</f>
        <v xml:space="preserve"> </v>
      </c>
      <c r="E224" s="69" t="str">
        <f>IF(ISBLANK('ALL Other SINs - Proposal'!R224)," ",'ALL Other SINs - Proposal'!R224)</f>
        <v xml:space="preserve"> </v>
      </c>
      <c r="F224" s="73" t="str">
        <f>IF(ISBLANK('ALL Other SINs - Proposal'!S224)," ",'ALL Other SINs - Proposal'!S224)</f>
        <v xml:space="preserve"> </v>
      </c>
      <c r="G224" s="173" t="str">
        <f>IF(ISBLANK('ALL Other SINs - Proposal'!T224)," ",'ALL Other SINs - Proposal'!T224)</f>
        <v xml:space="preserve"> </v>
      </c>
      <c r="H224" s="275" t="str">
        <f>IF(ISBLANK('ALL Other SINs - Proposal'!V224)," ",'ALL Other SINs - Proposal'!V224)</f>
        <v xml:space="preserve"> </v>
      </c>
      <c r="I224" s="271" t="str">
        <f>IF(ISBLANK('ALL Other SINs - Proposal'!W224)," ",'ALL Other SINs - Proposal'!W224)</f>
        <v xml:space="preserve"> </v>
      </c>
      <c r="J224" s="71" t="str">
        <f>IF(ISBLANK('ALL Other SINs - Proposal'!X224)," ",'ALL Other SINs - Proposal'!X224)</f>
        <v xml:space="preserve"> </v>
      </c>
      <c r="K224" s="165" t="str">
        <f>IF(ISBLANK('ALL Other SINs - Proposal'!AA224)," ",'ALL Other SINs - Proposal'!AA224)</f>
        <v xml:space="preserve"> </v>
      </c>
      <c r="L224" s="178" t="str">
        <f>IF(ISBLANK('ALL Other SINs - Proposal'!AB224)," ",'ALL Other SINs - Proposal'!AB224)</f>
        <v xml:space="preserve"> </v>
      </c>
      <c r="M224" s="72" t="str">
        <f t="shared" si="6"/>
        <v xml:space="preserve"> </v>
      </c>
      <c r="N224" s="167" t="str">
        <f t="shared" si="7"/>
        <v xml:space="preserve"> </v>
      </c>
    </row>
    <row r="225" spans="1:14" ht="15" x14ac:dyDescent="0.25">
      <c r="A225" s="131" t="str">
        <f>IF(ISBLANK('ALL Other SINs - Proposal'!A225)," ",'ALL Other SINs - Proposal'!A225)</f>
        <v xml:space="preserve"> </v>
      </c>
      <c r="B225" s="137" t="str">
        <f>IF(ISBLANK('ALL Other SINs - Proposal'!B225)," ",'ALL Other SINs - Proposal'!B225)</f>
        <v xml:space="preserve"> </v>
      </c>
      <c r="C225" s="137" t="str">
        <f>IF(ISBLANK('ALL Other SINs - Proposal'!C225)," ",'ALL Other SINs - Proposal'!C225)</f>
        <v xml:space="preserve"> </v>
      </c>
      <c r="D225" s="138" t="str">
        <f>IF(ISBLANK('ALL Other SINs - Proposal'!D225)," ",'ALL Other SINs - Proposal'!D225)</f>
        <v xml:space="preserve"> </v>
      </c>
      <c r="E225" s="69" t="str">
        <f>IF(ISBLANK('ALL Other SINs - Proposal'!R225)," ",'ALL Other SINs - Proposal'!R225)</f>
        <v xml:space="preserve"> </v>
      </c>
      <c r="F225" s="73" t="str">
        <f>IF(ISBLANK('ALL Other SINs - Proposal'!S225)," ",'ALL Other SINs - Proposal'!S225)</f>
        <v xml:space="preserve"> </v>
      </c>
      <c r="G225" s="173" t="str">
        <f>IF(ISBLANK('ALL Other SINs - Proposal'!T225)," ",'ALL Other SINs - Proposal'!T225)</f>
        <v xml:space="preserve"> </v>
      </c>
      <c r="H225" s="275" t="str">
        <f>IF(ISBLANK('ALL Other SINs - Proposal'!V225)," ",'ALL Other SINs - Proposal'!V225)</f>
        <v xml:space="preserve"> </v>
      </c>
      <c r="I225" s="271" t="str">
        <f>IF(ISBLANK('ALL Other SINs - Proposal'!W225)," ",'ALL Other SINs - Proposal'!W225)</f>
        <v xml:space="preserve"> </v>
      </c>
      <c r="J225" s="71" t="str">
        <f>IF(ISBLANK('ALL Other SINs - Proposal'!X225)," ",'ALL Other SINs - Proposal'!X225)</f>
        <v xml:space="preserve"> </v>
      </c>
      <c r="K225" s="165" t="str">
        <f>IF(ISBLANK('ALL Other SINs - Proposal'!AA225)," ",'ALL Other SINs - Proposal'!AA225)</f>
        <v xml:space="preserve"> </v>
      </c>
      <c r="L225" s="178" t="str">
        <f>IF(ISBLANK('ALL Other SINs - Proposal'!AB225)," ",'ALL Other SINs - Proposal'!AB225)</f>
        <v xml:space="preserve"> </v>
      </c>
      <c r="M225" s="72" t="str">
        <f t="shared" si="6"/>
        <v xml:space="preserve"> </v>
      </c>
      <c r="N225" s="167" t="str">
        <f t="shared" si="7"/>
        <v xml:space="preserve"> </v>
      </c>
    </row>
    <row r="226" spans="1:14" ht="15" x14ac:dyDescent="0.25">
      <c r="A226" s="131" t="str">
        <f>IF(ISBLANK('ALL Other SINs - Proposal'!A226)," ",'ALL Other SINs - Proposal'!A226)</f>
        <v xml:space="preserve"> </v>
      </c>
      <c r="B226" s="137" t="str">
        <f>IF(ISBLANK('ALL Other SINs - Proposal'!B226)," ",'ALL Other SINs - Proposal'!B226)</f>
        <v xml:space="preserve"> </v>
      </c>
      <c r="C226" s="137" t="str">
        <f>IF(ISBLANK('ALL Other SINs - Proposal'!C226)," ",'ALL Other SINs - Proposal'!C226)</f>
        <v xml:space="preserve"> </v>
      </c>
      <c r="D226" s="138" t="str">
        <f>IF(ISBLANK('ALL Other SINs - Proposal'!D226)," ",'ALL Other SINs - Proposal'!D226)</f>
        <v xml:space="preserve"> </v>
      </c>
      <c r="E226" s="69" t="str">
        <f>IF(ISBLANK('ALL Other SINs - Proposal'!R226)," ",'ALL Other SINs - Proposal'!R226)</f>
        <v xml:space="preserve"> </v>
      </c>
      <c r="F226" s="73" t="str">
        <f>IF(ISBLANK('ALL Other SINs - Proposal'!S226)," ",'ALL Other SINs - Proposal'!S226)</f>
        <v xml:space="preserve"> </v>
      </c>
      <c r="G226" s="173" t="str">
        <f>IF(ISBLANK('ALL Other SINs - Proposal'!T226)," ",'ALL Other SINs - Proposal'!T226)</f>
        <v xml:space="preserve"> </v>
      </c>
      <c r="H226" s="275" t="str">
        <f>IF(ISBLANK('ALL Other SINs - Proposal'!V226)," ",'ALL Other SINs - Proposal'!V226)</f>
        <v xml:space="preserve"> </v>
      </c>
      <c r="I226" s="271" t="str">
        <f>IF(ISBLANK('ALL Other SINs - Proposal'!W226)," ",'ALL Other SINs - Proposal'!W226)</f>
        <v xml:space="preserve"> </v>
      </c>
      <c r="J226" s="71" t="str">
        <f>IF(ISBLANK('ALL Other SINs - Proposal'!X226)," ",'ALL Other SINs - Proposal'!X226)</f>
        <v xml:space="preserve"> </v>
      </c>
      <c r="K226" s="165" t="str">
        <f>IF(ISBLANK('ALL Other SINs - Proposal'!AA226)," ",'ALL Other SINs - Proposal'!AA226)</f>
        <v xml:space="preserve"> </v>
      </c>
      <c r="L226" s="178" t="str">
        <f>IF(ISBLANK('ALL Other SINs - Proposal'!AB226)," ",'ALL Other SINs - Proposal'!AB226)</f>
        <v xml:space="preserve"> </v>
      </c>
      <c r="M226" s="72" t="str">
        <f t="shared" si="6"/>
        <v xml:space="preserve"> </v>
      </c>
      <c r="N226" s="167" t="str">
        <f t="shared" si="7"/>
        <v xml:space="preserve"> </v>
      </c>
    </row>
    <row r="227" spans="1:14" ht="15" x14ac:dyDescent="0.25">
      <c r="A227" s="131" t="str">
        <f>IF(ISBLANK('ALL Other SINs - Proposal'!A227)," ",'ALL Other SINs - Proposal'!A227)</f>
        <v xml:space="preserve"> </v>
      </c>
      <c r="B227" s="137" t="str">
        <f>IF(ISBLANK('ALL Other SINs - Proposal'!B227)," ",'ALL Other SINs - Proposal'!B227)</f>
        <v xml:space="preserve"> </v>
      </c>
      <c r="C227" s="137" t="str">
        <f>IF(ISBLANK('ALL Other SINs - Proposal'!C227)," ",'ALL Other SINs - Proposal'!C227)</f>
        <v xml:space="preserve"> </v>
      </c>
      <c r="D227" s="138" t="str">
        <f>IF(ISBLANK('ALL Other SINs - Proposal'!D227)," ",'ALL Other SINs - Proposal'!D227)</f>
        <v xml:space="preserve"> </v>
      </c>
      <c r="E227" s="69" t="str">
        <f>IF(ISBLANK('ALL Other SINs - Proposal'!R227)," ",'ALL Other SINs - Proposal'!R227)</f>
        <v xml:space="preserve"> </v>
      </c>
      <c r="F227" s="73" t="str">
        <f>IF(ISBLANK('ALL Other SINs - Proposal'!S227)," ",'ALL Other SINs - Proposal'!S227)</f>
        <v xml:space="preserve"> </v>
      </c>
      <c r="G227" s="173" t="str">
        <f>IF(ISBLANK('ALL Other SINs - Proposal'!T227)," ",'ALL Other SINs - Proposal'!T227)</f>
        <v xml:space="preserve"> </v>
      </c>
      <c r="H227" s="275" t="str">
        <f>IF(ISBLANK('ALL Other SINs - Proposal'!V227)," ",'ALL Other SINs - Proposal'!V227)</f>
        <v xml:space="preserve"> </v>
      </c>
      <c r="I227" s="271" t="str">
        <f>IF(ISBLANK('ALL Other SINs - Proposal'!W227)," ",'ALL Other SINs - Proposal'!W227)</f>
        <v xml:space="preserve"> </v>
      </c>
      <c r="J227" s="71" t="str">
        <f>IF(ISBLANK('ALL Other SINs - Proposal'!X227)," ",'ALL Other SINs - Proposal'!X227)</f>
        <v xml:space="preserve"> </v>
      </c>
      <c r="K227" s="165" t="str">
        <f>IF(ISBLANK('ALL Other SINs - Proposal'!AA227)," ",'ALL Other SINs - Proposal'!AA227)</f>
        <v xml:space="preserve"> </v>
      </c>
      <c r="L227" s="178" t="str">
        <f>IF(ISBLANK('ALL Other SINs - Proposal'!AB227)," ",'ALL Other SINs - Proposal'!AB227)</f>
        <v xml:space="preserve"> </v>
      </c>
      <c r="M227" s="72" t="str">
        <f t="shared" si="6"/>
        <v xml:space="preserve"> </v>
      </c>
      <c r="N227" s="167" t="str">
        <f t="shared" si="7"/>
        <v xml:space="preserve"> </v>
      </c>
    </row>
    <row r="228" spans="1:14" ht="15" x14ac:dyDescent="0.25">
      <c r="A228" s="131" t="str">
        <f>IF(ISBLANK('ALL Other SINs - Proposal'!A228)," ",'ALL Other SINs - Proposal'!A228)</f>
        <v xml:space="preserve"> </v>
      </c>
      <c r="B228" s="137" t="str">
        <f>IF(ISBLANK('ALL Other SINs - Proposal'!B228)," ",'ALL Other SINs - Proposal'!B228)</f>
        <v xml:space="preserve"> </v>
      </c>
      <c r="C228" s="137" t="str">
        <f>IF(ISBLANK('ALL Other SINs - Proposal'!C228)," ",'ALL Other SINs - Proposal'!C228)</f>
        <v xml:space="preserve"> </v>
      </c>
      <c r="D228" s="138" t="str">
        <f>IF(ISBLANK('ALL Other SINs - Proposal'!D228)," ",'ALL Other SINs - Proposal'!D228)</f>
        <v xml:space="preserve"> </v>
      </c>
      <c r="E228" s="69" t="str">
        <f>IF(ISBLANK('ALL Other SINs - Proposal'!R228)," ",'ALL Other SINs - Proposal'!R228)</f>
        <v xml:space="preserve"> </v>
      </c>
      <c r="F228" s="73" t="str">
        <f>IF(ISBLANK('ALL Other SINs - Proposal'!S228)," ",'ALL Other SINs - Proposal'!S228)</f>
        <v xml:space="preserve"> </v>
      </c>
      <c r="G228" s="173" t="str">
        <f>IF(ISBLANK('ALL Other SINs - Proposal'!T228)," ",'ALL Other SINs - Proposal'!T228)</f>
        <v xml:space="preserve"> </v>
      </c>
      <c r="H228" s="275" t="str">
        <f>IF(ISBLANK('ALL Other SINs - Proposal'!V228)," ",'ALL Other SINs - Proposal'!V228)</f>
        <v xml:space="preserve"> </v>
      </c>
      <c r="I228" s="271" t="str">
        <f>IF(ISBLANK('ALL Other SINs - Proposal'!W228)," ",'ALL Other SINs - Proposal'!W228)</f>
        <v xml:space="preserve"> </v>
      </c>
      <c r="J228" s="71" t="str">
        <f>IF(ISBLANK('ALL Other SINs - Proposal'!X228)," ",'ALL Other SINs - Proposal'!X228)</f>
        <v xml:space="preserve"> </v>
      </c>
      <c r="K228" s="165" t="str">
        <f>IF(ISBLANK('ALL Other SINs - Proposal'!AA228)," ",'ALL Other SINs - Proposal'!AA228)</f>
        <v xml:space="preserve"> </v>
      </c>
      <c r="L228" s="178" t="str">
        <f>IF(ISBLANK('ALL Other SINs - Proposal'!AB228)," ",'ALL Other SINs - Proposal'!AB228)</f>
        <v xml:space="preserve"> </v>
      </c>
      <c r="M228" s="72" t="str">
        <f t="shared" si="6"/>
        <v xml:space="preserve"> </v>
      </c>
      <c r="N228" s="167" t="str">
        <f t="shared" si="7"/>
        <v xml:space="preserve"> </v>
      </c>
    </row>
    <row r="229" spans="1:14" ht="15" x14ac:dyDescent="0.25">
      <c r="A229" s="131" t="str">
        <f>IF(ISBLANK('ALL Other SINs - Proposal'!A229)," ",'ALL Other SINs - Proposal'!A229)</f>
        <v xml:space="preserve"> </v>
      </c>
      <c r="B229" s="137" t="str">
        <f>IF(ISBLANK('ALL Other SINs - Proposal'!B229)," ",'ALL Other SINs - Proposal'!B229)</f>
        <v xml:space="preserve"> </v>
      </c>
      <c r="C229" s="137" t="str">
        <f>IF(ISBLANK('ALL Other SINs - Proposal'!C229)," ",'ALL Other SINs - Proposal'!C229)</f>
        <v xml:space="preserve"> </v>
      </c>
      <c r="D229" s="138" t="str">
        <f>IF(ISBLANK('ALL Other SINs - Proposal'!D229)," ",'ALL Other SINs - Proposal'!D229)</f>
        <v xml:space="preserve"> </v>
      </c>
      <c r="E229" s="69" t="str">
        <f>IF(ISBLANK('ALL Other SINs - Proposal'!R229)," ",'ALL Other SINs - Proposal'!R229)</f>
        <v xml:space="preserve"> </v>
      </c>
      <c r="F229" s="73" t="str">
        <f>IF(ISBLANK('ALL Other SINs - Proposal'!S229)," ",'ALL Other SINs - Proposal'!S229)</f>
        <v xml:space="preserve"> </v>
      </c>
      <c r="G229" s="173" t="str">
        <f>IF(ISBLANK('ALL Other SINs - Proposal'!T229)," ",'ALL Other SINs - Proposal'!T229)</f>
        <v xml:space="preserve"> </v>
      </c>
      <c r="H229" s="275" t="str">
        <f>IF(ISBLANK('ALL Other SINs - Proposal'!V229)," ",'ALL Other SINs - Proposal'!V229)</f>
        <v xml:space="preserve"> </v>
      </c>
      <c r="I229" s="271" t="str">
        <f>IF(ISBLANK('ALL Other SINs - Proposal'!W229)," ",'ALL Other SINs - Proposal'!W229)</f>
        <v xml:space="preserve"> </v>
      </c>
      <c r="J229" s="71" t="str">
        <f>IF(ISBLANK('ALL Other SINs - Proposal'!X229)," ",'ALL Other SINs - Proposal'!X229)</f>
        <v xml:space="preserve"> </v>
      </c>
      <c r="K229" s="165" t="str">
        <f>IF(ISBLANK('ALL Other SINs - Proposal'!AA229)," ",'ALL Other SINs - Proposal'!AA229)</f>
        <v xml:space="preserve"> </v>
      </c>
      <c r="L229" s="178" t="str">
        <f>IF(ISBLANK('ALL Other SINs - Proposal'!AB229)," ",'ALL Other SINs - Proposal'!AB229)</f>
        <v xml:space="preserve"> </v>
      </c>
      <c r="M229" s="72" t="str">
        <f t="shared" si="6"/>
        <v xml:space="preserve"> </v>
      </c>
      <c r="N229" s="167" t="str">
        <f t="shared" si="7"/>
        <v xml:space="preserve"> </v>
      </c>
    </row>
    <row r="230" spans="1:14" ht="15" x14ac:dyDescent="0.25">
      <c r="A230" s="131" t="str">
        <f>IF(ISBLANK('ALL Other SINs - Proposal'!A230)," ",'ALL Other SINs - Proposal'!A230)</f>
        <v xml:space="preserve"> </v>
      </c>
      <c r="B230" s="137" t="str">
        <f>IF(ISBLANK('ALL Other SINs - Proposal'!B230)," ",'ALL Other SINs - Proposal'!B230)</f>
        <v xml:space="preserve"> </v>
      </c>
      <c r="C230" s="137" t="str">
        <f>IF(ISBLANK('ALL Other SINs - Proposal'!C230)," ",'ALL Other SINs - Proposal'!C230)</f>
        <v xml:space="preserve"> </v>
      </c>
      <c r="D230" s="138" t="str">
        <f>IF(ISBLANK('ALL Other SINs - Proposal'!D230)," ",'ALL Other SINs - Proposal'!D230)</f>
        <v xml:space="preserve"> </v>
      </c>
      <c r="E230" s="69" t="str">
        <f>IF(ISBLANK('ALL Other SINs - Proposal'!R230)," ",'ALL Other SINs - Proposal'!R230)</f>
        <v xml:space="preserve"> </v>
      </c>
      <c r="F230" s="73" t="str">
        <f>IF(ISBLANK('ALL Other SINs - Proposal'!S230)," ",'ALL Other SINs - Proposal'!S230)</f>
        <v xml:space="preserve"> </v>
      </c>
      <c r="G230" s="173" t="str">
        <f>IF(ISBLANK('ALL Other SINs - Proposal'!T230)," ",'ALL Other SINs - Proposal'!T230)</f>
        <v xml:space="preserve"> </v>
      </c>
      <c r="H230" s="275" t="str">
        <f>IF(ISBLANK('ALL Other SINs - Proposal'!V230)," ",'ALL Other SINs - Proposal'!V230)</f>
        <v xml:space="preserve"> </v>
      </c>
      <c r="I230" s="271" t="str">
        <f>IF(ISBLANK('ALL Other SINs - Proposal'!W230)," ",'ALL Other SINs - Proposal'!W230)</f>
        <v xml:space="preserve"> </v>
      </c>
      <c r="J230" s="71" t="str">
        <f>IF(ISBLANK('ALL Other SINs - Proposal'!X230)," ",'ALL Other SINs - Proposal'!X230)</f>
        <v xml:space="preserve"> </v>
      </c>
      <c r="K230" s="165" t="str">
        <f>IF(ISBLANK('ALL Other SINs - Proposal'!AA230)," ",'ALL Other SINs - Proposal'!AA230)</f>
        <v xml:space="preserve"> </v>
      </c>
      <c r="L230" s="178" t="str">
        <f>IF(ISBLANK('ALL Other SINs - Proposal'!AB230)," ",'ALL Other SINs - Proposal'!AB230)</f>
        <v xml:space="preserve"> </v>
      </c>
      <c r="M230" s="72" t="str">
        <f t="shared" si="6"/>
        <v xml:space="preserve"> </v>
      </c>
      <c r="N230" s="167" t="str">
        <f t="shared" si="7"/>
        <v xml:space="preserve"> </v>
      </c>
    </row>
    <row r="231" spans="1:14" ht="15" x14ac:dyDescent="0.25">
      <c r="A231" s="131" t="str">
        <f>IF(ISBLANK('ALL Other SINs - Proposal'!A231)," ",'ALL Other SINs - Proposal'!A231)</f>
        <v xml:space="preserve"> </v>
      </c>
      <c r="B231" s="137" t="str">
        <f>IF(ISBLANK('ALL Other SINs - Proposal'!B231)," ",'ALL Other SINs - Proposal'!B231)</f>
        <v xml:space="preserve"> </v>
      </c>
      <c r="C231" s="137" t="str">
        <f>IF(ISBLANK('ALL Other SINs - Proposal'!C231)," ",'ALL Other SINs - Proposal'!C231)</f>
        <v xml:space="preserve"> </v>
      </c>
      <c r="D231" s="138" t="str">
        <f>IF(ISBLANK('ALL Other SINs - Proposal'!D231)," ",'ALL Other SINs - Proposal'!D231)</f>
        <v xml:space="preserve"> </v>
      </c>
      <c r="E231" s="69" t="str">
        <f>IF(ISBLANK('ALL Other SINs - Proposal'!R231)," ",'ALL Other SINs - Proposal'!R231)</f>
        <v xml:space="preserve"> </v>
      </c>
      <c r="F231" s="73" t="str">
        <f>IF(ISBLANK('ALL Other SINs - Proposal'!S231)," ",'ALL Other SINs - Proposal'!S231)</f>
        <v xml:space="preserve"> </v>
      </c>
      <c r="G231" s="173" t="str">
        <f>IF(ISBLANK('ALL Other SINs - Proposal'!T231)," ",'ALL Other SINs - Proposal'!T231)</f>
        <v xml:space="preserve"> </v>
      </c>
      <c r="H231" s="275" t="str">
        <f>IF(ISBLANK('ALL Other SINs - Proposal'!V231)," ",'ALL Other SINs - Proposal'!V231)</f>
        <v xml:space="preserve"> </v>
      </c>
      <c r="I231" s="271" t="str">
        <f>IF(ISBLANK('ALL Other SINs - Proposal'!W231)," ",'ALL Other SINs - Proposal'!W231)</f>
        <v xml:space="preserve"> </v>
      </c>
      <c r="J231" s="71" t="str">
        <f>IF(ISBLANK('ALL Other SINs - Proposal'!X231)," ",'ALL Other SINs - Proposal'!X231)</f>
        <v xml:space="preserve"> </v>
      </c>
      <c r="K231" s="165" t="str">
        <f>IF(ISBLANK('ALL Other SINs - Proposal'!AA231)," ",'ALL Other SINs - Proposal'!AA231)</f>
        <v xml:space="preserve"> </v>
      </c>
      <c r="L231" s="178" t="str">
        <f>IF(ISBLANK('ALL Other SINs - Proposal'!AB231)," ",'ALL Other SINs - Proposal'!AB231)</f>
        <v xml:space="preserve"> </v>
      </c>
      <c r="M231" s="72" t="str">
        <f t="shared" si="6"/>
        <v xml:space="preserve"> </v>
      </c>
      <c r="N231" s="167" t="str">
        <f t="shared" si="7"/>
        <v xml:space="preserve"> </v>
      </c>
    </row>
    <row r="232" spans="1:14" ht="15" x14ac:dyDescent="0.25">
      <c r="A232" s="131" t="str">
        <f>IF(ISBLANK('ALL Other SINs - Proposal'!A232)," ",'ALL Other SINs - Proposal'!A232)</f>
        <v xml:space="preserve"> </v>
      </c>
      <c r="B232" s="137" t="str">
        <f>IF(ISBLANK('ALL Other SINs - Proposal'!B232)," ",'ALL Other SINs - Proposal'!B232)</f>
        <v xml:space="preserve"> </v>
      </c>
      <c r="C232" s="137" t="str">
        <f>IF(ISBLANK('ALL Other SINs - Proposal'!C232)," ",'ALL Other SINs - Proposal'!C232)</f>
        <v xml:space="preserve"> </v>
      </c>
      <c r="D232" s="138" t="str">
        <f>IF(ISBLANK('ALL Other SINs - Proposal'!D232)," ",'ALL Other SINs - Proposal'!D232)</f>
        <v xml:space="preserve"> </v>
      </c>
      <c r="E232" s="69" t="str">
        <f>IF(ISBLANK('ALL Other SINs - Proposal'!R232)," ",'ALL Other SINs - Proposal'!R232)</f>
        <v xml:space="preserve"> </v>
      </c>
      <c r="F232" s="73" t="str">
        <f>IF(ISBLANK('ALL Other SINs - Proposal'!S232)," ",'ALL Other SINs - Proposal'!S232)</f>
        <v xml:space="preserve"> </v>
      </c>
      <c r="G232" s="173" t="str">
        <f>IF(ISBLANK('ALL Other SINs - Proposal'!T232)," ",'ALL Other SINs - Proposal'!T232)</f>
        <v xml:space="preserve"> </v>
      </c>
      <c r="H232" s="275" t="str">
        <f>IF(ISBLANK('ALL Other SINs - Proposal'!V232)," ",'ALL Other SINs - Proposal'!V232)</f>
        <v xml:space="preserve"> </v>
      </c>
      <c r="I232" s="271" t="str">
        <f>IF(ISBLANK('ALL Other SINs - Proposal'!W232)," ",'ALL Other SINs - Proposal'!W232)</f>
        <v xml:space="preserve"> </v>
      </c>
      <c r="J232" s="71" t="str">
        <f>IF(ISBLANK('ALL Other SINs - Proposal'!X232)," ",'ALL Other SINs - Proposal'!X232)</f>
        <v xml:space="preserve"> </v>
      </c>
      <c r="K232" s="165" t="str">
        <f>IF(ISBLANK('ALL Other SINs - Proposal'!AA232)," ",'ALL Other SINs - Proposal'!AA232)</f>
        <v xml:space="preserve"> </v>
      </c>
      <c r="L232" s="178" t="str">
        <f>IF(ISBLANK('ALL Other SINs - Proposal'!AB232)," ",'ALL Other SINs - Proposal'!AB232)</f>
        <v xml:space="preserve"> </v>
      </c>
      <c r="M232" s="72" t="str">
        <f t="shared" si="6"/>
        <v xml:space="preserve"> </v>
      </c>
      <c r="N232" s="167" t="str">
        <f t="shared" si="7"/>
        <v xml:space="preserve"> </v>
      </c>
    </row>
    <row r="233" spans="1:14" ht="15" x14ac:dyDescent="0.25">
      <c r="A233" s="131" t="str">
        <f>IF(ISBLANK('ALL Other SINs - Proposal'!A233)," ",'ALL Other SINs - Proposal'!A233)</f>
        <v xml:space="preserve"> </v>
      </c>
      <c r="B233" s="137" t="str">
        <f>IF(ISBLANK('ALL Other SINs - Proposal'!B233)," ",'ALL Other SINs - Proposal'!B233)</f>
        <v xml:space="preserve"> </v>
      </c>
      <c r="C233" s="137" t="str">
        <f>IF(ISBLANK('ALL Other SINs - Proposal'!C233)," ",'ALL Other SINs - Proposal'!C233)</f>
        <v xml:space="preserve"> </v>
      </c>
      <c r="D233" s="138" t="str">
        <f>IF(ISBLANK('ALL Other SINs - Proposal'!D233)," ",'ALL Other SINs - Proposal'!D233)</f>
        <v xml:space="preserve"> </v>
      </c>
      <c r="E233" s="69" t="str">
        <f>IF(ISBLANK('ALL Other SINs - Proposal'!R233)," ",'ALL Other SINs - Proposal'!R233)</f>
        <v xml:space="preserve"> </v>
      </c>
      <c r="F233" s="73" t="str">
        <f>IF(ISBLANK('ALL Other SINs - Proposal'!S233)," ",'ALL Other SINs - Proposal'!S233)</f>
        <v xml:space="preserve"> </v>
      </c>
      <c r="G233" s="173" t="str">
        <f>IF(ISBLANK('ALL Other SINs - Proposal'!T233)," ",'ALL Other SINs - Proposal'!T233)</f>
        <v xml:space="preserve"> </v>
      </c>
      <c r="H233" s="275" t="str">
        <f>IF(ISBLANK('ALL Other SINs - Proposal'!V233)," ",'ALL Other SINs - Proposal'!V233)</f>
        <v xml:space="preserve"> </v>
      </c>
      <c r="I233" s="271" t="str">
        <f>IF(ISBLANK('ALL Other SINs - Proposal'!W233)," ",'ALL Other SINs - Proposal'!W233)</f>
        <v xml:space="preserve"> </v>
      </c>
      <c r="J233" s="71" t="str">
        <f>IF(ISBLANK('ALL Other SINs - Proposal'!X233)," ",'ALL Other SINs - Proposal'!X233)</f>
        <v xml:space="preserve"> </v>
      </c>
      <c r="K233" s="165" t="str">
        <f>IF(ISBLANK('ALL Other SINs - Proposal'!AA233)," ",'ALL Other SINs - Proposal'!AA233)</f>
        <v xml:space="preserve"> </v>
      </c>
      <c r="L233" s="178" t="str">
        <f>IF(ISBLANK('ALL Other SINs - Proposal'!AB233)," ",'ALL Other SINs - Proposal'!AB233)</f>
        <v xml:space="preserve"> </v>
      </c>
      <c r="M233" s="72" t="str">
        <f t="shared" si="6"/>
        <v xml:space="preserve"> </v>
      </c>
      <c r="N233" s="167" t="str">
        <f t="shared" si="7"/>
        <v xml:space="preserve"> </v>
      </c>
    </row>
    <row r="234" spans="1:14" ht="15" x14ac:dyDescent="0.25">
      <c r="A234" s="131" t="str">
        <f>IF(ISBLANK('ALL Other SINs - Proposal'!A234)," ",'ALL Other SINs - Proposal'!A234)</f>
        <v xml:space="preserve"> </v>
      </c>
      <c r="B234" s="137" t="str">
        <f>IF(ISBLANK('ALL Other SINs - Proposal'!B234)," ",'ALL Other SINs - Proposal'!B234)</f>
        <v xml:space="preserve"> </v>
      </c>
      <c r="C234" s="137" t="str">
        <f>IF(ISBLANK('ALL Other SINs - Proposal'!C234)," ",'ALL Other SINs - Proposal'!C234)</f>
        <v xml:space="preserve"> </v>
      </c>
      <c r="D234" s="138" t="str">
        <f>IF(ISBLANK('ALL Other SINs - Proposal'!D234)," ",'ALL Other SINs - Proposal'!D234)</f>
        <v xml:space="preserve"> </v>
      </c>
      <c r="E234" s="69" t="str">
        <f>IF(ISBLANK('ALL Other SINs - Proposal'!R234)," ",'ALL Other SINs - Proposal'!R234)</f>
        <v xml:space="preserve"> </v>
      </c>
      <c r="F234" s="73" t="str">
        <f>IF(ISBLANK('ALL Other SINs - Proposal'!S234)," ",'ALL Other SINs - Proposal'!S234)</f>
        <v xml:space="preserve"> </v>
      </c>
      <c r="G234" s="173" t="str">
        <f>IF(ISBLANK('ALL Other SINs - Proposal'!T234)," ",'ALL Other SINs - Proposal'!T234)</f>
        <v xml:space="preserve"> </v>
      </c>
      <c r="H234" s="275" t="str">
        <f>IF(ISBLANK('ALL Other SINs - Proposal'!V234)," ",'ALL Other SINs - Proposal'!V234)</f>
        <v xml:space="preserve"> </v>
      </c>
      <c r="I234" s="271" t="str">
        <f>IF(ISBLANK('ALL Other SINs - Proposal'!W234)," ",'ALL Other SINs - Proposal'!W234)</f>
        <v xml:space="preserve"> </v>
      </c>
      <c r="J234" s="71" t="str">
        <f>IF(ISBLANK('ALL Other SINs - Proposal'!X234)," ",'ALL Other SINs - Proposal'!X234)</f>
        <v xml:space="preserve"> </v>
      </c>
      <c r="K234" s="165" t="str">
        <f>IF(ISBLANK('ALL Other SINs - Proposal'!AA234)," ",'ALL Other SINs - Proposal'!AA234)</f>
        <v xml:space="preserve"> </v>
      </c>
      <c r="L234" s="178" t="str">
        <f>IF(ISBLANK('ALL Other SINs - Proposal'!AB234)," ",'ALL Other SINs - Proposal'!AB234)</f>
        <v xml:space="preserve"> </v>
      </c>
      <c r="M234" s="72" t="str">
        <f t="shared" si="6"/>
        <v xml:space="preserve"> </v>
      </c>
      <c r="N234" s="167" t="str">
        <f t="shared" si="7"/>
        <v xml:space="preserve"> </v>
      </c>
    </row>
    <row r="235" spans="1:14" ht="15" x14ac:dyDescent="0.25">
      <c r="A235" s="131" t="str">
        <f>IF(ISBLANK('ALL Other SINs - Proposal'!A235)," ",'ALL Other SINs - Proposal'!A235)</f>
        <v xml:space="preserve"> </v>
      </c>
      <c r="B235" s="137" t="str">
        <f>IF(ISBLANK('ALL Other SINs - Proposal'!B235)," ",'ALL Other SINs - Proposal'!B235)</f>
        <v xml:space="preserve"> </v>
      </c>
      <c r="C235" s="137" t="str">
        <f>IF(ISBLANK('ALL Other SINs - Proposal'!C235)," ",'ALL Other SINs - Proposal'!C235)</f>
        <v xml:space="preserve"> </v>
      </c>
      <c r="D235" s="138" t="str">
        <f>IF(ISBLANK('ALL Other SINs - Proposal'!D235)," ",'ALL Other SINs - Proposal'!D235)</f>
        <v xml:space="preserve"> </v>
      </c>
      <c r="E235" s="69" t="str">
        <f>IF(ISBLANK('ALL Other SINs - Proposal'!R235)," ",'ALL Other SINs - Proposal'!R235)</f>
        <v xml:space="preserve"> </v>
      </c>
      <c r="F235" s="73" t="str">
        <f>IF(ISBLANK('ALL Other SINs - Proposal'!S235)," ",'ALL Other SINs - Proposal'!S235)</f>
        <v xml:space="preserve"> </v>
      </c>
      <c r="G235" s="173" t="str">
        <f>IF(ISBLANK('ALL Other SINs - Proposal'!T235)," ",'ALL Other SINs - Proposal'!T235)</f>
        <v xml:space="preserve"> </v>
      </c>
      <c r="H235" s="275" t="str">
        <f>IF(ISBLANK('ALL Other SINs - Proposal'!V235)," ",'ALL Other SINs - Proposal'!V235)</f>
        <v xml:space="preserve"> </v>
      </c>
      <c r="I235" s="271" t="str">
        <f>IF(ISBLANK('ALL Other SINs - Proposal'!W235)," ",'ALL Other SINs - Proposal'!W235)</f>
        <v xml:space="preserve"> </v>
      </c>
      <c r="J235" s="71" t="str">
        <f>IF(ISBLANK('ALL Other SINs - Proposal'!X235)," ",'ALL Other SINs - Proposal'!X235)</f>
        <v xml:space="preserve"> </v>
      </c>
      <c r="K235" s="165" t="str">
        <f>IF(ISBLANK('ALL Other SINs - Proposal'!AA235)," ",'ALL Other SINs - Proposal'!AA235)</f>
        <v xml:space="preserve"> </v>
      </c>
      <c r="L235" s="178" t="str">
        <f>IF(ISBLANK('ALL Other SINs - Proposal'!AB235)," ",'ALL Other SINs - Proposal'!AB235)</f>
        <v xml:space="preserve"> </v>
      </c>
      <c r="M235" s="72" t="str">
        <f t="shared" si="6"/>
        <v xml:space="preserve"> </v>
      </c>
      <c r="N235" s="167" t="str">
        <f t="shared" si="7"/>
        <v xml:space="preserve"> </v>
      </c>
    </row>
    <row r="236" spans="1:14" ht="15" x14ac:dyDescent="0.25">
      <c r="A236" s="131" t="str">
        <f>IF(ISBLANK('ALL Other SINs - Proposal'!A236)," ",'ALL Other SINs - Proposal'!A236)</f>
        <v xml:space="preserve"> </v>
      </c>
      <c r="B236" s="137" t="str">
        <f>IF(ISBLANK('ALL Other SINs - Proposal'!B236)," ",'ALL Other SINs - Proposal'!B236)</f>
        <v xml:space="preserve"> </v>
      </c>
      <c r="C236" s="137" t="str">
        <f>IF(ISBLANK('ALL Other SINs - Proposal'!C236)," ",'ALL Other SINs - Proposal'!C236)</f>
        <v xml:space="preserve"> </v>
      </c>
      <c r="D236" s="138" t="str">
        <f>IF(ISBLANK('ALL Other SINs - Proposal'!D236)," ",'ALL Other SINs - Proposal'!D236)</f>
        <v xml:space="preserve"> </v>
      </c>
      <c r="E236" s="69" t="str">
        <f>IF(ISBLANK('ALL Other SINs - Proposal'!R236)," ",'ALL Other SINs - Proposal'!R236)</f>
        <v xml:space="preserve"> </v>
      </c>
      <c r="F236" s="73" t="str">
        <f>IF(ISBLANK('ALL Other SINs - Proposal'!S236)," ",'ALL Other SINs - Proposal'!S236)</f>
        <v xml:space="preserve"> </v>
      </c>
      <c r="G236" s="173" t="str">
        <f>IF(ISBLANK('ALL Other SINs - Proposal'!T236)," ",'ALL Other SINs - Proposal'!T236)</f>
        <v xml:space="preserve"> </v>
      </c>
      <c r="H236" s="275" t="str">
        <f>IF(ISBLANK('ALL Other SINs - Proposal'!V236)," ",'ALL Other SINs - Proposal'!V236)</f>
        <v xml:space="preserve"> </v>
      </c>
      <c r="I236" s="271" t="str">
        <f>IF(ISBLANK('ALL Other SINs - Proposal'!W236)," ",'ALL Other SINs - Proposal'!W236)</f>
        <v xml:space="preserve"> </v>
      </c>
      <c r="J236" s="71" t="str">
        <f>IF(ISBLANK('ALL Other SINs - Proposal'!X236)," ",'ALL Other SINs - Proposal'!X236)</f>
        <v xml:space="preserve"> </v>
      </c>
      <c r="K236" s="165" t="str">
        <f>IF(ISBLANK('ALL Other SINs - Proposal'!AA236)," ",'ALL Other SINs - Proposal'!AA236)</f>
        <v xml:space="preserve"> </v>
      </c>
      <c r="L236" s="178" t="str">
        <f>IF(ISBLANK('ALL Other SINs - Proposal'!AB236)," ",'ALL Other SINs - Proposal'!AB236)</f>
        <v xml:space="preserve"> </v>
      </c>
      <c r="M236" s="72" t="str">
        <f t="shared" si="6"/>
        <v xml:space="preserve"> </v>
      </c>
      <c r="N236" s="167" t="str">
        <f t="shared" si="7"/>
        <v xml:space="preserve"> </v>
      </c>
    </row>
    <row r="237" spans="1:14" ht="15" x14ac:dyDescent="0.25">
      <c r="A237" s="131" t="str">
        <f>IF(ISBLANK('ALL Other SINs - Proposal'!A237)," ",'ALL Other SINs - Proposal'!A237)</f>
        <v xml:space="preserve"> </v>
      </c>
      <c r="B237" s="137" t="str">
        <f>IF(ISBLANK('ALL Other SINs - Proposal'!B237)," ",'ALL Other SINs - Proposal'!B237)</f>
        <v xml:space="preserve"> </v>
      </c>
      <c r="C237" s="137" t="str">
        <f>IF(ISBLANK('ALL Other SINs - Proposal'!C237)," ",'ALL Other SINs - Proposal'!C237)</f>
        <v xml:space="preserve"> </v>
      </c>
      <c r="D237" s="138" t="str">
        <f>IF(ISBLANK('ALL Other SINs - Proposal'!D237)," ",'ALL Other SINs - Proposal'!D237)</f>
        <v xml:space="preserve"> </v>
      </c>
      <c r="E237" s="69" t="str">
        <f>IF(ISBLANK('ALL Other SINs - Proposal'!R237)," ",'ALL Other SINs - Proposal'!R237)</f>
        <v xml:space="preserve"> </v>
      </c>
      <c r="F237" s="73" t="str">
        <f>IF(ISBLANK('ALL Other SINs - Proposal'!S237)," ",'ALL Other SINs - Proposal'!S237)</f>
        <v xml:space="preserve"> </v>
      </c>
      <c r="G237" s="173" t="str">
        <f>IF(ISBLANK('ALL Other SINs - Proposal'!T237)," ",'ALL Other SINs - Proposal'!T237)</f>
        <v xml:space="preserve"> </v>
      </c>
      <c r="H237" s="275" t="str">
        <f>IF(ISBLANK('ALL Other SINs - Proposal'!V237)," ",'ALL Other SINs - Proposal'!V237)</f>
        <v xml:space="preserve"> </v>
      </c>
      <c r="I237" s="271" t="str">
        <f>IF(ISBLANK('ALL Other SINs - Proposal'!W237)," ",'ALL Other SINs - Proposal'!W237)</f>
        <v xml:space="preserve"> </v>
      </c>
      <c r="J237" s="71" t="str">
        <f>IF(ISBLANK('ALL Other SINs - Proposal'!X237)," ",'ALL Other SINs - Proposal'!X237)</f>
        <v xml:space="preserve"> </v>
      </c>
      <c r="K237" s="165" t="str">
        <f>IF(ISBLANK('ALL Other SINs - Proposal'!AA237)," ",'ALL Other SINs - Proposal'!AA237)</f>
        <v xml:space="preserve"> </v>
      </c>
      <c r="L237" s="178" t="str">
        <f>IF(ISBLANK('ALL Other SINs - Proposal'!AB237)," ",'ALL Other SINs - Proposal'!AB237)</f>
        <v xml:space="preserve"> </v>
      </c>
      <c r="M237" s="72" t="str">
        <f t="shared" si="6"/>
        <v xml:space="preserve"> </v>
      </c>
      <c r="N237" s="167" t="str">
        <f t="shared" si="7"/>
        <v xml:space="preserve"> </v>
      </c>
    </row>
    <row r="238" spans="1:14" ht="15" x14ac:dyDescent="0.25">
      <c r="A238" s="131" t="str">
        <f>IF(ISBLANK('ALL Other SINs - Proposal'!A238)," ",'ALL Other SINs - Proposal'!A238)</f>
        <v xml:space="preserve"> </v>
      </c>
      <c r="B238" s="137" t="str">
        <f>IF(ISBLANK('ALL Other SINs - Proposal'!B238)," ",'ALL Other SINs - Proposal'!B238)</f>
        <v xml:space="preserve"> </v>
      </c>
      <c r="C238" s="137" t="str">
        <f>IF(ISBLANK('ALL Other SINs - Proposal'!C238)," ",'ALL Other SINs - Proposal'!C238)</f>
        <v xml:space="preserve"> </v>
      </c>
      <c r="D238" s="138" t="str">
        <f>IF(ISBLANK('ALL Other SINs - Proposal'!D238)," ",'ALL Other SINs - Proposal'!D238)</f>
        <v xml:space="preserve"> </v>
      </c>
      <c r="E238" s="69" t="str">
        <f>IF(ISBLANK('ALL Other SINs - Proposal'!R238)," ",'ALL Other SINs - Proposal'!R238)</f>
        <v xml:space="preserve"> </v>
      </c>
      <c r="F238" s="73" t="str">
        <f>IF(ISBLANK('ALL Other SINs - Proposal'!S238)," ",'ALL Other SINs - Proposal'!S238)</f>
        <v xml:space="preserve"> </v>
      </c>
      <c r="G238" s="173" t="str">
        <f>IF(ISBLANK('ALL Other SINs - Proposal'!T238)," ",'ALL Other SINs - Proposal'!T238)</f>
        <v xml:space="preserve"> </v>
      </c>
      <c r="H238" s="275" t="str">
        <f>IF(ISBLANK('ALL Other SINs - Proposal'!V238)," ",'ALL Other SINs - Proposal'!V238)</f>
        <v xml:space="preserve"> </v>
      </c>
      <c r="I238" s="271" t="str">
        <f>IF(ISBLANK('ALL Other SINs - Proposal'!W238)," ",'ALL Other SINs - Proposal'!W238)</f>
        <v xml:space="preserve"> </v>
      </c>
      <c r="J238" s="71" t="str">
        <f>IF(ISBLANK('ALL Other SINs - Proposal'!X238)," ",'ALL Other SINs - Proposal'!X238)</f>
        <v xml:space="preserve"> </v>
      </c>
      <c r="K238" s="165" t="str">
        <f>IF(ISBLANK('ALL Other SINs - Proposal'!AA238)," ",'ALL Other SINs - Proposal'!AA238)</f>
        <v xml:space="preserve"> </v>
      </c>
      <c r="L238" s="178" t="str">
        <f>IF(ISBLANK('ALL Other SINs - Proposal'!AB238)," ",'ALL Other SINs - Proposal'!AB238)</f>
        <v xml:space="preserve"> </v>
      </c>
      <c r="M238" s="72" t="str">
        <f t="shared" si="6"/>
        <v xml:space="preserve"> </v>
      </c>
      <c r="N238" s="167" t="str">
        <f t="shared" si="7"/>
        <v xml:space="preserve"> </v>
      </c>
    </row>
    <row r="239" spans="1:14" ht="15" x14ac:dyDescent="0.25">
      <c r="A239" s="131" t="str">
        <f>IF(ISBLANK('ALL Other SINs - Proposal'!A239)," ",'ALL Other SINs - Proposal'!A239)</f>
        <v xml:space="preserve"> </v>
      </c>
      <c r="B239" s="137" t="str">
        <f>IF(ISBLANK('ALL Other SINs - Proposal'!B239)," ",'ALL Other SINs - Proposal'!B239)</f>
        <v xml:space="preserve"> </v>
      </c>
      <c r="C239" s="137" t="str">
        <f>IF(ISBLANK('ALL Other SINs - Proposal'!C239)," ",'ALL Other SINs - Proposal'!C239)</f>
        <v xml:space="preserve"> </v>
      </c>
      <c r="D239" s="138" t="str">
        <f>IF(ISBLANK('ALL Other SINs - Proposal'!D239)," ",'ALL Other SINs - Proposal'!D239)</f>
        <v xml:space="preserve"> </v>
      </c>
      <c r="E239" s="69" t="str">
        <f>IF(ISBLANK('ALL Other SINs - Proposal'!R239)," ",'ALL Other SINs - Proposal'!R239)</f>
        <v xml:space="preserve"> </v>
      </c>
      <c r="F239" s="73" t="str">
        <f>IF(ISBLANK('ALL Other SINs - Proposal'!S239)," ",'ALL Other SINs - Proposal'!S239)</f>
        <v xml:space="preserve"> </v>
      </c>
      <c r="G239" s="173" t="str">
        <f>IF(ISBLANK('ALL Other SINs - Proposal'!T239)," ",'ALL Other SINs - Proposal'!T239)</f>
        <v xml:space="preserve"> </v>
      </c>
      <c r="H239" s="275" t="str">
        <f>IF(ISBLANK('ALL Other SINs - Proposal'!V239)," ",'ALL Other SINs - Proposal'!V239)</f>
        <v xml:space="preserve"> </v>
      </c>
      <c r="I239" s="271" t="str">
        <f>IF(ISBLANK('ALL Other SINs - Proposal'!W239)," ",'ALL Other SINs - Proposal'!W239)</f>
        <v xml:space="preserve"> </v>
      </c>
      <c r="J239" s="71" t="str">
        <f>IF(ISBLANK('ALL Other SINs - Proposal'!X239)," ",'ALL Other SINs - Proposal'!X239)</f>
        <v xml:space="preserve"> </v>
      </c>
      <c r="K239" s="165" t="str">
        <f>IF(ISBLANK('ALL Other SINs - Proposal'!AA239)," ",'ALL Other SINs - Proposal'!AA239)</f>
        <v xml:space="preserve"> </v>
      </c>
      <c r="L239" s="178" t="str">
        <f>IF(ISBLANK('ALL Other SINs - Proposal'!AB239)," ",'ALL Other SINs - Proposal'!AB239)</f>
        <v xml:space="preserve"> </v>
      </c>
      <c r="M239" s="72" t="str">
        <f t="shared" si="6"/>
        <v xml:space="preserve"> </v>
      </c>
      <c r="N239" s="167" t="str">
        <f t="shared" si="7"/>
        <v xml:space="preserve"> </v>
      </c>
    </row>
    <row r="240" spans="1:14" ht="15" x14ac:dyDescent="0.25">
      <c r="A240" s="131" t="str">
        <f>IF(ISBLANK('ALL Other SINs - Proposal'!A240)," ",'ALL Other SINs - Proposal'!A240)</f>
        <v xml:space="preserve"> </v>
      </c>
      <c r="B240" s="137" t="str">
        <f>IF(ISBLANK('ALL Other SINs - Proposal'!B240)," ",'ALL Other SINs - Proposal'!B240)</f>
        <v xml:space="preserve"> </v>
      </c>
      <c r="C240" s="137" t="str">
        <f>IF(ISBLANK('ALL Other SINs - Proposal'!C240)," ",'ALL Other SINs - Proposal'!C240)</f>
        <v xml:space="preserve"> </v>
      </c>
      <c r="D240" s="138" t="str">
        <f>IF(ISBLANK('ALL Other SINs - Proposal'!D240)," ",'ALL Other SINs - Proposal'!D240)</f>
        <v xml:space="preserve"> </v>
      </c>
      <c r="E240" s="69" t="str">
        <f>IF(ISBLANK('ALL Other SINs - Proposal'!R240)," ",'ALL Other SINs - Proposal'!R240)</f>
        <v xml:space="preserve"> </v>
      </c>
      <c r="F240" s="73" t="str">
        <f>IF(ISBLANK('ALL Other SINs - Proposal'!S240)," ",'ALL Other SINs - Proposal'!S240)</f>
        <v xml:space="preserve"> </v>
      </c>
      <c r="G240" s="173" t="str">
        <f>IF(ISBLANK('ALL Other SINs - Proposal'!T240)," ",'ALL Other SINs - Proposal'!T240)</f>
        <v xml:space="preserve"> </v>
      </c>
      <c r="H240" s="275" t="str">
        <f>IF(ISBLANK('ALL Other SINs - Proposal'!V240)," ",'ALL Other SINs - Proposal'!V240)</f>
        <v xml:space="preserve"> </v>
      </c>
      <c r="I240" s="271" t="str">
        <f>IF(ISBLANK('ALL Other SINs - Proposal'!W240)," ",'ALL Other SINs - Proposal'!W240)</f>
        <v xml:space="preserve"> </v>
      </c>
      <c r="J240" s="71" t="str">
        <f>IF(ISBLANK('ALL Other SINs - Proposal'!X240)," ",'ALL Other SINs - Proposal'!X240)</f>
        <v xml:space="preserve"> </v>
      </c>
      <c r="K240" s="165" t="str">
        <f>IF(ISBLANK('ALL Other SINs - Proposal'!AA240)," ",'ALL Other SINs - Proposal'!AA240)</f>
        <v xml:space="preserve"> </v>
      </c>
      <c r="L240" s="178" t="str">
        <f>IF(ISBLANK('ALL Other SINs - Proposal'!AB240)," ",'ALL Other SINs - Proposal'!AB240)</f>
        <v xml:space="preserve"> </v>
      </c>
      <c r="M240" s="72" t="str">
        <f t="shared" si="6"/>
        <v xml:space="preserve"> </v>
      </c>
      <c r="N240" s="167" t="str">
        <f t="shared" si="7"/>
        <v xml:space="preserve"> </v>
      </c>
    </row>
    <row r="241" spans="1:14" ht="15" x14ac:dyDescent="0.25">
      <c r="A241" s="131" t="str">
        <f>IF(ISBLANK('ALL Other SINs - Proposal'!A241)," ",'ALL Other SINs - Proposal'!A241)</f>
        <v xml:space="preserve"> </v>
      </c>
      <c r="B241" s="137" t="str">
        <f>IF(ISBLANK('ALL Other SINs - Proposal'!B241)," ",'ALL Other SINs - Proposal'!B241)</f>
        <v xml:space="preserve"> </v>
      </c>
      <c r="C241" s="137" t="str">
        <f>IF(ISBLANK('ALL Other SINs - Proposal'!C241)," ",'ALL Other SINs - Proposal'!C241)</f>
        <v xml:space="preserve"> </v>
      </c>
      <c r="D241" s="138" t="str">
        <f>IF(ISBLANK('ALL Other SINs - Proposal'!D241)," ",'ALL Other SINs - Proposal'!D241)</f>
        <v xml:space="preserve"> </v>
      </c>
      <c r="E241" s="69" t="str">
        <f>IF(ISBLANK('ALL Other SINs - Proposal'!R241)," ",'ALL Other SINs - Proposal'!R241)</f>
        <v xml:space="preserve"> </v>
      </c>
      <c r="F241" s="73" t="str">
        <f>IF(ISBLANK('ALL Other SINs - Proposal'!S241)," ",'ALL Other SINs - Proposal'!S241)</f>
        <v xml:space="preserve"> </v>
      </c>
      <c r="G241" s="173" t="str">
        <f>IF(ISBLANK('ALL Other SINs - Proposal'!T241)," ",'ALL Other SINs - Proposal'!T241)</f>
        <v xml:space="preserve"> </v>
      </c>
      <c r="H241" s="275" t="str">
        <f>IF(ISBLANK('ALL Other SINs - Proposal'!V241)," ",'ALL Other SINs - Proposal'!V241)</f>
        <v xml:space="preserve"> </v>
      </c>
      <c r="I241" s="271" t="str">
        <f>IF(ISBLANK('ALL Other SINs - Proposal'!W241)," ",'ALL Other SINs - Proposal'!W241)</f>
        <v xml:space="preserve"> </v>
      </c>
      <c r="J241" s="71" t="str">
        <f>IF(ISBLANK('ALL Other SINs - Proposal'!X241)," ",'ALL Other SINs - Proposal'!X241)</f>
        <v xml:space="preserve"> </v>
      </c>
      <c r="K241" s="165" t="str">
        <f>IF(ISBLANK('ALL Other SINs - Proposal'!AA241)," ",'ALL Other SINs - Proposal'!AA241)</f>
        <v xml:space="preserve"> </v>
      </c>
      <c r="L241" s="178" t="str">
        <f>IF(ISBLANK('ALL Other SINs - Proposal'!AB241)," ",'ALL Other SINs - Proposal'!AB241)</f>
        <v xml:space="preserve"> </v>
      </c>
      <c r="M241" s="72" t="str">
        <f t="shared" si="6"/>
        <v xml:space="preserve"> </v>
      </c>
      <c r="N241" s="167" t="str">
        <f t="shared" si="7"/>
        <v xml:space="preserve"> </v>
      </c>
    </row>
    <row r="242" spans="1:14" ht="15" x14ac:dyDescent="0.25">
      <c r="A242" s="131" t="str">
        <f>IF(ISBLANK('ALL Other SINs - Proposal'!A242)," ",'ALL Other SINs - Proposal'!A242)</f>
        <v xml:space="preserve"> </v>
      </c>
      <c r="B242" s="137" t="str">
        <f>IF(ISBLANK('ALL Other SINs - Proposal'!B242)," ",'ALL Other SINs - Proposal'!B242)</f>
        <v xml:space="preserve"> </v>
      </c>
      <c r="C242" s="137" t="str">
        <f>IF(ISBLANK('ALL Other SINs - Proposal'!C242)," ",'ALL Other SINs - Proposal'!C242)</f>
        <v xml:space="preserve"> </v>
      </c>
      <c r="D242" s="138" t="str">
        <f>IF(ISBLANK('ALL Other SINs - Proposal'!D242)," ",'ALL Other SINs - Proposal'!D242)</f>
        <v xml:space="preserve"> </v>
      </c>
      <c r="E242" s="69" t="str">
        <f>IF(ISBLANK('ALL Other SINs - Proposal'!R242)," ",'ALL Other SINs - Proposal'!R242)</f>
        <v xml:space="preserve"> </v>
      </c>
      <c r="F242" s="73" t="str">
        <f>IF(ISBLANK('ALL Other SINs - Proposal'!S242)," ",'ALL Other SINs - Proposal'!S242)</f>
        <v xml:space="preserve"> </v>
      </c>
      <c r="G242" s="173" t="str">
        <f>IF(ISBLANK('ALL Other SINs - Proposal'!T242)," ",'ALL Other SINs - Proposal'!T242)</f>
        <v xml:space="preserve"> </v>
      </c>
      <c r="H242" s="275" t="str">
        <f>IF(ISBLANK('ALL Other SINs - Proposal'!V242)," ",'ALL Other SINs - Proposal'!V242)</f>
        <v xml:space="preserve"> </v>
      </c>
      <c r="I242" s="271" t="str">
        <f>IF(ISBLANK('ALL Other SINs - Proposal'!W242)," ",'ALL Other SINs - Proposal'!W242)</f>
        <v xml:space="preserve"> </v>
      </c>
      <c r="J242" s="71" t="str">
        <f>IF(ISBLANK('ALL Other SINs - Proposal'!X242)," ",'ALL Other SINs - Proposal'!X242)</f>
        <v xml:space="preserve"> </v>
      </c>
      <c r="K242" s="165" t="str">
        <f>IF(ISBLANK('ALL Other SINs - Proposal'!AA242)," ",'ALL Other SINs - Proposal'!AA242)</f>
        <v xml:space="preserve"> </v>
      </c>
      <c r="L242" s="178" t="str">
        <f>IF(ISBLANK('ALL Other SINs - Proposal'!AB242)," ",'ALL Other SINs - Proposal'!AB242)</f>
        <v xml:space="preserve"> </v>
      </c>
      <c r="M242" s="72" t="str">
        <f t="shared" si="6"/>
        <v xml:space="preserve"> </v>
      </c>
      <c r="N242" s="167" t="str">
        <f t="shared" si="7"/>
        <v xml:space="preserve"> </v>
      </c>
    </row>
    <row r="243" spans="1:14" ht="15" x14ac:dyDescent="0.25">
      <c r="A243" s="131" t="str">
        <f>IF(ISBLANK('ALL Other SINs - Proposal'!A243)," ",'ALL Other SINs - Proposal'!A243)</f>
        <v xml:space="preserve"> </v>
      </c>
      <c r="B243" s="137" t="str">
        <f>IF(ISBLANK('ALL Other SINs - Proposal'!B243)," ",'ALL Other SINs - Proposal'!B243)</f>
        <v xml:space="preserve"> </v>
      </c>
      <c r="C243" s="137" t="str">
        <f>IF(ISBLANK('ALL Other SINs - Proposal'!C243)," ",'ALL Other SINs - Proposal'!C243)</f>
        <v xml:space="preserve"> </v>
      </c>
      <c r="D243" s="138" t="str">
        <f>IF(ISBLANK('ALL Other SINs - Proposal'!D243)," ",'ALL Other SINs - Proposal'!D243)</f>
        <v xml:space="preserve"> </v>
      </c>
      <c r="E243" s="69" t="str">
        <f>IF(ISBLANK('ALL Other SINs - Proposal'!R243)," ",'ALL Other SINs - Proposal'!R243)</f>
        <v xml:space="preserve"> </v>
      </c>
      <c r="F243" s="73" t="str">
        <f>IF(ISBLANK('ALL Other SINs - Proposal'!S243)," ",'ALL Other SINs - Proposal'!S243)</f>
        <v xml:space="preserve"> </v>
      </c>
      <c r="G243" s="173" t="str">
        <f>IF(ISBLANK('ALL Other SINs - Proposal'!T243)," ",'ALL Other SINs - Proposal'!T243)</f>
        <v xml:space="preserve"> </v>
      </c>
      <c r="H243" s="275" t="str">
        <f>IF(ISBLANK('ALL Other SINs - Proposal'!V243)," ",'ALL Other SINs - Proposal'!V243)</f>
        <v xml:space="preserve"> </v>
      </c>
      <c r="I243" s="271" t="str">
        <f>IF(ISBLANK('ALL Other SINs - Proposal'!W243)," ",'ALL Other SINs - Proposal'!W243)</f>
        <v xml:space="preserve"> </v>
      </c>
      <c r="J243" s="71" t="str">
        <f>IF(ISBLANK('ALL Other SINs - Proposal'!X243)," ",'ALL Other SINs - Proposal'!X243)</f>
        <v xml:space="preserve"> </v>
      </c>
      <c r="K243" s="165" t="str">
        <f>IF(ISBLANK('ALL Other SINs - Proposal'!AA243)," ",'ALL Other SINs - Proposal'!AA243)</f>
        <v xml:space="preserve"> </v>
      </c>
      <c r="L243" s="178" t="str">
        <f>IF(ISBLANK('ALL Other SINs - Proposal'!AB243)," ",'ALL Other SINs - Proposal'!AB243)</f>
        <v xml:space="preserve"> </v>
      </c>
      <c r="M243" s="72" t="str">
        <f t="shared" si="6"/>
        <v xml:space="preserve"> </v>
      </c>
      <c r="N243" s="167" t="str">
        <f t="shared" si="7"/>
        <v xml:space="preserve"> </v>
      </c>
    </row>
    <row r="244" spans="1:14" ht="15" x14ac:dyDescent="0.25">
      <c r="A244" s="131" t="str">
        <f>IF(ISBLANK('ALL Other SINs - Proposal'!A244)," ",'ALL Other SINs - Proposal'!A244)</f>
        <v xml:space="preserve"> </v>
      </c>
      <c r="B244" s="137" t="str">
        <f>IF(ISBLANK('ALL Other SINs - Proposal'!B244)," ",'ALL Other SINs - Proposal'!B244)</f>
        <v xml:space="preserve"> </v>
      </c>
      <c r="C244" s="137" t="str">
        <f>IF(ISBLANK('ALL Other SINs - Proposal'!C244)," ",'ALL Other SINs - Proposal'!C244)</f>
        <v xml:space="preserve"> </v>
      </c>
      <c r="D244" s="138" t="str">
        <f>IF(ISBLANK('ALL Other SINs - Proposal'!D244)," ",'ALL Other SINs - Proposal'!D244)</f>
        <v xml:space="preserve"> </v>
      </c>
      <c r="E244" s="69" t="str">
        <f>IF(ISBLANK('ALL Other SINs - Proposal'!R244)," ",'ALL Other SINs - Proposal'!R244)</f>
        <v xml:space="preserve"> </v>
      </c>
      <c r="F244" s="73" t="str">
        <f>IF(ISBLANK('ALL Other SINs - Proposal'!S244)," ",'ALL Other SINs - Proposal'!S244)</f>
        <v xml:space="preserve"> </v>
      </c>
      <c r="G244" s="173" t="str">
        <f>IF(ISBLANK('ALL Other SINs - Proposal'!T244)," ",'ALL Other SINs - Proposal'!T244)</f>
        <v xml:space="preserve"> </v>
      </c>
      <c r="H244" s="275" t="str">
        <f>IF(ISBLANK('ALL Other SINs - Proposal'!V244)," ",'ALL Other SINs - Proposal'!V244)</f>
        <v xml:space="preserve"> </v>
      </c>
      <c r="I244" s="271" t="str">
        <f>IF(ISBLANK('ALL Other SINs - Proposal'!W244)," ",'ALL Other SINs - Proposal'!W244)</f>
        <v xml:space="preserve"> </v>
      </c>
      <c r="J244" s="71" t="str">
        <f>IF(ISBLANK('ALL Other SINs - Proposal'!X244)," ",'ALL Other SINs - Proposal'!X244)</f>
        <v xml:space="preserve"> </v>
      </c>
      <c r="K244" s="165" t="str">
        <f>IF(ISBLANK('ALL Other SINs - Proposal'!AA244)," ",'ALL Other SINs - Proposal'!AA244)</f>
        <v xml:space="preserve"> </v>
      </c>
      <c r="L244" s="178" t="str">
        <f>IF(ISBLANK('ALL Other SINs - Proposal'!AB244)," ",'ALL Other SINs - Proposal'!AB244)</f>
        <v xml:space="preserve"> </v>
      </c>
      <c r="M244" s="72" t="str">
        <f t="shared" si="6"/>
        <v xml:space="preserve"> </v>
      </c>
      <c r="N244" s="167" t="str">
        <f t="shared" si="7"/>
        <v xml:space="preserve"> </v>
      </c>
    </row>
    <row r="245" spans="1:14" ht="15" x14ac:dyDescent="0.25">
      <c r="A245" s="131" t="str">
        <f>IF(ISBLANK('ALL Other SINs - Proposal'!A245)," ",'ALL Other SINs - Proposal'!A245)</f>
        <v xml:space="preserve"> </v>
      </c>
      <c r="B245" s="137" t="str">
        <f>IF(ISBLANK('ALL Other SINs - Proposal'!B245)," ",'ALL Other SINs - Proposal'!B245)</f>
        <v xml:space="preserve"> </v>
      </c>
      <c r="C245" s="137" t="str">
        <f>IF(ISBLANK('ALL Other SINs - Proposal'!C245)," ",'ALL Other SINs - Proposal'!C245)</f>
        <v xml:space="preserve"> </v>
      </c>
      <c r="D245" s="138" t="str">
        <f>IF(ISBLANK('ALL Other SINs - Proposal'!D245)," ",'ALL Other SINs - Proposal'!D245)</f>
        <v xml:space="preserve"> </v>
      </c>
      <c r="E245" s="69" t="str">
        <f>IF(ISBLANK('ALL Other SINs - Proposal'!R245)," ",'ALL Other SINs - Proposal'!R245)</f>
        <v xml:space="preserve"> </v>
      </c>
      <c r="F245" s="73" t="str">
        <f>IF(ISBLANK('ALL Other SINs - Proposal'!S245)," ",'ALL Other SINs - Proposal'!S245)</f>
        <v xml:space="preserve"> </v>
      </c>
      <c r="G245" s="173" t="str">
        <f>IF(ISBLANK('ALL Other SINs - Proposal'!T245)," ",'ALL Other SINs - Proposal'!T245)</f>
        <v xml:space="preserve"> </v>
      </c>
      <c r="H245" s="275" t="str">
        <f>IF(ISBLANK('ALL Other SINs - Proposal'!V245)," ",'ALL Other SINs - Proposal'!V245)</f>
        <v xml:space="preserve"> </v>
      </c>
      <c r="I245" s="271" t="str">
        <f>IF(ISBLANK('ALL Other SINs - Proposal'!W245)," ",'ALL Other SINs - Proposal'!W245)</f>
        <v xml:space="preserve"> </v>
      </c>
      <c r="J245" s="71" t="str">
        <f>IF(ISBLANK('ALL Other SINs - Proposal'!X245)," ",'ALL Other SINs - Proposal'!X245)</f>
        <v xml:space="preserve"> </v>
      </c>
      <c r="K245" s="165" t="str">
        <f>IF(ISBLANK('ALL Other SINs - Proposal'!AA245)," ",'ALL Other SINs - Proposal'!AA245)</f>
        <v xml:space="preserve"> </v>
      </c>
      <c r="L245" s="178" t="str">
        <f>IF(ISBLANK('ALL Other SINs - Proposal'!AB245)," ",'ALL Other SINs - Proposal'!AB245)</f>
        <v xml:space="preserve"> </v>
      </c>
      <c r="M245" s="72" t="str">
        <f t="shared" si="6"/>
        <v xml:space="preserve"> </v>
      </c>
      <c r="N245" s="167" t="str">
        <f t="shared" si="7"/>
        <v xml:space="preserve"> </v>
      </c>
    </row>
    <row r="246" spans="1:14" ht="15" x14ac:dyDescent="0.25">
      <c r="A246" s="131" t="str">
        <f>IF(ISBLANK('ALL Other SINs - Proposal'!A246)," ",'ALL Other SINs - Proposal'!A246)</f>
        <v xml:space="preserve"> </v>
      </c>
      <c r="B246" s="137" t="str">
        <f>IF(ISBLANK('ALL Other SINs - Proposal'!B246)," ",'ALL Other SINs - Proposal'!B246)</f>
        <v xml:space="preserve"> </v>
      </c>
      <c r="C246" s="137" t="str">
        <f>IF(ISBLANK('ALL Other SINs - Proposal'!C246)," ",'ALL Other SINs - Proposal'!C246)</f>
        <v xml:space="preserve"> </v>
      </c>
      <c r="D246" s="138" t="str">
        <f>IF(ISBLANK('ALL Other SINs - Proposal'!D246)," ",'ALL Other SINs - Proposal'!D246)</f>
        <v xml:space="preserve"> </v>
      </c>
      <c r="E246" s="69" t="str">
        <f>IF(ISBLANK('ALL Other SINs - Proposal'!R246)," ",'ALL Other SINs - Proposal'!R246)</f>
        <v xml:space="preserve"> </v>
      </c>
      <c r="F246" s="73" t="str">
        <f>IF(ISBLANK('ALL Other SINs - Proposal'!S246)," ",'ALL Other SINs - Proposal'!S246)</f>
        <v xml:space="preserve"> </v>
      </c>
      <c r="G246" s="173" t="str">
        <f>IF(ISBLANK('ALL Other SINs - Proposal'!T246)," ",'ALL Other SINs - Proposal'!T246)</f>
        <v xml:space="preserve"> </v>
      </c>
      <c r="H246" s="275" t="str">
        <f>IF(ISBLANK('ALL Other SINs - Proposal'!V246)," ",'ALL Other SINs - Proposal'!V246)</f>
        <v xml:space="preserve"> </v>
      </c>
      <c r="I246" s="271" t="str">
        <f>IF(ISBLANK('ALL Other SINs - Proposal'!W246)," ",'ALL Other SINs - Proposal'!W246)</f>
        <v xml:space="preserve"> </v>
      </c>
      <c r="J246" s="71" t="str">
        <f>IF(ISBLANK('ALL Other SINs - Proposal'!X246)," ",'ALL Other SINs - Proposal'!X246)</f>
        <v xml:space="preserve"> </v>
      </c>
      <c r="K246" s="165" t="str">
        <f>IF(ISBLANK('ALL Other SINs - Proposal'!AA246)," ",'ALL Other SINs - Proposal'!AA246)</f>
        <v xml:space="preserve"> </v>
      </c>
      <c r="L246" s="178" t="str">
        <f>IF(ISBLANK('ALL Other SINs - Proposal'!AB246)," ",'ALL Other SINs - Proposal'!AB246)</f>
        <v xml:space="preserve"> </v>
      </c>
      <c r="M246" s="72" t="str">
        <f t="shared" si="6"/>
        <v xml:space="preserve"> </v>
      </c>
      <c r="N246" s="167" t="str">
        <f t="shared" si="7"/>
        <v xml:space="preserve"> </v>
      </c>
    </row>
    <row r="247" spans="1:14" ht="15" x14ac:dyDescent="0.25">
      <c r="A247" s="131" t="str">
        <f>IF(ISBLANK('ALL Other SINs - Proposal'!A247)," ",'ALL Other SINs - Proposal'!A247)</f>
        <v xml:space="preserve"> </v>
      </c>
      <c r="B247" s="137" t="str">
        <f>IF(ISBLANK('ALL Other SINs - Proposal'!B247)," ",'ALL Other SINs - Proposal'!B247)</f>
        <v xml:space="preserve"> </v>
      </c>
      <c r="C247" s="137" t="str">
        <f>IF(ISBLANK('ALL Other SINs - Proposal'!C247)," ",'ALL Other SINs - Proposal'!C247)</f>
        <v xml:space="preserve"> </v>
      </c>
      <c r="D247" s="138" t="str">
        <f>IF(ISBLANK('ALL Other SINs - Proposal'!D247)," ",'ALL Other SINs - Proposal'!D247)</f>
        <v xml:space="preserve"> </v>
      </c>
      <c r="E247" s="69" t="str">
        <f>IF(ISBLANK('ALL Other SINs - Proposal'!R247)," ",'ALL Other SINs - Proposal'!R247)</f>
        <v xml:space="preserve"> </v>
      </c>
      <c r="F247" s="73" t="str">
        <f>IF(ISBLANK('ALL Other SINs - Proposal'!S247)," ",'ALL Other SINs - Proposal'!S247)</f>
        <v xml:space="preserve"> </v>
      </c>
      <c r="G247" s="173" t="str">
        <f>IF(ISBLANK('ALL Other SINs - Proposal'!T247)," ",'ALL Other SINs - Proposal'!T247)</f>
        <v xml:space="preserve"> </v>
      </c>
      <c r="H247" s="275" t="str">
        <f>IF(ISBLANK('ALL Other SINs - Proposal'!V247)," ",'ALL Other SINs - Proposal'!V247)</f>
        <v xml:space="preserve"> </v>
      </c>
      <c r="I247" s="271" t="str">
        <f>IF(ISBLANK('ALL Other SINs - Proposal'!W247)," ",'ALL Other SINs - Proposal'!W247)</f>
        <v xml:space="preserve"> </v>
      </c>
      <c r="J247" s="71" t="str">
        <f>IF(ISBLANK('ALL Other SINs - Proposal'!X247)," ",'ALL Other SINs - Proposal'!X247)</f>
        <v xml:space="preserve"> </v>
      </c>
      <c r="K247" s="165" t="str">
        <f>IF(ISBLANK('ALL Other SINs - Proposal'!AA247)," ",'ALL Other SINs - Proposal'!AA247)</f>
        <v xml:space="preserve"> </v>
      </c>
      <c r="L247" s="178" t="str">
        <f>IF(ISBLANK('ALL Other SINs - Proposal'!AB247)," ",'ALL Other SINs - Proposal'!AB247)</f>
        <v xml:space="preserve"> </v>
      </c>
      <c r="M247" s="72" t="str">
        <f t="shared" si="6"/>
        <v xml:space="preserve"> </v>
      </c>
      <c r="N247" s="167" t="str">
        <f t="shared" si="7"/>
        <v xml:space="preserve"> </v>
      </c>
    </row>
    <row r="248" spans="1:14" ht="15" x14ac:dyDescent="0.25">
      <c r="A248" s="131" t="str">
        <f>IF(ISBLANK('ALL Other SINs - Proposal'!A248)," ",'ALL Other SINs - Proposal'!A248)</f>
        <v xml:space="preserve"> </v>
      </c>
      <c r="B248" s="137" t="str">
        <f>IF(ISBLANK('ALL Other SINs - Proposal'!B248)," ",'ALL Other SINs - Proposal'!B248)</f>
        <v xml:space="preserve"> </v>
      </c>
      <c r="C248" s="137" t="str">
        <f>IF(ISBLANK('ALL Other SINs - Proposal'!C248)," ",'ALL Other SINs - Proposal'!C248)</f>
        <v xml:space="preserve"> </v>
      </c>
      <c r="D248" s="138" t="str">
        <f>IF(ISBLANK('ALL Other SINs - Proposal'!D248)," ",'ALL Other SINs - Proposal'!D248)</f>
        <v xml:space="preserve"> </v>
      </c>
      <c r="E248" s="69" t="str">
        <f>IF(ISBLANK('ALL Other SINs - Proposal'!R248)," ",'ALL Other SINs - Proposal'!R248)</f>
        <v xml:space="preserve"> </v>
      </c>
      <c r="F248" s="73" t="str">
        <f>IF(ISBLANK('ALL Other SINs - Proposal'!S248)," ",'ALL Other SINs - Proposal'!S248)</f>
        <v xml:space="preserve"> </v>
      </c>
      <c r="G248" s="173" t="str">
        <f>IF(ISBLANK('ALL Other SINs - Proposal'!T248)," ",'ALL Other SINs - Proposal'!T248)</f>
        <v xml:space="preserve"> </v>
      </c>
      <c r="H248" s="275" t="str">
        <f>IF(ISBLANK('ALL Other SINs - Proposal'!V248)," ",'ALL Other SINs - Proposal'!V248)</f>
        <v xml:space="preserve"> </v>
      </c>
      <c r="I248" s="271" t="str">
        <f>IF(ISBLANK('ALL Other SINs - Proposal'!W248)," ",'ALL Other SINs - Proposal'!W248)</f>
        <v xml:space="preserve"> </v>
      </c>
      <c r="J248" s="71" t="str">
        <f>IF(ISBLANK('ALL Other SINs - Proposal'!X248)," ",'ALL Other SINs - Proposal'!X248)</f>
        <v xml:space="preserve"> </v>
      </c>
      <c r="K248" s="165" t="str">
        <f>IF(ISBLANK('ALL Other SINs - Proposal'!AA248)," ",'ALL Other SINs - Proposal'!AA248)</f>
        <v xml:space="preserve"> </v>
      </c>
      <c r="L248" s="178" t="str">
        <f>IF(ISBLANK('ALL Other SINs - Proposal'!AB248)," ",'ALL Other SINs - Proposal'!AB248)</f>
        <v xml:space="preserve"> </v>
      </c>
      <c r="M248" s="72" t="str">
        <f t="shared" si="6"/>
        <v xml:space="preserve"> </v>
      </c>
      <c r="N248" s="167" t="str">
        <f t="shared" si="7"/>
        <v xml:space="preserve"> </v>
      </c>
    </row>
    <row r="249" spans="1:14" ht="15" x14ac:dyDescent="0.25">
      <c r="A249" s="131" t="str">
        <f>IF(ISBLANK('ALL Other SINs - Proposal'!A249)," ",'ALL Other SINs - Proposal'!A249)</f>
        <v xml:space="preserve"> </v>
      </c>
      <c r="B249" s="137" t="str">
        <f>IF(ISBLANK('ALL Other SINs - Proposal'!B249)," ",'ALL Other SINs - Proposal'!B249)</f>
        <v xml:space="preserve"> </v>
      </c>
      <c r="C249" s="137" t="str">
        <f>IF(ISBLANK('ALL Other SINs - Proposal'!C249)," ",'ALL Other SINs - Proposal'!C249)</f>
        <v xml:space="preserve"> </v>
      </c>
      <c r="D249" s="138" t="str">
        <f>IF(ISBLANK('ALL Other SINs - Proposal'!D249)," ",'ALL Other SINs - Proposal'!D249)</f>
        <v xml:space="preserve"> </v>
      </c>
      <c r="E249" s="69" t="str">
        <f>IF(ISBLANK('ALL Other SINs - Proposal'!R249)," ",'ALL Other SINs - Proposal'!R249)</f>
        <v xml:space="preserve"> </v>
      </c>
      <c r="F249" s="73" t="str">
        <f>IF(ISBLANK('ALL Other SINs - Proposal'!S249)," ",'ALL Other SINs - Proposal'!S249)</f>
        <v xml:space="preserve"> </v>
      </c>
      <c r="G249" s="173" t="str">
        <f>IF(ISBLANK('ALL Other SINs - Proposal'!T249)," ",'ALL Other SINs - Proposal'!T249)</f>
        <v xml:space="preserve"> </v>
      </c>
      <c r="H249" s="275" t="str">
        <f>IF(ISBLANK('ALL Other SINs - Proposal'!V249)," ",'ALL Other SINs - Proposal'!V249)</f>
        <v xml:space="preserve"> </v>
      </c>
      <c r="I249" s="271" t="str">
        <f>IF(ISBLANK('ALL Other SINs - Proposal'!W249)," ",'ALL Other SINs - Proposal'!W249)</f>
        <v xml:space="preserve"> </v>
      </c>
      <c r="J249" s="71" t="str">
        <f>IF(ISBLANK('ALL Other SINs - Proposal'!X249)," ",'ALL Other SINs - Proposal'!X249)</f>
        <v xml:space="preserve"> </v>
      </c>
      <c r="K249" s="165" t="str">
        <f>IF(ISBLANK('ALL Other SINs - Proposal'!AA249)," ",'ALL Other SINs - Proposal'!AA249)</f>
        <v xml:space="preserve"> </v>
      </c>
      <c r="L249" s="178" t="str">
        <f>IF(ISBLANK('ALL Other SINs - Proposal'!AB249)," ",'ALL Other SINs - Proposal'!AB249)</f>
        <v xml:space="preserve"> </v>
      </c>
      <c r="M249" s="72" t="str">
        <f t="shared" si="6"/>
        <v xml:space="preserve"> </v>
      </c>
      <c r="N249" s="167" t="str">
        <f t="shared" si="7"/>
        <v xml:space="preserve"> </v>
      </c>
    </row>
    <row r="250" spans="1:14" ht="15" x14ac:dyDescent="0.25">
      <c r="A250" s="131" t="str">
        <f>IF(ISBLANK('ALL Other SINs - Proposal'!A250)," ",'ALL Other SINs - Proposal'!A250)</f>
        <v xml:space="preserve"> </v>
      </c>
      <c r="B250" s="137" t="str">
        <f>IF(ISBLANK('ALL Other SINs - Proposal'!B250)," ",'ALL Other SINs - Proposal'!B250)</f>
        <v xml:space="preserve"> </v>
      </c>
      <c r="C250" s="137" t="str">
        <f>IF(ISBLANK('ALL Other SINs - Proposal'!C250)," ",'ALL Other SINs - Proposal'!C250)</f>
        <v xml:space="preserve"> </v>
      </c>
      <c r="D250" s="138" t="str">
        <f>IF(ISBLANK('ALL Other SINs - Proposal'!D250)," ",'ALL Other SINs - Proposal'!D250)</f>
        <v xml:space="preserve"> </v>
      </c>
      <c r="E250" s="69" t="str">
        <f>IF(ISBLANK('ALL Other SINs - Proposal'!R250)," ",'ALL Other SINs - Proposal'!R250)</f>
        <v xml:space="preserve"> </v>
      </c>
      <c r="F250" s="73" t="str">
        <f>IF(ISBLANK('ALL Other SINs - Proposal'!S250)," ",'ALL Other SINs - Proposal'!S250)</f>
        <v xml:space="preserve"> </v>
      </c>
      <c r="G250" s="173" t="str">
        <f>IF(ISBLANK('ALL Other SINs - Proposal'!T250)," ",'ALL Other SINs - Proposal'!T250)</f>
        <v xml:space="preserve"> </v>
      </c>
      <c r="H250" s="275" t="str">
        <f>IF(ISBLANK('ALL Other SINs - Proposal'!V250)," ",'ALL Other SINs - Proposal'!V250)</f>
        <v xml:space="preserve"> </v>
      </c>
      <c r="I250" s="271" t="str">
        <f>IF(ISBLANK('ALL Other SINs - Proposal'!W250)," ",'ALL Other SINs - Proposal'!W250)</f>
        <v xml:space="preserve"> </v>
      </c>
      <c r="J250" s="71" t="str">
        <f>IF(ISBLANK('ALL Other SINs - Proposal'!X250)," ",'ALL Other SINs - Proposal'!X250)</f>
        <v xml:space="preserve"> </v>
      </c>
      <c r="K250" s="165" t="str">
        <f>IF(ISBLANK('ALL Other SINs - Proposal'!AA250)," ",'ALL Other SINs - Proposal'!AA250)</f>
        <v xml:space="preserve"> </v>
      </c>
      <c r="L250" s="178" t="str">
        <f>IF(ISBLANK('ALL Other SINs - Proposal'!AB250)," ",'ALL Other SINs - Proposal'!AB250)</f>
        <v xml:space="preserve"> </v>
      </c>
      <c r="M250" s="72" t="str">
        <f t="shared" si="6"/>
        <v xml:space="preserve"> </v>
      </c>
      <c r="N250" s="167" t="str">
        <f t="shared" si="7"/>
        <v xml:space="preserve"> </v>
      </c>
    </row>
    <row r="251" spans="1:14" ht="15" x14ac:dyDescent="0.25">
      <c r="A251" s="131" t="str">
        <f>IF(ISBLANK('ALL Other SINs - Proposal'!A251)," ",'ALL Other SINs - Proposal'!A251)</f>
        <v xml:space="preserve"> </v>
      </c>
      <c r="B251" s="137" t="str">
        <f>IF(ISBLANK('ALL Other SINs - Proposal'!B251)," ",'ALL Other SINs - Proposal'!B251)</f>
        <v xml:space="preserve"> </v>
      </c>
      <c r="C251" s="137" t="str">
        <f>IF(ISBLANK('ALL Other SINs - Proposal'!C251)," ",'ALL Other SINs - Proposal'!C251)</f>
        <v xml:space="preserve"> </v>
      </c>
      <c r="D251" s="138" t="str">
        <f>IF(ISBLANK('ALL Other SINs - Proposal'!D251)," ",'ALL Other SINs - Proposal'!D251)</f>
        <v xml:space="preserve"> </v>
      </c>
      <c r="E251" s="69" t="str">
        <f>IF(ISBLANK('ALL Other SINs - Proposal'!R251)," ",'ALL Other SINs - Proposal'!R251)</f>
        <v xml:space="preserve"> </v>
      </c>
      <c r="F251" s="73" t="str">
        <f>IF(ISBLANK('ALL Other SINs - Proposal'!S251)," ",'ALL Other SINs - Proposal'!S251)</f>
        <v xml:space="preserve"> </v>
      </c>
      <c r="G251" s="173" t="str">
        <f>IF(ISBLANK('ALL Other SINs - Proposal'!T251)," ",'ALL Other SINs - Proposal'!T251)</f>
        <v xml:space="preserve"> </v>
      </c>
      <c r="H251" s="275" t="str">
        <f>IF(ISBLANK('ALL Other SINs - Proposal'!V251)," ",'ALL Other SINs - Proposal'!V251)</f>
        <v xml:space="preserve"> </v>
      </c>
      <c r="I251" s="271" t="str">
        <f>IF(ISBLANK('ALL Other SINs - Proposal'!W251)," ",'ALL Other SINs - Proposal'!W251)</f>
        <v xml:space="preserve"> </v>
      </c>
      <c r="J251" s="71" t="str">
        <f>IF(ISBLANK('ALL Other SINs - Proposal'!X251)," ",'ALL Other SINs - Proposal'!X251)</f>
        <v xml:space="preserve"> </v>
      </c>
      <c r="K251" s="165" t="str">
        <f>IF(ISBLANK('ALL Other SINs - Proposal'!AA251)," ",'ALL Other SINs - Proposal'!AA251)</f>
        <v xml:space="preserve"> </v>
      </c>
      <c r="L251" s="178" t="str">
        <f>IF(ISBLANK('ALL Other SINs - Proposal'!AB251)," ",'ALL Other SINs - Proposal'!AB251)</f>
        <v xml:space="preserve"> </v>
      </c>
      <c r="M251" s="72" t="str">
        <f t="shared" si="6"/>
        <v xml:space="preserve"> </v>
      </c>
      <c r="N251" s="167" t="str">
        <f t="shared" si="7"/>
        <v xml:space="preserve"> </v>
      </c>
    </row>
    <row r="252" spans="1:14" ht="15" x14ac:dyDescent="0.25">
      <c r="A252" s="131" t="str">
        <f>IF(ISBLANK('ALL Other SINs - Proposal'!A252)," ",'ALL Other SINs - Proposal'!A252)</f>
        <v xml:space="preserve"> </v>
      </c>
      <c r="B252" s="137" t="str">
        <f>IF(ISBLANK('ALL Other SINs - Proposal'!B252)," ",'ALL Other SINs - Proposal'!B252)</f>
        <v xml:space="preserve"> </v>
      </c>
      <c r="C252" s="137" t="str">
        <f>IF(ISBLANK('ALL Other SINs - Proposal'!C252)," ",'ALL Other SINs - Proposal'!C252)</f>
        <v xml:space="preserve"> </v>
      </c>
      <c r="D252" s="138" t="str">
        <f>IF(ISBLANK('ALL Other SINs - Proposal'!D252)," ",'ALL Other SINs - Proposal'!D252)</f>
        <v xml:space="preserve"> </v>
      </c>
      <c r="E252" s="69" t="str">
        <f>IF(ISBLANK('ALL Other SINs - Proposal'!R252)," ",'ALL Other SINs - Proposal'!R252)</f>
        <v xml:space="preserve"> </v>
      </c>
      <c r="F252" s="73" t="str">
        <f>IF(ISBLANK('ALL Other SINs - Proposal'!S252)," ",'ALL Other SINs - Proposal'!S252)</f>
        <v xml:space="preserve"> </v>
      </c>
      <c r="G252" s="173" t="str">
        <f>IF(ISBLANK('ALL Other SINs - Proposal'!T252)," ",'ALL Other SINs - Proposal'!T252)</f>
        <v xml:space="preserve"> </v>
      </c>
      <c r="H252" s="275" t="str">
        <f>IF(ISBLANK('ALL Other SINs - Proposal'!V252)," ",'ALL Other SINs - Proposal'!V252)</f>
        <v xml:space="preserve"> </v>
      </c>
      <c r="I252" s="271" t="str">
        <f>IF(ISBLANK('ALL Other SINs - Proposal'!W252)," ",'ALL Other SINs - Proposal'!W252)</f>
        <v xml:space="preserve"> </v>
      </c>
      <c r="J252" s="71" t="str">
        <f>IF(ISBLANK('ALL Other SINs - Proposal'!X252)," ",'ALL Other SINs - Proposal'!X252)</f>
        <v xml:space="preserve"> </v>
      </c>
      <c r="K252" s="165" t="str">
        <f>IF(ISBLANK('ALL Other SINs - Proposal'!AA252)," ",'ALL Other SINs - Proposal'!AA252)</f>
        <v xml:space="preserve"> </v>
      </c>
      <c r="L252" s="178" t="str">
        <f>IF(ISBLANK('ALL Other SINs - Proposal'!AB252)," ",'ALL Other SINs - Proposal'!AB252)</f>
        <v xml:space="preserve"> </v>
      </c>
      <c r="M252" s="72" t="str">
        <f t="shared" si="6"/>
        <v xml:space="preserve"> </v>
      </c>
      <c r="N252" s="167" t="str">
        <f t="shared" si="7"/>
        <v xml:space="preserve"> </v>
      </c>
    </row>
    <row r="253" spans="1:14" ht="15" x14ac:dyDescent="0.25">
      <c r="A253" s="131" t="str">
        <f>IF(ISBLANK('ALL Other SINs - Proposal'!A253)," ",'ALL Other SINs - Proposal'!A253)</f>
        <v xml:space="preserve"> </v>
      </c>
      <c r="B253" s="137" t="str">
        <f>IF(ISBLANK('ALL Other SINs - Proposal'!B253)," ",'ALL Other SINs - Proposal'!B253)</f>
        <v xml:space="preserve"> </v>
      </c>
      <c r="C253" s="137" t="str">
        <f>IF(ISBLANK('ALL Other SINs - Proposal'!C253)," ",'ALL Other SINs - Proposal'!C253)</f>
        <v xml:space="preserve"> </v>
      </c>
      <c r="D253" s="138" t="str">
        <f>IF(ISBLANK('ALL Other SINs - Proposal'!D253)," ",'ALL Other SINs - Proposal'!D253)</f>
        <v xml:space="preserve"> </v>
      </c>
      <c r="E253" s="69" t="str">
        <f>IF(ISBLANK('ALL Other SINs - Proposal'!R253)," ",'ALL Other SINs - Proposal'!R253)</f>
        <v xml:space="preserve"> </v>
      </c>
      <c r="F253" s="73" t="str">
        <f>IF(ISBLANK('ALL Other SINs - Proposal'!S253)," ",'ALL Other SINs - Proposal'!S253)</f>
        <v xml:space="preserve"> </v>
      </c>
      <c r="G253" s="173" t="str">
        <f>IF(ISBLANK('ALL Other SINs - Proposal'!T253)," ",'ALL Other SINs - Proposal'!T253)</f>
        <v xml:space="preserve"> </v>
      </c>
      <c r="H253" s="275" t="str">
        <f>IF(ISBLANK('ALL Other SINs - Proposal'!V253)," ",'ALL Other SINs - Proposal'!V253)</f>
        <v xml:space="preserve"> </v>
      </c>
      <c r="I253" s="271" t="str">
        <f>IF(ISBLANK('ALL Other SINs - Proposal'!W253)," ",'ALL Other SINs - Proposal'!W253)</f>
        <v xml:space="preserve"> </v>
      </c>
      <c r="J253" s="71" t="str">
        <f>IF(ISBLANK('ALL Other SINs - Proposal'!X253)," ",'ALL Other SINs - Proposal'!X253)</f>
        <v xml:space="preserve"> </v>
      </c>
      <c r="K253" s="165" t="str">
        <f>IF(ISBLANK('ALL Other SINs - Proposal'!AA253)," ",'ALL Other SINs - Proposal'!AA253)</f>
        <v xml:space="preserve"> </v>
      </c>
      <c r="L253" s="178" t="str">
        <f>IF(ISBLANK('ALL Other SINs - Proposal'!AB253)," ",'ALL Other SINs - Proposal'!AB253)</f>
        <v xml:space="preserve"> </v>
      </c>
      <c r="M253" s="72" t="str">
        <f t="shared" si="6"/>
        <v xml:space="preserve"> </v>
      </c>
      <c r="N253" s="167" t="str">
        <f t="shared" si="7"/>
        <v xml:space="preserve"> </v>
      </c>
    </row>
    <row r="254" spans="1:14" ht="15" x14ac:dyDescent="0.25">
      <c r="A254" s="131" t="str">
        <f>IF(ISBLANK('ALL Other SINs - Proposal'!A254)," ",'ALL Other SINs - Proposal'!A254)</f>
        <v xml:space="preserve"> </v>
      </c>
      <c r="B254" s="137" t="str">
        <f>IF(ISBLANK('ALL Other SINs - Proposal'!B254)," ",'ALL Other SINs - Proposal'!B254)</f>
        <v xml:space="preserve"> </v>
      </c>
      <c r="C254" s="137" t="str">
        <f>IF(ISBLANK('ALL Other SINs - Proposal'!C254)," ",'ALL Other SINs - Proposal'!C254)</f>
        <v xml:space="preserve"> </v>
      </c>
      <c r="D254" s="138" t="str">
        <f>IF(ISBLANK('ALL Other SINs - Proposal'!D254)," ",'ALL Other SINs - Proposal'!D254)</f>
        <v xml:space="preserve"> </v>
      </c>
      <c r="E254" s="69" t="str">
        <f>IF(ISBLANK('ALL Other SINs - Proposal'!R254)," ",'ALL Other SINs - Proposal'!R254)</f>
        <v xml:space="preserve"> </v>
      </c>
      <c r="F254" s="73" t="str">
        <f>IF(ISBLANK('ALL Other SINs - Proposal'!S254)," ",'ALL Other SINs - Proposal'!S254)</f>
        <v xml:space="preserve"> </v>
      </c>
      <c r="G254" s="173" t="str">
        <f>IF(ISBLANK('ALL Other SINs - Proposal'!T254)," ",'ALL Other SINs - Proposal'!T254)</f>
        <v xml:space="preserve"> </v>
      </c>
      <c r="H254" s="275" t="str">
        <f>IF(ISBLANK('ALL Other SINs - Proposal'!V254)," ",'ALL Other SINs - Proposal'!V254)</f>
        <v xml:space="preserve"> </v>
      </c>
      <c r="I254" s="271" t="str">
        <f>IF(ISBLANK('ALL Other SINs - Proposal'!W254)," ",'ALL Other SINs - Proposal'!W254)</f>
        <v xml:space="preserve"> </v>
      </c>
      <c r="J254" s="71" t="str">
        <f>IF(ISBLANK('ALL Other SINs - Proposal'!X254)," ",'ALL Other SINs - Proposal'!X254)</f>
        <v xml:space="preserve"> </v>
      </c>
      <c r="K254" s="165" t="str">
        <f>IF(ISBLANK('ALL Other SINs - Proposal'!AA254)," ",'ALL Other SINs - Proposal'!AA254)</f>
        <v xml:space="preserve"> </v>
      </c>
      <c r="L254" s="178" t="str">
        <f>IF(ISBLANK('ALL Other SINs - Proposal'!AB254)," ",'ALL Other SINs - Proposal'!AB254)</f>
        <v xml:space="preserve"> </v>
      </c>
      <c r="M254" s="72" t="str">
        <f t="shared" si="6"/>
        <v xml:space="preserve"> </v>
      </c>
      <c r="N254" s="167" t="str">
        <f t="shared" si="7"/>
        <v xml:space="preserve"> </v>
      </c>
    </row>
    <row r="255" spans="1:14" ht="15" x14ac:dyDescent="0.25">
      <c r="A255" s="131" t="str">
        <f>IF(ISBLANK('ALL Other SINs - Proposal'!A255)," ",'ALL Other SINs - Proposal'!A255)</f>
        <v xml:space="preserve"> </v>
      </c>
      <c r="B255" s="137" t="str">
        <f>IF(ISBLANK('ALL Other SINs - Proposal'!B255)," ",'ALL Other SINs - Proposal'!B255)</f>
        <v xml:space="preserve"> </v>
      </c>
      <c r="C255" s="137" t="str">
        <f>IF(ISBLANK('ALL Other SINs - Proposal'!C255)," ",'ALL Other SINs - Proposal'!C255)</f>
        <v xml:space="preserve"> </v>
      </c>
      <c r="D255" s="138" t="str">
        <f>IF(ISBLANK('ALL Other SINs - Proposal'!D255)," ",'ALL Other SINs - Proposal'!D255)</f>
        <v xml:space="preserve"> </v>
      </c>
      <c r="E255" s="69" t="str">
        <f>IF(ISBLANK('ALL Other SINs - Proposal'!R255)," ",'ALL Other SINs - Proposal'!R255)</f>
        <v xml:space="preserve"> </v>
      </c>
      <c r="F255" s="73" t="str">
        <f>IF(ISBLANK('ALL Other SINs - Proposal'!S255)," ",'ALL Other SINs - Proposal'!S255)</f>
        <v xml:space="preserve"> </v>
      </c>
      <c r="G255" s="173" t="str">
        <f>IF(ISBLANK('ALL Other SINs - Proposal'!T255)," ",'ALL Other SINs - Proposal'!T255)</f>
        <v xml:space="preserve"> </v>
      </c>
      <c r="H255" s="275" t="str">
        <f>IF(ISBLANK('ALL Other SINs - Proposal'!V255)," ",'ALL Other SINs - Proposal'!V255)</f>
        <v xml:space="preserve"> </v>
      </c>
      <c r="I255" s="271" t="str">
        <f>IF(ISBLANK('ALL Other SINs - Proposal'!W255)," ",'ALL Other SINs - Proposal'!W255)</f>
        <v xml:space="preserve"> </v>
      </c>
      <c r="J255" s="71" t="str">
        <f>IF(ISBLANK('ALL Other SINs - Proposal'!X255)," ",'ALL Other SINs - Proposal'!X255)</f>
        <v xml:space="preserve"> </v>
      </c>
      <c r="K255" s="165" t="str">
        <f>IF(ISBLANK('ALL Other SINs - Proposal'!AA255)," ",'ALL Other SINs - Proposal'!AA255)</f>
        <v xml:space="preserve"> </v>
      </c>
      <c r="L255" s="178" t="str">
        <f>IF(ISBLANK('ALL Other SINs - Proposal'!AB255)," ",'ALL Other SINs - Proposal'!AB255)</f>
        <v xml:space="preserve"> </v>
      </c>
      <c r="M255" s="72" t="str">
        <f t="shared" si="6"/>
        <v xml:space="preserve"> </v>
      </c>
      <c r="N255" s="167" t="str">
        <f t="shared" si="7"/>
        <v xml:space="preserve"> </v>
      </c>
    </row>
    <row r="256" spans="1:14" ht="15" x14ac:dyDescent="0.25">
      <c r="A256" s="131" t="str">
        <f>IF(ISBLANK('ALL Other SINs - Proposal'!A256)," ",'ALL Other SINs - Proposal'!A256)</f>
        <v xml:space="preserve"> </v>
      </c>
      <c r="B256" s="137" t="str">
        <f>IF(ISBLANK('ALL Other SINs - Proposal'!B256)," ",'ALL Other SINs - Proposal'!B256)</f>
        <v xml:space="preserve"> </v>
      </c>
      <c r="C256" s="137" t="str">
        <f>IF(ISBLANK('ALL Other SINs - Proposal'!C256)," ",'ALL Other SINs - Proposal'!C256)</f>
        <v xml:space="preserve"> </v>
      </c>
      <c r="D256" s="138" t="str">
        <f>IF(ISBLANK('ALL Other SINs - Proposal'!D256)," ",'ALL Other SINs - Proposal'!D256)</f>
        <v xml:space="preserve"> </v>
      </c>
      <c r="E256" s="69" t="str">
        <f>IF(ISBLANK('ALL Other SINs - Proposal'!R256)," ",'ALL Other SINs - Proposal'!R256)</f>
        <v xml:space="preserve"> </v>
      </c>
      <c r="F256" s="73" t="str">
        <f>IF(ISBLANK('ALL Other SINs - Proposal'!S256)," ",'ALL Other SINs - Proposal'!S256)</f>
        <v xml:space="preserve"> </v>
      </c>
      <c r="G256" s="173" t="str">
        <f>IF(ISBLANK('ALL Other SINs - Proposal'!T256)," ",'ALL Other SINs - Proposal'!T256)</f>
        <v xml:space="preserve"> </v>
      </c>
      <c r="H256" s="275" t="str">
        <f>IF(ISBLANK('ALL Other SINs - Proposal'!V256)," ",'ALL Other SINs - Proposal'!V256)</f>
        <v xml:space="preserve"> </v>
      </c>
      <c r="I256" s="271" t="str">
        <f>IF(ISBLANK('ALL Other SINs - Proposal'!W256)," ",'ALL Other SINs - Proposal'!W256)</f>
        <v xml:space="preserve"> </v>
      </c>
      <c r="J256" s="71" t="str">
        <f>IF(ISBLANK('ALL Other SINs - Proposal'!X256)," ",'ALL Other SINs - Proposal'!X256)</f>
        <v xml:space="preserve"> </v>
      </c>
      <c r="K256" s="165" t="str">
        <f>IF(ISBLANK('ALL Other SINs - Proposal'!AA256)," ",'ALL Other SINs - Proposal'!AA256)</f>
        <v xml:space="preserve"> </v>
      </c>
      <c r="L256" s="178" t="str">
        <f>IF(ISBLANK('ALL Other SINs - Proposal'!AB256)," ",'ALL Other SINs - Proposal'!AB256)</f>
        <v xml:space="preserve"> </v>
      </c>
      <c r="M256" s="72" t="str">
        <f t="shared" si="6"/>
        <v xml:space="preserve"> </v>
      </c>
      <c r="N256" s="167" t="str">
        <f t="shared" si="7"/>
        <v xml:space="preserve"> </v>
      </c>
    </row>
    <row r="257" spans="1:14" ht="15" x14ac:dyDescent="0.25">
      <c r="A257" s="131" t="str">
        <f>IF(ISBLANK('ALL Other SINs - Proposal'!A257)," ",'ALL Other SINs - Proposal'!A257)</f>
        <v xml:space="preserve"> </v>
      </c>
      <c r="B257" s="137" t="str">
        <f>IF(ISBLANK('ALL Other SINs - Proposal'!B257)," ",'ALL Other SINs - Proposal'!B257)</f>
        <v xml:space="preserve"> </v>
      </c>
      <c r="C257" s="137" t="str">
        <f>IF(ISBLANK('ALL Other SINs - Proposal'!C257)," ",'ALL Other SINs - Proposal'!C257)</f>
        <v xml:space="preserve"> </v>
      </c>
      <c r="D257" s="138" t="str">
        <f>IF(ISBLANK('ALL Other SINs - Proposal'!D257)," ",'ALL Other SINs - Proposal'!D257)</f>
        <v xml:space="preserve"> </v>
      </c>
      <c r="E257" s="69" t="str">
        <f>IF(ISBLANK('ALL Other SINs - Proposal'!R257)," ",'ALL Other SINs - Proposal'!R257)</f>
        <v xml:space="preserve"> </v>
      </c>
      <c r="F257" s="73" t="str">
        <f>IF(ISBLANK('ALL Other SINs - Proposal'!S257)," ",'ALL Other SINs - Proposal'!S257)</f>
        <v xml:space="preserve"> </v>
      </c>
      <c r="G257" s="173" t="str">
        <f>IF(ISBLANK('ALL Other SINs - Proposal'!T257)," ",'ALL Other SINs - Proposal'!T257)</f>
        <v xml:space="preserve"> </v>
      </c>
      <c r="H257" s="275" t="str">
        <f>IF(ISBLANK('ALL Other SINs - Proposal'!V257)," ",'ALL Other SINs - Proposal'!V257)</f>
        <v xml:space="preserve"> </v>
      </c>
      <c r="I257" s="271" t="str">
        <f>IF(ISBLANK('ALL Other SINs - Proposal'!W257)," ",'ALL Other SINs - Proposal'!W257)</f>
        <v xml:space="preserve"> </v>
      </c>
      <c r="J257" s="71" t="str">
        <f>IF(ISBLANK('ALL Other SINs - Proposal'!X257)," ",'ALL Other SINs - Proposal'!X257)</f>
        <v xml:space="preserve"> </v>
      </c>
      <c r="K257" s="165" t="str">
        <f>IF(ISBLANK('ALL Other SINs - Proposal'!AA257)," ",'ALL Other SINs - Proposal'!AA257)</f>
        <v xml:space="preserve"> </v>
      </c>
      <c r="L257" s="178" t="str">
        <f>IF(ISBLANK('ALL Other SINs - Proposal'!AB257)," ",'ALL Other SINs - Proposal'!AB257)</f>
        <v xml:space="preserve"> </v>
      </c>
      <c r="M257" s="72" t="str">
        <f t="shared" si="6"/>
        <v xml:space="preserve"> </v>
      </c>
      <c r="N257" s="167" t="str">
        <f t="shared" si="7"/>
        <v xml:space="preserve"> </v>
      </c>
    </row>
    <row r="258" spans="1:14" ht="15" x14ac:dyDescent="0.25">
      <c r="A258" s="131" t="str">
        <f>IF(ISBLANK('ALL Other SINs - Proposal'!A258)," ",'ALL Other SINs - Proposal'!A258)</f>
        <v xml:space="preserve"> </v>
      </c>
      <c r="B258" s="137" t="str">
        <f>IF(ISBLANK('ALL Other SINs - Proposal'!B258)," ",'ALL Other SINs - Proposal'!B258)</f>
        <v xml:space="preserve"> </v>
      </c>
      <c r="C258" s="137" t="str">
        <f>IF(ISBLANK('ALL Other SINs - Proposal'!C258)," ",'ALL Other SINs - Proposal'!C258)</f>
        <v xml:space="preserve"> </v>
      </c>
      <c r="D258" s="138" t="str">
        <f>IF(ISBLANK('ALL Other SINs - Proposal'!D258)," ",'ALL Other SINs - Proposal'!D258)</f>
        <v xml:space="preserve"> </v>
      </c>
      <c r="E258" s="69" t="str">
        <f>IF(ISBLANK('ALL Other SINs - Proposal'!R258)," ",'ALL Other SINs - Proposal'!R258)</f>
        <v xml:space="preserve"> </v>
      </c>
      <c r="F258" s="73" t="str">
        <f>IF(ISBLANK('ALL Other SINs - Proposal'!S258)," ",'ALL Other SINs - Proposal'!S258)</f>
        <v xml:space="preserve"> </v>
      </c>
      <c r="G258" s="173" t="str">
        <f>IF(ISBLANK('ALL Other SINs - Proposal'!T258)," ",'ALL Other SINs - Proposal'!T258)</f>
        <v xml:space="preserve"> </v>
      </c>
      <c r="H258" s="275" t="str">
        <f>IF(ISBLANK('ALL Other SINs - Proposal'!V258)," ",'ALL Other SINs - Proposal'!V258)</f>
        <v xml:space="preserve"> </v>
      </c>
      <c r="I258" s="271" t="str">
        <f>IF(ISBLANK('ALL Other SINs - Proposal'!W258)," ",'ALL Other SINs - Proposal'!W258)</f>
        <v xml:space="preserve"> </v>
      </c>
      <c r="J258" s="71" t="str">
        <f>IF(ISBLANK('ALL Other SINs - Proposal'!X258)," ",'ALL Other SINs - Proposal'!X258)</f>
        <v xml:space="preserve"> </v>
      </c>
      <c r="K258" s="165" t="str">
        <f>IF(ISBLANK('ALL Other SINs - Proposal'!AA258)," ",'ALL Other SINs - Proposal'!AA258)</f>
        <v xml:space="preserve"> </v>
      </c>
      <c r="L258" s="178" t="str">
        <f>IF(ISBLANK('ALL Other SINs - Proposal'!AB258)," ",'ALL Other SINs - Proposal'!AB258)</f>
        <v xml:space="preserve"> </v>
      </c>
      <c r="M258" s="72" t="str">
        <f t="shared" si="6"/>
        <v xml:space="preserve"> </v>
      </c>
      <c r="N258" s="167" t="str">
        <f t="shared" si="7"/>
        <v xml:space="preserve"> </v>
      </c>
    </row>
    <row r="259" spans="1:14" ht="15" x14ac:dyDescent="0.25">
      <c r="A259" s="131" t="str">
        <f>IF(ISBLANK('ALL Other SINs - Proposal'!A259)," ",'ALL Other SINs - Proposal'!A259)</f>
        <v xml:space="preserve"> </v>
      </c>
      <c r="B259" s="137" t="str">
        <f>IF(ISBLANK('ALL Other SINs - Proposal'!B259)," ",'ALL Other SINs - Proposal'!B259)</f>
        <v xml:space="preserve"> </v>
      </c>
      <c r="C259" s="137" t="str">
        <f>IF(ISBLANK('ALL Other SINs - Proposal'!C259)," ",'ALL Other SINs - Proposal'!C259)</f>
        <v xml:space="preserve"> </v>
      </c>
      <c r="D259" s="138" t="str">
        <f>IF(ISBLANK('ALL Other SINs - Proposal'!D259)," ",'ALL Other SINs - Proposal'!D259)</f>
        <v xml:space="preserve"> </v>
      </c>
      <c r="E259" s="69" t="str">
        <f>IF(ISBLANK('ALL Other SINs - Proposal'!R259)," ",'ALL Other SINs - Proposal'!R259)</f>
        <v xml:space="preserve"> </v>
      </c>
      <c r="F259" s="73" t="str">
        <f>IF(ISBLANK('ALL Other SINs - Proposal'!S259)," ",'ALL Other SINs - Proposal'!S259)</f>
        <v xml:space="preserve"> </v>
      </c>
      <c r="G259" s="173" t="str">
        <f>IF(ISBLANK('ALL Other SINs - Proposal'!T259)," ",'ALL Other SINs - Proposal'!T259)</f>
        <v xml:space="preserve"> </v>
      </c>
      <c r="H259" s="275" t="str">
        <f>IF(ISBLANK('ALL Other SINs - Proposal'!V259)," ",'ALL Other SINs - Proposal'!V259)</f>
        <v xml:space="preserve"> </v>
      </c>
      <c r="I259" s="271" t="str">
        <f>IF(ISBLANK('ALL Other SINs - Proposal'!W259)," ",'ALL Other SINs - Proposal'!W259)</f>
        <v xml:space="preserve"> </v>
      </c>
      <c r="J259" s="71" t="str">
        <f>IF(ISBLANK('ALL Other SINs - Proposal'!X259)," ",'ALL Other SINs - Proposal'!X259)</f>
        <v xml:space="preserve"> </v>
      </c>
      <c r="K259" s="165" t="str">
        <f>IF(ISBLANK('ALL Other SINs - Proposal'!AA259)," ",'ALL Other SINs - Proposal'!AA259)</f>
        <v xml:space="preserve"> </v>
      </c>
      <c r="L259" s="178" t="str">
        <f>IF(ISBLANK('ALL Other SINs - Proposal'!AB259)," ",'ALL Other SINs - Proposal'!AB259)</f>
        <v xml:space="preserve"> </v>
      </c>
      <c r="M259" s="72" t="str">
        <f t="shared" ref="M259:M322" si="8">IFERROR(IF((ROUND(K259,2))&lt;=(ROUND(F259,2)),"YES","NO")," ")</f>
        <v xml:space="preserve"> </v>
      </c>
      <c r="N259" s="167" t="str">
        <f t="shared" ref="N259:N322" si="9">IFERROR(IF(ISBLANK(K259)," ",(ROUND(K259,2))/(ROUND(I259,2)))," ")</f>
        <v xml:space="preserve"> </v>
      </c>
    </row>
    <row r="260" spans="1:14" ht="15" x14ac:dyDescent="0.25">
      <c r="A260" s="131" t="str">
        <f>IF(ISBLANK('ALL Other SINs - Proposal'!A260)," ",'ALL Other SINs - Proposal'!A260)</f>
        <v xml:space="preserve"> </v>
      </c>
      <c r="B260" s="137" t="str">
        <f>IF(ISBLANK('ALL Other SINs - Proposal'!B260)," ",'ALL Other SINs - Proposal'!B260)</f>
        <v xml:space="preserve"> </v>
      </c>
      <c r="C260" s="137" t="str">
        <f>IF(ISBLANK('ALL Other SINs - Proposal'!C260)," ",'ALL Other SINs - Proposal'!C260)</f>
        <v xml:space="preserve"> </v>
      </c>
      <c r="D260" s="138" t="str">
        <f>IF(ISBLANK('ALL Other SINs - Proposal'!D260)," ",'ALL Other SINs - Proposal'!D260)</f>
        <v xml:space="preserve"> </v>
      </c>
      <c r="E260" s="69" t="str">
        <f>IF(ISBLANK('ALL Other SINs - Proposal'!R260)," ",'ALL Other SINs - Proposal'!R260)</f>
        <v xml:space="preserve"> </v>
      </c>
      <c r="F260" s="73" t="str">
        <f>IF(ISBLANK('ALL Other SINs - Proposal'!S260)," ",'ALL Other SINs - Proposal'!S260)</f>
        <v xml:space="preserve"> </v>
      </c>
      <c r="G260" s="173" t="str">
        <f>IF(ISBLANK('ALL Other SINs - Proposal'!T260)," ",'ALL Other SINs - Proposal'!T260)</f>
        <v xml:space="preserve"> </v>
      </c>
      <c r="H260" s="275" t="str">
        <f>IF(ISBLANK('ALL Other SINs - Proposal'!V260)," ",'ALL Other SINs - Proposal'!V260)</f>
        <v xml:space="preserve"> </v>
      </c>
      <c r="I260" s="271" t="str">
        <f>IF(ISBLANK('ALL Other SINs - Proposal'!W260)," ",'ALL Other SINs - Proposal'!W260)</f>
        <v xml:space="preserve"> </v>
      </c>
      <c r="J260" s="71" t="str">
        <f>IF(ISBLANK('ALL Other SINs - Proposal'!X260)," ",'ALL Other SINs - Proposal'!X260)</f>
        <v xml:space="preserve"> </v>
      </c>
      <c r="K260" s="165" t="str">
        <f>IF(ISBLANK('ALL Other SINs - Proposal'!AA260)," ",'ALL Other SINs - Proposal'!AA260)</f>
        <v xml:space="preserve"> </v>
      </c>
      <c r="L260" s="178" t="str">
        <f>IF(ISBLANK('ALL Other SINs - Proposal'!AB260)," ",'ALL Other SINs - Proposal'!AB260)</f>
        <v xml:space="preserve"> </v>
      </c>
      <c r="M260" s="72" t="str">
        <f t="shared" si="8"/>
        <v xml:space="preserve"> </v>
      </c>
      <c r="N260" s="167" t="str">
        <f t="shared" si="9"/>
        <v xml:space="preserve"> </v>
      </c>
    </row>
    <row r="261" spans="1:14" ht="15" x14ac:dyDescent="0.25">
      <c r="A261" s="131" t="str">
        <f>IF(ISBLANK('ALL Other SINs - Proposal'!A261)," ",'ALL Other SINs - Proposal'!A261)</f>
        <v xml:space="preserve"> </v>
      </c>
      <c r="B261" s="137" t="str">
        <f>IF(ISBLANK('ALL Other SINs - Proposal'!B261)," ",'ALL Other SINs - Proposal'!B261)</f>
        <v xml:space="preserve"> </v>
      </c>
      <c r="C261" s="137" t="str">
        <f>IF(ISBLANK('ALL Other SINs - Proposal'!C261)," ",'ALL Other SINs - Proposal'!C261)</f>
        <v xml:space="preserve"> </v>
      </c>
      <c r="D261" s="138" t="str">
        <f>IF(ISBLANK('ALL Other SINs - Proposal'!D261)," ",'ALL Other SINs - Proposal'!D261)</f>
        <v xml:space="preserve"> </v>
      </c>
      <c r="E261" s="69" t="str">
        <f>IF(ISBLANK('ALL Other SINs - Proposal'!R261)," ",'ALL Other SINs - Proposal'!R261)</f>
        <v xml:space="preserve"> </v>
      </c>
      <c r="F261" s="73" t="str">
        <f>IF(ISBLANK('ALL Other SINs - Proposal'!S261)," ",'ALL Other SINs - Proposal'!S261)</f>
        <v xml:space="preserve"> </v>
      </c>
      <c r="G261" s="173" t="str">
        <f>IF(ISBLANK('ALL Other SINs - Proposal'!T261)," ",'ALL Other SINs - Proposal'!T261)</f>
        <v xml:space="preserve"> </v>
      </c>
      <c r="H261" s="275" t="str">
        <f>IF(ISBLANK('ALL Other SINs - Proposal'!V261)," ",'ALL Other SINs - Proposal'!V261)</f>
        <v xml:space="preserve"> </v>
      </c>
      <c r="I261" s="271" t="str">
        <f>IF(ISBLANK('ALL Other SINs - Proposal'!W261)," ",'ALL Other SINs - Proposal'!W261)</f>
        <v xml:space="preserve"> </v>
      </c>
      <c r="J261" s="71" t="str">
        <f>IF(ISBLANK('ALL Other SINs - Proposal'!X261)," ",'ALL Other SINs - Proposal'!X261)</f>
        <v xml:space="preserve"> </v>
      </c>
      <c r="K261" s="165" t="str">
        <f>IF(ISBLANK('ALL Other SINs - Proposal'!AA261)," ",'ALL Other SINs - Proposal'!AA261)</f>
        <v xml:space="preserve"> </v>
      </c>
      <c r="L261" s="178" t="str">
        <f>IF(ISBLANK('ALL Other SINs - Proposal'!AB261)," ",'ALL Other SINs - Proposal'!AB261)</f>
        <v xml:space="preserve"> </v>
      </c>
      <c r="M261" s="72" t="str">
        <f t="shared" si="8"/>
        <v xml:space="preserve"> </v>
      </c>
      <c r="N261" s="167" t="str">
        <f t="shared" si="9"/>
        <v xml:space="preserve"> </v>
      </c>
    </row>
    <row r="262" spans="1:14" ht="15" x14ac:dyDescent="0.25">
      <c r="A262" s="131" t="str">
        <f>IF(ISBLANK('ALL Other SINs - Proposal'!A262)," ",'ALL Other SINs - Proposal'!A262)</f>
        <v xml:space="preserve"> </v>
      </c>
      <c r="B262" s="137" t="str">
        <f>IF(ISBLANK('ALL Other SINs - Proposal'!B262)," ",'ALL Other SINs - Proposal'!B262)</f>
        <v xml:space="preserve"> </v>
      </c>
      <c r="C262" s="137" t="str">
        <f>IF(ISBLANK('ALL Other SINs - Proposal'!C262)," ",'ALL Other SINs - Proposal'!C262)</f>
        <v xml:space="preserve"> </v>
      </c>
      <c r="D262" s="138" t="str">
        <f>IF(ISBLANK('ALL Other SINs - Proposal'!D262)," ",'ALL Other SINs - Proposal'!D262)</f>
        <v xml:space="preserve"> </v>
      </c>
      <c r="E262" s="69" t="str">
        <f>IF(ISBLANK('ALL Other SINs - Proposal'!R262)," ",'ALL Other SINs - Proposal'!R262)</f>
        <v xml:space="preserve"> </v>
      </c>
      <c r="F262" s="73" t="str">
        <f>IF(ISBLANK('ALL Other SINs - Proposal'!S262)," ",'ALL Other SINs - Proposal'!S262)</f>
        <v xml:space="preserve"> </v>
      </c>
      <c r="G262" s="173" t="str">
        <f>IF(ISBLANK('ALL Other SINs - Proposal'!T262)," ",'ALL Other SINs - Proposal'!T262)</f>
        <v xml:space="preserve"> </v>
      </c>
      <c r="H262" s="275" t="str">
        <f>IF(ISBLANK('ALL Other SINs - Proposal'!V262)," ",'ALL Other SINs - Proposal'!V262)</f>
        <v xml:space="preserve"> </v>
      </c>
      <c r="I262" s="271" t="str">
        <f>IF(ISBLANK('ALL Other SINs - Proposal'!W262)," ",'ALL Other SINs - Proposal'!W262)</f>
        <v xml:space="preserve"> </v>
      </c>
      <c r="J262" s="71" t="str">
        <f>IF(ISBLANK('ALL Other SINs - Proposal'!X262)," ",'ALL Other SINs - Proposal'!X262)</f>
        <v xml:space="preserve"> </v>
      </c>
      <c r="K262" s="165" t="str">
        <f>IF(ISBLANK('ALL Other SINs - Proposal'!AA262)," ",'ALL Other SINs - Proposal'!AA262)</f>
        <v xml:space="preserve"> </v>
      </c>
      <c r="L262" s="178" t="str">
        <f>IF(ISBLANK('ALL Other SINs - Proposal'!AB262)," ",'ALL Other SINs - Proposal'!AB262)</f>
        <v xml:space="preserve"> </v>
      </c>
      <c r="M262" s="72" t="str">
        <f t="shared" si="8"/>
        <v xml:space="preserve"> </v>
      </c>
      <c r="N262" s="167" t="str">
        <f t="shared" si="9"/>
        <v xml:space="preserve"> </v>
      </c>
    </row>
    <row r="263" spans="1:14" ht="15" x14ac:dyDescent="0.25">
      <c r="A263" s="131" t="str">
        <f>IF(ISBLANK('ALL Other SINs - Proposal'!A263)," ",'ALL Other SINs - Proposal'!A263)</f>
        <v xml:space="preserve"> </v>
      </c>
      <c r="B263" s="137" t="str">
        <f>IF(ISBLANK('ALL Other SINs - Proposal'!B263)," ",'ALL Other SINs - Proposal'!B263)</f>
        <v xml:space="preserve"> </v>
      </c>
      <c r="C263" s="137" t="str">
        <f>IF(ISBLANK('ALL Other SINs - Proposal'!C263)," ",'ALL Other SINs - Proposal'!C263)</f>
        <v xml:space="preserve"> </v>
      </c>
      <c r="D263" s="138" t="str">
        <f>IF(ISBLANK('ALL Other SINs - Proposal'!D263)," ",'ALL Other SINs - Proposal'!D263)</f>
        <v xml:space="preserve"> </v>
      </c>
      <c r="E263" s="69" t="str">
        <f>IF(ISBLANK('ALL Other SINs - Proposal'!R263)," ",'ALL Other SINs - Proposal'!R263)</f>
        <v xml:space="preserve"> </v>
      </c>
      <c r="F263" s="73" t="str">
        <f>IF(ISBLANK('ALL Other SINs - Proposal'!S263)," ",'ALL Other SINs - Proposal'!S263)</f>
        <v xml:space="preserve"> </v>
      </c>
      <c r="G263" s="173" t="str">
        <f>IF(ISBLANK('ALL Other SINs - Proposal'!T263)," ",'ALL Other SINs - Proposal'!T263)</f>
        <v xml:space="preserve"> </v>
      </c>
      <c r="H263" s="275" t="str">
        <f>IF(ISBLANK('ALL Other SINs - Proposal'!V263)," ",'ALL Other SINs - Proposal'!V263)</f>
        <v xml:space="preserve"> </v>
      </c>
      <c r="I263" s="271" t="str">
        <f>IF(ISBLANK('ALL Other SINs - Proposal'!W263)," ",'ALL Other SINs - Proposal'!W263)</f>
        <v xml:space="preserve"> </v>
      </c>
      <c r="J263" s="71" t="str">
        <f>IF(ISBLANK('ALL Other SINs - Proposal'!X263)," ",'ALL Other SINs - Proposal'!X263)</f>
        <v xml:space="preserve"> </v>
      </c>
      <c r="K263" s="165" t="str">
        <f>IF(ISBLANK('ALL Other SINs - Proposal'!AA263)," ",'ALL Other SINs - Proposal'!AA263)</f>
        <v xml:space="preserve"> </v>
      </c>
      <c r="L263" s="178" t="str">
        <f>IF(ISBLANK('ALL Other SINs - Proposal'!AB263)," ",'ALL Other SINs - Proposal'!AB263)</f>
        <v xml:space="preserve"> </v>
      </c>
      <c r="M263" s="72" t="str">
        <f t="shared" si="8"/>
        <v xml:space="preserve"> </v>
      </c>
      <c r="N263" s="167" t="str">
        <f t="shared" si="9"/>
        <v xml:space="preserve"> </v>
      </c>
    </row>
    <row r="264" spans="1:14" ht="15" x14ac:dyDescent="0.25">
      <c r="A264" s="131" t="str">
        <f>IF(ISBLANK('ALL Other SINs - Proposal'!A264)," ",'ALL Other SINs - Proposal'!A264)</f>
        <v xml:space="preserve"> </v>
      </c>
      <c r="B264" s="137" t="str">
        <f>IF(ISBLANK('ALL Other SINs - Proposal'!B264)," ",'ALL Other SINs - Proposal'!B264)</f>
        <v xml:space="preserve"> </v>
      </c>
      <c r="C264" s="137" t="str">
        <f>IF(ISBLANK('ALL Other SINs - Proposal'!C264)," ",'ALL Other SINs - Proposal'!C264)</f>
        <v xml:space="preserve"> </v>
      </c>
      <c r="D264" s="138" t="str">
        <f>IF(ISBLANK('ALL Other SINs - Proposal'!D264)," ",'ALL Other SINs - Proposal'!D264)</f>
        <v xml:space="preserve"> </v>
      </c>
      <c r="E264" s="69" t="str">
        <f>IF(ISBLANK('ALL Other SINs - Proposal'!R264)," ",'ALL Other SINs - Proposal'!R264)</f>
        <v xml:space="preserve"> </v>
      </c>
      <c r="F264" s="73" t="str">
        <f>IF(ISBLANK('ALL Other SINs - Proposal'!S264)," ",'ALL Other SINs - Proposal'!S264)</f>
        <v xml:space="preserve"> </v>
      </c>
      <c r="G264" s="173" t="str">
        <f>IF(ISBLANK('ALL Other SINs - Proposal'!T264)," ",'ALL Other SINs - Proposal'!T264)</f>
        <v xml:space="preserve"> </v>
      </c>
      <c r="H264" s="275" t="str">
        <f>IF(ISBLANK('ALL Other SINs - Proposal'!V264)," ",'ALL Other SINs - Proposal'!V264)</f>
        <v xml:space="preserve"> </v>
      </c>
      <c r="I264" s="271" t="str">
        <f>IF(ISBLANK('ALL Other SINs - Proposal'!W264)," ",'ALL Other SINs - Proposal'!W264)</f>
        <v xml:space="preserve"> </v>
      </c>
      <c r="J264" s="71" t="str">
        <f>IF(ISBLANK('ALL Other SINs - Proposal'!X264)," ",'ALL Other SINs - Proposal'!X264)</f>
        <v xml:space="preserve"> </v>
      </c>
      <c r="K264" s="165" t="str">
        <f>IF(ISBLANK('ALL Other SINs - Proposal'!AA264)," ",'ALL Other SINs - Proposal'!AA264)</f>
        <v xml:space="preserve"> </v>
      </c>
      <c r="L264" s="178" t="str">
        <f>IF(ISBLANK('ALL Other SINs - Proposal'!AB264)," ",'ALL Other SINs - Proposal'!AB264)</f>
        <v xml:space="preserve"> </v>
      </c>
      <c r="M264" s="72" t="str">
        <f t="shared" si="8"/>
        <v xml:space="preserve"> </v>
      </c>
      <c r="N264" s="167" t="str">
        <f t="shared" si="9"/>
        <v xml:space="preserve"> </v>
      </c>
    </row>
    <row r="265" spans="1:14" ht="15" x14ac:dyDescent="0.25">
      <c r="A265" s="131" t="str">
        <f>IF(ISBLANK('ALL Other SINs - Proposal'!A265)," ",'ALL Other SINs - Proposal'!A265)</f>
        <v xml:space="preserve"> </v>
      </c>
      <c r="B265" s="137" t="str">
        <f>IF(ISBLANK('ALL Other SINs - Proposal'!B265)," ",'ALL Other SINs - Proposal'!B265)</f>
        <v xml:space="preserve"> </v>
      </c>
      <c r="C265" s="137" t="str">
        <f>IF(ISBLANK('ALL Other SINs - Proposal'!C265)," ",'ALL Other SINs - Proposal'!C265)</f>
        <v xml:space="preserve"> </v>
      </c>
      <c r="D265" s="138" t="str">
        <f>IF(ISBLANK('ALL Other SINs - Proposal'!D265)," ",'ALL Other SINs - Proposal'!D265)</f>
        <v xml:space="preserve"> </v>
      </c>
      <c r="E265" s="69" t="str">
        <f>IF(ISBLANK('ALL Other SINs - Proposal'!R265)," ",'ALL Other SINs - Proposal'!R265)</f>
        <v xml:space="preserve"> </v>
      </c>
      <c r="F265" s="73" t="str">
        <f>IF(ISBLANK('ALL Other SINs - Proposal'!S265)," ",'ALL Other SINs - Proposal'!S265)</f>
        <v xml:space="preserve"> </v>
      </c>
      <c r="G265" s="173" t="str">
        <f>IF(ISBLANK('ALL Other SINs - Proposal'!T265)," ",'ALL Other SINs - Proposal'!T265)</f>
        <v xml:space="preserve"> </v>
      </c>
      <c r="H265" s="275" t="str">
        <f>IF(ISBLANK('ALL Other SINs - Proposal'!V265)," ",'ALL Other SINs - Proposal'!V265)</f>
        <v xml:space="preserve"> </v>
      </c>
      <c r="I265" s="271" t="str">
        <f>IF(ISBLANK('ALL Other SINs - Proposal'!W265)," ",'ALL Other SINs - Proposal'!W265)</f>
        <v xml:space="preserve"> </v>
      </c>
      <c r="J265" s="71" t="str">
        <f>IF(ISBLANK('ALL Other SINs - Proposal'!X265)," ",'ALL Other SINs - Proposal'!X265)</f>
        <v xml:space="preserve"> </v>
      </c>
      <c r="K265" s="165" t="str">
        <f>IF(ISBLANK('ALL Other SINs - Proposal'!AA265)," ",'ALL Other SINs - Proposal'!AA265)</f>
        <v xml:space="preserve"> </v>
      </c>
      <c r="L265" s="178" t="str">
        <f>IF(ISBLANK('ALL Other SINs - Proposal'!AB265)," ",'ALL Other SINs - Proposal'!AB265)</f>
        <v xml:space="preserve"> </v>
      </c>
      <c r="M265" s="72" t="str">
        <f t="shared" si="8"/>
        <v xml:space="preserve"> </v>
      </c>
      <c r="N265" s="167" t="str">
        <f t="shared" si="9"/>
        <v xml:space="preserve"> </v>
      </c>
    </row>
    <row r="266" spans="1:14" ht="15" x14ac:dyDescent="0.25">
      <c r="A266" s="131" t="str">
        <f>IF(ISBLANK('ALL Other SINs - Proposal'!A266)," ",'ALL Other SINs - Proposal'!A266)</f>
        <v xml:space="preserve"> </v>
      </c>
      <c r="B266" s="137" t="str">
        <f>IF(ISBLANK('ALL Other SINs - Proposal'!B266)," ",'ALL Other SINs - Proposal'!B266)</f>
        <v xml:space="preserve"> </v>
      </c>
      <c r="C266" s="137" t="str">
        <f>IF(ISBLANK('ALL Other SINs - Proposal'!C266)," ",'ALL Other SINs - Proposal'!C266)</f>
        <v xml:space="preserve"> </v>
      </c>
      <c r="D266" s="138" t="str">
        <f>IF(ISBLANK('ALL Other SINs - Proposal'!D266)," ",'ALL Other SINs - Proposal'!D266)</f>
        <v xml:space="preserve"> </v>
      </c>
      <c r="E266" s="69" t="str">
        <f>IF(ISBLANK('ALL Other SINs - Proposal'!R266)," ",'ALL Other SINs - Proposal'!R266)</f>
        <v xml:space="preserve"> </v>
      </c>
      <c r="F266" s="73" t="str">
        <f>IF(ISBLANK('ALL Other SINs - Proposal'!S266)," ",'ALL Other SINs - Proposal'!S266)</f>
        <v xml:space="preserve"> </v>
      </c>
      <c r="G266" s="173" t="str">
        <f>IF(ISBLANK('ALL Other SINs - Proposal'!T266)," ",'ALL Other SINs - Proposal'!T266)</f>
        <v xml:space="preserve"> </v>
      </c>
      <c r="H266" s="275" t="str">
        <f>IF(ISBLANK('ALL Other SINs - Proposal'!V266)," ",'ALL Other SINs - Proposal'!V266)</f>
        <v xml:space="preserve"> </v>
      </c>
      <c r="I266" s="271" t="str">
        <f>IF(ISBLANK('ALL Other SINs - Proposal'!W266)," ",'ALL Other SINs - Proposal'!W266)</f>
        <v xml:space="preserve"> </v>
      </c>
      <c r="J266" s="71" t="str">
        <f>IF(ISBLANK('ALL Other SINs - Proposal'!X266)," ",'ALL Other SINs - Proposal'!X266)</f>
        <v xml:space="preserve"> </v>
      </c>
      <c r="K266" s="165" t="str">
        <f>IF(ISBLANK('ALL Other SINs - Proposal'!AA266)," ",'ALL Other SINs - Proposal'!AA266)</f>
        <v xml:space="preserve"> </v>
      </c>
      <c r="L266" s="178" t="str">
        <f>IF(ISBLANK('ALL Other SINs - Proposal'!AB266)," ",'ALL Other SINs - Proposal'!AB266)</f>
        <v xml:space="preserve"> </v>
      </c>
      <c r="M266" s="72" t="str">
        <f t="shared" si="8"/>
        <v xml:space="preserve"> </v>
      </c>
      <c r="N266" s="167" t="str">
        <f t="shared" si="9"/>
        <v xml:space="preserve"> </v>
      </c>
    </row>
    <row r="267" spans="1:14" ht="15" x14ac:dyDescent="0.25">
      <c r="A267" s="131" t="str">
        <f>IF(ISBLANK('ALL Other SINs - Proposal'!A267)," ",'ALL Other SINs - Proposal'!A267)</f>
        <v xml:space="preserve"> </v>
      </c>
      <c r="B267" s="137" t="str">
        <f>IF(ISBLANK('ALL Other SINs - Proposal'!B267)," ",'ALL Other SINs - Proposal'!B267)</f>
        <v xml:space="preserve"> </v>
      </c>
      <c r="C267" s="137" t="str">
        <f>IF(ISBLANK('ALL Other SINs - Proposal'!C267)," ",'ALL Other SINs - Proposal'!C267)</f>
        <v xml:space="preserve"> </v>
      </c>
      <c r="D267" s="138" t="str">
        <f>IF(ISBLANK('ALL Other SINs - Proposal'!D267)," ",'ALL Other SINs - Proposal'!D267)</f>
        <v xml:space="preserve"> </v>
      </c>
      <c r="E267" s="69" t="str">
        <f>IF(ISBLANK('ALL Other SINs - Proposal'!R267)," ",'ALL Other SINs - Proposal'!R267)</f>
        <v xml:space="preserve"> </v>
      </c>
      <c r="F267" s="73" t="str">
        <f>IF(ISBLANK('ALL Other SINs - Proposal'!S267)," ",'ALL Other SINs - Proposal'!S267)</f>
        <v xml:space="preserve"> </v>
      </c>
      <c r="G267" s="173" t="str">
        <f>IF(ISBLANK('ALL Other SINs - Proposal'!T267)," ",'ALL Other SINs - Proposal'!T267)</f>
        <v xml:space="preserve"> </v>
      </c>
      <c r="H267" s="275" t="str">
        <f>IF(ISBLANK('ALL Other SINs - Proposal'!V267)," ",'ALL Other SINs - Proposal'!V267)</f>
        <v xml:space="preserve"> </v>
      </c>
      <c r="I267" s="271" t="str">
        <f>IF(ISBLANK('ALL Other SINs - Proposal'!W267)," ",'ALL Other SINs - Proposal'!W267)</f>
        <v xml:space="preserve"> </v>
      </c>
      <c r="J267" s="71" t="str">
        <f>IF(ISBLANK('ALL Other SINs - Proposal'!X267)," ",'ALL Other SINs - Proposal'!X267)</f>
        <v xml:space="preserve"> </v>
      </c>
      <c r="K267" s="165" t="str">
        <f>IF(ISBLANK('ALL Other SINs - Proposal'!AA267)," ",'ALL Other SINs - Proposal'!AA267)</f>
        <v xml:space="preserve"> </v>
      </c>
      <c r="L267" s="178" t="str">
        <f>IF(ISBLANK('ALL Other SINs - Proposal'!AB267)," ",'ALL Other SINs - Proposal'!AB267)</f>
        <v xml:space="preserve"> </v>
      </c>
      <c r="M267" s="72" t="str">
        <f t="shared" si="8"/>
        <v xml:space="preserve"> </v>
      </c>
      <c r="N267" s="167" t="str">
        <f t="shared" si="9"/>
        <v xml:space="preserve"> </v>
      </c>
    </row>
    <row r="268" spans="1:14" ht="15" x14ac:dyDescent="0.25">
      <c r="A268" s="131" t="str">
        <f>IF(ISBLANK('ALL Other SINs - Proposal'!A268)," ",'ALL Other SINs - Proposal'!A268)</f>
        <v xml:space="preserve"> </v>
      </c>
      <c r="B268" s="137" t="str">
        <f>IF(ISBLANK('ALL Other SINs - Proposal'!B268)," ",'ALL Other SINs - Proposal'!B268)</f>
        <v xml:space="preserve"> </v>
      </c>
      <c r="C268" s="137" t="str">
        <f>IF(ISBLANK('ALL Other SINs - Proposal'!C268)," ",'ALL Other SINs - Proposal'!C268)</f>
        <v xml:space="preserve"> </v>
      </c>
      <c r="D268" s="138" t="str">
        <f>IF(ISBLANK('ALL Other SINs - Proposal'!D268)," ",'ALL Other SINs - Proposal'!D268)</f>
        <v xml:space="preserve"> </v>
      </c>
      <c r="E268" s="69" t="str">
        <f>IF(ISBLANK('ALL Other SINs - Proposal'!R268)," ",'ALL Other SINs - Proposal'!R268)</f>
        <v xml:space="preserve"> </v>
      </c>
      <c r="F268" s="73" t="str">
        <f>IF(ISBLANK('ALL Other SINs - Proposal'!S268)," ",'ALL Other SINs - Proposal'!S268)</f>
        <v xml:space="preserve"> </v>
      </c>
      <c r="G268" s="173" t="str">
        <f>IF(ISBLANK('ALL Other SINs - Proposal'!T268)," ",'ALL Other SINs - Proposal'!T268)</f>
        <v xml:space="preserve"> </v>
      </c>
      <c r="H268" s="275" t="str">
        <f>IF(ISBLANK('ALL Other SINs - Proposal'!V268)," ",'ALL Other SINs - Proposal'!V268)</f>
        <v xml:space="preserve"> </v>
      </c>
      <c r="I268" s="271" t="str">
        <f>IF(ISBLANK('ALL Other SINs - Proposal'!W268)," ",'ALL Other SINs - Proposal'!W268)</f>
        <v xml:space="preserve"> </v>
      </c>
      <c r="J268" s="71" t="str">
        <f>IF(ISBLANK('ALL Other SINs - Proposal'!X268)," ",'ALL Other SINs - Proposal'!X268)</f>
        <v xml:space="preserve"> </v>
      </c>
      <c r="K268" s="165" t="str">
        <f>IF(ISBLANK('ALL Other SINs - Proposal'!AA268)," ",'ALL Other SINs - Proposal'!AA268)</f>
        <v xml:space="preserve"> </v>
      </c>
      <c r="L268" s="178" t="str">
        <f>IF(ISBLANK('ALL Other SINs - Proposal'!AB268)," ",'ALL Other SINs - Proposal'!AB268)</f>
        <v xml:space="preserve"> </v>
      </c>
      <c r="M268" s="72" t="str">
        <f t="shared" si="8"/>
        <v xml:space="preserve"> </v>
      </c>
      <c r="N268" s="167" t="str">
        <f t="shared" si="9"/>
        <v xml:space="preserve"> </v>
      </c>
    </row>
    <row r="269" spans="1:14" ht="15" x14ac:dyDescent="0.25">
      <c r="A269" s="131" t="str">
        <f>IF(ISBLANK('ALL Other SINs - Proposal'!A269)," ",'ALL Other SINs - Proposal'!A269)</f>
        <v xml:space="preserve"> </v>
      </c>
      <c r="B269" s="137" t="str">
        <f>IF(ISBLANK('ALL Other SINs - Proposal'!B269)," ",'ALL Other SINs - Proposal'!B269)</f>
        <v xml:space="preserve"> </v>
      </c>
      <c r="C269" s="137" t="str">
        <f>IF(ISBLANK('ALL Other SINs - Proposal'!C269)," ",'ALL Other SINs - Proposal'!C269)</f>
        <v xml:space="preserve"> </v>
      </c>
      <c r="D269" s="138" t="str">
        <f>IF(ISBLANK('ALL Other SINs - Proposal'!D269)," ",'ALL Other SINs - Proposal'!D269)</f>
        <v xml:space="preserve"> </v>
      </c>
      <c r="E269" s="69" t="str">
        <f>IF(ISBLANK('ALL Other SINs - Proposal'!R269)," ",'ALL Other SINs - Proposal'!R269)</f>
        <v xml:space="preserve"> </v>
      </c>
      <c r="F269" s="73" t="str">
        <f>IF(ISBLANK('ALL Other SINs - Proposal'!S269)," ",'ALL Other SINs - Proposal'!S269)</f>
        <v xml:space="preserve"> </v>
      </c>
      <c r="G269" s="173" t="str">
        <f>IF(ISBLANK('ALL Other SINs - Proposal'!T269)," ",'ALL Other SINs - Proposal'!T269)</f>
        <v xml:space="preserve"> </v>
      </c>
      <c r="H269" s="275" t="str">
        <f>IF(ISBLANK('ALL Other SINs - Proposal'!V269)," ",'ALL Other SINs - Proposal'!V269)</f>
        <v xml:space="preserve"> </v>
      </c>
      <c r="I269" s="271" t="str">
        <f>IF(ISBLANK('ALL Other SINs - Proposal'!W269)," ",'ALL Other SINs - Proposal'!W269)</f>
        <v xml:space="preserve"> </v>
      </c>
      <c r="J269" s="71" t="str">
        <f>IF(ISBLANK('ALL Other SINs - Proposal'!X269)," ",'ALL Other SINs - Proposal'!X269)</f>
        <v xml:space="preserve"> </v>
      </c>
      <c r="K269" s="165" t="str">
        <f>IF(ISBLANK('ALL Other SINs - Proposal'!AA269)," ",'ALL Other SINs - Proposal'!AA269)</f>
        <v xml:space="preserve"> </v>
      </c>
      <c r="L269" s="178" t="str">
        <f>IF(ISBLANK('ALL Other SINs - Proposal'!AB269)," ",'ALL Other SINs - Proposal'!AB269)</f>
        <v xml:space="preserve"> </v>
      </c>
      <c r="M269" s="72" t="str">
        <f t="shared" si="8"/>
        <v xml:space="preserve"> </v>
      </c>
      <c r="N269" s="167" t="str">
        <f t="shared" si="9"/>
        <v xml:space="preserve"> </v>
      </c>
    </row>
    <row r="270" spans="1:14" ht="15" x14ac:dyDescent="0.25">
      <c r="A270" s="131" t="str">
        <f>IF(ISBLANK('ALL Other SINs - Proposal'!A270)," ",'ALL Other SINs - Proposal'!A270)</f>
        <v xml:space="preserve"> </v>
      </c>
      <c r="B270" s="137" t="str">
        <f>IF(ISBLANK('ALL Other SINs - Proposal'!B270)," ",'ALL Other SINs - Proposal'!B270)</f>
        <v xml:space="preserve"> </v>
      </c>
      <c r="C270" s="137" t="str">
        <f>IF(ISBLANK('ALL Other SINs - Proposal'!C270)," ",'ALL Other SINs - Proposal'!C270)</f>
        <v xml:space="preserve"> </v>
      </c>
      <c r="D270" s="138" t="str">
        <f>IF(ISBLANK('ALL Other SINs - Proposal'!D270)," ",'ALL Other SINs - Proposal'!D270)</f>
        <v xml:space="preserve"> </v>
      </c>
      <c r="E270" s="69" t="str">
        <f>IF(ISBLANK('ALL Other SINs - Proposal'!R270)," ",'ALL Other SINs - Proposal'!R270)</f>
        <v xml:space="preserve"> </v>
      </c>
      <c r="F270" s="73" t="str">
        <f>IF(ISBLANK('ALL Other SINs - Proposal'!S270)," ",'ALL Other SINs - Proposal'!S270)</f>
        <v xml:space="preserve"> </v>
      </c>
      <c r="G270" s="173" t="str">
        <f>IF(ISBLANK('ALL Other SINs - Proposal'!T270)," ",'ALL Other SINs - Proposal'!T270)</f>
        <v xml:space="preserve"> </v>
      </c>
      <c r="H270" s="275" t="str">
        <f>IF(ISBLANK('ALL Other SINs - Proposal'!V270)," ",'ALL Other SINs - Proposal'!V270)</f>
        <v xml:space="preserve"> </v>
      </c>
      <c r="I270" s="271" t="str">
        <f>IF(ISBLANK('ALL Other SINs - Proposal'!W270)," ",'ALL Other SINs - Proposal'!W270)</f>
        <v xml:space="preserve"> </v>
      </c>
      <c r="J270" s="71" t="str">
        <f>IF(ISBLANK('ALL Other SINs - Proposal'!X270)," ",'ALL Other SINs - Proposal'!X270)</f>
        <v xml:space="preserve"> </v>
      </c>
      <c r="K270" s="165" t="str">
        <f>IF(ISBLANK('ALL Other SINs - Proposal'!AA270)," ",'ALL Other SINs - Proposal'!AA270)</f>
        <v xml:space="preserve"> </v>
      </c>
      <c r="L270" s="178" t="str">
        <f>IF(ISBLANK('ALL Other SINs - Proposal'!AB270)," ",'ALL Other SINs - Proposal'!AB270)</f>
        <v xml:space="preserve"> </v>
      </c>
      <c r="M270" s="72" t="str">
        <f t="shared" si="8"/>
        <v xml:space="preserve"> </v>
      </c>
      <c r="N270" s="167" t="str">
        <f t="shared" si="9"/>
        <v xml:space="preserve"> </v>
      </c>
    </row>
    <row r="271" spans="1:14" ht="15" x14ac:dyDescent="0.25">
      <c r="A271" s="131" t="str">
        <f>IF(ISBLANK('ALL Other SINs - Proposal'!A271)," ",'ALL Other SINs - Proposal'!A271)</f>
        <v xml:space="preserve"> </v>
      </c>
      <c r="B271" s="137" t="str">
        <f>IF(ISBLANK('ALL Other SINs - Proposal'!B271)," ",'ALL Other SINs - Proposal'!B271)</f>
        <v xml:space="preserve"> </v>
      </c>
      <c r="C271" s="137" t="str">
        <f>IF(ISBLANK('ALL Other SINs - Proposal'!C271)," ",'ALL Other SINs - Proposal'!C271)</f>
        <v xml:space="preserve"> </v>
      </c>
      <c r="D271" s="138" t="str">
        <f>IF(ISBLANK('ALL Other SINs - Proposal'!D271)," ",'ALL Other SINs - Proposal'!D271)</f>
        <v xml:space="preserve"> </v>
      </c>
      <c r="E271" s="69" t="str">
        <f>IF(ISBLANK('ALL Other SINs - Proposal'!R271)," ",'ALL Other SINs - Proposal'!R271)</f>
        <v xml:space="preserve"> </v>
      </c>
      <c r="F271" s="73" t="str">
        <f>IF(ISBLANK('ALL Other SINs - Proposal'!S271)," ",'ALL Other SINs - Proposal'!S271)</f>
        <v xml:space="preserve"> </v>
      </c>
      <c r="G271" s="173" t="str">
        <f>IF(ISBLANK('ALL Other SINs - Proposal'!T271)," ",'ALL Other SINs - Proposal'!T271)</f>
        <v xml:space="preserve"> </v>
      </c>
      <c r="H271" s="275" t="str">
        <f>IF(ISBLANK('ALL Other SINs - Proposal'!V271)," ",'ALL Other SINs - Proposal'!V271)</f>
        <v xml:space="preserve"> </v>
      </c>
      <c r="I271" s="271" t="str">
        <f>IF(ISBLANK('ALL Other SINs - Proposal'!W271)," ",'ALL Other SINs - Proposal'!W271)</f>
        <v xml:space="preserve"> </v>
      </c>
      <c r="J271" s="71" t="str">
        <f>IF(ISBLANK('ALL Other SINs - Proposal'!X271)," ",'ALL Other SINs - Proposal'!X271)</f>
        <v xml:space="preserve"> </v>
      </c>
      <c r="K271" s="165" t="str">
        <f>IF(ISBLANK('ALL Other SINs - Proposal'!AA271)," ",'ALL Other SINs - Proposal'!AA271)</f>
        <v xml:space="preserve"> </v>
      </c>
      <c r="L271" s="178" t="str">
        <f>IF(ISBLANK('ALL Other SINs - Proposal'!AB271)," ",'ALL Other SINs - Proposal'!AB271)</f>
        <v xml:space="preserve"> </v>
      </c>
      <c r="M271" s="72" t="str">
        <f t="shared" si="8"/>
        <v xml:space="preserve"> </v>
      </c>
      <c r="N271" s="167" t="str">
        <f t="shared" si="9"/>
        <v xml:space="preserve"> </v>
      </c>
    </row>
    <row r="272" spans="1:14" ht="15" x14ac:dyDescent="0.25">
      <c r="A272" s="131" t="str">
        <f>IF(ISBLANK('ALL Other SINs - Proposal'!A272)," ",'ALL Other SINs - Proposal'!A272)</f>
        <v xml:space="preserve"> </v>
      </c>
      <c r="B272" s="137" t="str">
        <f>IF(ISBLANK('ALL Other SINs - Proposal'!B272)," ",'ALL Other SINs - Proposal'!B272)</f>
        <v xml:space="preserve"> </v>
      </c>
      <c r="C272" s="137" t="str">
        <f>IF(ISBLANK('ALL Other SINs - Proposal'!C272)," ",'ALL Other SINs - Proposal'!C272)</f>
        <v xml:space="preserve"> </v>
      </c>
      <c r="D272" s="138" t="str">
        <f>IF(ISBLANK('ALL Other SINs - Proposal'!D272)," ",'ALL Other SINs - Proposal'!D272)</f>
        <v xml:space="preserve"> </v>
      </c>
      <c r="E272" s="69" t="str">
        <f>IF(ISBLANK('ALL Other SINs - Proposal'!R272)," ",'ALL Other SINs - Proposal'!R272)</f>
        <v xml:space="preserve"> </v>
      </c>
      <c r="F272" s="73" t="str">
        <f>IF(ISBLANK('ALL Other SINs - Proposal'!S272)," ",'ALL Other SINs - Proposal'!S272)</f>
        <v xml:space="preserve"> </v>
      </c>
      <c r="G272" s="173" t="str">
        <f>IF(ISBLANK('ALL Other SINs - Proposal'!T272)," ",'ALL Other SINs - Proposal'!T272)</f>
        <v xml:space="preserve"> </v>
      </c>
      <c r="H272" s="275" t="str">
        <f>IF(ISBLANK('ALL Other SINs - Proposal'!V272)," ",'ALL Other SINs - Proposal'!V272)</f>
        <v xml:space="preserve"> </v>
      </c>
      <c r="I272" s="271" t="str">
        <f>IF(ISBLANK('ALL Other SINs - Proposal'!W272)," ",'ALL Other SINs - Proposal'!W272)</f>
        <v xml:space="preserve"> </v>
      </c>
      <c r="J272" s="71" t="str">
        <f>IF(ISBLANK('ALL Other SINs - Proposal'!X272)," ",'ALL Other SINs - Proposal'!X272)</f>
        <v xml:space="preserve"> </v>
      </c>
      <c r="K272" s="165" t="str">
        <f>IF(ISBLANK('ALL Other SINs - Proposal'!AA272)," ",'ALL Other SINs - Proposal'!AA272)</f>
        <v xml:space="preserve"> </v>
      </c>
      <c r="L272" s="178" t="str">
        <f>IF(ISBLANK('ALL Other SINs - Proposal'!AB272)," ",'ALL Other SINs - Proposal'!AB272)</f>
        <v xml:space="preserve"> </v>
      </c>
      <c r="M272" s="72" t="str">
        <f t="shared" si="8"/>
        <v xml:space="preserve"> </v>
      </c>
      <c r="N272" s="167" t="str">
        <f t="shared" si="9"/>
        <v xml:space="preserve"> </v>
      </c>
    </row>
    <row r="273" spans="1:14" ht="15" x14ac:dyDescent="0.25">
      <c r="A273" s="131" t="str">
        <f>IF(ISBLANK('ALL Other SINs - Proposal'!A273)," ",'ALL Other SINs - Proposal'!A273)</f>
        <v xml:space="preserve"> </v>
      </c>
      <c r="B273" s="137" t="str">
        <f>IF(ISBLANK('ALL Other SINs - Proposal'!B273)," ",'ALL Other SINs - Proposal'!B273)</f>
        <v xml:space="preserve"> </v>
      </c>
      <c r="C273" s="137" t="str">
        <f>IF(ISBLANK('ALL Other SINs - Proposal'!C273)," ",'ALL Other SINs - Proposal'!C273)</f>
        <v xml:space="preserve"> </v>
      </c>
      <c r="D273" s="138" t="str">
        <f>IF(ISBLANK('ALL Other SINs - Proposal'!D273)," ",'ALL Other SINs - Proposal'!D273)</f>
        <v xml:space="preserve"> </v>
      </c>
      <c r="E273" s="69" t="str">
        <f>IF(ISBLANK('ALL Other SINs - Proposal'!R273)," ",'ALL Other SINs - Proposal'!R273)</f>
        <v xml:space="preserve"> </v>
      </c>
      <c r="F273" s="73" t="str">
        <f>IF(ISBLANK('ALL Other SINs - Proposal'!S273)," ",'ALL Other SINs - Proposal'!S273)</f>
        <v xml:space="preserve"> </v>
      </c>
      <c r="G273" s="173" t="str">
        <f>IF(ISBLANK('ALL Other SINs - Proposal'!T273)," ",'ALL Other SINs - Proposal'!T273)</f>
        <v xml:space="preserve"> </v>
      </c>
      <c r="H273" s="275" t="str">
        <f>IF(ISBLANK('ALL Other SINs - Proposal'!V273)," ",'ALL Other SINs - Proposal'!V273)</f>
        <v xml:space="preserve"> </v>
      </c>
      <c r="I273" s="271" t="str">
        <f>IF(ISBLANK('ALL Other SINs - Proposal'!W273)," ",'ALL Other SINs - Proposal'!W273)</f>
        <v xml:space="preserve"> </v>
      </c>
      <c r="J273" s="71" t="str">
        <f>IF(ISBLANK('ALL Other SINs - Proposal'!X273)," ",'ALL Other SINs - Proposal'!X273)</f>
        <v xml:space="preserve"> </v>
      </c>
      <c r="K273" s="165" t="str">
        <f>IF(ISBLANK('ALL Other SINs - Proposal'!AA273)," ",'ALL Other SINs - Proposal'!AA273)</f>
        <v xml:space="preserve"> </v>
      </c>
      <c r="L273" s="178" t="str">
        <f>IF(ISBLANK('ALL Other SINs - Proposal'!AB273)," ",'ALL Other SINs - Proposal'!AB273)</f>
        <v xml:space="preserve"> </v>
      </c>
      <c r="M273" s="72" t="str">
        <f t="shared" si="8"/>
        <v xml:space="preserve"> </v>
      </c>
      <c r="N273" s="167" t="str">
        <f t="shared" si="9"/>
        <v xml:space="preserve"> </v>
      </c>
    </row>
    <row r="274" spans="1:14" ht="15" x14ac:dyDescent="0.25">
      <c r="A274" s="131" t="str">
        <f>IF(ISBLANK('ALL Other SINs - Proposal'!A274)," ",'ALL Other SINs - Proposal'!A274)</f>
        <v xml:space="preserve"> </v>
      </c>
      <c r="B274" s="137" t="str">
        <f>IF(ISBLANK('ALL Other SINs - Proposal'!B274)," ",'ALL Other SINs - Proposal'!B274)</f>
        <v xml:space="preserve"> </v>
      </c>
      <c r="C274" s="137" t="str">
        <f>IF(ISBLANK('ALL Other SINs - Proposal'!C274)," ",'ALL Other SINs - Proposal'!C274)</f>
        <v xml:space="preserve"> </v>
      </c>
      <c r="D274" s="138" t="str">
        <f>IF(ISBLANK('ALL Other SINs - Proposal'!D274)," ",'ALL Other SINs - Proposal'!D274)</f>
        <v xml:space="preserve"> </v>
      </c>
      <c r="E274" s="69" t="str">
        <f>IF(ISBLANK('ALL Other SINs - Proposal'!R274)," ",'ALL Other SINs - Proposal'!R274)</f>
        <v xml:space="preserve"> </v>
      </c>
      <c r="F274" s="73" t="str">
        <f>IF(ISBLANK('ALL Other SINs - Proposal'!S274)," ",'ALL Other SINs - Proposal'!S274)</f>
        <v xml:space="preserve"> </v>
      </c>
      <c r="G274" s="173" t="str">
        <f>IF(ISBLANK('ALL Other SINs - Proposal'!T274)," ",'ALL Other SINs - Proposal'!T274)</f>
        <v xml:space="preserve"> </v>
      </c>
      <c r="H274" s="275" t="str">
        <f>IF(ISBLANK('ALL Other SINs - Proposal'!V274)," ",'ALL Other SINs - Proposal'!V274)</f>
        <v xml:space="preserve"> </v>
      </c>
      <c r="I274" s="271" t="str">
        <f>IF(ISBLANK('ALL Other SINs - Proposal'!W274)," ",'ALL Other SINs - Proposal'!W274)</f>
        <v xml:space="preserve"> </v>
      </c>
      <c r="J274" s="71" t="str">
        <f>IF(ISBLANK('ALL Other SINs - Proposal'!X274)," ",'ALL Other SINs - Proposal'!X274)</f>
        <v xml:space="preserve"> </v>
      </c>
      <c r="K274" s="165" t="str">
        <f>IF(ISBLANK('ALL Other SINs - Proposal'!AA274)," ",'ALL Other SINs - Proposal'!AA274)</f>
        <v xml:space="preserve"> </v>
      </c>
      <c r="L274" s="178" t="str">
        <f>IF(ISBLANK('ALL Other SINs - Proposal'!AB274)," ",'ALL Other SINs - Proposal'!AB274)</f>
        <v xml:space="preserve"> </v>
      </c>
      <c r="M274" s="72" t="str">
        <f t="shared" si="8"/>
        <v xml:space="preserve"> </v>
      </c>
      <c r="N274" s="167" t="str">
        <f t="shared" si="9"/>
        <v xml:space="preserve"> </v>
      </c>
    </row>
    <row r="275" spans="1:14" ht="15" x14ac:dyDescent="0.25">
      <c r="A275" s="131" t="str">
        <f>IF(ISBLANK('ALL Other SINs - Proposal'!A275)," ",'ALL Other SINs - Proposal'!A275)</f>
        <v xml:space="preserve"> </v>
      </c>
      <c r="B275" s="137" t="str">
        <f>IF(ISBLANK('ALL Other SINs - Proposal'!B275)," ",'ALL Other SINs - Proposal'!B275)</f>
        <v xml:space="preserve"> </v>
      </c>
      <c r="C275" s="137" t="str">
        <f>IF(ISBLANK('ALL Other SINs - Proposal'!C275)," ",'ALL Other SINs - Proposal'!C275)</f>
        <v xml:space="preserve"> </v>
      </c>
      <c r="D275" s="138" t="str">
        <f>IF(ISBLANK('ALL Other SINs - Proposal'!D275)," ",'ALL Other SINs - Proposal'!D275)</f>
        <v xml:space="preserve"> </v>
      </c>
      <c r="E275" s="69" t="str">
        <f>IF(ISBLANK('ALL Other SINs - Proposal'!R275)," ",'ALL Other SINs - Proposal'!R275)</f>
        <v xml:space="preserve"> </v>
      </c>
      <c r="F275" s="73" t="str">
        <f>IF(ISBLANK('ALL Other SINs - Proposal'!S275)," ",'ALL Other SINs - Proposal'!S275)</f>
        <v xml:space="preserve"> </v>
      </c>
      <c r="G275" s="173" t="str">
        <f>IF(ISBLANK('ALL Other SINs - Proposal'!T275)," ",'ALL Other SINs - Proposal'!T275)</f>
        <v xml:space="preserve"> </v>
      </c>
      <c r="H275" s="275" t="str">
        <f>IF(ISBLANK('ALL Other SINs - Proposal'!V275)," ",'ALL Other SINs - Proposal'!V275)</f>
        <v xml:space="preserve"> </v>
      </c>
      <c r="I275" s="271" t="str">
        <f>IF(ISBLANK('ALL Other SINs - Proposal'!W275)," ",'ALL Other SINs - Proposal'!W275)</f>
        <v xml:space="preserve"> </v>
      </c>
      <c r="J275" s="71" t="str">
        <f>IF(ISBLANK('ALL Other SINs - Proposal'!X275)," ",'ALL Other SINs - Proposal'!X275)</f>
        <v xml:space="preserve"> </v>
      </c>
      <c r="K275" s="165" t="str">
        <f>IF(ISBLANK('ALL Other SINs - Proposal'!AA275)," ",'ALL Other SINs - Proposal'!AA275)</f>
        <v xml:space="preserve"> </v>
      </c>
      <c r="L275" s="178" t="str">
        <f>IF(ISBLANK('ALL Other SINs - Proposal'!AB275)," ",'ALL Other SINs - Proposal'!AB275)</f>
        <v xml:space="preserve"> </v>
      </c>
      <c r="M275" s="72" t="str">
        <f t="shared" si="8"/>
        <v xml:space="preserve"> </v>
      </c>
      <c r="N275" s="167" t="str">
        <f t="shared" si="9"/>
        <v xml:space="preserve"> </v>
      </c>
    </row>
    <row r="276" spans="1:14" ht="15" x14ac:dyDescent="0.25">
      <c r="A276" s="131" t="str">
        <f>IF(ISBLANK('ALL Other SINs - Proposal'!A276)," ",'ALL Other SINs - Proposal'!A276)</f>
        <v xml:space="preserve"> </v>
      </c>
      <c r="B276" s="137" t="str">
        <f>IF(ISBLANK('ALL Other SINs - Proposal'!B276)," ",'ALL Other SINs - Proposal'!B276)</f>
        <v xml:space="preserve"> </v>
      </c>
      <c r="C276" s="137" t="str">
        <f>IF(ISBLANK('ALL Other SINs - Proposal'!C276)," ",'ALL Other SINs - Proposal'!C276)</f>
        <v xml:space="preserve"> </v>
      </c>
      <c r="D276" s="138" t="str">
        <f>IF(ISBLANK('ALL Other SINs - Proposal'!D276)," ",'ALL Other SINs - Proposal'!D276)</f>
        <v xml:space="preserve"> </v>
      </c>
      <c r="E276" s="69" t="str">
        <f>IF(ISBLANK('ALL Other SINs - Proposal'!R276)," ",'ALL Other SINs - Proposal'!R276)</f>
        <v xml:space="preserve"> </v>
      </c>
      <c r="F276" s="73" t="str">
        <f>IF(ISBLANK('ALL Other SINs - Proposal'!S276)," ",'ALL Other SINs - Proposal'!S276)</f>
        <v xml:space="preserve"> </v>
      </c>
      <c r="G276" s="173" t="str">
        <f>IF(ISBLANK('ALL Other SINs - Proposal'!T276)," ",'ALL Other SINs - Proposal'!T276)</f>
        <v xml:space="preserve"> </v>
      </c>
      <c r="H276" s="275" t="str">
        <f>IF(ISBLANK('ALL Other SINs - Proposal'!V276)," ",'ALL Other SINs - Proposal'!V276)</f>
        <v xml:space="preserve"> </v>
      </c>
      <c r="I276" s="271" t="str">
        <f>IF(ISBLANK('ALL Other SINs - Proposal'!W276)," ",'ALL Other SINs - Proposal'!W276)</f>
        <v xml:space="preserve"> </v>
      </c>
      <c r="J276" s="71" t="str">
        <f>IF(ISBLANK('ALL Other SINs - Proposal'!X276)," ",'ALL Other SINs - Proposal'!X276)</f>
        <v xml:space="preserve"> </v>
      </c>
      <c r="K276" s="165" t="str">
        <f>IF(ISBLANK('ALL Other SINs - Proposal'!AA276)," ",'ALL Other SINs - Proposal'!AA276)</f>
        <v xml:space="preserve"> </v>
      </c>
      <c r="L276" s="178" t="str">
        <f>IF(ISBLANK('ALL Other SINs - Proposal'!AB276)," ",'ALL Other SINs - Proposal'!AB276)</f>
        <v xml:space="preserve"> </v>
      </c>
      <c r="M276" s="72" t="str">
        <f t="shared" si="8"/>
        <v xml:space="preserve"> </v>
      </c>
      <c r="N276" s="167" t="str">
        <f t="shared" si="9"/>
        <v xml:space="preserve"> </v>
      </c>
    </row>
    <row r="277" spans="1:14" ht="15" x14ac:dyDescent="0.25">
      <c r="A277" s="131" t="str">
        <f>IF(ISBLANK('ALL Other SINs - Proposal'!A277)," ",'ALL Other SINs - Proposal'!A277)</f>
        <v xml:space="preserve"> </v>
      </c>
      <c r="B277" s="137" t="str">
        <f>IF(ISBLANK('ALL Other SINs - Proposal'!B277)," ",'ALL Other SINs - Proposal'!B277)</f>
        <v xml:space="preserve"> </v>
      </c>
      <c r="C277" s="137" t="str">
        <f>IF(ISBLANK('ALL Other SINs - Proposal'!C277)," ",'ALL Other SINs - Proposal'!C277)</f>
        <v xml:space="preserve"> </v>
      </c>
      <c r="D277" s="138" t="str">
        <f>IF(ISBLANK('ALL Other SINs - Proposal'!D277)," ",'ALL Other SINs - Proposal'!D277)</f>
        <v xml:space="preserve"> </v>
      </c>
      <c r="E277" s="69" t="str">
        <f>IF(ISBLANK('ALL Other SINs - Proposal'!R277)," ",'ALL Other SINs - Proposal'!R277)</f>
        <v xml:space="preserve"> </v>
      </c>
      <c r="F277" s="73" t="str">
        <f>IF(ISBLANK('ALL Other SINs - Proposal'!S277)," ",'ALL Other SINs - Proposal'!S277)</f>
        <v xml:space="preserve"> </v>
      </c>
      <c r="G277" s="173" t="str">
        <f>IF(ISBLANK('ALL Other SINs - Proposal'!T277)," ",'ALL Other SINs - Proposal'!T277)</f>
        <v xml:space="preserve"> </v>
      </c>
      <c r="H277" s="275" t="str">
        <f>IF(ISBLANK('ALL Other SINs - Proposal'!V277)," ",'ALL Other SINs - Proposal'!V277)</f>
        <v xml:space="preserve"> </v>
      </c>
      <c r="I277" s="271" t="str">
        <f>IF(ISBLANK('ALL Other SINs - Proposal'!W277)," ",'ALL Other SINs - Proposal'!W277)</f>
        <v xml:space="preserve"> </v>
      </c>
      <c r="J277" s="71" t="str">
        <f>IF(ISBLANK('ALL Other SINs - Proposal'!X277)," ",'ALL Other SINs - Proposal'!X277)</f>
        <v xml:space="preserve"> </v>
      </c>
      <c r="K277" s="165" t="str">
        <f>IF(ISBLANK('ALL Other SINs - Proposal'!AA277)," ",'ALL Other SINs - Proposal'!AA277)</f>
        <v xml:space="preserve"> </v>
      </c>
      <c r="L277" s="178" t="str">
        <f>IF(ISBLANK('ALL Other SINs - Proposal'!AB277)," ",'ALL Other SINs - Proposal'!AB277)</f>
        <v xml:space="preserve"> </v>
      </c>
      <c r="M277" s="72" t="str">
        <f t="shared" si="8"/>
        <v xml:space="preserve"> </v>
      </c>
      <c r="N277" s="167" t="str">
        <f t="shared" si="9"/>
        <v xml:space="preserve"> </v>
      </c>
    </row>
    <row r="278" spans="1:14" ht="15" x14ac:dyDescent="0.25">
      <c r="A278" s="131" t="str">
        <f>IF(ISBLANK('ALL Other SINs - Proposal'!A278)," ",'ALL Other SINs - Proposal'!A278)</f>
        <v xml:space="preserve"> </v>
      </c>
      <c r="B278" s="137" t="str">
        <f>IF(ISBLANK('ALL Other SINs - Proposal'!B278)," ",'ALL Other SINs - Proposal'!B278)</f>
        <v xml:space="preserve"> </v>
      </c>
      <c r="C278" s="137" t="str">
        <f>IF(ISBLANK('ALL Other SINs - Proposal'!C278)," ",'ALL Other SINs - Proposal'!C278)</f>
        <v xml:space="preserve"> </v>
      </c>
      <c r="D278" s="138" t="str">
        <f>IF(ISBLANK('ALL Other SINs - Proposal'!D278)," ",'ALL Other SINs - Proposal'!D278)</f>
        <v xml:space="preserve"> </v>
      </c>
      <c r="E278" s="69" t="str">
        <f>IF(ISBLANK('ALL Other SINs - Proposal'!R278)," ",'ALL Other SINs - Proposal'!R278)</f>
        <v xml:space="preserve"> </v>
      </c>
      <c r="F278" s="73" t="str">
        <f>IF(ISBLANK('ALL Other SINs - Proposal'!S278)," ",'ALL Other SINs - Proposal'!S278)</f>
        <v xml:space="preserve"> </v>
      </c>
      <c r="G278" s="173" t="str">
        <f>IF(ISBLANK('ALL Other SINs - Proposal'!T278)," ",'ALL Other SINs - Proposal'!T278)</f>
        <v xml:space="preserve"> </v>
      </c>
      <c r="H278" s="275" t="str">
        <f>IF(ISBLANK('ALL Other SINs - Proposal'!V278)," ",'ALL Other SINs - Proposal'!V278)</f>
        <v xml:space="preserve"> </v>
      </c>
      <c r="I278" s="271" t="str">
        <f>IF(ISBLANK('ALL Other SINs - Proposal'!W278)," ",'ALL Other SINs - Proposal'!W278)</f>
        <v xml:space="preserve"> </v>
      </c>
      <c r="J278" s="71" t="str">
        <f>IF(ISBLANK('ALL Other SINs - Proposal'!X278)," ",'ALL Other SINs - Proposal'!X278)</f>
        <v xml:space="preserve"> </v>
      </c>
      <c r="K278" s="165" t="str">
        <f>IF(ISBLANK('ALL Other SINs - Proposal'!AA278)," ",'ALL Other SINs - Proposal'!AA278)</f>
        <v xml:space="preserve"> </v>
      </c>
      <c r="L278" s="178" t="str">
        <f>IF(ISBLANK('ALL Other SINs - Proposal'!AB278)," ",'ALL Other SINs - Proposal'!AB278)</f>
        <v xml:space="preserve"> </v>
      </c>
      <c r="M278" s="72" t="str">
        <f t="shared" si="8"/>
        <v xml:space="preserve"> </v>
      </c>
      <c r="N278" s="167" t="str">
        <f t="shared" si="9"/>
        <v xml:space="preserve"> </v>
      </c>
    </row>
    <row r="279" spans="1:14" ht="15" x14ac:dyDescent="0.25">
      <c r="A279" s="131" t="str">
        <f>IF(ISBLANK('ALL Other SINs - Proposal'!A279)," ",'ALL Other SINs - Proposal'!A279)</f>
        <v xml:space="preserve"> </v>
      </c>
      <c r="B279" s="137" t="str">
        <f>IF(ISBLANK('ALL Other SINs - Proposal'!B279)," ",'ALL Other SINs - Proposal'!B279)</f>
        <v xml:space="preserve"> </v>
      </c>
      <c r="C279" s="137" t="str">
        <f>IF(ISBLANK('ALL Other SINs - Proposal'!C279)," ",'ALL Other SINs - Proposal'!C279)</f>
        <v xml:space="preserve"> </v>
      </c>
      <c r="D279" s="138" t="str">
        <f>IF(ISBLANK('ALL Other SINs - Proposal'!D279)," ",'ALL Other SINs - Proposal'!D279)</f>
        <v xml:space="preserve"> </v>
      </c>
      <c r="E279" s="69" t="str">
        <f>IF(ISBLANK('ALL Other SINs - Proposal'!R279)," ",'ALL Other SINs - Proposal'!R279)</f>
        <v xml:space="preserve"> </v>
      </c>
      <c r="F279" s="73" t="str">
        <f>IF(ISBLANK('ALL Other SINs - Proposal'!S279)," ",'ALL Other SINs - Proposal'!S279)</f>
        <v xml:space="preserve"> </v>
      </c>
      <c r="G279" s="173" t="str">
        <f>IF(ISBLANK('ALL Other SINs - Proposal'!T279)," ",'ALL Other SINs - Proposal'!T279)</f>
        <v xml:space="preserve"> </v>
      </c>
      <c r="H279" s="275" t="str">
        <f>IF(ISBLANK('ALL Other SINs - Proposal'!V279)," ",'ALL Other SINs - Proposal'!V279)</f>
        <v xml:space="preserve"> </v>
      </c>
      <c r="I279" s="271" t="str">
        <f>IF(ISBLANK('ALL Other SINs - Proposal'!W279)," ",'ALL Other SINs - Proposal'!W279)</f>
        <v xml:space="preserve"> </v>
      </c>
      <c r="J279" s="71" t="str">
        <f>IF(ISBLANK('ALL Other SINs - Proposal'!X279)," ",'ALL Other SINs - Proposal'!X279)</f>
        <v xml:space="preserve"> </v>
      </c>
      <c r="K279" s="165" t="str">
        <f>IF(ISBLANK('ALL Other SINs - Proposal'!AA279)," ",'ALL Other SINs - Proposal'!AA279)</f>
        <v xml:space="preserve"> </v>
      </c>
      <c r="L279" s="178" t="str">
        <f>IF(ISBLANK('ALL Other SINs - Proposal'!AB279)," ",'ALL Other SINs - Proposal'!AB279)</f>
        <v xml:space="preserve"> </v>
      </c>
      <c r="M279" s="72" t="str">
        <f t="shared" si="8"/>
        <v xml:space="preserve"> </v>
      </c>
      <c r="N279" s="167" t="str">
        <f t="shared" si="9"/>
        <v xml:space="preserve"> </v>
      </c>
    </row>
    <row r="280" spans="1:14" ht="15" x14ac:dyDescent="0.25">
      <c r="A280" s="131" t="str">
        <f>IF(ISBLANK('ALL Other SINs - Proposal'!A280)," ",'ALL Other SINs - Proposal'!A280)</f>
        <v xml:space="preserve"> </v>
      </c>
      <c r="B280" s="137" t="str">
        <f>IF(ISBLANK('ALL Other SINs - Proposal'!B280)," ",'ALL Other SINs - Proposal'!B280)</f>
        <v xml:space="preserve"> </v>
      </c>
      <c r="C280" s="137" t="str">
        <f>IF(ISBLANK('ALL Other SINs - Proposal'!C280)," ",'ALL Other SINs - Proposal'!C280)</f>
        <v xml:space="preserve"> </v>
      </c>
      <c r="D280" s="138" t="str">
        <f>IF(ISBLANK('ALL Other SINs - Proposal'!D280)," ",'ALL Other SINs - Proposal'!D280)</f>
        <v xml:space="preserve"> </v>
      </c>
      <c r="E280" s="69" t="str">
        <f>IF(ISBLANK('ALL Other SINs - Proposal'!R280)," ",'ALL Other SINs - Proposal'!R280)</f>
        <v xml:space="preserve"> </v>
      </c>
      <c r="F280" s="73" t="str">
        <f>IF(ISBLANK('ALL Other SINs - Proposal'!S280)," ",'ALL Other SINs - Proposal'!S280)</f>
        <v xml:space="preserve"> </v>
      </c>
      <c r="G280" s="173" t="str">
        <f>IF(ISBLANK('ALL Other SINs - Proposal'!T280)," ",'ALL Other SINs - Proposal'!T280)</f>
        <v xml:space="preserve"> </v>
      </c>
      <c r="H280" s="275" t="str">
        <f>IF(ISBLANK('ALL Other SINs - Proposal'!V280)," ",'ALL Other SINs - Proposal'!V280)</f>
        <v xml:space="preserve"> </v>
      </c>
      <c r="I280" s="271" t="str">
        <f>IF(ISBLANK('ALL Other SINs - Proposal'!W280)," ",'ALL Other SINs - Proposal'!W280)</f>
        <v xml:space="preserve"> </v>
      </c>
      <c r="J280" s="71" t="str">
        <f>IF(ISBLANK('ALL Other SINs - Proposal'!X280)," ",'ALL Other SINs - Proposal'!X280)</f>
        <v xml:space="preserve"> </v>
      </c>
      <c r="K280" s="165" t="str">
        <f>IF(ISBLANK('ALL Other SINs - Proposal'!AA280)," ",'ALL Other SINs - Proposal'!AA280)</f>
        <v xml:space="preserve"> </v>
      </c>
      <c r="L280" s="178" t="str">
        <f>IF(ISBLANK('ALL Other SINs - Proposal'!AB280)," ",'ALL Other SINs - Proposal'!AB280)</f>
        <v xml:space="preserve"> </v>
      </c>
      <c r="M280" s="72" t="str">
        <f t="shared" si="8"/>
        <v xml:space="preserve"> </v>
      </c>
      <c r="N280" s="167" t="str">
        <f t="shared" si="9"/>
        <v xml:space="preserve"> </v>
      </c>
    </row>
    <row r="281" spans="1:14" ht="15" x14ac:dyDescent="0.25">
      <c r="A281" s="131" t="str">
        <f>IF(ISBLANK('ALL Other SINs - Proposal'!A281)," ",'ALL Other SINs - Proposal'!A281)</f>
        <v xml:space="preserve"> </v>
      </c>
      <c r="B281" s="137" t="str">
        <f>IF(ISBLANK('ALL Other SINs - Proposal'!B281)," ",'ALL Other SINs - Proposal'!B281)</f>
        <v xml:space="preserve"> </v>
      </c>
      <c r="C281" s="137" t="str">
        <f>IF(ISBLANK('ALL Other SINs - Proposal'!C281)," ",'ALL Other SINs - Proposal'!C281)</f>
        <v xml:space="preserve"> </v>
      </c>
      <c r="D281" s="138" t="str">
        <f>IF(ISBLANK('ALL Other SINs - Proposal'!D281)," ",'ALL Other SINs - Proposal'!D281)</f>
        <v xml:space="preserve"> </v>
      </c>
      <c r="E281" s="69" t="str">
        <f>IF(ISBLANK('ALL Other SINs - Proposal'!R281)," ",'ALL Other SINs - Proposal'!R281)</f>
        <v xml:space="preserve"> </v>
      </c>
      <c r="F281" s="73" t="str">
        <f>IF(ISBLANK('ALL Other SINs - Proposal'!S281)," ",'ALL Other SINs - Proposal'!S281)</f>
        <v xml:space="preserve"> </v>
      </c>
      <c r="G281" s="173" t="str">
        <f>IF(ISBLANK('ALL Other SINs - Proposal'!T281)," ",'ALL Other SINs - Proposal'!T281)</f>
        <v xml:space="preserve"> </v>
      </c>
      <c r="H281" s="275" t="str">
        <f>IF(ISBLANK('ALL Other SINs - Proposal'!V281)," ",'ALL Other SINs - Proposal'!V281)</f>
        <v xml:space="preserve"> </v>
      </c>
      <c r="I281" s="271" t="str">
        <f>IF(ISBLANK('ALL Other SINs - Proposal'!W281)," ",'ALL Other SINs - Proposal'!W281)</f>
        <v xml:space="preserve"> </v>
      </c>
      <c r="J281" s="71" t="str">
        <f>IF(ISBLANK('ALL Other SINs - Proposal'!X281)," ",'ALL Other SINs - Proposal'!X281)</f>
        <v xml:space="preserve"> </v>
      </c>
      <c r="K281" s="165" t="str">
        <f>IF(ISBLANK('ALL Other SINs - Proposal'!AA281)," ",'ALL Other SINs - Proposal'!AA281)</f>
        <v xml:space="preserve"> </v>
      </c>
      <c r="L281" s="178" t="str">
        <f>IF(ISBLANK('ALL Other SINs - Proposal'!AB281)," ",'ALL Other SINs - Proposal'!AB281)</f>
        <v xml:space="preserve"> </v>
      </c>
      <c r="M281" s="72" t="str">
        <f t="shared" si="8"/>
        <v xml:space="preserve"> </v>
      </c>
      <c r="N281" s="167" t="str">
        <f t="shared" si="9"/>
        <v xml:space="preserve"> </v>
      </c>
    </row>
    <row r="282" spans="1:14" ht="15" x14ac:dyDescent="0.25">
      <c r="A282" s="131" t="str">
        <f>IF(ISBLANK('ALL Other SINs - Proposal'!A282)," ",'ALL Other SINs - Proposal'!A282)</f>
        <v xml:space="preserve"> </v>
      </c>
      <c r="B282" s="137" t="str">
        <f>IF(ISBLANK('ALL Other SINs - Proposal'!B282)," ",'ALL Other SINs - Proposal'!B282)</f>
        <v xml:space="preserve"> </v>
      </c>
      <c r="C282" s="137" t="str">
        <f>IF(ISBLANK('ALL Other SINs - Proposal'!C282)," ",'ALL Other SINs - Proposal'!C282)</f>
        <v xml:space="preserve"> </v>
      </c>
      <c r="D282" s="138" t="str">
        <f>IF(ISBLANK('ALL Other SINs - Proposal'!D282)," ",'ALL Other SINs - Proposal'!D282)</f>
        <v xml:space="preserve"> </v>
      </c>
      <c r="E282" s="69" t="str">
        <f>IF(ISBLANK('ALL Other SINs - Proposal'!R282)," ",'ALL Other SINs - Proposal'!R282)</f>
        <v xml:space="preserve"> </v>
      </c>
      <c r="F282" s="73" t="str">
        <f>IF(ISBLANK('ALL Other SINs - Proposal'!S282)," ",'ALL Other SINs - Proposal'!S282)</f>
        <v xml:space="preserve"> </v>
      </c>
      <c r="G282" s="173" t="str">
        <f>IF(ISBLANK('ALL Other SINs - Proposal'!T282)," ",'ALL Other SINs - Proposal'!T282)</f>
        <v xml:space="preserve"> </v>
      </c>
      <c r="H282" s="275" t="str">
        <f>IF(ISBLANK('ALL Other SINs - Proposal'!V282)," ",'ALL Other SINs - Proposal'!V282)</f>
        <v xml:space="preserve"> </v>
      </c>
      <c r="I282" s="271" t="str">
        <f>IF(ISBLANK('ALL Other SINs - Proposal'!W282)," ",'ALL Other SINs - Proposal'!W282)</f>
        <v xml:space="preserve"> </v>
      </c>
      <c r="J282" s="71" t="str">
        <f>IF(ISBLANK('ALL Other SINs - Proposal'!X282)," ",'ALL Other SINs - Proposal'!X282)</f>
        <v xml:space="preserve"> </v>
      </c>
      <c r="K282" s="165" t="str">
        <f>IF(ISBLANK('ALL Other SINs - Proposal'!AA282)," ",'ALL Other SINs - Proposal'!AA282)</f>
        <v xml:space="preserve"> </v>
      </c>
      <c r="L282" s="178" t="str">
        <f>IF(ISBLANK('ALL Other SINs - Proposal'!AB282)," ",'ALL Other SINs - Proposal'!AB282)</f>
        <v xml:space="preserve"> </v>
      </c>
      <c r="M282" s="72" t="str">
        <f t="shared" si="8"/>
        <v xml:space="preserve"> </v>
      </c>
      <c r="N282" s="167" t="str">
        <f t="shared" si="9"/>
        <v xml:space="preserve"> </v>
      </c>
    </row>
    <row r="283" spans="1:14" ht="15" x14ac:dyDescent="0.25">
      <c r="A283" s="131" t="str">
        <f>IF(ISBLANK('ALL Other SINs - Proposal'!A283)," ",'ALL Other SINs - Proposal'!A283)</f>
        <v xml:space="preserve"> </v>
      </c>
      <c r="B283" s="137" t="str">
        <f>IF(ISBLANK('ALL Other SINs - Proposal'!B283)," ",'ALL Other SINs - Proposal'!B283)</f>
        <v xml:space="preserve"> </v>
      </c>
      <c r="C283" s="137" t="str">
        <f>IF(ISBLANK('ALL Other SINs - Proposal'!C283)," ",'ALL Other SINs - Proposal'!C283)</f>
        <v xml:space="preserve"> </v>
      </c>
      <c r="D283" s="138" t="str">
        <f>IF(ISBLANK('ALL Other SINs - Proposal'!D283)," ",'ALL Other SINs - Proposal'!D283)</f>
        <v xml:space="preserve"> </v>
      </c>
      <c r="E283" s="69" t="str">
        <f>IF(ISBLANK('ALL Other SINs - Proposal'!R283)," ",'ALL Other SINs - Proposal'!R283)</f>
        <v xml:space="preserve"> </v>
      </c>
      <c r="F283" s="73" t="str">
        <f>IF(ISBLANK('ALL Other SINs - Proposal'!S283)," ",'ALL Other SINs - Proposal'!S283)</f>
        <v xml:space="preserve"> </v>
      </c>
      <c r="G283" s="173" t="str">
        <f>IF(ISBLANK('ALL Other SINs - Proposal'!T283)," ",'ALL Other SINs - Proposal'!T283)</f>
        <v xml:space="preserve"> </v>
      </c>
      <c r="H283" s="275" t="str">
        <f>IF(ISBLANK('ALL Other SINs - Proposal'!V283)," ",'ALL Other SINs - Proposal'!V283)</f>
        <v xml:space="preserve"> </v>
      </c>
      <c r="I283" s="271" t="str">
        <f>IF(ISBLANK('ALL Other SINs - Proposal'!W283)," ",'ALL Other SINs - Proposal'!W283)</f>
        <v xml:space="preserve"> </v>
      </c>
      <c r="J283" s="71" t="str">
        <f>IF(ISBLANK('ALL Other SINs - Proposal'!X283)," ",'ALL Other SINs - Proposal'!X283)</f>
        <v xml:space="preserve"> </v>
      </c>
      <c r="K283" s="165" t="str">
        <f>IF(ISBLANK('ALL Other SINs - Proposal'!AA283)," ",'ALL Other SINs - Proposal'!AA283)</f>
        <v xml:space="preserve"> </v>
      </c>
      <c r="L283" s="178" t="str">
        <f>IF(ISBLANK('ALL Other SINs - Proposal'!AB283)," ",'ALL Other SINs - Proposal'!AB283)</f>
        <v xml:space="preserve"> </v>
      </c>
      <c r="M283" s="72" t="str">
        <f t="shared" si="8"/>
        <v xml:space="preserve"> </v>
      </c>
      <c r="N283" s="167" t="str">
        <f t="shared" si="9"/>
        <v xml:space="preserve"> </v>
      </c>
    </row>
    <row r="284" spans="1:14" ht="15" x14ac:dyDescent="0.25">
      <c r="A284" s="131" t="str">
        <f>IF(ISBLANK('ALL Other SINs - Proposal'!A284)," ",'ALL Other SINs - Proposal'!A284)</f>
        <v xml:space="preserve"> </v>
      </c>
      <c r="B284" s="137" t="str">
        <f>IF(ISBLANK('ALL Other SINs - Proposal'!B284)," ",'ALL Other SINs - Proposal'!B284)</f>
        <v xml:space="preserve"> </v>
      </c>
      <c r="C284" s="137" t="str">
        <f>IF(ISBLANK('ALL Other SINs - Proposal'!C284)," ",'ALL Other SINs - Proposal'!C284)</f>
        <v xml:space="preserve"> </v>
      </c>
      <c r="D284" s="138" t="str">
        <f>IF(ISBLANK('ALL Other SINs - Proposal'!D284)," ",'ALL Other SINs - Proposal'!D284)</f>
        <v xml:space="preserve"> </v>
      </c>
      <c r="E284" s="69" t="str">
        <f>IF(ISBLANK('ALL Other SINs - Proposal'!R284)," ",'ALL Other SINs - Proposal'!R284)</f>
        <v xml:space="preserve"> </v>
      </c>
      <c r="F284" s="73" t="str">
        <f>IF(ISBLANK('ALL Other SINs - Proposal'!S284)," ",'ALL Other SINs - Proposal'!S284)</f>
        <v xml:space="preserve"> </v>
      </c>
      <c r="G284" s="173" t="str">
        <f>IF(ISBLANK('ALL Other SINs - Proposal'!T284)," ",'ALL Other SINs - Proposal'!T284)</f>
        <v xml:space="preserve"> </v>
      </c>
      <c r="H284" s="275" t="str">
        <f>IF(ISBLANK('ALL Other SINs - Proposal'!V284)," ",'ALL Other SINs - Proposal'!V284)</f>
        <v xml:space="preserve"> </v>
      </c>
      <c r="I284" s="271" t="str">
        <f>IF(ISBLANK('ALL Other SINs - Proposal'!W284)," ",'ALL Other SINs - Proposal'!W284)</f>
        <v xml:space="preserve"> </v>
      </c>
      <c r="J284" s="71" t="str">
        <f>IF(ISBLANK('ALL Other SINs - Proposal'!X284)," ",'ALL Other SINs - Proposal'!X284)</f>
        <v xml:space="preserve"> </v>
      </c>
      <c r="K284" s="165" t="str">
        <f>IF(ISBLANK('ALL Other SINs - Proposal'!AA284)," ",'ALL Other SINs - Proposal'!AA284)</f>
        <v xml:space="preserve"> </v>
      </c>
      <c r="L284" s="178" t="str">
        <f>IF(ISBLANK('ALL Other SINs - Proposal'!AB284)," ",'ALL Other SINs - Proposal'!AB284)</f>
        <v xml:space="preserve"> </v>
      </c>
      <c r="M284" s="72" t="str">
        <f t="shared" si="8"/>
        <v xml:space="preserve"> </v>
      </c>
      <c r="N284" s="167" t="str">
        <f t="shared" si="9"/>
        <v xml:space="preserve"> </v>
      </c>
    </row>
    <row r="285" spans="1:14" ht="15" x14ac:dyDescent="0.25">
      <c r="A285" s="131" t="str">
        <f>IF(ISBLANK('ALL Other SINs - Proposal'!A285)," ",'ALL Other SINs - Proposal'!A285)</f>
        <v xml:space="preserve"> </v>
      </c>
      <c r="B285" s="137" t="str">
        <f>IF(ISBLANK('ALL Other SINs - Proposal'!B285)," ",'ALL Other SINs - Proposal'!B285)</f>
        <v xml:space="preserve"> </v>
      </c>
      <c r="C285" s="137" t="str">
        <f>IF(ISBLANK('ALL Other SINs - Proposal'!C285)," ",'ALL Other SINs - Proposal'!C285)</f>
        <v xml:space="preserve"> </v>
      </c>
      <c r="D285" s="138" t="str">
        <f>IF(ISBLANK('ALL Other SINs - Proposal'!D285)," ",'ALL Other SINs - Proposal'!D285)</f>
        <v xml:space="preserve"> </v>
      </c>
      <c r="E285" s="69" t="str">
        <f>IF(ISBLANK('ALL Other SINs - Proposal'!R285)," ",'ALL Other SINs - Proposal'!R285)</f>
        <v xml:space="preserve"> </v>
      </c>
      <c r="F285" s="73" t="str">
        <f>IF(ISBLANK('ALL Other SINs - Proposal'!S285)," ",'ALL Other SINs - Proposal'!S285)</f>
        <v xml:space="preserve"> </v>
      </c>
      <c r="G285" s="173" t="str">
        <f>IF(ISBLANK('ALL Other SINs - Proposal'!T285)," ",'ALL Other SINs - Proposal'!T285)</f>
        <v xml:space="preserve"> </v>
      </c>
      <c r="H285" s="275" t="str">
        <f>IF(ISBLANK('ALL Other SINs - Proposal'!V285)," ",'ALL Other SINs - Proposal'!V285)</f>
        <v xml:space="preserve"> </v>
      </c>
      <c r="I285" s="271" t="str">
        <f>IF(ISBLANK('ALL Other SINs - Proposal'!W285)," ",'ALL Other SINs - Proposal'!W285)</f>
        <v xml:space="preserve"> </v>
      </c>
      <c r="J285" s="71" t="str">
        <f>IF(ISBLANK('ALL Other SINs - Proposal'!X285)," ",'ALL Other SINs - Proposal'!X285)</f>
        <v xml:space="preserve"> </v>
      </c>
      <c r="K285" s="165" t="str">
        <f>IF(ISBLANK('ALL Other SINs - Proposal'!AA285)," ",'ALL Other SINs - Proposal'!AA285)</f>
        <v xml:space="preserve"> </v>
      </c>
      <c r="L285" s="178" t="str">
        <f>IF(ISBLANK('ALL Other SINs - Proposal'!AB285)," ",'ALL Other SINs - Proposal'!AB285)</f>
        <v xml:space="preserve"> </v>
      </c>
      <c r="M285" s="72" t="str">
        <f t="shared" si="8"/>
        <v xml:space="preserve"> </v>
      </c>
      <c r="N285" s="167" t="str">
        <f t="shared" si="9"/>
        <v xml:space="preserve"> </v>
      </c>
    </row>
    <row r="286" spans="1:14" ht="15" x14ac:dyDescent="0.25">
      <c r="A286" s="131" t="str">
        <f>IF(ISBLANK('ALL Other SINs - Proposal'!A286)," ",'ALL Other SINs - Proposal'!A286)</f>
        <v xml:space="preserve"> </v>
      </c>
      <c r="B286" s="137" t="str">
        <f>IF(ISBLANK('ALL Other SINs - Proposal'!B286)," ",'ALL Other SINs - Proposal'!B286)</f>
        <v xml:space="preserve"> </v>
      </c>
      <c r="C286" s="137" t="str">
        <f>IF(ISBLANK('ALL Other SINs - Proposal'!C286)," ",'ALL Other SINs - Proposal'!C286)</f>
        <v xml:space="preserve"> </v>
      </c>
      <c r="D286" s="138" t="str">
        <f>IF(ISBLANK('ALL Other SINs - Proposal'!D286)," ",'ALL Other SINs - Proposal'!D286)</f>
        <v xml:space="preserve"> </v>
      </c>
      <c r="E286" s="69" t="str">
        <f>IF(ISBLANK('ALL Other SINs - Proposal'!R286)," ",'ALL Other SINs - Proposal'!R286)</f>
        <v xml:space="preserve"> </v>
      </c>
      <c r="F286" s="73" t="str">
        <f>IF(ISBLANK('ALL Other SINs - Proposal'!S286)," ",'ALL Other SINs - Proposal'!S286)</f>
        <v xml:space="preserve"> </v>
      </c>
      <c r="G286" s="173" t="str">
        <f>IF(ISBLANK('ALL Other SINs - Proposal'!T286)," ",'ALL Other SINs - Proposal'!T286)</f>
        <v xml:space="preserve"> </v>
      </c>
      <c r="H286" s="275" t="str">
        <f>IF(ISBLANK('ALL Other SINs - Proposal'!V286)," ",'ALL Other SINs - Proposal'!V286)</f>
        <v xml:space="preserve"> </v>
      </c>
      <c r="I286" s="271" t="str">
        <f>IF(ISBLANK('ALL Other SINs - Proposal'!W286)," ",'ALL Other SINs - Proposal'!W286)</f>
        <v xml:space="preserve"> </v>
      </c>
      <c r="J286" s="71" t="str">
        <f>IF(ISBLANK('ALL Other SINs - Proposal'!X286)," ",'ALL Other SINs - Proposal'!X286)</f>
        <v xml:space="preserve"> </v>
      </c>
      <c r="K286" s="165" t="str">
        <f>IF(ISBLANK('ALL Other SINs - Proposal'!AA286)," ",'ALL Other SINs - Proposal'!AA286)</f>
        <v xml:space="preserve"> </v>
      </c>
      <c r="L286" s="178" t="str">
        <f>IF(ISBLANK('ALL Other SINs - Proposal'!AB286)," ",'ALL Other SINs - Proposal'!AB286)</f>
        <v xml:space="preserve"> </v>
      </c>
      <c r="M286" s="72" t="str">
        <f t="shared" si="8"/>
        <v xml:space="preserve"> </v>
      </c>
      <c r="N286" s="167" t="str">
        <f t="shared" si="9"/>
        <v xml:space="preserve"> </v>
      </c>
    </row>
    <row r="287" spans="1:14" ht="15" x14ac:dyDescent="0.25">
      <c r="A287" s="131" t="str">
        <f>IF(ISBLANK('ALL Other SINs - Proposal'!A287)," ",'ALL Other SINs - Proposal'!A287)</f>
        <v xml:space="preserve"> </v>
      </c>
      <c r="B287" s="137" t="str">
        <f>IF(ISBLANK('ALL Other SINs - Proposal'!B287)," ",'ALL Other SINs - Proposal'!B287)</f>
        <v xml:space="preserve"> </v>
      </c>
      <c r="C287" s="137" t="str">
        <f>IF(ISBLANK('ALL Other SINs - Proposal'!C287)," ",'ALL Other SINs - Proposal'!C287)</f>
        <v xml:space="preserve"> </v>
      </c>
      <c r="D287" s="138" t="str">
        <f>IF(ISBLANK('ALL Other SINs - Proposal'!D287)," ",'ALL Other SINs - Proposal'!D287)</f>
        <v xml:space="preserve"> </v>
      </c>
      <c r="E287" s="69" t="str">
        <f>IF(ISBLANK('ALL Other SINs - Proposal'!R287)," ",'ALL Other SINs - Proposal'!R287)</f>
        <v xml:space="preserve"> </v>
      </c>
      <c r="F287" s="73" t="str">
        <f>IF(ISBLANK('ALL Other SINs - Proposal'!S287)," ",'ALL Other SINs - Proposal'!S287)</f>
        <v xml:space="preserve"> </v>
      </c>
      <c r="G287" s="173" t="str">
        <f>IF(ISBLANK('ALL Other SINs - Proposal'!T287)," ",'ALL Other SINs - Proposal'!T287)</f>
        <v xml:space="preserve"> </v>
      </c>
      <c r="H287" s="275" t="str">
        <f>IF(ISBLANK('ALL Other SINs - Proposal'!V287)," ",'ALL Other SINs - Proposal'!V287)</f>
        <v xml:space="preserve"> </v>
      </c>
      <c r="I287" s="271" t="str">
        <f>IF(ISBLANK('ALL Other SINs - Proposal'!W287)," ",'ALL Other SINs - Proposal'!W287)</f>
        <v xml:space="preserve"> </v>
      </c>
      <c r="J287" s="71" t="str">
        <f>IF(ISBLANK('ALL Other SINs - Proposal'!X287)," ",'ALL Other SINs - Proposal'!X287)</f>
        <v xml:space="preserve"> </v>
      </c>
      <c r="K287" s="165" t="str">
        <f>IF(ISBLANK('ALL Other SINs - Proposal'!AA287)," ",'ALL Other SINs - Proposal'!AA287)</f>
        <v xml:space="preserve"> </v>
      </c>
      <c r="L287" s="178" t="str">
        <f>IF(ISBLANK('ALL Other SINs - Proposal'!AB287)," ",'ALL Other SINs - Proposal'!AB287)</f>
        <v xml:space="preserve"> </v>
      </c>
      <c r="M287" s="72" t="str">
        <f t="shared" si="8"/>
        <v xml:space="preserve"> </v>
      </c>
      <c r="N287" s="167" t="str">
        <f t="shared" si="9"/>
        <v xml:space="preserve"> </v>
      </c>
    </row>
    <row r="288" spans="1:14" ht="15" x14ac:dyDescent="0.25">
      <c r="A288" s="131" t="str">
        <f>IF(ISBLANK('ALL Other SINs - Proposal'!A288)," ",'ALL Other SINs - Proposal'!A288)</f>
        <v xml:space="preserve"> </v>
      </c>
      <c r="B288" s="137" t="str">
        <f>IF(ISBLANK('ALL Other SINs - Proposal'!B288)," ",'ALL Other SINs - Proposal'!B288)</f>
        <v xml:space="preserve"> </v>
      </c>
      <c r="C288" s="137" t="str">
        <f>IF(ISBLANK('ALL Other SINs - Proposal'!C288)," ",'ALL Other SINs - Proposal'!C288)</f>
        <v xml:space="preserve"> </v>
      </c>
      <c r="D288" s="138" t="str">
        <f>IF(ISBLANK('ALL Other SINs - Proposal'!D288)," ",'ALL Other SINs - Proposal'!D288)</f>
        <v xml:space="preserve"> </v>
      </c>
      <c r="E288" s="69" t="str">
        <f>IF(ISBLANK('ALL Other SINs - Proposal'!R288)," ",'ALL Other SINs - Proposal'!R288)</f>
        <v xml:space="preserve"> </v>
      </c>
      <c r="F288" s="73" t="str">
        <f>IF(ISBLANK('ALL Other SINs - Proposal'!S288)," ",'ALL Other SINs - Proposal'!S288)</f>
        <v xml:space="preserve"> </v>
      </c>
      <c r="G288" s="173" t="str">
        <f>IF(ISBLANK('ALL Other SINs - Proposal'!T288)," ",'ALL Other SINs - Proposal'!T288)</f>
        <v xml:space="preserve"> </v>
      </c>
      <c r="H288" s="275" t="str">
        <f>IF(ISBLANK('ALL Other SINs - Proposal'!V288)," ",'ALL Other SINs - Proposal'!V288)</f>
        <v xml:space="preserve"> </v>
      </c>
      <c r="I288" s="271" t="str">
        <f>IF(ISBLANK('ALL Other SINs - Proposal'!W288)," ",'ALL Other SINs - Proposal'!W288)</f>
        <v xml:space="preserve"> </v>
      </c>
      <c r="J288" s="71" t="str">
        <f>IF(ISBLANK('ALL Other SINs - Proposal'!X288)," ",'ALL Other SINs - Proposal'!X288)</f>
        <v xml:space="preserve"> </v>
      </c>
      <c r="K288" s="165" t="str">
        <f>IF(ISBLANK('ALL Other SINs - Proposal'!AA288)," ",'ALL Other SINs - Proposal'!AA288)</f>
        <v xml:space="preserve"> </v>
      </c>
      <c r="L288" s="178" t="str">
        <f>IF(ISBLANK('ALL Other SINs - Proposal'!AB288)," ",'ALL Other SINs - Proposal'!AB288)</f>
        <v xml:space="preserve"> </v>
      </c>
      <c r="M288" s="72" t="str">
        <f t="shared" si="8"/>
        <v xml:space="preserve"> </v>
      </c>
      <c r="N288" s="167" t="str">
        <f t="shared" si="9"/>
        <v xml:space="preserve"> </v>
      </c>
    </row>
    <row r="289" spans="1:14" ht="15" x14ac:dyDescent="0.25">
      <c r="A289" s="131" t="str">
        <f>IF(ISBLANK('ALL Other SINs - Proposal'!A289)," ",'ALL Other SINs - Proposal'!A289)</f>
        <v xml:space="preserve"> </v>
      </c>
      <c r="B289" s="137" t="str">
        <f>IF(ISBLANK('ALL Other SINs - Proposal'!B289)," ",'ALL Other SINs - Proposal'!B289)</f>
        <v xml:space="preserve"> </v>
      </c>
      <c r="C289" s="137" t="str">
        <f>IF(ISBLANK('ALL Other SINs - Proposal'!C289)," ",'ALL Other SINs - Proposal'!C289)</f>
        <v xml:space="preserve"> </v>
      </c>
      <c r="D289" s="138" t="str">
        <f>IF(ISBLANK('ALL Other SINs - Proposal'!D289)," ",'ALL Other SINs - Proposal'!D289)</f>
        <v xml:space="preserve"> </v>
      </c>
      <c r="E289" s="69" t="str">
        <f>IF(ISBLANK('ALL Other SINs - Proposal'!R289)," ",'ALL Other SINs - Proposal'!R289)</f>
        <v xml:space="preserve"> </v>
      </c>
      <c r="F289" s="73" t="str">
        <f>IF(ISBLANK('ALL Other SINs - Proposal'!S289)," ",'ALL Other SINs - Proposal'!S289)</f>
        <v xml:space="preserve"> </v>
      </c>
      <c r="G289" s="173" t="str">
        <f>IF(ISBLANK('ALL Other SINs - Proposal'!T289)," ",'ALL Other SINs - Proposal'!T289)</f>
        <v xml:space="preserve"> </v>
      </c>
      <c r="H289" s="275" t="str">
        <f>IF(ISBLANK('ALL Other SINs - Proposal'!V289)," ",'ALL Other SINs - Proposal'!V289)</f>
        <v xml:space="preserve"> </v>
      </c>
      <c r="I289" s="271" t="str">
        <f>IF(ISBLANK('ALL Other SINs - Proposal'!W289)," ",'ALL Other SINs - Proposal'!W289)</f>
        <v xml:space="preserve"> </v>
      </c>
      <c r="J289" s="71" t="str">
        <f>IF(ISBLANK('ALL Other SINs - Proposal'!X289)," ",'ALL Other SINs - Proposal'!X289)</f>
        <v xml:space="preserve"> </v>
      </c>
      <c r="K289" s="165" t="str">
        <f>IF(ISBLANK('ALL Other SINs - Proposal'!AA289)," ",'ALL Other SINs - Proposal'!AA289)</f>
        <v xml:space="preserve"> </v>
      </c>
      <c r="L289" s="178" t="str">
        <f>IF(ISBLANK('ALL Other SINs - Proposal'!AB289)," ",'ALL Other SINs - Proposal'!AB289)</f>
        <v xml:space="preserve"> </v>
      </c>
      <c r="M289" s="72" t="str">
        <f t="shared" si="8"/>
        <v xml:space="preserve"> </v>
      </c>
      <c r="N289" s="167" t="str">
        <f t="shared" si="9"/>
        <v xml:space="preserve"> </v>
      </c>
    </row>
    <row r="290" spans="1:14" ht="15" x14ac:dyDescent="0.25">
      <c r="A290" s="131" t="str">
        <f>IF(ISBLANK('ALL Other SINs - Proposal'!A290)," ",'ALL Other SINs - Proposal'!A290)</f>
        <v xml:space="preserve"> </v>
      </c>
      <c r="B290" s="137" t="str">
        <f>IF(ISBLANK('ALL Other SINs - Proposal'!B290)," ",'ALL Other SINs - Proposal'!B290)</f>
        <v xml:space="preserve"> </v>
      </c>
      <c r="C290" s="137" t="str">
        <f>IF(ISBLANK('ALL Other SINs - Proposal'!C290)," ",'ALL Other SINs - Proposal'!C290)</f>
        <v xml:space="preserve"> </v>
      </c>
      <c r="D290" s="138" t="str">
        <f>IF(ISBLANK('ALL Other SINs - Proposal'!D290)," ",'ALL Other SINs - Proposal'!D290)</f>
        <v xml:space="preserve"> </v>
      </c>
      <c r="E290" s="69" t="str">
        <f>IF(ISBLANK('ALL Other SINs - Proposal'!R290)," ",'ALL Other SINs - Proposal'!R290)</f>
        <v xml:space="preserve"> </v>
      </c>
      <c r="F290" s="73" t="str">
        <f>IF(ISBLANK('ALL Other SINs - Proposal'!S290)," ",'ALL Other SINs - Proposal'!S290)</f>
        <v xml:space="preserve"> </v>
      </c>
      <c r="G290" s="173" t="str">
        <f>IF(ISBLANK('ALL Other SINs - Proposal'!T290)," ",'ALL Other SINs - Proposal'!T290)</f>
        <v xml:space="preserve"> </v>
      </c>
      <c r="H290" s="275" t="str">
        <f>IF(ISBLANK('ALL Other SINs - Proposal'!V290)," ",'ALL Other SINs - Proposal'!V290)</f>
        <v xml:space="preserve"> </v>
      </c>
      <c r="I290" s="271" t="str">
        <f>IF(ISBLANK('ALL Other SINs - Proposal'!W290)," ",'ALL Other SINs - Proposal'!W290)</f>
        <v xml:space="preserve"> </v>
      </c>
      <c r="J290" s="71" t="str">
        <f>IF(ISBLANK('ALL Other SINs - Proposal'!X290)," ",'ALL Other SINs - Proposal'!X290)</f>
        <v xml:space="preserve"> </v>
      </c>
      <c r="K290" s="165" t="str">
        <f>IF(ISBLANK('ALL Other SINs - Proposal'!AA290)," ",'ALL Other SINs - Proposal'!AA290)</f>
        <v xml:space="preserve"> </v>
      </c>
      <c r="L290" s="178" t="str">
        <f>IF(ISBLANK('ALL Other SINs - Proposal'!AB290)," ",'ALL Other SINs - Proposal'!AB290)</f>
        <v xml:space="preserve"> </v>
      </c>
      <c r="M290" s="72" t="str">
        <f t="shared" si="8"/>
        <v xml:space="preserve"> </v>
      </c>
      <c r="N290" s="167" t="str">
        <f t="shared" si="9"/>
        <v xml:space="preserve"> </v>
      </c>
    </row>
    <row r="291" spans="1:14" ht="15" x14ac:dyDescent="0.25">
      <c r="A291" s="131" t="str">
        <f>IF(ISBLANK('ALL Other SINs - Proposal'!A291)," ",'ALL Other SINs - Proposal'!A291)</f>
        <v xml:space="preserve"> </v>
      </c>
      <c r="B291" s="137" t="str">
        <f>IF(ISBLANK('ALL Other SINs - Proposal'!B291)," ",'ALL Other SINs - Proposal'!B291)</f>
        <v xml:space="preserve"> </v>
      </c>
      <c r="C291" s="137" t="str">
        <f>IF(ISBLANK('ALL Other SINs - Proposal'!C291)," ",'ALL Other SINs - Proposal'!C291)</f>
        <v xml:space="preserve"> </v>
      </c>
      <c r="D291" s="138" t="str">
        <f>IF(ISBLANK('ALL Other SINs - Proposal'!D291)," ",'ALL Other SINs - Proposal'!D291)</f>
        <v xml:space="preserve"> </v>
      </c>
      <c r="E291" s="69" t="str">
        <f>IF(ISBLANK('ALL Other SINs - Proposal'!R291)," ",'ALL Other SINs - Proposal'!R291)</f>
        <v xml:space="preserve"> </v>
      </c>
      <c r="F291" s="73" t="str">
        <f>IF(ISBLANK('ALL Other SINs - Proposal'!S291)," ",'ALL Other SINs - Proposal'!S291)</f>
        <v xml:space="preserve"> </v>
      </c>
      <c r="G291" s="173" t="str">
        <f>IF(ISBLANK('ALL Other SINs - Proposal'!T291)," ",'ALL Other SINs - Proposal'!T291)</f>
        <v xml:space="preserve"> </v>
      </c>
      <c r="H291" s="275" t="str">
        <f>IF(ISBLANK('ALL Other SINs - Proposal'!V291)," ",'ALL Other SINs - Proposal'!V291)</f>
        <v xml:space="preserve"> </v>
      </c>
      <c r="I291" s="271" t="str">
        <f>IF(ISBLANK('ALL Other SINs - Proposal'!W291)," ",'ALL Other SINs - Proposal'!W291)</f>
        <v xml:space="preserve"> </v>
      </c>
      <c r="J291" s="71" t="str">
        <f>IF(ISBLANK('ALL Other SINs - Proposal'!X291)," ",'ALL Other SINs - Proposal'!X291)</f>
        <v xml:space="preserve"> </v>
      </c>
      <c r="K291" s="165" t="str">
        <f>IF(ISBLANK('ALL Other SINs - Proposal'!AA291)," ",'ALL Other SINs - Proposal'!AA291)</f>
        <v xml:space="preserve"> </v>
      </c>
      <c r="L291" s="178" t="str">
        <f>IF(ISBLANK('ALL Other SINs - Proposal'!AB291)," ",'ALL Other SINs - Proposal'!AB291)</f>
        <v xml:space="preserve"> </v>
      </c>
      <c r="M291" s="72" t="str">
        <f t="shared" si="8"/>
        <v xml:space="preserve"> </v>
      </c>
      <c r="N291" s="167" t="str">
        <f t="shared" si="9"/>
        <v xml:space="preserve"> </v>
      </c>
    </row>
    <row r="292" spans="1:14" ht="15" x14ac:dyDescent="0.25">
      <c r="A292" s="131" t="str">
        <f>IF(ISBLANK('ALL Other SINs - Proposal'!A292)," ",'ALL Other SINs - Proposal'!A292)</f>
        <v xml:space="preserve"> </v>
      </c>
      <c r="B292" s="137" t="str">
        <f>IF(ISBLANK('ALL Other SINs - Proposal'!B292)," ",'ALL Other SINs - Proposal'!B292)</f>
        <v xml:space="preserve"> </v>
      </c>
      <c r="C292" s="137" t="str">
        <f>IF(ISBLANK('ALL Other SINs - Proposal'!C292)," ",'ALL Other SINs - Proposal'!C292)</f>
        <v xml:space="preserve"> </v>
      </c>
      <c r="D292" s="138" t="str">
        <f>IF(ISBLANK('ALL Other SINs - Proposal'!D292)," ",'ALL Other SINs - Proposal'!D292)</f>
        <v xml:space="preserve"> </v>
      </c>
      <c r="E292" s="69" t="str">
        <f>IF(ISBLANK('ALL Other SINs - Proposal'!R292)," ",'ALL Other SINs - Proposal'!R292)</f>
        <v xml:space="preserve"> </v>
      </c>
      <c r="F292" s="73" t="str">
        <f>IF(ISBLANK('ALL Other SINs - Proposal'!S292)," ",'ALL Other SINs - Proposal'!S292)</f>
        <v xml:space="preserve"> </v>
      </c>
      <c r="G292" s="173" t="str">
        <f>IF(ISBLANK('ALL Other SINs - Proposal'!T292)," ",'ALL Other SINs - Proposal'!T292)</f>
        <v xml:space="preserve"> </v>
      </c>
      <c r="H292" s="275" t="str">
        <f>IF(ISBLANK('ALL Other SINs - Proposal'!V292)," ",'ALL Other SINs - Proposal'!V292)</f>
        <v xml:space="preserve"> </v>
      </c>
      <c r="I292" s="271" t="str">
        <f>IF(ISBLANK('ALL Other SINs - Proposal'!W292)," ",'ALL Other SINs - Proposal'!W292)</f>
        <v xml:space="preserve"> </v>
      </c>
      <c r="J292" s="71" t="str">
        <f>IF(ISBLANK('ALL Other SINs - Proposal'!X292)," ",'ALL Other SINs - Proposal'!X292)</f>
        <v xml:space="preserve"> </v>
      </c>
      <c r="K292" s="165" t="str">
        <f>IF(ISBLANK('ALL Other SINs - Proposal'!AA292)," ",'ALL Other SINs - Proposal'!AA292)</f>
        <v xml:space="preserve"> </v>
      </c>
      <c r="L292" s="178" t="str">
        <f>IF(ISBLANK('ALL Other SINs - Proposal'!AB292)," ",'ALL Other SINs - Proposal'!AB292)</f>
        <v xml:space="preserve"> </v>
      </c>
      <c r="M292" s="72" t="str">
        <f t="shared" si="8"/>
        <v xml:space="preserve"> </v>
      </c>
      <c r="N292" s="167" t="str">
        <f t="shared" si="9"/>
        <v xml:space="preserve"> </v>
      </c>
    </row>
    <row r="293" spans="1:14" ht="15" x14ac:dyDescent="0.25">
      <c r="A293" s="131" t="str">
        <f>IF(ISBLANK('ALL Other SINs - Proposal'!A293)," ",'ALL Other SINs - Proposal'!A293)</f>
        <v xml:space="preserve"> </v>
      </c>
      <c r="B293" s="137" t="str">
        <f>IF(ISBLANK('ALL Other SINs - Proposal'!B293)," ",'ALL Other SINs - Proposal'!B293)</f>
        <v xml:space="preserve"> </v>
      </c>
      <c r="C293" s="137" t="str">
        <f>IF(ISBLANK('ALL Other SINs - Proposal'!C293)," ",'ALL Other SINs - Proposal'!C293)</f>
        <v xml:space="preserve"> </v>
      </c>
      <c r="D293" s="138" t="str">
        <f>IF(ISBLANK('ALL Other SINs - Proposal'!D293)," ",'ALL Other SINs - Proposal'!D293)</f>
        <v xml:space="preserve"> </v>
      </c>
      <c r="E293" s="69" t="str">
        <f>IF(ISBLANK('ALL Other SINs - Proposal'!R293)," ",'ALL Other SINs - Proposal'!R293)</f>
        <v xml:space="preserve"> </v>
      </c>
      <c r="F293" s="73" t="str">
        <f>IF(ISBLANK('ALL Other SINs - Proposal'!S293)," ",'ALL Other SINs - Proposal'!S293)</f>
        <v xml:space="preserve"> </v>
      </c>
      <c r="G293" s="173" t="str">
        <f>IF(ISBLANK('ALL Other SINs - Proposal'!T293)," ",'ALL Other SINs - Proposal'!T293)</f>
        <v xml:space="preserve"> </v>
      </c>
      <c r="H293" s="275" t="str">
        <f>IF(ISBLANK('ALL Other SINs - Proposal'!V293)," ",'ALL Other SINs - Proposal'!V293)</f>
        <v xml:space="preserve"> </v>
      </c>
      <c r="I293" s="271" t="str">
        <f>IF(ISBLANK('ALL Other SINs - Proposal'!W293)," ",'ALL Other SINs - Proposal'!W293)</f>
        <v xml:space="preserve"> </v>
      </c>
      <c r="J293" s="71" t="str">
        <f>IF(ISBLANK('ALL Other SINs - Proposal'!X293)," ",'ALL Other SINs - Proposal'!X293)</f>
        <v xml:space="preserve"> </v>
      </c>
      <c r="K293" s="165" t="str">
        <f>IF(ISBLANK('ALL Other SINs - Proposal'!AA293)," ",'ALL Other SINs - Proposal'!AA293)</f>
        <v xml:space="preserve"> </v>
      </c>
      <c r="L293" s="178" t="str">
        <f>IF(ISBLANK('ALL Other SINs - Proposal'!AB293)," ",'ALL Other SINs - Proposal'!AB293)</f>
        <v xml:space="preserve"> </v>
      </c>
      <c r="M293" s="72" t="str">
        <f t="shared" si="8"/>
        <v xml:space="preserve"> </v>
      </c>
      <c r="N293" s="167" t="str">
        <f t="shared" si="9"/>
        <v xml:space="preserve"> </v>
      </c>
    </row>
    <row r="294" spans="1:14" ht="15" x14ac:dyDescent="0.25">
      <c r="A294" s="131" t="str">
        <f>IF(ISBLANK('ALL Other SINs - Proposal'!A294)," ",'ALL Other SINs - Proposal'!A294)</f>
        <v xml:space="preserve"> </v>
      </c>
      <c r="B294" s="137" t="str">
        <f>IF(ISBLANK('ALL Other SINs - Proposal'!B294)," ",'ALL Other SINs - Proposal'!B294)</f>
        <v xml:space="preserve"> </v>
      </c>
      <c r="C294" s="137" t="str">
        <f>IF(ISBLANK('ALL Other SINs - Proposal'!C294)," ",'ALL Other SINs - Proposal'!C294)</f>
        <v xml:space="preserve"> </v>
      </c>
      <c r="D294" s="138" t="str">
        <f>IF(ISBLANK('ALL Other SINs - Proposal'!D294)," ",'ALL Other SINs - Proposal'!D294)</f>
        <v xml:space="preserve"> </v>
      </c>
      <c r="E294" s="69" t="str">
        <f>IF(ISBLANK('ALL Other SINs - Proposal'!R294)," ",'ALL Other SINs - Proposal'!R294)</f>
        <v xml:space="preserve"> </v>
      </c>
      <c r="F294" s="73" t="str">
        <f>IF(ISBLANK('ALL Other SINs - Proposal'!S294)," ",'ALL Other SINs - Proposal'!S294)</f>
        <v xml:space="preserve"> </v>
      </c>
      <c r="G294" s="173" t="str">
        <f>IF(ISBLANK('ALL Other SINs - Proposal'!T294)," ",'ALL Other SINs - Proposal'!T294)</f>
        <v xml:space="preserve"> </v>
      </c>
      <c r="H294" s="275" t="str">
        <f>IF(ISBLANK('ALL Other SINs - Proposal'!V294)," ",'ALL Other SINs - Proposal'!V294)</f>
        <v xml:space="preserve"> </v>
      </c>
      <c r="I294" s="271" t="str">
        <f>IF(ISBLANK('ALL Other SINs - Proposal'!W294)," ",'ALL Other SINs - Proposal'!W294)</f>
        <v xml:space="preserve"> </v>
      </c>
      <c r="J294" s="71" t="str">
        <f>IF(ISBLANK('ALL Other SINs - Proposal'!X294)," ",'ALL Other SINs - Proposal'!X294)</f>
        <v xml:space="preserve"> </v>
      </c>
      <c r="K294" s="165" t="str">
        <f>IF(ISBLANK('ALL Other SINs - Proposal'!AA294)," ",'ALL Other SINs - Proposal'!AA294)</f>
        <v xml:space="preserve"> </v>
      </c>
      <c r="L294" s="178" t="str">
        <f>IF(ISBLANK('ALL Other SINs - Proposal'!AB294)," ",'ALL Other SINs - Proposal'!AB294)</f>
        <v xml:space="preserve"> </v>
      </c>
      <c r="M294" s="72" t="str">
        <f t="shared" si="8"/>
        <v xml:space="preserve"> </v>
      </c>
      <c r="N294" s="167" t="str">
        <f t="shared" si="9"/>
        <v xml:space="preserve"> </v>
      </c>
    </row>
    <row r="295" spans="1:14" ht="15" x14ac:dyDescent="0.25">
      <c r="A295" s="131" t="str">
        <f>IF(ISBLANK('ALL Other SINs - Proposal'!A295)," ",'ALL Other SINs - Proposal'!A295)</f>
        <v xml:space="preserve"> </v>
      </c>
      <c r="B295" s="137" t="str">
        <f>IF(ISBLANK('ALL Other SINs - Proposal'!B295)," ",'ALL Other SINs - Proposal'!B295)</f>
        <v xml:space="preserve"> </v>
      </c>
      <c r="C295" s="137" t="str">
        <f>IF(ISBLANK('ALL Other SINs - Proposal'!C295)," ",'ALL Other SINs - Proposal'!C295)</f>
        <v xml:space="preserve"> </v>
      </c>
      <c r="D295" s="138" t="str">
        <f>IF(ISBLANK('ALL Other SINs - Proposal'!D295)," ",'ALL Other SINs - Proposal'!D295)</f>
        <v xml:space="preserve"> </v>
      </c>
      <c r="E295" s="69" t="str">
        <f>IF(ISBLANK('ALL Other SINs - Proposal'!R295)," ",'ALL Other SINs - Proposal'!R295)</f>
        <v xml:space="preserve"> </v>
      </c>
      <c r="F295" s="73" t="str">
        <f>IF(ISBLANK('ALL Other SINs - Proposal'!S295)," ",'ALL Other SINs - Proposal'!S295)</f>
        <v xml:space="preserve"> </v>
      </c>
      <c r="G295" s="173" t="str">
        <f>IF(ISBLANK('ALL Other SINs - Proposal'!T295)," ",'ALL Other SINs - Proposal'!T295)</f>
        <v xml:space="preserve"> </v>
      </c>
      <c r="H295" s="275" t="str">
        <f>IF(ISBLANK('ALL Other SINs - Proposal'!V295)," ",'ALL Other SINs - Proposal'!V295)</f>
        <v xml:space="preserve"> </v>
      </c>
      <c r="I295" s="271" t="str">
        <f>IF(ISBLANK('ALL Other SINs - Proposal'!W295)," ",'ALL Other SINs - Proposal'!W295)</f>
        <v xml:space="preserve"> </v>
      </c>
      <c r="J295" s="71" t="str">
        <f>IF(ISBLANK('ALL Other SINs - Proposal'!X295)," ",'ALL Other SINs - Proposal'!X295)</f>
        <v xml:space="preserve"> </v>
      </c>
      <c r="K295" s="165" t="str">
        <f>IF(ISBLANK('ALL Other SINs - Proposal'!AA295)," ",'ALL Other SINs - Proposal'!AA295)</f>
        <v xml:space="preserve"> </v>
      </c>
      <c r="L295" s="178" t="str">
        <f>IF(ISBLANK('ALL Other SINs - Proposal'!AB295)," ",'ALL Other SINs - Proposal'!AB295)</f>
        <v xml:space="preserve"> </v>
      </c>
      <c r="M295" s="72" t="str">
        <f t="shared" si="8"/>
        <v xml:space="preserve"> </v>
      </c>
      <c r="N295" s="167" t="str">
        <f t="shared" si="9"/>
        <v xml:space="preserve"> </v>
      </c>
    </row>
    <row r="296" spans="1:14" ht="15" x14ac:dyDescent="0.25">
      <c r="A296" s="131" t="str">
        <f>IF(ISBLANK('ALL Other SINs - Proposal'!A296)," ",'ALL Other SINs - Proposal'!A296)</f>
        <v xml:space="preserve"> </v>
      </c>
      <c r="B296" s="137" t="str">
        <f>IF(ISBLANK('ALL Other SINs - Proposal'!B296)," ",'ALL Other SINs - Proposal'!B296)</f>
        <v xml:space="preserve"> </v>
      </c>
      <c r="C296" s="137" t="str">
        <f>IF(ISBLANK('ALL Other SINs - Proposal'!C296)," ",'ALL Other SINs - Proposal'!C296)</f>
        <v xml:space="preserve"> </v>
      </c>
      <c r="D296" s="138" t="str">
        <f>IF(ISBLANK('ALL Other SINs - Proposal'!D296)," ",'ALL Other SINs - Proposal'!D296)</f>
        <v xml:space="preserve"> </v>
      </c>
      <c r="E296" s="69" t="str">
        <f>IF(ISBLANK('ALL Other SINs - Proposal'!R296)," ",'ALL Other SINs - Proposal'!R296)</f>
        <v xml:space="preserve"> </v>
      </c>
      <c r="F296" s="73" t="str">
        <f>IF(ISBLANK('ALL Other SINs - Proposal'!S296)," ",'ALL Other SINs - Proposal'!S296)</f>
        <v xml:space="preserve"> </v>
      </c>
      <c r="G296" s="173" t="str">
        <f>IF(ISBLANK('ALL Other SINs - Proposal'!T296)," ",'ALL Other SINs - Proposal'!T296)</f>
        <v xml:space="preserve"> </v>
      </c>
      <c r="H296" s="275" t="str">
        <f>IF(ISBLANK('ALL Other SINs - Proposal'!V296)," ",'ALL Other SINs - Proposal'!V296)</f>
        <v xml:space="preserve"> </v>
      </c>
      <c r="I296" s="271" t="str">
        <f>IF(ISBLANK('ALL Other SINs - Proposal'!W296)," ",'ALL Other SINs - Proposal'!W296)</f>
        <v xml:space="preserve"> </v>
      </c>
      <c r="J296" s="71" t="str">
        <f>IF(ISBLANK('ALL Other SINs - Proposal'!X296)," ",'ALL Other SINs - Proposal'!X296)</f>
        <v xml:space="preserve"> </v>
      </c>
      <c r="K296" s="165" t="str">
        <f>IF(ISBLANK('ALL Other SINs - Proposal'!AA296)," ",'ALL Other SINs - Proposal'!AA296)</f>
        <v xml:space="preserve"> </v>
      </c>
      <c r="L296" s="178" t="str">
        <f>IF(ISBLANK('ALL Other SINs - Proposal'!AB296)," ",'ALL Other SINs - Proposal'!AB296)</f>
        <v xml:space="preserve"> </v>
      </c>
      <c r="M296" s="72" t="str">
        <f t="shared" si="8"/>
        <v xml:space="preserve"> </v>
      </c>
      <c r="N296" s="167" t="str">
        <f t="shared" si="9"/>
        <v xml:space="preserve"> </v>
      </c>
    </row>
    <row r="297" spans="1:14" ht="15" x14ac:dyDescent="0.25">
      <c r="A297" s="131" t="str">
        <f>IF(ISBLANK('ALL Other SINs - Proposal'!A297)," ",'ALL Other SINs - Proposal'!A297)</f>
        <v xml:space="preserve"> </v>
      </c>
      <c r="B297" s="137" t="str">
        <f>IF(ISBLANK('ALL Other SINs - Proposal'!B297)," ",'ALL Other SINs - Proposal'!B297)</f>
        <v xml:space="preserve"> </v>
      </c>
      <c r="C297" s="137" t="str">
        <f>IF(ISBLANK('ALL Other SINs - Proposal'!C297)," ",'ALL Other SINs - Proposal'!C297)</f>
        <v xml:space="preserve"> </v>
      </c>
      <c r="D297" s="138" t="str">
        <f>IF(ISBLANK('ALL Other SINs - Proposal'!D297)," ",'ALL Other SINs - Proposal'!D297)</f>
        <v xml:space="preserve"> </v>
      </c>
      <c r="E297" s="69" t="str">
        <f>IF(ISBLANK('ALL Other SINs - Proposal'!R297)," ",'ALL Other SINs - Proposal'!R297)</f>
        <v xml:space="preserve"> </v>
      </c>
      <c r="F297" s="73" t="str">
        <f>IF(ISBLANK('ALL Other SINs - Proposal'!S297)," ",'ALL Other SINs - Proposal'!S297)</f>
        <v xml:space="preserve"> </v>
      </c>
      <c r="G297" s="173" t="str">
        <f>IF(ISBLANK('ALL Other SINs - Proposal'!T297)," ",'ALL Other SINs - Proposal'!T297)</f>
        <v xml:space="preserve"> </v>
      </c>
      <c r="H297" s="275" t="str">
        <f>IF(ISBLANK('ALL Other SINs - Proposal'!V297)," ",'ALL Other SINs - Proposal'!V297)</f>
        <v xml:space="preserve"> </v>
      </c>
      <c r="I297" s="271" t="str">
        <f>IF(ISBLANK('ALL Other SINs - Proposal'!W297)," ",'ALL Other SINs - Proposal'!W297)</f>
        <v xml:space="preserve"> </v>
      </c>
      <c r="J297" s="71" t="str">
        <f>IF(ISBLANK('ALL Other SINs - Proposal'!X297)," ",'ALL Other SINs - Proposal'!X297)</f>
        <v xml:space="preserve"> </v>
      </c>
      <c r="K297" s="165" t="str">
        <f>IF(ISBLANK('ALL Other SINs - Proposal'!AA297)," ",'ALL Other SINs - Proposal'!AA297)</f>
        <v xml:space="preserve"> </v>
      </c>
      <c r="L297" s="178" t="str">
        <f>IF(ISBLANK('ALL Other SINs - Proposal'!AB297)," ",'ALL Other SINs - Proposal'!AB297)</f>
        <v xml:space="preserve"> </v>
      </c>
      <c r="M297" s="72" t="str">
        <f t="shared" si="8"/>
        <v xml:space="preserve"> </v>
      </c>
      <c r="N297" s="167" t="str">
        <f t="shared" si="9"/>
        <v xml:space="preserve"> </v>
      </c>
    </row>
    <row r="298" spans="1:14" ht="15" x14ac:dyDescent="0.25">
      <c r="A298" s="131" t="str">
        <f>IF(ISBLANK('ALL Other SINs - Proposal'!A298)," ",'ALL Other SINs - Proposal'!A298)</f>
        <v xml:space="preserve"> </v>
      </c>
      <c r="B298" s="137" t="str">
        <f>IF(ISBLANK('ALL Other SINs - Proposal'!B298)," ",'ALL Other SINs - Proposal'!B298)</f>
        <v xml:space="preserve"> </v>
      </c>
      <c r="C298" s="137" t="str">
        <f>IF(ISBLANK('ALL Other SINs - Proposal'!C298)," ",'ALL Other SINs - Proposal'!C298)</f>
        <v xml:space="preserve"> </v>
      </c>
      <c r="D298" s="138" t="str">
        <f>IF(ISBLANK('ALL Other SINs - Proposal'!D298)," ",'ALL Other SINs - Proposal'!D298)</f>
        <v xml:space="preserve"> </v>
      </c>
      <c r="E298" s="69" t="str">
        <f>IF(ISBLANK('ALL Other SINs - Proposal'!R298)," ",'ALL Other SINs - Proposal'!R298)</f>
        <v xml:space="preserve"> </v>
      </c>
      <c r="F298" s="73" t="str">
        <f>IF(ISBLANK('ALL Other SINs - Proposal'!S298)," ",'ALL Other SINs - Proposal'!S298)</f>
        <v xml:space="preserve"> </v>
      </c>
      <c r="G298" s="173" t="str">
        <f>IF(ISBLANK('ALL Other SINs - Proposal'!T298)," ",'ALL Other SINs - Proposal'!T298)</f>
        <v xml:space="preserve"> </v>
      </c>
      <c r="H298" s="275" t="str">
        <f>IF(ISBLANK('ALL Other SINs - Proposal'!V298)," ",'ALL Other SINs - Proposal'!V298)</f>
        <v xml:space="preserve"> </v>
      </c>
      <c r="I298" s="271" t="str">
        <f>IF(ISBLANK('ALL Other SINs - Proposal'!W298)," ",'ALL Other SINs - Proposal'!W298)</f>
        <v xml:space="preserve"> </v>
      </c>
      <c r="J298" s="71" t="str">
        <f>IF(ISBLANK('ALL Other SINs - Proposal'!X298)," ",'ALL Other SINs - Proposal'!X298)</f>
        <v xml:space="preserve"> </v>
      </c>
      <c r="K298" s="165" t="str">
        <f>IF(ISBLANK('ALL Other SINs - Proposal'!AA298)," ",'ALL Other SINs - Proposal'!AA298)</f>
        <v xml:space="preserve"> </v>
      </c>
      <c r="L298" s="178" t="str">
        <f>IF(ISBLANK('ALL Other SINs - Proposal'!AB298)," ",'ALL Other SINs - Proposal'!AB298)</f>
        <v xml:space="preserve"> </v>
      </c>
      <c r="M298" s="72" t="str">
        <f t="shared" si="8"/>
        <v xml:space="preserve"> </v>
      </c>
      <c r="N298" s="167" t="str">
        <f t="shared" si="9"/>
        <v xml:space="preserve"> </v>
      </c>
    </row>
    <row r="299" spans="1:14" ht="15" x14ac:dyDescent="0.25">
      <c r="A299" s="131" t="str">
        <f>IF(ISBLANK('ALL Other SINs - Proposal'!A299)," ",'ALL Other SINs - Proposal'!A299)</f>
        <v xml:space="preserve"> </v>
      </c>
      <c r="B299" s="137" t="str">
        <f>IF(ISBLANK('ALL Other SINs - Proposal'!B299)," ",'ALL Other SINs - Proposal'!B299)</f>
        <v xml:space="preserve"> </v>
      </c>
      <c r="C299" s="137" t="str">
        <f>IF(ISBLANK('ALL Other SINs - Proposal'!C299)," ",'ALL Other SINs - Proposal'!C299)</f>
        <v xml:space="preserve"> </v>
      </c>
      <c r="D299" s="138" t="str">
        <f>IF(ISBLANK('ALL Other SINs - Proposal'!D299)," ",'ALL Other SINs - Proposal'!D299)</f>
        <v xml:space="preserve"> </v>
      </c>
      <c r="E299" s="69" t="str">
        <f>IF(ISBLANK('ALL Other SINs - Proposal'!R299)," ",'ALL Other SINs - Proposal'!R299)</f>
        <v xml:space="preserve"> </v>
      </c>
      <c r="F299" s="73" t="str">
        <f>IF(ISBLANK('ALL Other SINs - Proposal'!S299)," ",'ALL Other SINs - Proposal'!S299)</f>
        <v xml:space="preserve"> </v>
      </c>
      <c r="G299" s="173" t="str">
        <f>IF(ISBLANK('ALL Other SINs - Proposal'!T299)," ",'ALL Other SINs - Proposal'!T299)</f>
        <v xml:space="preserve"> </v>
      </c>
      <c r="H299" s="275" t="str">
        <f>IF(ISBLANK('ALL Other SINs - Proposal'!V299)," ",'ALL Other SINs - Proposal'!V299)</f>
        <v xml:space="preserve"> </v>
      </c>
      <c r="I299" s="271" t="str">
        <f>IF(ISBLANK('ALL Other SINs - Proposal'!W299)," ",'ALL Other SINs - Proposal'!W299)</f>
        <v xml:space="preserve"> </v>
      </c>
      <c r="J299" s="71" t="str">
        <f>IF(ISBLANK('ALL Other SINs - Proposal'!X299)," ",'ALL Other SINs - Proposal'!X299)</f>
        <v xml:space="preserve"> </v>
      </c>
      <c r="K299" s="165" t="str">
        <f>IF(ISBLANK('ALL Other SINs - Proposal'!AA299)," ",'ALL Other SINs - Proposal'!AA299)</f>
        <v xml:space="preserve"> </v>
      </c>
      <c r="L299" s="178" t="str">
        <f>IF(ISBLANK('ALL Other SINs - Proposal'!AB299)," ",'ALL Other SINs - Proposal'!AB299)</f>
        <v xml:space="preserve"> </v>
      </c>
      <c r="M299" s="72" t="str">
        <f t="shared" si="8"/>
        <v xml:space="preserve"> </v>
      </c>
      <c r="N299" s="167" t="str">
        <f t="shared" si="9"/>
        <v xml:space="preserve"> </v>
      </c>
    </row>
    <row r="300" spans="1:14" ht="15" x14ac:dyDescent="0.25">
      <c r="A300" s="131" t="str">
        <f>IF(ISBLANK('ALL Other SINs - Proposal'!A300)," ",'ALL Other SINs - Proposal'!A300)</f>
        <v xml:space="preserve"> </v>
      </c>
      <c r="B300" s="137" t="str">
        <f>IF(ISBLANK('ALL Other SINs - Proposal'!B300)," ",'ALL Other SINs - Proposal'!B300)</f>
        <v xml:space="preserve"> </v>
      </c>
      <c r="C300" s="137" t="str">
        <f>IF(ISBLANK('ALL Other SINs - Proposal'!C300)," ",'ALL Other SINs - Proposal'!C300)</f>
        <v xml:space="preserve"> </v>
      </c>
      <c r="D300" s="138" t="str">
        <f>IF(ISBLANK('ALL Other SINs - Proposal'!D300)," ",'ALL Other SINs - Proposal'!D300)</f>
        <v xml:space="preserve"> </v>
      </c>
      <c r="E300" s="69" t="str">
        <f>IF(ISBLANK('ALL Other SINs - Proposal'!R300)," ",'ALL Other SINs - Proposal'!R300)</f>
        <v xml:space="preserve"> </v>
      </c>
      <c r="F300" s="73" t="str">
        <f>IF(ISBLANK('ALL Other SINs - Proposal'!S300)," ",'ALL Other SINs - Proposal'!S300)</f>
        <v xml:space="preserve"> </v>
      </c>
      <c r="G300" s="173" t="str">
        <f>IF(ISBLANK('ALL Other SINs - Proposal'!T300)," ",'ALL Other SINs - Proposal'!T300)</f>
        <v xml:space="preserve"> </v>
      </c>
      <c r="H300" s="275" t="str">
        <f>IF(ISBLANK('ALL Other SINs - Proposal'!V300)," ",'ALL Other SINs - Proposal'!V300)</f>
        <v xml:space="preserve"> </v>
      </c>
      <c r="I300" s="271" t="str">
        <f>IF(ISBLANK('ALL Other SINs - Proposal'!W300)," ",'ALL Other SINs - Proposal'!W300)</f>
        <v xml:space="preserve"> </v>
      </c>
      <c r="J300" s="71" t="str">
        <f>IF(ISBLANK('ALL Other SINs - Proposal'!X300)," ",'ALL Other SINs - Proposal'!X300)</f>
        <v xml:space="preserve"> </v>
      </c>
      <c r="K300" s="165" t="str">
        <f>IF(ISBLANK('ALL Other SINs - Proposal'!AA300)," ",'ALL Other SINs - Proposal'!AA300)</f>
        <v xml:space="preserve"> </v>
      </c>
      <c r="L300" s="178" t="str">
        <f>IF(ISBLANK('ALL Other SINs - Proposal'!AB300)," ",'ALL Other SINs - Proposal'!AB300)</f>
        <v xml:space="preserve"> </v>
      </c>
      <c r="M300" s="72" t="str">
        <f t="shared" si="8"/>
        <v xml:space="preserve"> </v>
      </c>
      <c r="N300" s="167" t="str">
        <f t="shared" si="9"/>
        <v xml:space="preserve"> </v>
      </c>
    </row>
    <row r="301" spans="1:14" ht="15" x14ac:dyDescent="0.25">
      <c r="A301" s="131" t="str">
        <f>IF(ISBLANK('ALL Other SINs - Proposal'!A301)," ",'ALL Other SINs - Proposal'!A301)</f>
        <v xml:space="preserve"> </v>
      </c>
      <c r="B301" s="137" t="str">
        <f>IF(ISBLANK('ALL Other SINs - Proposal'!B301)," ",'ALL Other SINs - Proposal'!B301)</f>
        <v xml:space="preserve"> </v>
      </c>
      <c r="C301" s="137" t="str">
        <f>IF(ISBLANK('ALL Other SINs - Proposal'!C301)," ",'ALL Other SINs - Proposal'!C301)</f>
        <v xml:space="preserve"> </v>
      </c>
      <c r="D301" s="138" t="str">
        <f>IF(ISBLANK('ALL Other SINs - Proposal'!D301)," ",'ALL Other SINs - Proposal'!D301)</f>
        <v xml:space="preserve"> </v>
      </c>
      <c r="E301" s="69" t="str">
        <f>IF(ISBLANK('ALL Other SINs - Proposal'!R301)," ",'ALL Other SINs - Proposal'!R301)</f>
        <v xml:space="preserve"> </v>
      </c>
      <c r="F301" s="73" t="str">
        <f>IF(ISBLANK('ALL Other SINs - Proposal'!S301)," ",'ALL Other SINs - Proposal'!S301)</f>
        <v xml:space="preserve"> </v>
      </c>
      <c r="G301" s="173" t="str">
        <f>IF(ISBLANK('ALL Other SINs - Proposal'!T301)," ",'ALL Other SINs - Proposal'!T301)</f>
        <v xml:space="preserve"> </v>
      </c>
      <c r="H301" s="275" t="str">
        <f>IF(ISBLANK('ALL Other SINs - Proposal'!V301)," ",'ALL Other SINs - Proposal'!V301)</f>
        <v xml:space="preserve"> </v>
      </c>
      <c r="I301" s="271" t="str">
        <f>IF(ISBLANK('ALL Other SINs - Proposal'!W301)," ",'ALL Other SINs - Proposal'!W301)</f>
        <v xml:space="preserve"> </v>
      </c>
      <c r="J301" s="71" t="str">
        <f>IF(ISBLANK('ALL Other SINs - Proposal'!X301)," ",'ALL Other SINs - Proposal'!X301)</f>
        <v xml:space="preserve"> </v>
      </c>
      <c r="K301" s="165" t="str">
        <f>IF(ISBLANK('ALL Other SINs - Proposal'!AA301)," ",'ALL Other SINs - Proposal'!AA301)</f>
        <v xml:space="preserve"> </v>
      </c>
      <c r="L301" s="178" t="str">
        <f>IF(ISBLANK('ALL Other SINs - Proposal'!AB301)," ",'ALL Other SINs - Proposal'!AB301)</f>
        <v xml:space="preserve"> </v>
      </c>
      <c r="M301" s="72" t="str">
        <f t="shared" si="8"/>
        <v xml:space="preserve"> </v>
      </c>
      <c r="N301" s="167" t="str">
        <f t="shared" si="9"/>
        <v xml:space="preserve"> </v>
      </c>
    </row>
    <row r="302" spans="1:14" ht="15" x14ac:dyDescent="0.25">
      <c r="A302" s="131" t="str">
        <f>IF(ISBLANK('ALL Other SINs - Proposal'!A302)," ",'ALL Other SINs - Proposal'!A302)</f>
        <v xml:space="preserve"> </v>
      </c>
      <c r="B302" s="137" t="str">
        <f>IF(ISBLANK('ALL Other SINs - Proposal'!B302)," ",'ALL Other SINs - Proposal'!B302)</f>
        <v xml:space="preserve"> </v>
      </c>
      <c r="C302" s="137" t="str">
        <f>IF(ISBLANK('ALL Other SINs - Proposal'!C302)," ",'ALL Other SINs - Proposal'!C302)</f>
        <v xml:space="preserve"> </v>
      </c>
      <c r="D302" s="138" t="str">
        <f>IF(ISBLANK('ALL Other SINs - Proposal'!D302)," ",'ALL Other SINs - Proposal'!D302)</f>
        <v xml:space="preserve"> </v>
      </c>
      <c r="E302" s="69" t="str">
        <f>IF(ISBLANK('ALL Other SINs - Proposal'!R302)," ",'ALL Other SINs - Proposal'!R302)</f>
        <v xml:space="preserve"> </v>
      </c>
      <c r="F302" s="73" t="str">
        <f>IF(ISBLANK('ALL Other SINs - Proposal'!S302)," ",'ALL Other SINs - Proposal'!S302)</f>
        <v xml:space="preserve"> </v>
      </c>
      <c r="G302" s="173" t="str">
        <f>IF(ISBLANK('ALL Other SINs - Proposal'!T302)," ",'ALL Other SINs - Proposal'!T302)</f>
        <v xml:space="preserve"> </v>
      </c>
      <c r="H302" s="275" t="str">
        <f>IF(ISBLANK('ALL Other SINs - Proposal'!V302)," ",'ALL Other SINs - Proposal'!V302)</f>
        <v xml:space="preserve"> </v>
      </c>
      <c r="I302" s="271" t="str">
        <f>IF(ISBLANK('ALL Other SINs - Proposal'!W302)," ",'ALL Other SINs - Proposal'!W302)</f>
        <v xml:space="preserve"> </v>
      </c>
      <c r="J302" s="71" t="str">
        <f>IF(ISBLANK('ALL Other SINs - Proposal'!X302)," ",'ALL Other SINs - Proposal'!X302)</f>
        <v xml:space="preserve"> </v>
      </c>
      <c r="K302" s="165" t="str">
        <f>IF(ISBLANK('ALL Other SINs - Proposal'!AA302)," ",'ALL Other SINs - Proposal'!AA302)</f>
        <v xml:space="preserve"> </v>
      </c>
      <c r="L302" s="178" t="str">
        <f>IF(ISBLANK('ALL Other SINs - Proposal'!AB302)," ",'ALL Other SINs - Proposal'!AB302)</f>
        <v xml:space="preserve"> </v>
      </c>
      <c r="M302" s="72" t="str">
        <f t="shared" si="8"/>
        <v xml:space="preserve"> </v>
      </c>
      <c r="N302" s="167" t="str">
        <f t="shared" si="9"/>
        <v xml:space="preserve"> </v>
      </c>
    </row>
    <row r="303" spans="1:14" ht="15" x14ac:dyDescent="0.25">
      <c r="A303" s="131" t="str">
        <f>IF(ISBLANK('ALL Other SINs - Proposal'!A303)," ",'ALL Other SINs - Proposal'!A303)</f>
        <v xml:space="preserve"> </v>
      </c>
      <c r="B303" s="137" t="str">
        <f>IF(ISBLANK('ALL Other SINs - Proposal'!B303)," ",'ALL Other SINs - Proposal'!B303)</f>
        <v xml:space="preserve"> </v>
      </c>
      <c r="C303" s="137" t="str">
        <f>IF(ISBLANK('ALL Other SINs - Proposal'!C303)," ",'ALL Other SINs - Proposal'!C303)</f>
        <v xml:space="preserve"> </v>
      </c>
      <c r="D303" s="138" t="str">
        <f>IF(ISBLANK('ALL Other SINs - Proposal'!D303)," ",'ALL Other SINs - Proposal'!D303)</f>
        <v xml:space="preserve"> </v>
      </c>
      <c r="E303" s="69" t="str">
        <f>IF(ISBLANK('ALL Other SINs - Proposal'!R303)," ",'ALL Other SINs - Proposal'!R303)</f>
        <v xml:space="preserve"> </v>
      </c>
      <c r="F303" s="73" t="str">
        <f>IF(ISBLANK('ALL Other SINs - Proposal'!S303)," ",'ALL Other SINs - Proposal'!S303)</f>
        <v xml:space="preserve"> </v>
      </c>
      <c r="G303" s="173" t="str">
        <f>IF(ISBLANK('ALL Other SINs - Proposal'!T303)," ",'ALL Other SINs - Proposal'!T303)</f>
        <v xml:space="preserve"> </v>
      </c>
      <c r="H303" s="275" t="str">
        <f>IF(ISBLANK('ALL Other SINs - Proposal'!V303)," ",'ALL Other SINs - Proposal'!V303)</f>
        <v xml:space="preserve"> </v>
      </c>
      <c r="I303" s="271" t="str">
        <f>IF(ISBLANK('ALL Other SINs - Proposal'!W303)," ",'ALL Other SINs - Proposal'!W303)</f>
        <v xml:space="preserve"> </v>
      </c>
      <c r="J303" s="71" t="str">
        <f>IF(ISBLANK('ALL Other SINs - Proposal'!X303)," ",'ALL Other SINs - Proposal'!X303)</f>
        <v xml:space="preserve"> </v>
      </c>
      <c r="K303" s="165" t="str">
        <f>IF(ISBLANK('ALL Other SINs - Proposal'!AA303)," ",'ALL Other SINs - Proposal'!AA303)</f>
        <v xml:space="preserve"> </v>
      </c>
      <c r="L303" s="178" t="str">
        <f>IF(ISBLANK('ALL Other SINs - Proposal'!AB303)," ",'ALL Other SINs - Proposal'!AB303)</f>
        <v xml:space="preserve"> </v>
      </c>
      <c r="M303" s="72" t="str">
        <f t="shared" si="8"/>
        <v xml:space="preserve"> </v>
      </c>
      <c r="N303" s="167" t="str">
        <f t="shared" si="9"/>
        <v xml:space="preserve"> </v>
      </c>
    </row>
    <row r="304" spans="1:14" ht="15" x14ac:dyDescent="0.25">
      <c r="A304" s="131" t="str">
        <f>IF(ISBLANK('ALL Other SINs - Proposal'!A304)," ",'ALL Other SINs - Proposal'!A304)</f>
        <v xml:space="preserve"> </v>
      </c>
      <c r="B304" s="137" t="str">
        <f>IF(ISBLANK('ALL Other SINs - Proposal'!B304)," ",'ALL Other SINs - Proposal'!B304)</f>
        <v xml:space="preserve"> </v>
      </c>
      <c r="C304" s="137" t="str">
        <f>IF(ISBLANK('ALL Other SINs - Proposal'!C304)," ",'ALL Other SINs - Proposal'!C304)</f>
        <v xml:space="preserve"> </v>
      </c>
      <c r="D304" s="138" t="str">
        <f>IF(ISBLANK('ALL Other SINs - Proposal'!D304)," ",'ALL Other SINs - Proposal'!D304)</f>
        <v xml:space="preserve"> </v>
      </c>
      <c r="E304" s="69" t="str">
        <f>IF(ISBLANK('ALL Other SINs - Proposal'!R304)," ",'ALL Other SINs - Proposal'!R304)</f>
        <v xml:space="preserve"> </v>
      </c>
      <c r="F304" s="73" t="str">
        <f>IF(ISBLANK('ALL Other SINs - Proposal'!S304)," ",'ALL Other SINs - Proposal'!S304)</f>
        <v xml:space="preserve"> </v>
      </c>
      <c r="G304" s="173" t="str">
        <f>IF(ISBLANK('ALL Other SINs - Proposal'!T304)," ",'ALL Other SINs - Proposal'!T304)</f>
        <v xml:space="preserve"> </v>
      </c>
      <c r="H304" s="275" t="str">
        <f>IF(ISBLANK('ALL Other SINs - Proposal'!V304)," ",'ALL Other SINs - Proposal'!V304)</f>
        <v xml:space="preserve"> </v>
      </c>
      <c r="I304" s="271" t="str">
        <f>IF(ISBLANK('ALL Other SINs - Proposal'!W304)," ",'ALL Other SINs - Proposal'!W304)</f>
        <v xml:space="preserve"> </v>
      </c>
      <c r="J304" s="71" t="str">
        <f>IF(ISBLANK('ALL Other SINs - Proposal'!X304)," ",'ALL Other SINs - Proposal'!X304)</f>
        <v xml:space="preserve"> </v>
      </c>
      <c r="K304" s="165" t="str">
        <f>IF(ISBLANK('ALL Other SINs - Proposal'!AA304)," ",'ALL Other SINs - Proposal'!AA304)</f>
        <v xml:space="preserve"> </v>
      </c>
      <c r="L304" s="178" t="str">
        <f>IF(ISBLANK('ALL Other SINs - Proposal'!AB304)," ",'ALL Other SINs - Proposal'!AB304)</f>
        <v xml:space="preserve"> </v>
      </c>
      <c r="M304" s="72" t="str">
        <f t="shared" si="8"/>
        <v xml:space="preserve"> </v>
      </c>
      <c r="N304" s="167" t="str">
        <f t="shared" si="9"/>
        <v xml:space="preserve"> </v>
      </c>
    </row>
    <row r="305" spans="1:14" ht="15" x14ac:dyDescent="0.25">
      <c r="A305" s="131" t="str">
        <f>IF(ISBLANK('ALL Other SINs - Proposal'!A305)," ",'ALL Other SINs - Proposal'!A305)</f>
        <v xml:space="preserve"> </v>
      </c>
      <c r="B305" s="137" t="str">
        <f>IF(ISBLANK('ALL Other SINs - Proposal'!B305)," ",'ALL Other SINs - Proposal'!B305)</f>
        <v xml:space="preserve"> </v>
      </c>
      <c r="C305" s="137" t="str">
        <f>IF(ISBLANK('ALL Other SINs - Proposal'!C305)," ",'ALL Other SINs - Proposal'!C305)</f>
        <v xml:space="preserve"> </v>
      </c>
      <c r="D305" s="138" t="str">
        <f>IF(ISBLANK('ALL Other SINs - Proposal'!D305)," ",'ALL Other SINs - Proposal'!D305)</f>
        <v xml:space="preserve"> </v>
      </c>
      <c r="E305" s="69" t="str">
        <f>IF(ISBLANK('ALL Other SINs - Proposal'!R305)," ",'ALL Other SINs - Proposal'!R305)</f>
        <v xml:space="preserve"> </v>
      </c>
      <c r="F305" s="73" t="str">
        <f>IF(ISBLANK('ALL Other SINs - Proposal'!S305)," ",'ALL Other SINs - Proposal'!S305)</f>
        <v xml:space="preserve"> </v>
      </c>
      <c r="G305" s="173" t="str">
        <f>IF(ISBLANK('ALL Other SINs - Proposal'!T305)," ",'ALL Other SINs - Proposal'!T305)</f>
        <v xml:space="preserve"> </v>
      </c>
      <c r="H305" s="275" t="str">
        <f>IF(ISBLANK('ALL Other SINs - Proposal'!V305)," ",'ALL Other SINs - Proposal'!V305)</f>
        <v xml:space="preserve"> </v>
      </c>
      <c r="I305" s="271" t="str">
        <f>IF(ISBLANK('ALL Other SINs - Proposal'!W305)," ",'ALL Other SINs - Proposal'!W305)</f>
        <v xml:space="preserve"> </v>
      </c>
      <c r="J305" s="71" t="str">
        <f>IF(ISBLANK('ALL Other SINs - Proposal'!X305)," ",'ALL Other SINs - Proposal'!X305)</f>
        <v xml:space="preserve"> </v>
      </c>
      <c r="K305" s="165" t="str">
        <f>IF(ISBLANK('ALL Other SINs - Proposal'!AA305)," ",'ALL Other SINs - Proposal'!AA305)</f>
        <v xml:space="preserve"> </v>
      </c>
      <c r="L305" s="178" t="str">
        <f>IF(ISBLANK('ALL Other SINs - Proposal'!AB305)," ",'ALL Other SINs - Proposal'!AB305)</f>
        <v xml:space="preserve"> </v>
      </c>
      <c r="M305" s="72" t="str">
        <f t="shared" si="8"/>
        <v xml:space="preserve"> </v>
      </c>
      <c r="N305" s="167" t="str">
        <f t="shared" si="9"/>
        <v xml:space="preserve"> </v>
      </c>
    </row>
    <row r="306" spans="1:14" ht="15" x14ac:dyDescent="0.25">
      <c r="A306" s="131" t="str">
        <f>IF(ISBLANK('ALL Other SINs - Proposal'!A306)," ",'ALL Other SINs - Proposal'!A306)</f>
        <v xml:space="preserve"> </v>
      </c>
      <c r="B306" s="137" t="str">
        <f>IF(ISBLANK('ALL Other SINs - Proposal'!B306)," ",'ALL Other SINs - Proposal'!B306)</f>
        <v xml:space="preserve"> </v>
      </c>
      <c r="C306" s="137" t="str">
        <f>IF(ISBLANK('ALL Other SINs - Proposal'!C306)," ",'ALL Other SINs - Proposal'!C306)</f>
        <v xml:space="preserve"> </v>
      </c>
      <c r="D306" s="138" t="str">
        <f>IF(ISBLANK('ALL Other SINs - Proposal'!D306)," ",'ALL Other SINs - Proposal'!D306)</f>
        <v xml:space="preserve"> </v>
      </c>
      <c r="E306" s="69" t="str">
        <f>IF(ISBLANK('ALL Other SINs - Proposal'!R306)," ",'ALL Other SINs - Proposal'!R306)</f>
        <v xml:space="preserve"> </v>
      </c>
      <c r="F306" s="73" t="str">
        <f>IF(ISBLANK('ALL Other SINs - Proposal'!S306)," ",'ALL Other SINs - Proposal'!S306)</f>
        <v xml:space="preserve"> </v>
      </c>
      <c r="G306" s="173" t="str">
        <f>IF(ISBLANK('ALL Other SINs - Proposal'!T306)," ",'ALL Other SINs - Proposal'!T306)</f>
        <v xml:space="preserve"> </v>
      </c>
      <c r="H306" s="275" t="str">
        <f>IF(ISBLANK('ALL Other SINs - Proposal'!V306)," ",'ALL Other SINs - Proposal'!V306)</f>
        <v xml:space="preserve"> </v>
      </c>
      <c r="I306" s="271" t="str">
        <f>IF(ISBLANK('ALL Other SINs - Proposal'!W306)," ",'ALL Other SINs - Proposal'!W306)</f>
        <v xml:space="preserve"> </v>
      </c>
      <c r="J306" s="71" t="str">
        <f>IF(ISBLANK('ALL Other SINs - Proposal'!X306)," ",'ALL Other SINs - Proposal'!X306)</f>
        <v xml:space="preserve"> </v>
      </c>
      <c r="K306" s="165" t="str">
        <f>IF(ISBLANK('ALL Other SINs - Proposal'!AA306)," ",'ALL Other SINs - Proposal'!AA306)</f>
        <v xml:space="preserve"> </v>
      </c>
      <c r="L306" s="178" t="str">
        <f>IF(ISBLANK('ALL Other SINs - Proposal'!AB306)," ",'ALL Other SINs - Proposal'!AB306)</f>
        <v xml:space="preserve"> </v>
      </c>
      <c r="M306" s="72" t="str">
        <f t="shared" si="8"/>
        <v xml:space="preserve"> </v>
      </c>
      <c r="N306" s="167" t="str">
        <f t="shared" si="9"/>
        <v xml:space="preserve"> </v>
      </c>
    </row>
    <row r="307" spans="1:14" ht="15" x14ac:dyDescent="0.25">
      <c r="A307" s="131" t="str">
        <f>IF(ISBLANK('ALL Other SINs - Proposal'!A307)," ",'ALL Other SINs - Proposal'!A307)</f>
        <v xml:space="preserve"> </v>
      </c>
      <c r="B307" s="137" t="str">
        <f>IF(ISBLANK('ALL Other SINs - Proposal'!B307)," ",'ALL Other SINs - Proposal'!B307)</f>
        <v xml:space="preserve"> </v>
      </c>
      <c r="C307" s="137" t="str">
        <f>IF(ISBLANK('ALL Other SINs - Proposal'!C307)," ",'ALL Other SINs - Proposal'!C307)</f>
        <v xml:space="preserve"> </v>
      </c>
      <c r="D307" s="138" t="str">
        <f>IF(ISBLANK('ALL Other SINs - Proposal'!D307)," ",'ALL Other SINs - Proposal'!D307)</f>
        <v xml:space="preserve"> </v>
      </c>
      <c r="E307" s="69" t="str">
        <f>IF(ISBLANK('ALL Other SINs - Proposal'!R307)," ",'ALL Other SINs - Proposal'!R307)</f>
        <v xml:space="preserve"> </v>
      </c>
      <c r="F307" s="73" t="str">
        <f>IF(ISBLANK('ALL Other SINs - Proposal'!S307)," ",'ALL Other SINs - Proposal'!S307)</f>
        <v xml:space="preserve"> </v>
      </c>
      <c r="G307" s="173" t="str">
        <f>IF(ISBLANK('ALL Other SINs - Proposal'!T307)," ",'ALL Other SINs - Proposal'!T307)</f>
        <v xml:space="preserve"> </v>
      </c>
      <c r="H307" s="275" t="str">
        <f>IF(ISBLANK('ALL Other SINs - Proposal'!V307)," ",'ALL Other SINs - Proposal'!V307)</f>
        <v xml:space="preserve"> </v>
      </c>
      <c r="I307" s="271" t="str">
        <f>IF(ISBLANK('ALL Other SINs - Proposal'!W307)," ",'ALL Other SINs - Proposal'!W307)</f>
        <v xml:space="preserve"> </v>
      </c>
      <c r="J307" s="71" t="str">
        <f>IF(ISBLANK('ALL Other SINs - Proposal'!X307)," ",'ALL Other SINs - Proposal'!X307)</f>
        <v xml:space="preserve"> </v>
      </c>
      <c r="K307" s="165" t="str">
        <f>IF(ISBLANK('ALL Other SINs - Proposal'!AA307)," ",'ALL Other SINs - Proposal'!AA307)</f>
        <v xml:space="preserve"> </v>
      </c>
      <c r="L307" s="178" t="str">
        <f>IF(ISBLANK('ALL Other SINs - Proposal'!AB307)," ",'ALL Other SINs - Proposal'!AB307)</f>
        <v xml:space="preserve"> </v>
      </c>
      <c r="M307" s="72" t="str">
        <f t="shared" si="8"/>
        <v xml:space="preserve"> </v>
      </c>
      <c r="N307" s="167" t="str">
        <f t="shared" si="9"/>
        <v xml:space="preserve"> </v>
      </c>
    </row>
    <row r="308" spans="1:14" ht="15" x14ac:dyDescent="0.25">
      <c r="A308" s="131" t="str">
        <f>IF(ISBLANK('ALL Other SINs - Proposal'!A308)," ",'ALL Other SINs - Proposal'!A308)</f>
        <v xml:space="preserve"> </v>
      </c>
      <c r="B308" s="137" t="str">
        <f>IF(ISBLANK('ALL Other SINs - Proposal'!B308)," ",'ALL Other SINs - Proposal'!B308)</f>
        <v xml:space="preserve"> </v>
      </c>
      <c r="C308" s="137" t="str">
        <f>IF(ISBLANK('ALL Other SINs - Proposal'!C308)," ",'ALL Other SINs - Proposal'!C308)</f>
        <v xml:space="preserve"> </v>
      </c>
      <c r="D308" s="138" t="str">
        <f>IF(ISBLANK('ALL Other SINs - Proposal'!D308)," ",'ALL Other SINs - Proposal'!D308)</f>
        <v xml:space="preserve"> </v>
      </c>
      <c r="E308" s="69" t="str">
        <f>IF(ISBLANK('ALL Other SINs - Proposal'!R308)," ",'ALL Other SINs - Proposal'!R308)</f>
        <v xml:space="preserve"> </v>
      </c>
      <c r="F308" s="73" t="str">
        <f>IF(ISBLANK('ALL Other SINs - Proposal'!S308)," ",'ALL Other SINs - Proposal'!S308)</f>
        <v xml:space="preserve"> </v>
      </c>
      <c r="G308" s="173" t="str">
        <f>IF(ISBLANK('ALL Other SINs - Proposal'!T308)," ",'ALL Other SINs - Proposal'!T308)</f>
        <v xml:space="preserve"> </v>
      </c>
      <c r="H308" s="275" t="str">
        <f>IF(ISBLANK('ALL Other SINs - Proposal'!V308)," ",'ALL Other SINs - Proposal'!V308)</f>
        <v xml:space="preserve"> </v>
      </c>
      <c r="I308" s="271" t="str">
        <f>IF(ISBLANK('ALL Other SINs - Proposal'!W308)," ",'ALL Other SINs - Proposal'!W308)</f>
        <v xml:space="preserve"> </v>
      </c>
      <c r="J308" s="71" t="str">
        <f>IF(ISBLANK('ALL Other SINs - Proposal'!X308)," ",'ALL Other SINs - Proposal'!X308)</f>
        <v xml:space="preserve"> </v>
      </c>
      <c r="K308" s="165" t="str">
        <f>IF(ISBLANK('ALL Other SINs - Proposal'!AA308)," ",'ALL Other SINs - Proposal'!AA308)</f>
        <v xml:space="preserve"> </v>
      </c>
      <c r="L308" s="178" t="str">
        <f>IF(ISBLANK('ALL Other SINs - Proposal'!AB308)," ",'ALL Other SINs - Proposal'!AB308)</f>
        <v xml:space="preserve"> </v>
      </c>
      <c r="M308" s="72" t="str">
        <f t="shared" si="8"/>
        <v xml:space="preserve"> </v>
      </c>
      <c r="N308" s="167" t="str">
        <f t="shared" si="9"/>
        <v xml:space="preserve"> </v>
      </c>
    </row>
    <row r="309" spans="1:14" ht="15" x14ac:dyDescent="0.25">
      <c r="A309" s="131" t="str">
        <f>IF(ISBLANK('ALL Other SINs - Proposal'!A309)," ",'ALL Other SINs - Proposal'!A309)</f>
        <v xml:space="preserve"> </v>
      </c>
      <c r="B309" s="137" t="str">
        <f>IF(ISBLANK('ALL Other SINs - Proposal'!B309)," ",'ALL Other SINs - Proposal'!B309)</f>
        <v xml:space="preserve"> </v>
      </c>
      <c r="C309" s="137" t="str">
        <f>IF(ISBLANK('ALL Other SINs - Proposal'!C309)," ",'ALL Other SINs - Proposal'!C309)</f>
        <v xml:space="preserve"> </v>
      </c>
      <c r="D309" s="138" t="str">
        <f>IF(ISBLANK('ALL Other SINs - Proposal'!D309)," ",'ALL Other SINs - Proposal'!D309)</f>
        <v xml:space="preserve"> </v>
      </c>
      <c r="E309" s="69" t="str">
        <f>IF(ISBLANK('ALL Other SINs - Proposal'!R309)," ",'ALL Other SINs - Proposal'!R309)</f>
        <v xml:space="preserve"> </v>
      </c>
      <c r="F309" s="73" t="str">
        <f>IF(ISBLANK('ALL Other SINs - Proposal'!S309)," ",'ALL Other SINs - Proposal'!S309)</f>
        <v xml:space="preserve"> </v>
      </c>
      <c r="G309" s="173" t="str">
        <f>IF(ISBLANK('ALL Other SINs - Proposal'!T309)," ",'ALL Other SINs - Proposal'!T309)</f>
        <v xml:space="preserve"> </v>
      </c>
      <c r="H309" s="275" t="str">
        <f>IF(ISBLANK('ALL Other SINs - Proposal'!V309)," ",'ALL Other SINs - Proposal'!V309)</f>
        <v xml:space="preserve"> </v>
      </c>
      <c r="I309" s="271" t="str">
        <f>IF(ISBLANK('ALL Other SINs - Proposal'!W309)," ",'ALL Other SINs - Proposal'!W309)</f>
        <v xml:space="preserve"> </v>
      </c>
      <c r="J309" s="71" t="str">
        <f>IF(ISBLANK('ALL Other SINs - Proposal'!X309)," ",'ALL Other SINs - Proposal'!X309)</f>
        <v xml:space="preserve"> </v>
      </c>
      <c r="K309" s="165" t="str">
        <f>IF(ISBLANK('ALL Other SINs - Proposal'!AA309)," ",'ALL Other SINs - Proposal'!AA309)</f>
        <v xml:space="preserve"> </v>
      </c>
      <c r="L309" s="178" t="str">
        <f>IF(ISBLANK('ALL Other SINs - Proposal'!AB309)," ",'ALL Other SINs - Proposal'!AB309)</f>
        <v xml:space="preserve"> </v>
      </c>
      <c r="M309" s="72" t="str">
        <f t="shared" si="8"/>
        <v xml:space="preserve"> </v>
      </c>
      <c r="N309" s="167" t="str">
        <f t="shared" si="9"/>
        <v xml:space="preserve"> </v>
      </c>
    </row>
    <row r="310" spans="1:14" ht="15" x14ac:dyDescent="0.25">
      <c r="A310" s="131" t="str">
        <f>IF(ISBLANK('ALL Other SINs - Proposal'!A310)," ",'ALL Other SINs - Proposal'!A310)</f>
        <v xml:space="preserve"> </v>
      </c>
      <c r="B310" s="137" t="str">
        <f>IF(ISBLANK('ALL Other SINs - Proposal'!B310)," ",'ALL Other SINs - Proposal'!B310)</f>
        <v xml:space="preserve"> </v>
      </c>
      <c r="C310" s="137" t="str">
        <f>IF(ISBLANK('ALL Other SINs - Proposal'!C310)," ",'ALL Other SINs - Proposal'!C310)</f>
        <v xml:space="preserve"> </v>
      </c>
      <c r="D310" s="138" t="str">
        <f>IF(ISBLANK('ALL Other SINs - Proposal'!D310)," ",'ALL Other SINs - Proposal'!D310)</f>
        <v xml:space="preserve"> </v>
      </c>
      <c r="E310" s="69" t="str">
        <f>IF(ISBLANK('ALL Other SINs - Proposal'!R310)," ",'ALL Other SINs - Proposal'!R310)</f>
        <v xml:space="preserve"> </v>
      </c>
      <c r="F310" s="73" t="str">
        <f>IF(ISBLANK('ALL Other SINs - Proposal'!S310)," ",'ALL Other SINs - Proposal'!S310)</f>
        <v xml:space="preserve"> </v>
      </c>
      <c r="G310" s="173" t="str">
        <f>IF(ISBLANK('ALL Other SINs - Proposal'!T310)," ",'ALL Other SINs - Proposal'!T310)</f>
        <v xml:space="preserve"> </v>
      </c>
      <c r="H310" s="275" t="str">
        <f>IF(ISBLANK('ALL Other SINs - Proposal'!V310)," ",'ALL Other SINs - Proposal'!V310)</f>
        <v xml:space="preserve"> </v>
      </c>
      <c r="I310" s="271" t="str">
        <f>IF(ISBLANK('ALL Other SINs - Proposal'!W310)," ",'ALL Other SINs - Proposal'!W310)</f>
        <v xml:space="preserve"> </v>
      </c>
      <c r="J310" s="71" t="str">
        <f>IF(ISBLANK('ALL Other SINs - Proposal'!X310)," ",'ALL Other SINs - Proposal'!X310)</f>
        <v xml:space="preserve"> </v>
      </c>
      <c r="K310" s="165" t="str">
        <f>IF(ISBLANK('ALL Other SINs - Proposal'!AA310)," ",'ALL Other SINs - Proposal'!AA310)</f>
        <v xml:space="preserve"> </v>
      </c>
      <c r="L310" s="178" t="str">
        <f>IF(ISBLANK('ALL Other SINs - Proposal'!AB310)," ",'ALL Other SINs - Proposal'!AB310)</f>
        <v xml:space="preserve"> </v>
      </c>
      <c r="M310" s="72" t="str">
        <f t="shared" si="8"/>
        <v xml:space="preserve"> </v>
      </c>
      <c r="N310" s="167" t="str">
        <f t="shared" si="9"/>
        <v xml:space="preserve"> </v>
      </c>
    </row>
    <row r="311" spans="1:14" ht="15" x14ac:dyDescent="0.25">
      <c r="A311" s="131" t="str">
        <f>IF(ISBLANK('ALL Other SINs - Proposal'!A311)," ",'ALL Other SINs - Proposal'!A311)</f>
        <v xml:space="preserve"> </v>
      </c>
      <c r="B311" s="137" t="str">
        <f>IF(ISBLANK('ALL Other SINs - Proposal'!B311)," ",'ALL Other SINs - Proposal'!B311)</f>
        <v xml:space="preserve"> </v>
      </c>
      <c r="C311" s="137" t="str">
        <f>IF(ISBLANK('ALL Other SINs - Proposal'!C311)," ",'ALL Other SINs - Proposal'!C311)</f>
        <v xml:space="preserve"> </v>
      </c>
      <c r="D311" s="138" t="str">
        <f>IF(ISBLANK('ALL Other SINs - Proposal'!D311)," ",'ALL Other SINs - Proposal'!D311)</f>
        <v xml:space="preserve"> </v>
      </c>
      <c r="E311" s="69" t="str">
        <f>IF(ISBLANK('ALL Other SINs - Proposal'!R311)," ",'ALL Other SINs - Proposal'!R311)</f>
        <v xml:space="preserve"> </v>
      </c>
      <c r="F311" s="73" t="str">
        <f>IF(ISBLANK('ALL Other SINs - Proposal'!S311)," ",'ALL Other SINs - Proposal'!S311)</f>
        <v xml:space="preserve"> </v>
      </c>
      <c r="G311" s="173" t="str">
        <f>IF(ISBLANK('ALL Other SINs - Proposal'!T311)," ",'ALL Other SINs - Proposal'!T311)</f>
        <v xml:space="preserve"> </v>
      </c>
      <c r="H311" s="275" t="str">
        <f>IF(ISBLANK('ALL Other SINs - Proposal'!V311)," ",'ALL Other SINs - Proposal'!V311)</f>
        <v xml:space="preserve"> </v>
      </c>
      <c r="I311" s="271" t="str">
        <f>IF(ISBLANK('ALL Other SINs - Proposal'!W311)," ",'ALL Other SINs - Proposal'!W311)</f>
        <v xml:space="preserve"> </v>
      </c>
      <c r="J311" s="71" t="str">
        <f>IF(ISBLANK('ALL Other SINs - Proposal'!X311)," ",'ALL Other SINs - Proposal'!X311)</f>
        <v xml:space="preserve"> </v>
      </c>
      <c r="K311" s="165" t="str">
        <f>IF(ISBLANK('ALL Other SINs - Proposal'!AA311)," ",'ALL Other SINs - Proposal'!AA311)</f>
        <v xml:space="preserve"> </v>
      </c>
      <c r="L311" s="178" t="str">
        <f>IF(ISBLANK('ALL Other SINs - Proposal'!AB311)," ",'ALL Other SINs - Proposal'!AB311)</f>
        <v xml:space="preserve"> </v>
      </c>
      <c r="M311" s="72" t="str">
        <f t="shared" si="8"/>
        <v xml:space="preserve"> </v>
      </c>
      <c r="N311" s="167" t="str">
        <f t="shared" si="9"/>
        <v xml:space="preserve"> </v>
      </c>
    </row>
    <row r="312" spans="1:14" ht="15" x14ac:dyDescent="0.25">
      <c r="A312" s="131" t="str">
        <f>IF(ISBLANK('ALL Other SINs - Proposal'!A312)," ",'ALL Other SINs - Proposal'!A312)</f>
        <v xml:space="preserve"> </v>
      </c>
      <c r="B312" s="137" t="str">
        <f>IF(ISBLANK('ALL Other SINs - Proposal'!B312)," ",'ALL Other SINs - Proposal'!B312)</f>
        <v xml:space="preserve"> </v>
      </c>
      <c r="C312" s="137" t="str">
        <f>IF(ISBLANK('ALL Other SINs - Proposal'!C312)," ",'ALL Other SINs - Proposal'!C312)</f>
        <v xml:space="preserve"> </v>
      </c>
      <c r="D312" s="138" t="str">
        <f>IF(ISBLANK('ALL Other SINs - Proposal'!D312)," ",'ALL Other SINs - Proposal'!D312)</f>
        <v xml:space="preserve"> </v>
      </c>
      <c r="E312" s="69" t="str">
        <f>IF(ISBLANK('ALL Other SINs - Proposal'!R312)," ",'ALL Other SINs - Proposal'!R312)</f>
        <v xml:space="preserve"> </v>
      </c>
      <c r="F312" s="73" t="str">
        <f>IF(ISBLANK('ALL Other SINs - Proposal'!S312)," ",'ALL Other SINs - Proposal'!S312)</f>
        <v xml:space="preserve"> </v>
      </c>
      <c r="G312" s="173" t="str">
        <f>IF(ISBLANK('ALL Other SINs - Proposal'!T312)," ",'ALL Other SINs - Proposal'!T312)</f>
        <v xml:space="preserve"> </v>
      </c>
      <c r="H312" s="275" t="str">
        <f>IF(ISBLANK('ALL Other SINs - Proposal'!V312)," ",'ALL Other SINs - Proposal'!V312)</f>
        <v xml:space="preserve"> </v>
      </c>
      <c r="I312" s="271" t="str">
        <f>IF(ISBLANK('ALL Other SINs - Proposal'!W312)," ",'ALL Other SINs - Proposal'!W312)</f>
        <v xml:space="preserve"> </v>
      </c>
      <c r="J312" s="71" t="str">
        <f>IF(ISBLANK('ALL Other SINs - Proposal'!X312)," ",'ALL Other SINs - Proposal'!X312)</f>
        <v xml:space="preserve"> </v>
      </c>
      <c r="K312" s="165" t="str">
        <f>IF(ISBLANK('ALL Other SINs - Proposal'!AA312)," ",'ALL Other SINs - Proposal'!AA312)</f>
        <v xml:space="preserve"> </v>
      </c>
      <c r="L312" s="178" t="str">
        <f>IF(ISBLANK('ALL Other SINs - Proposal'!AB312)," ",'ALL Other SINs - Proposal'!AB312)</f>
        <v xml:space="preserve"> </v>
      </c>
      <c r="M312" s="72" t="str">
        <f t="shared" si="8"/>
        <v xml:space="preserve"> </v>
      </c>
      <c r="N312" s="167" t="str">
        <f t="shared" si="9"/>
        <v xml:space="preserve"> </v>
      </c>
    </row>
    <row r="313" spans="1:14" ht="15" x14ac:dyDescent="0.25">
      <c r="A313" s="131" t="str">
        <f>IF(ISBLANK('ALL Other SINs - Proposal'!A313)," ",'ALL Other SINs - Proposal'!A313)</f>
        <v xml:space="preserve"> </v>
      </c>
      <c r="B313" s="137" t="str">
        <f>IF(ISBLANK('ALL Other SINs - Proposal'!B313)," ",'ALL Other SINs - Proposal'!B313)</f>
        <v xml:space="preserve"> </v>
      </c>
      <c r="C313" s="137" t="str">
        <f>IF(ISBLANK('ALL Other SINs - Proposal'!C313)," ",'ALL Other SINs - Proposal'!C313)</f>
        <v xml:space="preserve"> </v>
      </c>
      <c r="D313" s="138" t="str">
        <f>IF(ISBLANK('ALL Other SINs - Proposal'!D313)," ",'ALL Other SINs - Proposal'!D313)</f>
        <v xml:space="preserve"> </v>
      </c>
      <c r="E313" s="69" t="str">
        <f>IF(ISBLANK('ALL Other SINs - Proposal'!R313)," ",'ALL Other SINs - Proposal'!R313)</f>
        <v xml:space="preserve"> </v>
      </c>
      <c r="F313" s="73" t="str">
        <f>IF(ISBLANK('ALL Other SINs - Proposal'!S313)," ",'ALL Other SINs - Proposal'!S313)</f>
        <v xml:space="preserve"> </v>
      </c>
      <c r="G313" s="173" t="str">
        <f>IF(ISBLANK('ALL Other SINs - Proposal'!T313)," ",'ALL Other SINs - Proposal'!T313)</f>
        <v xml:space="preserve"> </v>
      </c>
      <c r="H313" s="275" t="str">
        <f>IF(ISBLANK('ALL Other SINs - Proposal'!V313)," ",'ALL Other SINs - Proposal'!V313)</f>
        <v xml:space="preserve"> </v>
      </c>
      <c r="I313" s="271" t="str">
        <f>IF(ISBLANK('ALL Other SINs - Proposal'!W313)," ",'ALL Other SINs - Proposal'!W313)</f>
        <v xml:space="preserve"> </v>
      </c>
      <c r="J313" s="71" t="str">
        <f>IF(ISBLANK('ALL Other SINs - Proposal'!X313)," ",'ALL Other SINs - Proposal'!X313)</f>
        <v xml:space="preserve"> </v>
      </c>
      <c r="K313" s="165" t="str">
        <f>IF(ISBLANK('ALL Other SINs - Proposal'!AA313)," ",'ALL Other SINs - Proposal'!AA313)</f>
        <v xml:space="preserve"> </v>
      </c>
      <c r="L313" s="178" t="str">
        <f>IF(ISBLANK('ALL Other SINs - Proposal'!AB313)," ",'ALL Other SINs - Proposal'!AB313)</f>
        <v xml:space="preserve"> </v>
      </c>
      <c r="M313" s="72" t="str">
        <f t="shared" si="8"/>
        <v xml:space="preserve"> </v>
      </c>
      <c r="N313" s="167" t="str">
        <f t="shared" si="9"/>
        <v xml:space="preserve"> </v>
      </c>
    </row>
    <row r="314" spans="1:14" ht="15" x14ac:dyDescent="0.25">
      <c r="A314" s="131" t="str">
        <f>IF(ISBLANK('ALL Other SINs - Proposal'!A314)," ",'ALL Other SINs - Proposal'!A314)</f>
        <v xml:space="preserve"> </v>
      </c>
      <c r="B314" s="137" t="str">
        <f>IF(ISBLANK('ALL Other SINs - Proposal'!B314)," ",'ALL Other SINs - Proposal'!B314)</f>
        <v xml:space="preserve"> </v>
      </c>
      <c r="C314" s="137" t="str">
        <f>IF(ISBLANK('ALL Other SINs - Proposal'!C314)," ",'ALL Other SINs - Proposal'!C314)</f>
        <v xml:space="preserve"> </v>
      </c>
      <c r="D314" s="138" t="str">
        <f>IF(ISBLANK('ALL Other SINs - Proposal'!D314)," ",'ALL Other SINs - Proposal'!D314)</f>
        <v xml:space="preserve"> </v>
      </c>
      <c r="E314" s="69" t="str">
        <f>IF(ISBLANK('ALL Other SINs - Proposal'!R314)," ",'ALL Other SINs - Proposal'!R314)</f>
        <v xml:space="preserve"> </v>
      </c>
      <c r="F314" s="73" t="str">
        <f>IF(ISBLANK('ALL Other SINs - Proposal'!S314)," ",'ALL Other SINs - Proposal'!S314)</f>
        <v xml:space="preserve"> </v>
      </c>
      <c r="G314" s="173" t="str">
        <f>IF(ISBLANK('ALL Other SINs - Proposal'!T314)," ",'ALL Other SINs - Proposal'!T314)</f>
        <v xml:space="preserve"> </v>
      </c>
      <c r="H314" s="275" t="str">
        <f>IF(ISBLANK('ALL Other SINs - Proposal'!V314)," ",'ALL Other SINs - Proposal'!V314)</f>
        <v xml:space="preserve"> </v>
      </c>
      <c r="I314" s="271" t="str">
        <f>IF(ISBLANK('ALL Other SINs - Proposal'!W314)," ",'ALL Other SINs - Proposal'!W314)</f>
        <v xml:space="preserve"> </v>
      </c>
      <c r="J314" s="71" t="str">
        <f>IF(ISBLANK('ALL Other SINs - Proposal'!X314)," ",'ALL Other SINs - Proposal'!X314)</f>
        <v xml:space="preserve"> </v>
      </c>
      <c r="K314" s="165" t="str">
        <f>IF(ISBLANK('ALL Other SINs - Proposal'!AA314)," ",'ALL Other SINs - Proposal'!AA314)</f>
        <v xml:space="preserve"> </v>
      </c>
      <c r="L314" s="178" t="str">
        <f>IF(ISBLANK('ALL Other SINs - Proposal'!AB314)," ",'ALL Other SINs - Proposal'!AB314)</f>
        <v xml:space="preserve"> </v>
      </c>
      <c r="M314" s="72" t="str">
        <f t="shared" si="8"/>
        <v xml:space="preserve"> </v>
      </c>
      <c r="N314" s="167" t="str">
        <f t="shared" si="9"/>
        <v xml:space="preserve"> </v>
      </c>
    </row>
    <row r="315" spans="1:14" ht="15" x14ac:dyDescent="0.25">
      <c r="A315" s="131" t="str">
        <f>IF(ISBLANK('ALL Other SINs - Proposal'!A315)," ",'ALL Other SINs - Proposal'!A315)</f>
        <v xml:space="preserve"> </v>
      </c>
      <c r="B315" s="137" t="str">
        <f>IF(ISBLANK('ALL Other SINs - Proposal'!B315)," ",'ALL Other SINs - Proposal'!B315)</f>
        <v xml:space="preserve"> </v>
      </c>
      <c r="C315" s="137" t="str">
        <f>IF(ISBLANK('ALL Other SINs - Proposal'!C315)," ",'ALL Other SINs - Proposal'!C315)</f>
        <v xml:space="preserve"> </v>
      </c>
      <c r="D315" s="138" t="str">
        <f>IF(ISBLANK('ALL Other SINs - Proposal'!D315)," ",'ALL Other SINs - Proposal'!D315)</f>
        <v xml:space="preserve"> </v>
      </c>
      <c r="E315" s="69" t="str">
        <f>IF(ISBLANK('ALL Other SINs - Proposal'!R315)," ",'ALL Other SINs - Proposal'!R315)</f>
        <v xml:space="preserve"> </v>
      </c>
      <c r="F315" s="73" t="str">
        <f>IF(ISBLANK('ALL Other SINs - Proposal'!S315)," ",'ALL Other SINs - Proposal'!S315)</f>
        <v xml:space="preserve"> </v>
      </c>
      <c r="G315" s="173" t="str">
        <f>IF(ISBLANK('ALL Other SINs - Proposal'!T315)," ",'ALL Other SINs - Proposal'!T315)</f>
        <v xml:space="preserve"> </v>
      </c>
      <c r="H315" s="275" t="str">
        <f>IF(ISBLANK('ALL Other SINs - Proposal'!V315)," ",'ALL Other SINs - Proposal'!V315)</f>
        <v xml:space="preserve"> </v>
      </c>
      <c r="I315" s="271" t="str">
        <f>IF(ISBLANK('ALL Other SINs - Proposal'!W315)," ",'ALL Other SINs - Proposal'!W315)</f>
        <v xml:space="preserve"> </v>
      </c>
      <c r="J315" s="71" t="str">
        <f>IF(ISBLANK('ALL Other SINs - Proposal'!X315)," ",'ALL Other SINs - Proposal'!X315)</f>
        <v xml:space="preserve"> </v>
      </c>
      <c r="K315" s="165" t="str">
        <f>IF(ISBLANK('ALL Other SINs - Proposal'!AA315)," ",'ALL Other SINs - Proposal'!AA315)</f>
        <v xml:space="preserve"> </v>
      </c>
      <c r="L315" s="178" t="str">
        <f>IF(ISBLANK('ALL Other SINs - Proposal'!AB315)," ",'ALL Other SINs - Proposal'!AB315)</f>
        <v xml:space="preserve"> </v>
      </c>
      <c r="M315" s="72" t="str">
        <f t="shared" si="8"/>
        <v xml:space="preserve"> </v>
      </c>
      <c r="N315" s="167" t="str">
        <f t="shared" si="9"/>
        <v xml:space="preserve"> </v>
      </c>
    </row>
    <row r="316" spans="1:14" ht="15" x14ac:dyDescent="0.25">
      <c r="A316" s="131" t="str">
        <f>IF(ISBLANK('ALL Other SINs - Proposal'!A316)," ",'ALL Other SINs - Proposal'!A316)</f>
        <v xml:space="preserve"> </v>
      </c>
      <c r="B316" s="137" t="str">
        <f>IF(ISBLANK('ALL Other SINs - Proposal'!B316)," ",'ALL Other SINs - Proposal'!B316)</f>
        <v xml:space="preserve"> </v>
      </c>
      <c r="C316" s="137" t="str">
        <f>IF(ISBLANK('ALL Other SINs - Proposal'!C316)," ",'ALL Other SINs - Proposal'!C316)</f>
        <v xml:space="preserve"> </v>
      </c>
      <c r="D316" s="138" t="str">
        <f>IF(ISBLANK('ALL Other SINs - Proposal'!D316)," ",'ALL Other SINs - Proposal'!D316)</f>
        <v xml:space="preserve"> </v>
      </c>
      <c r="E316" s="69" t="str">
        <f>IF(ISBLANK('ALL Other SINs - Proposal'!R316)," ",'ALL Other SINs - Proposal'!R316)</f>
        <v xml:space="preserve"> </v>
      </c>
      <c r="F316" s="73" t="str">
        <f>IF(ISBLANK('ALL Other SINs - Proposal'!S316)," ",'ALL Other SINs - Proposal'!S316)</f>
        <v xml:space="preserve"> </v>
      </c>
      <c r="G316" s="173" t="str">
        <f>IF(ISBLANK('ALL Other SINs - Proposal'!T316)," ",'ALL Other SINs - Proposal'!T316)</f>
        <v xml:space="preserve"> </v>
      </c>
      <c r="H316" s="275" t="str">
        <f>IF(ISBLANK('ALL Other SINs - Proposal'!V316)," ",'ALL Other SINs - Proposal'!V316)</f>
        <v xml:space="preserve"> </v>
      </c>
      <c r="I316" s="271" t="str">
        <f>IF(ISBLANK('ALL Other SINs - Proposal'!W316)," ",'ALL Other SINs - Proposal'!W316)</f>
        <v xml:space="preserve"> </v>
      </c>
      <c r="J316" s="71" t="str">
        <f>IF(ISBLANK('ALL Other SINs - Proposal'!X316)," ",'ALL Other SINs - Proposal'!X316)</f>
        <v xml:space="preserve"> </v>
      </c>
      <c r="K316" s="165" t="str">
        <f>IF(ISBLANK('ALL Other SINs - Proposal'!AA316)," ",'ALL Other SINs - Proposal'!AA316)</f>
        <v xml:space="preserve"> </v>
      </c>
      <c r="L316" s="178" t="str">
        <f>IF(ISBLANK('ALL Other SINs - Proposal'!AB316)," ",'ALL Other SINs - Proposal'!AB316)</f>
        <v xml:space="preserve"> </v>
      </c>
      <c r="M316" s="72" t="str">
        <f t="shared" si="8"/>
        <v xml:space="preserve"> </v>
      </c>
      <c r="N316" s="167" t="str">
        <f t="shared" si="9"/>
        <v xml:space="preserve"> </v>
      </c>
    </row>
    <row r="317" spans="1:14" ht="15" x14ac:dyDescent="0.25">
      <c r="A317" s="131" t="str">
        <f>IF(ISBLANK('ALL Other SINs - Proposal'!A317)," ",'ALL Other SINs - Proposal'!A317)</f>
        <v xml:space="preserve"> </v>
      </c>
      <c r="B317" s="137" t="str">
        <f>IF(ISBLANK('ALL Other SINs - Proposal'!B317)," ",'ALL Other SINs - Proposal'!B317)</f>
        <v xml:space="preserve"> </v>
      </c>
      <c r="C317" s="137" t="str">
        <f>IF(ISBLANK('ALL Other SINs - Proposal'!C317)," ",'ALL Other SINs - Proposal'!C317)</f>
        <v xml:space="preserve"> </v>
      </c>
      <c r="D317" s="138" t="str">
        <f>IF(ISBLANK('ALL Other SINs - Proposal'!D317)," ",'ALL Other SINs - Proposal'!D317)</f>
        <v xml:space="preserve"> </v>
      </c>
      <c r="E317" s="69" t="str">
        <f>IF(ISBLANK('ALL Other SINs - Proposal'!R317)," ",'ALL Other SINs - Proposal'!R317)</f>
        <v xml:space="preserve"> </v>
      </c>
      <c r="F317" s="73" t="str">
        <f>IF(ISBLANK('ALL Other SINs - Proposal'!S317)," ",'ALL Other SINs - Proposal'!S317)</f>
        <v xml:space="preserve"> </v>
      </c>
      <c r="G317" s="173" t="str">
        <f>IF(ISBLANK('ALL Other SINs - Proposal'!T317)," ",'ALL Other SINs - Proposal'!T317)</f>
        <v xml:space="preserve"> </v>
      </c>
      <c r="H317" s="275" t="str">
        <f>IF(ISBLANK('ALL Other SINs - Proposal'!V317)," ",'ALL Other SINs - Proposal'!V317)</f>
        <v xml:space="preserve"> </v>
      </c>
      <c r="I317" s="271" t="str">
        <f>IF(ISBLANK('ALL Other SINs - Proposal'!W317)," ",'ALL Other SINs - Proposal'!W317)</f>
        <v xml:space="preserve"> </v>
      </c>
      <c r="J317" s="71" t="str">
        <f>IF(ISBLANK('ALL Other SINs - Proposal'!X317)," ",'ALL Other SINs - Proposal'!X317)</f>
        <v xml:space="preserve"> </v>
      </c>
      <c r="K317" s="165" t="str">
        <f>IF(ISBLANK('ALL Other SINs - Proposal'!AA317)," ",'ALL Other SINs - Proposal'!AA317)</f>
        <v xml:space="preserve"> </v>
      </c>
      <c r="L317" s="178" t="str">
        <f>IF(ISBLANK('ALL Other SINs - Proposal'!AB317)," ",'ALL Other SINs - Proposal'!AB317)</f>
        <v xml:space="preserve"> </v>
      </c>
      <c r="M317" s="72" t="str">
        <f t="shared" si="8"/>
        <v xml:space="preserve"> </v>
      </c>
      <c r="N317" s="167" t="str">
        <f t="shared" si="9"/>
        <v xml:space="preserve"> </v>
      </c>
    </row>
    <row r="318" spans="1:14" ht="15" x14ac:dyDescent="0.25">
      <c r="A318" s="131" t="str">
        <f>IF(ISBLANK('ALL Other SINs - Proposal'!A318)," ",'ALL Other SINs - Proposal'!A318)</f>
        <v xml:space="preserve"> </v>
      </c>
      <c r="B318" s="137" t="str">
        <f>IF(ISBLANK('ALL Other SINs - Proposal'!B318)," ",'ALL Other SINs - Proposal'!B318)</f>
        <v xml:space="preserve"> </v>
      </c>
      <c r="C318" s="137" t="str">
        <f>IF(ISBLANK('ALL Other SINs - Proposal'!C318)," ",'ALL Other SINs - Proposal'!C318)</f>
        <v xml:space="preserve"> </v>
      </c>
      <c r="D318" s="138" t="str">
        <f>IF(ISBLANK('ALL Other SINs - Proposal'!D318)," ",'ALL Other SINs - Proposal'!D318)</f>
        <v xml:space="preserve"> </v>
      </c>
      <c r="E318" s="69" t="str">
        <f>IF(ISBLANK('ALL Other SINs - Proposal'!R318)," ",'ALL Other SINs - Proposal'!R318)</f>
        <v xml:space="preserve"> </v>
      </c>
      <c r="F318" s="73" t="str">
        <f>IF(ISBLANK('ALL Other SINs - Proposal'!S318)," ",'ALL Other SINs - Proposal'!S318)</f>
        <v xml:space="preserve"> </v>
      </c>
      <c r="G318" s="173" t="str">
        <f>IF(ISBLANK('ALL Other SINs - Proposal'!T318)," ",'ALL Other SINs - Proposal'!T318)</f>
        <v xml:space="preserve"> </v>
      </c>
      <c r="H318" s="275" t="str">
        <f>IF(ISBLANK('ALL Other SINs - Proposal'!V318)," ",'ALL Other SINs - Proposal'!V318)</f>
        <v xml:space="preserve"> </v>
      </c>
      <c r="I318" s="271" t="str">
        <f>IF(ISBLANK('ALL Other SINs - Proposal'!W318)," ",'ALL Other SINs - Proposal'!W318)</f>
        <v xml:space="preserve"> </v>
      </c>
      <c r="J318" s="71" t="str">
        <f>IF(ISBLANK('ALL Other SINs - Proposal'!X318)," ",'ALL Other SINs - Proposal'!X318)</f>
        <v xml:space="preserve"> </v>
      </c>
      <c r="K318" s="165" t="str">
        <f>IF(ISBLANK('ALL Other SINs - Proposal'!AA318)," ",'ALL Other SINs - Proposal'!AA318)</f>
        <v xml:space="preserve"> </v>
      </c>
      <c r="L318" s="178" t="str">
        <f>IF(ISBLANK('ALL Other SINs - Proposal'!AB318)," ",'ALL Other SINs - Proposal'!AB318)</f>
        <v xml:space="preserve"> </v>
      </c>
      <c r="M318" s="72" t="str">
        <f t="shared" si="8"/>
        <v xml:space="preserve"> </v>
      </c>
      <c r="N318" s="167" t="str">
        <f t="shared" si="9"/>
        <v xml:space="preserve"> </v>
      </c>
    </row>
    <row r="319" spans="1:14" ht="15" x14ac:dyDescent="0.25">
      <c r="A319" s="131" t="str">
        <f>IF(ISBLANK('ALL Other SINs - Proposal'!A319)," ",'ALL Other SINs - Proposal'!A319)</f>
        <v xml:space="preserve"> </v>
      </c>
      <c r="B319" s="137" t="str">
        <f>IF(ISBLANK('ALL Other SINs - Proposal'!B319)," ",'ALL Other SINs - Proposal'!B319)</f>
        <v xml:space="preserve"> </v>
      </c>
      <c r="C319" s="137" t="str">
        <f>IF(ISBLANK('ALL Other SINs - Proposal'!C319)," ",'ALL Other SINs - Proposal'!C319)</f>
        <v xml:space="preserve"> </v>
      </c>
      <c r="D319" s="138" t="str">
        <f>IF(ISBLANK('ALL Other SINs - Proposal'!D319)," ",'ALL Other SINs - Proposal'!D319)</f>
        <v xml:space="preserve"> </v>
      </c>
      <c r="E319" s="69" t="str">
        <f>IF(ISBLANK('ALL Other SINs - Proposal'!R319)," ",'ALL Other SINs - Proposal'!R319)</f>
        <v xml:space="preserve"> </v>
      </c>
      <c r="F319" s="73" t="str">
        <f>IF(ISBLANK('ALL Other SINs - Proposal'!S319)," ",'ALL Other SINs - Proposal'!S319)</f>
        <v xml:space="preserve"> </v>
      </c>
      <c r="G319" s="173" t="str">
        <f>IF(ISBLANK('ALL Other SINs - Proposal'!T319)," ",'ALL Other SINs - Proposal'!T319)</f>
        <v xml:space="preserve"> </v>
      </c>
      <c r="H319" s="275" t="str">
        <f>IF(ISBLANK('ALL Other SINs - Proposal'!V319)," ",'ALL Other SINs - Proposal'!V319)</f>
        <v xml:space="preserve"> </v>
      </c>
      <c r="I319" s="271" t="str">
        <f>IF(ISBLANK('ALL Other SINs - Proposal'!W319)," ",'ALL Other SINs - Proposal'!W319)</f>
        <v xml:space="preserve"> </v>
      </c>
      <c r="J319" s="71" t="str">
        <f>IF(ISBLANK('ALL Other SINs - Proposal'!X319)," ",'ALL Other SINs - Proposal'!X319)</f>
        <v xml:space="preserve"> </v>
      </c>
      <c r="K319" s="165" t="str">
        <f>IF(ISBLANK('ALL Other SINs - Proposal'!AA319)," ",'ALL Other SINs - Proposal'!AA319)</f>
        <v xml:space="preserve"> </v>
      </c>
      <c r="L319" s="178" t="str">
        <f>IF(ISBLANK('ALL Other SINs - Proposal'!AB319)," ",'ALL Other SINs - Proposal'!AB319)</f>
        <v xml:space="preserve"> </v>
      </c>
      <c r="M319" s="72" t="str">
        <f t="shared" si="8"/>
        <v xml:space="preserve"> </v>
      </c>
      <c r="N319" s="167" t="str">
        <f t="shared" si="9"/>
        <v xml:space="preserve"> </v>
      </c>
    </row>
    <row r="320" spans="1:14" ht="15" x14ac:dyDescent="0.25">
      <c r="A320" s="131" t="str">
        <f>IF(ISBLANK('ALL Other SINs - Proposal'!A320)," ",'ALL Other SINs - Proposal'!A320)</f>
        <v xml:space="preserve"> </v>
      </c>
      <c r="B320" s="137" t="str">
        <f>IF(ISBLANK('ALL Other SINs - Proposal'!B320)," ",'ALL Other SINs - Proposal'!B320)</f>
        <v xml:space="preserve"> </v>
      </c>
      <c r="C320" s="137" t="str">
        <f>IF(ISBLANK('ALL Other SINs - Proposal'!C320)," ",'ALL Other SINs - Proposal'!C320)</f>
        <v xml:space="preserve"> </v>
      </c>
      <c r="D320" s="138" t="str">
        <f>IF(ISBLANK('ALL Other SINs - Proposal'!D320)," ",'ALL Other SINs - Proposal'!D320)</f>
        <v xml:space="preserve"> </v>
      </c>
      <c r="E320" s="69" t="str">
        <f>IF(ISBLANK('ALL Other SINs - Proposal'!R320)," ",'ALL Other SINs - Proposal'!R320)</f>
        <v xml:space="preserve"> </v>
      </c>
      <c r="F320" s="73" t="str">
        <f>IF(ISBLANK('ALL Other SINs - Proposal'!S320)," ",'ALL Other SINs - Proposal'!S320)</f>
        <v xml:space="preserve"> </v>
      </c>
      <c r="G320" s="173" t="str">
        <f>IF(ISBLANK('ALL Other SINs - Proposal'!T320)," ",'ALL Other SINs - Proposal'!T320)</f>
        <v xml:space="preserve"> </v>
      </c>
      <c r="H320" s="275" t="str">
        <f>IF(ISBLANK('ALL Other SINs - Proposal'!V320)," ",'ALL Other SINs - Proposal'!V320)</f>
        <v xml:space="preserve"> </v>
      </c>
      <c r="I320" s="271" t="str">
        <f>IF(ISBLANK('ALL Other SINs - Proposal'!W320)," ",'ALL Other SINs - Proposal'!W320)</f>
        <v xml:space="preserve"> </v>
      </c>
      <c r="J320" s="71" t="str">
        <f>IF(ISBLANK('ALL Other SINs - Proposal'!X320)," ",'ALL Other SINs - Proposal'!X320)</f>
        <v xml:space="preserve"> </v>
      </c>
      <c r="K320" s="165" t="str">
        <f>IF(ISBLANK('ALL Other SINs - Proposal'!AA320)," ",'ALL Other SINs - Proposal'!AA320)</f>
        <v xml:space="preserve"> </v>
      </c>
      <c r="L320" s="178" t="str">
        <f>IF(ISBLANK('ALL Other SINs - Proposal'!AB320)," ",'ALL Other SINs - Proposal'!AB320)</f>
        <v xml:space="preserve"> </v>
      </c>
      <c r="M320" s="72" t="str">
        <f t="shared" si="8"/>
        <v xml:space="preserve"> </v>
      </c>
      <c r="N320" s="167" t="str">
        <f t="shared" si="9"/>
        <v xml:space="preserve"> </v>
      </c>
    </row>
    <row r="321" spans="1:14" ht="15" x14ac:dyDescent="0.25">
      <c r="A321" s="131" t="str">
        <f>IF(ISBLANK('ALL Other SINs - Proposal'!A321)," ",'ALL Other SINs - Proposal'!A321)</f>
        <v xml:space="preserve"> </v>
      </c>
      <c r="B321" s="137" t="str">
        <f>IF(ISBLANK('ALL Other SINs - Proposal'!B321)," ",'ALL Other SINs - Proposal'!B321)</f>
        <v xml:space="preserve"> </v>
      </c>
      <c r="C321" s="137" t="str">
        <f>IF(ISBLANK('ALL Other SINs - Proposal'!C321)," ",'ALL Other SINs - Proposal'!C321)</f>
        <v xml:space="preserve"> </v>
      </c>
      <c r="D321" s="138" t="str">
        <f>IF(ISBLANK('ALL Other SINs - Proposal'!D321)," ",'ALL Other SINs - Proposal'!D321)</f>
        <v xml:space="preserve"> </v>
      </c>
      <c r="E321" s="69" t="str">
        <f>IF(ISBLANK('ALL Other SINs - Proposal'!R321)," ",'ALL Other SINs - Proposal'!R321)</f>
        <v xml:space="preserve"> </v>
      </c>
      <c r="F321" s="73" t="str">
        <f>IF(ISBLANK('ALL Other SINs - Proposal'!S321)," ",'ALL Other SINs - Proposal'!S321)</f>
        <v xml:space="preserve"> </v>
      </c>
      <c r="G321" s="173" t="str">
        <f>IF(ISBLANK('ALL Other SINs - Proposal'!T321)," ",'ALL Other SINs - Proposal'!T321)</f>
        <v xml:space="preserve"> </v>
      </c>
      <c r="H321" s="275" t="str">
        <f>IF(ISBLANK('ALL Other SINs - Proposal'!V321)," ",'ALL Other SINs - Proposal'!V321)</f>
        <v xml:space="preserve"> </v>
      </c>
      <c r="I321" s="271" t="str">
        <f>IF(ISBLANK('ALL Other SINs - Proposal'!W321)," ",'ALL Other SINs - Proposal'!W321)</f>
        <v xml:space="preserve"> </v>
      </c>
      <c r="J321" s="71" t="str">
        <f>IF(ISBLANK('ALL Other SINs - Proposal'!X321)," ",'ALL Other SINs - Proposal'!X321)</f>
        <v xml:space="preserve"> </v>
      </c>
      <c r="K321" s="165" t="str">
        <f>IF(ISBLANK('ALL Other SINs - Proposal'!AA321)," ",'ALL Other SINs - Proposal'!AA321)</f>
        <v xml:space="preserve"> </v>
      </c>
      <c r="L321" s="178" t="str">
        <f>IF(ISBLANK('ALL Other SINs - Proposal'!AB321)," ",'ALL Other SINs - Proposal'!AB321)</f>
        <v xml:space="preserve"> </v>
      </c>
      <c r="M321" s="72" t="str">
        <f t="shared" si="8"/>
        <v xml:space="preserve"> </v>
      </c>
      <c r="N321" s="167" t="str">
        <f t="shared" si="9"/>
        <v xml:space="preserve"> </v>
      </c>
    </row>
    <row r="322" spans="1:14" ht="15" x14ac:dyDescent="0.25">
      <c r="A322" s="131" t="str">
        <f>IF(ISBLANK('ALL Other SINs - Proposal'!A322)," ",'ALL Other SINs - Proposal'!A322)</f>
        <v xml:space="preserve"> </v>
      </c>
      <c r="B322" s="137" t="str">
        <f>IF(ISBLANK('ALL Other SINs - Proposal'!B322)," ",'ALL Other SINs - Proposal'!B322)</f>
        <v xml:space="preserve"> </v>
      </c>
      <c r="C322" s="137" t="str">
        <f>IF(ISBLANK('ALL Other SINs - Proposal'!C322)," ",'ALL Other SINs - Proposal'!C322)</f>
        <v xml:space="preserve"> </v>
      </c>
      <c r="D322" s="138" t="str">
        <f>IF(ISBLANK('ALL Other SINs - Proposal'!D322)," ",'ALL Other SINs - Proposal'!D322)</f>
        <v xml:space="preserve"> </v>
      </c>
      <c r="E322" s="69" t="str">
        <f>IF(ISBLANK('ALL Other SINs - Proposal'!R322)," ",'ALL Other SINs - Proposal'!R322)</f>
        <v xml:space="preserve"> </v>
      </c>
      <c r="F322" s="73" t="str">
        <f>IF(ISBLANK('ALL Other SINs - Proposal'!S322)," ",'ALL Other SINs - Proposal'!S322)</f>
        <v xml:space="preserve"> </v>
      </c>
      <c r="G322" s="173" t="str">
        <f>IF(ISBLANK('ALL Other SINs - Proposal'!T322)," ",'ALL Other SINs - Proposal'!T322)</f>
        <v xml:space="preserve"> </v>
      </c>
      <c r="H322" s="275" t="str">
        <f>IF(ISBLANK('ALL Other SINs - Proposal'!V322)," ",'ALL Other SINs - Proposal'!V322)</f>
        <v xml:space="preserve"> </v>
      </c>
      <c r="I322" s="271" t="str">
        <f>IF(ISBLANK('ALL Other SINs - Proposal'!W322)," ",'ALL Other SINs - Proposal'!W322)</f>
        <v xml:space="preserve"> </v>
      </c>
      <c r="J322" s="71" t="str">
        <f>IF(ISBLANK('ALL Other SINs - Proposal'!X322)," ",'ALL Other SINs - Proposal'!X322)</f>
        <v xml:space="preserve"> </v>
      </c>
      <c r="K322" s="165" t="str">
        <f>IF(ISBLANK('ALL Other SINs - Proposal'!AA322)," ",'ALL Other SINs - Proposal'!AA322)</f>
        <v xml:space="preserve"> </v>
      </c>
      <c r="L322" s="178" t="str">
        <f>IF(ISBLANK('ALL Other SINs - Proposal'!AB322)," ",'ALL Other SINs - Proposal'!AB322)</f>
        <v xml:space="preserve"> </v>
      </c>
      <c r="M322" s="72" t="str">
        <f t="shared" si="8"/>
        <v xml:space="preserve"> </v>
      </c>
      <c r="N322" s="167" t="str">
        <f t="shared" si="9"/>
        <v xml:space="preserve"> </v>
      </c>
    </row>
    <row r="323" spans="1:14" ht="15" x14ac:dyDescent="0.25">
      <c r="A323" s="131" t="str">
        <f>IF(ISBLANK('ALL Other SINs - Proposal'!A323)," ",'ALL Other SINs - Proposal'!A323)</f>
        <v xml:space="preserve"> </v>
      </c>
      <c r="B323" s="137" t="str">
        <f>IF(ISBLANK('ALL Other SINs - Proposal'!B323)," ",'ALL Other SINs - Proposal'!B323)</f>
        <v xml:space="preserve"> </v>
      </c>
      <c r="C323" s="137" t="str">
        <f>IF(ISBLANK('ALL Other SINs - Proposal'!C323)," ",'ALL Other SINs - Proposal'!C323)</f>
        <v xml:space="preserve"> </v>
      </c>
      <c r="D323" s="138" t="str">
        <f>IF(ISBLANK('ALL Other SINs - Proposal'!D323)," ",'ALL Other SINs - Proposal'!D323)</f>
        <v xml:space="preserve"> </v>
      </c>
      <c r="E323" s="69" t="str">
        <f>IF(ISBLANK('ALL Other SINs - Proposal'!R323)," ",'ALL Other SINs - Proposal'!R323)</f>
        <v xml:space="preserve"> </v>
      </c>
      <c r="F323" s="73" t="str">
        <f>IF(ISBLANK('ALL Other SINs - Proposal'!S323)," ",'ALL Other SINs - Proposal'!S323)</f>
        <v xml:space="preserve"> </v>
      </c>
      <c r="G323" s="173" t="str">
        <f>IF(ISBLANK('ALL Other SINs - Proposal'!T323)," ",'ALL Other SINs - Proposal'!T323)</f>
        <v xml:space="preserve"> </v>
      </c>
      <c r="H323" s="275" t="str">
        <f>IF(ISBLANK('ALL Other SINs - Proposal'!V323)," ",'ALL Other SINs - Proposal'!V323)</f>
        <v xml:space="preserve"> </v>
      </c>
      <c r="I323" s="271" t="str">
        <f>IF(ISBLANK('ALL Other SINs - Proposal'!W323)," ",'ALL Other SINs - Proposal'!W323)</f>
        <v xml:space="preserve"> </v>
      </c>
      <c r="J323" s="71" t="str">
        <f>IF(ISBLANK('ALL Other SINs - Proposal'!X323)," ",'ALL Other SINs - Proposal'!X323)</f>
        <v xml:space="preserve"> </v>
      </c>
      <c r="K323" s="165" t="str">
        <f>IF(ISBLANK('ALL Other SINs - Proposal'!AA323)," ",'ALL Other SINs - Proposal'!AA323)</f>
        <v xml:space="preserve"> </v>
      </c>
      <c r="L323" s="178" t="str">
        <f>IF(ISBLANK('ALL Other SINs - Proposal'!AB323)," ",'ALL Other SINs - Proposal'!AB323)</f>
        <v xml:space="preserve"> </v>
      </c>
      <c r="M323" s="72" t="str">
        <f t="shared" ref="M323:M386" si="10">IFERROR(IF((ROUND(K323,2))&lt;=(ROUND(F323,2)),"YES","NO")," ")</f>
        <v xml:space="preserve"> </v>
      </c>
      <c r="N323" s="167" t="str">
        <f t="shared" ref="N323:N386" si="11">IFERROR(IF(ISBLANK(K323)," ",(ROUND(K323,2))/(ROUND(I323,2)))," ")</f>
        <v xml:space="preserve"> </v>
      </c>
    </row>
    <row r="324" spans="1:14" ht="15" x14ac:dyDescent="0.25">
      <c r="A324" s="131" t="str">
        <f>IF(ISBLANK('ALL Other SINs - Proposal'!A324)," ",'ALL Other SINs - Proposal'!A324)</f>
        <v xml:space="preserve"> </v>
      </c>
      <c r="B324" s="137" t="str">
        <f>IF(ISBLANK('ALL Other SINs - Proposal'!B324)," ",'ALL Other SINs - Proposal'!B324)</f>
        <v xml:space="preserve"> </v>
      </c>
      <c r="C324" s="137" t="str">
        <f>IF(ISBLANK('ALL Other SINs - Proposal'!C324)," ",'ALL Other SINs - Proposal'!C324)</f>
        <v xml:space="preserve"> </v>
      </c>
      <c r="D324" s="138" t="str">
        <f>IF(ISBLANK('ALL Other SINs - Proposal'!D324)," ",'ALL Other SINs - Proposal'!D324)</f>
        <v xml:space="preserve"> </v>
      </c>
      <c r="E324" s="69" t="str">
        <f>IF(ISBLANK('ALL Other SINs - Proposal'!R324)," ",'ALL Other SINs - Proposal'!R324)</f>
        <v xml:space="preserve"> </v>
      </c>
      <c r="F324" s="73" t="str">
        <f>IF(ISBLANK('ALL Other SINs - Proposal'!S324)," ",'ALL Other SINs - Proposal'!S324)</f>
        <v xml:space="preserve"> </v>
      </c>
      <c r="G324" s="173" t="str">
        <f>IF(ISBLANK('ALL Other SINs - Proposal'!T324)," ",'ALL Other SINs - Proposal'!T324)</f>
        <v xml:space="preserve"> </v>
      </c>
      <c r="H324" s="275" t="str">
        <f>IF(ISBLANK('ALL Other SINs - Proposal'!V324)," ",'ALL Other SINs - Proposal'!V324)</f>
        <v xml:space="preserve"> </v>
      </c>
      <c r="I324" s="271" t="str">
        <f>IF(ISBLANK('ALL Other SINs - Proposal'!W324)," ",'ALL Other SINs - Proposal'!W324)</f>
        <v xml:space="preserve"> </v>
      </c>
      <c r="J324" s="71" t="str">
        <f>IF(ISBLANK('ALL Other SINs - Proposal'!X324)," ",'ALL Other SINs - Proposal'!X324)</f>
        <v xml:space="preserve"> </v>
      </c>
      <c r="K324" s="165" t="str">
        <f>IF(ISBLANK('ALL Other SINs - Proposal'!AA324)," ",'ALL Other SINs - Proposal'!AA324)</f>
        <v xml:space="preserve"> </v>
      </c>
      <c r="L324" s="178" t="str">
        <f>IF(ISBLANK('ALL Other SINs - Proposal'!AB324)," ",'ALL Other SINs - Proposal'!AB324)</f>
        <v xml:space="preserve"> </v>
      </c>
      <c r="M324" s="72" t="str">
        <f t="shared" si="10"/>
        <v xml:space="preserve"> </v>
      </c>
      <c r="N324" s="167" t="str">
        <f t="shared" si="11"/>
        <v xml:space="preserve"> </v>
      </c>
    </row>
    <row r="325" spans="1:14" ht="15" x14ac:dyDescent="0.25">
      <c r="A325" s="131" t="str">
        <f>IF(ISBLANK('ALL Other SINs - Proposal'!A325)," ",'ALL Other SINs - Proposal'!A325)</f>
        <v xml:space="preserve"> </v>
      </c>
      <c r="B325" s="137" t="str">
        <f>IF(ISBLANK('ALL Other SINs - Proposal'!B325)," ",'ALL Other SINs - Proposal'!B325)</f>
        <v xml:space="preserve"> </v>
      </c>
      <c r="C325" s="137" t="str">
        <f>IF(ISBLANK('ALL Other SINs - Proposal'!C325)," ",'ALL Other SINs - Proposal'!C325)</f>
        <v xml:space="preserve"> </v>
      </c>
      <c r="D325" s="138" t="str">
        <f>IF(ISBLANK('ALL Other SINs - Proposal'!D325)," ",'ALL Other SINs - Proposal'!D325)</f>
        <v xml:space="preserve"> </v>
      </c>
      <c r="E325" s="69" t="str">
        <f>IF(ISBLANK('ALL Other SINs - Proposal'!R325)," ",'ALL Other SINs - Proposal'!R325)</f>
        <v xml:space="preserve"> </v>
      </c>
      <c r="F325" s="73" t="str">
        <f>IF(ISBLANK('ALL Other SINs - Proposal'!S325)," ",'ALL Other SINs - Proposal'!S325)</f>
        <v xml:space="preserve"> </v>
      </c>
      <c r="G325" s="173" t="str">
        <f>IF(ISBLANK('ALL Other SINs - Proposal'!T325)," ",'ALL Other SINs - Proposal'!T325)</f>
        <v xml:space="preserve"> </v>
      </c>
      <c r="H325" s="275" t="str">
        <f>IF(ISBLANK('ALL Other SINs - Proposal'!V325)," ",'ALL Other SINs - Proposal'!V325)</f>
        <v xml:space="preserve"> </v>
      </c>
      <c r="I325" s="271" t="str">
        <f>IF(ISBLANK('ALL Other SINs - Proposal'!W325)," ",'ALL Other SINs - Proposal'!W325)</f>
        <v xml:space="preserve"> </v>
      </c>
      <c r="J325" s="71" t="str">
        <f>IF(ISBLANK('ALL Other SINs - Proposal'!X325)," ",'ALL Other SINs - Proposal'!X325)</f>
        <v xml:space="preserve"> </v>
      </c>
      <c r="K325" s="165" t="str">
        <f>IF(ISBLANK('ALL Other SINs - Proposal'!AA325)," ",'ALL Other SINs - Proposal'!AA325)</f>
        <v xml:space="preserve"> </v>
      </c>
      <c r="L325" s="178" t="str">
        <f>IF(ISBLANK('ALL Other SINs - Proposal'!AB325)," ",'ALL Other SINs - Proposal'!AB325)</f>
        <v xml:space="preserve"> </v>
      </c>
      <c r="M325" s="72" t="str">
        <f t="shared" si="10"/>
        <v xml:space="preserve"> </v>
      </c>
      <c r="N325" s="167" t="str">
        <f t="shared" si="11"/>
        <v xml:space="preserve"> </v>
      </c>
    </row>
    <row r="326" spans="1:14" ht="15" x14ac:dyDescent="0.25">
      <c r="A326" s="131" t="str">
        <f>IF(ISBLANK('ALL Other SINs - Proposal'!A326)," ",'ALL Other SINs - Proposal'!A326)</f>
        <v xml:space="preserve"> </v>
      </c>
      <c r="B326" s="137" t="str">
        <f>IF(ISBLANK('ALL Other SINs - Proposal'!B326)," ",'ALL Other SINs - Proposal'!B326)</f>
        <v xml:space="preserve"> </v>
      </c>
      <c r="C326" s="137" t="str">
        <f>IF(ISBLANK('ALL Other SINs - Proposal'!C326)," ",'ALL Other SINs - Proposal'!C326)</f>
        <v xml:space="preserve"> </v>
      </c>
      <c r="D326" s="138" t="str">
        <f>IF(ISBLANK('ALL Other SINs - Proposal'!D326)," ",'ALL Other SINs - Proposal'!D326)</f>
        <v xml:space="preserve"> </v>
      </c>
      <c r="E326" s="69" t="str">
        <f>IF(ISBLANK('ALL Other SINs - Proposal'!R326)," ",'ALL Other SINs - Proposal'!R326)</f>
        <v xml:space="preserve"> </v>
      </c>
      <c r="F326" s="73" t="str">
        <f>IF(ISBLANK('ALL Other SINs - Proposal'!S326)," ",'ALL Other SINs - Proposal'!S326)</f>
        <v xml:space="preserve"> </v>
      </c>
      <c r="G326" s="173" t="str">
        <f>IF(ISBLANK('ALL Other SINs - Proposal'!T326)," ",'ALL Other SINs - Proposal'!T326)</f>
        <v xml:space="preserve"> </v>
      </c>
      <c r="H326" s="275" t="str">
        <f>IF(ISBLANK('ALL Other SINs - Proposal'!V326)," ",'ALL Other SINs - Proposal'!V326)</f>
        <v xml:space="preserve"> </v>
      </c>
      <c r="I326" s="271" t="str">
        <f>IF(ISBLANK('ALL Other SINs - Proposal'!W326)," ",'ALL Other SINs - Proposal'!W326)</f>
        <v xml:space="preserve"> </v>
      </c>
      <c r="J326" s="71" t="str">
        <f>IF(ISBLANK('ALL Other SINs - Proposal'!X326)," ",'ALL Other SINs - Proposal'!X326)</f>
        <v xml:space="preserve"> </v>
      </c>
      <c r="K326" s="165" t="str">
        <f>IF(ISBLANK('ALL Other SINs - Proposal'!AA326)," ",'ALL Other SINs - Proposal'!AA326)</f>
        <v xml:space="preserve"> </v>
      </c>
      <c r="L326" s="178" t="str">
        <f>IF(ISBLANK('ALL Other SINs - Proposal'!AB326)," ",'ALL Other SINs - Proposal'!AB326)</f>
        <v xml:space="preserve"> </v>
      </c>
      <c r="M326" s="72" t="str">
        <f t="shared" si="10"/>
        <v xml:space="preserve"> </v>
      </c>
      <c r="N326" s="167" t="str">
        <f t="shared" si="11"/>
        <v xml:space="preserve"> </v>
      </c>
    </row>
    <row r="327" spans="1:14" ht="15" x14ac:dyDescent="0.25">
      <c r="A327" s="131" t="str">
        <f>IF(ISBLANK('ALL Other SINs - Proposal'!A327)," ",'ALL Other SINs - Proposal'!A327)</f>
        <v xml:space="preserve"> </v>
      </c>
      <c r="B327" s="137" t="str">
        <f>IF(ISBLANK('ALL Other SINs - Proposal'!B327)," ",'ALL Other SINs - Proposal'!B327)</f>
        <v xml:space="preserve"> </v>
      </c>
      <c r="C327" s="137" t="str">
        <f>IF(ISBLANK('ALL Other SINs - Proposal'!C327)," ",'ALL Other SINs - Proposal'!C327)</f>
        <v xml:space="preserve"> </v>
      </c>
      <c r="D327" s="138" t="str">
        <f>IF(ISBLANK('ALL Other SINs - Proposal'!D327)," ",'ALL Other SINs - Proposal'!D327)</f>
        <v xml:space="preserve"> </v>
      </c>
      <c r="E327" s="69" t="str">
        <f>IF(ISBLANK('ALL Other SINs - Proposal'!R327)," ",'ALL Other SINs - Proposal'!R327)</f>
        <v xml:space="preserve"> </v>
      </c>
      <c r="F327" s="73" t="str">
        <f>IF(ISBLANK('ALL Other SINs - Proposal'!S327)," ",'ALL Other SINs - Proposal'!S327)</f>
        <v xml:space="preserve"> </v>
      </c>
      <c r="G327" s="173" t="str">
        <f>IF(ISBLANK('ALL Other SINs - Proposal'!T327)," ",'ALL Other SINs - Proposal'!T327)</f>
        <v xml:space="preserve"> </v>
      </c>
      <c r="H327" s="275" t="str">
        <f>IF(ISBLANK('ALL Other SINs - Proposal'!V327)," ",'ALL Other SINs - Proposal'!V327)</f>
        <v xml:space="preserve"> </v>
      </c>
      <c r="I327" s="271" t="str">
        <f>IF(ISBLANK('ALL Other SINs - Proposal'!W327)," ",'ALL Other SINs - Proposal'!W327)</f>
        <v xml:space="preserve"> </v>
      </c>
      <c r="J327" s="71" t="str">
        <f>IF(ISBLANK('ALL Other SINs - Proposal'!X327)," ",'ALL Other SINs - Proposal'!X327)</f>
        <v xml:space="preserve"> </v>
      </c>
      <c r="K327" s="165" t="str">
        <f>IF(ISBLANK('ALL Other SINs - Proposal'!AA327)," ",'ALL Other SINs - Proposal'!AA327)</f>
        <v xml:space="preserve"> </v>
      </c>
      <c r="L327" s="178" t="str">
        <f>IF(ISBLANK('ALL Other SINs - Proposal'!AB327)," ",'ALL Other SINs - Proposal'!AB327)</f>
        <v xml:space="preserve"> </v>
      </c>
      <c r="M327" s="72" t="str">
        <f t="shared" si="10"/>
        <v xml:space="preserve"> </v>
      </c>
      <c r="N327" s="167" t="str">
        <f t="shared" si="11"/>
        <v xml:space="preserve"> </v>
      </c>
    </row>
    <row r="328" spans="1:14" ht="15" x14ac:dyDescent="0.25">
      <c r="A328" s="131" t="str">
        <f>IF(ISBLANK('ALL Other SINs - Proposal'!A328)," ",'ALL Other SINs - Proposal'!A328)</f>
        <v xml:space="preserve"> </v>
      </c>
      <c r="B328" s="137" t="str">
        <f>IF(ISBLANK('ALL Other SINs - Proposal'!B328)," ",'ALL Other SINs - Proposal'!B328)</f>
        <v xml:space="preserve"> </v>
      </c>
      <c r="C328" s="137" t="str">
        <f>IF(ISBLANK('ALL Other SINs - Proposal'!C328)," ",'ALL Other SINs - Proposal'!C328)</f>
        <v xml:space="preserve"> </v>
      </c>
      <c r="D328" s="138" t="str">
        <f>IF(ISBLANK('ALL Other SINs - Proposal'!D328)," ",'ALL Other SINs - Proposal'!D328)</f>
        <v xml:space="preserve"> </v>
      </c>
      <c r="E328" s="69" t="str">
        <f>IF(ISBLANK('ALL Other SINs - Proposal'!R328)," ",'ALL Other SINs - Proposal'!R328)</f>
        <v xml:space="preserve"> </v>
      </c>
      <c r="F328" s="73" t="str">
        <f>IF(ISBLANK('ALL Other SINs - Proposal'!S328)," ",'ALL Other SINs - Proposal'!S328)</f>
        <v xml:space="preserve"> </v>
      </c>
      <c r="G328" s="173" t="str">
        <f>IF(ISBLANK('ALL Other SINs - Proposal'!T328)," ",'ALL Other SINs - Proposal'!T328)</f>
        <v xml:space="preserve"> </v>
      </c>
      <c r="H328" s="275" t="str">
        <f>IF(ISBLANK('ALL Other SINs - Proposal'!V328)," ",'ALL Other SINs - Proposal'!V328)</f>
        <v xml:space="preserve"> </v>
      </c>
      <c r="I328" s="271" t="str">
        <f>IF(ISBLANK('ALL Other SINs - Proposal'!W328)," ",'ALL Other SINs - Proposal'!W328)</f>
        <v xml:space="preserve"> </v>
      </c>
      <c r="J328" s="71" t="str">
        <f>IF(ISBLANK('ALL Other SINs - Proposal'!X328)," ",'ALL Other SINs - Proposal'!X328)</f>
        <v xml:space="preserve"> </v>
      </c>
      <c r="K328" s="165" t="str">
        <f>IF(ISBLANK('ALL Other SINs - Proposal'!AA328)," ",'ALL Other SINs - Proposal'!AA328)</f>
        <v xml:space="preserve"> </v>
      </c>
      <c r="L328" s="178" t="str">
        <f>IF(ISBLANK('ALL Other SINs - Proposal'!AB328)," ",'ALL Other SINs - Proposal'!AB328)</f>
        <v xml:space="preserve"> </v>
      </c>
      <c r="M328" s="72" t="str">
        <f t="shared" si="10"/>
        <v xml:space="preserve"> </v>
      </c>
      <c r="N328" s="167" t="str">
        <f t="shared" si="11"/>
        <v xml:space="preserve"> </v>
      </c>
    </row>
    <row r="329" spans="1:14" ht="15" x14ac:dyDescent="0.25">
      <c r="A329" s="131" t="str">
        <f>IF(ISBLANK('ALL Other SINs - Proposal'!A329)," ",'ALL Other SINs - Proposal'!A329)</f>
        <v xml:space="preserve"> </v>
      </c>
      <c r="B329" s="137" t="str">
        <f>IF(ISBLANK('ALL Other SINs - Proposal'!B329)," ",'ALL Other SINs - Proposal'!B329)</f>
        <v xml:space="preserve"> </v>
      </c>
      <c r="C329" s="137" t="str">
        <f>IF(ISBLANK('ALL Other SINs - Proposal'!C329)," ",'ALL Other SINs - Proposal'!C329)</f>
        <v xml:space="preserve"> </v>
      </c>
      <c r="D329" s="138" t="str">
        <f>IF(ISBLANK('ALL Other SINs - Proposal'!D329)," ",'ALL Other SINs - Proposal'!D329)</f>
        <v xml:space="preserve"> </v>
      </c>
      <c r="E329" s="69" t="str">
        <f>IF(ISBLANK('ALL Other SINs - Proposal'!R329)," ",'ALL Other SINs - Proposal'!R329)</f>
        <v xml:space="preserve"> </v>
      </c>
      <c r="F329" s="73" t="str">
        <f>IF(ISBLANK('ALL Other SINs - Proposal'!S329)," ",'ALL Other SINs - Proposal'!S329)</f>
        <v xml:space="preserve"> </v>
      </c>
      <c r="G329" s="173" t="str">
        <f>IF(ISBLANK('ALL Other SINs - Proposal'!T329)," ",'ALL Other SINs - Proposal'!T329)</f>
        <v xml:space="preserve"> </v>
      </c>
      <c r="H329" s="275" t="str">
        <f>IF(ISBLANK('ALL Other SINs - Proposal'!V329)," ",'ALL Other SINs - Proposal'!V329)</f>
        <v xml:space="preserve"> </v>
      </c>
      <c r="I329" s="271" t="str">
        <f>IF(ISBLANK('ALL Other SINs - Proposal'!W329)," ",'ALL Other SINs - Proposal'!W329)</f>
        <v xml:space="preserve"> </v>
      </c>
      <c r="J329" s="71" t="str">
        <f>IF(ISBLANK('ALL Other SINs - Proposal'!X329)," ",'ALL Other SINs - Proposal'!X329)</f>
        <v xml:space="preserve"> </v>
      </c>
      <c r="K329" s="165" t="str">
        <f>IF(ISBLANK('ALL Other SINs - Proposal'!AA329)," ",'ALL Other SINs - Proposal'!AA329)</f>
        <v xml:space="preserve"> </v>
      </c>
      <c r="L329" s="178" t="str">
        <f>IF(ISBLANK('ALL Other SINs - Proposal'!AB329)," ",'ALL Other SINs - Proposal'!AB329)</f>
        <v xml:space="preserve"> </v>
      </c>
      <c r="M329" s="72" t="str">
        <f t="shared" si="10"/>
        <v xml:space="preserve"> </v>
      </c>
      <c r="N329" s="167" t="str">
        <f t="shared" si="11"/>
        <v xml:space="preserve"> </v>
      </c>
    </row>
    <row r="330" spans="1:14" ht="15" x14ac:dyDescent="0.25">
      <c r="A330" s="131" t="str">
        <f>IF(ISBLANK('ALL Other SINs - Proposal'!A330)," ",'ALL Other SINs - Proposal'!A330)</f>
        <v xml:space="preserve"> </v>
      </c>
      <c r="B330" s="137" t="str">
        <f>IF(ISBLANK('ALL Other SINs - Proposal'!B330)," ",'ALL Other SINs - Proposal'!B330)</f>
        <v xml:space="preserve"> </v>
      </c>
      <c r="C330" s="137" t="str">
        <f>IF(ISBLANK('ALL Other SINs - Proposal'!C330)," ",'ALL Other SINs - Proposal'!C330)</f>
        <v xml:space="preserve"> </v>
      </c>
      <c r="D330" s="138" t="str">
        <f>IF(ISBLANK('ALL Other SINs - Proposal'!D330)," ",'ALL Other SINs - Proposal'!D330)</f>
        <v xml:space="preserve"> </v>
      </c>
      <c r="E330" s="69" t="str">
        <f>IF(ISBLANK('ALL Other SINs - Proposal'!R330)," ",'ALL Other SINs - Proposal'!R330)</f>
        <v xml:space="preserve"> </v>
      </c>
      <c r="F330" s="73" t="str">
        <f>IF(ISBLANK('ALL Other SINs - Proposal'!S330)," ",'ALL Other SINs - Proposal'!S330)</f>
        <v xml:space="preserve"> </v>
      </c>
      <c r="G330" s="173" t="str">
        <f>IF(ISBLANK('ALL Other SINs - Proposal'!T330)," ",'ALL Other SINs - Proposal'!T330)</f>
        <v xml:space="preserve"> </v>
      </c>
      <c r="H330" s="275" t="str">
        <f>IF(ISBLANK('ALL Other SINs - Proposal'!V330)," ",'ALL Other SINs - Proposal'!V330)</f>
        <v xml:space="preserve"> </v>
      </c>
      <c r="I330" s="271" t="str">
        <f>IF(ISBLANK('ALL Other SINs - Proposal'!W330)," ",'ALL Other SINs - Proposal'!W330)</f>
        <v xml:space="preserve"> </v>
      </c>
      <c r="J330" s="71" t="str">
        <f>IF(ISBLANK('ALL Other SINs - Proposal'!X330)," ",'ALL Other SINs - Proposal'!X330)</f>
        <v xml:space="preserve"> </v>
      </c>
      <c r="K330" s="165" t="str">
        <f>IF(ISBLANK('ALL Other SINs - Proposal'!AA330)," ",'ALL Other SINs - Proposal'!AA330)</f>
        <v xml:space="preserve"> </v>
      </c>
      <c r="L330" s="178" t="str">
        <f>IF(ISBLANK('ALL Other SINs - Proposal'!AB330)," ",'ALL Other SINs - Proposal'!AB330)</f>
        <v xml:space="preserve"> </v>
      </c>
      <c r="M330" s="72" t="str">
        <f t="shared" si="10"/>
        <v xml:space="preserve"> </v>
      </c>
      <c r="N330" s="167" t="str">
        <f t="shared" si="11"/>
        <v xml:space="preserve"> </v>
      </c>
    </row>
    <row r="331" spans="1:14" ht="15" x14ac:dyDescent="0.25">
      <c r="A331" s="131" t="str">
        <f>IF(ISBLANK('ALL Other SINs - Proposal'!A331)," ",'ALL Other SINs - Proposal'!A331)</f>
        <v xml:space="preserve"> </v>
      </c>
      <c r="B331" s="137" t="str">
        <f>IF(ISBLANK('ALL Other SINs - Proposal'!B331)," ",'ALL Other SINs - Proposal'!B331)</f>
        <v xml:space="preserve"> </v>
      </c>
      <c r="C331" s="137" t="str">
        <f>IF(ISBLANK('ALL Other SINs - Proposal'!C331)," ",'ALL Other SINs - Proposal'!C331)</f>
        <v xml:space="preserve"> </v>
      </c>
      <c r="D331" s="138" t="str">
        <f>IF(ISBLANK('ALL Other SINs - Proposal'!D331)," ",'ALL Other SINs - Proposal'!D331)</f>
        <v xml:space="preserve"> </v>
      </c>
      <c r="E331" s="69" t="str">
        <f>IF(ISBLANK('ALL Other SINs - Proposal'!R331)," ",'ALL Other SINs - Proposal'!R331)</f>
        <v xml:space="preserve"> </v>
      </c>
      <c r="F331" s="73" t="str">
        <f>IF(ISBLANK('ALL Other SINs - Proposal'!S331)," ",'ALL Other SINs - Proposal'!S331)</f>
        <v xml:space="preserve"> </v>
      </c>
      <c r="G331" s="173" t="str">
        <f>IF(ISBLANK('ALL Other SINs - Proposal'!T331)," ",'ALL Other SINs - Proposal'!T331)</f>
        <v xml:space="preserve"> </v>
      </c>
      <c r="H331" s="275" t="str">
        <f>IF(ISBLANK('ALL Other SINs - Proposal'!V331)," ",'ALL Other SINs - Proposal'!V331)</f>
        <v xml:space="preserve"> </v>
      </c>
      <c r="I331" s="271" t="str">
        <f>IF(ISBLANK('ALL Other SINs - Proposal'!W331)," ",'ALL Other SINs - Proposal'!W331)</f>
        <v xml:space="preserve"> </v>
      </c>
      <c r="J331" s="71" t="str">
        <f>IF(ISBLANK('ALL Other SINs - Proposal'!X331)," ",'ALL Other SINs - Proposal'!X331)</f>
        <v xml:space="preserve"> </v>
      </c>
      <c r="K331" s="165" t="str">
        <f>IF(ISBLANK('ALL Other SINs - Proposal'!AA331)," ",'ALL Other SINs - Proposal'!AA331)</f>
        <v xml:space="preserve"> </v>
      </c>
      <c r="L331" s="178" t="str">
        <f>IF(ISBLANK('ALL Other SINs - Proposal'!AB331)," ",'ALL Other SINs - Proposal'!AB331)</f>
        <v xml:space="preserve"> </v>
      </c>
      <c r="M331" s="72" t="str">
        <f t="shared" si="10"/>
        <v xml:space="preserve"> </v>
      </c>
      <c r="N331" s="167" t="str">
        <f t="shared" si="11"/>
        <v xml:space="preserve"> </v>
      </c>
    </row>
    <row r="332" spans="1:14" ht="15" x14ac:dyDescent="0.25">
      <c r="A332" s="131" t="str">
        <f>IF(ISBLANK('ALL Other SINs - Proposal'!A332)," ",'ALL Other SINs - Proposal'!A332)</f>
        <v xml:space="preserve"> </v>
      </c>
      <c r="B332" s="137" t="str">
        <f>IF(ISBLANK('ALL Other SINs - Proposal'!B332)," ",'ALL Other SINs - Proposal'!B332)</f>
        <v xml:space="preserve"> </v>
      </c>
      <c r="C332" s="137" t="str">
        <f>IF(ISBLANK('ALL Other SINs - Proposal'!C332)," ",'ALL Other SINs - Proposal'!C332)</f>
        <v xml:space="preserve"> </v>
      </c>
      <c r="D332" s="138" t="str">
        <f>IF(ISBLANK('ALL Other SINs - Proposal'!D332)," ",'ALL Other SINs - Proposal'!D332)</f>
        <v xml:space="preserve"> </v>
      </c>
      <c r="E332" s="69" t="str">
        <f>IF(ISBLANK('ALL Other SINs - Proposal'!R332)," ",'ALL Other SINs - Proposal'!R332)</f>
        <v xml:space="preserve"> </v>
      </c>
      <c r="F332" s="73" t="str">
        <f>IF(ISBLANK('ALL Other SINs - Proposal'!S332)," ",'ALL Other SINs - Proposal'!S332)</f>
        <v xml:space="preserve"> </v>
      </c>
      <c r="G332" s="173" t="str">
        <f>IF(ISBLANK('ALL Other SINs - Proposal'!T332)," ",'ALL Other SINs - Proposal'!T332)</f>
        <v xml:space="preserve"> </v>
      </c>
      <c r="H332" s="275" t="str">
        <f>IF(ISBLANK('ALL Other SINs - Proposal'!V332)," ",'ALL Other SINs - Proposal'!V332)</f>
        <v xml:space="preserve"> </v>
      </c>
      <c r="I332" s="271" t="str">
        <f>IF(ISBLANK('ALL Other SINs - Proposal'!W332)," ",'ALL Other SINs - Proposal'!W332)</f>
        <v xml:space="preserve"> </v>
      </c>
      <c r="J332" s="71" t="str">
        <f>IF(ISBLANK('ALL Other SINs - Proposal'!X332)," ",'ALL Other SINs - Proposal'!X332)</f>
        <v xml:space="preserve"> </v>
      </c>
      <c r="K332" s="165" t="str">
        <f>IF(ISBLANK('ALL Other SINs - Proposal'!AA332)," ",'ALL Other SINs - Proposal'!AA332)</f>
        <v xml:space="preserve"> </v>
      </c>
      <c r="L332" s="178" t="str">
        <f>IF(ISBLANK('ALL Other SINs - Proposal'!AB332)," ",'ALL Other SINs - Proposal'!AB332)</f>
        <v xml:space="preserve"> </v>
      </c>
      <c r="M332" s="72" t="str">
        <f t="shared" si="10"/>
        <v xml:space="preserve"> </v>
      </c>
      <c r="N332" s="167" t="str">
        <f t="shared" si="11"/>
        <v xml:space="preserve"> </v>
      </c>
    </row>
    <row r="333" spans="1:14" ht="15" x14ac:dyDescent="0.25">
      <c r="A333" s="131" t="str">
        <f>IF(ISBLANK('ALL Other SINs - Proposal'!A333)," ",'ALL Other SINs - Proposal'!A333)</f>
        <v xml:space="preserve"> </v>
      </c>
      <c r="B333" s="137" t="str">
        <f>IF(ISBLANK('ALL Other SINs - Proposal'!B333)," ",'ALL Other SINs - Proposal'!B333)</f>
        <v xml:space="preserve"> </v>
      </c>
      <c r="C333" s="137" t="str">
        <f>IF(ISBLANK('ALL Other SINs - Proposal'!C333)," ",'ALL Other SINs - Proposal'!C333)</f>
        <v xml:space="preserve"> </v>
      </c>
      <c r="D333" s="138" t="str">
        <f>IF(ISBLANK('ALL Other SINs - Proposal'!D333)," ",'ALL Other SINs - Proposal'!D333)</f>
        <v xml:space="preserve"> </v>
      </c>
      <c r="E333" s="69" t="str">
        <f>IF(ISBLANK('ALL Other SINs - Proposal'!R333)," ",'ALL Other SINs - Proposal'!R333)</f>
        <v xml:space="preserve"> </v>
      </c>
      <c r="F333" s="73" t="str">
        <f>IF(ISBLANK('ALL Other SINs - Proposal'!S333)," ",'ALL Other SINs - Proposal'!S333)</f>
        <v xml:space="preserve"> </v>
      </c>
      <c r="G333" s="173" t="str">
        <f>IF(ISBLANK('ALL Other SINs - Proposal'!T333)," ",'ALL Other SINs - Proposal'!T333)</f>
        <v xml:space="preserve"> </v>
      </c>
      <c r="H333" s="275" t="str">
        <f>IF(ISBLANK('ALL Other SINs - Proposal'!V333)," ",'ALL Other SINs - Proposal'!V333)</f>
        <v xml:space="preserve"> </v>
      </c>
      <c r="I333" s="271" t="str">
        <f>IF(ISBLANK('ALL Other SINs - Proposal'!W333)," ",'ALL Other SINs - Proposal'!W333)</f>
        <v xml:space="preserve"> </v>
      </c>
      <c r="J333" s="71" t="str">
        <f>IF(ISBLANK('ALL Other SINs - Proposal'!X333)," ",'ALL Other SINs - Proposal'!X333)</f>
        <v xml:space="preserve"> </v>
      </c>
      <c r="K333" s="165" t="str">
        <f>IF(ISBLANK('ALL Other SINs - Proposal'!AA333)," ",'ALL Other SINs - Proposal'!AA333)</f>
        <v xml:space="preserve"> </v>
      </c>
      <c r="L333" s="178" t="str">
        <f>IF(ISBLANK('ALL Other SINs - Proposal'!AB333)," ",'ALL Other SINs - Proposal'!AB333)</f>
        <v xml:space="preserve"> </v>
      </c>
      <c r="M333" s="72" t="str">
        <f t="shared" si="10"/>
        <v xml:space="preserve"> </v>
      </c>
      <c r="N333" s="167" t="str">
        <f t="shared" si="11"/>
        <v xml:space="preserve"> </v>
      </c>
    </row>
    <row r="334" spans="1:14" ht="15" x14ac:dyDescent="0.25">
      <c r="A334" s="131" t="str">
        <f>IF(ISBLANK('ALL Other SINs - Proposal'!A334)," ",'ALL Other SINs - Proposal'!A334)</f>
        <v xml:space="preserve"> </v>
      </c>
      <c r="B334" s="137" t="str">
        <f>IF(ISBLANK('ALL Other SINs - Proposal'!B334)," ",'ALL Other SINs - Proposal'!B334)</f>
        <v xml:space="preserve"> </v>
      </c>
      <c r="C334" s="137" t="str">
        <f>IF(ISBLANK('ALL Other SINs - Proposal'!C334)," ",'ALL Other SINs - Proposal'!C334)</f>
        <v xml:space="preserve"> </v>
      </c>
      <c r="D334" s="138" t="str">
        <f>IF(ISBLANK('ALL Other SINs - Proposal'!D334)," ",'ALL Other SINs - Proposal'!D334)</f>
        <v xml:space="preserve"> </v>
      </c>
      <c r="E334" s="69" t="str">
        <f>IF(ISBLANK('ALL Other SINs - Proposal'!R334)," ",'ALL Other SINs - Proposal'!R334)</f>
        <v xml:space="preserve"> </v>
      </c>
      <c r="F334" s="73" t="str">
        <f>IF(ISBLANK('ALL Other SINs - Proposal'!S334)," ",'ALL Other SINs - Proposal'!S334)</f>
        <v xml:space="preserve"> </v>
      </c>
      <c r="G334" s="173" t="str">
        <f>IF(ISBLANK('ALL Other SINs - Proposal'!T334)," ",'ALL Other SINs - Proposal'!T334)</f>
        <v xml:space="preserve"> </v>
      </c>
      <c r="H334" s="275" t="str">
        <f>IF(ISBLANK('ALL Other SINs - Proposal'!V334)," ",'ALL Other SINs - Proposal'!V334)</f>
        <v xml:space="preserve"> </v>
      </c>
      <c r="I334" s="271" t="str">
        <f>IF(ISBLANK('ALL Other SINs - Proposal'!W334)," ",'ALL Other SINs - Proposal'!W334)</f>
        <v xml:space="preserve"> </v>
      </c>
      <c r="J334" s="71" t="str">
        <f>IF(ISBLANK('ALL Other SINs - Proposal'!X334)," ",'ALL Other SINs - Proposal'!X334)</f>
        <v xml:space="preserve"> </v>
      </c>
      <c r="K334" s="165" t="str">
        <f>IF(ISBLANK('ALL Other SINs - Proposal'!AA334)," ",'ALL Other SINs - Proposal'!AA334)</f>
        <v xml:space="preserve"> </v>
      </c>
      <c r="L334" s="178" t="str">
        <f>IF(ISBLANK('ALL Other SINs - Proposal'!AB334)," ",'ALL Other SINs - Proposal'!AB334)</f>
        <v xml:space="preserve"> </v>
      </c>
      <c r="M334" s="72" t="str">
        <f t="shared" si="10"/>
        <v xml:space="preserve"> </v>
      </c>
      <c r="N334" s="167" t="str">
        <f t="shared" si="11"/>
        <v xml:space="preserve"> </v>
      </c>
    </row>
    <row r="335" spans="1:14" ht="15" x14ac:dyDescent="0.25">
      <c r="A335" s="131" t="str">
        <f>IF(ISBLANK('ALL Other SINs - Proposal'!A335)," ",'ALL Other SINs - Proposal'!A335)</f>
        <v xml:space="preserve"> </v>
      </c>
      <c r="B335" s="137" t="str">
        <f>IF(ISBLANK('ALL Other SINs - Proposal'!B335)," ",'ALL Other SINs - Proposal'!B335)</f>
        <v xml:space="preserve"> </v>
      </c>
      <c r="C335" s="137" t="str">
        <f>IF(ISBLANK('ALL Other SINs - Proposal'!C335)," ",'ALL Other SINs - Proposal'!C335)</f>
        <v xml:space="preserve"> </v>
      </c>
      <c r="D335" s="138" t="str">
        <f>IF(ISBLANK('ALL Other SINs - Proposal'!D335)," ",'ALL Other SINs - Proposal'!D335)</f>
        <v xml:space="preserve"> </v>
      </c>
      <c r="E335" s="69" t="str">
        <f>IF(ISBLANK('ALL Other SINs - Proposal'!R335)," ",'ALL Other SINs - Proposal'!R335)</f>
        <v xml:space="preserve"> </v>
      </c>
      <c r="F335" s="73" t="str">
        <f>IF(ISBLANK('ALL Other SINs - Proposal'!S335)," ",'ALL Other SINs - Proposal'!S335)</f>
        <v xml:space="preserve"> </v>
      </c>
      <c r="G335" s="173" t="str">
        <f>IF(ISBLANK('ALL Other SINs - Proposal'!T335)," ",'ALL Other SINs - Proposal'!T335)</f>
        <v xml:space="preserve"> </v>
      </c>
      <c r="H335" s="275" t="str">
        <f>IF(ISBLANK('ALL Other SINs - Proposal'!V335)," ",'ALL Other SINs - Proposal'!V335)</f>
        <v xml:space="preserve"> </v>
      </c>
      <c r="I335" s="271" t="str">
        <f>IF(ISBLANK('ALL Other SINs - Proposal'!W335)," ",'ALL Other SINs - Proposal'!W335)</f>
        <v xml:space="preserve"> </v>
      </c>
      <c r="J335" s="71" t="str">
        <f>IF(ISBLANK('ALL Other SINs - Proposal'!X335)," ",'ALL Other SINs - Proposal'!X335)</f>
        <v xml:space="preserve"> </v>
      </c>
      <c r="K335" s="165" t="str">
        <f>IF(ISBLANK('ALL Other SINs - Proposal'!AA335)," ",'ALL Other SINs - Proposal'!AA335)</f>
        <v xml:space="preserve"> </v>
      </c>
      <c r="L335" s="178" t="str">
        <f>IF(ISBLANK('ALL Other SINs - Proposal'!AB335)," ",'ALL Other SINs - Proposal'!AB335)</f>
        <v xml:space="preserve"> </v>
      </c>
      <c r="M335" s="72" t="str">
        <f t="shared" si="10"/>
        <v xml:space="preserve"> </v>
      </c>
      <c r="N335" s="167" t="str">
        <f t="shared" si="11"/>
        <v xml:space="preserve"> </v>
      </c>
    </row>
    <row r="336" spans="1:14" ht="15" x14ac:dyDescent="0.25">
      <c r="A336" s="131" t="str">
        <f>IF(ISBLANK('ALL Other SINs - Proposal'!A336)," ",'ALL Other SINs - Proposal'!A336)</f>
        <v xml:space="preserve"> </v>
      </c>
      <c r="B336" s="137" t="str">
        <f>IF(ISBLANK('ALL Other SINs - Proposal'!B336)," ",'ALL Other SINs - Proposal'!B336)</f>
        <v xml:space="preserve"> </v>
      </c>
      <c r="C336" s="137" t="str">
        <f>IF(ISBLANK('ALL Other SINs - Proposal'!C336)," ",'ALL Other SINs - Proposal'!C336)</f>
        <v xml:space="preserve"> </v>
      </c>
      <c r="D336" s="138" t="str">
        <f>IF(ISBLANK('ALL Other SINs - Proposal'!D336)," ",'ALL Other SINs - Proposal'!D336)</f>
        <v xml:space="preserve"> </v>
      </c>
      <c r="E336" s="69" t="str">
        <f>IF(ISBLANK('ALL Other SINs - Proposal'!R336)," ",'ALL Other SINs - Proposal'!R336)</f>
        <v xml:space="preserve"> </v>
      </c>
      <c r="F336" s="73" t="str">
        <f>IF(ISBLANK('ALL Other SINs - Proposal'!S336)," ",'ALL Other SINs - Proposal'!S336)</f>
        <v xml:space="preserve"> </v>
      </c>
      <c r="G336" s="173" t="str">
        <f>IF(ISBLANK('ALL Other SINs - Proposal'!T336)," ",'ALL Other SINs - Proposal'!T336)</f>
        <v xml:space="preserve"> </v>
      </c>
      <c r="H336" s="275" t="str">
        <f>IF(ISBLANK('ALL Other SINs - Proposal'!V336)," ",'ALL Other SINs - Proposal'!V336)</f>
        <v xml:space="preserve"> </v>
      </c>
      <c r="I336" s="271" t="str">
        <f>IF(ISBLANK('ALL Other SINs - Proposal'!W336)," ",'ALL Other SINs - Proposal'!W336)</f>
        <v xml:space="preserve"> </v>
      </c>
      <c r="J336" s="71" t="str">
        <f>IF(ISBLANK('ALL Other SINs - Proposal'!X336)," ",'ALL Other SINs - Proposal'!X336)</f>
        <v xml:space="preserve"> </v>
      </c>
      <c r="K336" s="165" t="str">
        <f>IF(ISBLANK('ALL Other SINs - Proposal'!AA336)," ",'ALL Other SINs - Proposal'!AA336)</f>
        <v xml:space="preserve"> </v>
      </c>
      <c r="L336" s="178" t="str">
        <f>IF(ISBLANK('ALL Other SINs - Proposal'!AB336)," ",'ALL Other SINs - Proposal'!AB336)</f>
        <v xml:space="preserve"> </v>
      </c>
      <c r="M336" s="72" t="str">
        <f t="shared" si="10"/>
        <v xml:space="preserve"> </v>
      </c>
      <c r="N336" s="167" t="str">
        <f t="shared" si="11"/>
        <v xml:space="preserve"> </v>
      </c>
    </row>
    <row r="337" spans="1:14" ht="15" x14ac:dyDescent="0.25">
      <c r="A337" s="131" t="str">
        <f>IF(ISBLANK('ALL Other SINs - Proposal'!A337)," ",'ALL Other SINs - Proposal'!A337)</f>
        <v xml:space="preserve"> </v>
      </c>
      <c r="B337" s="137" t="str">
        <f>IF(ISBLANK('ALL Other SINs - Proposal'!B337)," ",'ALL Other SINs - Proposal'!B337)</f>
        <v xml:space="preserve"> </v>
      </c>
      <c r="C337" s="137" t="str">
        <f>IF(ISBLANK('ALL Other SINs - Proposal'!C337)," ",'ALL Other SINs - Proposal'!C337)</f>
        <v xml:space="preserve"> </v>
      </c>
      <c r="D337" s="138" t="str">
        <f>IF(ISBLANK('ALL Other SINs - Proposal'!D337)," ",'ALL Other SINs - Proposal'!D337)</f>
        <v xml:space="preserve"> </v>
      </c>
      <c r="E337" s="69" t="str">
        <f>IF(ISBLANK('ALL Other SINs - Proposal'!R337)," ",'ALL Other SINs - Proposal'!R337)</f>
        <v xml:space="preserve"> </v>
      </c>
      <c r="F337" s="73" t="str">
        <f>IF(ISBLANK('ALL Other SINs - Proposal'!S337)," ",'ALL Other SINs - Proposal'!S337)</f>
        <v xml:space="preserve"> </v>
      </c>
      <c r="G337" s="173" t="str">
        <f>IF(ISBLANK('ALL Other SINs - Proposal'!T337)," ",'ALL Other SINs - Proposal'!T337)</f>
        <v xml:space="preserve"> </v>
      </c>
      <c r="H337" s="275" t="str">
        <f>IF(ISBLANK('ALL Other SINs - Proposal'!V337)," ",'ALL Other SINs - Proposal'!V337)</f>
        <v xml:space="preserve"> </v>
      </c>
      <c r="I337" s="271" t="str">
        <f>IF(ISBLANK('ALL Other SINs - Proposal'!W337)," ",'ALL Other SINs - Proposal'!W337)</f>
        <v xml:space="preserve"> </v>
      </c>
      <c r="J337" s="71" t="str">
        <f>IF(ISBLANK('ALL Other SINs - Proposal'!X337)," ",'ALL Other SINs - Proposal'!X337)</f>
        <v xml:space="preserve"> </v>
      </c>
      <c r="K337" s="165" t="str">
        <f>IF(ISBLANK('ALL Other SINs - Proposal'!AA337)," ",'ALL Other SINs - Proposal'!AA337)</f>
        <v xml:space="preserve"> </v>
      </c>
      <c r="L337" s="178" t="str">
        <f>IF(ISBLANK('ALL Other SINs - Proposal'!AB337)," ",'ALL Other SINs - Proposal'!AB337)</f>
        <v xml:space="preserve"> </v>
      </c>
      <c r="M337" s="72" t="str">
        <f t="shared" si="10"/>
        <v xml:space="preserve"> </v>
      </c>
      <c r="N337" s="167" t="str">
        <f t="shared" si="11"/>
        <v xml:space="preserve"> </v>
      </c>
    </row>
    <row r="338" spans="1:14" ht="15" x14ac:dyDescent="0.25">
      <c r="A338" s="131" t="str">
        <f>IF(ISBLANK('ALL Other SINs - Proposal'!A338)," ",'ALL Other SINs - Proposal'!A338)</f>
        <v xml:space="preserve"> </v>
      </c>
      <c r="B338" s="137" t="str">
        <f>IF(ISBLANK('ALL Other SINs - Proposal'!B338)," ",'ALL Other SINs - Proposal'!B338)</f>
        <v xml:space="preserve"> </v>
      </c>
      <c r="C338" s="137" t="str">
        <f>IF(ISBLANK('ALL Other SINs - Proposal'!C338)," ",'ALL Other SINs - Proposal'!C338)</f>
        <v xml:space="preserve"> </v>
      </c>
      <c r="D338" s="138" t="str">
        <f>IF(ISBLANK('ALL Other SINs - Proposal'!D338)," ",'ALL Other SINs - Proposal'!D338)</f>
        <v xml:space="preserve"> </v>
      </c>
      <c r="E338" s="69" t="str">
        <f>IF(ISBLANK('ALL Other SINs - Proposal'!R338)," ",'ALL Other SINs - Proposal'!R338)</f>
        <v xml:space="preserve"> </v>
      </c>
      <c r="F338" s="73" t="str">
        <f>IF(ISBLANK('ALL Other SINs - Proposal'!S338)," ",'ALL Other SINs - Proposal'!S338)</f>
        <v xml:space="preserve"> </v>
      </c>
      <c r="G338" s="173" t="str">
        <f>IF(ISBLANK('ALL Other SINs - Proposal'!T338)," ",'ALL Other SINs - Proposal'!T338)</f>
        <v xml:space="preserve"> </v>
      </c>
      <c r="H338" s="275" t="str">
        <f>IF(ISBLANK('ALL Other SINs - Proposal'!V338)," ",'ALL Other SINs - Proposal'!V338)</f>
        <v xml:space="preserve"> </v>
      </c>
      <c r="I338" s="271" t="str">
        <f>IF(ISBLANK('ALL Other SINs - Proposal'!W338)," ",'ALL Other SINs - Proposal'!W338)</f>
        <v xml:space="preserve"> </v>
      </c>
      <c r="J338" s="71" t="str">
        <f>IF(ISBLANK('ALL Other SINs - Proposal'!X338)," ",'ALL Other SINs - Proposal'!X338)</f>
        <v xml:space="preserve"> </v>
      </c>
      <c r="K338" s="165" t="str">
        <f>IF(ISBLANK('ALL Other SINs - Proposal'!AA338)," ",'ALL Other SINs - Proposal'!AA338)</f>
        <v xml:space="preserve"> </v>
      </c>
      <c r="L338" s="178" t="str">
        <f>IF(ISBLANK('ALL Other SINs - Proposal'!AB338)," ",'ALL Other SINs - Proposal'!AB338)</f>
        <v xml:space="preserve"> </v>
      </c>
      <c r="M338" s="72" t="str">
        <f t="shared" si="10"/>
        <v xml:space="preserve"> </v>
      </c>
      <c r="N338" s="167" t="str">
        <f t="shared" si="11"/>
        <v xml:space="preserve"> </v>
      </c>
    </row>
    <row r="339" spans="1:14" ht="15" x14ac:dyDescent="0.25">
      <c r="A339" s="131" t="str">
        <f>IF(ISBLANK('ALL Other SINs - Proposal'!A339)," ",'ALL Other SINs - Proposal'!A339)</f>
        <v xml:space="preserve"> </v>
      </c>
      <c r="B339" s="137" t="str">
        <f>IF(ISBLANK('ALL Other SINs - Proposal'!B339)," ",'ALL Other SINs - Proposal'!B339)</f>
        <v xml:space="preserve"> </v>
      </c>
      <c r="C339" s="137" t="str">
        <f>IF(ISBLANK('ALL Other SINs - Proposal'!C339)," ",'ALL Other SINs - Proposal'!C339)</f>
        <v xml:space="preserve"> </v>
      </c>
      <c r="D339" s="138" t="str">
        <f>IF(ISBLANK('ALL Other SINs - Proposal'!D339)," ",'ALL Other SINs - Proposal'!D339)</f>
        <v xml:space="preserve"> </v>
      </c>
      <c r="E339" s="69" t="str">
        <f>IF(ISBLANK('ALL Other SINs - Proposal'!R339)," ",'ALL Other SINs - Proposal'!R339)</f>
        <v xml:space="preserve"> </v>
      </c>
      <c r="F339" s="73" t="str">
        <f>IF(ISBLANK('ALL Other SINs - Proposal'!S339)," ",'ALL Other SINs - Proposal'!S339)</f>
        <v xml:space="preserve"> </v>
      </c>
      <c r="G339" s="173" t="str">
        <f>IF(ISBLANK('ALL Other SINs - Proposal'!T339)," ",'ALL Other SINs - Proposal'!T339)</f>
        <v xml:space="preserve"> </v>
      </c>
      <c r="H339" s="275" t="str">
        <f>IF(ISBLANK('ALL Other SINs - Proposal'!V339)," ",'ALL Other SINs - Proposal'!V339)</f>
        <v xml:space="preserve"> </v>
      </c>
      <c r="I339" s="271" t="str">
        <f>IF(ISBLANK('ALL Other SINs - Proposal'!W339)," ",'ALL Other SINs - Proposal'!W339)</f>
        <v xml:space="preserve"> </v>
      </c>
      <c r="J339" s="71" t="str">
        <f>IF(ISBLANK('ALL Other SINs - Proposal'!X339)," ",'ALL Other SINs - Proposal'!X339)</f>
        <v xml:space="preserve"> </v>
      </c>
      <c r="K339" s="165" t="str">
        <f>IF(ISBLANK('ALL Other SINs - Proposal'!AA339)," ",'ALL Other SINs - Proposal'!AA339)</f>
        <v xml:space="preserve"> </v>
      </c>
      <c r="L339" s="178" t="str">
        <f>IF(ISBLANK('ALL Other SINs - Proposal'!AB339)," ",'ALL Other SINs - Proposal'!AB339)</f>
        <v xml:space="preserve"> </v>
      </c>
      <c r="M339" s="72" t="str">
        <f t="shared" si="10"/>
        <v xml:space="preserve"> </v>
      </c>
      <c r="N339" s="167" t="str">
        <f t="shared" si="11"/>
        <v xml:space="preserve"> </v>
      </c>
    </row>
    <row r="340" spans="1:14" ht="15" x14ac:dyDescent="0.25">
      <c r="A340" s="131" t="str">
        <f>IF(ISBLANK('ALL Other SINs - Proposal'!A340)," ",'ALL Other SINs - Proposal'!A340)</f>
        <v xml:space="preserve"> </v>
      </c>
      <c r="B340" s="137" t="str">
        <f>IF(ISBLANK('ALL Other SINs - Proposal'!B340)," ",'ALL Other SINs - Proposal'!B340)</f>
        <v xml:space="preserve"> </v>
      </c>
      <c r="C340" s="137" t="str">
        <f>IF(ISBLANK('ALL Other SINs - Proposal'!C340)," ",'ALL Other SINs - Proposal'!C340)</f>
        <v xml:space="preserve"> </v>
      </c>
      <c r="D340" s="138" t="str">
        <f>IF(ISBLANK('ALL Other SINs - Proposal'!D340)," ",'ALL Other SINs - Proposal'!D340)</f>
        <v xml:space="preserve"> </v>
      </c>
      <c r="E340" s="69" t="str">
        <f>IF(ISBLANK('ALL Other SINs - Proposal'!R340)," ",'ALL Other SINs - Proposal'!R340)</f>
        <v xml:space="preserve"> </v>
      </c>
      <c r="F340" s="73" t="str">
        <f>IF(ISBLANK('ALL Other SINs - Proposal'!S340)," ",'ALL Other SINs - Proposal'!S340)</f>
        <v xml:space="preserve"> </v>
      </c>
      <c r="G340" s="173" t="str">
        <f>IF(ISBLANK('ALL Other SINs - Proposal'!T340)," ",'ALL Other SINs - Proposal'!T340)</f>
        <v xml:space="preserve"> </v>
      </c>
      <c r="H340" s="275" t="str">
        <f>IF(ISBLANK('ALL Other SINs - Proposal'!V340)," ",'ALL Other SINs - Proposal'!V340)</f>
        <v xml:space="preserve"> </v>
      </c>
      <c r="I340" s="271" t="str">
        <f>IF(ISBLANK('ALL Other SINs - Proposal'!W340)," ",'ALL Other SINs - Proposal'!W340)</f>
        <v xml:space="preserve"> </v>
      </c>
      <c r="J340" s="71" t="str">
        <f>IF(ISBLANK('ALL Other SINs - Proposal'!X340)," ",'ALL Other SINs - Proposal'!X340)</f>
        <v xml:space="preserve"> </v>
      </c>
      <c r="K340" s="165" t="str">
        <f>IF(ISBLANK('ALL Other SINs - Proposal'!AA340)," ",'ALL Other SINs - Proposal'!AA340)</f>
        <v xml:space="preserve"> </v>
      </c>
      <c r="L340" s="178" t="str">
        <f>IF(ISBLANK('ALL Other SINs - Proposal'!AB340)," ",'ALL Other SINs - Proposal'!AB340)</f>
        <v xml:space="preserve"> </v>
      </c>
      <c r="M340" s="72" t="str">
        <f t="shared" si="10"/>
        <v xml:space="preserve"> </v>
      </c>
      <c r="N340" s="167" t="str">
        <f t="shared" si="11"/>
        <v xml:space="preserve"> </v>
      </c>
    </row>
    <row r="341" spans="1:14" ht="15" x14ac:dyDescent="0.25">
      <c r="A341" s="131" t="str">
        <f>IF(ISBLANK('ALL Other SINs - Proposal'!A341)," ",'ALL Other SINs - Proposal'!A341)</f>
        <v xml:space="preserve"> </v>
      </c>
      <c r="B341" s="137" t="str">
        <f>IF(ISBLANK('ALL Other SINs - Proposal'!B341)," ",'ALL Other SINs - Proposal'!B341)</f>
        <v xml:space="preserve"> </v>
      </c>
      <c r="C341" s="137" t="str">
        <f>IF(ISBLANK('ALL Other SINs - Proposal'!C341)," ",'ALL Other SINs - Proposal'!C341)</f>
        <v xml:space="preserve"> </v>
      </c>
      <c r="D341" s="138" t="str">
        <f>IF(ISBLANK('ALL Other SINs - Proposal'!D341)," ",'ALL Other SINs - Proposal'!D341)</f>
        <v xml:space="preserve"> </v>
      </c>
      <c r="E341" s="69" t="str">
        <f>IF(ISBLANK('ALL Other SINs - Proposal'!R341)," ",'ALL Other SINs - Proposal'!R341)</f>
        <v xml:space="preserve"> </v>
      </c>
      <c r="F341" s="73" t="str">
        <f>IF(ISBLANK('ALL Other SINs - Proposal'!S341)," ",'ALL Other SINs - Proposal'!S341)</f>
        <v xml:space="preserve"> </v>
      </c>
      <c r="G341" s="173" t="str">
        <f>IF(ISBLANK('ALL Other SINs - Proposal'!T341)," ",'ALL Other SINs - Proposal'!T341)</f>
        <v xml:space="preserve"> </v>
      </c>
      <c r="H341" s="275" t="str">
        <f>IF(ISBLANK('ALL Other SINs - Proposal'!V341)," ",'ALL Other SINs - Proposal'!V341)</f>
        <v xml:space="preserve"> </v>
      </c>
      <c r="I341" s="271" t="str">
        <f>IF(ISBLANK('ALL Other SINs - Proposal'!W341)," ",'ALL Other SINs - Proposal'!W341)</f>
        <v xml:space="preserve"> </v>
      </c>
      <c r="J341" s="71" t="str">
        <f>IF(ISBLANK('ALL Other SINs - Proposal'!X341)," ",'ALL Other SINs - Proposal'!X341)</f>
        <v xml:space="preserve"> </v>
      </c>
      <c r="K341" s="165" t="str">
        <f>IF(ISBLANK('ALL Other SINs - Proposal'!AA341)," ",'ALL Other SINs - Proposal'!AA341)</f>
        <v xml:space="preserve"> </v>
      </c>
      <c r="L341" s="178" t="str">
        <f>IF(ISBLANK('ALL Other SINs - Proposal'!AB341)," ",'ALL Other SINs - Proposal'!AB341)</f>
        <v xml:space="preserve"> </v>
      </c>
      <c r="M341" s="72" t="str">
        <f t="shared" si="10"/>
        <v xml:space="preserve"> </v>
      </c>
      <c r="N341" s="167" t="str">
        <f t="shared" si="11"/>
        <v xml:space="preserve"> </v>
      </c>
    </row>
    <row r="342" spans="1:14" ht="15" x14ac:dyDescent="0.25">
      <c r="A342" s="131" t="str">
        <f>IF(ISBLANK('ALL Other SINs - Proposal'!A342)," ",'ALL Other SINs - Proposal'!A342)</f>
        <v xml:space="preserve"> </v>
      </c>
      <c r="B342" s="137" t="str">
        <f>IF(ISBLANK('ALL Other SINs - Proposal'!B342)," ",'ALL Other SINs - Proposal'!B342)</f>
        <v xml:space="preserve"> </v>
      </c>
      <c r="C342" s="137" t="str">
        <f>IF(ISBLANK('ALL Other SINs - Proposal'!C342)," ",'ALL Other SINs - Proposal'!C342)</f>
        <v xml:space="preserve"> </v>
      </c>
      <c r="D342" s="138" t="str">
        <f>IF(ISBLANK('ALL Other SINs - Proposal'!D342)," ",'ALL Other SINs - Proposal'!D342)</f>
        <v xml:space="preserve"> </v>
      </c>
      <c r="E342" s="69" t="str">
        <f>IF(ISBLANK('ALL Other SINs - Proposal'!R342)," ",'ALL Other SINs - Proposal'!R342)</f>
        <v xml:space="preserve"> </v>
      </c>
      <c r="F342" s="73" t="str">
        <f>IF(ISBLANK('ALL Other SINs - Proposal'!S342)," ",'ALL Other SINs - Proposal'!S342)</f>
        <v xml:space="preserve"> </v>
      </c>
      <c r="G342" s="173" t="str">
        <f>IF(ISBLANK('ALL Other SINs - Proposal'!T342)," ",'ALL Other SINs - Proposal'!T342)</f>
        <v xml:space="preserve"> </v>
      </c>
      <c r="H342" s="275" t="str">
        <f>IF(ISBLANK('ALL Other SINs - Proposal'!V342)," ",'ALL Other SINs - Proposal'!V342)</f>
        <v xml:space="preserve"> </v>
      </c>
      <c r="I342" s="271" t="str">
        <f>IF(ISBLANK('ALL Other SINs - Proposal'!W342)," ",'ALL Other SINs - Proposal'!W342)</f>
        <v xml:space="preserve"> </v>
      </c>
      <c r="J342" s="71" t="str">
        <f>IF(ISBLANK('ALL Other SINs - Proposal'!X342)," ",'ALL Other SINs - Proposal'!X342)</f>
        <v xml:space="preserve"> </v>
      </c>
      <c r="K342" s="165" t="str">
        <f>IF(ISBLANK('ALL Other SINs - Proposal'!AA342)," ",'ALL Other SINs - Proposal'!AA342)</f>
        <v xml:space="preserve"> </v>
      </c>
      <c r="L342" s="178" t="str">
        <f>IF(ISBLANK('ALL Other SINs - Proposal'!AB342)," ",'ALL Other SINs - Proposal'!AB342)</f>
        <v xml:space="preserve"> </v>
      </c>
      <c r="M342" s="72" t="str">
        <f t="shared" si="10"/>
        <v xml:space="preserve"> </v>
      </c>
      <c r="N342" s="167" t="str">
        <f t="shared" si="11"/>
        <v xml:space="preserve"> </v>
      </c>
    </row>
    <row r="343" spans="1:14" ht="15" x14ac:dyDescent="0.25">
      <c r="A343" s="131" t="str">
        <f>IF(ISBLANK('ALL Other SINs - Proposal'!A343)," ",'ALL Other SINs - Proposal'!A343)</f>
        <v xml:space="preserve"> </v>
      </c>
      <c r="B343" s="137" t="str">
        <f>IF(ISBLANK('ALL Other SINs - Proposal'!B343)," ",'ALL Other SINs - Proposal'!B343)</f>
        <v xml:space="preserve"> </v>
      </c>
      <c r="C343" s="137" t="str">
        <f>IF(ISBLANK('ALL Other SINs - Proposal'!C343)," ",'ALL Other SINs - Proposal'!C343)</f>
        <v xml:space="preserve"> </v>
      </c>
      <c r="D343" s="138" t="str">
        <f>IF(ISBLANK('ALL Other SINs - Proposal'!D343)," ",'ALL Other SINs - Proposal'!D343)</f>
        <v xml:space="preserve"> </v>
      </c>
      <c r="E343" s="69" t="str">
        <f>IF(ISBLANK('ALL Other SINs - Proposal'!R343)," ",'ALL Other SINs - Proposal'!R343)</f>
        <v xml:space="preserve"> </v>
      </c>
      <c r="F343" s="73" t="str">
        <f>IF(ISBLANK('ALL Other SINs - Proposal'!S343)," ",'ALL Other SINs - Proposal'!S343)</f>
        <v xml:space="preserve"> </v>
      </c>
      <c r="G343" s="173" t="str">
        <f>IF(ISBLANK('ALL Other SINs - Proposal'!T343)," ",'ALL Other SINs - Proposal'!T343)</f>
        <v xml:space="preserve"> </v>
      </c>
      <c r="H343" s="275" t="str">
        <f>IF(ISBLANK('ALL Other SINs - Proposal'!V343)," ",'ALL Other SINs - Proposal'!V343)</f>
        <v xml:space="preserve"> </v>
      </c>
      <c r="I343" s="271" t="str">
        <f>IF(ISBLANK('ALL Other SINs - Proposal'!W343)," ",'ALL Other SINs - Proposal'!W343)</f>
        <v xml:space="preserve"> </v>
      </c>
      <c r="J343" s="71" t="str">
        <f>IF(ISBLANK('ALL Other SINs - Proposal'!X343)," ",'ALL Other SINs - Proposal'!X343)</f>
        <v xml:space="preserve"> </v>
      </c>
      <c r="K343" s="165" t="str">
        <f>IF(ISBLANK('ALL Other SINs - Proposal'!AA343)," ",'ALL Other SINs - Proposal'!AA343)</f>
        <v xml:space="preserve"> </v>
      </c>
      <c r="L343" s="178" t="str">
        <f>IF(ISBLANK('ALL Other SINs - Proposal'!AB343)," ",'ALL Other SINs - Proposal'!AB343)</f>
        <v xml:space="preserve"> </v>
      </c>
      <c r="M343" s="72" t="str">
        <f t="shared" si="10"/>
        <v xml:space="preserve"> </v>
      </c>
      <c r="N343" s="167" t="str">
        <f t="shared" si="11"/>
        <v xml:space="preserve"> </v>
      </c>
    </row>
    <row r="344" spans="1:14" ht="15" x14ac:dyDescent="0.25">
      <c r="A344" s="131" t="str">
        <f>IF(ISBLANK('ALL Other SINs - Proposal'!A344)," ",'ALL Other SINs - Proposal'!A344)</f>
        <v xml:space="preserve"> </v>
      </c>
      <c r="B344" s="137" t="str">
        <f>IF(ISBLANK('ALL Other SINs - Proposal'!B344)," ",'ALL Other SINs - Proposal'!B344)</f>
        <v xml:space="preserve"> </v>
      </c>
      <c r="C344" s="137" t="str">
        <f>IF(ISBLANK('ALL Other SINs - Proposal'!C344)," ",'ALL Other SINs - Proposal'!C344)</f>
        <v xml:space="preserve"> </v>
      </c>
      <c r="D344" s="138" t="str">
        <f>IF(ISBLANK('ALL Other SINs - Proposal'!D344)," ",'ALL Other SINs - Proposal'!D344)</f>
        <v xml:space="preserve"> </v>
      </c>
      <c r="E344" s="69" t="str">
        <f>IF(ISBLANK('ALL Other SINs - Proposal'!R344)," ",'ALL Other SINs - Proposal'!R344)</f>
        <v xml:space="preserve"> </v>
      </c>
      <c r="F344" s="73" t="str">
        <f>IF(ISBLANK('ALL Other SINs - Proposal'!S344)," ",'ALL Other SINs - Proposal'!S344)</f>
        <v xml:space="preserve"> </v>
      </c>
      <c r="G344" s="173" t="str">
        <f>IF(ISBLANK('ALL Other SINs - Proposal'!T344)," ",'ALL Other SINs - Proposal'!T344)</f>
        <v xml:space="preserve"> </v>
      </c>
      <c r="H344" s="275" t="str">
        <f>IF(ISBLANK('ALL Other SINs - Proposal'!V344)," ",'ALL Other SINs - Proposal'!V344)</f>
        <v xml:space="preserve"> </v>
      </c>
      <c r="I344" s="271" t="str">
        <f>IF(ISBLANK('ALL Other SINs - Proposal'!W344)," ",'ALL Other SINs - Proposal'!W344)</f>
        <v xml:space="preserve"> </v>
      </c>
      <c r="J344" s="71" t="str">
        <f>IF(ISBLANK('ALL Other SINs - Proposal'!X344)," ",'ALL Other SINs - Proposal'!X344)</f>
        <v xml:space="preserve"> </v>
      </c>
      <c r="K344" s="165" t="str">
        <f>IF(ISBLANK('ALL Other SINs - Proposal'!AA344)," ",'ALL Other SINs - Proposal'!AA344)</f>
        <v xml:space="preserve"> </v>
      </c>
      <c r="L344" s="178" t="str">
        <f>IF(ISBLANK('ALL Other SINs - Proposal'!AB344)," ",'ALL Other SINs - Proposal'!AB344)</f>
        <v xml:space="preserve"> </v>
      </c>
      <c r="M344" s="72" t="str">
        <f t="shared" si="10"/>
        <v xml:space="preserve"> </v>
      </c>
      <c r="N344" s="167" t="str">
        <f t="shared" si="11"/>
        <v xml:space="preserve"> </v>
      </c>
    </row>
    <row r="345" spans="1:14" ht="15" x14ac:dyDescent="0.25">
      <c r="A345" s="131" t="str">
        <f>IF(ISBLANK('ALL Other SINs - Proposal'!A345)," ",'ALL Other SINs - Proposal'!A345)</f>
        <v xml:space="preserve"> </v>
      </c>
      <c r="B345" s="137" t="str">
        <f>IF(ISBLANK('ALL Other SINs - Proposal'!B345)," ",'ALL Other SINs - Proposal'!B345)</f>
        <v xml:space="preserve"> </v>
      </c>
      <c r="C345" s="137" t="str">
        <f>IF(ISBLANK('ALL Other SINs - Proposal'!C345)," ",'ALL Other SINs - Proposal'!C345)</f>
        <v xml:space="preserve"> </v>
      </c>
      <c r="D345" s="138" t="str">
        <f>IF(ISBLANK('ALL Other SINs - Proposal'!D345)," ",'ALL Other SINs - Proposal'!D345)</f>
        <v xml:space="preserve"> </v>
      </c>
      <c r="E345" s="69" t="str">
        <f>IF(ISBLANK('ALL Other SINs - Proposal'!R345)," ",'ALL Other SINs - Proposal'!R345)</f>
        <v xml:space="preserve"> </v>
      </c>
      <c r="F345" s="73" t="str">
        <f>IF(ISBLANK('ALL Other SINs - Proposal'!S345)," ",'ALL Other SINs - Proposal'!S345)</f>
        <v xml:space="preserve"> </v>
      </c>
      <c r="G345" s="173" t="str">
        <f>IF(ISBLANK('ALL Other SINs - Proposal'!T345)," ",'ALL Other SINs - Proposal'!T345)</f>
        <v xml:space="preserve"> </v>
      </c>
      <c r="H345" s="275" t="str">
        <f>IF(ISBLANK('ALL Other SINs - Proposal'!V345)," ",'ALL Other SINs - Proposal'!V345)</f>
        <v xml:space="preserve"> </v>
      </c>
      <c r="I345" s="271" t="str">
        <f>IF(ISBLANK('ALL Other SINs - Proposal'!W345)," ",'ALL Other SINs - Proposal'!W345)</f>
        <v xml:space="preserve"> </v>
      </c>
      <c r="J345" s="71" t="str">
        <f>IF(ISBLANK('ALL Other SINs - Proposal'!X345)," ",'ALL Other SINs - Proposal'!X345)</f>
        <v xml:space="preserve"> </v>
      </c>
      <c r="K345" s="165" t="str">
        <f>IF(ISBLANK('ALL Other SINs - Proposal'!AA345)," ",'ALL Other SINs - Proposal'!AA345)</f>
        <v xml:space="preserve"> </v>
      </c>
      <c r="L345" s="178" t="str">
        <f>IF(ISBLANK('ALL Other SINs - Proposal'!AB345)," ",'ALL Other SINs - Proposal'!AB345)</f>
        <v xml:space="preserve"> </v>
      </c>
      <c r="M345" s="72" t="str">
        <f t="shared" si="10"/>
        <v xml:space="preserve"> </v>
      </c>
      <c r="N345" s="167" t="str">
        <f t="shared" si="11"/>
        <v xml:space="preserve"> </v>
      </c>
    </row>
    <row r="346" spans="1:14" ht="15" x14ac:dyDescent="0.25">
      <c r="A346" s="131" t="str">
        <f>IF(ISBLANK('ALL Other SINs - Proposal'!A346)," ",'ALL Other SINs - Proposal'!A346)</f>
        <v xml:space="preserve"> </v>
      </c>
      <c r="B346" s="137" t="str">
        <f>IF(ISBLANK('ALL Other SINs - Proposal'!B346)," ",'ALL Other SINs - Proposal'!B346)</f>
        <v xml:space="preserve"> </v>
      </c>
      <c r="C346" s="137" t="str">
        <f>IF(ISBLANK('ALL Other SINs - Proposal'!C346)," ",'ALL Other SINs - Proposal'!C346)</f>
        <v xml:space="preserve"> </v>
      </c>
      <c r="D346" s="138" t="str">
        <f>IF(ISBLANK('ALL Other SINs - Proposal'!D346)," ",'ALL Other SINs - Proposal'!D346)</f>
        <v xml:space="preserve"> </v>
      </c>
      <c r="E346" s="69" t="str">
        <f>IF(ISBLANK('ALL Other SINs - Proposal'!R346)," ",'ALL Other SINs - Proposal'!R346)</f>
        <v xml:space="preserve"> </v>
      </c>
      <c r="F346" s="73" t="str">
        <f>IF(ISBLANK('ALL Other SINs - Proposal'!S346)," ",'ALL Other SINs - Proposal'!S346)</f>
        <v xml:space="preserve"> </v>
      </c>
      <c r="G346" s="173" t="str">
        <f>IF(ISBLANK('ALL Other SINs - Proposal'!T346)," ",'ALL Other SINs - Proposal'!T346)</f>
        <v xml:space="preserve"> </v>
      </c>
      <c r="H346" s="275" t="str">
        <f>IF(ISBLANK('ALL Other SINs - Proposal'!V346)," ",'ALL Other SINs - Proposal'!V346)</f>
        <v xml:space="preserve"> </v>
      </c>
      <c r="I346" s="271" t="str">
        <f>IF(ISBLANK('ALL Other SINs - Proposal'!W346)," ",'ALL Other SINs - Proposal'!W346)</f>
        <v xml:space="preserve"> </v>
      </c>
      <c r="J346" s="71" t="str">
        <f>IF(ISBLANK('ALL Other SINs - Proposal'!X346)," ",'ALL Other SINs - Proposal'!X346)</f>
        <v xml:space="preserve"> </v>
      </c>
      <c r="K346" s="165" t="str">
        <f>IF(ISBLANK('ALL Other SINs - Proposal'!AA346)," ",'ALL Other SINs - Proposal'!AA346)</f>
        <v xml:space="preserve"> </v>
      </c>
      <c r="L346" s="178" t="str">
        <f>IF(ISBLANK('ALL Other SINs - Proposal'!AB346)," ",'ALL Other SINs - Proposal'!AB346)</f>
        <v xml:space="preserve"> </v>
      </c>
      <c r="M346" s="72" t="str">
        <f t="shared" si="10"/>
        <v xml:space="preserve"> </v>
      </c>
      <c r="N346" s="167" t="str">
        <f t="shared" si="11"/>
        <v xml:space="preserve"> </v>
      </c>
    </row>
    <row r="347" spans="1:14" ht="15" x14ac:dyDescent="0.25">
      <c r="A347" s="131" t="str">
        <f>IF(ISBLANK('ALL Other SINs - Proposal'!A347)," ",'ALL Other SINs - Proposal'!A347)</f>
        <v xml:space="preserve"> </v>
      </c>
      <c r="B347" s="137" t="str">
        <f>IF(ISBLANK('ALL Other SINs - Proposal'!B347)," ",'ALL Other SINs - Proposal'!B347)</f>
        <v xml:space="preserve"> </v>
      </c>
      <c r="C347" s="137" t="str">
        <f>IF(ISBLANK('ALL Other SINs - Proposal'!C347)," ",'ALL Other SINs - Proposal'!C347)</f>
        <v xml:space="preserve"> </v>
      </c>
      <c r="D347" s="138" t="str">
        <f>IF(ISBLANK('ALL Other SINs - Proposal'!D347)," ",'ALL Other SINs - Proposal'!D347)</f>
        <v xml:space="preserve"> </v>
      </c>
      <c r="E347" s="69" t="str">
        <f>IF(ISBLANK('ALL Other SINs - Proposal'!R347)," ",'ALL Other SINs - Proposal'!R347)</f>
        <v xml:space="preserve"> </v>
      </c>
      <c r="F347" s="73" t="str">
        <f>IF(ISBLANK('ALL Other SINs - Proposal'!S347)," ",'ALL Other SINs - Proposal'!S347)</f>
        <v xml:space="preserve"> </v>
      </c>
      <c r="G347" s="173" t="str">
        <f>IF(ISBLANK('ALL Other SINs - Proposal'!T347)," ",'ALL Other SINs - Proposal'!T347)</f>
        <v xml:space="preserve"> </v>
      </c>
      <c r="H347" s="275" t="str">
        <f>IF(ISBLANK('ALL Other SINs - Proposal'!V347)," ",'ALL Other SINs - Proposal'!V347)</f>
        <v xml:space="preserve"> </v>
      </c>
      <c r="I347" s="271" t="str">
        <f>IF(ISBLANK('ALL Other SINs - Proposal'!W347)," ",'ALL Other SINs - Proposal'!W347)</f>
        <v xml:space="preserve"> </v>
      </c>
      <c r="J347" s="71" t="str">
        <f>IF(ISBLANK('ALL Other SINs - Proposal'!X347)," ",'ALL Other SINs - Proposal'!X347)</f>
        <v xml:space="preserve"> </v>
      </c>
      <c r="K347" s="165" t="str">
        <f>IF(ISBLANK('ALL Other SINs - Proposal'!AA347)," ",'ALL Other SINs - Proposal'!AA347)</f>
        <v xml:space="preserve"> </v>
      </c>
      <c r="L347" s="178" t="str">
        <f>IF(ISBLANK('ALL Other SINs - Proposal'!AB347)," ",'ALL Other SINs - Proposal'!AB347)</f>
        <v xml:space="preserve"> </v>
      </c>
      <c r="M347" s="72" t="str">
        <f t="shared" si="10"/>
        <v xml:space="preserve"> </v>
      </c>
      <c r="N347" s="167" t="str">
        <f t="shared" si="11"/>
        <v xml:space="preserve"> </v>
      </c>
    </row>
    <row r="348" spans="1:14" ht="15" x14ac:dyDescent="0.25">
      <c r="A348" s="131" t="str">
        <f>IF(ISBLANK('ALL Other SINs - Proposal'!A348)," ",'ALL Other SINs - Proposal'!A348)</f>
        <v xml:space="preserve"> </v>
      </c>
      <c r="B348" s="137" t="str">
        <f>IF(ISBLANK('ALL Other SINs - Proposal'!B348)," ",'ALL Other SINs - Proposal'!B348)</f>
        <v xml:space="preserve"> </v>
      </c>
      <c r="C348" s="137" t="str">
        <f>IF(ISBLANK('ALL Other SINs - Proposal'!C348)," ",'ALL Other SINs - Proposal'!C348)</f>
        <v xml:space="preserve"> </v>
      </c>
      <c r="D348" s="138" t="str">
        <f>IF(ISBLANK('ALL Other SINs - Proposal'!D348)," ",'ALL Other SINs - Proposal'!D348)</f>
        <v xml:space="preserve"> </v>
      </c>
      <c r="E348" s="69" t="str">
        <f>IF(ISBLANK('ALL Other SINs - Proposal'!R348)," ",'ALL Other SINs - Proposal'!R348)</f>
        <v xml:space="preserve"> </v>
      </c>
      <c r="F348" s="73" t="str">
        <f>IF(ISBLANK('ALL Other SINs - Proposal'!S348)," ",'ALL Other SINs - Proposal'!S348)</f>
        <v xml:space="preserve"> </v>
      </c>
      <c r="G348" s="173" t="str">
        <f>IF(ISBLANK('ALL Other SINs - Proposal'!T348)," ",'ALL Other SINs - Proposal'!T348)</f>
        <v xml:space="preserve"> </v>
      </c>
      <c r="H348" s="275" t="str">
        <f>IF(ISBLANK('ALL Other SINs - Proposal'!V348)," ",'ALL Other SINs - Proposal'!V348)</f>
        <v xml:space="preserve"> </v>
      </c>
      <c r="I348" s="271" t="str">
        <f>IF(ISBLANK('ALL Other SINs - Proposal'!W348)," ",'ALL Other SINs - Proposal'!W348)</f>
        <v xml:space="preserve"> </v>
      </c>
      <c r="J348" s="71" t="str">
        <f>IF(ISBLANK('ALL Other SINs - Proposal'!X348)," ",'ALL Other SINs - Proposal'!X348)</f>
        <v xml:space="preserve"> </v>
      </c>
      <c r="K348" s="165" t="str">
        <f>IF(ISBLANK('ALL Other SINs - Proposal'!AA348)," ",'ALL Other SINs - Proposal'!AA348)</f>
        <v xml:space="preserve"> </v>
      </c>
      <c r="L348" s="178" t="str">
        <f>IF(ISBLANK('ALL Other SINs - Proposal'!AB348)," ",'ALL Other SINs - Proposal'!AB348)</f>
        <v xml:space="preserve"> </v>
      </c>
      <c r="M348" s="72" t="str">
        <f t="shared" si="10"/>
        <v xml:space="preserve"> </v>
      </c>
      <c r="N348" s="167" t="str">
        <f t="shared" si="11"/>
        <v xml:space="preserve"> </v>
      </c>
    </row>
    <row r="349" spans="1:14" ht="15" x14ac:dyDescent="0.25">
      <c r="A349" s="131" t="str">
        <f>IF(ISBLANK('ALL Other SINs - Proposal'!A349)," ",'ALL Other SINs - Proposal'!A349)</f>
        <v xml:space="preserve"> </v>
      </c>
      <c r="B349" s="137" t="str">
        <f>IF(ISBLANK('ALL Other SINs - Proposal'!B349)," ",'ALL Other SINs - Proposal'!B349)</f>
        <v xml:space="preserve"> </v>
      </c>
      <c r="C349" s="137" t="str">
        <f>IF(ISBLANK('ALL Other SINs - Proposal'!C349)," ",'ALL Other SINs - Proposal'!C349)</f>
        <v xml:space="preserve"> </v>
      </c>
      <c r="D349" s="138" t="str">
        <f>IF(ISBLANK('ALL Other SINs - Proposal'!D349)," ",'ALL Other SINs - Proposal'!D349)</f>
        <v xml:space="preserve"> </v>
      </c>
      <c r="E349" s="69" t="str">
        <f>IF(ISBLANK('ALL Other SINs - Proposal'!R349)," ",'ALL Other SINs - Proposal'!R349)</f>
        <v xml:space="preserve"> </v>
      </c>
      <c r="F349" s="73" t="str">
        <f>IF(ISBLANK('ALL Other SINs - Proposal'!S349)," ",'ALL Other SINs - Proposal'!S349)</f>
        <v xml:space="preserve"> </v>
      </c>
      <c r="G349" s="173" t="str">
        <f>IF(ISBLANK('ALL Other SINs - Proposal'!T349)," ",'ALL Other SINs - Proposal'!T349)</f>
        <v xml:space="preserve"> </v>
      </c>
      <c r="H349" s="275" t="str">
        <f>IF(ISBLANK('ALL Other SINs - Proposal'!V349)," ",'ALL Other SINs - Proposal'!V349)</f>
        <v xml:space="preserve"> </v>
      </c>
      <c r="I349" s="271" t="str">
        <f>IF(ISBLANK('ALL Other SINs - Proposal'!W349)," ",'ALL Other SINs - Proposal'!W349)</f>
        <v xml:space="preserve"> </v>
      </c>
      <c r="J349" s="71" t="str">
        <f>IF(ISBLANK('ALL Other SINs - Proposal'!X349)," ",'ALL Other SINs - Proposal'!X349)</f>
        <v xml:space="preserve"> </v>
      </c>
      <c r="K349" s="165" t="str">
        <f>IF(ISBLANK('ALL Other SINs - Proposal'!AA349)," ",'ALL Other SINs - Proposal'!AA349)</f>
        <v xml:space="preserve"> </v>
      </c>
      <c r="L349" s="178" t="str">
        <f>IF(ISBLANK('ALL Other SINs - Proposal'!AB349)," ",'ALL Other SINs - Proposal'!AB349)</f>
        <v xml:space="preserve"> </v>
      </c>
      <c r="M349" s="72" t="str">
        <f t="shared" si="10"/>
        <v xml:space="preserve"> </v>
      </c>
      <c r="N349" s="167" t="str">
        <f t="shared" si="11"/>
        <v xml:space="preserve"> </v>
      </c>
    </row>
    <row r="350" spans="1:14" ht="15" x14ac:dyDescent="0.25">
      <c r="A350" s="131" t="str">
        <f>IF(ISBLANK('ALL Other SINs - Proposal'!A350)," ",'ALL Other SINs - Proposal'!A350)</f>
        <v xml:space="preserve"> </v>
      </c>
      <c r="B350" s="137" t="str">
        <f>IF(ISBLANK('ALL Other SINs - Proposal'!B350)," ",'ALL Other SINs - Proposal'!B350)</f>
        <v xml:space="preserve"> </v>
      </c>
      <c r="C350" s="137" t="str">
        <f>IF(ISBLANK('ALL Other SINs - Proposal'!C350)," ",'ALL Other SINs - Proposal'!C350)</f>
        <v xml:space="preserve"> </v>
      </c>
      <c r="D350" s="138" t="str">
        <f>IF(ISBLANK('ALL Other SINs - Proposal'!D350)," ",'ALL Other SINs - Proposal'!D350)</f>
        <v xml:space="preserve"> </v>
      </c>
      <c r="E350" s="69" t="str">
        <f>IF(ISBLANK('ALL Other SINs - Proposal'!R350)," ",'ALL Other SINs - Proposal'!R350)</f>
        <v xml:space="preserve"> </v>
      </c>
      <c r="F350" s="73" t="str">
        <f>IF(ISBLANK('ALL Other SINs - Proposal'!S350)," ",'ALL Other SINs - Proposal'!S350)</f>
        <v xml:space="preserve"> </v>
      </c>
      <c r="G350" s="173" t="str">
        <f>IF(ISBLANK('ALL Other SINs - Proposal'!T350)," ",'ALL Other SINs - Proposal'!T350)</f>
        <v xml:space="preserve"> </v>
      </c>
      <c r="H350" s="275" t="str">
        <f>IF(ISBLANK('ALL Other SINs - Proposal'!V350)," ",'ALL Other SINs - Proposal'!V350)</f>
        <v xml:space="preserve"> </v>
      </c>
      <c r="I350" s="271" t="str">
        <f>IF(ISBLANK('ALL Other SINs - Proposal'!W350)," ",'ALL Other SINs - Proposal'!W350)</f>
        <v xml:space="preserve"> </v>
      </c>
      <c r="J350" s="71" t="str">
        <f>IF(ISBLANK('ALL Other SINs - Proposal'!X350)," ",'ALL Other SINs - Proposal'!X350)</f>
        <v xml:space="preserve"> </v>
      </c>
      <c r="K350" s="165" t="str">
        <f>IF(ISBLANK('ALL Other SINs - Proposal'!AA350)," ",'ALL Other SINs - Proposal'!AA350)</f>
        <v xml:space="preserve"> </v>
      </c>
      <c r="L350" s="178" t="str">
        <f>IF(ISBLANK('ALL Other SINs - Proposal'!AB350)," ",'ALL Other SINs - Proposal'!AB350)</f>
        <v xml:space="preserve"> </v>
      </c>
      <c r="M350" s="72" t="str">
        <f t="shared" si="10"/>
        <v xml:space="preserve"> </v>
      </c>
      <c r="N350" s="167" t="str">
        <f t="shared" si="11"/>
        <v xml:space="preserve"> </v>
      </c>
    </row>
    <row r="351" spans="1:14" ht="15" x14ac:dyDescent="0.25">
      <c r="A351" s="131" t="str">
        <f>IF(ISBLANK('ALL Other SINs - Proposal'!A351)," ",'ALL Other SINs - Proposal'!A351)</f>
        <v xml:space="preserve"> </v>
      </c>
      <c r="B351" s="137" t="str">
        <f>IF(ISBLANK('ALL Other SINs - Proposal'!B351)," ",'ALL Other SINs - Proposal'!B351)</f>
        <v xml:space="preserve"> </v>
      </c>
      <c r="C351" s="137" t="str">
        <f>IF(ISBLANK('ALL Other SINs - Proposal'!C351)," ",'ALL Other SINs - Proposal'!C351)</f>
        <v xml:space="preserve"> </v>
      </c>
      <c r="D351" s="138" t="str">
        <f>IF(ISBLANK('ALL Other SINs - Proposal'!D351)," ",'ALL Other SINs - Proposal'!D351)</f>
        <v xml:space="preserve"> </v>
      </c>
      <c r="E351" s="69" t="str">
        <f>IF(ISBLANK('ALL Other SINs - Proposal'!R351)," ",'ALL Other SINs - Proposal'!R351)</f>
        <v xml:space="preserve"> </v>
      </c>
      <c r="F351" s="73" t="str">
        <f>IF(ISBLANK('ALL Other SINs - Proposal'!S351)," ",'ALL Other SINs - Proposal'!S351)</f>
        <v xml:space="preserve"> </v>
      </c>
      <c r="G351" s="173" t="str">
        <f>IF(ISBLANK('ALL Other SINs - Proposal'!T351)," ",'ALL Other SINs - Proposal'!T351)</f>
        <v xml:space="preserve"> </v>
      </c>
      <c r="H351" s="275" t="str">
        <f>IF(ISBLANK('ALL Other SINs - Proposal'!V351)," ",'ALL Other SINs - Proposal'!V351)</f>
        <v xml:space="preserve"> </v>
      </c>
      <c r="I351" s="271" t="str">
        <f>IF(ISBLANK('ALL Other SINs - Proposal'!W351)," ",'ALL Other SINs - Proposal'!W351)</f>
        <v xml:space="preserve"> </v>
      </c>
      <c r="J351" s="71" t="str">
        <f>IF(ISBLANK('ALL Other SINs - Proposal'!X351)," ",'ALL Other SINs - Proposal'!X351)</f>
        <v xml:space="preserve"> </v>
      </c>
      <c r="K351" s="165" t="str">
        <f>IF(ISBLANK('ALL Other SINs - Proposal'!AA351)," ",'ALL Other SINs - Proposal'!AA351)</f>
        <v xml:space="preserve"> </v>
      </c>
      <c r="L351" s="178" t="str">
        <f>IF(ISBLANK('ALL Other SINs - Proposal'!AB351)," ",'ALL Other SINs - Proposal'!AB351)</f>
        <v xml:space="preserve"> </v>
      </c>
      <c r="M351" s="72" t="str">
        <f t="shared" si="10"/>
        <v xml:space="preserve"> </v>
      </c>
      <c r="N351" s="167" t="str">
        <f t="shared" si="11"/>
        <v xml:space="preserve"> </v>
      </c>
    </row>
    <row r="352" spans="1:14" ht="15" x14ac:dyDescent="0.25">
      <c r="A352" s="131" t="str">
        <f>IF(ISBLANK('ALL Other SINs - Proposal'!A352)," ",'ALL Other SINs - Proposal'!A352)</f>
        <v xml:space="preserve"> </v>
      </c>
      <c r="B352" s="137" t="str">
        <f>IF(ISBLANK('ALL Other SINs - Proposal'!B352)," ",'ALL Other SINs - Proposal'!B352)</f>
        <v xml:space="preserve"> </v>
      </c>
      <c r="C352" s="137" t="str">
        <f>IF(ISBLANK('ALL Other SINs - Proposal'!C352)," ",'ALL Other SINs - Proposal'!C352)</f>
        <v xml:space="preserve"> </v>
      </c>
      <c r="D352" s="138" t="str">
        <f>IF(ISBLANK('ALL Other SINs - Proposal'!D352)," ",'ALL Other SINs - Proposal'!D352)</f>
        <v xml:space="preserve"> </v>
      </c>
      <c r="E352" s="69" t="str">
        <f>IF(ISBLANK('ALL Other SINs - Proposal'!R352)," ",'ALL Other SINs - Proposal'!R352)</f>
        <v xml:space="preserve"> </v>
      </c>
      <c r="F352" s="73" t="str">
        <f>IF(ISBLANK('ALL Other SINs - Proposal'!S352)," ",'ALL Other SINs - Proposal'!S352)</f>
        <v xml:space="preserve"> </v>
      </c>
      <c r="G352" s="173" t="str">
        <f>IF(ISBLANK('ALL Other SINs - Proposal'!T352)," ",'ALL Other SINs - Proposal'!T352)</f>
        <v xml:space="preserve"> </v>
      </c>
      <c r="H352" s="275" t="str">
        <f>IF(ISBLANK('ALL Other SINs - Proposal'!V352)," ",'ALL Other SINs - Proposal'!V352)</f>
        <v xml:space="preserve"> </v>
      </c>
      <c r="I352" s="271" t="str">
        <f>IF(ISBLANK('ALL Other SINs - Proposal'!W352)," ",'ALL Other SINs - Proposal'!W352)</f>
        <v xml:space="preserve"> </v>
      </c>
      <c r="J352" s="71" t="str">
        <f>IF(ISBLANK('ALL Other SINs - Proposal'!X352)," ",'ALL Other SINs - Proposal'!X352)</f>
        <v xml:space="preserve"> </v>
      </c>
      <c r="K352" s="165" t="str">
        <f>IF(ISBLANK('ALL Other SINs - Proposal'!AA352)," ",'ALL Other SINs - Proposal'!AA352)</f>
        <v xml:space="preserve"> </v>
      </c>
      <c r="L352" s="178" t="str">
        <f>IF(ISBLANK('ALL Other SINs - Proposal'!AB352)," ",'ALL Other SINs - Proposal'!AB352)</f>
        <v xml:space="preserve"> </v>
      </c>
      <c r="M352" s="72" t="str">
        <f t="shared" si="10"/>
        <v xml:space="preserve"> </v>
      </c>
      <c r="N352" s="167" t="str">
        <f t="shared" si="11"/>
        <v xml:space="preserve"> </v>
      </c>
    </row>
    <row r="353" spans="1:14" ht="15" x14ac:dyDescent="0.25">
      <c r="A353" s="131" t="str">
        <f>IF(ISBLANK('ALL Other SINs - Proposal'!A353)," ",'ALL Other SINs - Proposal'!A353)</f>
        <v xml:space="preserve"> </v>
      </c>
      <c r="B353" s="137" t="str">
        <f>IF(ISBLANK('ALL Other SINs - Proposal'!B353)," ",'ALL Other SINs - Proposal'!B353)</f>
        <v xml:space="preserve"> </v>
      </c>
      <c r="C353" s="137" t="str">
        <f>IF(ISBLANK('ALL Other SINs - Proposal'!C353)," ",'ALL Other SINs - Proposal'!C353)</f>
        <v xml:space="preserve"> </v>
      </c>
      <c r="D353" s="138" t="str">
        <f>IF(ISBLANK('ALL Other SINs - Proposal'!D353)," ",'ALL Other SINs - Proposal'!D353)</f>
        <v xml:space="preserve"> </v>
      </c>
      <c r="E353" s="69" t="str">
        <f>IF(ISBLANK('ALL Other SINs - Proposal'!R353)," ",'ALL Other SINs - Proposal'!R353)</f>
        <v xml:space="preserve"> </v>
      </c>
      <c r="F353" s="73" t="str">
        <f>IF(ISBLANK('ALL Other SINs - Proposal'!S353)," ",'ALL Other SINs - Proposal'!S353)</f>
        <v xml:space="preserve"> </v>
      </c>
      <c r="G353" s="173" t="str">
        <f>IF(ISBLANK('ALL Other SINs - Proposal'!T353)," ",'ALL Other SINs - Proposal'!T353)</f>
        <v xml:space="preserve"> </v>
      </c>
      <c r="H353" s="275" t="str">
        <f>IF(ISBLANK('ALL Other SINs - Proposal'!V353)," ",'ALL Other SINs - Proposal'!V353)</f>
        <v xml:space="preserve"> </v>
      </c>
      <c r="I353" s="271" t="str">
        <f>IF(ISBLANK('ALL Other SINs - Proposal'!W353)," ",'ALL Other SINs - Proposal'!W353)</f>
        <v xml:space="preserve"> </v>
      </c>
      <c r="J353" s="71" t="str">
        <f>IF(ISBLANK('ALL Other SINs - Proposal'!X353)," ",'ALL Other SINs - Proposal'!X353)</f>
        <v xml:space="preserve"> </v>
      </c>
      <c r="K353" s="165" t="str">
        <f>IF(ISBLANK('ALL Other SINs - Proposal'!AA353)," ",'ALL Other SINs - Proposal'!AA353)</f>
        <v xml:space="preserve"> </v>
      </c>
      <c r="L353" s="178" t="str">
        <f>IF(ISBLANK('ALL Other SINs - Proposal'!AB353)," ",'ALL Other SINs - Proposal'!AB353)</f>
        <v xml:space="preserve"> </v>
      </c>
      <c r="M353" s="72" t="str">
        <f t="shared" si="10"/>
        <v xml:space="preserve"> </v>
      </c>
      <c r="N353" s="167" t="str">
        <f t="shared" si="11"/>
        <v xml:space="preserve"> </v>
      </c>
    </row>
    <row r="354" spans="1:14" ht="15" x14ac:dyDescent="0.25">
      <c r="A354" s="131" t="str">
        <f>IF(ISBLANK('ALL Other SINs - Proposal'!A354)," ",'ALL Other SINs - Proposal'!A354)</f>
        <v xml:space="preserve"> </v>
      </c>
      <c r="B354" s="137" t="str">
        <f>IF(ISBLANK('ALL Other SINs - Proposal'!B354)," ",'ALL Other SINs - Proposal'!B354)</f>
        <v xml:space="preserve"> </v>
      </c>
      <c r="C354" s="137" t="str">
        <f>IF(ISBLANK('ALL Other SINs - Proposal'!C354)," ",'ALL Other SINs - Proposal'!C354)</f>
        <v xml:space="preserve"> </v>
      </c>
      <c r="D354" s="138" t="str">
        <f>IF(ISBLANK('ALL Other SINs - Proposal'!D354)," ",'ALL Other SINs - Proposal'!D354)</f>
        <v xml:space="preserve"> </v>
      </c>
      <c r="E354" s="69" t="str">
        <f>IF(ISBLANK('ALL Other SINs - Proposal'!R354)," ",'ALL Other SINs - Proposal'!R354)</f>
        <v xml:space="preserve"> </v>
      </c>
      <c r="F354" s="73" t="str">
        <f>IF(ISBLANK('ALL Other SINs - Proposal'!S354)," ",'ALL Other SINs - Proposal'!S354)</f>
        <v xml:space="preserve"> </v>
      </c>
      <c r="G354" s="173" t="str">
        <f>IF(ISBLANK('ALL Other SINs - Proposal'!T354)," ",'ALL Other SINs - Proposal'!T354)</f>
        <v xml:space="preserve"> </v>
      </c>
      <c r="H354" s="275" t="str">
        <f>IF(ISBLANK('ALL Other SINs - Proposal'!V354)," ",'ALL Other SINs - Proposal'!V354)</f>
        <v xml:space="preserve"> </v>
      </c>
      <c r="I354" s="271" t="str">
        <f>IF(ISBLANK('ALL Other SINs - Proposal'!W354)," ",'ALL Other SINs - Proposal'!W354)</f>
        <v xml:space="preserve"> </v>
      </c>
      <c r="J354" s="71" t="str">
        <f>IF(ISBLANK('ALL Other SINs - Proposal'!X354)," ",'ALL Other SINs - Proposal'!X354)</f>
        <v xml:space="preserve"> </v>
      </c>
      <c r="K354" s="165" t="str">
        <f>IF(ISBLANK('ALL Other SINs - Proposal'!AA354)," ",'ALL Other SINs - Proposal'!AA354)</f>
        <v xml:space="preserve"> </v>
      </c>
      <c r="L354" s="178" t="str">
        <f>IF(ISBLANK('ALL Other SINs - Proposal'!AB354)," ",'ALL Other SINs - Proposal'!AB354)</f>
        <v xml:space="preserve"> </v>
      </c>
      <c r="M354" s="72" t="str">
        <f t="shared" si="10"/>
        <v xml:space="preserve"> </v>
      </c>
      <c r="N354" s="167" t="str">
        <f t="shared" si="11"/>
        <v xml:space="preserve"> </v>
      </c>
    </row>
    <row r="355" spans="1:14" ht="15" x14ac:dyDescent="0.25">
      <c r="A355" s="131" t="str">
        <f>IF(ISBLANK('ALL Other SINs - Proposal'!A355)," ",'ALL Other SINs - Proposal'!A355)</f>
        <v xml:space="preserve"> </v>
      </c>
      <c r="B355" s="137" t="str">
        <f>IF(ISBLANK('ALL Other SINs - Proposal'!B355)," ",'ALL Other SINs - Proposal'!B355)</f>
        <v xml:space="preserve"> </v>
      </c>
      <c r="C355" s="137" t="str">
        <f>IF(ISBLANK('ALL Other SINs - Proposal'!C355)," ",'ALL Other SINs - Proposal'!C355)</f>
        <v xml:space="preserve"> </v>
      </c>
      <c r="D355" s="138" t="str">
        <f>IF(ISBLANK('ALL Other SINs - Proposal'!D355)," ",'ALL Other SINs - Proposal'!D355)</f>
        <v xml:space="preserve"> </v>
      </c>
      <c r="E355" s="69" t="str">
        <f>IF(ISBLANK('ALL Other SINs - Proposal'!R355)," ",'ALL Other SINs - Proposal'!R355)</f>
        <v xml:space="preserve"> </v>
      </c>
      <c r="F355" s="73" t="str">
        <f>IF(ISBLANK('ALL Other SINs - Proposal'!S355)," ",'ALL Other SINs - Proposal'!S355)</f>
        <v xml:space="preserve"> </v>
      </c>
      <c r="G355" s="173" t="str">
        <f>IF(ISBLANK('ALL Other SINs - Proposal'!T355)," ",'ALL Other SINs - Proposal'!T355)</f>
        <v xml:space="preserve"> </v>
      </c>
      <c r="H355" s="275" t="str">
        <f>IF(ISBLANK('ALL Other SINs - Proposal'!V355)," ",'ALL Other SINs - Proposal'!V355)</f>
        <v xml:space="preserve"> </v>
      </c>
      <c r="I355" s="271" t="str">
        <f>IF(ISBLANK('ALL Other SINs - Proposal'!W355)," ",'ALL Other SINs - Proposal'!W355)</f>
        <v xml:space="preserve"> </v>
      </c>
      <c r="J355" s="71" t="str">
        <f>IF(ISBLANK('ALL Other SINs - Proposal'!X355)," ",'ALL Other SINs - Proposal'!X355)</f>
        <v xml:space="preserve"> </v>
      </c>
      <c r="K355" s="165" t="str">
        <f>IF(ISBLANK('ALL Other SINs - Proposal'!AA355)," ",'ALL Other SINs - Proposal'!AA355)</f>
        <v xml:space="preserve"> </v>
      </c>
      <c r="L355" s="178" t="str">
        <f>IF(ISBLANK('ALL Other SINs - Proposal'!AB355)," ",'ALL Other SINs - Proposal'!AB355)</f>
        <v xml:space="preserve"> </v>
      </c>
      <c r="M355" s="72" t="str">
        <f t="shared" si="10"/>
        <v xml:space="preserve"> </v>
      </c>
      <c r="N355" s="167" t="str">
        <f t="shared" si="11"/>
        <v xml:space="preserve"> </v>
      </c>
    </row>
    <row r="356" spans="1:14" ht="15" x14ac:dyDescent="0.25">
      <c r="A356" s="131" t="str">
        <f>IF(ISBLANK('ALL Other SINs - Proposal'!A356)," ",'ALL Other SINs - Proposal'!A356)</f>
        <v xml:space="preserve"> </v>
      </c>
      <c r="B356" s="137" t="str">
        <f>IF(ISBLANK('ALL Other SINs - Proposal'!B356)," ",'ALL Other SINs - Proposal'!B356)</f>
        <v xml:space="preserve"> </v>
      </c>
      <c r="C356" s="137" t="str">
        <f>IF(ISBLANK('ALL Other SINs - Proposal'!C356)," ",'ALL Other SINs - Proposal'!C356)</f>
        <v xml:space="preserve"> </v>
      </c>
      <c r="D356" s="138" t="str">
        <f>IF(ISBLANK('ALL Other SINs - Proposal'!D356)," ",'ALL Other SINs - Proposal'!D356)</f>
        <v xml:space="preserve"> </v>
      </c>
      <c r="E356" s="69" t="str">
        <f>IF(ISBLANK('ALL Other SINs - Proposal'!R356)," ",'ALL Other SINs - Proposal'!R356)</f>
        <v xml:space="preserve"> </v>
      </c>
      <c r="F356" s="73" t="str">
        <f>IF(ISBLANK('ALL Other SINs - Proposal'!S356)," ",'ALL Other SINs - Proposal'!S356)</f>
        <v xml:space="preserve"> </v>
      </c>
      <c r="G356" s="173" t="str">
        <f>IF(ISBLANK('ALL Other SINs - Proposal'!T356)," ",'ALL Other SINs - Proposal'!T356)</f>
        <v xml:space="preserve"> </v>
      </c>
      <c r="H356" s="275" t="str">
        <f>IF(ISBLANK('ALL Other SINs - Proposal'!V356)," ",'ALL Other SINs - Proposal'!V356)</f>
        <v xml:space="preserve"> </v>
      </c>
      <c r="I356" s="271" t="str">
        <f>IF(ISBLANK('ALL Other SINs - Proposal'!W356)," ",'ALL Other SINs - Proposal'!W356)</f>
        <v xml:space="preserve"> </v>
      </c>
      <c r="J356" s="71" t="str">
        <f>IF(ISBLANK('ALL Other SINs - Proposal'!X356)," ",'ALL Other SINs - Proposal'!X356)</f>
        <v xml:space="preserve"> </v>
      </c>
      <c r="K356" s="165" t="str">
        <f>IF(ISBLANK('ALL Other SINs - Proposal'!AA356)," ",'ALL Other SINs - Proposal'!AA356)</f>
        <v xml:space="preserve"> </v>
      </c>
      <c r="L356" s="178" t="str">
        <f>IF(ISBLANK('ALL Other SINs - Proposal'!AB356)," ",'ALL Other SINs - Proposal'!AB356)</f>
        <v xml:space="preserve"> </v>
      </c>
      <c r="M356" s="72" t="str">
        <f t="shared" si="10"/>
        <v xml:space="preserve"> </v>
      </c>
      <c r="N356" s="167" t="str">
        <f t="shared" si="11"/>
        <v xml:space="preserve"> </v>
      </c>
    </row>
    <row r="357" spans="1:14" ht="15" x14ac:dyDescent="0.25">
      <c r="A357" s="131" t="str">
        <f>IF(ISBLANK('ALL Other SINs - Proposal'!A357)," ",'ALL Other SINs - Proposal'!A357)</f>
        <v xml:space="preserve"> </v>
      </c>
      <c r="B357" s="137" t="str">
        <f>IF(ISBLANK('ALL Other SINs - Proposal'!B357)," ",'ALL Other SINs - Proposal'!B357)</f>
        <v xml:space="preserve"> </v>
      </c>
      <c r="C357" s="137" t="str">
        <f>IF(ISBLANK('ALL Other SINs - Proposal'!C357)," ",'ALL Other SINs - Proposal'!C357)</f>
        <v xml:space="preserve"> </v>
      </c>
      <c r="D357" s="138" t="str">
        <f>IF(ISBLANK('ALL Other SINs - Proposal'!D357)," ",'ALL Other SINs - Proposal'!D357)</f>
        <v xml:space="preserve"> </v>
      </c>
      <c r="E357" s="69" t="str">
        <f>IF(ISBLANK('ALL Other SINs - Proposal'!R357)," ",'ALL Other SINs - Proposal'!R357)</f>
        <v xml:space="preserve"> </v>
      </c>
      <c r="F357" s="73" t="str">
        <f>IF(ISBLANK('ALL Other SINs - Proposal'!S357)," ",'ALL Other SINs - Proposal'!S357)</f>
        <v xml:space="preserve"> </v>
      </c>
      <c r="G357" s="173" t="str">
        <f>IF(ISBLANK('ALL Other SINs - Proposal'!T357)," ",'ALL Other SINs - Proposal'!T357)</f>
        <v xml:space="preserve"> </v>
      </c>
      <c r="H357" s="275" t="str">
        <f>IF(ISBLANK('ALL Other SINs - Proposal'!V357)," ",'ALL Other SINs - Proposal'!V357)</f>
        <v xml:space="preserve"> </v>
      </c>
      <c r="I357" s="271" t="str">
        <f>IF(ISBLANK('ALL Other SINs - Proposal'!W357)," ",'ALL Other SINs - Proposal'!W357)</f>
        <v xml:space="preserve"> </v>
      </c>
      <c r="J357" s="71" t="str">
        <f>IF(ISBLANK('ALL Other SINs - Proposal'!X357)," ",'ALL Other SINs - Proposal'!X357)</f>
        <v xml:space="preserve"> </v>
      </c>
      <c r="K357" s="165" t="str">
        <f>IF(ISBLANK('ALL Other SINs - Proposal'!AA357)," ",'ALL Other SINs - Proposal'!AA357)</f>
        <v xml:space="preserve"> </v>
      </c>
      <c r="L357" s="178" t="str">
        <f>IF(ISBLANK('ALL Other SINs - Proposal'!AB357)," ",'ALL Other SINs - Proposal'!AB357)</f>
        <v xml:space="preserve"> </v>
      </c>
      <c r="M357" s="72" t="str">
        <f t="shared" si="10"/>
        <v xml:space="preserve"> </v>
      </c>
      <c r="N357" s="167" t="str">
        <f t="shared" si="11"/>
        <v xml:space="preserve"> </v>
      </c>
    </row>
    <row r="358" spans="1:14" ht="15" x14ac:dyDescent="0.25">
      <c r="A358" s="131" t="str">
        <f>IF(ISBLANK('ALL Other SINs - Proposal'!A358)," ",'ALL Other SINs - Proposal'!A358)</f>
        <v xml:space="preserve"> </v>
      </c>
      <c r="B358" s="137" t="str">
        <f>IF(ISBLANK('ALL Other SINs - Proposal'!B358)," ",'ALL Other SINs - Proposal'!B358)</f>
        <v xml:space="preserve"> </v>
      </c>
      <c r="C358" s="137" t="str">
        <f>IF(ISBLANK('ALL Other SINs - Proposal'!C358)," ",'ALL Other SINs - Proposal'!C358)</f>
        <v xml:space="preserve"> </v>
      </c>
      <c r="D358" s="138" t="str">
        <f>IF(ISBLANK('ALL Other SINs - Proposal'!D358)," ",'ALL Other SINs - Proposal'!D358)</f>
        <v xml:space="preserve"> </v>
      </c>
      <c r="E358" s="69" t="str">
        <f>IF(ISBLANK('ALL Other SINs - Proposal'!R358)," ",'ALL Other SINs - Proposal'!R358)</f>
        <v xml:space="preserve"> </v>
      </c>
      <c r="F358" s="73" t="str">
        <f>IF(ISBLANK('ALL Other SINs - Proposal'!S358)," ",'ALL Other SINs - Proposal'!S358)</f>
        <v xml:space="preserve"> </v>
      </c>
      <c r="G358" s="173" t="str">
        <f>IF(ISBLANK('ALL Other SINs - Proposal'!T358)," ",'ALL Other SINs - Proposal'!T358)</f>
        <v xml:space="preserve"> </v>
      </c>
      <c r="H358" s="275" t="str">
        <f>IF(ISBLANK('ALL Other SINs - Proposal'!V358)," ",'ALL Other SINs - Proposal'!V358)</f>
        <v xml:space="preserve"> </v>
      </c>
      <c r="I358" s="271" t="str">
        <f>IF(ISBLANK('ALL Other SINs - Proposal'!W358)," ",'ALL Other SINs - Proposal'!W358)</f>
        <v xml:space="preserve"> </v>
      </c>
      <c r="J358" s="71" t="str">
        <f>IF(ISBLANK('ALL Other SINs - Proposal'!X358)," ",'ALL Other SINs - Proposal'!X358)</f>
        <v xml:space="preserve"> </v>
      </c>
      <c r="K358" s="165" t="str">
        <f>IF(ISBLANK('ALL Other SINs - Proposal'!AA358)," ",'ALL Other SINs - Proposal'!AA358)</f>
        <v xml:space="preserve"> </v>
      </c>
      <c r="L358" s="178" t="str">
        <f>IF(ISBLANK('ALL Other SINs - Proposal'!AB358)," ",'ALL Other SINs - Proposal'!AB358)</f>
        <v xml:space="preserve"> </v>
      </c>
      <c r="M358" s="72" t="str">
        <f t="shared" si="10"/>
        <v xml:space="preserve"> </v>
      </c>
      <c r="N358" s="167" t="str">
        <f t="shared" si="11"/>
        <v xml:space="preserve"> </v>
      </c>
    </row>
    <row r="359" spans="1:14" ht="15" x14ac:dyDescent="0.25">
      <c r="A359" s="131" t="str">
        <f>IF(ISBLANK('ALL Other SINs - Proposal'!A359)," ",'ALL Other SINs - Proposal'!A359)</f>
        <v xml:space="preserve"> </v>
      </c>
      <c r="B359" s="137" t="str">
        <f>IF(ISBLANK('ALL Other SINs - Proposal'!B359)," ",'ALL Other SINs - Proposal'!B359)</f>
        <v xml:space="preserve"> </v>
      </c>
      <c r="C359" s="137" t="str">
        <f>IF(ISBLANK('ALL Other SINs - Proposal'!C359)," ",'ALL Other SINs - Proposal'!C359)</f>
        <v xml:space="preserve"> </v>
      </c>
      <c r="D359" s="138" t="str">
        <f>IF(ISBLANK('ALL Other SINs - Proposal'!D359)," ",'ALL Other SINs - Proposal'!D359)</f>
        <v xml:space="preserve"> </v>
      </c>
      <c r="E359" s="69" t="str">
        <f>IF(ISBLANK('ALL Other SINs - Proposal'!R359)," ",'ALL Other SINs - Proposal'!R359)</f>
        <v xml:space="preserve"> </v>
      </c>
      <c r="F359" s="73" t="str">
        <f>IF(ISBLANK('ALL Other SINs - Proposal'!S359)," ",'ALL Other SINs - Proposal'!S359)</f>
        <v xml:space="preserve"> </v>
      </c>
      <c r="G359" s="173" t="str">
        <f>IF(ISBLANK('ALL Other SINs - Proposal'!T359)," ",'ALL Other SINs - Proposal'!T359)</f>
        <v xml:space="preserve"> </v>
      </c>
      <c r="H359" s="275" t="str">
        <f>IF(ISBLANK('ALL Other SINs - Proposal'!V359)," ",'ALL Other SINs - Proposal'!V359)</f>
        <v xml:space="preserve"> </v>
      </c>
      <c r="I359" s="271" t="str">
        <f>IF(ISBLANK('ALL Other SINs - Proposal'!W359)," ",'ALL Other SINs - Proposal'!W359)</f>
        <v xml:space="preserve"> </v>
      </c>
      <c r="J359" s="71" t="str">
        <f>IF(ISBLANK('ALL Other SINs - Proposal'!X359)," ",'ALL Other SINs - Proposal'!X359)</f>
        <v xml:space="preserve"> </v>
      </c>
      <c r="K359" s="165" t="str">
        <f>IF(ISBLANK('ALL Other SINs - Proposal'!AA359)," ",'ALL Other SINs - Proposal'!AA359)</f>
        <v xml:space="preserve"> </v>
      </c>
      <c r="L359" s="178" t="str">
        <f>IF(ISBLANK('ALL Other SINs - Proposal'!AB359)," ",'ALL Other SINs - Proposal'!AB359)</f>
        <v xml:space="preserve"> </v>
      </c>
      <c r="M359" s="72" t="str">
        <f t="shared" si="10"/>
        <v xml:space="preserve"> </v>
      </c>
      <c r="N359" s="167" t="str">
        <f t="shared" si="11"/>
        <v xml:space="preserve"> </v>
      </c>
    </row>
    <row r="360" spans="1:14" ht="15" x14ac:dyDescent="0.25">
      <c r="A360" s="131" t="str">
        <f>IF(ISBLANK('ALL Other SINs - Proposal'!A360)," ",'ALL Other SINs - Proposal'!A360)</f>
        <v xml:space="preserve"> </v>
      </c>
      <c r="B360" s="137" t="str">
        <f>IF(ISBLANK('ALL Other SINs - Proposal'!B360)," ",'ALL Other SINs - Proposal'!B360)</f>
        <v xml:space="preserve"> </v>
      </c>
      <c r="C360" s="137" t="str">
        <f>IF(ISBLANK('ALL Other SINs - Proposal'!C360)," ",'ALL Other SINs - Proposal'!C360)</f>
        <v xml:space="preserve"> </v>
      </c>
      <c r="D360" s="138" t="str">
        <f>IF(ISBLANK('ALL Other SINs - Proposal'!D360)," ",'ALL Other SINs - Proposal'!D360)</f>
        <v xml:space="preserve"> </v>
      </c>
      <c r="E360" s="69" t="str">
        <f>IF(ISBLANK('ALL Other SINs - Proposal'!R360)," ",'ALL Other SINs - Proposal'!R360)</f>
        <v xml:space="preserve"> </v>
      </c>
      <c r="F360" s="73" t="str">
        <f>IF(ISBLANK('ALL Other SINs - Proposal'!S360)," ",'ALL Other SINs - Proposal'!S360)</f>
        <v xml:space="preserve"> </v>
      </c>
      <c r="G360" s="173" t="str">
        <f>IF(ISBLANK('ALL Other SINs - Proposal'!T360)," ",'ALL Other SINs - Proposal'!T360)</f>
        <v xml:space="preserve"> </v>
      </c>
      <c r="H360" s="275" t="str">
        <f>IF(ISBLANK('ALL Other SINs - Proposal'!V360)," ",'ALL Other SINs - Proposal'!V360)</f>
        <v xml:space="preserve"> </v>
      </c>
      <c r="I360" s="271" t="str">
        <f>IF(ISBLANK('ALL Other SINs - Proposal'!W360)," ",'ALL Other SINs - Proposal'!W360)</f>
        <v xml:space="preserve"> </v>
      </c>
      <c r="J360" s="71" t="str">
        <f>IF(ISBLANK('ALL Other SINs - Proposal'!X360)," ",'ALL Other SINs - Proposal'!X360)</f>
        <v xml:space="preserve"> </v>
      </c>
      <c r="K360" s="165" t="str">
        <f>IF(ISBLANK('ALL Other SINs - Proposal'!AA360)," ",'ALL Other SINs - Proposal'!AA360)</f>
        <v xml:space="preserve"> </v>
      </c>
      <c r="L360" s="178" t="str">
        <f>IF(ISBLANK('ALL Other SINs - Proposal'!AB360)," ",'ALL Other SINs - Proposal'!AB360)</f>
        <v xml:space="preserve"> </v>
      </c>
      <c r="M360" s="72" t="str">
        <f t="shared" si="10"/>
        <v xml:space="preserve"> </v>
      </c>
      <c r="N360" s="167" t="str">
        <f t="shared" si="11"/>
        <v xml:space="preserve"> </v>
      </c>
    </row>
    <row r="361" spans="1:14" ht="15" x14ac:dyDescent="0.25">
      <c r="A361" s="131" t="str">
        <f>IF(ISBLANK('ALL Other SINs - Proposal'!A361)," ",'ALL Other SINs - Proposal'!A361)</f>
        <v xml:space="preserve"> </v>
      </c>
      <c r="B361" s="137" t="str">
        <f>IF(ISBLANK('ALL Other SINs - Proposal'!B361)," ",'ALL Other SINs - Proposal'!B361)</f>
        <v xml:space="preserve"> </v>
      </c>
      <c r="C361" s="137" t="str">
        <f>IF(ISBLANK('ALL Other SINs - Proposal'!C361)," ",'ALL Other SINs - Proposal'!C361)</f>
        <v xml:space="preserve"> </v>
      </c>
      <c r="D361" s="138" t="str">
        <f>IF(ISBLANK('ALL Other SINs - Proposal'!D361)," ",'ALL Other SINs - Proposal'!D361)</f>
        <v xml:space="preserve"> </v>
      </c>
      <c r="E361" s="69" t="str">
        <f>IF(ISBLANK('ALL Other SINs - Proposal'!R361)," ",'ALL Other SINs - Proposal'!R361)</f>
        <v xml:space="preserve"> </v>
      </c>
      <c r="F361" s="73" t="str">
        <f>IF(ISBLANK('ALL Other SINs - Proposal'!S361)," ",'ALL Other SINs - Proposal'!S361)</f>
        <v xml:space="preserve"> </v>
      </c>
      <c r="G361" s="173" t="str">
        <f>IF(ISBLANK('ALL Other SINs - Proposal'!T361)," ",'ALL Other SINs - Proposal'!T361)</f>
        <v xml:space="preserve"> </v>
      </c>
      <c r="H361" s="275" t="str">
        <f>IF(ISBLANK('ALL Other SINs - Proposal'!V361)," ",'ALL Other SINs - Proposal'!V361)</f>
        <v xml:space="preserve"> </v>
      </c>
      <c r="I361" s="271" t="str">
        <f>IF(ISBLANK('ALL Other SINs - Proposal'!W361)," ",'ALL Other SINs - Proposal'!W361)</f>
        <v xml:space="preserve"> </v>
      </c>
      <c r="J361" s="71" t="str">
        <f>IF(ISBLANK('ALL Other SINs - Proposal'!X361)," ",'ALL Other SINs - Proposal'!X361)</f>
        <v xml:space="preserve"> </v>
      </c>
      <c r="K361" s="165" t="str">
        <f>IF(ISBLANK('ALL Other SINs - Proposal'!AA361)," ",'ALL Other SINs - Proposal'!AA361)</f>
        <v xml:space="preserve"> </v>
      </c>
      <c r="L361" s="178" t="str">
        <f>IF(ISBLANK('ALL Other SINs - Proposal'!AB361)," ",'ALL Other SINs - Proposal'!AB361)</f>
        <v xml:space="preserve"> </v>
      </c>
      <c r="M361" s="72" t="str">
        <f t="shared" si="10"/>
        <v xml:space="preserve"> </v>
      </c>
      <c r="N361" s="167" t="str">
        <f t="shared" si="11"/>
        <v xml:space="preserve"> </v>
      </c>
    </row>
    <row r="362" spans="1:14" ht="15" x14ac:dyDescent="0.25">
      <c r="A362" s="131" t="str">
        <f>IF(ISBLANK('ALL Other SINs - Proposal'!A362)," ",'ALL Other SINs - Proposal'!A362)</f>
        <v xml:space="preserve"> </v>
      </c>
      <c r="B362" s="137" t="str">
        <f>IF(ISBLANK('ALL Other SINs - Proposal'!B362)," ",'ALL Other SINs - Proposal'!B362)</f>
        <v xml:space="preserve"> </v>
      </c>
      <c r="C362" s="137" t="str">
        <f>IF(ISBLANK('ALL Other SINs - Proposal'!C362)," ",'ALL Other SINs - Proposal'!C362)</f>
        <v xml:space="preserve"> </v>
      </c>
      <c r="D362" s="138" t="str">
        <f>IF(ISBLANK('ALL Other SINs - Proposal'!D362)," ",'ALL Other SINs - Proposal'!D362)</f>
        <v xml:space="preserve"> </v>
      </c>
      <c r="E362" s="69" t="str">
        <f>IF(ISBLANK('ALL Other SINs - Proposal'!R362)," ",'ALL Other SINs - Proposal'!R362)</f>
        <v xml:space="preserve"> </v>
      </c>
      <c r="F362" s="73" t="str">
        <f>IF(ISBLANK('ALL Other SINs - Proposal'!S362)," ",'ALL Other SINs - Proposal'!S362)</f>
        <v xml:space="preserve"> </v>
      </c>
      <c r="G362" s="173" t="str">
        <f>IF(ISBLANK('ALL Other SINs - Proposal'!T362)," ",'ALL Other SINs - Proposal'!T362)</f>
        <v xml:space="preserve"> </v>
      </c>
      <c r="H362" s="275" t="str">
        <f>IF(ISBLANK('ALL Other SINs - Proposal'!V362)," ",'ALL Other SINs - Proposal'!V362)</f>
        <v xml:space="preserve"> </v>
      </c>
      <c r="I362" s="271" t="str">
        <f>IF(ISBLANK('ALL Other SINs - Proposal'!W362)," ",'ALL Other SINs - Proposal'!W362)</f>
        <v xml:space="preserve"> </v>
      </c>
      <c r="J362" s="71" t="str">
        <f>IF(ISBLANK('ALL Other SINs - Proposal'!X362)," ",'ALL Other SINs - Proposal'!X362)</f>
        <v xml:space="preserve"> </v>
      </c>
      <c r="K362" s="165" t="str">
        <f>IF(ISBLANK('ALL Other SINs - Proposal'!AA362)," ",'ALL Other SINs - Proposal'!AA362)</f>
        <v xml:space="preserve"> </v>
      </c>
      <c r="L362" s="178" t="str">
        <f>IF(ISBLANK('ALL Other SINs - Proposal'!AB362)," ",'ALL Other SINs - Proposal'!AB362)</f>
        <v xml:space="preserve"> </v>
      </c>
      <c r="M362" s="72" t="str">
        <f t="shared" si="10"/>
        <v xml:space="preserve"> </v>
      </c>
      <c r="N362" s="167" t="str">
        <f t="shared" si="11"/>
        <v xml:space="preserve"> </v>
      </c>
    </row>
    <row r="363" spans="1:14" ht="15" x14ac:dyDescent="0.25">
      <c r="A363" s="131" t="str">
        <f>IF(ISBLANK('ALL Other SINs - Proposal'!A363)," ",'ALL Other SINs - Proposal'!A363)</f>
        <v xml:space="preserve"> </v>
      </c>
      <c r="B363" s="137" t="str">
        <f>IF(ISBLANK('ALL Other SINs - Proposal'!B363)," ",'ALL Other SINs - Proposal'!B363)</f>
        <v xml:space="preserve"> </v>
      </c>
      <c r="C363" s="137" t="str">
        <f>IF(ISBLANK('ALL Other SINs - Proposal'!C363)," ",'ALL Other SINs - Proposal'!C363)</f>
        <v xml:space="preserve"> </v>
      </c>
      <c r="D363" s="138" t="str">
        <f>IF(ISBLANK('ALL Other SINs - Proposal'!D363)," ",'ALL Other SINs - Proposal'!D363)</f>
        <v xml:space="preserve"> </v>
      </c>
      <c r="E363" s="69" t="str">
        <f>IF(ISBLANK('ALL Other SINs - Proposal'!R363)," ",'ALL Other SINs - Proposal'!R363)</f>
        <v xml:space="preserve"> </v>
      </c>
      <c r="F363" s="73" t="str">
        <f>IF(ISBLANK('ALL Other SINs - Proposal'!S363)," ",'ALL Other SINs - Proposal'!S363)</f>
        <v xml:space="preserve"> </v>
      </c>
      <c r="G363" s="173" t="str">
        <f>IF(ISBLANK('ALL Other SINs - Proposal'!T363)," ",'ALL Other SINs - Proposal'!T363)</f>
        <v xml:space="preserve"> </v>
      </c>
      <c r="H363" s="275" t="str">
        <f>IF(ISBLANK('ALL Other SINs - Proposal'!V363)," ",'ALL Other SINs - Proposal'!V363)</f>
        <v xml:space="preserve"> </v>
      </c>
      <c r="I363" s="271" t="str">
        <f>IF(ISBLANK('ALL Other SINs - Proposal'!W363)," ",'ALL Other SINs - Proposal'!W363)</f>
        <v xml:space="preserve"> </v>
      </c>
      <c r="J363" s="71" t="str">
        <f>IF(ISBLANK('ALL Other SINs - Proposal'!X363)," ",'ALL Other SINs - Proposal'!X363)</f>
        <v xml:space="preserve"> </v>
      </c>
      <c r="K363" s="165" t="str">
        <f>IF(ISBLANK('ALL Other SINs - Proposal'!AA363)," ",'ALL Other SINs - Proposal'!AA363)</f>
        <v xml:space="preserve"> </v>
      </c>
      <c r="L363" s="178" t="str">
        <f>IF(ISBLANK('ALL Other SINs - Proposal'!AB363)," ",'ALL Other SINs - Proposal'!AB363)</f>
        <v xml:space="preserve"> </v>
      </c>
      <c r="M363" s="72" t="str">
        <f t="shared" si="10"/>
        <v xml:space="preserve"> </v>
      </c>
      <c r="N363" s="167" t="str">
        <f t="shared" si="11"/>
        <v xml:space="preserve"> </v>
      </c>
    </row>
    <row r="364" spans="1:14" ht="15" x14ac:dyDescent="0.25">
      <c r="A364" s="131" t="str">
        <f>IF(ISBLANK('ALL Other SINs - Proposal'!A364)," ",'ALL Other SINs - Proposal'!A364)</f>
        <v xml:space="preserve"> </v>
      </c>
      <c r="B364" s="137" t="str">
        <f>IF(ISBLANK('ALL Other SINs - Proposal'!B364)," ",'ALL Other SINs - Proposal'!B364)</f>
        <v xml:space="preserve"> </v>
      </c>
      <c r="C364" s="137" t="str">
        <f>IF(ISBLANK('ALL Other SINs - Proposal'!C364)," ",'ALL Other SINs - Proposal'!C364)</f>
        <v xml:space="preserve"> </v>
      </c>
      <c r="D364" s="138" t="str">
        <f>IF(ISBLANK('ALL Other SINs - Proposal'!D364)," ",'ALL Other SINs - Proposal'!D364)</f>
        <v xml:space="preserve"> </v>
      </c>
      <c r="E364" s="69" t="str">
        <f>IF(ISBLANK('ALL Other SINs - Proposal'!R364)," ",'ALL Other SINs - Proposal'!R364)</f>
        <v xml:space="preserve"> </v>
      </c>
      <c r="F364" s="73" t="str">
        <f>IF(ISBLANK('ALL Other SINs - Proposal'!S364)," ",'ALL Other SINs - Proposal'!S364)</f>
        <v xml:space="preserve"> </v>
      </c>
      <c r="G364" s="173" t="str">
        <f>IF(ISBLANK('ALL Other SINs - Proposal'!T364)," ",'ALL Other SINs - Proposal'!T364)</f>
        <v xml:space="preserve"> </v>
      </c>
      <c r="H364" s="275" t="str">
        <f>IF(ISBLANK('ALL Other SINs - Proposal'!V364)," ",'ALL Other SINs - Proposal'!V364)</f>
        <v xml:space="preserve"> </v>
      </c>
      <c r="I364" s="271" t="str">
        <f>IF(ISBLANK('ALL Other SINs - Proposal'!W364)," ",'ALL Other SINs - Proposal'!W364)</f>
        <v xml:space="preserve"> </v>
      </c>
      <c r="J364" s="71" t="str">
        <f>IF(ISBLANK('ALL Other SINs - Proposal'!X364)," ",'ALL Other SINs - Proposal'!X364)</f>
        <v xml:space="preserve"> </v>
      </c>
      <c r="K364" s="165" t="str">
        <f>IF(ISBLANK('ALL Other SINs - Proposal'!AA364)," ",'ALL Other SINs - Proposal'!AA364)</f>
        <v xml:space="preserve"> </v>
      </c>
      <c r="L364" s="178" t="str">
        <f>IF(ISBLANK('ALL Other SINs - Proposal'!AB364)," ",'ALL Other SINs - Proposal'!AB364)</f>
        <v xml:space="preserve"> </v>
      </c>
      <c r="M364" s="72" t="str">
        <f t="shared" si="10"/>
        <v xml:space="preserve"> </v>
      </c>
      <c r="N364" s="167" t="str">
        <f t="shared" si="11"/>
        <v xml:space="preserve"> </v>
      </c>
    </row>
    <row r="365" spans="1:14" ht="15" x14ac:dyDescent="0.25">
      <c r="A365" s="131" t="str">
        <f>IF(ISBLANK('ALL Other SINs - Proposal'!A365)," ",'ALL Other SINs - Proposal'!A365)</f>
        <v xml:space="preserve"> </v>
      </c>
      <c r="B365" s="137" t="str">
        <f>IF(ISBLANK('ALL Other SINs - Proposal'!B365)," ",'ALL Other SINs - Proposal'!B365)</f>
        <v xml:space="preserve"> </v>
      </c>
      <c r="C365" s="137" t="str">
        <f>IF(ISBLANK('ALL Other SINs - Proposal'!C365)," ",'ALL Other SINs - Proposal'!C365)</f>
        <v xml:space="preserve"> </v>
      </c>
      <c r="D365" s="138" t="str">
        <f>IF(ISBLANK('ALL Other SINs - Proposal'!D365)," ",'ALL Other SINs - Proposal'!D365)</f>
        <v xml:space="preserve"> </v>
      </c>
      <c r="E365" s="69" t="str">
        <f>IF(ISBLANK('ALL Other SINs - Proposal'!R365)," ",'ALL Other SINs - Proposal'!R365)</f>
        <v xml:space="preserve"> </v>
      </c>
      <c r="F365" s="73" t="str">
        <f>IF(ISBLANK('ALL Other SINs - Proposal'!S365)," ",'ALL Other SINs - Proposal'!S365)</f>
        <v xml:space="preserve"> </v>
      </c>
      <c r="G365" s="173" t="str">
        <f>IF(ISBLANK('ALL Other SINs - Proposal'!T365)," ",'ALL Other SINs - Proposal'!T365)</f>
        <v xml:space="preserve"> </v>
      </c>
      <c r="H365" s="275" t="str">
        <f>IF(ISBLANK('ALL Other SINs - Proposal'!V365)," ",'ALL Other SINs - Proposal'!V365)</f>
        <v xml:space="preserve"> </v>
      </c>
      <c r="I365" s="271" t="str">
        <f>IF(ISBLANK('ALL Other SINs - Proposal'!W365)," ",'ALL Other SINs - Proposal'!W365)</f>
        <v xml:space="preserve"> </v>
      </c>
      <c r="J365" s="71" t="str">
        <f>IF(ISBLANK('ALL Other SINs - Proposal'!X365)," ",'ALL Other SINs - Proposal'!X365)</f>
        <v xml:space="preserve"> </v>
      </c>
      <c r="K365" s="165" t="str">
        <f>IF(ISBLANK('ALL Other SINs - Proposal'!AA365)," ",'ALL Other SINs - Proposal'!AA365)</f>
        <v xml:space="preserve"> </v>
      </c>
      <c r="L365" s="178" t="str">
        <f>IF(ISBLANK('ALL Other SINs - Proposal'!AB365)," ",'ALL Other SINs - Proposal'!AB365)</f>
        <v xml:space="preserve"> </v>
      </c>
      <c r="M365" s="72" t="str">
        <f t="shared" si="10"/>
        <v xml:space="preserve"> </v>
      </c>
      <c r="N365" s="167" t="str">
        <f t="shared" si="11"/>
        <v xml:space="preserve"> </v>
      </c>
    </row>
    <row r="366" spans="1:14" ht="15" x14ac:dyDescent="0.25">
      <c r="A366" s="131" t="str">
        <f>IF(ISBLANK('ALL Other SINs - Proposal'!A366)," ",'ALL Other SINs - Proposal'!A366)</f>
        <v xml:space="preserve"> </v>
      </c>
      <c r="B366" s="137" t="str">
        <f>IF(ISBLANK('ALL Other SINs - Proposal'!B366)," ",'ALL Other SINs - Proposal'!B366)</f>
        <v xml:space="preserve"> </v>
      </c>
      <c r="C366" s="137" t="str">
        <f>IF(ISBLANK('ALL Other SINs - Proposal'!C366)," ",'ALL Other SINs - Proposal'!C366)</f>
        <v xml:space="preserve"> </v>
      </c>
      <c r="D366" s="138" t="str">
        <f>IF(ISBLANK('ALL Other SINs - Proposal'!D366)," ",'ALL Other SINs - Proposal'!D366)</f>
        <v xml:space="preserve"> </v>
      </c>
      <c r="E366" s="69" t="str">
        <f>IF(ISBLANK('ALL Other SINs - Proposal'!R366)," ",'ALL Other SINs - Proposal'!R366)</f>
        <v xml:space="preserve"> </v>
      </c>
      <c r="F366" s="73" t="str">
        <f>IF(ISBLANK('ALL Other SINs - Proposal'!S366)," ",'ALL Other SINs - Proposal'!S366)</f>
        <v xml:space="preserve"> </v>
      </c>
      <c r="G366" s="173" t="str">
        <f>IF(ISBLANK('ALL Other SINs - Proposal'!T366)," ",'ALL Other SINs - Proposal'!T366)</f>
        <v xml:space="preserve"> </v>
      </c>
      <c r="H366" s="275" t="str">
        <f>IF(ISBLANK('ALL Other SINs - Proposal'!V366)," ",'ALL Other SINs - Proposal'!V366)</f>
        <v xml:space="preserve"> </v>
      </c>
      <c r="I366" s="271" t="str">
        <f>IF(ISBLANK('ALL Other SINs - Proposal'!W366)," ",'ALL Other SINs - Proposal'!W366)</f>
        <v xml:space="preserve"> </v>
      </c>
      <c r="J366" s="71" t="str">
        <f>IF(ISBLANK('ALL Other SINs - Proposal'!X366)," ",'ALL Other SINs - Proposal'!X366)</f>
        <v xml:space="preserve"> </v>
      </c>
      <c r="K366" s="165" t="str">
        <f>IF(ISBLANK('ALL Other SINs - Proposal'!AA366)," ",'ALL Other SINs - Proposal'!AA366)</f>
        <v xml:space="preserve"> </v>
      </c>
      <c r="L366" s="178" t="str">
        <f>IF(ISBLANK('ALL Other SINs - Proposal'!AB366)," ",'ALL Other SINs - Proposal'!AB366)</f>
        <v xml:space="preserve"> </v>
      </c>
      <c r="M366" s="72" t="str">
        <f t="shared" si="10"/>
        <v xml:space="preserve"> </v>
      </c>
      <c r="N366" s="167" t="str">
        <f t="shared" si="11"/>
        <v xml:space="preserve"> </v>
      </c>
    </row>
    <row r="367" spans="1:14" ht="15" x14ac:dyDescent="0.25">
      <c r="A367" s="131" t="str">
        <f>IF(ISBLANK('ALL Other SINs - Proposal'!A367)," ",'ALL Other SINs - Proposal'!A367)</f>
        <v xml:space="preserve"> </v>
      </c>
      <c r="B367" s="137" t="str">
        <f>IF(ISBLANK('ALL Other SINs - Proposal'!B367)," ",'ALL Other SINs - Proposal'!B367)</f>
        <v xml:space="preserve"> </v>
      </c>
      <c r="C367" s="137" t="str">
        <f>IF(ISBLANK('ALL Other SINs - Proposal'!C367)," ",'ALL Other SINs - Proposal'!C367)</f>
        <v xml:space="preserve"> </v>
      </c>
      <c r="D367" s="138" t="str">
        <f>IF(ISBLANK('ALL Other SINs - Proposal'!D367)," ",'ALL Other SINs - Proposal'!D367)</f>
        <v xml:space="preserve"> </v>
      </c>
      <c r="E367" s="69" t="str">
        <f>IF(ISBLANK('ALL Other SINs - Proposal'!R367)," ",'ALL Other SINs - Proposal'!R367)</f>
        <v xml:space="preserve"> </v>
      </c>
      <c r="F367" s="73" t="str">
        <f>IF(ISBLANK('ALL Other SINs - Proposal'!S367)," ",'ALL Other SINs - Proposal'!S367)</f>
        <v xml:space="preserve"> </v>
      </c>
      <c r="G367" s="173" t="str">
        <f>IF(ISBLANK('ALL Other SINs - Proposal'!T367)," ",'ALL Other SINs - Proposal'!T367)</f>
        <v xml:space="preserve"> </v>
      </c>
      <c r="H367" s="275" t="str">
        <f>IF(ISBLANK('ALL Other SINs - Proposal'!V367)," ",'ALL Other SINs - Proposal'!V367)</f>
        <v xml:space="preserve"> </v>
      </c>
      <c r="I367" s="271" t="str">
        <f>IF(ISBLANK('ALL Other SINs - Proposal'!W367)," ",'ALL Other SINs - Proposal'!W367)</f>
        <v xml:space="preserve"> </v>
      </c>
      <c r="J367" s="71" t="str">
        <f>IF(ISBLANK('ALL Other SINs - Proposal'!X367)," ",'ALL Other SINs - Proposal'!X367)</f>
        <v xml:space="preserve"> </v>
      </c>
      <c r="K367" s="165" t="str">
        <f>IF(ISBLANK('ALL Other SINs - Proposal'!AA367)," ",'ALL Other SINs - Proposal'!AA367)</f>
        <v xml:space="preserve"> </v>
      </c>
      <c r="L367" s="178" t="str">
        <f>IF(ISBLANK('ALL Other SINs - Proposal'!AB367)," ",'ALL Other SINs - Proposal'!AB367)</f>
        <v xml:space="preserve"> </v>
      </c>
      <c r="M367" s="72" t="str">
        <f t="shared" si="10"/>
        <v xml:space="preserve"> </v>
      </c>
      <c r="N367" s="167" t="str">
        <f t="shared" si="11"/>
        <v xml:space="preserve"> </v>
      </c>
    </row>
    <row r="368" spans="1:14" ht="15" x14ac:dyDescent="0.25">
      <c r="A368" s="131" t="str">
        <f>IF(ISBLANK('ALL Other SINs - Proposal'!A368)," ",'ALL Other SINs - Proposal'!A368)</f>
        <v xml:space="preserve"> </v>
      </c>
      <c r="B368" s="137" t="str">
        <f>IF(ISBLANK('ALL Other SINs - Proposal'!B368)," ",'ALL Other SINs - Proposal'!B368)</f>
        <v xml:space="preserve"> </v>
      </c>
      <c r="C368" s="137" t="str">
        <f>IF(ISBLANK('ALL Other SINs - Proposal'!C368)," ",'ALL Other SINs - Proposal'!C368)</f>
        <v xml:space="preserve"> </v>
      </c>
      <c r="D368" s="138" t="str">
        <f>IF(ISBLANK('ALL Other SINs - Proposal'!D368)," ",'ALL Other SINs - Proposal'!D368)</f>
        <v xml:space="preserve"> </v>
      </c>
      <c r="E368" s="69" t="str">
        <f>IF(ISBLANK('ALL Other SINs - Proposal'!R368)," ",'ALL Other SINs - Proposal'!R368)</f>
        <v xml:space="preserve"> </v>
      </c>
      <c r="F368" s="73" t="str">
        <f>IF(ISBLANK('ALL Other SINs - Proposal'!S368)," ",'ALL Other SINs - Proposal'!S368)</f>
        <v xml:space="preserve"> </v>
      </c>
      <c r="G368" s="173" t="str">
        <f>IF(ISBLANK('ALL Other SINs - Proposal'!T368)," ",'ALL Other SINs - Proposal'!T368)</f>
        <v xml:space="preserve"> </v>
      </c>
      <c r="H368" s="275" t="str">
        <f>IF(ISBLANK('ALL Other SINs - Proposal'!V368)," ",'ALL Other SINs - Proposal'!V368)</f>
        <v xml:space="preserve"> </v>
      </c>
      <c r="I368" s="271" t="str">
        <f>IF(ISBLANK('ALL Other SINs - Proposal'!W368)," ",'ALL Other SINs - Proposal'!W368)</f>
        <v xml:space="preserve"> </v>
      </c>
      <c r="J368" s="71" t="str">
        <f>IF(ISBLANK('ALL Other SINs - Proposal'!X368)," ",'ALL Other SINs - Proposal'!X368)</f>
        <v xml:space="preserve"> </v>
      </c>
      <c r="K368" s="165" t="str">
        <f>IF(ISBLANK('ALL Other SINs - Proposal'!AA368)," ",'ALL Other SINs - Proposal'!AA368)</f>
        <v xml:space="preserve"> </v>
      </c>
      <c r="L368" s="178" t="str">
        <f>IF(ISBLANK('ALL Other SINs - Proposal'!AB368)," ",'ALL Other SINs - Proposal'!AB368)</f>
        <v xml:space="preserve"> </v>
      </c>
      <c r="M368" s="72" t="str">
        <f t="shared" si="10"/>
        <v xml:space="preserve"> </v>
      </c>
      <c r="N368" s="167" t="str">
        <f t="shared" si="11"/>
        <v xml:space="preserve"> </v>
      </c>
    </row>
    <row r="369" spans="1:14" ht="15" x14ac:dyDescent="0.25">
      <c r="A369" s="131" t="str">
        <f>IF(ISBLANK('ALL Other SINs - Proposal'!A369)," ",'ALL Other SINs - Proposal'!A369)</f>
        <v xml:space="preserve"> </v>
      </c>
      <c r="B369" s="137" t="str">
        <f>IF(ISBLANK('ALL Other SINs - Proposal'!B369)," ",'ALL Other SINs - Proposal'!B369)</f>
        <v xml:space="preserve"> </v>
      </c>
      <c r="C369" s="137" t="str">
        <f>IF(ISBLANK('ALL Other SINs - Proposal'!C369)," ",'ALL Other SINs - Proposal'!C369)</f>
        <v xml:space="preserve"> </v>
      </c>
      <c r="D369" s="138" t="str">
        <f>IF(ISBLANK('ALL Other SINs - Proposal'!D369)," ",'ALL Other SINs - Proposal'!D369)</f>
        <v xml:space="preserve"> </v>
      </c>
      <c r="E369" s="69" t="str">
        <f>IF(ISBLANK('ALL Other SINs - Proposal'!R369)," ",'ALL Other SINs - Proposal'!R369)</f>
        <v xml:space="preserve"> </v>
      </c>
      <c r="F369" s="73" t="str">
        <f>IF(ISBLANK('ALL Other SINs - Proposal'!S369)," ",'ALL Other SINs - Proposal'!S369)</f>
        <v xml:space="preserve"> </v>
      </c>
      <c r="G369" s="173" t="str">
        <f>IF(ISBLANK('ALL Other SINs - Proposal'!T369)," ",'ALL Other SINs - Proposal'!T369)</f>
        <v xml:space="preserve"> </v>
      </c>
      <c r="H369" s="275" t="str">
        <f>IF(ISBLANK('ALL Other SINs - Proposal'!V369)," ",'ALL Other SINs - Proposal'!V369)</f>
        <v xml:space="preserve"> </v>
      </c>
      <c r="I369" s="271" t="str">
        <f>IF(ISBLANK('ALL Other SINs - Proposal'!W369)," ",'ALL Other SINs - Proposal'!W369)</f>
        <v xml:space="preserve"> </v>
      </c>
      <c r="J369" s="71" t="str">
        <f>IF(ISBLANK('ALL Other SINs - Proposal'!X369)," ",'ALL Other SINs - Proposal'!X369)</f>
        <v xml:space="preserve"> </v>
      </c>
      <c r="K369" s="165" t="str">
        <f>IF(ISBLANK('ALL Other SINs - Proposal'!AA369)," ",'ALL Other SINs - Proposal'!AA369)</f>
        <v xml:space="preserve"> </v>
      </c>
      <c r="L369" s="178" t="str">
        <f>IF(ISBLANK('ALL Other SINs - Proposal'!AB369)," ",'ALL Other SINs - Proposal'!AB369)</f>
        <v xml:space="preserve"> </v>
      </c>
      <c r="M369" s="72" t="str">
        <f t="shared" si="10"/>
        <v xml:space="preserve"> </v>
      </c>
      <c r="N369" s="167" t="str">
        <f t="shared" si="11"/>
        <v xml:space="preserve"> </v>
      </c>
    </row>
    <row r="370" spans="1:14" ht="15" x14ac:dyDescent="0.25">
      <c r="A370" s="131" t="str">
        <f>IF(ISBLANK('ALL Other SINs - Proposal'!A370)," ",'ALL Other SINs - Proposal'!A370)</f>
        <v xml:space="preserve"> </v>
      </c>
      <c r="B370" s="137" t="str">
        <f>IF(ISBLANK('ALL Other SINs - Proposal'!B370)," ",'ALL Other SINs - Proposal'!B370)</f>
        <v xml:space="preserve"> </v>
      </c>
      <c r="C370" s="137" t="str">
        <f>IF(ISBLANK('ALL Other SINs - Proposal'!C370)," ",'ALL Other SINs - Proposal'!C370)</f>
        <v xml:space="preserve"> </v>
      </c>
      <c r="D370" s="138" t="str">
        <f>IF(ISBLANK('ALL Other SINs - Proposal'!D370)," ",'ALL Other SINs - Proposal'!D370)</f>
        <v xml:space="preserve"> </v>
      </c>
      <c r="E370" s="69" t="str">
        <f>IF(ISBLANK('ALL Other SINs - Proposal'!R370)," ",'ALL Other SINs - Proposal'!R370)</f>
        <v xml:space="preserve"> </v>
      </c>
      <c r="F370" s="73" t="str">
        <f>IF(ISBLANK('ALL Other SINs - Proposal'!S370)," ",'ALL Other SINs - Proposal'!S370)</f>
        <v xml:space="preserve"> </v>
      </c>
      <c r="G370" s="173" t="str">
        <f>IF(ISBLANK('ALL Other SINs - Proposal'!T370)," ",'ALL Other SINs - Proposal'!T370)</f>
        <v xml:space="preserve"> </v>
      </c>
      <c r="H370" s="275" t="str">
        <f>IF(ISBLANK('ALL Other SINs - Proposal'!V370)," ",'ALL Other SINs - Proposal'!V370)</f>
        <v xml:space="preserve"> </v>
      </c>
      <c r="I370" s="271" t="str">
        <f>IF(ISBLANK('ALL Other SINs - Proposal'!W370)," ",'ALL Other SINs - Proposal'!W370)</f>
        <v xml:space="preserve"> </v>
      </c>
      <c r="J370" s="71" t="str">
        <f>IF(ISBLANK('ALL Other SINs - Proposal'!X370)," ",'ALL Other SINs - Proposal'!X370)</f>
        <v xml:space="preserve"> </v>
      </c>
      <c r="K370" s="165" t="str">
        <f>IF(ISBLANK('ALL Other SINs - Proposal'!AA370)," ",'ALL Other SINs - Proposal'!AA370)</f>
        <v xml:space="preserve"> </v>
      </c>
      <c r="L370" s="178" t="str">
        <f>IF(ISBLANK('ALL Other SINs - Proposal'!AB370)," ",'ALL Other SINs - Proposal'!AB370)</f>
        <v xml:space="preserve"> </v>
      </c>
      <c r="M370" s="72" t="str">
        <f t="shared" si="10"/>
        <v xml:space="preserve"> </v>
      </c>
      <c r="N370" s="167" t="str">
        <f t="shared" si="11"/>
        <v xml:space="preserve"> </v>
      </c>
    </row>
    <row r="371" spans="1:14" ht="15" x14ac:dyDescent="0.25">
      <c r="A371" s="131" t="str">
        <f>IF(ISBLANK('ALL Other SINs - Proposal'!A371)," ",'ALL Other SINs - Proposal'!A371)</f>
        <v xml:space="preserve"> </v>
      </c>
      <c r="B371" s="137" t="str">
        <f>IF(ISBLANK('ALL Other SINs - Proposal'!B371)," ",'ALL Other SINs - Proposal'!B371)</f>
        <v xml:space="preserve"> </v>
      </c>
      <c r="C371" s="137" t="str">
        <f>IF(ISBLANK('ALL Other SINs - Proposal'!C371)," ",'ALL Other SINs - Proposal'!C371)</f>
        <v xml:space="preserve"> </v>
      </c>
      <c r="D371" s="138" t="str">
        <f>IF(ISBLANK('ALL Other SINs - Proposal'!D371)," ",'ALL Other SINs - Proposal'!D371)</f>
        <v xml:space="preserve"> </v>
      </c>
      <c r="E371" s="69" t="str">
        <f>IF(ISBLANK('ALL Other SINs - Proposal'!R371)," ",'ALL Other SINs - Proposal'!R371)</f>
        <v xml:space="preserve"> </v>
      </c>
      <c r="F371" s="73" t="str">
        <f>IF(ISBLANK('ALL Other SINs - Proposal'!S371)," ",'ALL Other SINs - Proposal'!S371)</f>
        <v xml:space="preserve"> </v>
      </c>
      <c r="G371" s="173" t="str">
        <f>IF(ISBLANK('ALL Other SINs - Proposal'!T371)," ",'ALL Other SINs - Proposal'!T371)</f>
        <v xml:space="preserve"> </v>
      </c>
      <c r="H371" s="275" t="str">
        <f>IF(ISBLANK('ALL Other SINs - Proposal'!V371)," ",'ALL Other SINs - Proposal'!V371)</f>
        <v xml:space="preserve"> </v>
      </c>
      <c r="I371" s="271" t="str">
        <f>IF(ISBLANK('ALL Other SINs - Proposal'!W371)," ",'ALL Other SINs - Proposal'!W371)</f>
        <v xml:space="preserve"> </v>
      </c>
      <c r="J371" s="71" t="str">
        <f>IF(ISBLANK('ALL Other SINs - Proposal'!X371)," ",'ALL Other SINs - Proposal'!X371)</f>
        <v xml:space="preserve"> </v>
      </c>
      <c r="K371" s="165" t="str">
        <f>IF(ISBLANK('ALL Other SINs - Proposal'!AA371)," ",'ALL Other SINs - Proposal'!AA371)</f>
        <v xml:space="preserve"> </v>
      </c>
      <c r="L371" s="178" t="str">
        <f>IF(ISBLANK('ALL Other SINs - Proposal'!AB371)," ",'ALL Other SINs - Proposal'!AB371)</f>
        <v xml:space="preserve"> </v>
      </c>
      <c r="M371" s="72" t="str">
        <f t="shared" si="10"/>
        <v xml:space="preserve"> </v>
      </c>
      <c r="N371" s="167" t="str">
        <f t="shared" si="11"/>
        <v xml:space="preserve"> </v>
      </c>
    </row>
    <row r="372" spans="1:14" ht="15" x14ac:dyDescent="0.25">
      <c r="A372" s="131" t="str">
        <f>IF(ISBLANK('ALL Other SINs - Proposal'!A372)," ",'ALL Other SINs - Proposal'!A372)</f>
        <v xml:space="preserve"> </v>
      </c>
      <c r="B372" s="137" t="str">
        <f>IF(ISBLANK('ALL Other SINs - Proposal'!B372)," ",'ALL Other SINs - Proposal'!B372)</f>
        <v xml:space="preserve"> </v>
      </c>
      <c r="C372" s="137" t="str">
        <f>IF(ISBLANK('ALL Other SINs - Proposal'!C372)," ",'ALL Other SINs - Proposal'!C372)</f>
        <v xml:space="preserve"> </v>
      </c>
      <c r="D372" s="138" t="str">
        <f>IF(ISBLANK('ALL Other SINs - Proposal'!D372)," ",'ALL Other SINs - Proposal'!D372)</f>
        <v xml:space="preserve"> </v>
      </c>
      <c r="E372" s="69" t="str">
        <f>IF(ISBLANK('ALL Other SINs - Proposal'!R372)," ",'ALL Other SINs - Proposal'!R372)</f>
        <v xml:space="preserve"> </v>
      </c>
      <c r="F372" s="73" t="str">
        <f>IF(ISBLANK('ALL Other SINs - Proposal'!S372)," ",'ALL Other SINs - Proposal'!S372)</f>
        <v xml:space="preserve"> </v>
      </c>
      <c r="G372" s="173" t="str">
        <f>IF(ISBLANK('ALL Other SINs - Proposal'!T372)," ",'ALL Other SINs - Proposal'!T372)</f>
        <v xml:space="preserve"> </v>
      </c>
      <c r="H372" s="275" t="str">
        <f>IF(ISBLANK('ALL Other SINs - Proposal'!V372)," ",'ALL Other SINs - Proposal'!V372)</f>
        <v xml:space="preserve"> </v>
      </c>
      <c r="I372" s="271" t="str">
        <f>IF(ISBLANK('ALL Other SINs - Proposal'!W372)," ",'ALL Other SINs - Proposal'!W372)</f>
        <v xml:space="preserve"> </v>
      </c>
      <c r="J372" s="71" t="str">
        <f>IF(ISBLANK('ALL Other SINs - Proposal'!X372)," ",'ALL Other SINs - Proposal'!X372)</f>
        <v xml:space="preserve"> </v>
      </c>
      <c r="K372" s="165" t="str">
        <f>IF(ISBLANK('ALL Other SINs - Proposal'!AA372)," ",'ALL Other SINs - Proposal'!AA372)</f>
        <v xml:space="preserve"> </v>
      </c>
      <c r="L372" s="178" t="str">
        <f>IF(ISBLANK('ALL Other SINs - Proposal'!AB372)," ",'ALL Other SINs - Proposal'!AB372)</f>
        <v xml:space="preserve"> </v>
      </c>
      <c r="M372" s="72" t="str">
        <f t="shared" si="10"/>
        <v xml:space="preserve"> </v>
      </c>
      <c r="N372" s="167" t="str">
        <f t="shared" si="11"/>
        <v xml:space="preserve"> </v>
      </c>
    </row>
    <row r="373" spans="1:14" ht="15" x14ac:dyDescent="0.25">
      <c r="A373" s="131" t="str">
        <f>IF(ISBLANK('ALL Other SINs - Proposal'!A373)," ",'ALL Other SINs - Proposal'!A373)</f>
        <v xml:space="preserve"> </v>
      </c>
      <c r="B373" s="137" t="str">
        <f>IF(ISBLANK('ALL Other SINs - Proposal'!B373)," ",'ALL Other SINs - Proposal'!B373)</f>
        <v xml:space="preserve"> </v>
      </c>
      <c r="C373" s="137" t="str">
        <f>IF(ISBLANK('ALL Other SINs - Proposal'!C373)," ",'ALL Other SINs - Proposal'!C373)</f>
        <v xml:space="preserve"> </v>
      </c>
      <c r="D373" s="138" t="str">
        <f>IF(ISBLANK('ALL Other SINs - Proposal'!D373)," ",'ALL Other SINs - Proposal'!D373)</f>
        <v xml:space="preserve"> </v>
      </c>
      <c r="E373" s="69" t="str">
        <f>IF(ISBLANK('ALL Other SINs - Proposal'!R373)," ",'ALL Other SINs - Proposal'!R373)</f>
        <v xml:space="preserve"> </v>
      </c>
      <c r="F373" s="73" t="str">
        <f>IF(ISBLANK('ALL Other SINs - Proposal'!S373)," ",'ALL Other SINs - Proposal'!S373)</f>
        <v xml:space="preserve"> </v>
      </c>
      <c r="G373" s="173" t="str">
        <f>IF(ISBLANK('ALL Other SINs - Proposal'!T373)," ",'ALL Other SINs - Proposal'!T373)</f>
        <v xml:space="preserve"> </v>
      </c>
      <c r="H373" s="275" t="str">
        <f>IF(ISBLANK('ALL Other SINs - Proposal'!V373)," ",'ALL Other SINs - Proposal'!V373)</f>
        <v xml:space="preserve"> </v>
      </c>
      <c r="I373" s="271" t="str">
        <f>IF(ISBLANK('ALL Other SINs - Proposal'!W373)," ",'ALL Other SINs - Proposal'!W373)</f>
        <v xml:space="preserve"> </v>
      </c>
      <c r="J373" s="71" t="str">
        <f>IF(ISBLANK('ALL Other SINs - Proposal'!X373)," ",'ALL Other SINs - Proposal'!X373)</f>
        <v xml:space="preserve"> </v>
      </c>
      <c r="K373" s="165" t="str">
        <f>IF(ISBLANK('ALL Other SINs - Proposal'!AA373)," ",'ALL Other SINs - Proposal'!AA373)</f>
        <v xml:space="preserve"> </v>
      </c>
      <c r="L373" s="178" t="str">
        <f>IF(ISBLANK('ALL Other SINs - Proposal'!AB373)," ",'ALL Other SINs - Proposal'!AB373)</f>
        <v xml:space="preserve"> </v>
      </c>
      <c r="M373" s="72" t="str">
        <f t="shared" si="10"/>
        <v xml:space="preserve"> </v>
      </c>
      <c r="N373" s="167" t="str">
        <f t="shared" si="11"/>
        <v xml:space="preserve"> </v>
      </c>
    </row>
    <row r="374" spans="1:14" ht="15" x14ac:dyDescent="0.25">
      <c r="A374" s="131" t="str">
        <f>IF(ISBLANK('ALL Other SINs - Proposal'!A374)," ",'ALL Other SINs - Proposal'!A374)</f>
        <v xml:space="preserve"> </v>
      </c>
      <c r="B374" s="137" t="str">
        <f>IF(ISBLANK('ALL Other SINs - Proposal'!B374)," ",'ALL Other SINs - Proposal'!B374)</f>
        <v xml:space="preserve"> </v>
      </c>
      <c r="C374" s="137" t="str">
        <f>IF(ISBLANK('ALL Other SINs - Proposal'!C374)," ",'ALL Other SINs - Proposal'!C374)</f>
        <v xml:space="preserve"> </v>
      </c>
      <c r="D374" s="138" t="str">
        <f>IF(ISBLANK('ALL Other SINs - Proposal'!D374)," ",'ALL Other SINs - Proposal'!D374)</f>
        <v xml:space="preserve"> </v>
      </c>
      <c r="E374" s="69" t="str">
        <f>IF(ISBLANK('ALL Other SINs - Proposal'!R374)," ",'ALL Other SINs - Proposal'!R374)</f>
        <v xml:space="preserve"> </v>
      </c>
      <c r="F374" s="73" t="str">
        <f>IF(ISBLANK('ALL Other SINs - Proposal'!S374)," ",'ALL Other SINs - Proposal'!S374)</f>
        <v xml:space="preserve"> </v>
      </c>
      <c r="G374" s="173" t="str">
        <f>IF(ISBLANK('ALL Other SINs - Proposal'!T374)," ",'ALL Other SINs - Proposal'!T374)</f>
        <v xml:space="preserve"> </v>
      </c>
      <c r="H374" s="275" t="str">
        <f>IF(ISBLANK('ALL Other SINs - Proposal'!V374)," ",'ALL Other SINs - Proposal'!V374)</f>
        <v xml:space="preserve"> </v>
      </c>
      <c r="I374" s="271" t="str">
        <f>IF(ISBLANK('ALL Other SINs - Proposal'!W374)," ",'ALL Other SINs - Proposal'!W374)</f>
        <v xml:space="preserve"> </v>
      </c>
      <c r="J374" s="71" t="str">
        <f>IF(ISBLANK('ALL Other SINs - Proposal'!X374)," ",'ALL Other SINs - Proposal'!X374)</f>
        <v xml:space="preserve"> </v>
      </c>
      <c r="K374" s="165" t="str">
        <f>IF(ISBLANK('ALL Other SINs - Proposal'!AA374)," ",'ALL Other SINs - Proposal'!AA374)</f>
        <v xml:space="preserve"> </v>
      </c>
      <c r="L374" s="178" t="str">
        <f>IF(ISBLANK('ALL Other SINs - Proposal'!AB374)," ",'ALL Other SINs - Proposal'!AB374)</f>
        <v xml:space="preserve"> </v>
      </c>
      <c r="M374" s="72" t="str">
        <f t="shared" si="10"/>
        <v xml:space="preserve"> </v>
      </c>
      <c r="N374" s="167" t="str">
        <f t="shared" si="11"/>
        <v xml:space="preserve"> </v>
      </c>
    </row>
    <row r="375" spans="1:14" ht="15" x14ac:dyDescent="0.25">
      <c r="A375" s="131" t="str">
        <f>IF(ISBLANK('ALL Other SINs - Proposal'!A375)," ",'ALL Other SINs - Proposal'!A375)</f>
        <v xml:space="preserve"> </v>
      </c>
      <c r="B375" s="137" t="str">
        <f>IF(ISBLANK('ALL Other SINs - Proposal'!B375)," ",'ALL Other SINs - Proposal'!B375)</f>
        <v xml:space="preserve"> </v>
      </c>
      <c r="C375" s="137" t="str">
        <f>IF(ISBLANK('ALL Other SINs - Proposal'!C375)," ",'ALL Other SINs - Proposal'!C375)</f>
        <v xml:space="preserve"> </v>
      </c>
      <c r="D375" s="138" t="str">
        <f>IF(ISBLANK('ALL Other SINs - Proposal'!D375)," ",'ALL Other SINs - Proposal'!D375)</f>
        <v xml:space="preserve"> </v>
      </c>
      <c r="E375" s="69" t="str">
        <f>IF(ISBLANK('ALL Other SINs - Proposal'!R375)," ",'ALL Other SINs - Proposal'!R375)</f>
        <v xml:space="preserve"> </v>
      </c>
      <c r="F375" s="73" t="str">
        <f>IF(ISBLANK('ALL Other SINs - Proposal'!S375)," ",'ALL Other SINs - Proposal'!S375)</f>
        <v xml:space="preserve"> </v>
      </c>
      <c r="G375" s="173" t="str">
        <f>IF(ISBLANK('ALL Other SINs - Proposal'!T375)," ",'ALL Other SINs - Proposal'!T375)</f>
        <v xml:space="preserve"> </v>
      </c>
      <c r="H375" s="275" t="str">
        <f>IF(ISBLANK('ALL Other SINs - Proposal'!V375)," ",'ALL Other SINs - Proposal'!V375)</f>
        <v xml:space="preserve"> </v>
      </c>
      <c r="I375" s="271" t="str">
        <f>IF(ISBLANK('ALL Other SINs - Proposal'!W375)," ",'ALL Other SINs - Proposal'!W375)</f>
        <v xml:space="preserve"> </v>
      </c>
      <c r="J375" s="71" t="str">
        <f>IF(ISBLANK('ALL Other SINs - Proposal'!X375)," ",'ALL Other SINs - Proposal'!X375)</f>
        <v xml:space="preserve"> </v>
      </c>
      <c r="K375" s="165" t="str">
        <f>IF(ISBLANK('ALL Other SINs - Proposal'!AA375)," ",'ALL Other SINs - Proposal'!AA375)</f>
        <v xml:space="preserve"> </v>
      </c>
      <c r="L375" s="178" t="str">
        <f>IF(ISBLANK('ALL Other SINs - Proposal'!AB375)," ",'ALL Other SINs - Proposal'!AB375)</f>
        <v xml:space="preserve"> </v>
      </c>
      <c r="M375" s="72" t="str">
        <f t="shared" si="10"/>
        <v xml:space="preserve"> </v>
      </c>
      <c r="N375" s="167" t="str">
        <f t="shared" si="11"/>
        <v xml:space="preserve"> </v>
      </c>
    </row>
    <row r="376" spans="1:14" ht="15" x14ac:dyDescent="0.25">
      <c r="A376" s="131" t="str">
        <f>IF(ISBLANK('ALL Other SINs - Proposal'!A376)," ",'ALL Other SINs - Proposal'!A376)</f>
        <v xml:space="preserve"> </v>
      </c>
      <c r="B376" s="137" t="str">
        <f>IF(ISBLANK('ALL Other SINs - Proposal'!B376)," ",'ALL Other SINs - Proposal'!B376)</f>
        <v xml:space="preserve"> </v>
      </c>
      <c r="C376" s="137" t="str">
        <f>IF(ISBLANK('ALL Other SINs - Proposal'!C376)," ",'ALL Other SINs - Proposal'!C376)</f>
        <v xml:space="preserve"> </v>
      </c>
      <c r="D376" s="138" t="str">
        <f>IF(ISBLANK('ALL Other SINs - Proposal'!D376)," ",'ALL Other SINs - Proposal'!D376)</f>
        <v xml:space="preserve"> </v>
      </c>
      <c r="E376" s="69" t="str">
        <f>IF(ISBLANK('ALL Other SINs - Proposal'!R376)," ",'ALL Other SINs - Proposal'!R376)</f>
        <v xml:space="preserve"> </v>
      </c>
      <c r="F376" s="73" t="str">
        <f>IF(ISBLANK('ALL Other SINs - Proposal'!S376)," ",'ALL Other SINs - Proposal'!S376)</f>
        <v xml:space="preserve"> </v>
      </c>
      <c r="G376" s="173" t="str">
        <f>IF(ISBLANK('ALL Other SINs - Proposal'!T376)," ",'ALL Other SINs - Proposal'!T376)</f>
        <v xml:space="preserve"> </v>
      </c>
      <c r="H376" s="275" t="str">
        <f>IF(ISBLANK('ALL Other SINs - Proposal'!V376)," ",'ALL Other SINs - Proposal'!V376)</f>
        <v xml:space="preserve"> </v>
      </c>
      <c r="I376" s="271" t="str">
        <f>IF(ISBLANK('ALL Other SINs - Proposal'!W376)," ",'ALL Other SINs - Proposal'!W376)</f>
        <v xml:space="preserve"> </v>
      </c>
      <c r="J376" s="71" t="str">
        <f>IF(ISBLANK('ALL Other SINs - Proposal'!X376)," ",'ALL Other SINs - Proposal'!X376)</f>
        <v xml:space="preserve"> </v>
      </c>
      <c r="K376" s="165" t="str">
        <f>IF(ISBLANK('ALL Other SINs - Proposal'!AA376)," ",'ALL Other SINs - Proposal'!AA376)</f>
        <v xml:space="preserve"> </v>
      </c>
      <c r="L376" s="178" t="str">
        <f>IF(ISBLANK('ALL Other SINs - Proposal'!AB376)," ",'ALL Other SINs - Proposal'!AB376)</f>
        <v xml:space="preserve"> </v>
      </c>
      <c r="M376" s="72" t="str">
        <f t="shared" si="10"/>
        <v xml:space="preserve"> </v>
      </c>
      <c r="N376" s="167" t="str">
        <f t="shared" si="11"/>
        <v xml:space="preserve"> </v>
      </c>
    </row>
    <row r="377" spans="1:14" ht="15" x14ac:dyDescent="0.25">
      <c r="A377" s="131" t="str">
        <f>IF(ISBLANK('ALL Other SINs - Proposal'!A377)," ",'ALL Other SINs - Proposal'!A377)</f>
        <v xml:space="preserve"> </v>
      </c>
      <c r="B377" s="137" t="str">
        <f>IF(ISBLANK('ALL Other SINs - Proposal'!B377)," ",'ALL Other SINs - Proposal'!B377)</f>
        <v xml:space="preserve"> </v>
      </c>
      <c r="C377" s="137" t="str">
        <f>IF(ISBLANK('ALL Other SINs - Proposal'!C377)," ",'ALL Other SINs - Proposal'!C377)</f>
        <v xml:space="preserve"> </v>
      </c>
      <c r="D377" s="138" t="str">
        <f>IF(ISBLANK('ALL Other SINs - Proposal'!D377)," ",'ALL Other SINs - Proposal'!D377)</f>
        <v xml:space="preserve"> </v>
      </c>
      <c r="E377" s="69" t="str">
        <f>IF(ISBLANK('ALL Other SINs - Proposal'!R377)," ",'ALL Other SINs - Proposal'!R377)</f>
        <v xml:space="preserve"> </v>
      </c>
      <c r="F377" s="73" t="str">
        <f>IF(ISBLANK('ALL Other SINs - Proposal'!S377)," ",'ALL Other SINs - Proposal'!S377)</f>
        <v xml:space="preserve"> </v>
      </c>
      <c r="G377" s="173" t="str">
        <f>IF(ISBLANK('ALL Other SINs - Proposal'!T377)," ",'ALL Other SINs - Proposal'!T377)</f>
        <v xml:space="preserve"> </v>
      </c>
      <c r="H377" s="275" t="str">
        <f>IF(ISBLANK('ALL Other SINs - Proposal'!V377)," ",'ALL Other SINs - Proposal'!V377)</f>
        <v xml:space="preserve"> </v>
      </c>
      <c r="I377" s="271" t="str">
        <f>IF(ISBLANK('ALL Other SINs - Proposal'!W377)," ",'ALL Other SINs - Proposal'!W377)</f>
        <v xml:space="preserve"> </v>
      </c>
      <c r="J377" s="71" t="str">
        <f>IF(ISBLANK('ALL Other SINs - Proposal'!X377)," ",'ALL Other SINs - Proposal'!X377)</f>
        <v xml:space="preserve"> </v>
      </c>
      <c r="K377" s="165" t="str">
        <f>IF(ISBLANK('ALL Other SINs - Proposal'!AA377)," ",'ALL Other SINs - Proposal'!AA377)</f>
        <v xml:space="preserve"> </v>
      </c>
      <c r="L377" s="178" t="str">
        <f>IF(ISBLANK('ALL Other SINs - Proposal'!AB377)," ",'ALL Other SINs - Proposal'!AB377)</f>
        <v xml:space="preserve"> </v>
      </c>
      <c r="M377" s="72" t="str">
        <f t="shared" si="10"/>
        <v xml:space="preserve"> </v>
      </c>
      <c r="N377" s="167" t="str">
        <f t="shared" si="11"/>
        <v xml:space="preserve"> </v>
      </c>
    </row>
    <row r="378" spans="1:14" ht="15" x14ac:dyDescent="0.25">
      <c r="A378" s="131" t="str">
        <f>IF(ISBLANK('ALL Other SINs - Proposal'!A378)," ",'ALL Other SINs - Proposal'!A378)</f>
        <v xml:space="preserve"> </v>
      </c>
      <c r="B378" s="137" t="str">
        <f>IF(ISBLANK('ALL Other SINs - Proposal'!B378)," ",'ALL Other SINs - Proposal'!B378)</f>
        <v xml:space="preserve"> </v>
      </c>
      <c r="C378" s="137" t="str">
        <f>IF(ISBLANK('ALL Other SINs - Proposal'!C378)," ",'ALL Other SINs - Proposal'!C378)</f>
        <v xml:space="preserve"> </v>
      </c>
      <c r="D378" s="138" t="str">
        <f>IF(ISBLANK('ALL Other SINs - Proposal'!D378)," ",'ALL Other SINs - Proposal'!D378)</f>
        <v xml:space="preserve"> </v>
      </c>
      <c r="E378" s="69" t="str">
        <f>IF(ISBLANK('ALL Other SINs - Proposal'!R378)," ",'ALL Other SINs - Proposal'!R378)</f>
        <v xml:space="preserve"> </v>
      </c>
      <c r="F378" s="73" t="str">
        <f>IF(ISBLANK('ALL Other SINs - Proposal'!S378)," ",'ALL Other SINs - Proposal'!S378)</f>
        <v xml:space="preserve"> </v>
      </c>
      <c r="G378" s="173" t="str">
        <f>IF(ISBLANK('ALL Other SINs - Proposal'!T378)," ",'ALL Other SINs - Proposal'!T378)</f>
        <v xml:space="preserve"> </v>
      </c>
      <c r="H378" s="275" t="str">
        <f>IF(ISBLANK('ALL Other SINs - Proposal'!V378)," ",'ALL Other SINs - Proposal'!V378)</f>
        <v xml:space="preserve"> </v>
      </c>
      <c r="I378" s="271" t="str">
        <f>IF(ISBLANK('ALL Other SINs - Proposal'!W378)," ",'ALL Other SINs - Proposal'!W378)</f>
        <v xml:space="preserve"> </v>
      </c>
      <c r="J378" s="71" t="str">
        <f>IF(ISBLANK('ALL Other SINs - Proposal'!X378)," ",'ALL Other SINs - Proposal'!X378)</f>
        <v xml:space="preserve"> </v>
      </c>
      <c r="K378" s="165" t="str">
        <f>IF(ISBLANK('ALL Other SINs - Proposal'!AA378)," ",'ALL Other SINs - Proposal'!AA378)</f>
        <v xml:space="preserve"> </v>
      </c>
      <c r="L378" s="178" t="str">
        <f>IF(ISBLANK('ALL Other SINs - Proposal'!AB378)," ",'ALL Other SINs - Proposal'!AB378)</f>
        <v xml:space="preserve"> </v>
      </c>
      <c r="M378" s="72" t="str">
        <f t="shared" si="10"/>
        <v xml:space="preserve"> </v>
      </c>
      <c r="N378" s="167" t="str">
        <f t="shared" si="11"/>
        <v xml:space="preserve"> </v>
      </c>
    </row>
    <row r="379" spans="1:14" ht="15" x14ac:dyDescent="0.25">
      <c r="A379" s="131" t="str">
        <f>IF(ISBLANK('ALL Other SINs - Proposal'!A379)," ",'ALL Other SINs - Proposal'!A379)</f>
        <v xml:space="preserve"> </v>
      </c>
      <c r="B379" s="137" t="str">
        <f>IF(ISBLANK('ALL Other SINs - Proposal'!B379)," ",'ALL Other SINs - Proposal'!B379)</f>
        <v xml:space="preserve"> </v>
      </c>
      <c r="C379" s="137" t="str">
        <f>IF(ISBLANK('ALL Other SINs - Proposal'!C379)," ",'ALL Other SINs - Proposal'!C379)</f>
        <v xml:space="preserve"> </v>
      </c>
      <c r="D379" s="138" t="str">
        <f>IF(ISBLANK('ALL Other SINs - Proposal'!D379)," ",'ALL Other SINs - Proposal'!D379)</f>
        <v xml:space="preserve"> </v>
      </c>
      <c r="E379" s="69" t="str">
        <f>IF(ISBLANK('ALL Other SINs - Proposal'!R379)," ",'ALL Other SINs - Proposal'!R379)</f>
        <v xml:space="preserve"> </v>
      </c>
      <c r="F379" s="73" t="str">
        <f>IF(ISBLANK('ALL Other SINs - Proposal'!S379)," ",'ALL Other SINs - Proposal'!S379)</f>
        <v xml:space="preserve"> </v>
      </c>
      <c r="G379" s="173" t="str">
        <f>IF(ISBLANK('ALL Other SINs - Proposal'!T379)," ",'ALL Other SINs - Proposal'!T379)</f>
        <v xml:space="preserve"> </v>
      </c>
      <c r="H379" s="275" t="str">
        <f>IF(ISBLANK('ALL Other SINs - Proposal'!V379)," ",'ALL Other SINs - Proposal'!V379)</f>
        <v xml:space="preserve"> </v>
      </c>
      <c r="I379" s="271" t="str">
        <f>IF(ISBLANK('ALL Other SINs - Proposal'!W379)," ",'ALL Other SINs - Proposal'!W379)</f>
        <v xml:space="preserve"> </v>
      </c>
      <c r="J379" s="71" t="str">
        <f>IF(ISBLANK('ALL Other SINs - Proposal'!X379)," ",'ALL Other SINs - Proposal'!X379)</f>
        <v xml:space="preserve"> </v>
      </c>
      <c r="K379" s="165" t="str">
        <f>IF(ISBLANK('ALL Other SINs - Proposal'!AA379)," ",'ALL Other SINs - Proposal'!AA379)</f>
        <v xml:space="preserve"> </v>
      </c>
      <c r="L379" s="178" t="str">
        <f>IF(ISBLANK('ALL Other SINs - Proposal'!AB379)," ",'ALL Other SINs - Proposal'!AB379)</f>
        <v xml:space="preserve"> </v>
      </c>
      <c r="M379" s="72" t="str">
        <f t="shared" si="10"/>
        <v xml:space="preserve"> </v>
      </c>
      <c r="N379" s="167" t="str">
        <f t="shared" si="11"/>
        <v xml:space="preserve"> </v>
      </c>
    </row>
    <row r="380" spans="1:14" ht="15" x14ac:dyDescent="0.25">
      <c r="A380" s="131" t="str">
        <f>IF(ISBLANK('ALL Other SINs - Proposal'!A380)," ",'ALL Other SINs - Proposal'!A380)</f>
        <v xml:space="preserve"> </v>
      </c>
      <c r="B380" s="137" t="str">
        <f>IF(ISBLANK('ALL Other SINs - Proposal'!B380)," ",'ALL Other SINs - Proposal'!B380)</f>
        <v xml:space="preserve"> </v>
      </c>
      <c r="C380" s="137" t="str">
        <f>IF(ISBLANK('ALL Other SINs - Proposal'!C380)," ",'ALL Other SINs - Proposal'!C380)</f>
        <v xml:space="preserve"> </v>
      </c>
      <c r="D380" s="138" t="str">
        <f>IF(ISBLANK('ALL Other SINs - Proposal'!D380)," ",'ALL Other SINs - Proposal'!D380)</f>
        <v xml:space="preserve"> </v>
      </c>
      <c r="E380" s="69" t="str">
        <f>IF(ISBLANK('ALL Other SINs - Proposal'!R380)," ",'ALL Other SINs - Proposal'!R380)</f>
        <v xml:space="preserve"> </v>
      </c>
      <c r="F380" s="73" t="str">
        <f>IF(ISBLANK('ALL Other SINs - Proposal'!S380)," ",'ALL Other SINs - Proposal'!S380)</f>
        <v xml:space="preserve"> </v>
      </c>
      <c r="G380" s="173" t="str">
        <f>IF(ISBLANK('ALL Other SINs - Proposal'!T380)," ",'ALL Other SINs - Proposal'!T380)</f>
        <v xml:space="preserve"> </v>
      </c>
      <c r="H380" s="275" t="str">
        <f>IF(ISBLANK('ALL Other SINs - Proposal'!V380)," ",'ALL Other SINs - Proposal'!V380)</f>
        <v xml:space="preserve"> </v>
      </c>
      <c r="I380" s="271" t="str">
        <f>IF(ISBLANK('ALL Other SINs - Proposal'!W380)," ",'ALL Other SINs - Proposal'!W380)</f>
        <v xml:space="preserve"> </v>
      </c>
      <c r="J380" s="71" t="str">
        <f>IF(ISBLANK('ALL Other SINs - Proposal'!X380)," ",'ALL Other SINs - Proposal'!X380)</f>
        <v xml:space="preserve"> </v>
      </c>
      <c r="K380" s="165" t="str">
        <f>IF(ISBLANK('ALL Other SINs - Proposal'!AA380)," ",'ALL Other SINs - Proposal'!AA380)</f>
        <v xml:space="preserve"> </v>
      </c>
      <c r="L380" s="178" t="str">
        <f>IF(ISBLANK('ALL Other SINs - Proposal'!AB380)," ",'ALL Other SINs - Proposal'!AB380)</f>
        <v xml:space="preserve"> </v>
      </c>
      <c r="M380" s="72" t="str">
        <f t="shared" si="10"/>
        <v xml:space="preserve"> </v>
      </c>
      <c r="N380" s="167" t="str">
        <f t="shared" si="11"/>
        <v xml:space="preserve"> </v>
      </c>
    </row>
    <row r="381" spans="1:14" ht="15" x14ac:dyDescent="0.25">
      <c r="A381" s="131" t="str">
        <f>IF(ISBLANK('ALL Other SINs - Proposal'!A381)," ",'ALL Other SINs - Proposal'!A381)</f>
        <v xml:space="preserve"> </v>
      </c>
      <c r="B381" s="137" t="str">
        <f>IF(ISBLANK('ALL Other SINs - Proposal'!B381)," ",'ALL Other SINs - Proposal'!B381)</f>
        <v xml:space="preserve"> </v>
      </c>
      <c r="C381" s="137" t="str">
        <f>IF(ISBLANK('ALL Other SINs - Proposal'!C381)," ",'ALL Other SINs - Proposal'!C381)</f>
        <v xml:space="preserve"> </v>
      </c>
      <c r="D381" s="138" t="str">
        <f>IF(ISBLANK('ALL Other SINs - Proposal'!D381)," ",'ALL Other SINs - Proposal'!D381)</f>
        <v xml:space="preserve"> </v>
      </c>
      <c r="E381" s="69" t="str">
        <f>IF(ISBLANK('ALL Other SINs - Proposal'!R381)," ",'ALL Other SINs - Proposal'!R381)</f>
        <v xml:space="preserve"> </v>
      </c>
      <c r="F381" s="73" t="str">
        <f>IF(ISBLANK('ALL Other SINs - Proposal'!S381)," ",'ALL Other SINs - Proposal'!S381)</f>
        <v xml:space="preserve"> </v>
      </c>
      <c r="G381" s="173" t="str">
        <f>IF(ISBLANK('ALL Other SINs - Proposal'!T381)," ",'ALL Other SINs - Proposal'!T381)</f>
        <v xml:space="preserve"> </v>
      </c>
      <c r="H381" s="275" t="str">
        <f>IF(ISBLANK('ALL Other SINs - Proposal'!V381)," ",'ALL Other SINs - Proposal'!V381)</f>
        <v xml:space="preserve"> </v>
      </c>
      <c r="I381" s="271" t="str">
        <f>IF(ISBLANK('ALL Other SINs - Proposal'!W381)," ",'ALL Other SINs - Proposal'!W381)</f>
        <v xml:space="preserve"> </v>
      </c>
      <c r="J381" s="71" t="str">
        <f>IF(ISBLANK('ALL Other SINs - Proposal'!X381)," ",'ALL Other SINs - Proposal'!X381)</f>
        <v xml:space="preserve"> </v>
      </c>
      <c r="K381" s="165" t="str">
        <f>IF(ISBLANK('ALL Other SINs - Proposal'!AA381)," ",'ALL Other SINs - Proposal'!AA381)</f>
        <v xml:space="preserve"> </v>
      </c>
      <c r="L381" s="178" t="str">
        <f>IF(ISBLANK('ALL Other SINs - Proposal'!AB381)," ",'ALL Other SINs - Proposal'!AB381)</f>
        <v xml:space="preserve"> </v>
      </c>
      <c r="M381" s="72" t="str">
        <f t="shared" si="10"/>
        <v xml:space="preserve"> </v>
      </c>
      <c r="N381" s="167" t="str">
        <f t="shared" si="11"/>
        <v xml:space="preserve"> </v>
      </c>
    </row>
    <row r="382" spans="1:14" ht="15" x14ac:dyDescent="0.25">
      <c r="A382" s="131" t="str">
        <f>IF(ISBLANK('ALL Other SINs - Proposal'!A382)," ",'ALL Other SINs - Proposal'!A382)</f>
        <v xml:space="preserve"> </v>
      </c>
      <c r="B382" s="137" t="str">
        <f>IF(ISBLANK('ALL Other SINs - Proposal'!B382)," ",'ALL Other SINs - Proposal'!B382)</f>
        <v xml:space="preserve"> </v>
      </c>
      <c r="C382" s="137" t="str">
        <f>IF(ISBLANK('ALL Other SINs - Proposal'!C382)," ",'ALL Other SINs - Proposal'!C382)</f>
        <v xml:space="preserve"> </v>
      </c>
      <c r="D382" s="138" t="str">
        <f>IF(ISBLANK('ALL Other SINs - Proposal'!D382)," ",'ALL Other SINs - Proposal'!D382)</f>
        <v xml:space="preserve"> </v>
      </c>
      <c r="E382" s="69" t="str">
        <f>IF(ISBLANK('ALL Other SINs - Proposal'!R382)," ",'ALL Other SINs - Proposal'!R382)</f>
        <v xml:space="preserve"> </v>
      </c>
      <c r="F382" s="73" t="str">
        <f>IF(ISBLANK('ALL Other SINs - Proposal'!S382)," ",'ALL Other SINs - Proposal'!S382)</f>
        <v xml:space="preserve"> </v>
      </c>
      <c r="G382" s="173" t="str">
        <f>IF(ISBLANK('ALL Other SINs - Proposal'!T382)," ",'ALL Other SINs - Proposal'!T382)</f>
        <v xml:space="preserve"> </v>
      </c>
      <c r="H382" s="275" t="str">
        <f>IF(ISBLANK('ALL Other SINs - Proposal'!V382)," ",'ALL Other SINs - Proposal'!V382)</f>
        <v xml:space="preserve"> </v>
      </c>
      <c r="I382" s="271" t="str">
        <f>IF(ISBLANK('ALL Other SINs - Proposal'!W382)," ",'ALL Other SINs - Proposal'!W382)</f>
        <v xml:space="preserve"> </v>
      </c>
      <c r="J382" s="71" t="str">
        <f>IF(ISBLANK('ALL Other SINs - Proposal'!X382)," ",'ALL Other SINs - Proposal'!X382)</f>
        <v xml:space="preserve"> </v>
      </c>
      <c r="K382" s="165" t="str">
        <f>IF(ISBLANK('ALL Other SINs - Proposal'!AA382)," ",'ALL Other SINs - Proposal'!AA382)</f>
        <v xml:space="preserve"> </v>
      </c>
      <c r="L382" s="178" t="str">
        <f>IF(ISBLANK('ALL Other SINs - Proposal'!AB382)," ",'ALL Other SINs - Proposal'!AB382)</f>
        <v xml:space="preserve"> </v>
      </c>
      <c r="M382" s="72" t="str">
        <f t="shared" si="10"/>
        <v xml:space="preserve"> </v>
      </c>
      <c r="N382" s="167" t="str">
        <f t="shared" si="11"/>
        <v xml:space="preserve"> </v>
      </c>
    </row>
    <row r="383" spans="1:14" ht="15" x14ac:dyDescent="0.25">
      <c r="A383" s="131" t="str">
        <f>IF(ISBLANK('ALL Other SINs - Proposal'!A383)," ",'ALL Other SINs - Proposal'!A383)</f>
        <v xml:space="preserve"> </v>
      </c>
      <c r="B383" s="137" t="str">
        <f>IF(ISBLANK('ALL Other SINs - Proposal'!B383)," ",'ALL Other SINs - Proposal'!B383)</f>
        <v xml:space="preserve"> </v>
      </c>
      <c r="C383" s="137" t="str">
        <f>IF(ISBLANK('ALL Other SINs - Proposal'!C383)," ",'ALL Other SINs - Proposal'!C383)</f>
        <v xml:space="preserve"> </v>
      </c>
      <c r="D383" s="138" t="str">
        <f>IF(ISBLANK('ALL Other SINs - Proposal'!D383)," ",'ALL Other SINs - Proposal'!D383)</f>
        <v xml:space="preserve"> </v>
      </c>
      <c r="E383" s="69" t="str">
        <f>IF(ISBLANK('ALL Other SINs - Proposal'!R383)," ",'ALL Other SINs - Proposal'!R383)</f>
        <v xml:space="preserve"> </v>
      </c>
      <c r="F383" s="73" t="str">
        <f>IF(ISBLANK('ALL Other SINs - Proposal'!S383)," ",'ALL Other SINs - Proposal'!S383)</f>
        <v xml:space="preserve"> </v>
      </c>
      <c r="G383" s="173" t="str">
        <f>IF(ISBLANK('ALL Other SINs - Proposal'!T383)," ",'ALL Other SINs - Proposal'!T383)</f>
        <v xml:space="preserve"> </v>
      </c>
      <c r="H383" s="275" t="str">
        <f>IF(ISBLANK('ALL Other SINs - Proposal'!V383)," ",'ALL Other SINs - Proposal'!V383)</f>
        <v xml:space="preserve"> </v>
      </c>
      <c r="I383" s="271" t="str">
        <f>IF(ISBLANK('ALL Other SINs - Proposal'!W383)," ",'ALL Other SINs - Proposal'!W383)</f>
        <v xml:space="preserve"> </v>
      </c>
      <c r="J383" s="71" t="str">
        <f>IF(ISBLANK('ALL Other SINs - Proposal'!X383)," ",'ALL Other SINs - Proposal'!X383)</f>
        <v xml:space="preserve"> </v>
      </c>
      <c r="K383" s="165" t="str">
        <f>IF(ISBLANK('ALL Other SINs - Proposal'!AA383)," ",'ALL Other SINs - Proposal'!AA383)</f>
        <v xml:space="preserve"> </v>
      </c>
      <c r="L383" s="178" t="str">
        <f>IF(ISBLANK('ALL Other SINs - Proposal'!AB383)," ",'ALL Other SINs - Proposal'!AB383)</f>
        <v xml:space="preserve"> </v>
      </c>
      <c r="M383" s="72" t="str">
        <f t="shared" si="10"/>
        <v xml:space="preserve"> </v>
      </c>
      <c r="N383" s="167" t="str">
        <f t="shared" si="11"/>
        <v xml:space="preserve"> </v>
      </c>
    </row>
    <row r="384" spans="1:14" ht="15" x14ac:dyDescent="0.25">
      <c r="A384" s="131" t="str">
        <f>IF(ISBLANK('ALL Other SINs - Proposal'!A384)," ",'ALL Other SINs - Proposal'!A384)</f>
        <v xml:space="preserve"> </v>
      </c>
      <c r="B384" s="137" t="str">
        <f>IF(ISBLANK('ALL Other SINs - Proposal'!B384)," ",'ALL Other SINs - Proposal'!B384)</f>
        <v xml:space="preserve"> </v>
      </c>
      <c r="C384" s="137" t="str">
        <f>IF(ISBLANK('ALL Other SINs - Proposal'!C384)," ",'ALL Other SINs - Proposal'!C384)</f>
        <v xml:space="preserve"> </v>
      </c>
      <c r="D384" s="138" t="str">
        <f>IF(ISBLANK('ALL Other SINs - Proposal'!D384)," ",'ALL Other SINs - Proposal'!D384)</f>
        <v xml:space="preserve"> </v>
      </c>
      <c r="E384" s="69" t="str">
        <f>IF(ISBLANK('ALL Other SINs - Proposal'!R384)," ",'ALL Other SINs - Proposal'!R384)</f>
        <v xml:space="preserve"> </v>
      </c>
      <c r="F384" s="73" t="str">
        <f>IF(ISBLANK('ALL Other SINs - Proposal'!S384)," ",'ALL Other SINs - Proposal'!S384)</f>
        <v xml:space="preserve"> </v>
      </c>
      <c r="G384" s="173" t="str">
        <f>IF(ISBLANK('ALL Other SINs - Proposal'!T384)," ",'ALL Other SINs - Proposal'!T384)</f>
        <v xml:space="preserve"> </v>
      </c>
      <c r="H384" s="275" t="str">
        <f>IF(ISBLANK('ALL Other SINs - Proposal'!V384)," ",'ALL Other SINs - Proposal'!V384)</f>
        <v xml:space="preserve"> </v>
      </c>
      <c r="I384" s="271" t="str">
        <f>IF(ISBLANK('ALL Other SINs - Proposal'!W384)," ",'ALL Other SINs - Proposal'!W384)</f>
        <v xml:space="preserve"> </v>
      </c>
      <c r="J384" s="71" t="str">
        <f>IF(ISBLANK('ALL Other SINs - Proposal'!X384)," ",'ALL Other SINs - Proposal'!X384)</f>
        <v xml:space="preserve"> </v>
      </c>
      <c r="K384" s="165" t="str">
        <f>IF(ISBLANK('ALL Other SINs - Proposal'!AA384)," ",'ALL Other SINs - Proposal'!AA384)</f>
        <v xml:space="preserve"> </v>
      </c>
      <c r="L384" s="178" t="str">
        <f>IF(ISBLANK('ALL Other SINs - Proposal'!AB384)," ",'ALL Other SINs - Proposal'!AB384)</f>
        <v xml:space="preserve"> </v>
      </c>
      <c r="M384" s="72" t="str">
        <f t="shared" si="10"/>
        <v xml:space="preserve"> </v>
      </c>
      <c r="N384" s="167" t="str">
        <f t="shared" si="11"/>
        <v xml:space="preserve"> </v>
      </c>
    </row>
    <row r="385" spans="1:14" ht="15" x14ac:dyDescent="0.25">
      <c r="A385" s="131" t="str">
        <f>IF(ISBLANK('ALL Other SINs - Proposal'!A385)," ",'ALL Other SINs - Proposal'!A385)</f>
        <v xml:space="preserve"> </v>
      </c>
      <c r="B385" s="137" t="str">
        <f>IF(ISBLANK('ALL Other SINs - Proposal'!B385)," ",'ALL Other SINs - Proposal'!B385)</f>
        <v xml:space="preserve"> </v>
      </c>
      <c r="C385" s="137" t="str">
        <f>IF(ISBLANK('ALL Other SINs - Proposal'!C385)," ",'ALL Other SINs - Proposal'!C385)</f>
        <v xml:space="preserve"> </v>
      </c>
      <c r="D385" s="138" t="str">
        <f>IF(ISBLANK('ALL Other SINs - Proposal'!D385)," ",'ALL Other SINs - Proposal'!D385)</f>
        <v xml:space="preserve"> </v>
      </c>
      <c r="E385" s="69" t="str">
        <f>IF(ISBLANK('ALL Other SINs - Proposal'!R385)," ",'ALL Other SINs - Proposal'!R385)</f>
        <v xml:space="preserve"> </v>
      </c>
      <c r="F385" s="73" t="str">
        <f>IF(ISBLANK('ALL Other SINs - Proposal'!S385)," ",'ALL Other SINs - Proposal'!S385)</f>
        <v xml:space="preserve"> </v>
      </c>
      <c r="G385" s="173" t="str">
        <f>IF(ISBLANK('ALL Other SINs - Proposal'!T385)," ",'ALL Other SINs - Proposal'!T385)</f>
        <v xml:space="preserve"> </v>
      </c>
      <c r="H385" s="275" t="str">
        <f>IF(ISBLANK('ALL Other SINs - Proposal'!V385)," ",'ALL Other SINs - Proposal'!V385)</f>
        <v xml:space="preserve"> </v>
      </c>
      <c r="I385" s="271" t="str">
        <f>IF(ISBLANK('ALL Other SINs - Proposal'!W385)," ",'ALL Other SINs - Proposal'!W385)</f>
        <v xml:space="preserve"> </v>
      </c>
      <c r="J385" s="71" t="str">
        <f>IF(ISBLANK('ALL Other SINs - Proposal'!X385)," ",'ALL Other SINs - Proposal'!X385)</f>
        <v xml:space="preserve"> </v>
      </c>
      <c r="K385" s="165" t="str">
        <f>IF(ISBLANK('ALL Other SINs - Proposal'!AA385)," ",'ALL Other SINs - Proposal'!AA385)</f>
        <v xml:space="preserve"> </v>
      </c>
      <c r="L385" s="178" t="str">
        <f>IF(ISBLANK('ALL Other SINs - Proposal'!AB385)," ",'ALL Other SINs - Proposal'!AB385)</f>
        <v xml:space="preserve"> </v>
      </c>
      <c r="M385" s="72" t="str">
        <f t="shared" si="10"/>
        <v xml:space="preserve"> </v>
      </c>
      <c r="N385" s="167" t="str">
        <f t="shared" si="11"/>
        <v xml:space="preserve"> </v>
      </c>
    </row>
    <row r="386" spans="1:14" ht="15" x14ac:dyDescent="0.25">
      <c r="A386" s="131" t="str">
        <f>IF(ISBLANK('ALL Other SINs - Proposal'!A386)," ",'ALL Other SINs - Proposal'!A386)</f>
        <v xml:space="preserve"> </v>
      </c>
      <c r="B386" s="137" t="str">
        <f>IF(ISBLANK('ALL Other SINs - Proposal'!B386)," ",'ALL Other SINs - Proposal'!B386)</f>
        <v xml:space="preserve"> </v>
      </c>
      <c r="C386" s="137" t="str">
        <f>IF(ISBLANK('ALL Other SINs - Proposal'!C386)," ",'ALL Other SINs - Proposal'!C386)</f>
        <v xml:space="preserve"> </v>
      </c>
      <c r="D386" s="138" t="str">
        <f>IF(ISBLANK('ALL Other SINs - Proposal'!D386)," ",'ALL Other SINs - Proposal'!D386)</f>
        <v xml:space="preserve"> </v>
      </c>
      <c r="E386" s="69" t="str">
        <f>IF(ISBLANK('ALL Other SINs - Proposal'!R386)," ",'ALL Other SINs - Proposal'!R386)</f>
        <v xml:space="preserve"> </v>
      </c>
      <c r="F386" s="73" t="str">
        <f>IF(ISBLANK('ALL Other SINs - Proposal'!S386)," ",'ALL Other SINs - Proposal'!S386)</f>
        <v xml:space="preserve"> </v>
      </c>
      <c r="G386" s="173" t="str">
        <f>IF(ISBLANK('ALL Other SINs - Proposal'!T386)," ",'ALL Other SINs - Proposal'!T386)</f>
        <v xml:space="preserve"> </v>
      </c>
      <c r="H386" s="275" t="str">
        <f>IF(ISBLANK('ALL Other SINs - Proposal'!V386)," ",'ALL Other SINs - Proposal'!V386)</f>
        <v xml:space="preserve"> </v>
      </c>
      <c r="I386" s="271" t="str">
        <f>IF(ISBLANK('ALL Other SINs - Proposal'!W386)," ",'ALL Other SINs - Proposal'!W386)</f>
        <v xml:space="preserve"> </v>
      </c>
      <c r="J386" s="71" t="str">
        <f>IF(ISBLANK('ALL Other SINs - Proposal'!X386)," ",'ALL Other SINs - Proposal'!X386)</f>
        <v xml:space="preserve"> </v>
      </c>
      <c r="K386" s="165" t="str">
        <f>IF(ISBLANK('ALL Other SINs - Proposal'!AA386)," ",'ALL Other SINs - Proposal'!AA386)</f>
        <v xml:space="preserve"> </v>
      </c>
      <c r="L386" s="178" t="str">
        <f>IF(ISBLANK('ALL Other SINs - Proposal'!AB386)," ",'ALL Other SINs - Proposal'!AB386)</f>
        <v xml:space="preserve"> </v>
      </c>
      <c r="M386" s="72" t="str">
        <f t="shared" si="10"/>
        <v xml:space="preserve"> </v>
      </c>
      <c r="N386" s="167" t="str">
        <f t="shared" si="11"/>
        <v xml:space="preserve"> </v>
      </c>
    </row>
    <row r="387" spans="1:14" ht="15" x14ac:dyDescent="0.25">
      <c r="A387" s="131" t="str">
        <f>IF(ISBLANK('ALL Other SINs - Proposal'!A387)," ",'ALL Other SINs - Proposal'!A387)</f>
        <v xml:space="preserve"> </v>
      </c>
      <c r="B387" s="137" t="str">
        <f>IF(ISBLANK('ALL Other SINs - Proposal'!B387)," ",'ALL Other SINs - Proposal'!B387)</f>
        <v xml:space="preserve"> </v>
      </c>
      <c r="C387" s="137" t="str">
        <f>IF(ISBLANK('ALL Other SINs - Proposal'!C387)," ",'ALL Other SINs - Proposal'!C387)</f>
        <v xml:space="preserve"> </v>
      </c>
      <c r="D387" s="138" t="str">
        <f>IF(ISBLANK('ALL Other SINs - Proposal'!D387)," ",'ALL Other SINs - Proposal'!D387)</f>
        <v xml:space="preserve"> </v>
      </c>
      <c r="E387" s="69" t="str">
        <f>IF(ISBLANK('ALL Other SINs - Proposal'!R387)," ",'ALL Other SINs - Proposal'!R387)</f>
        <v xml:space="preserve"> </v>
      </c>
      <c r="F387" s="73" t="str">
        <f>IF(ISBLANK('ALL Other SINs - Proposal'!S387)," ",'ALL Other SINs - Proposal'!S387)</f>
        <v xml:space="preserve"> </v>
      </c>
      <c r="G387" s="173" t="str">
        <f>IF(ISBLANK('ALL Other SINs - Proposal'!T387)," ",'ALL Other SINs - Proposal'!T387)</f>
        <v xml:space="preserve"> </v>
      </c>
      <c r="H387" s="275" t="str">
        <f>IF(ISBLANK('ALL Other SINs - Proposal'!V387)," ",'ALL Other SINs - Proposal'!V387)</f>
        <v xml:space="preserve"> </v>
      </c>
      <c r="I387" s="271" t="str">
        <f>IF(ISBLANK('ALL Other SINs - Proposal'!W387)," ",'ALL Other SINs - Proposal'!W387)</f>
        <v xml:space="preserve"> </v>
      </c>
      <c r="J387" s="71" t="str">
        <f>IF(ISBLANK('ALL Other SINs - Proposal'!X387)," ",'ALL Other SINs - Proposal'!X387)</f>
        <v xml:space="preserve"> </v>
      </c>
      <c r="K387" s="165" t="str">
        <f>IF(ISBLANK('ALL Other SINs - Proposal'!AA387)," ",'ALL Other SINs - Proposal'!AA387)</f>
        <v xml:space="preserve"> </v>
      </c>
      <c r="L387" s="178" t="str">
        <f>IF(ISBLANK('ALL Other SINs - Proposal'!AB387)," ",'ALL Other SINs - Proposal'!AB387)</f>
        <v xml:space="preserve"> </v>
      </c>
      <c r="M387" s="72" t="str">
        <f t="shared" ref="M387:M450" si="12">IFERROR(IF((ROUND(K387,2))&lt;=(ROUND(F387,2)),"YES","NO")," ")</f>
        <v xml:space="preserve"> </v>
      </c>
      <c r="N387" s="167" t="str">
        <f t="shared" ref="N387:N450" si="13">IFERROR(IF(ISBLANK(K387)," ",(ROUND(K387,2))/(ROUND(I387,2)))," ")</f>
        <v xml:space="preserve"> </v>
      </c>
    </row>
    <row r="388" spans="1:14" ht="15" x14ac:dyDescent="0.25">
      <c r="A388" s="131" t="str">
        <f>IF(ISBLANK('ALL Other SINs - Proposal'!A388)," ",'ALL Other SINs - Proposal'!A388)</f>
        <v xml:space="preserve"> </v>
      </c>
      <c r="B388" s="137" t="str">
        <f>IF(ISBLANK('ALL Other SINs - Proposal'!B388)," ",'ALL Other SINs - Proposal'!B388)</f>
        <v xml:space="preserve"> </v>
      </c>
      <c r="C388" s="137" t="str">
        <f>IF(ISBLANK('ALL Other SINs - Proposal'!C388)," ",'ALL Other SINs - Proposal'!C388)</f>
        <v xml:space="preserve"> </v>
      </c>
      <c r="D388" s="138" t="str">
        <f>IF(ISBLANK('ALL Other SINs - Proposal'!D388)," ",'ALL Other SINs - Proposal'!D388)</f>
        <v xml:space="preserve"> </v>
      </c>
      <c r="E388" s="69" t="str">
        <f>IF(ISBLANK('ALL Other SINs - Proposal'!R388)," ",'ALL Other SINs - Proposal'!R388)</f>
        <v xml:space="preserve"> </v>
      </c>
      <c r="F388" s="73" t="str">
        <f>IF(ISBLANK('ALL Other SINs - Proposal'!S388)," ",'ALL Other SINs - Proposal'!S388)</f>
        <v xml:space="preserve"> </v>
      </c>
      <c r="G388" s="173" t="str">
        <f>IF(ISBLANK('ALL Other SINs - Proposal'!T388)," ",'ALL Other SINs - Proposal'!T388)</f>
        <v xml:space="preserve"> </v>
      </c>
      <c r="H388" s="275" t="str">
        <f>IF(ISBLANK('ALL Other SINs - Proposal'!V388)," ",'ALL Other SINs - Proposal'!V388)</f>
        <v xml:space="preserve"> </v>
      </c>
      <c r="I388" s="271" t="str">
        <f>IF(ISBLANK('ALL Other SINs - Proposal'!W388)," ",'ALL Other SINs - Proposal'!W388)</f>
        <v xml:space="preserve"> </v>
      </c>
      <c r="J388" s="71" t="str">
        <f>IF(ISBLANK('ALL Other SINs - Proposal'!X388)," ",'ALL Other SINs - Proposal'!X388)</f>
        <v xml:space="preserve"> </v>
      </c>
      <c r="K388" s="165" t="str">
        <f>IF(ISBLANK('ALL Other SINs - Proposal'!AA388)," ",'ALL Other SINs - Proposal'!AA388)</f>
        <v xml:space="preserve"> </v>
      </c>
      <c r="L388" s="178" t="str">
        <f>IF(ISBLANK('ALL Other SINs - Proposal'!AB388)," ",'ALL Other SINs - Proposal'!AB388)</f>
        <v xml:space="preserve"> </v>
      </c>
      <c r="M388" s="72" t="str">
        <f t="shared" si="12"/>
        <v xml:space="preserve"> </v>
      </c>
      <c r="N388" s="167" t="str">
        <f t="shared" si="13"/>
        <v xml:space="preserve"> </v>
      </c>
    </row>
    <row r="389" spans="1:14" ht="15" x14ac:dyDescent="0.25">
      <c r="A389" s="131" t="str">
        <f>IF(ISBLANK('ALL Other SINs - Proposal'!A389)," ",'ALL Other SINs - Proposal'!A389)</f>
        <v xml:space="preserve"> </v>
      </c>
      <c r="B389" s="137" t="str">
        <f>IF(ISBLANK('ALL Other SINs - Proposal'!B389)," ",'ALL Other SINs - Proposal'!B389)</f>
        <v xml:space="preserve"> </v>
      </c>
      <c r="C389" s="137" t="str">
        <f>IF(ISBLANK('ALL Other SINs - Proposal'!C389)," ",'ALL Other SINs - Proposal'!C389)</f>
        <v xml:space="preserve"> </v>
      </c>
      <c r="D389" s="138" t="str">
        <f>IF(ISBLANK('ALL Other SINs - Proposal'!D389)," ",'ALL Other SINs - Proposal'!D389)</f>
        <v xml:space="preserve"> </v>
      </c>
      <c r="E389" s="69" t="str">
        <f>IF(ISBLANK('ALL Other SINs - Proposal'!R389)," ",'ALL Other SINs - Proposal'!R389)</f>
        <v xml:space="preserve"> </v>
      </c>
      <c r="F389" s="73" t="str">
        <f>IF(ISBLANK('ALL Other SINs - Proposal'!S389)," ",'ALL Other SINs - Proposal'!S389)</f>
        <v xml:space="preserve"> </v>
      </c>
      <c r="G389" s="173" t="str">
        <f>IF(ISBLANK('ALL Other SINs - Proposal'!T389)," ",'ALL Other SINs - Proposal'!T389)</f>
        <v xml:space="preserve"> </v>
      </c>
      <c r="H389" s="275" t="str">
        <f>IF(ISBLANK('ALL Other SINs - Proposal'!V389)," ",'ALL Other SINs - Proposal'!V389)</f>
        <v xml:space="preserve"> </v>
      </c>
      <c r="I389" s="271" t="str">
        <f>IF(ISBLANK('ALL Other SINs - Proposal'!W389)," ",'ALL Other SINs - Proposal'!W389)</f>
        <v xml:space="preserve"> </v>
      </c>
      <c r="J389" s="71" t="str">
        <f>IF(ISBLANK('ALL Other SINs - Proposal'!X389)," ",'ALL Other SINs - Proposal'!X389)</f>
        <v xml:space="preserve"> </v>
      </c>
      <c r="K389" s="165" t="str">
        <f>IF(ISBLANK('ALL Other SINs - Proposal'!AA389)," ",'ALL Other SINs - Proposal'!AA389)</f>
        <v xml:space="preserve"> </v>
      </c>
      <c r="L389" s="178" t="str">
        <f>IF(ISBLANK('ALL Other SINs - Proposal'!AB389)," ",'ALL Other SINs - Proposal'!AB389)</f>
        <v xml:space="preserve"> </v>
      </c>
      <c r="M389" s="72" t="str">
        <f t="shared" si="12"/>
        <v xml:space="preserve"> </v>
      </c>
      <c r="N389" s="167" t="str">
        <f t="shared" si="13"/>
        <v xml:space="preserve"> </v>
      </c>
    </row>
    <row r="390" spans="1:14" ht="15" x14ac:dyDescent="0.25">
      <c r="A390" s="131" t="str">
        <f>IF(ISBLANK('ALL Other SINs - Proposal'!A390)," ",'ALL Other SINs - Proposal'!A390)</f>
        <v xml:space="preserve"> </v>
      </c>
      <c r="B390" s="137" t="str">
        <f>IF(ISBLANK('ALL Other SINs - Proposal'!B390)," ",'ALL Other SINs - Proposal'!B390)</f>
        <v xml:space="preserve"> </v>
      </c>
      <c r="C390" s="137" t="str">
        <f>IF(ISBLANK('ALL Other SINs - Proposal'!C390)," ",'ALL Other SINs - Proposal'!C390)</f>
        <v xml:space="preserve"> </v>
      </c>
      <c r="D390" s="138" t="str">
        <f>IF(ISBLANK('ALL Other SINs - Proposal'!D390)," ",'ALL Other SINs - Proposal'!D390)</f>
        <v xml:space="preserve"> </v>
      </c>
      <c r="E390" s="69" t="str">
        <f>IF(ISBLANK('ALL Other SINs - Proposal'!R390)," ",'ALL Other SINs - Proposal'!R390)</f>
        <v xml:space="preserve"> </v>
      </c>
      <c r="F390" s="73" t="str">
        <f>IF(ISBLANK('ALL Other SINs - Proposal'!S390)," ",'ALL Other SINs - Proposal'!S390)</f>
        <v xml:space="preserve"> </v>
      </c>
      <c r="G390" s="173" t="str">
        <f>IF(ISBLANK('ALL Other SINs - Proposal'!T390)," ",'ALL Other SINs - Proposal'!T390)</f>
        <v xml:space="preserve"> </v>
      </c>
      <c r="H390" s="275" t="str">
        <f>IF(ISBLANK('ALL Other SINs - Proposal'!V390)," ",'ALL Other SINs - Proposal'!V390)</f>
        <v xml:space="preserve"> </v>
      </c>
      <c r="I390" s="271" t="str">
        <f>IF(ISBLANK('ALL Other SINs - Proposal'!W390)," ",'ALL Other SINs - Proposal'!W390)</f>
        <v xml:space="preserve"> </v>
      </c>
      <c r="J390" s="71" t="str">
        <f>IF(ISBLANK('ALL Other SINs - Proposal'!X390)," ",'ALL Other SINs - Proposal'!X390)</f>
        <v xml:space="preserve"> </v>
      </c>
      <c r="K390" s="165" t="str">
        <f>IF(ISBLANK('ALL Other SINs - Proposal'!AA390)," ",'ALL Other SINs - Proposal'!AA390)</f>
        <v xml:space="preserve"> </v>
      </c>
      <c r="L390" s="178" t="str">
        <f>IF(ISBLANK('ALL Other SINs - Proposal'!AB390)," ",'ALL Other SINs - Proposal'!AB390)</f>
        <v xml:space="preserve"> </v>
      </c>
      <c r="M390" s="72" t="str">
        <f t="shared" si="12"/>
        <v xml:space="preserve"> </v>
      </c>
      <c r="N390" s="167" t="str">
        <f t="shared" si="13"/>
        <v xml:space="preserve"> </v>
      </c>
    </row>
    <row r="391" spans="1:14" ht="15" x14ac:dyDescent="0.25">
      <c r="A391" s="131" t="str">
        <f>IF(ISBLANK('ALL Other SINs - Proposal'!A391)," ",'ALL Other SINs - Proposal'!A391)</f>
        <v xml:space="preserve"> </v>
      </c>
      <c r="B391" s="137" t="str">
        <f>IF(ISBLANK('ALL Other SINs - Proposal'!B391)," ",'ALL Other SINs - Proposal'!B391)</f>
        <v xml:space="preserve"> </v>
      </c>
      <c r="C391" s="137" t="str">
        <f>IF(ISBLANK('ALL Other SINs - Proposal'!C391)," ",'ALL Other SINs - Proposal'!C391)</f>
        <v xml:space="preserve"> </v>
      </c>
      <c r="D391" s="138" t="str">
        <f>IF(ISBLANK('ALL Other SINs - Proposal'!D391)," ",'ALL Other SINs - Proposal'!D391)</f>
        <v xml:space="preserve"> </v>
      </c>
      <c r="E391" s="69" t="str">
        <f>IF(ISBLANK('ALL Other SINs - Proposal'!R391)," ",'ALL Other SINs - Proposal'!R391)</f>
        <v xml:space="preserve"> </v>
      </c>
      <c r="F391" s="73" t="str">
        <f>IF(ISBLANK('ALL Other SINs - Proposal'!S391)," ",'ALL Other SINs - Proposal'!S391)</f>
        <v xml:space="preserve"> </v>
      </c>
      <c r="G391" s="173" t="str">
        <f>IF(ISBLANK('ALL Other SINs - Proposal'!T391)," ",'ALL Other SINs - Proposal'!T391)</f>
        <v xml:space="preserve"> </v>
      </c>
      <c r="H391" s="275" t="str">
        <f>IF(ISBLANK('ALL Other SINs - Proposal'!V391)," ",'ALL Other SINs - Proposal'!V391)</f>
        <v xml:space="preserve"> </v>
      </c>
      <c r="I391" s="271" t="str">
        <f>IF(ISBLANK('ALL Other SINs - Proposal'!W391)," ",'ALL Other SINs - Proposal'!W391)</f>
        <v xml:space="preserve"> </v>
      </c>
      <c r="J391" s="71" t="str">
        <f>IF(ISBLANK('ALL Other SINs - Proposal'!X391)," ",'ALL Other SINs - Proposal'!X391)</f>
        <v xml:space="preserve"> </v>
      </c>
      <c r="K391" s="165" t="str">
        <f>IF(ISBLANK('ALL Other SINs - Proposal'!AA391)," ",'ALL Other SINs - Proposal'!AA391)</f>
        <v xml:space="preserve"> </v>
      </c>
      <c r="L391" s="178" t="str">
        <f>IF(ISBLANK('ALL Other SINs - Proposal'!AB391)," ",'ALL Other SINs - Proposal'!AB391)</f>
        <v xml:space="preserve"> </v>
      </c>
      <c r="M391" s="72" t="str">
        <f t="shared" si="12"/>
        <v xml:space="preserve"> </v>
      </c>
      <c r="N391" s="167" t="str">
        <f t="shared" si="13"/>
        <v xml:space="preserve"> </v>
      </c>
    </row>
    <row r="392" spans="1:14" ht="15" x14ac:dyDescent="0.25">
      <c r="A392" s="131" t="str">
        <f>IF(ISBLANK('ALL Other SINs - Proposal'!A392)," ",'ALL Other SINs - Proposal'!A392)</f>
        <v xml:space="preserve"> </v>
      </c>
      <c r="B392" s="137" t="str">
        <f>IF(ISBLANK('ALL Other SINs - Proposal'!B392)," ",'ALL Other SINs - Proposal'!B392)</f>
        <v xml:space="preserve"> </v>
      </c>
      <c r="C392" s="137" t="str">
        <f>IF(ISBLANK('ALL Other SINs - Proposal'!C392)," ",'ALL Other SINs - Proposal'!C392)</f>
        <v xml:space="preserve"> </v>
      </c>
      <c r="D392" s="138" t="str">
        <f>IF(ISBLANK('ALL Other SINs - Proposal'!D392)," ",'ALL Other SINs - Proposal'!D392)</f>
        <v xml:space="preserve"> </v>
      </c>
      <c r="E392" s="69" t="str">
        <f>IF(ISBLANK('ALL Other SINs - Proposal'!R392)," ",'ALL Other SINs - Proposal'!R392)</f>
        <v xml:space="preserve"> </v>
      </c>
      <c r="F392" s="73" t="str">
        <f>IF(ISBLANK('ALL Other SINs - Proposal'!S392)," ",'ALL Other SINs - Proposal'!S392)</f>
        <v xml:space="preserve"> </v>
      </c>
      <c r="G392" s="173" t="str">
        <f>IF(ISBLANK('ALL Other SINs - Proposal'!T392)," ",'ALL Other SINs - Proposal'!T392)</f>
        <v xml:space="preserve"> </v>
      </c>
      <c r="H392" s="275" t="str">
        <f>IF(ISBLANK('ALL Other SINs - Proposal'!V392)," ",'ALL Other SINs - Proposal'!V392)</f>
        <v xml:space="preserve"> </v>
      </c>
      <c r="I392" s="271" t="str">
        <f>IF(ISBLANK('ALL Other SINs - Proposal'!W392)," ",'ALL Other SINs - Proposal'!W392)</f>
        <v xml:space="preserve"> </v>
      </c>
      <c r="J392" s="71" t="str">
        <f>IF(ISBLANK('ALL Other SINs - Proposal'!X392)," ",'ALL Other SINs - Proposal'!X392)</f>
        <v xml:space="preserve"> </v>
      </c>
      <c r="K392" s="165" t="str">
        <f>IF(ISBLANK('ALL Other SINs - Proposal'!AA392)," ",'ALL Other SINs - Proposal'!AA392)</f>
        <v xml:space="preserve"> </v>
      </c>
      <c r="L392" s="178" t="str">
        <f>IF(ISBLANK('ALL Other SINs - Proposal'!AB392)," ",'ALL Other SINs - Proposal'!AB392)</f>
        <v xml:space="preserve"> </v>
      </c>
      <c r="M392" s="72" t="str">
        <f t="shared" si="12"/>
        <v xml:space="preserve"> </v>
      </c>
      <c r="N392" s="167" t="str">
        <f t="shared" si="13"/>
        <v xml:space="preserve"> </v>
      </c>
    </row>
    <row r="393" spans="1:14" ht="15" x14ac:dyDescent="0.25">
      <c r="A393" s="131" t="str">
        <f>IF(ISBLANK('ALL Other SINs - Proposal'!A393)," ",'ALL Other SINs - Proposal'!A393)</f>
        <v xml:space="preserve"> </v>
      </c>
      <c r="B393" s="137" t="str">
        <f>IF(ISBLANK('ALL Other SINs - Proposal'!B393)," ",'ALL Other SINs - Proposal'!B393)</f>
        <v xml:space="preserve"> </v>
      </c>
      <c r="C393" s="137" t="str">
        <f>IF(ISBLANK('ALL Other SINs - Proposal'!C393)," ",'ALL Other SINs - Proposal'!C393)</f>
        <v xml:space="preserve"> </v>
      </c>
      <c r="D393" s="138" t="str">
        <f>IF(ISBLANK('ALL Other SINs - Proposal'!D393)," ",'ALL Other SINs - Proposal'!D393)</f>
        <v xml:space="preserve"> </v>
      </c>
      <c r="E393" s="69" t="str">
        <f>IF(ISBLANK('ALL Other SINs - Proposal'!R393)," ",'ALL Other SINs - Proposal'!R393)</f>
        <v xml:space="preserve"> </v>
      </c>
      <c r="F393" s="73" t="str">
        <f>IF(ISBLANK('ALL Other SINs - Proposal'!S393)," ",'ALL Other SINs - Proposal'!S393)</f>
        <v xml:space="preserve"> </v>
      </c>
      <c r="G393" s="173" t="str">
        <f>IF(ISBLANK('ALL Other SINs - Proposal'!T393)," ",'ALL Other SINs - Proposal'!T393)</f>
        <v xml:space="preserve"> </v>
      </c>
      <c r="H393" s="275" t="str">
        <f>IF(ISBLANK('ALL Other SINs - Proposal'!V393)," ",'ALL Other SINs - Proposal'!V393)</f>
        <v xml:space="preserve"> </v>
      </c>
      <c r="I393" s="271" t="str">
        <f>IF(ISBLANK('ALL Other SINs - Proposal'!W393)," ",'ALL Other SINs - Proposal'!W393)</f>
        <v xml:space="preserve"> </v>
      </c>
      <c r="J393" s="71" t="str">
        <f>IF(ISBLANK('ALL Other SINs - Proposal'!X393)," ",'ALL Other SINs - Proposal'!X393)</f>
        <v xml:space="preserve"> </v>
      </c>
      <c r="K393" s="165" t="str">
        <f>IF(ISBLANK('ALL Other SINs - Proposal'!AA393)," ",'ALL Other SINs - Proposal'!AA393)</f>
        <v xml:space="preserve"> </v>
      </c>
      <c r="L393" s="178" t="str">
        <f>IF(ISBLANK('ALL Other SINs - Proposal'!AB393)," ",'ALL Other SINs - Proposal'!AB393)</f>
        <v xml:space="preserve"> </v>
      </c>
      <c r="M393" s="72" t="str">
        <f t="shared" si="12"/>
        <v xml:space="preserve"> </v>
      </c>
      <c r="N393" s="167" t="str">
        <f t="shared" si="13"/>
        <v xml:space="preserve"> </v>
      </c>
    </row>
    <row r="394" spans="1:14" ht="15" x14ac:dyDescent="0.25">
      <c r="A394" s="131" t="str">
        <f>IF(ISBLANK('ALL Other SINs - Proposal'!A394)," ",'ALL Other SINs - Proposal'!A394)</f>
        <v xml:space="preserve"> </v>
      </c>
      <c r="B394" s="137" t="str">
        <f>IF(ISBLANK('ALL Other SINs - Proposal'!B394)," ",'ALL Other SINs - Proposal'!B394)</f>
        <v xml:space="preserve"> </v>
      </c>
      <c r="C394" s="137" t="str">
        <f>IF(ISBLANK('ALL Other SINs - Proposal'!C394)," ",'ALL Other SINs - Proposal'!C394)</f>
        <v xml:space="preserve"> </v>
      </c>
      <c r="D394" s="138" t="str">
        <f>IF(ISBLANK('ALL Other SINs - Proposal'!D394)," ",'ALL Other SINs - Proposal'!D394)</f>
        <v xml:space="preserve"> </v>
      </c>
      <c r="E394" s="69" t="str">
        <f>IF(ISBLANK('ALL Other SINs - Proposal'!R394)," ",'ALL Other SINs - Proposal'!R394)</f>
        <v xml:space="preserve"> </v>
      </c>
      <c r="F394" s="73" t="str">
        <f>IF(ISBLANK('ALL Other SINs - Proposal'!S394)," ",'ALL Other SINs - Proposal'!S394)</f>
        <v xml:space="preserve"> </v>
      </c>
      <c r="G394" s="173" t="str">
        <f>IF(ISBLANK('ALL Other SINs - Proposal'!T394)," ",'ALL Other SINs - Proposal'!T394)</f>
        <v xml:space="preserve"> </v>
      </c>
      <c r="H394" s="275" t="str">
        <f>IF(ISBLANK('ALL Other SINs - Proposal'!V394)," ",'ALL Other SINs - Proposal'!V394)</f>
        <v xml:space="preserve"> </v>
      </c>
      <c r="I394" s="271" t="str">
        <f>IF(ISBLANK('ALL Other SINs - Proposal'!W394)," ",'ALL Other SINs - Proposal'!W394)</f>
        <v xml:space="preserve"> </v>
      </c>
      <c r="J394" s="71" t="str">
        <f>IF(ISBLANK('ALL Other SINs - Proposal'!X394)," ",'ALL Other SINs - Proposal'!X394)</f>
        <v xml:space="preserve"> </v>
      </c>
      <c r="K394" s="165" t="str">
        <f>IF(ISBLANK('ALL Other SINs - Proposal'!AA394)," ",'ALL Other SINs - Proposal'!AA394)</f>
        <v xml:space="preserve"> </v>
      </c>
      <c r="L394" s="178" t="str">
        <f>IF(ISBLANK('ALL Other SINs - Proposal'!AB394)," ",'ALL Other SINs - Proposal'!AB394)</f>
        <v xml:space="preserve"> </v>
      </c>
      <c r="M394" s="72" t="str">
        <f t="shared" si="12"/>
        <v xml:space="preserve"> </v>
      </c>
      <c r="N394" s="167" t="str">
        <f t="shared" si="13"/>
        <v xml:space="preserve"> </v>
      </c>
    </row>
    <row r="395" spans="1:14" ht="15" x14ac:dyDescent="0.25">
      <c r="A395" s="131" t="str">
        <f>IF(ISBLANK('ALL Other SINs - Proposal'!A395)," ",'ALL Other SINs - Proposal'!A395)</f>
        <v xml:space="preserve"> </v>
      </c>
      <c r="B395" s="137" t="str">
        <f>IF(ISBLANK('ALL Other SINs - Proposal'!B395)," ",'ALL Other SINs - Proposal'!B395)</f>
        <v xml:space="preserve"> </v>
      </c>
      <c r="C395" s="137" t="str">
        <f>IF(ISBLANK('ALL Other SINs - Proposal'!C395)," ",'ALL Other SINs - Proposal'!C395)</f>
        <v xml:space="preserve"> </v>
      </c>
      <c r="D395" s="138" t="str">
        <f>IF(ISBLANK('ALL Other SINs - Proposal'!D395)," ",'ALL Other SINs - Proposal'!D395)</f>
        <v xml:space="preserve"> </v>
      </c>
      <c r="E395" s="69" t="str">
        <f>IF(ISBLANK('ALL Other SINs - Proposal'!R395)," ",'ALL Other SINs - Proposal'!R395)</f>
        <v xml:space="preserve"> </v>
      </c>
      <c r="F395" s="73" t="str">
        <f>IF(ISBLANK('ALL Other SINs - Proposal'!S395)," ",'ALL Other SINs - Proposal'!S395)</f>
        <v xml:space="preserve"> </v>
      </c>
      <c r="G395" s="173" t="str">
        <f>IF(ISBLANK('ALL Other SINs - Proposal'!T395)," ",'ALL Other SINs - Proposal'!T395)</f>
        <v xml:space="preserve"> </v>
      </c>
      <c r="H395" s="275" t="str">
        <f>IF(ISBLANK('ALL Other SINs - Proposal'!V395)," ",'ALL Other SINs - Proposal'!V395)</f>
        <v xml:space="preserve"> </v>
      </c>
      <c r="I395" s="271" t="str">
        <f>IF(ISBLANK('ALL Other SINs - Proposal'!W395)," ",'ALL Other SINs - Proposal'!W395)</f>
        <v xml:space="preserve"> </v>
      </c>
      <c r="J395" s="71" t="str">
        <f>IF(ISBLANK('ALL Other SINs - Proposal'!X395)," ",'ALL Other SINs - Proposal'!X395)</f>
        <v xml:space="preserve"> </v>
      </c>
      <c r="K395" s="165" t="str">
        <f>IF(ISBLANK('ALL Other SINs - Proposal'!AA395)," ",'ALL Other SINs - Proposal'!AA395)</f>
        <v xml:space="preserve"> </v>
      </c>
      <c r="L395" s="178" t="str">
        <f>IF(ISBLANK('ALL Other SINs - Proposal'!AB395)," ",'ALL Other SINs - Proposal'!AB395)</f>
        <v xml:space="preserve"> </v>
      </c>
      <c r="M395" s="72" t="str">
        <f t="shared" si="12"/>
        <v xml:space="preserve"> </v>
      </c>
      <c r="N395" s="167" t="str">
        <f t="shared" si="13"/>
        <v xml:space="preserve"> </v>
      </c>
    </row>
    <row r="396" spans="1:14" ht="15" x14ac:dyDescent="0.25">
      <c r="A396" s="131" t="str">
        <f>IF(ISBLANK('ALL Other SINs - Proposal'!A396)," ",'ALL Other SINs - Proposal'!A396)</f>
        <v xml:space="preserve"> </v>
      </c>
      <c r="B396" s="137" t="str">
        <f>IF(ISBLANK('ALL Other SINs - Proposal'!B396)," ",'ALL Other SINs - Proposal'!B396)</f>
        <v xml:space="preserve"> </v>
      </c>
      <c r="C396" s="137" t="str">
        <f>IF(ISBLANK('ALL Other SINs - Proposal'!C396)," ",'ALL Other SINs - Proposal'!C396)</f>
        <v xml:space="preserve"> </v>
      </c>
      <c r="D396" s="138" t="str">
        <f>IF(ISBLANK('ALL Other SINs - Proposal'!D396)," ",'ALL Other SINs - Proposal'!D396)</f>
        <v xml:space="preserve"> </v>
      </c>
      <c r="E396" s="69" t="str">
        <f>IF(ISBLANK('ALL Other SINs - Proposal'!R396)," ",'ALL Other SINs - Proposal'!R396)</f>
        <v xml:space="preserve"> </v>
      </c>
      <c r="F396" s="73" t="str">
        <f>IF(ISBLANK('ALL Other SINs - Proposal'!S396)," ",'ALL Other SINs - Proposal'!S396)</f>
        <v xml:space="preserve"> </v>
      </c>
      <c r="G396" s="173" t="str">
        <f>IF(ISBLANK('ALL Other SINs - Proposal'!T396)," ",'ALL Other SINs - Proposal'!T396)</f>
        <v xml:space="preserve"> </v>
      </c>
      <c r="H396" s="275" t="str">
        <f>IF(ISBLANK('ALL Other SINs - Proposal'!V396)," ",'ALL Other SINs - Proposal'!V396)</f>
        <v xml:space="preserve"> </v>
      </c>
      <c r="I396" s="271" t="str">
        <f>IF(ISBLANK('ALL Other SINs - Proposal'!W396)," ",'ALL Other SINs - Proposal'!W396)</f>
        <v xml:space="preserve"> </v>
      </c>
      <c r="J396" s="71" t="str">
        <f>IF(ISBLANK('ALL Other SINs - Proposal'!X396)," ",'ALL Other SINs - Proposal'!X396)</f>
        <v xml:space="preserve"> </v>
      </c>
      <c r="K396" s="165" t="str">
        <f>IF(ISBLANK('ALL Other SINs - Proposal'!AA396)," ",'ALL Other SINs - Proposal'!AA396)</f>
        <v xml:space="preserve"> </v>
      </c>
      <c r="L396" s="178" t="str">
        <f>IF(ISBLANK('ALL Other SINs - Proposal'!AB396)," ",'ALL Other SINs - Proposal'!AB396)</f>
        <v xml:space="preserve"> </v>
      </c>
      <c r="M396" s="72" t="str">
        <f t="shared" si="12"/>
        <v xml:space="preserve"> </v>
      </c>
      <c r="N396" s="167" t="str">
        <f t="shared" si="13"/>
        <v xml:space="preserve"> </v>
      </c>
    </row>
    <row r="397" spans="1:14" ht="15" x14ac:dyDescent="0.25">
      <c r="A397" s="131" t="str">
        <f>IF(ISBLANK('ALL Other SINs - Proposal'!A397)," ",'ALL Other SINs - Proposal'!A397)</f>
        <v xml:space="preserve"> </v>
      </c>
      <c r="B397" s="137" t="str">
        <f>IF(ISBLANK('ALL Other SINs - Proposal'!B397)," ",'ALL Other SINs - Proposal'!B397)</f>
        <v xml:space="preserve"> </v>
      </c>
      <c r="C397" s="137" t="str">
        <f>IF(ISBLANK('ALL Other SINs - Proposal'!C397)," ",'ALL Other SINs - Proposal'!C397)</f>
        <v xml:space="preserve"> </v>
      </c>
      <c r="D397" s="138" t="str">
        <f>IF(ISBLANK('ALL Other SINs - Proposal'!D397)," ",'ALL Other SINs - Proposal'!D397)</f>
        <v xml:space="preserve"> </v>
      </c>
      <c r="E397" s="69" t="str">
        <f>IF(ISBLANK('ALL Other SINs - Proposal'!R397)," ",'ALL Other SINs - Proposal'!R397)</f>
        <v xml:space="preserve"> </v>
      </c>
      <c r="F397" s="73" t="str">
        <f>IF(ISBLANK('ALL Other SINs - Proposal'!S397)," ",'ALL Other SINs - Proposal'!S397)</f>
        <v xml:space="preserve"> </v>
      </c>
      <c r="G397" s="173" t="str">
        <f>IF(ISBLANK('ALL Other SINs - Proposal'!T397)," ",'ALL Other SINs - Proposal'!T397)</f>
        <v xml:space="preserve"> </v>
      </c>
      <c r="H397" s="275" t="str">
        <f>IF(ISBLANK('ALL Other SINs - Proposal'!V397)," ",'ALL Other SINs - Proposal'!V397)</f>
        <v xml:space="preserve"> </v>
      </c>
      <c r="I397" s="271" t="str">
        <f>IF(ISBLANK('ALL Other SINs - Proposal'!W397)," ",'ALL Other SINs - Proposal'!W397)</f>
        <v xml:space="preserve"> </v>
      </c>
      <c r="J397" s="71" t="str">
        <f>IF(ISBLANK('ALL Other SINs - Proposal'!X397)," ",'ALL Other SINs - Proposal'!X397)</f>
        <v xml:space="preserve"> </v>
      </c>
      <c r="K397" s="165" t="str">
        <f>IF(ISBLANK('ALL Other SINs - Proposal'!AA397)," ",'ALL Other SINs - Proposal'!AA397)</f>
        <v xml:space="preserve"> </v>
      </c>
      <c r="L397" s="178" t="str">
        <f>IF(ISBLANK('ALL Other SINs - Proposal'!AB397)," ",'ALL Other SINs - Proposal'!AB397)</f>
        <v xml:space="preserve"> </v>
      </c>
      <c r="M397" s="72" t="str">
        <f t="shared" si="12"/>
        <v xml:space="preserve"> </v>
      </c>
      <c r="N397" s="167" t="str">
        <f t="shared" si="13"/>
        <v xml:space="preserve"> </v>
      </c>
    </row>
    <row r="398" spans="1:14" ht="15" x14ac:dyDescent="0.25">
      <c r="A398" s="131" t="str">
        <f>IF(ISBLANK('ALL Other SINs - Proposal'!A398)," ",'ALL Other SINs - Proposal'!A398)</f>
        <v xml:space="preserve"> </v>
      </c>
      <c r="B398" s="137" t="str">
        <f>IF(ISBLANK('ALL Other SINs - Proposal'!B398)," ",'ALL Other SINs - Proposal'!B398)</f>
        <v xml:space="preserve"> </v>
      </c>
      <c r="C398" s="137" t="str">
        <f>IF(ISBLANK('ALL Other SINs - Proposal'!C398)," ",'ALL Other SINs - Proposal'!C398)</f>
        <v xml:space="preserve"> </v>
      </c>
      <c r="D398" s="138" t="str">
        <f>IF(ISBLANK('ALL Other SINs - Proposal'!D398)," ",'ALL Other SINs - Proposal'!D398)</f>
        <v xml:space="preserve"> </v>
      </c>
      <c r="E398" s="69" t="str">
        <f>IF(ISBLANK('ALL Other SINs - Proposal'!R398)," ",'ALL Other SINs - Proposal'!R398)</f>
        <v xml:space="preserve"> </v>
      </c>
      <c r="F398" s="73" t="str">
        <f>IF(ISBLANK('ALL Other SINs - Proposal'!S398)," ",'ALL Other SINs - Proposal'!S398)</f>
        <v xml:space="preserve"> </v>
      </c>
      <c r="G398" s="173" t="str">
        <f>IF(ISBLANK('ALL Other SINs - Proposal'!T398)," ",'ALL Other SINs - Proposal'!T398)</f>
        <v xml:space="preserve"> </v>
      </c>
      <c r="H398" s="275" t="str">
        <f>IF(ISBLANK('ALL Other SINs - Proposal'!V398)," ",'ALL Other SINs - Proposal'!V398)</f>
        <v xml:space="preserve"> </v>
      </c>
      <c r="I398" s="271" t="str">
        <f>IF(ISBLANK('ALL Other SINs - Proposal'!W398)," ",'ALL Other SINs - Proposal'!W398)</f>
        <v xml:space="preserve"> </v>
      </c>
      <c r="J398" s="71" t="str">
        <f>IF(ISBLANK('ALL Other SINs - Proposal'!X398)," ",'ALL Other SINs - Proposal'!X398)</f>
        <v xml:space="preserve"> </v>
      </c>
      <c r="K398" s="165" t="str">
        <f>IF(ISBLANK('ALL Other SINs - Proposal'!AA398)," ",'ALL Other SINs - Proposal'!AA398)</f>
        <v xml:space="preserve"> </v>
      </c>
      <c r="L398" s="178" t="str">
        <f>IF(ISBLANK('ALL Other SINs - Proposal'!AB398)," ",'ALL Other SINs - Proposal'!AB398)</f>
        <v xml:space="preserve"> </v>
      </c>
      <c r="M398" s="72" t="str">
        <f t="shared" si="12"/>
        <v xml:space="preserve"> </v>
      </c>
      <c r="N398" s="167" t="str">
        <f t="shared" si="13"/>
        <v xml:space="preserve"> </v>
      </c>
    </row>
    <row r="399" spans="1:14" ht="15" x14ac:dyDescent="0.25">
      <c r="A399" s="131" t="str">
        <f>IF(ISBLANK('ALL Other SINs - Proposal'!A399)," ",'ALL Other SINs - Proposal'!A399)</f>
        <v xml:space="preserve"> </v>
      </c>
      <c r="B399" s="137" t="str">
        <f>IF(ISBLANK('ALL Other SINs - Proposal'!B399)," ",'ALL Other SINs - Proposal'!B399)</f>
        <v xml:space="preserve"> </v>
      </c>
      <c r="C399" s="137" t="str">
        <f>IF(ISBLANK('ALL Other SINs - Proposal'!C399)," ",'ALL Other SINs - Proposal'!C399)</f>
        <v xml:space="preserve"> </v>
      </c>
      <c r="D399" s="138" t="str">
        <f>IF(ISBLANK('ALL Other SINs - Proposal'!D399)," ",'ALL Other SINs - Proposal'!D399)</f>
        <v xml:space="preserve"> </v>
      </c>
      <c r="E399" s="69" t="str">
        <f>IF(ISBLANK('ALL Other SINs - Proposal'!R399)," ",'ALL Other SINs - Proposal'!R399)</f>
        <v xml:space="preserve"> </v>
      </c>
      <c r="F399" s="73" t="str">
        <f>IF(ISBLANK('ALL Other SINs - Proposal'!S399)," ",'ALL Other SINs - Proposal'!S399)</f>
        <v xml:space="preserve"> </v>
      </c>
      <c r="G399" s="173" t="str">
        <f>IF(ISBLANK('ALL Other SINs - Proposal'!T399)," ",'ALL Other SINs - Proposal'!T399)</f>
        <v xml:space="preserve"> </v>
      </c>
      <c r="H399" s="275" t="str">
        <f>IF(ISBLANK('ALL Other SINs - Proposal'!V399)," ",'ALL Other SINs - Proposal'!V399)</f>
        <v xml:space="preserve"> </v>
      </c>
      <c r="I399" s="271" t="str">
        <f>IF(ISBLANK('ALL Other SINs - Proposal'!W399)," ",'ALL Other SINs - Proposal'!W399)</f>
        <v xml:space="preserve"> </v>
      </c>
      <c r="J399" s="71" t="str">
        <f>IF(ISBLANK('ALL Other SINs - Proposal'!X399)," ",'ALL Other SINs - Proposal'!X399)</f>
        <v xml:space="preserve"> </v>
      </c>
      <c r="K399" s="165" t="str">
        <f>IF(ISBLANK('ALL Other SINs - Proposal'!AA399)," ",'ALL Other SINs - Proposal'!AA399)</f>
        <v xml:space="preserve"> </v>
      </c>
      <c r="L399" s="178" t="str">
        <f>IF(ISBLANK('ALL Other SINs - Proposal'!AB399)," ",'ALL Other SINs - Proposal'!AB399)</f>
        <v xml:space="preserve"> </v>
      </c>
      <c r="M399" s="72" t="str">
        <f t="shared" si="12"/>
        <v xml:space="preserve"> </v>
      </c>
      <c r="N399" s="167" t="str">
        <f t="shared" si="13"/>
        <v xml:space="preserve"> </v>
      </c>
    </row>
    <row r="400" spans="1:14" ht="15" x14ac:dyDescent="0.25">
      <c r="A400" s="131" t="str">
        <f>IF(ISBLANK('ALL Other SINs - Proposal'!A400)," ",'ALL Other SINs - Proposal'!A400)</f>
        <v xml:space="preserve"> </v>
      </c>
      <c r="B400" s="137" t="str">
        <f>IF(ISBLANK('ALL Other SINs - Proposal'!B400)," ",'ALL Other SINs - Proposal'!B400)</f>
        <v xml:space="preserve"> </v>
      </c>
      <c r="C400" s="137" t="str">
        <f>IF(ISBLANK('ALL Other SINs - Proposal'!C400)," ",'ALL Other SINs - Proposal'!C400)</f>
        <v xml:space="preserve"> </v>
      </c>
      <c r="D400" s="138" t="str">
        <f>IF(ISBLANK('ALL Other SINs - Proposal'!D400)," ",'ALL Other SINs - Proposal'!D400)</f>
        <v xml:space="preserve"> </v>
      </c>
      <c r="E400" s="69" t="str">
        <f>IF(ISBLANK('ALL Other SINs - Proposal'!R400)," ",'ALL Other SINs - Proposal'!R400)</f>
        <v xml:space="preserve"> </v>
      </c>
      <c r="F400" s="73" t="str">
        <f>IF(ISBLANK('ALL Other SINs - Proposal'!S400)," ",'ALL Other SINs - Proposal'!S400)</f>
        <v xml:space="preserve"> </v>
      </c>
      <c r="G400" s="173" t="str">
        <f>IF(ISBLANK('ALL Other SINs - Proposal'!T400)," ",'ALL Other SINs - Proposal'!T400)</f>
        <v xml:space="preserve"> </v>
      </c>
      <c r="H400" s="275" t="str">
        <f>IF(ISBLANK('ALL Other SINs - Proposal'!V400)," ",'ALL Other SINs - Proposal'!V400)</f>
        <v xml:space="preserve"> </v>
      </c>
      <c r="I400" s="271" t="str">
        <f>IF(ISBLANK('ALL Other SINs - Proposal'!W400)," ",'ALL Other SINs - Proposal'!W400)</f>
        <v xml:space="preserve"> </v>
      </c>
      <c r="J400" s="71" t="str">
        <f>IF(ISBLANK('ALL Other SINs - Proposal'!X400)," ",'ALL Other SINs - Proposal'!X400)</f>
        <v xml:space="preserve"> </v>
      </c>
      <c r="K400" s="165" t="str">
        <f>IF(ISBLANK('ALL Other SINs - Proposal'!AA400)," ",'ALL Other SINs - Proposal'!AA400)</f>
        <v xml:space="preserve"> </v>
      </c>
      <c r="L400" s="178" t="str">
        <f>IF(ISBLANK('ALL Other SINs - Proposal'!AB400)," ",'ALL Other SINs - Proposal'!AB400)</f>
        <v xml:space="preserve"> </v>
      </c>
      <c r="M400" s="72" t="str">
        <f t="shared" si="12"/>
        <v xml:space="preserve"> </v>
      </c>
      <c r="N400" s="167" t="str">
        <f t="shared" si="13"/>
        <v xml:space="preserve"> </v>
      </c>
    </row>
    <row r="401" spans="1:14" ht="15" x14ac:dyDescent="0.25">
      <c r="A401" s="131" t="str">
        <f>IF(ISBLANK('ALL Other SINs - Proposal'!A401)," ",'ALL Other SINs - Proposal'!A401)</f>
        <v xml:space="preserve"> </v>
      </c>
      <c r="B401" s="137" t="str">
        <f>IF(ISBLANK('ALL Other SINs - Proposal'!B401)," ",'ALL Other SINs - Proposal'!B401)</f>
        <v xml:space="preserve"> </v>
      </c>
      <c r="C401" s="137" t="str">
        <f>IF(ISBLANK('ALL Other SINs - Proposal'!C401)," ",'ALL Other SINs - Proposal'!C401)</f>
        <v xml:space="preserve"> </v>
      </c>
      <c r="D401" s="138" t="str">
        <f>IF(ISBLANK('ALL Other SINs - Proposal'!D401)," ",'ALL Other SINs - Proposal'!D401)</f>
        <v xml:space="preserve"> </v>
      </c>
      <c r="E401" s="69" t="str">
        <f>IF(ISBLANK('ALL Other SINs - Proposal'!R401)," ",'ALL Other SINs - Proposal'!R401)</f>
        <v xml:space="preserve"> </v>
      </c>
      <c r="F401" s="73" t="str">
        <f>IF(ISBLANK('ALL Other SINs - Proposal'!S401)," ",'ALL Other SINs - Proposal'!S401)</f>
        <v xml:space="preserve"> </v>
      </c>
      <c r="G401" s="173" t="str">
        <f>IF(ISBLANK('ALL Other SINs - Proposal'!T401)," ",'ALL Other SINs - Proposal'!T401)</f>
        <v xml:space="preserve"> </v>
      </c>
      <c r="H401" s="275" t="str">
        <f>IF(ISBLANK('ALL Other SINs - Proposal'!V401)," ",'ALL Other SINs - Proposal'!V401)</f>
        <v xml:space="preserve"> </v>
      </c>
      <c r="I401" s="271" t="str">
        <f>IF(ISBLANK('ALL Other SINs - Proposal'!W401)," ",'ALL Other SINs - Proposal'!W401)</f>
        <v xml:space="preserve"> </v>
      </c>
      <c r="J401" s="71" t="str">
        <f>IF(ISBLANK('ALL Other SINs - Proposal'!X401)," ",'ALL Other SINs - Proposal'!X401)</f>
        <v xml:space="preserve"> </v>
      </c>
      <c r="K401" s="165" t="str">
        <f>IF(ISBLANK('ALL Other SINs - Proposal'!AA401)," ",'ALL Other SINs - Proposal'!AA401)</f>
        <v xml:space="preserve"> </v>
      </c>
      <c r="L401" s="178" t="str">
        <f>IF(ISBLANK('ALL Other SINs - Proposal'!AB401)," ",'ALL Other SINs - Proposal'!AB401)</f>
        <v xml:space="preserve"> </v>
      </c>
      <c r="M401" s="72" t="str">
        <f t="shared" si="12"/>
        <v xml:space="preserve"> </v>
      </c>
      <c r="N401" s="167" t="str">
        <f t="shared" si="13"/>
        <v xml:space="preserve"> </v>
      </c>
    </row>
    <row r="402" spans="1:14" ht="15" x14ac:dyDescent="0.25">
      <c r="A402" s="131" t="str">
        <f>IF(ISBLANK('ALL Other SINs - Proposal'!A402)," ",'ALL Other SINs - Proposal'!A402)</f>
        <v xml:space="preserve"> </v>
      </c>
      <c r="B402" s="137" t="str">
        <f>IF(ISBLANK('ALL Other SINs - Proposal'!B402)," ",'ALL Other SINs - Proposal'!B402)</f>
        <v xml:space="preserve"> </v>
      </c>
      <c r="C402" s="137" t="str">
        <f>IF(ISBLANK('ALL Other SINs - Proposal'!C402)," ",'ALL Other SINs - Proposal'!C402)</f>
        <v xml:space="preserve"> </v>
      </c>
      <c r="D402" s="138" t="str">
        <f>IF(ISBLANK('ALL Other SINs - Proposal'!D402)," ",'ALL Other SINs - Proposal'!D402)</f>
        <v xml:space="preserve"> </v>
      </c>
      <c r="E402" s="69" t="str">
        <f>IF(ISBLANK('ALL Other SINs - Proposal'!R402)," ",'ALL Other SINs - Proposal'!R402)</f>
        <v xml:space="preserve"> </v>
      </c>
      <c r="F402" s="73" t="str">
        <f>IF(ISBLANK('ALL Other SINs - Proposal'!S402)," ",'ALL Other SINs - Proposal'!S402)</f>
        <v xml:space="preserve"> </v>
      </c>
      <c r="G402" s="173" t="str">
        <f>IF(ISBLANK('ALL Other SINs - Proposal'!T402)," ",'ALL Other SINs - Proposal'!T402)</f>
        <v xml:space="preserve"> </v>
      </c>
      <c r="H402" s="275" t="str">
        <f>IF(ISBLANK('ALL Other SINs - Proposal'!V402)," ",'ALL Other SINs - Proposal'!V402)</f>
        <v xml:space="preserve"> </v>
      </c>
      <c r="I402" s="271" t="str">
        <f>IF(ISBLANK('ALL Other SINs - Proposal'!W402)," ",'ALL Other SINs - Proposal'!W402)</f>
        <v xml:space="preserve"> </v>
      </c>
      <c r="J402" s="71" t="str">
        <f>IF(ISBLANK('ALL Other SINs - Proposal'!X402)," ",'ALL Other SINs - Proposal'!X402)</f>
        <v xml:space="preserve"> </v>
      </c>
      <c r="K402" s="165" t="str">
        <f>IF(ISBLANK('ALL Other SINs - Proposal'!AA402)," ",'ALL Other SINs - Proposal'!AA402)</f>
        <v xml:space="preserve"> </v>
      </c>
      <c r="L402" s="178" t="str">
        <f>IF(ISBLANK('ALL Other SINs - Proposal'!AB402)," ",'ALL Other SINs - Proposal'!AB402)</f>
        <v xml:space="preserve"> </v>
      </c>
      <c r="M402" s="72" t="str">
        <f t="shared" si="12"/>
        <v xml:space="preserve"> </v>
      </c>
      <c r="N402" s="167" t="str">
        <f t="shared" si="13"/>
        <v xml:space="preserve"> </v>
      </c>
    </row>
    <row r="403" spans="1:14" ht="15" x14ac:dyDescent="0.25">
      <c r="A403" s="131" t="str">
        <f>IF(ISBLANK('ALL Other SINs - Proposal'!A403)," ",'ALL Other SINs - Proposal'!A403)</f>
        <v xml:space="preserve"> </v>
      </c>
      <c r="B403" s="137" t="str">
        <f>IF(ISBLANK('ALL Other SINs - Proposal'!B403)," ",'ALL Other SINs - Proposal'!B403)</f>
        <v xml:space="preserve"> </v>
      </c>
      <c r="C403" s="137" t="str">
        <f>IF(ISBLANK('ALL Other SINs - Proposal'!C403)," ",'ALL Other SINs - Proposal'!C403)</f>
        <v xml:space="preserve"> </v>
      </c>
      <c r="D403" s="138" t="str">
        <f>IF(ISBLANK('ALL Other SINs - Proposal'!D403)," ",'ALL Other SINs - Proposal'!D403)</f>
        <v xml:space="preserve"> </v>
      </c>
      <c r="E403" s="69" t="str">
        <f>IF(ISBLANK('ALL Other SINs - Proposal'!R403)," ",'ALL Other SINs - Proposal'!R403)</f>
        <v xml:space="preserve"> </v>
      </c>
      <c r="F403" s="73" t="str">
        <f>IF(ISBLANK('ALL Other SINs - Proposal'!S403)," ",'ALL Other SINs - Proposal'!S403)</f>
        <v xml:space="preserve"> </v>
      </c>
      <c r="G403" s="173" t="str">
        <f>IF(ISBLANK('ALL Other SINs - Proposal'!T403)," ",'ALL Other SINs - Proposal'!T403)</f>
        <v xml:space="preserve"> </v>
      </c>
      <c r="H403" s="275" t="str">
        <f>IF(ISBLANK('ALL Other SINs - Proposal'!V403)," ",'ALL Other SINs - Proposal'!V403)</f>
        <v xml:space="preserve"> </v>
      </c>
      <c r="I403" s="271" t="str">
        <f>IF(ISBLANK('ALL Other SINs - Proposal'!W403)," ",'ALL Other SINs - Proposal'!W403)</f>
        <v xml:space="preserve"> </v>
      </c>
      <c r="J403" s="71" t="str">
        <f>IF(ISBLANK('ALL Other SINs - Proposal'!X403)," ",'ALL Other SINs - Proposal'!X403)</f>
        <v xml:space="preserve"> </v>
      </c>
      <c r="K403" s="165" t="str">
        <f>IF(ISBLANK('ALL Other SINs - Proposal'!AA403)," ",'ALL Other SINs - Proposal'!AA403)</f>
        <v xml:space="preserve"> </v>
      </c>
      <c r="L403" s="178" t="str">
        <f>IF(ISBLANK('ALL Other SINs - Proposal'!AB403)," ",'ALL Other SINs - Proposal'!AB403)</f>
        <v xml:space="preserve"> </v>
      </c>
      <c r="M403" s="72" t="str">
        <f t="shared" si="12"/>
        <v xml:space="preserve"> </v>
      </c>
      <c r="N403" s="167" t="str">
        <f t="shared" si="13"/>
        <v xml:space="preserve"> </v>
      </c>
    </row>
    <row r="404" spans="1:14" ht="15" x14ac:dyDescent="0.25">
      <c r="A404" s="131" t="str">
        <f>IF(ISBLANK('ALL Other SINs - Proposal'!A404)," ",'ALL Other SINs - Proposal'!A404)</f>
        <v xml:space="preserve"> </v>
      </c>
      <c r="B404" s="137" t="str">
        <f>IF(ISBLANK('ALL Other SINs - Proposal'!B404)," ",'ALL Other SINs - Proposal'!B404)</f>
        <v xml:space="preserve"> </v>
      </c>
      <c r="C404" s="137" t="str">
        <f>IF(ISBLANK('ALL Other SINs - Proposal'!C404)," ",'ALL Other SINs - Proposal'!C404)</f>
        <v xml:space="preserve"> </v>
      </c>
      <c r="D404" s="138" t="str">
        <f>IF(ISBLANK('ALL Other SINs - Proposal'!D404)," ",'ALL Other SINs - Proposal'!D404)</f>
        <v xml:space="preserve"> </v>
      </c>
      <c r="E404" s="69" t="str">
        <f>IF(ISBLANK('ALL Other SINs - Proposal'!R404)," ",'ALL Other SINs - Proposal'!R404)</f>
        <v xml:space="preserve"> </v>
      </c>
      <c r="F404" s="73" t="str">
        <f>IF(ISBLANK('ALL Other SINs - Proposal'!S404)," ",'ALL Other SINs - Proposal'!S404)</f>
        <v xml:space="preserve"> </v>
      </c>
      <c r="G404" s="173" t="str">
        <f>IF(ISBLANK('ALL Other SINs - Proposal'!T404)," ",'ALL Other SINs - Proposal'!T404)</f>
        <v xml:space="preserve"> </v>
      </c>
      <c r="H404" s="275" t="str">
        <f>IF(ISBLANK('ALL Other SINs - Proposal'!V404)," ",'ALL Other SINs - Proposal'!V404)</f>
        <v xml:space="preserve"> </v>
      </c>
      <c r="I404" s="271" t="str">
        <f>IF(ISBLANK('ALL Other SINs - Proposal'!W404)," ",'ALL Other SINs - Proposal'!W404)</f>
        <v xml:space="preserve"> </v>
      </c>
      <c r="J404" s="71" t="str">
        <f>IF(ISBLANK('ALL Other SINs - Proposal'!X404)," ",'ALL Other SINs - Proposal'!X404)</f>
        <v xml:space="preserve"> </v>
      </c>
      <c r="K404" s="165" t="str">
        <f>IF(ISBLANK('ALL Other SINs - Proposal'!AA404)," ",'ALL Other SINs - Proposal'!AA404)</f>
        <v xml:space="preserve"> </v>
      </c>
      <c r="L404" s="178" t="str">
        <f>IF(ISBLANK('ALL Other SINs - Proposal'!AB404)," ",'ALL Other SINs - Proposal'!AB404)</f>
        <v xml:space="preserve"> </v>
      </c>
      <c r="M404" s="72" t="str">
        <f t="shared" si="12"/>
        <v xml:space="preserve"> </v>
      </c>
      <c r="N404" s="167" t="str">
        <f t="shared" si="13"/>
        <v xml:space="preserve"> </v>
      </c>
    </row>
    <row r="405" spans="1:14" ht="15" x14ac:dyDescent="0.25">
      <c r="A405" s="131" t="str">
        <f>IF(ISBLANK('ALL Other SINs - Proposal'!A405)," ",'ALL Other SINs - Proposal'!A405)</f>
        <v xml:space="preserve"> </v>
      </c>
      <c r="B405" s="137" t="str">
        <f>IF(ISBLANK('ALL Other SINs - Proposal'!B405)," ",'ALL Other SINs - Proposal'!B405)</f>
        <v xml:space="preserve"> </v>
      </c>
      <c r="C405" s="137" t="str">
        <f>IF(ISBLANK('ALL Other SINs - Proposal'!C405)," ",'ALL Other SINs - Proposal'!C405)</f>
        <v xml:space="preserve"> </v>
      </c>
      <c r="D405" s="138" t="str">
        <f>IF(ISBLANK('ALL Other SINs - Proposal'!D405)," ",'ALL Other SINs - Proposal'!D405)</f>
        <v xml:space="preserve"> </v>
      </c>
      <c r="E405" s="69" t="str">
        <f>IF(ISBLANK('ALL Other SINs - Proposal'!R405)," ",'ALL Other SINs - Proposal'!R405)</f>
        <v xml:space="preserve"> </v>
      </c>
      <c r="F405" s="73" t="str">
        <f>IF(ISBLANK('ALL Other SINs - Proposal'!S405)," ",'ALL Other SINs - Proposal'!S405)</f>
        <v xml:space="preserve"> </v>
      </c>
      <c r="G405" s="173" t="str">
        <f>IF(ISBLANK('ALL Other SINs - Proposal'!T405)," ",'ALL Other SINs - Proposal'!T405)</f>
        <v xml:space="preserve"> </v>
      </c>
      <c r="H405" s="275" t="str">
        <f>IF(ISBLANK('ALL Other SINs - Proposal'!V405)," ",'ALL Other SINs - Proposal'!V405)</f>
        <v xml:space="preserve"> </v>
      </c>
      <c r="I405" s="271" t="str">
        <f>IF(ISBLANK('ALL Other SINs - Proposal'!W405)," ",'ALL Other SINs - Proposal'!W405)</f>
        <v xml:space="preserve"> </v>
      </c>
      <c r="J405" s="71" t="str">
        <f>IF(ISBLANK('ALL Other SINs - Proposal'!X405)," ",'ALL Other SINs - Proposal'!X405)</f>
        <v xml:space="preserve"> </v>
      </c>
      <c r="K405" s="165" t="str">
        <f>IF(ISBLANK('ALL Other SINs - Proposal'!AA405)," ",'ALL Other SINs - Proposal'!AA405)</f>
        <v xml:space="preserve"> </v>
      </c>
      <c r="L405" s="178" t="str">
        <f>IF(ISBLANK('ALL Other SINs - Proposal'!AB405)," ",'ALL Other SINs - Proposal'!AB405)</f>
        <v xml:space="preserve"> </v>
      </c>
      <c r="M405" s="72" t="str">
        <f t="shared" si="12"/>
        <v xml:space="preserve"> </v>
      </c>
      <c r="N405" s="167" t="str">
        <f t="shared" si="13"/>
        <v xml:space="preserve"> </v>
      </c>
    </row>
    <row r="406" spans="1:14" ht="15" x14ac:dyDescent="0.25">
      <c r="A406" s="131" t="str">
        <f>IF(ISBLANK('ALL Other SINs - Proposal'!A406)," ",'ALL Other SINs - Proposal'!A406)</f>
        <v xml:space="preserve"> </v>
      </c>
      <c r="B406" s="137" t="str">
        <f>IF(ISBLANK('ALL Other SINs - Proposal'!B406)," ",'ALL Other SINs - Proposal'!B406)</f>
        <v xml:space="preserve"> </v>
      </c>
      <c r="C406" s="137" t="str">
        <f>IF(ISBLANK('ALL Other SINs - Proposal'!C406)," ",'ALL Other SINs - Proposal'!C406)</f>
        <v xml:space="preserve"> </v>
      </c>
      <c r="D406" s="138" t="str">
        <f>IF(ISBLANK('ALL Other SINs - Proposal'!D406)," ",'ALL Other SINs - Proposal'!D406)</f>
        <v xml:space="preserve"> </v>
      </c>
      <c r="E406" s="69" t="str">
        <f>IF(ISBLANK('ALL Other SINs - Proposal'!R406)," ",'ALL Other SINs - Proposal'!R406)</f>
        <v xml:space="preserve"> </v>
      </c>
      <c r="F406" s="73" t="str">
        <f>IF(ISBLANK('ALL Other SINs - Proposal'!S406)," ",'ALL Other SINs - Proposal'!S406)</f>
        <v xml:space="preserve"> </v>
      </c>
      <c r="G406" s="173" t="str">
        <f>IF(ISBLANK('ALL Other SINs - Proposal'!T406)," ",'ALL Other SINs - Proposal'!T406)</f>
        <v xml:space="preserve"> </v>
      </c>
      <c r="H406" s="275" t="str">
        <f>IF(ISBLANK('ALL Other SINs - Proposal'!V406)," ",'ALL Other SINs - Proposal'!V406)</f>
        <v xml:space="preserve"> </v>
      </c>
      <c r="I406" s="271" t="str">
        <f>IF(ISBLANK('ALL Other SINs - Proposal'!W406)," ",'ALL Other SINs - Proposal'!W406)</f>
        <v xml:space="preserve"> </v>
      </c>
      <c r="J406" s="71" t="str">
        <f>IF(ISBLANK('ALL Other SINs - Proposal'!X406)," ",'ALL Other SINs - Proposal'!X406)</f>
        <v xml:space="preserve"> </v>
      </c>
      <c r="K406" s="165" t="str">
        <f>IF(ISBLANK('ALL Other SINs - Proposal'!AA406)," ",'ALL Other SINs - Proposal'!AA406)</f>
        <v xml:space="preserve"> </v>
      </c>
      <c r="L406" s="178" t="str">
        <f>IF(ISBLANK('ALL Other SINs - Proposal'!AB406)," ",'ALL Other SINs - Proposal'!AB406)</f>
        <v xml:space="preserve"> </v>
      </c>
      <c r="M406" s="72" t="str">
        <f t="shared" si="12"/>
        <v xml:space="preserve"> </v>
      </c>
      <c r="N406" s="167" t="str">
        <f t="shared" si="13"/>
        <v xml:space="preserve"> </v>
      </c>
    </row>
    <row r="407" spans="1:14" ht="15" x14ac:dyDescent="0.25">
      <c r="A407" s="131" t="str">
        <f>IF(ISBLANK('ALL Other SINs - Proposal'!A407)," ",'ALL Other SINs - Proposal'!A407)</f>
        <v xml:space="preserve"> </v>
      </c>
      <c r="B407" s="137" t="str">
        <f>IF(ISBLANK('ALL Other SINs - Proposal'!B407)," ",'ALL Other SINs - Proposal'!B407)</f>
        <v xml:space="preserve"> </v>
      </c>
      <c r="C407" s="137" t="str">
        <f>IF(ISBLANK('ALL Other SINs - Proposal'!C407)," ",'ALL Other SINs - Proposal'!C407)</f>
        <v xml:space="preserve"> </v>
      </c>
      <c r="D407" s="138" t="str">
        <f>IF(ISBLANK('ALL Other SINs - Proposal'!D407)," ",'ALL Other SINs - Proposal'!D407)</f>
        <v xml:space="preserve"> </v>
      </c>
      <c r="E407" s="69" t="str">
        <f>IF(ISBLANK('ALL Other SINs - Proposal'!R407)," ",'ALL Other SINs - Proposal'!R407)</f>
        <v xml:space="preserve"> </v>
      </c>
      <c r="F407" s="73" t="str">
        <f>IF(ISBLANK('ALL Other SINs - Proposal'!S407)," ",'ALL Other SINs - Proposal'!S407)</f>
        <v xml:space="preserve"> </v>
      </c>
      <c r="G407" s="173" t="str">
        <f>IF(ISBLANK('ALL Other SINs - Proposal'!T407)," ",'ALL Other SINs - Proposal'!T407)</f>
        <v xml:space="preserve"> </v>
      </c>
      <c r="H407" s="275" t="str">
        <f>IF(ISBLANK('ALL Other SINs - Proposal'!V407)," ",'ALL Other SINs - Proposal'!V407)</f>
        <v xml:space="preserve"> </v>
      </c>
      <c r="I407" s="271" t="str">
        <f>IF(ISBLANK('ALL Other SINs - Proposal'!W407)," ",'ALL Other SINs - Proposal'!W407)</f>
        <v xml:space="preserve"> </v>
      </c>
      <c r="J407" s="71" t="str">
        <f>IF(ISBLANK('ALL Other SINs - Proposal'!X407)," ",'ALL Other SINs - Proposal'!X407)</f>
        <v xml:space="preserve"> </v>
      </c>
      <c r="K407" s="165" t="str">
        <f>IF(ISBLANK('ALL Other SINs - Proposal'!AA407)," ",'ALL Other SINs - Proposal'!AA407)</f>
        <v xml:space="preserve"> </v>
      </c>
      <c r="L407" s="178" t="str">
        <f>IF(ISBLANK('ALL Other SINs - Proposal'!AB407)," ",'ALL Other SINs - Proposal'!AB407)</f>
        <v xml:space="preserve"> </v>
      </c>
      <c r="M407" s="72" t="str">
        <f t="shared" si="12"/>
        <v xml:space="preserve"> </v>
      </c>
      <c r="N407" s="167" t="str">
        <f t="shared" si="13"/>
        <v xml:space="preserve"> </v>
      </c>
    </row>
    <row r="408" spans="1:14" ht="15" x14ac:dyDescent="0.25">
      <c r="A408" s="131" t="str">
        <f>IF(ISBLANK('ALL Other SINs - Proposal'!A408)," ",'ALL Other SINs - Proposal'!A408)</f>
        <v xml:space="preserve"> </v>
      </c>
      <c r="B408" s="137" t="str">
        <f>IF(ISBLANK('ALL Other SINs - Proposal'!B408)," ",'ALL Other SINs - Proposal'!B408)</f>
        <v xml:space="preserve"> </v>
      </c>
      <c r="C408" s="137" t="str">
        <f>IF(ISBLANK('ALL Other SINs - Proposal'!C408)," ",'ALL Other SINs - Proposal'!C408)</f>
        <v xml:space="preserve"> </v>
      </c>
      <c r="D408" s="138" t="str">
        <f>IF(ISBLANK('ALL Other SINs - Proposal'!D408)," ",'ALL Other SINs - Proposal'!D408)</f>
        <v xml:space="preserve"> </v>
      </c>
      <c r="E408" s="69" t="str">
        <f>IF(ISBLANK('ALL Other SINs - Proposal'!R408)," ",'ALL Other SINs - Proposal'!R408)</f>
        <v xml:space="preserve"> </v>
      </c>
      <c r="F408" s="73" t="str">
        <f>IF(ISBLANK('ALL Other SINs - Proposal'!S408)," ",'ALL Other SINs - Proposal'!S408)</f>
        <v xml:space="preserve"> </v>
      </c>
      <c r="G408" s="173" t="str">
        <f>IF(ISBLANK('ALL Other SINs - Proposal'!T408)," ",'ALL Other SINs - Proposal'!T408)</f>
        <v xml:space="preserve"> </v>
      </c>
      <c r="H408" s="275" t="str">
        <f>IF(ISBLANK('ALL Other SINs - Proposal'!V408)," ",'ALL Other SINs - Proposal'!V408)</f>
        <v xml:space="preserve"> </v>
      </c>
      <c r="I408" s="271" t="str">
        <f>IF(ISBLANK('ALL Other SINs - Proposal'!W408)," ",'ALL Other SINs - Proposal'!W408)</f>
        <v xml:space="preserve"> </v>
      </c>
      <c r="J408" s="71" t="str">
        <f>IF(ISBLANK('ALL Other SINs - Proposal'!X408)," ",'ALL Other SINs - Proposal'!X408)</f>
        <v xml:space="preserve"> </v>
      </c>
      <c r="K408" s="165" t="str">
        <f>IF(ISBLANK('ALL Other SINs - Proposal'!AA408)," ",'ALL Other SINs - Proposal'!AA408)</f>
        <v xml:space="preserve"> </v>
      </c>
      <c r="L408" s="178" t="str">
        <f>IF(ISBLANK('ALL Other SINs - Proposal'!AB408)," ",'ALL Other SINs - Proposal'!AB408)</f>
        <v xml:space="preserve"> </v>
      </c>
      <c r="M408" s="72" t="str">
        <f t="shared" si="12"/>
        <v xml:space="preserve"> </v>
      </c>
      <c r="N408" s="167" t="str">
        <f t="shared" si="13"/>
        <v xml:space="preserve"> </v>
      </c>
    </row>
    <row r="409" spans="1:14" ht="15" x14ac:dyDescent="0.25">
      <c r="A409" s="131" t="str">
        <f>IF(ISBLANK('ALL Other SINs - Proposal'!A409)," ",'ALL Other SINs - Proposal'!A409)</f>
        <v xml:space="preserve"> </v>
      </c>
      <c r="B409" s="137" t="str">
        <f>IF(ISBLANK('ALL Other SINs - Proposal'!B409)," ",'ALL Other SINs - Proposal'!B409)</f>
        <v xml:space="preserve"> </v>
      </c>
      <c r="C409" s="137" t="str">
        <f>IF(ISBLANK('ALL Other SINs - Proposal'!C409)," ",'ALL Other SINs - Proposal'!C409)</f>
        <v xml:space="preserve"> </v>
      </c>
      <c r="D409" s="138" t="str">
        <f>IF(ISBLANK('ALL Other SINs - Proposal'!D409)," ",'ALL Other SINs - Proposal'!D409)</f>
        <v xml:space="preserve"> </v>
      </c>
      <c r="E409" s="69" t="str">
        <f>IF(ISBLANK('ALL Other SINs - Proposal'!R409)," ",'ALL Other SINs - Proposal'!R409)</f>
        <v xml:space="preserve"> </v>
      </c>
      <c r="F409" s="73" t="str">
        <f>IF(ISBLANK('ALL Other SINs - Proposal'!S409)," ",'ALL Other SINs - Proposal'!S409)</f>
        <v xml:space="preserve"> </v>
      </c>
      <c r="G409" s="173" t="str">
        <f>IF(ISBLANK('ALL Other SINs - Proposal'!T409)," ",'ALL Other SINs - Proposal'!T409)</f>
        <v xml:space="preserve"> </v>
      </c>
      <c r="H409" s="275" t="str">
        <f>IF(ISBLANK('ALL Other SINs - Proposal'!V409)," ",'ALL Other SINs - Proposal'!V409)</f>
        <v xml:space="preserve"> </v>
      </c>
      <c r="I409" s="271" t="str">
        <f>IF(ISBLANK('ALL Other SINs - Proposal'!W409)," ",'ALL Other SINs - Proposal'!W409)</f>
        <v xml:space="preserve"> </v>
      </c>
      <c r="J409" s="71" t="str">
        <f>IF(ISBLANK('ALL Other SINs - Proposal'!X409)," ",'ALL Other SINs - Proposal'!X409)</f>
        <v xml:space="preserve"> </v>
      </c>
      <c r="K409" s="165" t="str">
        <f>IF(ISBLANK('ALL Other SINs - Proposal'!AA409)," ",'ALL Other SINs - Proposal'!AA409)</f>
        <v xml:space="preserve"> </v>
      </c>
      <c r="L409" s="178" t="str">
        <f>IF(ISBLANK('ALL Other SINs - Proposal'!AB409)," ",'ALL Other SINs - Proposal'!AB409)</f>
        <v xml:space="preserve"> </v>
      </c>
      <c r="M409" s="72" t="str">
        <f t="shared" si="12"/>
        <v xml:space="preserve"> </v>
      </c>
      <c r="N409" s="167" t="str">
        <f t="shared" si="13"/>
        <v xml:space="preserve"> </v>
      </c>
    </row>
    <row r="410" spans="1:14" ht="15" x14ac:dyDescent="0.25">
      <c r="A410" s="131" t="str">
        <f>IF(ISBLANK('ALL Other SINs - Proposal'!A410)," ",'ALL Other SINs - Proposal'!A410)</f>
        <v xml:space="preserve"> </v>
      </c>
      <c r="B410" s="137" t="str">
        <f>IF(ISBLANK('ALL Other SINs - Proposal'!B410)," ",'ALL Other SINs - Proposal'!B410)</f>
        <v xml:space="preserve"> </v>
      </c>
      <c r="C410" s="137" t="str">
        <f>IF(ISBLANK('ALL Other SINs - Proposal'!C410)," ",'ALL Other SINs - Proposal'!C410)</f>
        <v xml:space="preserve"> </v>
      </c>
      <c r="D410" s="138" t="str">
        <f>IF(ISBLANK('ALL Other SINs - Proposal'!D410)," ",'ALL Other SINs - Proposal'!D410)</f>
        <v xml:space="preserve"> </v>
      </c>
      <c r="E410" s="69" t="str">
        <f>IF(ISBLANK('ALL Other SINs - Proposal'!R410)," ",'ALL Other SINs - Proposal'!R410)</f>
        <v xml:space="preserve"> </v>
      </c>
      <c r="F410" s="73" t="str">
        <f>IF(ISBLANK('ALL Other SINs - Proposal'!S410)," ",'ALL Other SINs - Proposal'!S410)</f>
        <v xml:space="preserve"> </v>
      </c>
      <c r="G410" s="173" t="str">
        <f>IF(ISBLANK('ALL Other SINs - Proposal'!T410)," ",'ALL Other SINs - Proposal'!T410)</f>
        <v xml:space="preserve"> </v>
      </c>
      <c r="H410" s="275" t="str">
        <f>IF(ISBLANK('ALL Other SINs - Proposal'!V410)," ",'ALL Other SINs - Proposal'!V410)</f>
        <v xml:space="preserve"> </v>
      </c>
      <c r="I410" s="271" t="str">
        <f>IF(ISBLANK('ALL Other SINs - Proposal'!W410)," ",'ALL Other SINs - Proposal'!W410)</f>
        <v xml:space="preserve"> </v>
      </c>
      <c r="J410" s="71" t="str">
        <f>IF(ISBLANK('ALL Other SINs - Proposal'!X410)," ",'ALL Other SINs - Proposal'!X410)</f>
        <v xml:space="preserve"> </v>
      </c>
      <c r="K410" s="165" t="str">
        <f>IF(ISBLANK('ALL Other SINs - Proposal'!AA410)," ",'ALL Other SINs - Proposal'!AA410)</f>
        <v xml:space="preserve"> </v>
      </c>
      <c r="L410" s="178" t="str">
        <f>IF(ISBLANK('ALL Other SINs - Proposal'!AB410)," ",'ALL Other SINs - Proposal'!AB410)</f>
        <v xml:space="preserve"> </v>
      </c>
      <c r="M410" s="72" t="str">
        <f t="shared" si="12"/>
        <v xml:space="preserve"> </v>
      </c>
      <c r="N410" s="167" t="str">
        <f t="shared" si="13"/>
        <v xml:space="preserve"> </v>
      </c>
    </row>
    <row r="411" spans="1:14" ht="15" x14ac:dyDescent="0.25">
      <c r="A411" s="131" t="str">
        <f>IF(ISBLANK('ALL Other SINs - Proposal'!A411)," ",'ALL Other SINs - Proposal'!A411)</f>
        <v xml:space="preserve"> </v>
      </c>
      <c r="B411" s="137" t="str">
        <f>IF(ISBLANK('ALL Other SINs - Proposal'!B411)," ",'ALL Other SINs - Proposal'!B411)</f>
        <v xml:space="preserve"> </v>
      </c>
      <c r="C411" s="137" t="str">
        <f>IF(ISBLANK('ALL Other SINs - Proposal'!C411)," ",'ALL Other SINs - Proposal'!C411)</f>
        <v xml:space="preserve"> </v>
      </c>
      <c r="D411" s="138" t="str">
        <f>IF(ISBLANK('ALL Other SINs - Proposal'!D411)," ",'ALL Other SINs - Proposal'!D411)</f>
        <v xml:space="preserve"> </v>
      </c>
      <c r="E411" s="69" t="str">
        <f>IF(ISBLANK('ALL Other SINs - Proposal'!R411)," ",'ALL Other SINs - Proposal'!R411)</f>
        <v xml:space="preserve"> </v>
      </c>
      <c r="F411" s="73" t="str">
        <f>IF(ISBLANK('ALL Other SINs - Proposal'!S411)," ",'ALL Other SINs - Proposal'!S411)</f>
        <v xml:space="preserve"> </v>
      </c>
      <c r="G411" s="173" t="str">
        <f>IF(ISBLANK('ALL Other SINs - Proposal'!T411)," ",'ALL Other SINs - Proposal'!T411)</f>
        <v xml:space="preserve"> </v>
      </c>
      <c r="H411" s="275" t="str">
        <f>IF(ISBLANK('ALL Other SINs - Proposal'!V411)," ",'ALL Other SINs - Proposal'!V411)</f>
        <v xml:space="preserve"> </v>
      </c>
      <c r="I411" s="271" t="str">
        <f>IF(ISBLANK('ALL Other SINs - Proposal'!W411)," ",'ALL Other SINs - Proposal'!W411)</f>
        <v xml:space="preserve"> </v>
      </c>
      <c r="J411" s="71" t="str">
        <f>IF(ISBLANK('ALL Other SINs - Proposal'!X411)," ",'ALL Other SINs - Proposal'!X411)</f>
        <v xml:space="preserve"> </v>
      </c>
      <c r="K411" s="165" t="str">
        <f>IF(ISBLANK('ALL Other SINs - Proposal'!AA411)," ",'ALL Other SINs - Proposal'!AA411)</f>
        <v xml:space="preserve"> </v>
      </c>
      <c r="L411" s="178" t="str">
        <f>IF(ISBLANK('ALL Other SINs - Proposal'!AB411)," ",'ALL Other SINs - Proposal'!AB411)</f>
        <v xml:space="preserve"> </v>
      </c>
      <c r="M411" s="72" t="str">
        <f t="shared" si="12"/>
        <v xml:space="preserve"> </v>
      </c>
      <c r="N411" s="167" t="str">
        <f t="shared" si="13"/>
        <v xml:space="preserve"> </v>
      </c>
    </row>
    <row r="412" spans="1:14" ht="15" x14ac:dyDescent="0.25">
      <c r="A412" s="131" t="str">
        <f>IF(ISBLANK('ALL Other SINs - Proposal'!A412)," ",'ALL Other SINs - Proposal'!A412)</f>
        <v xml:space="preserve"> </v>
      </c>
      <c r="B412" s="137" t="str">
        <f>IF(ISBLANK('ALL Other SINs - Proposal'!B412)," ",'ALL Other SINs - Proposal'!B412)</f>
        <v xml:space="preserve"> </v>
      </c>
      <c r="C412" s="137" t="str">
        <f>IF(ISBLANK('ALL Other SINs - Proposal'!C412)," ",'ALL Other SINs - Proposal'!C412)</f>
        <v xml:space="preserve"> </v>
      </c>
      <c r="D412" s="138" t="str">
        <f>IF(ISBLANK('ALL Other SINs - Proposal'!D412)," ",'ALL Other SINs - Proposal'!D412)</f>
        <v xml:space="preserve"> </v>
      </c>
      <c r="E412" s="69" t="str">
        <f>IF(ISBLANK('ALL Other SINs - Proposal'!R412)," ",'ALL Other SINs - Proposal'!R412)</f>
        <v xml:space="preserve"> </v>
      </c>
      <c r="F412" s="73" t="str">
        <f>IF(ISBLANK('ALL Other SINs - Proposal'!S412)," ",'ALL Other SINs - Proposal'!S412)</f>
        <v xml:space="preserve"> </v>
      </c>
      <c r="G412" s="173" t="str">
        <f>IF(ISBLANK('ALL Other SINs - Proposal'!T412)," ",'ALL Other SINs - Proposal'!T412)</f>
        <v xml:space="preserve"> </v>
      </c>
      <c r="H412" s="275" t="str">
        <f>IF(ISBLANK('ALL Other SINs - Proposal'!V412)," ",'ALL Other SINs - Proposal'!V412)</f>
        <v xml:space="preserve"> </v>
      </c>
      <c r="I412" s="271" t="str">
        <f>IF(ISBLANK('ALL Other SINs - Proposal'!W412)," ",'ALL Other SINs - Proposal'!W412)</f>
        <v xml:space="preserve"> </v>
      </c>
      <c r="J412" s="71" t="str">
        <f>IF(ISBLANK('ALL Other SINs - Proposal'!X412)," ",'ALL Other SINs - Proposal'!X412)</f>
        <v xml:space="preserve"> </v>
      </c>
      <c r="K412" s="165" t="str">
        <f>IF(ISBLANK('ALL Other SINs - Proposal'!AA412)," ",'ALL Other SINs - Proposal'!AA412)</f>
        <v xml:space="preserve"> </v>
      </c>
      <c r="L412" s="178" t="str">
        <f>IF(ISBLANK('ALL Other SINs - Proposal'!AB412)," ",'ALL Other SINs - Proposal'!AB412)</f>
        <v xml:space="preserve"> </v>
      </c>
      <c r="M412" s="72" t="str">
        <f t="shared" si="12"/>
        <v xml:space="preserve"> </v>
      </c>
      <c r="N412" s="167" t="str">
        <f t="shared" si="13"/>
        <v xml:space="preserve"> </v>
      </c>
    </row>
    <row r="413" spans="1:14" ht="15" x14ac:dyDescent="0.25">
      <c r="A413" s="131" t="str">
        <f>IF(ISBLANK('ALL Other SINs - Proposal'!A413)," ",'ALL Other SINs - Proposal'!A413)</f>
        <v xml:space="preserve"> </v>
      </c>
      <c r="B413" s="137" t="str">
        <f>IF(ISBLANK('ALL Other SINs - Proposal'!B413)," ",'ALL Other SINs - Proposal'!B413)</f>
        <v xml:space="preserve"> </v>
      </c>
      <c r="C413" s="137" t="str">
        <f>IF(ISBLANK('ALL Other SINs - Proposal'!C413)," ",'ALL Other SINs - Proposal'!C413)</f>
        <v xml:space="preserve"> </v>
      </c>
      <c r="D413" s="138" t="str">
        <f>IF(ISBLANK('ALL Other SINs - Proposal'!D413)," ",'ALL Other SINs - Proposal'!D413)</f>
        <v xml:space="preserve"> </v>
      </c>
      <c r="E413" s="69" t="str">
        <f>IF(ISBLANK('ALL Other SINs - Proposal'!R413)," ",'ALL Other SINs - Proposal'!R413)</f>
        <v xml:space="preserve"> </v>
      </c>
      <c r="F413" s="73" t="str">
        <f>IF(ISBLANK('ALL Other SINs - Proposal'!S413)," ",'ALL Other SINs - Proposal'!S413)</f>
        <v xml:space="preserve"> </v>
      </c>
      <c r="G413" s="173" t="str">
        <f>IF(ISBLANK('ALL Other SINs - Proposal'!T413)," ",'ALL Other SINs - Proposal'!T413)</f>
        <v xml:space="preserve"> </v>
      </c>
      <c r="H413" s="275" t="str">
        <f>IF(ISBLANK('ALL Other SINs - Proposal'!V413)," ",'ALL Other SINs - Proposal'!V413)</f>
        <v xml:space="preserve"> </v>
      </c>
      <c r="I413" s="271" t="str">
        <f>IF(ISBLANK('ALL Other SINs - Proposal'!W413)," ",'ALL Other SINs - Proposal'!W413)</f>
        <v xml:space="preserve"> </v>
      </c>
      <c r="J413" s="71" t="str">
        <f>IF(ISBLANK('ALL Other SINs - Proposal'!X413)," ",'ALL Other SINs - Proposal'!X413)</f>
        <v xml:space="preserve"> </v>
      </c>
      <c r="K413" s="165" t="str">
        <f>IF(ISBLANK('ALL Other SINs - Proposal'!AA413)," ",'ALL Other SINs - Proposal'!AA413)</f>
        <v xml:space="preserve"> </v>
      </c>
      <c r="L413" s="178" t="str">
        <f>IF(ISBLANK('ALL Other SINs - Proposal'!AB413)," ",'ALL Other SINs - Proposal'!AB413)</f>
        <v xml:space="preserve"> </v>
      </c>
      <c r="M413" s="72" t="str">
        <f t="shared" si="12"/>
        <v xml:space="preserve"> </v>
      </c>
      <c r="N413" s="167" t="str">
        <f t="shared" si="13"/>
        <v xml:space="preserve"> </v>
      </c>
    </row>
    <row r="414" spans="1:14" ht="15" x14ac:dyDescent="0.25">
      <c r="A414" s="131" t="str">
        <f>IF(ISBLANK('ALL Other SINs - Proposal'!A414)," ",'ALL Other SINs - Proposal'!A414)</f>
        <v xml:space="preserve"> </v>
      </c>
      <c r="B414" s="137" t="str">
        <f>IF(ISBLANK('ALL Other SINs - Proposal'!B414)," ",'ALL Other SINs - Proposal'!B414)</f>
        <v xml:space="preserve"> </v>
      </c>
      <c r="C414" s="137" t="str">
        <f>IF(ISBLANK('ALL Other SINs - Proposal'!C414)," ",'ALL Other SINs - Proposal'!C414)</f>
        <v xml:space="preserve"> </v>
      </c>
      <c r="D414" s="138" t="str">
        <f>IF(ISBLANK('ALL Other SINs - Proposal'!D414)," ",'ALL Other SINs - Proposal'!D414)</f>
        <v xml:space="preserve"> </v>
      </c>
      <c r="E414" s="69" t="str">
        <f>IF(ISBLANK('ALL Other SINs - Proposal'!R414)," ",'ALL Other SINs - Proposal'!R414)</f>
        <v xml:space="preserve"> </v>
      </c>
      <c r="F414" s="73" t="str">
        <f>IF(ISBLANK('ALL Other SINs - Proposal'!S414)," ",'ALL Other SINs - Proposal'!S414)</f>
        <v xml:space="preserve"> </v>
      </c>
      <c r="G414" s="173" t="str">
        <f>IF(ISBLANK('ALL Other SINs - Proposal'!T414)," ",'ALL Other SINs - Proposal'!T414)</f>
        <v xml:space="preserve"> </v>
      </c>
      <c r="H414" s="275" t="str">
        <f>IF(ISBLANK('ALL Other SINs - Proposal'!V414)," ",'ALL Other SINs - Proposal'!V414)</f>
        <v xml:space="preserve"> </v>
      </c>
      <c r="I414" s="271" t="str">
        <f>IF(ISBLANK('ALL Other SINs - Proposal'!W414)," ",'ALL Other SINs - Proposal'!W414)</f>
        <v xml:space="preserve"> </v>
      </c>
      <c r="J414" s="71" t="str">
        <f>IF(ISBLANK('ALL Other SINs - Proposal'!X414)," ",'ALL Other SINs - Proposal'!X414)</f>
        <v xml:space="preserve"> </v>
      </c>
      <c r="K414" s="165" t="str">
        <f>IF(ISBLANK('ALL Other SINs - Proposal'!AA414)," ",'ALL Other SINs - Proposal'!AA414)</f>
        <v xml:space="preserve"> </v>
      </c>
      <c r="L414" s="178" t="str">
        <f>IF(ISBLANK('ALL Other SINs - Proposal'!AB414)," ",'ALL Other SINs - Proposal'!AB414)</f>
        <v xml:space="preserve"> </v>
      </c>
      <c r="M414" s="72" t="str">
        <f t="shared" si="12"/>
        <v xml:space="preserve"> </v>
      </c>
      <c r="N414" s="167" t="str">
        <f t="shared" si="13"/>
        <v xml:space="preserve"> </v>
      </c>
    </row>
    <row r="415" spans="1:14" ht="15" x14ac:dyDescent="0.25">
      <c r="A415" s="131" t="str">
        <f>IF(ISBLANK('ALL Other SINs - Proposal'!A415)," ",'ALL Other SINs - Proposal'!A415)</f>
        <v xml:space="preserve"> </v>
      </c>
      <c r="B415" s="137" t="str">
        <f>IF(ISBLANK('ALL Other SINs - Proposal'!B415)," ",'ALL Other SINs - Proposal'!B415)</f>
        <v xml:space="preserve"> </v>
      </c>
      <c r="C415" s="137" t="str">
        <f>IF(ISBLANK('ALL Other SINs - Proposal'!C415)," ",'ALL Other SINs - Proposal'!C415)</f>
        <v xml:space="preserve"> </v>
      </c>
      <c r="D415" s="138" t="str">
        <f>IF(ISBLANK('ALL Other SINs - Proposal'!D415)," ",'ALL Other SINs - Proposal'!D415)</f>
        <v xml:space="preserve"> </v>
      </c>
      <c r="E415" s="69" t="str">
        <f>IF(ISBLANK('ALL Other SINs - Proposal'!R415)," ",'ALL Other SINs - Proposal'!R415)</f>
        <v xml:space="preserve"> </v>
      </c>
      <c r="F415" s="73" t="str">
        <f>IF(ISBLANK('ALL Other SINs - Proposal'!S415)," ",'ALL Other SINs - Proposal'!S415)</f>
        <v xml:space="preserve"> </v>
      </c>
      <c r="G415" s="173" t="str">
        <f>IF(ISBLANK('ALL Other SINs - Proposal'!T415)," ",'ALL Other SINs - Proposal'!T415)</f>
        <v xml:space="preserve"> </v>
      </c>
      <c r="H415" s="275" t="str">
        <f>IF(ISBLANK('ALL Other SINs - Proposal'!V415)," ",'ALL Other SINs - Proposal'!V415)</f>
        <v xml:space="preserve"> </v>
      </c>
      <c r="I415" s="271" t="str">
        <f>IF(ISBLANK('ALL Other SINs - Proposal'!W415)," ",'ALL Other SINs - Proposal'!W415)</f>
        <v xml:space="preserve"> </v>
      </c>
      <c r="J415" s="71" t="str">
        <f>IF(ISBLANK('ALL Other SINs - Proposal'!X415)," ",'ALL Other SINs - Proposal'!X415)</f>
        <v xml:space="preserve"> </v>
      </c>
      <c r="K415" s="165" t="str">
        <f>IF(ISBLANK('ALL Other SINs - Proposal'!AA415)," ",'ALL Other SINs - Proposal'!AA415)</f>
        <v xml:space="preserve"> </v>
      </c>
      <c r="L415" s="178" t="str">
        <f>IF(ISBLANK('ALL Other SINs - Proposal'!AB415)," ",'ALL Other SINs - Proposal'!AB415)</f>
        <v xml:space="preserve"> </v>
      </c>
      <c r="M415" s="72" t="str">
        <f t="shared" si="12"/>
        <v xml:space="preserve"> </v>
      </c>
      <c r="N415" s="167" t="str">
        <f t="shared" si="13"/>
        <v xml:space="preserve"> </v>
      </c>
    </row>
    <row r="416" spans="1:14" ht="15" x14ac:dyDescent="0.25">
      <c r="A416" s="131" t="str">
        <f>IF(ISBLANK('ALL Other SINs - Proposal'!A416)," ",'ALL Other SINs - Proposal'!A416)</f>
        <v xml:space="preserve"> </v>
      </c>
      <c r="B416" s="137" t="str">
        <f>IF(ISBLANK('ALL Other SINs - Proposal'!B416)," ",'ALL Other SINs - Proposal'!B416)</f>
        <v xml:space="preserve"> </v>
      </c>
      <c r="C416" s="137" t="str">
        <f>IF(ISBLANK('ALL Other SINs - Proposal'!C416)," ",'ALL Other SINs - Proposal'!C416)</f>
        <v xml:space="preserve"> </v>
      </c>
      <c r="D416" s="138" t="str">
        <f>IF(ISBLANK('ALL Other SINs - Proposal'!D416)," ",'ALL Other SINs - Proposal'!D416)</f>
        <v xml:space="preserve"> </v>
      </c>
      <c r="E416" s="69" t="str">
        <f>IF(ISBLANK('ALL Other SINs - Proposal'!R416)," ",'ALL Other SINs - Proposal'!R416)</f>
        <v xml:space="preserve"> </v>
      </c>
      <c r="F416" s="73" t="str">
        <f>IF(ISBLANK('ALL Other SINs - Proposal'!S416)," ",'ALL Other SINs - Proposal'!S416)</f>
        <v xml:space="preserve"> </v>
      </c>
      <c r="G416" s="173" t="str">
        <f>IF(ISBLANK('ALL Other SINs - Proposal'!T416)," ",'ALL Other SINs - Proposal'!T416)</f>
        <v xml:space="preserve"> </v>
      </c>
      <c r="H416" s="275" t="str">
        <f>IF(ISBLANK('ALL Other SINs - Proposal'!V416)," ",'ALL Other SINs - Proposal'!V416)</f>
        <v xml:space="preserve"> </v>
      </c>
      <c r="I416" s="271" t="str">
        <f>IF(ISBLANK('ALL Other SINs - Proposal'!W416)," ",'ALL Other SINs - Proposal'!W416)</f>
        <v xml:space="preserve"> </v>
      </c>
      <c r="J416" s="71" t="str">
        <f>IF(ISBLANK('ALL Other SINs - Proposal'!X416)," ",'ALL Other SINs - Proposal'!X416)</f>
        <v xml:space="preserve"> </v>
      </c>
      <c r="K416" s="165" t="str">
        <f>IF(ISBLANK('ALL Other SINs - Proposal'!AA416)," ",'ALL Other SINs - Proposal'!AA416)</f>
        <v xml:space="preserve"> </v>
      </c>
      <c r="L416" s="178" t="str">
        <f>IF(ISBLANK('ALL Other SINs - Proposal'!AB416)," ",'ALL Other SINs - Proposal'!AB416)</f>
        <v xml:space="preserve"> </v>
      </c>
      <c r="M416" s="72" t="str">
        <f t="shared" si="12"/>
        <v xml:space="preserve"> </v>
      </c>
      <c r="N416" s="167" t="str">
        <f t="shared" si="13"/>
        <v xml:space="preserve"> </v>
      </c>
    </row>
    <row r="417" spans="1:14" ht="15" x14ac:dyDescent="0.25">
      <c r="A417" s="131" t="str">
        <f>IF(ISBLANK('ALL Other SINs - Proposal'!A417)," ",'ALL Other SINs - Proposal'!A417)</f>
        <v xml:space="preserve"> </v>
      </c>
      <c r="B417" s="137" t="str">
        <f>IF(ISBLANK('ALL Other SINs - Proposal'!B417)," ",'ALL Other SINs - Proposal'!B417)</f>
        <v xml:space="preserve"> </v>
      </c>
      <c r="C417" s="137" t="str">
        <f>IF(ISBLANK('ALL Other SINs - Proposal'!C417)," ",'ALL Other SINs - Proposal'!C417)</f>
        <v xml:space="preserve"> </v>
      </c>
      <c r="D417" s="138" t="str">
        <f>IF(ISBLANK('ALL Other SINs - Proposal'!D417)," ",'ALL Other SINs - Proposal'!D417)</f>
        <v xml:space="preserve"> </v>
      </c>
      <c r="E417" s="69" t="str">
        <f>IF(ISBLANK('ALL Other SINs - Proposal'!R417)," ",'ALL Other SINs - Proposal'!R417)</f>
        <v xml:space="preserve"> </v>
      </c>
      <c r="F417" s="73" t="str">
        <f>IF(ISBLANK('ALL Other SINs - Proposal'!S417)," ",'ALL Other SINs - Proposal'!S417)</f>
        <v xml:space="preserve"> </v>
      </c>
      <c r="G417" s="173" t="str">
        <f>IF(ISBLANK('ALL Other SINs - Proposal'!T417)," ",'ALL Other SINs - Proposal'!T417)</f>
        <v xml:space="preserve"> </v>
      </c>
      <c r="H417" s="275" t="str">
        <f>IF(ISBLANK('ALL Other SINs - Proposal'!V417)," ",'ALL Other SINs - Proposal'!V417)</f>
        <v xml:space="preserve"> </v>
      </c>
      <c r="I417" s="271" t="str">
        <f>IF(ISBLANK('ALL Other SINs - Proposal'!W417)," ",'ALL Other SINs - Proposal'!W417)</f>
        <v xml:space="preserve"> </v>
      </c>
      <c r="J417" s="71" t="str">
        <f>IF(ISBLANK('ALL Other SINs - Proposal'!X417)," ",'ALL Other SINs - Proposal'!X417)</f>
        <v xml:space="preserve"> </v>
      </c>
      <c r="K417" s="165" t="str">
        <f>IF(ISBLANK('ALL Other SINs - Proposal'!AA417)," ",'ALL Other SINs - Proposal'!AA417)</f>
        <v xml:space="preserve"> </v>
      </c>
      <c r="L417" s="178" t="str">
        <f>IF(ISBLANK('ALL Other SINs - Proposal'!AB417)," ",'ALL Other SINs - Proposal'!AB417)</f>
        <v xml:space="preserve"> </v>
      </c>
      <c r="M417" s="72" t="str">
        <f t="shared" si="12"/>
        <v xml:space="preserve"> </v>
      </c>
      <c r="N417" s="167" t="str">
        <f t="shared" si="13"/>
        <v xml:space="preserve"> </v>
      </c>
    </row>
    <row r="418" spans="1:14" ht="15" x14ac:dyDescent="0.25">
      <c r="A418" s="131" t="str">
        <f>IF(ISBLANK('ALL Other SINs - Proposal'!A418)," ",'ALL Other SINs - Proposal'!A418)</f>
        <v xml:space="preserve"> </v>
      </c>
      <c r="B418" s="137" t="str">
        <f>IF(ISBLANK('ALL Other SINs - Proposal'!B418)," ",'ALL Other SINs - Proposal'!B418)</f>
        <v xml:space="preserve"> </v>
      </c>
      <c r="C418" s="137" t="str">
        <f>IF(ISBLANK('ALL Other SINs - Proposal'!C418)," ",'ALL Other SINs - Proposal'!C418)</f>
        <v xml:space="preserve"> </v>
      </c>
      <c r="D418" s="138" t="str">
        <f>IF(ISBLANK('ALL Other SINs - Proposal'!D418)," ",'ALL Other SINs - Proposal'!D418)</f>
        <v xml:space="preserve"> </v>
      </c>
      <c r="E418" s="69" t="str">
        <f>IF(ISBLANK('ALL Other SINs - Proposal'!R418)," ",'ALL Other SINs - Proposal'!R418)</f>
        <v xml:space="preserve"> </v>
      </c>
      <c r="F418" s="73" t="str">
        <f>IF(ISBLANK('ALL Other SINs - Proposal'!S418)," ",'ALL Other SINs - Proposal'!S418)</f>
        <v xml:space="preserve"> </v>
      </c>
      <c r="G418" s="173" t="str">
        <f>IF(ISBLANK('ALL Other SINs - Proposal'!T418)," ",'ALL Other SINs - Proposal'!T418)</f>
        <v xml:space="preserve"> </v>
      </c>
      <c r="H418" s="275" t="str">
        <f>IF(ISBLANK('ALL Other SINs - Proposal'!V418)," ",'ALL Other SINs - Proposal'!V418)</f>
        <v xml:space="preserve"> </v>
      </c>
      <c r="I418" s="271" t="str">
        <f>IF(ISBLANK('ALL Other SINs - Proposal'!W418)," ",'ALL Other SINs - Proposal'!W418)</f>
        <v xml:space="preserve"> </v>
      </c>
      <c r="J418" s="71" t="str">
        <f>IF(ISBLANK('ALL Other SINs - Proposal'!X418)," ",'ALL Other SINs - Proposal'!X418)</f>
        <v xml:space="preserve"> </v>
      </c>
      <c r="K418" s="165" t="str">
        <f>IF(ISBLANK('ALL Other SINs - Proposal'!AA418)," ",'ALL Other SINs - Proposal'!AA418)</f>
        <v xml:space="preserve"> </v>
      </c>
      <c r="L418" s="178" t="str">
        <f>IF(ISBLANK('ALL Other SINs - Proposal'!AB418)," ",'ALL Other SINs - Proposal'!AB418)</f>
        <v xml:space="preserve"> </v>
      </c>
      <c r="M418" s="72" t="str">
        <f t="shared" si="12"/>
        <v xml:space="preserve"> </v>
      </c>
      <c r="N418" s="167" t="str">
        <f t="shared" si="13"/>
        <v xml:space="preserve"> </v>
      </c>
    </row>
    <row r="419" spans="1:14" ht="15" x14ac:dyDescent="0.25">
      <c r="A419" s="131" t="str">
        <f>IF(ISBLANK('ALL Other SINs - Proposal'!A419)," ",'ALL Other SINs - Proposal'!A419)</f>
        <v xml:space="preserve"> </v>
      </c>
      <c r="B419" s="137" t="str">
        <f>IF(ISBLANK('ALL Other SINs - Proposal'!B419)," ",'ALL Other SINs - Proposal'!B419)</f>
        <v xml:space="preserve"> </v>
      </c>
      <c r="C419" s="137" t="str">
        <f>IF(ISBLANK('ALL Other SINs - Proposal'!C419)," ",'ALL Other SINs - Proposal'!C419)</f>
        <v xml:space="preserve"> </v>
      </c>
      <c r="D419" s="138" t="str">
        <f>IF(ISBLANK('ALL Other SINs - Proposal'!D419)," ",'ALL Other SINs - Proposal'!D419)</f>
        <v xml:space="preserve"> </v>
      </c>
      <c r="E419" s="69" t="str">
        <f>IF(ISBLANK('ALL Other SINs - Proposal'!R419)," ",'ALL Other SINs - Proposal'!R419)</f>
        <v xml:space="preserve"> </v>
      </c>
      <c r="F419" s="73" t="str">
        <f>IF(ISBLANK('ALL Other SINs - Proposal'!S419)," ",'ALL Other SINs - Proposal'!S419)</f>
        <v xml:space="preserve"> </v>
      </c>
      <c r="G419" s="173" t="str">
        <f>IF(ISBLANK('ALL Other SINs - Proposal'!T419)," ",'ALL Other SINs - Proposal'!T419)</f>
        <v xml:space="preserve"> </v>
      </c>
      <c r="H419" s="275" t="str">
        <f>IF(ISBLANK('ALL Other SINs - Proposal'!V419)," ",'ALL Other SINs - Proposal'!V419)</f>
        <v xml:space="preserve"> </v>
      </c>
      <c r="I419" s="271" t="str">
        <f>IF(ISBLANK('ALL Other SINs - Proposal'!W419)," ",'ALL Other SINs - Proposal'!W419)</f>
        <v xml:space="preserve"> </v>
      </c>
      <c r="J419" s="71" t="str">
        <f>IF(ISBLANK('ALL Other SINs - Proposal'!X419)," ",'ALL Other SINs - Proposal'!X419)</f>
        <v xml:space="preserve"> </v>
      </c>
      <c r="K419" s="165" t="str">
        <f>IF(ISBLANK('ALL Other SINs - Proposal'!AA419)," ",'ALL Other SINs - Proposal'!AA419)</f>
        <v xml:space="preserve"> </v>
      </c>
      <c r="L419" s="178" t="str">
        <f>IF(ISBLANK('ALL Other SINs - Proposal'!AB419)," ",'ALL Other SINs - Proposal'!AB419)</f>
        <v xml:space="preserve"> </v>
      </c>
      <c r="M419" s="72" t="str">
        <f t="shared" si="12"/>
        <v xml:space="preserve"> </v>
      </c>
      <c r="N419" s="167" t="str">
        <f t="shared" si="13"/>
        <v xml:space="preserve"> </v>
      </c>
    </row>
    <row r="420" spans="1:14" ht="15" x14ac:dyDescent="0.25">
      <c r="A420" s="131" t="str">
        <f>IF(ISBLANK('ALL Other SINs - Proposal'!A420)," ",'ALL Other SINs - Proposal'!A420)</f>
        <v xml:space="preserve"> </v>
      </c>
      <c r="B420" s="137" t="str">
        <f>IF(ISBLANK('ALL Other SINs - Proposal'!B420)," ",'ALL Other SINs - Proposal'!B420)</f>
        <v xml:space="preserve"> </v>
      </c>
      <c r="C420" s="137" t="str">
        <f>IF(ISBLANK('ALL Other SINs - Proposal'!C420)," ",'ALL Other SINs - Proposal'!C420)</f>
        <v xml:space="preserve"> </v>
      </c>
      <c r="D420" s="138" t="str">
        <f>IF(ISBLANK('ALL Other SINs - Proposal'!D420)," ",'ALL Other SINs - Proposal'!D420)</f>
        <v xml:space="preserve"> </v>
      </c>
      <c r="E420" s="69" t="str">
        <f>IF(ISBLANK('ALL Other SINs - Proposal'!R420)," ",'ALL Other SINs - Proposal'!R420)</f>
        <v xml:space="preserve"> </v>
      </c>
      <c r="F420" s="73" t="str">
        <f>IF(ISBLANK('ALL Other SINs - Proposal'!S420)," ",'ALL Other SINs - Proposal'!S420)</f>
        <v xml:space="preserve"> </v>
      </c>
      <c r="G420" s="173" t="str">
        <f>IF(ISBLANK('ALL Other SINs - Proposal'!T420)," ",'ALL Other SINs - Proposal'!T420)</f>
        <v xml:space="preserve"> </v>
      </c>
      <c r="H420" s="275" t="str">
        <f>IF(ISBLANK('ALL Other SINs - Proposal'!V420)," ",'ALL Other SINs - Proposal'!V420)</f>
        <v xml:space="preserve"> </v>
      </c>
      <c r="I420" s="271" t="str">
        <f>IF(ISBLANK('ALL Other SINs - Proposal'!W420)," ",'ALL Other SINs - Proposal'!W420)</f>
        <v xml:space="preserve"> </v>
      </c>
      <c r="J420" s="71" t="str">
        <f>IF(ISBLANK('ALL Other SINs - Proposal'!X420)," ",'ALL Other SINs - Proposal'!X420)</f>
        <v xml:space="preserve"> </v>
      </c>
      <c r="K420" s="165" t="str">
        <f>IF(ISBLANK('ALL Other SINs - Proposal'!AA420)," ",'ALL Other SINs - Proposal'!AA420)</f>
        <v xml:space="preserve"> </v>
      </c>
      <c r="L420" s="178" t="str">
        <f>IF(ISBLANK('ALL Other SINs - Proposal'!AB420)," ",'ALL Other SINs - Proposal'!AB420)</f>
        <v xml:space="preserve"> </v>
      </c>
      <c r="M420" s="72" t="str">
        <f t="shared" si="12"/>
        <v xml:space="preserve"> </v>
      </c>
      <c r="N420" s="167" t="str">
        <f t="shared" si="13"/>
        <v xml:space="preserve"> </v>
      </c>
    </row>
    <row r="421" spans="1:14" ht="15" x14ac:dyDescent="0.25">
      <c r="A421" s="131" t="str">
        <f>IF(ISBLANK('ALL Other SINs - Proposal'!A421)," ",'ALL Other SINs - Proposal'!A421)</f>
        <v xml:space="preserve"> </v>
      </c>
      <c r="B421" s="137" t="str">
        <f>IF(ISBLANK('ALL Other SINs - Proposal'!B421)," ",'ALL Other SINs - Proposal'!B421)</f>
        <v xml:space="preserve"> </v>
      </c>
      <c r="C421" s="137" t="str">
        <f>IF(ISBLANK('ALL Other SINs - Proposal'!C421)," ",'ALL Other SINs - Proposal'!C421)</f>
        <v xml:space="preserve"> </v>
      </c>
      <c r="D421" s="138" t="str">
        <f>IF(ISBLANK('ALL Other SINs - Proposal'!D421)," ",'ALL Other SINs - Proposal'!D421)</f>
        <v xml:space="preserve"> </v>
      </c>
      <c r="E421" s="69" t="str">
        <f>IF(ISBLANK('ALL Other SINs - Proposal'!R421)," ",'ALL Other SINs - Proposal'!R421)</f>
        <v xml:space="preserve"> </v>
      </c>
      <c r="F421" s="73" t="str">
        <f>IF(ISBLANK('ALL Other SINs - Proposal'!S421)," ",'ALL Other SINs - Proposal'!S421)</f>
        <v xml:space="preserve"> </v>
      </c>
      <c r="G421" s="173" t="str">
        <f>IF(ISBLANK('ALL Other SINs - Proposal'!T421)," ",'ALL Other SINs - Proposal'!T421)</f>
        <v xml:space="preserve"> </v>
      </c>
      <c r="H421" s="275" t="str">
        <f>IF(ISBLANK('ALL Other SINs - Proposal'!V421)," ",'ALL Other SINs - Proposal'!V421)</f>
        <v xml:space="preserve"> </v>
      </c>
      <c r="I421" s="271" t="str">
        <f>IF(ISBLANK('ALL Other SINs - Proposal'!W421)," ",'ALL Other SINs - Proposal'!W421)</f>
        <v xml:space="preserve"> </v>
      </c>
      <c r="J421" s="71" t="str">
        <f>IF(ISBLANK('ALL Other SINs - Proposal'!X421)," ",'ALL Other SINs - Proposal'!X421)</f>
        <v xml:space="preserve"> </v>
      </c>
      <c r="K421" s="165" t="str">
        <f>IF(ISBLANK('ALL Other SINs - Proposal'!AA421)," ",'ALL Other SINs - Proposal'!AA421)</f>
        <v xml:space="preserve"> </v>
      </c>
      <c r="L421" s="178" t="str">
        <f>IF(ISBLANK('ALL Other SINs - Proposal'!AB421)," ",'ALL Other SINs - Proposal'!AB421)</f>
        <v xml:space="preserve"> </v>
      </c>
      <c r="M421" s="72" t="str">
        <f t="shared" si="12"/>
        <v xml:space="preserve"> </v>
      </c>
      <c r="N421" s="167" t="str">
        <f t="shared" si="13"/>
        <v xml:space="preserve"> </v>
      </c>
    </row>
    <row r="422" spans="1:14" ht="15" x14ac:dyDescent="0.25">
      <c r="A422" s="131" t="str">
        <f>IF(ISBLANK('ALL Other SINs - Proposal'!A422)," ",'ALL Other SINs - Proposal'!A422)</f>
        <v xml:space="preserve"> </v>
      </c>
      <c r="B422" s="137" t="str">
        <f>IF(ISBLANK('ALL Other SINs - Proposal'!B422)," ",'ALL Other SINs - Proposal'!B422)</f>
        <v xml:space="preserve"> </v>
      </c>
      <c r="C422" s="137" t="str">
        <f>IF(ISBLANK('ALL Other SINs - Proposal'!C422)," ",'ALL Other SINs - Proposal'!C422)</f>
        <v xml:space="preserve"> </v>
      </c>
      <c r="D422" s="138" t="str">
        <f>IF(ISBLANK('ALL Other SINs - Proposal'!D422)," ",'ALL Other SINs - Proposal'!D422)</f>
        <v xml:space="preserve"> </v>
      </c>
      <c r="E422" s="69" t="str">
        <f>IF(ISBLANK('ALL Other SINs - Proposal'!R422)," ",'ALL Other SINs - Proposal'!R422)</f>
        <v xml:space="preserve"> </v>
      </c>
      <c r="F422" s="73" t="str">
        <f>IF(ISBLANK('ALL Other SINs - Proposal'!S422)," ",'ALL Other SINs - Proposal'!S422)</f>
        <v xml:space="preserve"> </v>
      </c>
      <c r="G422" s="173" t="str">
        <f>IF(ISBLANK('ALL Other SINs - Proposal'!T422)," ",'ALL Other SINs - Proposal'!T422)</f>
        <v xml:space="preserve"> </v>
      </c>
      <c r="H422" s="275" t="str">
        <f>IF(ISBLANK('ALL Other SINs - Proposal'!V422)," ",'ALL Other SINs - Proposal'!V422)</f>
        <v xml:space="preserve"> </v>
      </c>
      <c r="I422" s="271" t="str">
        <f>IF(ISBLANK('ALL Other SINs - Proposal'!W422)," ",'ALL Other SINs - Proposal'!W422)</f>
        <v xml:space="preserve"> </v>
      </c>
      <c r="J422" s="71" t="str">
        <f>IF(ISBLANK('ALL Other SINs - Proposal'!X422)," ",'ALL Other SINs - Proposal'!X422)</f>
        <v xml:space="preserve"> </v>
      </c>
      <c r="K422" s="165" t="str">
        <f>IF(ISBLANK('ALL Other SINs - Proposal'!AA422)," ",'ALL Other SINs - Proposal'!AA422)</f>
        <v xml:space="preserve"> </v>
      </c>
      <c r="L422" s="178" t="str">
        <f>IF(ISBLANK('ALL Other SINs - Proposal'!AB422)," ",'ALL Other SINs - Proposal'!AB422)</f>
        <v xml:space="preserve"> </v>
      </c>
      <c r="M422" s="72" t="str">
        <f t="shared" si="12"/>
        <v xml:space="preserve"> </v>
      </c>
      <c r="N422" s="167" t="str">
        <f t="shared" si="13"/>
        <v xml:space="preserve"> </v>
      </c>
    </row>
    <row r="423" spans="1:14" ht="15" x14ac:dyDescent="0.25">
      <c r="A423" s="131" t="str">
        <f>IF(ISBLANK('ALL Other SINs - Proposal'!A423)," ",'ALL Other SINs - Proposal'!A423)</f>
        <v xml:space="preserve"> </v>
      </c>
      <c r="B423" s="137" t="str">
        <f>IF(ISBLANK('ALL Other SINs - Proposal'!B423)," ",'ALL Other SINs - Proposal'!B423)</f>
        <v xml:space="preserve"> </v>
      </c>
      <c r="C423" s="137" t="str">
        <f>IF(ISBLANK('ALL Other SINs - Proposal'!C423)," ",'ALL Other SINs - Proposal'!C423)</f>
        <v xml:space="preserve"> </v>
      </c>
      <c r="D423" s="138" t="str">
        <f>IF(ISBLANK('ALL Other SINs - Proposal'!D423)," ",'ALL Other SINs - Proposal'!D423)</f>
        <v xml:space="preserve"> </v>
      </c>
      <c r="E423" s="69" t="str">
        <f>IF(ISBLANK('ALL Other SINs - Proposal'!R423)," ",'ALL Other SINs - Proposal'!R423)</f>
        <v xml:space="preserve"> </v>
      </c>
      <c r="F423" s="73" t="str">
        <f>IF(ISBLANK('ALL Other SINs - Proposal'!S423)," ",'ALL Other SINs - Proposal'!S423)</f>
        <v xml:space="preserve"> </v>
      </c>
      <c r="G423" s="173" t="str">
        <f>IF(ISBLANK('ALL Other SINs - Proposal'!T423)," ",'ALL Other SINs - Proposal'!T423)</f>
        <v xml:space="preserve"> </v>
      </c>
      <c r="H423" s="275" t="str">
        <f>IF(ISBLANK('ALL Other SINs - Proposal'!V423)," ",'ALL Other SINs - Proposal'!V423)</f>
        <v xml:space="preserve"> </v>
      </c>
      <c r="I423" s="271" t="str">
        <f>IF(ISBLANK('ALL Other SINs - Proposal'!W423)," ",'ALL Other SINs - Proposal'!W423)</f>
        <v xml:space="preserve"> </v>
      </c>
      <c r="J423" s="71" t="str">
        <f>IF(ISBLANK('ALL Other SINs - Proposal'!X423)," ",'ALL Other SINs - Proposal'!X423)</f>
        <v xml:space="preserve"> </v>
      </c>
      <c r="K423" s="165" t="str">
        <f>IF(ISBLANK('ALL Other SINs - Proposal'!AA423)," ",'ALL Other SINs - Proposal'!AA423)</f>
        <v xml:space="preserve"> </v>
      </c>
      <c r="L423" s="178" t="str">
        <f>IF(ISBLANK('ALL Other SINs - Proposal'!AB423)," ",'ALL Other SINs - Proposal'!AB423)</f>
        <v xml:space="preserve"> </v>
      </c>
      <c r="M423" s="72" t="str">
        <f t="shared" si="12"/>
        <v xml:space="preserve"> </v>
      </c>
      <c r="N423" s="167" t="str">
        <f t="shared" si="13"/>
        <v xml:space="preserve"> </v>
      </c>
    </row>
    <row r="424" spans="1:14" ht="15" x14ac:dyDescent="0.25">
      <c r="A424" s="131" t="str">
        <f>IF(ISBLANK('ALL Other SINs - Proposal'!A424)," ",'ALL Other SINs - Proposal'!A424)</f>
        <v xml:space="preserve"> </v>
      </c>
      <c r="B424" s="137" t="str">
        <f>IF(ISBLANK('ALL Other SINs - Proposal'!B424)," ",'ALL Other SINs - Proposal'!B424)</f>
        <v xml:space="preserve"> </v>
      </c>
      <c r="C424" s="137" t="str">
        <f>IF(ISBLANK('ALL Other SINs - Proposal'!C424)," ",'ALL Other SINs - Proposal'!C424)</f>
        <v xml:space="preserve"> </v>
      </c>
      <c r="D424" s="138" t="str">
        <f>IF(ISBLANK('ALL Other SINs - Proposal'!D424)," ",'ALL Other SINs - Proposal'!D424)</f>
        <v xml:space="preserve"> </v>
      </c>
      <c r="E424" s="69" t="str">
        <f>IF(ISBLANK('ALL Other SINs - Proposal'!R424)," ",'ALL Other SINs - Proposal'!R424)</f>
        <v xml:space="preserve"> </v>
      </c>
      <c r="F424" s="73" t="str">
        <f>IF(ISBLANK('ALL Other SINs - Proposal'!S424)," ",'ALL Other SINs - Proposal'!S424)</f>
        <v xml:space="preserve"> </v>
      </c>
      <c r="G424" s="173" t="str">
        <f>IF(ISBLANK('ALL Other SINs - Proposal'!T424)," ",'ALL Other SINs - Proposal'!T424)</f>
        <v xml:space="preserve"> </v>
      </c>
      <c r="H424" s="275" t="str">
        <f>IF(ISBLANK('ALL Other SINs - Proposal'!V424)," ",'ALL Other SINs - Proposal'!V424)</f>
        <v xml:space="preserve"> </v>
      </c>
      <c r="I424" s="271" t="str">
        <f>IF(ISBLANK('ALL Other SINs - Proposal'!W424)," ",'ALL Other SINs - Proposal'!W424)</f>
        <v xml:space="preserve"> </v>
      </c>
      <c r="J424" s="71" t="str">
        <f>IF(ISBLANK('ALL Other SINs - Proposal'!X424)," ",'ALL Other SINs - Proposal'!X424)</f>
        <v xml:space="preserve"> </v>
      </c>
      <c r="K424" s="165" t="str">
        <f>IF(ISBLANK('ALL Other SINs - Proposal'!AA424)," ",'ALL Other SINs - Proposal'!AA424)</f>
        <v xml:space="preserve"> </v>
      </c>
      <c r="L424" s="178" t="str">
        <f>IF(ISBLANK('ALL Other SINs - Proposal'!AB424)," ",'ALL Other SINs - Proposal'!AB424)</f>
        <v xml:space="preserve"> </v>
      </c>
      <c r="M424" s="72" t="str">
        <f t="shared" si="12"/>
        <v xml:space="preserve"> </v>
      </c>
      <c r="N424" s="167" t="str">
        <f t="shared" si="13"/>
        <v xml:space="preserve"> </v>
      </c>
    </row>
    <row r="425" spans="1:14" ht="15" x14ac:dyDescent="0.25">
      <c r="A425" s="131" t="str">
        <f>IF(ISBLANK('ALL Other SINs - Proposal'!A425)," ",'ALL Other SINs - Proposal'!A425)</f>
        <v xml:space="preserve"> </v>
      </c>
      <c r="B425" s="137" t="str">
        <f>IF(ISBLANK('ALL Other SINs - Proposal'!B425)," ",'ALL Other SINs - Proposal'!B425)</f>
        <v xml:space="preserve"> </v>
      </c>
      <c r="C425" s="137" t="str">
        <f>IF(ISBLANK('ALL Other SINs - Proposal'!C425)," ",'ALL Other SINs - Proposal'!C425)</f>
        <v xml:space="preserve"> </v>
      </c>
      <c r="D425" s="138" t="str">
        <f>IF(ISBLANK('ALL Other SINs - Proposal'!D425)," ",'ALL Other SINs - Proposal'!D425)</f>
        <v xml:space="preserve"> </v>
      </c>
      <c r="E425" s="69" t="str">
        <f>IF(ISBLANK('ALL Other SINs - Proposal'!R425)," ",'ALL Other SINs - Proposal'!R425)</f>
        <v xml:space="preserve"> </v>
      </c>
      <c r="F425" s="73" t="str">
        <f>IF(ISBLANK('ALL Other SINs - Proposal'!S425)," ",'ALL Other SINs - Proposal'!S425)</f>
        <v xml:space="preserve"> </v>
      </c>
      <c r="G425" s="173" t="str">
        <f>IF(ISBLANK('ALL Other SINs - Proposal'!T425)," ",'ALL Other SINs - Proposal'!T425)</f>
        <v xml:space="preserve"> </v>
      </c>
      <c r="H425" s="275" t="str">
        <f>IF(ISBLANK('ALL Other SINs - Proposal'!V425)," ",'ALL Other SINs - Proposal'!V425)</f>
        <v xml:space="preserve"> </v>
      </c>
      <c r="I425" s="271" t="str">
        <f>IF(ISBLANK('ALL Other SINs - Proposal'!W425)," ",'ALL Other SINs - Proposal'!W425)</f>
        <v xml:space="preserve"> </v>
      </c>
      <c r="J425" s="71" t="str">
        <f>IF(ISBLANK('ALL Other SINs - Proposal'!X425)," ",'ALL Other SINs - Proposal'!X425)</f>
        <v xml:space="preserve"> </v>
      </c>
      <c r="K425" s="165" t="str">
        <f>IF(ISBLANK('ALL Other SINs - Proposal'!AA425)," ",'ALL Other SINs - Proposal'!AA425)</f>
        <v xml:space="preserve"> </v>
      </c>
      <c r="L425" s="178" t="str">
        <f>IF(ISBLANK('ALL Other SINs - Proposal'!AB425)," ",'ALL Other SINs - Proposal'!AB425)</f>
        <v xml:space="preserve"> </v>
      </c>
      <c r="M425" s="72" t="str">
        <f t="shared" si="12"/>
        <v xml:space="preserve"> </v>
      </c>
      <c r="N425" s="167" t="str">
        <f t="shared" si="13"/>
        <v xml:space="preserve"> </v>
      </c>
    </row>
    <row r="426" spans="1:14" ht="15" x14ac:dyDescent="0.25">
      <c r="A426" s="131" t="str">
        <f>IF(ISBLANK('ALL Other SINs - Proposal'!A426)," ",'ALL Other SINs - Proposal'!A426)</f>
        <v xml:space="preserve"> </v>
      </c>
      <c r="B426" s="137" t="str">
        <f>IF(ISBLANK('ALL Other SINs - Proposal'!B426)," ",'ALL Other SINs - Proposal'!B426)</f>
        <v xml:space="preserve"> </v>
      </c>
      <c r="C426" s="137" t="str">
        <f>IF(ISBLANK('ALL Other SINs - Proposal'!C426)," ",'ALL Other SINs - Proposal'!C426)</f>
        <v xml:space="preserve"> </v>
      </c>
      <c r="D426" s="138" t="str">
        <f>IF(ISBLANK('ALL Other SINs - Proposal'!D426)," ",'ALL Other SINs - Proposal'!D426)</f>
        <v xml:space="preserve"> </v>
      </c>
      <c r="E426" s="69" t="str">
        <f>IF(ISBLANK('ALL Other SINs - Proposal'!R426)," ",'ALL Other SINs - Proposal'!R426)</f>
        <v xml:space="preserve"> </v>
      </c>
      <c r="F426" s="73" t="str">
        <f>IF(ISBLANK('ALL Other SINs - Proposal'!S426)," ",'ALL Other SINs - Proposal'!S426)</f>
        <v xml:space="preserve"> </v>
      </c>
      <c r="G426" s="173" t="str">
        <f>IF(ISBLANK('ALL Other SINs - Proposal'!T426)," ",'ALL Other SINs - Proposal'!T426)</f>
        <v xml:space="preserve"> </v>
      </c>
      <c r="H426" s="275" t="str">
        <f>IF(ISBLANK('ALL Other SINs - Proposal'!V426)," ",'ALL Other SINs - Proposal'!V426)</f>
        <v xml:space="preserve"> </v>
      </c>
      <c r="I426" s="271" t="str">
        <f>IF(ISBLANK('ALL Other SINs - Proposal'!W426)," ",'ALL Other SINs - Proposal'!W426)</f>
        <v xml:space="preserve"> </v>
      </c>
      <c r="J426" s="71" t="str">
        <f>IF(ISBLANK('ALL Other SINs - Proposal'!X426)," ",'ALL Other SINs - Proposal'!X426)</f>
        <v xml:space="preserve"> </v>
      </c>
      <c r="K426" s="165" t="str">
        <f>IF(ISBLANK('ALL Other SINs - Proposal'!AA426)," ",'ALL Other SINs - Proposal'!AA426)</f>
        <v xml:space="preserve"> </v>
      </c>
      <c r="L426" s="178" t="str">
        <f>IF(ISBLANK('ALL Other SINs - Proposal'!AB426)," ",'ALL Other SINs - Proposal'!AB426)</f>
        <v xml:space="preserve"> </v>
      </c>
      <c r="M426" s="72" t="str">
        <f t="shared" si="12"/>
        <v xml:space="preserve"> </v>
      </c>
      <c r="N426" s="167" t="str">
        <f t="shared" si="13"/>
        <v xml:space="preserve"> </v>
      </c>
    </row>
    <row r="427" spans="1:14" ht="15" x14ac:dyDescent="0.25">
      <c r="A427" s="131" t="str">
        <f>IF(ISBLANK('ALL Other SINs - Proposal'!A427)," ",'ALL Other SINs - Proposal'!A427)</f>
        <v xml:space="preserve"> </v>
      </c>
      <c r="B427" s="137" t="str">
        <f>IF(ISBLANK('ALL Other SINs - Proposal'!B427)," ",'ALL Other SINs - Proposal'!B427)</f>
        <v xml:space="preserve"> </v>
      </c>
      <c r="C427" s="137" t="str">
        <f>IF(ISBLANK('ALL Other SINs - Proposal'!C427)," ",'ALL Other SINs - Proposal'!C427)</f>
        <v xml:space="preserve"> </v>
      </c>
      <c r="D427" s="138" t="str">
        <f>IF(ISBLANK('ALL Other SINs - Proposal'!D427)," ",'ALL Other SINs - Proposal'!D427)</f>
        <v xml:space="preserve"> </v>
      </c>
      <c r="E427" s="69" t="str">
        <f>IF(ISBLANK('ALL Other SINs - Proposal'!R427)," ",'ALL Other SINs - Proposal'!R427)</f>
        <v xml:space="preserve"> </v>
      </c>
      <c r="F427" s="73" t="str">
        <f>IF(ISBLANK('ALL Other SINs - Proposal'!S427)," ",'ALL Other SINs - Proposal'!S427)</f>
        <v xml:space="preserve"> </v>
      </c>
      <c r="G427" s="173" t="str">
        <f>IF(ISBLANK('ALL Other SINs - Proposal'!T427)," ",'ALL Other SINs - Proposal'!T427)</f>
        <v xml:space="preserve"> </v>
      </c>
      <c r="H427" s="275" t="str">
        <f>IF(ISBLANK('ALL Other SINs - Proposal'!V427)," ",'ALL Other SINs - Proposal'!V427)</f>
        <v xml:space="preserve"> </v>
      </c>
      <c r="I427" s="271" t="str">
        <f>IF(ISBLANK('ALL Other SINs - Proposal'!W427)," ",'ALL Other SINs - Proposal'!W427)</f>
        <v xml:space="preserve"> </v>
      </c>
      <c r="J427" s="71" t="str">
        <f>IF(ISBLANK('ALL Other SINs - Proposal'!X427)," ",'ALL Other SINs - Proposal'!X427)</f>
        <v xml:space="preserve"> </v>
      </c>
      <c r="K427" s="165" t="str">
        <f>IF(ISBLANK('ALL Other SINs - Proposal'!AA427)," ",'ALL Other SINs - Proposal'!AA427)</f>
        <v xml:space="preserve"> </v>
      </c>
      <c r="L427" s="178" t="str">
        <f>IF(ISBLANK('ALL Other SINs - Proposal'!AB427)," ",'ALL Other SINs - Proposal'!AB427)</f>
        <v xml:space="preserve"> </v>
      </c>
      <c r="M427" s="72" t="str">
        <f t="shared" si="12"/>
        <v xml:space="preserve"> </v>
      </c>
      <c r="N427" s="167" t="str">
        <f t="shared" si="13"/>
        <v xml:space="preserve"> </v>
      </c>
    </row>
    <row r="428" spans="1:14" ht="15" x14ac:dyDescent="0.25">
      <c r="A428" s="131" t="str">
        <f>IF(ISBLANK('ALL Other SINs - Proposal'!A428)," ",'ALL Other SINs - Proposal'!A428)</f>
        <v xml:space="preserve"> </v>
      </c>
      <c r="B428" s="137" t="str">
        <f>IF(ISBLANK('ALL Other SINs - Proposal'!B428)," ",'ALL Other SINs - Proposal'!B428)</f>
        <v xml:space="preserve"> </v>
      </c>
      <c r="C428" s="137" t="str">
        <f>IF(ISBLANK('ALL Other SINs - Proposal'!C428)," ",'ALL Other SINs - Proposal'!C428)</f>
        <v xml:space="preserve"> </v>
      </c>
      <c r="D428" s="138" t="str">
        <f>IF(ISBLANK('ALL Other SINs - Proposal'!D428)," ",'ALL Other SINs - Proposal'!D428)</f>
        <v xml:space="preserve"> </v>
      </c>
      <c r="E428" s="69" t="str">
        <f>IF(ISBLANK('ALL Other SINs - Proposal'!R428)," ",'ALL Other SINs - Proposal'!R428)</f>
        <v xml:space="preserve"> </v>
      </c>
      <c r="F428" s="73" t="str">
        <f>IF(ISBLANK('ALL Other SINs - Proposal'!S428)," ",'ALL Other SINs - Proposal'!S428)</f>
        <v xml:space="preserve"> </v>
      </c>
      <c r="G428" s="173" t="str">
        <f>IF(ISBLANK('ALL Other SINs - Proposal'!T428)," ",'ALL Other SINs - Proposal'!T428)</f>
        <v xml:space="preserve"> </v>
      </c>
      <c r="H428" s="275" t="str">
        <f>IF(ISBLANK('ALL Other SINs - Proposal'!V428)," ",'ALL Other SINs - Proposal'!V428)</f>
        <v xml:space="preserve"> </v>
      </c>
      <c r="I428" s="271" t="str">
        <f>IF(ISBLANK('ALL Other SINs - Proposal'!W428)," ",'ALL Other SINs - Proposal'!W428)</f>
        <v xml:space="preserve"> </v>
      </c>
      <c r="J428" s="71" t="str">
        <f>IF(ISBLANK('ALL Other SINs - Proposal'!X428)," ",'ALL Other SINs - Proposal'!X428)</f>
        <v xml:space="preserve"> </v>
      </c>
      <c r="K428" s="165" t="str">
        <f>IF(ISBLANK('ALL Other SINs - Proposal'!AA428)," ",'ALL Other SINs - Proposal'!AA428)</f>
        <v xml:space="preserve"> </v>
      </c>
      <c r="L428" s="178" t="str">
        <f>IF(ISBLANK('ALL Other SINs - Proposal'!AB428)," ",'ALL Other SINs - Proposal'!AB428)</f>
        <v xml:space="preserve"> </v>
      </c>
      <c r="M428" s="72" t="str">
        <f t="shared" si="12"/>
        <v xml:space="preserve"> </v>
      </c>
      <c r="N428" s="167" t="str">
        <f t="shared" si="13"/>
        <v xml:space="preserve"> </v>
      </c>
    </row>
    <row r="429" spans="1:14" ht="15" x14ac:dyDescent="0.25">
      <c r="A429" s="131" t="str">
        <f>IF(ISBLANK('ALL Other SINs - Proposal'!A429)," ",'ALL Other SINs - Proposal'!A429)</f>
        <v xml:space="preserve"> </v>
      </c>
      <c r="B429" s="137" t="str">
        <f>IF(ISBLANK('ALL Other SINs - Proposal'!B429)," ",'ALL Other SINs - Proposal'!B429)</f>
        <v xml:space="preserve"> </v>
      </c>
      <c r="C429" s="137" t="str">
        <f>IF(ISBLANK('ALL Other SINs - Proposal'!C429)," ",'ALL Other SINs - Proposal'!C429)</f>
        <v xml:space="preserve"> </v>
      </c>
      <c r="D429" s="138" t="str">
        <f>IF(ISBLANK('ALL Other SINs - Proposal'!D429)," ",'ALL Other SINs - Proposal'!D429)</f>
        <v xml:space="preserve"> </v>
      </c>
      <c r="E429" s="69" t="str">
        <f>IF(ISBLANK('ALL Other SINs - Proposal'!R429)," ",'ALL Other SINs - Proposal'!R429)</f>
        <v xml:space="preserve"> </v>
      </c>
      <c r="F429" s="73" t="str">
        <f>IF(ISBLANK('ALL Other SINs - Proposal'!S429)," ",'ALL Other SINs - Proposal'!S429)</f>
        <v xml:space="preserve"> </v>
      </c>
      <c r="G429" s="173" t="str">
        <f>IF(ISBLANK('ALL Other SINs - Proposal'!T429)," ",'ALL Other SINs - Proposal'!T429)</f>
        <v xml:space="preserve"> </v>
      </c>
      <c r="H429" s="275" t="str">
        <f>IF(ISBLANK('ALL Other SINs - Proposal'!V429)," ",'ALL Other SINs - Proposal'!V429)</f>
        <v xml:space="preserve"> </v>
      </c>
      <c r="I429" s="271" t="str">
        <f>IF(ISBLANK('ALL Other SINs - Proposal'!W429)," ",'ALL Other SINs - Proposal'!W429)</f>
        <v xml:space="preserve"> </v>
      </c>
      <c r="J429" s="71" t="str">
        <f>IF(ISBLANK('ALL Other SINs - Proposal'!X429)," ",'ALL Other SINs - Proposal'!X429)</f>
        <v xml:space="preserve"> </v>
      </c>
      <c r="K429" s="165" t="str">
        <f>IF(ISBLANK('ALL Other SINs - Proposal'!AA429)," ",'ALL Other SINs - Proposal'!AA429)</f>
        <v xml:space="preserve"> </v>
      </c>
      <c r="L429" s="178" t="str">
        <f>IF(ISBLANK('ALL Other SINs - Proposal'!AB429)," ",'ALL Other SINs - Proposal'!AB429)</f>
        <v xml:space="preserve"> </v>
      </c>
      <c r="M429" s="72" t="str">
        <f t="shared" si="12"/>
        <v xml:space="preserve"> </v>
      </c>
      <c r="N429" s="167" t="str">
        <f t="shared" si="13"/>
        <v xml:space="preserve"> </v>
      </c>
    </row>
    <row r="430" spans="1:14" ht="15" x14ac:dyDescent="0.25">
      <c r="A430" s="131" t="str">
        <f>IF(ISBLANK('ALL Other SINs - Proposal'!A430)," ",'ALL Other SINs - Proposal'!A430)</f>
        <v xml:space="preserve"> </v>
      </c>
      <c r="B430" s="137" t="str">
        <f>IF(ISBLANK('ALL Other SINs - Proposal'!B430)," ",'ALL Other SINs - Proposal'!B430)</f>
        <v xml:space="preserve"> </v>
      </c>
      <c r="C430" s="137" t="str">
        <f>IF(ISBLANK('ALL Other SINs - Proposal'!C430)," ",'ALL Other SINs - Proposal'!C430)</f>
        <v xml:space="preserve"> </v>
      </c>
      <c r="D430" s="138" t="str">
        <f>IF(ISBLANK('ALL Other SINs - Proposal'!D430)," ",'ALL Other SINs - Proposal'!D430)</f>
        <v xml:space="preserve"> </v>
      </c>
      <c r="E430" s="69" t="str">
        <f>IF(ISBLANK('ALL Other SINs - Proposal'!R430)," ",'ALL Other SINs - Proposal'!R430)</f>
        <v xml:space="preserve"> </v>
      </c>
      <c r="F430" s="73" t="str">
        <f>IF(ISBLANK('ALL Other SINs - Proposal'!S430)," ",'ALL Other SINs - Proposal'!S430)</f>
        <v xml:space="preserve"> </v>
      </c>
      <c r="G430" s="173" t="str">
        <f>IF(ISBLANK('ALL Other SINs - Proposal'!T430)," ",'ALL Other SINs - Proposal'!T430)</f>
        <v xml:space="preserve"> </v>
      </c>
      <c r="H430" s="275" t="str">
        <f>IF(ISBLANK('ALL Other SINs - Proposal'!V430)," ",'ALL Other SINs - Proposal'!V430)</f>
        <v xml:space="preserve"> </v>
      </c>
      <c r="I430" s="271" t="str">
        <f>IF(ISBLANK('ALL Other SINs - Proposal'!W430)," ",'ALL Other SINs - Proposal'!W430)</f>
        <v xml:space="preserve"> </v>
      </c>
      <c r="J430" s="71" t="str">
        <f>IF(ISBLANK('ALL Other SINs - Proposal'!X430)," ",'ALL Other SINs - Proposal'!X430)</f>
        <v xml:space="preserve"> </v>
      </c>
      <c r="K430" s="165" t="str">
        <f>IF(ISBLANK('ALL Other SINs - Proposal'!AA430)," ",'ALL Other SINs - Proposal'!AA430)</f>
        <v xml:space="preserve"> </v>
      </c>
      <c r="L430" s="178" t="str">
        <f>IF(ISBLANK('ALL Other SINs - Proposal'!AB430)," ",'ALL Other SINs - Proposal'!AB430)</f>
        <v xml:space="preserve"> </v>
      </c>
      <c r="M430" s="72" t="str">
        <f t="shared" si="12"/>
        <v xml:space="preserve"> </v>
      </c>
      <c r="N430" s="167" t="str">
        <f t="shared" si="13"/>
        <v xml:space="preserve"> </v>
      </c>
    </row>
    <row r="431" spans="1:14" ht="15" x14ac:dyDescent="0.25">
      <c r="A431" s="131" t="str">
        <f>IF(ISBLANK('ALL Other SINs - Proposal'!A431)," ",'ALL Other SINs - Proposal'!A431)</f>
        <v xml:space="preserve"> </v>
      </c>
      <c r="B431" s="137" t="str">
        <f>IF(ISBLANK('ALL Other SINs - Proposal'!B431)," ",'ALL Other SINs - Proposal'!B431)</f>
        <v xml:space="preserve"> </v>
      </c>
      <c r="C431" s="137" t="str">
        <f>IF(ISBLANK('ALL Other SINs - Proposal'!C431)," ",'ALL Other SINs - Proposal'!C431)</f>
        <v xml:space="preserve"> </v>
      </c>
      <c r="D431" s="138" t="str">
        <f>IF(ISBLANK('ALL Other SINs - Proposal'!D431)," ",'ALL Other SINs - Proposal'!D431)</f>
        <v xml:space="preserve"> </v>
      </c>
      <c r="E431" s="69" t="str">
        <f>IF(ISBLANK('ALL Other SINs - Proposal'!R431)," ",'ALL Other SINs - Proposal'!R431)</f>
        <v xml:space="preserve"> </v>
      </c>
      <c r="F431" s="73" t="str">
        <f>IF(ISBLANK('ALL Other SINs - Proposal'!S431)," ",'ALL Other SINs - Proposal'!S431)</f>
        <v xml:space="preserve"> </v>
      </c>
      <c r="G431" s="173" t="str">
        <f>IF(ISBLANK('ALL Other SINs - Proposal'!T431)," ",'ALL Other SINs - Proposal'!T431)</f>
        <v xml:space="preserve"> </v>
      </c>
      <c r="H431" s="275" t="str">
        <f>IF(ISBLANK('ALL Other SINs - Proposal'!V431)," ",'ALL Other SINs - Proposal'!V431)</f>
        <v xml:space="preserve"> </v>
      </c>
      <c r="I431" s="271" t="str">
        <f>IF(ISBLANK('ALL Other SINs - Proposal'!W431)," ",'ALL Other SINs - Proposal'!W431)</f>
        <v xml:space="preserve"> </v>
      </c>
      <c r="J431" s="71" t="str">
        <f>IF(ISBLANK('ALL Other SINs - Proposal'!X431)," ",'ALL Other SINs - Proposal'!X431)</f>
        <v xml:space="preserve"> </v>
      </c>
      <c r="K431" s="165" t="str">
        <f>IF(ISBLANK('ALL Other SINs - Proposal'!AA431)," ",'ALL Other SINs - Proposal'!AA431)</f>
        <v xml:space="preserve"> </v>
      </c>
      <c r="L431" s="178" t="str">
        <f>IF(ISBLANK('ALL Other SINs - Proposal'!AB431)," ",'ALL Other SINs - Proposal'!AB431)</f>
        <v xml:space="preserve"> </v>
      </c>
      <c r="M431" s="72" t="str">
        <f t="shared" si="12"/>
        <v xml:space="preserve"> </v>
      </c>
      <c r="N431" s="167" t="str">
        <f t="shared" si="13"/>
        <v xml:space="preserve"> </v>
      </c>
    </row>
    <row r="432" spans="1:14" ht="15" x14ac:dyDescent="0.25">
      <c r="A432" s="131" t="str">
        <f>IF(ISBLANK('ALL Other SINs - Proposal'!A432)," ",'ALL Other SINs - Proposal'!A432)</f>
        <v xml:space="preserve"> </v>
      </c>
      <c r="B432" s="137" t="str">
        <f>IF(ISBLANK('ALL Other SINs - Proposal'!B432)," ",'ALL Other SINs - Proposal'!B432)</f>
        <v xml:space="preserve"> </v>
      </c>
      <c r="C432" s="137" t="str">
        <f>IF(ISBLANK('ALL Other SINs - Proposal'!C432)," ",'ALL Other SINs - Proposal'!C432)</f>
        <v xml:space="preserve"> </v>
      </c>
      <c r="D432" s="138" t="str">
        <f>IF(ISBLANK('ALL Other SINs - Proposal'!D432)," ",'ALL Other SINs - Proposal'!D432)</f>
        <v xml:space="preserve"> </v>
      </c>
      <c r="E432" s="69" t="str">
        <f>IF(ISBLANK('ALL Other SINs - Proposal'!R432)," ",'ALL Other SINs - Proposal'!R432)</f>
        <v xml:space="preserve"> </v>
      </c>
      <c r="F432" s="73" t="str">
        <f>IF(ISBLANK('ALL Other SINs - Proposal'!S432)," ",'ALL Other SINs - Proposal'!S432)</f>
        <v xml:space="preserve"> </v>
      </c>
      <c r="G432" s="173" t="str">
        <f>IF(ISBLANK('ALL Other SINs - Proposal'!T432)," ",'ALL Other SINs - Proposal'!T432)</f>
        <v xml:space="preserve"> </v>
      </c>
      <c r="H432" s="275" t="str">
        <f>IF(ISBLANK('ALL Other SINs - Proposal'!V432)," ",'ALL Other SINs - Proposal'!V432)</f>
        <v xml:space="preserve"> </v>
      </c>
      <c r="I432" s="271" t="str">
        <f>IF(ISBLANK('ALL Other SINs - Proposal'!W432)," ",'ALL Other SINs - Proposal'!W432)</f>
        <v xml:space="preserve"> </v>
      </c>
      <c r="J432" s="71" t="str">
        <f>IF(ISBLANK('ALL Other SINs - Proposal'!X432)," ",'ALL Other SINs - Proposal'!X432)</f>
        <v xml:space="preserve"> </v>
      </c>
      <c r="K432" s="165" t="str">
        <f>IF(ISBLANK('ALL Other SINs - Proposal'!AA432)," ",'ALL Other SINs - Proposal'!AA432)</f>
        <v xml:space="preserve"> </v>
      </c>
      <c r="L432" s="178" t="str">
        <f>IF(ISBLANK('ALL Other SINs - Proposal'!AB432)," ",'ALL Other SINs - Proposal'!AB432)</f>
        <v xml:space="preserve"> </v>
      </c>
      <c r="M432" s="72" t="str">
        <f t="shared" si="12"/>
        <v xml:space="preserve"> </v>
      </c>
      <c r="N432" s="167" t="str">
        <f t="shared" si="13"/>
        <v xml:space="preserve"> </v>
      </c>
    </row>
    <row r="433" spans="1:14" ht="15" x14ac:dyDescent="0.25">
      <c r="A433" s="131" t="str">
        <f>IF(ISBLANK('ALL Other SINs - Proposal'!A433)," ",'ALL Other SINs - Proposal'!A433)</f>
        <v xml:space="preserve"> </v>
      </c>
      <c r="B433" s="137" t="str">
        <f>IF(ISBLANK('ALL Other SINs - Proposal'!B433)," ",'ALL Other SINs - Proposal'!B433)</f>
        <v xml:space="preserve"> </v>
      </c>
      <c r="C433" s="137" t="str">
        <f>IF(ISBLANK('ALL Other SINs - Proposal'!C433)," ",'ALL Other SINs - Proposal'!C433)</f>
        <v xml:space="preserve"> </v>
      </c>
      <c r="D433" s="138" t="str">
        <f>IF(ISBLANK('ALL Other SINs - Proposal'!D433)," ",'ALL Other SINs - Proposal'!D433)</f>
        <v xml:space="preserve"> </v>
      </c>
      <c r="E433" s="69" t="str">
        <f>IF(ISBLANK('ALL Other SINs - Proposal'!R433)," ",'ALL Other SINs - Proposal'!R433)</f>
        <v xml:space="preserve"> </v>
      </c>
      <c r="F433" s="73" t="str">
        <f>IF(ISBLANK('ALL Other SINs - Proposal'!S433)," ",'ALL Other SINs - Proposal'!S433)</f>
        <v xml:space="preserve"> </v>
      </c>
      <c r="G433" s="173" t="str">
        <f>IF(ISBLANK('ALL Other SINs - Proposal'!T433)," ",'ALL Other SINs - Proposal'!T433)</f>
        <v xml:space="preserve"> </v>
      </c>
      <c r="H433" s="275" t="str">
        <f>IF(ISBLANK('ALL Other SINs - Proposal'!V433)," ",'ALL Other SINs - Proposal'!V433)</f>
        <v xml:space="preserve"> </v>
      </c>
      <c r="I433" s="271" t="str">
        <f>IF(ISBLANK('ALL Other SINs - Proposal'!W433)," ",'ALL Other SINs - Proposal'!W433)</f>
        <v xml:space="preserve"> </v>
      </c>
      <c r="J433" s="71" t="str">
        <f>IF(ISBLANK('ALL Other SINs - Proposal'!X433)," ",'ALL Other SINs - Proposal'!X433)</f>
        <v xml:space="preserve"> </v>
      </c>
      <c r="K433" s="165" t="str">
        <f>IF(ISBLANK('ALL Other SINs - Proposal'!AA433)," ",'ALL Other SINs - Proposal'!AA433)</f>
        <v xml:space="preserve"> </v>
      </c>
      <c r="L433" s="178" t="str">
        <f>IF(ISBLANK('ALL Other SINs - Proposal'!AB433)," ",'ALL Other SINs - Proposal'!AB433)</f>
        <v xml:space="preserve"> </v>
      </c>
      <c r="M433" s="72" t="str">
        <f t="shared" si="12"/>
        <v xml:space="preserve"> </v>
      </c>
      <c r="N433" s="167" t="str">
        <f t="shared" si="13"/>
        <v xml:space="preserve"> </v>
      </c>
    </row>
    <row r="434" spans="1:14" ht="15" x14ac:dyDescent="0.25">
      <c r="A434" s="131" t="str">
        <f>IF(ISBLANK('ALL Other SINs - Proposal'!A434)," ",'ALL Other SINs - Proposal'!A434)</f>
        <v xml:space="preserve"> </v>
      </c>
      <c r="B434" s="137" t="str">
        <f>IF(ISBLANK('ALL Other SINs - Proposal'!B434)," ",'ALL Other SINs - Proposal'!B434)</f>
        <v xml:space="preserve"> </v>
      </c>
      <c r="C434" s="137" t="str">
        <f>IF(ISBLANK('ALL Other SINs - Proposal'!C434)," ",'ALL Other SINs - Proposal'!C434)</f>
        <v xml:space="preserve"> </v>
      </c>
      <c r="D434" s="138" t="str">
        <f>IF(ISBLANK('ALL Other SINs - Proposal'!D434)," ",'ALL Other SINs - Proposal'!D434)</f>
        <v xml:space="preserve"> </v>
      </c>
      <c r="E434" s="69" t="str">
        <f>IF(ISBLANK('ALL Other SINs - Proposal'!R434)," ",'ALL Other SINs - Proposal'!R434)</f>
        <v xml:space="preserve"> </v>
      </c>
      <c r="F434" s="73" t="str">
        <f>IF(ISBLANK('ALL Other SINs - Proposal'!S434)," ",'ALL Other SINs - Proposal'!S434)</f>
        <v xml:space="preserve"> </v>
      </c>
      <c r="G434" s="173" t="str">
        <f>IF(ISBLANK('ALL Other SINs - Proposal'!T434)," ",'ALL Other SINs - Proposal'!T434)</f>
        <v xml:space="preserve"> </v>
      </c>
      <c r="H434" s="275" t="str">
        <f>IF(ISBLANK('ALL Other SINs - Proposal'!V434)," ",'ALL Other SINs - Proposal'!V434)</f>
        <v xml:space="preserve"> </v>
      </c>
      <c r="I434" s="271" t="str">
        <f>IF(ISBLANK('ALL Other SINs - Proposal'!W434)," ",'ALL Other SINs - Proposal'!W434)</f>
        <v xml:space="preserve"> </v>
      </c>
      <c r="J434" s="71" t="str">
        <f>IF(ISBLANK('ALL Other SINs - Proposal'!X434)," ",'ALL Other SINs - Proposal'!X434)</f>
        <v xml:space="preserve"> </v>
      </c>
      <c r="K434" s="165" t="str">
        <f>IF(ISBLANK('ALL Other SINs - Proposal'!AA434)," ",'ALL Other SINs - Proposal'!AA434)</f>
        <v xml:space="preserve"> </v>
      </c>
      <c r="L434" s="178" t="str">
        <f>IF(ISBLANK('ALL Other SINs - Proposal'!AB434)," ",'ALL Other SINs - Proposal'!AB434)</f>
        <v xml:space="preserve"> </v>
      </c>
      <c r="M434" s="72" t="str">
        <f t="shared" si="12"/>
        <v xml:space="preserve"> </v>
      </c>
      <c r="N434" s="167" t="str">
        <f t="shared" si="13"/>
        <v xml:space="preserve"> </v>
      </c>
    </row>
    <row r="435" spans="1:14" ht="15" x14ac:dyDescent="0.25">
      <c r="A435" s="131" t="str">
        <f>IF(ISBLANK('ALL Other SINs - Proposal'!A435)," ",'ALL Other SINs - Proposal'!A435)</f>
        <v xml:space="preserve"> </v>
      </c>
      <c r="B435" s="137" t="str">
        <f>IF(ISBLANK('ALL Other SINs - Proposal'!B435)," ",'ALL Other SINs - Proposal'!B435)</f>
        <v xml:space="preserve"> </v>
      </c>
      <c r="C435" s="137" t="str">
        <f>IF(ISBLANK('ALL Other SINs - Proposal'!C435)," ",'ALL Other SINs - Proposal'!C435)</f>
        <v xml:space="preserve"> </v>
      </c>
      <c r="D435" s="138" t="str">
        <f>IF(ISBLANK('ALL Other SINs - Proposal'!D435)," ",'ALL Other SINs - Proposal'!D435)</f>
        <v xml:space="preserve"> </v>
      </c>
      <c r="E435" s="69" t="str">
        <f>IF(ISBLANK('ALL Other SINs - Proposal'!R435)," ",'ALL Other SINs - Proposal'!R435)</f>
        <v xml:space="preserve"> </v>
      </c>
      <c r="F435" s="73" t="str">
        <f>IF(ISBLANK('ALL Other SINs - Proposal'!S435)," ",'ALL Other SINs - Proposal'!S435)</f>
        <v xml:space="preserve"> </v>
      </c>
      <c r="G435" s="173" t="str">
        <f>IF(ISBLANK('ALL Other SINs - Proposal'!T435)," ",'ALL Other SINs - Proposal'!T435)</f>
        <v xml:space="preserve"> </v>
      </c>
      <c r="H435" s="275" t="str">
        <f>IF(ISBLANK('ALL Other SINs - Proposal'!V435)," ",'ALL Other SINs - Proposal'!V435)</f>
        <v xml:space="preserve"> </v>
      </c>
      <c r="I435" s="271" t="str">
        <f>IF(ISBLANK('ALL Other SINs - Proposal'!W435)," ",'ALL Other SINs - Proposal'!W435)</f>
        <v xml:space="preserve"> </v>
      </c>
      <c r="J435" s="71" t="str">
        <f>IF(ISBLANK('ALL Other SINs - Proposal'!X435)," ",'ALL Other SINs - Proposal'!X435)</f>
        <v xml:space="preserve"> </v>
      </c>
      <c r="K435" s="165" t="str">
        <f>IF(ISBLANK('ALL Other SINs - Proposal'!AA435)," ",'ALL Other SINs - Proposal'!AA435)</f>
        <v xml:space="preserve"> </v>
      </c>
      <c r="L435" s="178" t="str">
        <f>IF(ISBLANK('ALL Other SINs - Proposal'!AB435)," ",'ALL Other SINs - Proposal'!AB435)</f>
        <v xml:space="preserve"> </v>
      </c>
      <c r="M435" s="72" t="str">
        <f t="shared" si="12"/>
        <v xml:space="preserve"> </v>
      </c>
      <c r="N435" s="167" t="str">
        <f t="shared" si="13"/>
        <v xml:space="preserve"> </v>
      </c>
    </row>
    <row r="436" spans="1:14" ht="15" x14ac:dyDescent="0.25">
      <c r="A436" s="131" t="str">
        <f>IF(ISBLANK('ALL Other SINs - Proposal'!A436)," ",'ALL Other SINs - Proposal'!A436)</f>
        <v xml:space="preserve"> </v>
      </c>
      <c r="B436" s="137" t="str">
        <f>IF(ISBLANK('ALL Other SINs - Proposal'!B436)," ",'ALL Other SINs - Proposal'!B436)</f>
        <v xml:space="preserve"> </v>
      </c>
      <c r="C436" s="137" t="str">
        <f>IF(ISBLANK('ALL Other SINs - Proposal'!C436)," ",'ALL Other SINs - Proposal'!C436)</f>
        <v xml:space="preserve"> </v>
      </c>
      <c r="D436" s="138" t="str">
        <f>IF(ISBLANK('ALL Other SINs - Proposal'!D436)," ",'ALL Other SINs - Proposal'!D436)</f>
        <v xml:space="preserve"> </v>
      </c>
      <c r="E436" s="69" t="str">
        <f>IF(ISBLANK('ALL Other SINs - Proposal'!R436)," ",'ALL Other SINs - Proposal'!R436)</f>
        <v xml:space="preserve"> </v>
      </c>
      <c r="F436" s="73" t="str">
        <f>IF(ISBLANK('ALL Other SINs - Proposal'!S436)," ",'ALL Other SINs - Proposal'!S436)</f>
        <v xml:space="preserve"> </v>
      </c>
      <c r="G436" s="173" t="str">
        <f>IF(ISBLANK('ALL Other SINs - Proposal'!T436)," ",'ALL Other SINs - Proposal'!T436)</f>
        <v xml:space="preserve"> </v>
      </c>
      <c r="H436" s="275" t="str">
        <f>IF(ISBLANK('ALL Other SINs - Proposal'!V436)," ",'ALL Other SINs - Proposal'!V436)</f>
        <v xml:space="preserve"> </v>
      </c>
      <c r="I436" s="271" t="str">
        <f>IF(ISBLANK('ALL Other SINs - Proposal'!W436)," ",'ALL Other SINs - Proposal'!W436)</f>
        <v xml:space="preserve"> </v>
      </c>
      <c r="J436" s="71" t="str">
        <f>IF(ISBLANK('ALL Other SINs - Proposal'!X436)," ",'ALL Other SINs - Proposal'!X436)</f>
        <v xml:space="preserve"> </v>
      </c>
      <c r="K436" s="165" t="str">
        <f>IF(ISBLANK('ALL Other SINs - Proposal'!AA436)," ",'ALL Other SINs - Proposal'!AA436)</f>
        <v xml:space="preserve"> </v>
      </c>
      <c r="L436" s="178" t="str">
        <f>IF(ISBLANK('ALL Other SINs - Proposal'!AB436)," ",'ALL Other SINs - Proposal'!AB436)</f>
        <v xml:space="preserve"> </v>
      </c>
      <c r="M436" s="72" t="str">
        <f t="shared" si="12"/>
        <v xml:space="preserve"> </v>
      </c>
      <c r="N436" s="167" t="str">
        <f t="shared" si="13"/>
        <v xml:space="preserve"> </v>
      </c>
    </row>
    <row r="437" spans="1:14" ht="15" x14ac:dyDescent="0.25">
      <c r="A437" s="131" t="str">
        <f>IF(ISBLANK('ALL Other SINs - Proposal'!A437)," ",'ALL Other SINs - Proposal'!A437)</f>
        <v xml:space="preserve"> </v>
      </c>
      <c r="B437" s="137" t="str">
        <f>IF(ISBLANK('ALL Other SINs - Proposal'!B437)," ",'ALL Other SINs - Proposal'!B437)</f>
        <v xml:space="preserve"> </v>
      </c>
      <c r="C437" s="137" t="str">
        <f>IF(ISBLANK('ALL Other SINs - Proposal'!C437)," ",'ALL Other SINs - Proposal'!C437)</f>
        <v xml:space="preserve"> </v>
      </c>
      <c r="D437" s="138" t="str">
        <f>IF(ISBLANK('ALL Other SINs - Proposal'!D437)," ",'ALL Other SINs - Proposal'!D437)</f>
        <v xml:space="preserve"> </v>
      </c>
      <c r="E437" s="69" t="str">
        <f>IF(ISBLANK('ALL Other SINs - Proposal'!R437)," ",'ALL Other SINs - Proposal'!R437)</f>
        <v xml:space="preserve"> </v>
      </c>
      <c r="F437" s="73" t="str">
        <f>IF(ISBLANK('ALL Other SINs - Proposal'!S437)," ",'ALL Other SINs - Proposal'!S437)</f>
        <v xml:space="preserve"> </v>
      </c>
      <c r="G437" s="173" t="str">
        <f>IF(ISBLANK('ALL Other SINs - Proposal'!T437)," ",'ALL Other SINs - Proposal'!T437)</f>
        <v xml:space="preserve"> </v>
      </c>
      <c r="H437" s="275" t="str">
        <f>IF(ISBLANK('ALL Other SINs - Proposal'!V437)," ",'ALL Other SINs - Proposal'!V437)</f>
        <v xml:space="preserve"> </v>
      </c>
      <c r="I437" s="271" t="str">
        <f>IF(ISBLANK('ALL Other SINs - Proposal'!W437)," ",'ALL Other SINs - Proposal'!W437)</f>
        <v xml:space="preserve"> </v>
      </c>
      <c r="J437" s="71" t="str">
        <f>IF(ISBLANK('ALL Other SINs - Proposal'!X437)," ",'ALL Other SINs - Proposal'!X437)</f>
        <v xml:space="preserve"> </v>
      </c>
      <c r="K437" s="165" t="str">
        <f>IF(ISBLANK('ALL Other SINs - Proposal'!AA437)," ",'ALL Other SINs - Proposal'!AA437)</f>
        <v xml:space="preserve"> </v>
      </c>
      <c r="L437" s="178" t="str">
        <f>IF(ISBLANK('ALL Other SINs - Proposal'!AB437)," ",'ALL Other SINs - Proposal'!AB437)</f>
        <v xml:space="preserve"> </v>
      </c>
      <c r="M437" s="72" t="str">
        <f t="shared" si="12"/>
        <v xml:space="preserve"> </v>
      </c>
      <c r="N437" s="167" t="str">
        <f t="shared" si="13"/>
        <v xml:space="preserve"> </v>
      </c>
    </row>
    <row r="438" spans="1:14" ht="15" x14ac:dyDescent="0.25">
      <c r="A438" s="131" t="str">
        <f>IF(ISBLANK('ALL Other SINs - Proposal'!A438)," ",'ALL Other SINs - Proposal'!A438)</f>
        <v xml:space="preserve"> </v>
      </c>
      <c r="B438" s="137" t="str">
        <f>IF(ISBLANK('ALL Other SINs - Proposal'!B438)," ",'ALL Other SINs - Proposal'!B438)</f>
        <v xml:space="preserve"> </v>
      </c>
      <c r="C438" s="137" t="str">
        <f>IF(ISBLANK('ALL Other SINs - Proposal'!C438)," ",'ALL Other SINs - Proposal'!C438)</f>
        <v xml:space="preserve"> </v>
      </c>
      <c r="D438" s="138" t="str">
        <f>IF(ISBLANK('ALL Other SINs - Proposal'!D438)," ",'ALL Other SINs - Proposal'!D438)</f>
        <v xml:space="preserve"> </v>
      </c>
      <c r="E438" s="69" t="str">
        <f>IF(ISBLANK('ALL Other SINs - Proposal'!R438)," ",'ALL Other SINs - Proposal'!R438)</f>
        <v xml:space="preserve"> </v>
      </c>
      <c r="F438" s="73" t="str">
        <f>IF(ISBLANK('ALL Other SINs - Proposal'!S438)," ",'ALL Other SINs - Proposal'!S438)</f>
        <v xml:space="preserve"> </v>
      </c>
      <c r="G438" s="173" t="str">
        <f>IF(ISBLANK('ALL Other SINs - Proposal'!T438)," ",'ALL Other SINs - Proposal'!T438)</f>
        <v xml:space="preserve"> </v>
      </c>
      <c r="H438" s="275" t="str">
        <f>IF(ISBLANK('ALL Other SINs - Proposal'!V438)," ",'ALL Other SINs - Proposal'!V438)</f>
        <v xml:space="preserve"> </v>
      </c>
      <c r="I438" s="271" t="str">
        <f>IF(ISBLANK('ALL Other SINs - Proposal'!W438)," ",'ALL Other SINs - Proposal'!W438)</f>
        <v xml:space="preserve"> </v>
      </c>
      <c r="J438" s="71" t="str">
        <f>IF(ISBLANK('ALL Other SINs - Proposal'!X438)," ",'ALL Other SINs - Proposal'!X438)</f>
        <v xml:space="preserve"> </v>
      </c>
      <c r="K438" s="165" t="str">
        <f>IF(ISBLANK('ALL Other SINs - Proposal'!AA438)," ",'ALL Other SINs - Proposal'!AA438)</f>
        <v xml:space="preserve"> </v>
      </c>
      <c r="L438" s="178" t="str">
        <f>IF(ISBLANK('ALL Other SINs - Proposal'!AB438)," ",'ALL Other SINs - Proposal'!AB438)</f>
        <v xml:space="preserve"> </v>
      </c>
      <c r="M438" s="72" t="str">
        <f t="shared" si="12"/>
        <v xml:space="preserve"> </v>
      </c>
      <c r="N438" s="167" t="str">
        <f t="shared" si="13"/>
        <v xml:space="preserve"> </v>
      </c>
    </row>
    <row r="439" spans="1:14" ht="15" x14ac:dyDescent="0.25">
      <c r="A439" s="131" t="str">
        <f>IF(ISBLANK('ALL Other SINs - Proposal'!A439)," ",'ALL Other SINs - Proposal'!A439)</f>
        <v xml:space="preserve"> </v>
      </c>
      <c r="B439" s="137" t="str">
        <f>IF(ISBLANK('ALL Other SINs - Proposal'!B439)," ",'ALL Other SINs - Proposal'!B439)</f>
        <v xml:space="preserve"> </v>
      </c>
      <c r="C439" s="137" t="str">
        <f>IF(ISBLANK('ALL Other SINs - Proposal'!C439)," ",'ALL Other SINs - Proposal'!C439)</f>
        <v xml:space="preserve"> </v>
      </c>
      <c r="D439" s="138" t="str">
        <f>IF(ISBLANK('ALL Other SINs - Proposal'!D439)," ",'ALL Other SINs - Proposal'!D439)</f>
        <v xml:space="preserve"> </v>
      </c>
      <c r="E439" s="69" t="str">
        <f>IF(ISBLANK('ALL Other SINs - Proposal'!R439)," ",'ALL Other SINs - Proposal'!R439)</f>
        <v xml:space="preserve"> </v>
      </c>
      <c r="F439" s="73" t="str">
        <f>IF(ISBLANK('ALL Other SINs - Proposal'!S439)," ",'ALL Other SINs - Proposal'!S439)</f>
        <v xml:space="preserve"> </v>
      </c>
      <c r="G439" s="173" t="str">
        <f>IF(ISBLANK('ALL Other SINs - Proposal'!T439)," ",'ALL Other SINs - Proposal'!T439)</f>
        <v xml:space="preserve"> </v>
      </c>
      <c r="H439" s="275" t="str">
        <f>IF(ISBLANK('ALL Other SINs - Proposal'!V439)," ",'ALL Other SINs - Proposal'!V439)</f>
        <v xml:space="preserve"> </v>
      </c>
      <c r="I439" s="271" t="str">
        <f>IF(ISBLANK('ALL Other SINs - Proposal'!W439)," ",'ALL Other SINs - Proposal'!W439)</f>
        <v xml:space="preserve"> </v>
      </c>
      <c r="J439" s="71" t="str">
        <f>IF(ISBLANK('ALL Other SINs - Proposal'!X439)," ",'ALL Other SINs - Proposal'!X439)</f>
        <v xml:space="preserve"> </v>
      </c>
      <c r="K439" s="165" t="str">
        <f>IF(ISBLANK('ALL Other SINs - Proposal'!AA439)," ",'ALL Other SINs - Proposal'!AA439)</f>
        <v xml:space="preserve"> </v>
      </c>
      <c r="L439" s="178" t="str">
        <f>IF(ISBLANK('ALL Other SINs - Proposal'!AB439)," ",'ALL Other SINs - Proposal'!AB439)</f>
        <v xml:space="preserve"> </v>
      </c>
      <c r="M439" s="72" t="str">
        <f t="shared" si="12"/>
        <v xml:space="preserve"> </v>
      </c>
      <c r="N439" s="167" t="str">
        <f t="shared" si="13"/>
        <v xml:space="preserve"> </v>
      </c>
    </row>
    <row r="440" spans="1:14" ht="15" x14ac:dyDescent="0.25">
      <c r="A440" s="131" t="str">
        <f>IF(ISBLANK('ALL Other SINs - Proposal'!A440)," ",'ALL Other SINs - Proposal'!A440)</f>
        <v xml:space="preserve"> </v>
      </c>
      <c r="B440" s="137" t="str">
        <f>IF(ISBLANK('ALL Other SINs - Proposal'!B440)," ",'ALL Other SINs - Proposal'!B440)</f>
        <v xml:space="preserve"> </v>
      </c>
      <c r="C440" s="137" t="str">
        <f>IF(ISBLANK('ALL Other SINs - Proposal'!C440)," ",'ALL Other SINs - Proposal'!C440)</f>
        <v xml:space="preserve"> </v>
      </c>
      <c r="D440" s="138" t="str">
        <f>IF(ISBLANK('ALL Other SINs - Proposal'!D440)," ",'ALL Other SINs - Proposal'!D440)</f>
        <v xml:space="preserve"> </v>
      </c>
      <c r="E440" s="69" t="str">
        <f>IF(ISBLANK('ALL Other SINs - Proposal'!R440)," ",'ALL Other SINs - Proposal'!R440)</f>
        <v xml:space="preserve"> </v>
      </c>
      <c r="F440" s="73" t="str">
        <f>IF(ISBLANK('ALL Other SINs - Proposal'!S440)," ",'ALL Other SINs - Proposal'!S440)</f>
        <v xml:space="preserve"> </v>
      </c>
      <c r="G440" s="173" t="str">
        <f>IF(ISBLANK('ALL Other SINs - Proposal'!T440)," ",'ALL Other SINs - Proposal'!T440)</f>
        <v xml:space="preserve"> </v>
      </c>
      <c r="H440" s="275" t="str">
        <f>IF(ISBLANK('ALL Other SINs - Proposal'!V440)," ",'ALL Other SINs - Proposal'!V440)</f>
        <v xml:space="preserve"> </v>
      </c>
      <c r="I440" s="271" t="str">
        <f>IF(ISBLANK('ALL Other SINs - Proposal'!W440)," ",'ALL Other SINs - Proposal'!W440)</f>
        <v xml:space="preserve"> </v>
      </c>
      <c r="J440" s="71" t="str">
        <f>IF(ISBLANK('ALL Other SINs - Proposal'!X440)," ",'ALL Other SINs - Proposal'!X440)</f>
        <v xml:space="preserve"> </v>
      </c>
      <c r="K440" s="165" t="str">
        <f>IF(ISBLANK('ALL Other SINs - Proposal'!AA440)," ",'ALL Other SINs - Proposal'!AA440)</f>
        <v xml:space="preserve"> </v>
      </c>
      <c r="L440" s="178" t="str">
        <f>IF(ISBLANK('ALL Other SINs - Proposal'!AB440)," ",'ALL Other SINs - Proposal'!AB440)</f>
        <v xml:space="preserve"> </v>
      </c>
      <c r="M440" s="72" t="str">
        <f t="shared" si="12"/>
        <v xml:space="preserve"> </v>
      </c>
      <c r="N440" s="167" t="str">
        <f t="shared" si="13"/>
        <v xml:space="preserve"> </v>
      </c>
    </row>
    <row r="441" spans="1:14" ht="15" x14ac:dyDescent="0.25">
      <c r="A441" s="131" t="str">
        <f>IF(ISBLANK('ALL Other SINs - Proposal'!A441)," ",'ALL Other SINs - Proposal'!A441)</f>
        <v xml:space="preserve"> </v>
      </c>
      <c r="B441" s="137" t="str">
        <f>IF(ISBLANK('ALL Other SINs - Proposal'!B441)," ",'ALL Other SINs - Proposal'!B441)</f>
        <v xml:space="preserve"> </v>
      </c>
      <c r="C441" s="137" t="str">
        <f>IF(ISBLANK('ALL Other SINs - Proposal'!C441)," ",'ALL Other SINs - Proposal'!C441)</f>
        <v xml:space="preserve"> </v>
      </c>
      <c r="D441" s="138" t="str">
        <f>IF(ISBLANK('ALL Other SINs - Proposal'!D441)," ",'ALL Other SINs - Proposal'!D441)</f>
        <v xml:space="preserve"> </v>
      </c>
      <c r="E441" s="69" t="str">
        <f>IF(ISBLANK('ALL Other SINs - Proposal'!R441)," ",'ALL Other SINs - Proposal'!R441)</f>
        <v xml:space="preserve"> </v>
      </c>
      <c r="F441" s="73" t="str">
        <f>IF(ISBLANK('ALL Other SINs - Proposal'!S441)," ",'ALL Other SINs - Proposal'!S441)</f>
        <v xml:space="preserve"> </v>
      </c>
      <c r="G441" s="173" t="str">
        <f>IF(ISBLANK('ALL Other SINs - Proposal'!T441)," ",'ALL Other SINs - Proposal'!T441)</f>
        <v xml:space="preserve"> </v>
      </c>
      <c r="H441" s="275" t="str">
        <f>IF(ISBLANK('ALL Other SINs - Proposal'!V441)," ",'ALL Other SINs - Proposal'!V441)</f>
        <v xml:space="preserve"> </v>
      </c>
      <c r="I441" s="271" t="str">
        <f>IF(ISBLANK('ALL Other SINs - Proposal'!W441)," ",'ALL Other SINs - Proposal'!W441)</f>
        <v xml:space="preserve"> </v>
      </c>
      <c r="J441" s="71" t="str">
        <f>IF(ISBLANK('ALL Other SINs - Proposal'!X441)," ",'ALL Other SINs - Proposal'!X441)</f>
        <v xml:space="preserve"> </v>
      </c>
      <c r="K441" s="165" t="str">
        <f>IF(ISBLANK('ALL Other SINs - Proposal'!AA441)," ",'ALL Other SINs - Proposal'!AA441)</f>
        <v xml:space="preserve"> </v>
      </c>
      <c r="L441" s="178" t="str">
        <f>IF(ISBLANK('ALL Other SINs - Proposal'!AB441)," ",'ALL Other SINs - Proposal'!AB441)</f>
        <v xml:space="preserve"> </v>
      </c>
      <c r="M441" s="72" t="str">
        <f t="shared" si="12"/>
        <v xml:space="preserve"> </v>
      </c>
      <c r="N441" s="167" t="str">
        <f t="shared" si="13"/>
        <v xml:space="preserve"> </v>
      </c>
    </row>
    <row r="442" spans="1:14" ht="15" x14ac:dyDescent="0.25">
      <c r="A442" s="131" t="str">
        <f>IF(ISBLANK('ALL Other SINs - Proposal'!A442)," ",'ALL Other SINs - Proposal'!A442)</f>
        <v xml:space="preserve"> </v>
      </c>
      <c r="B442" s="137" t="str">
        <f>IF(ISBLANK('ALL Other SINs - Proposal'!B442)," ",'ALL Other SINs - Proposal'!B442)</f>
        <v xml:space="preserve"> </v>
      </c>
      <c r="C442" s="137" t="str">
        <f>IF(ISBLANK('ALL Other SINs - Proposal'!C442)," ",'ALL Other SINs - Proposal'!C442)</f>
        <v xml:space="preserve"> </v>
      </c>
      <c r="D442" s="138" t="str">
        <f>IF(ISBLANK('ALL Other SINs - Proposal'!D442)," ",'ALL Other SINs - Proposal'!D442)</f>
        <v xml:space="preserve"> </v>
      </c>
      <c r="E442" s="69" t="str">
        <f>IF(ISBLANK('ALL Other SINs - Proposal'!R442)," ",'ALL Other SINs - Proposal'!R442)</f>
        <v xml:space="preserve"> </v>
      </c>
      <c r="F442" s="73" t="str">
        <f>IF(ISBLANK('ALL Other SINs - Proposal'!S442)," ",'ALL Other SINs - Proposal'!S442)</f>
        <v xml:space="preserve"> </v>
      </c>
      <c r="G442" s="173" t="str">
        <f>IF(ISBLANK('ALL Other SINs - Proposal'!T442)," ",'ALL Other SINs - Proposal'!T442)</f>
        <v xml:space="preserve"> </v>
      </c>
      <c r="H442" s="275" t="str">
        <f>IF(ISBLANK('ALL Other SINs - Proposal'!V442)," ",'ALL Other SINs - Proposal'!V442)</f>
        <v xml:space="preserve"> </v>
      </c>
      <c r="I442" s="271" t="str">
        <f>IF(ISBLANK('ALL Other SINs - Proposal'!W442)," ",'ALL Other SINs - Proposal'!W442)</f>
        <v xml:space="preserve"> </v>
      </c>
      <c r="J442" s="71" t="str">
        <f>IF(ISBLANK('ALL Other SINs - Proposal'!X442)," ",'ALL Other SINs - Proposal'!X442)</f>
        <v xml:space="preserve"> </v>
      </c>
      <c r="K442" s="165" t="str">
        <f>IF(ISBLANK('ALL Other SINs - Proposal'!AA442)," ",'ALL Other SINs - Proposal'!AA442)</f>
        <v xml:space="preserve"> </v>
      </c>
      <c r="L442" s="178" t="str">
        <f>IF(ISBLANK('ALL Other SINs - Proposal'!AB442)," ",'ALL Other SINs - Proposal'!AB442)</f>
        <v xml:space="preserve"> </v>
      </c>
      <c r="M442" s="72" t="str">
        <f t="shared" si="12"/>
        <v xml:space="preserve"> </v>
      </c>
      <c r="N442" s="167" t="str">
        <f t="shared" si="13"/>
        <v xml:space="preserve"> </v>
      </c>
    </row>
    <row r="443" spans="1:14" ht="15" x14ac:dyDescent="0.25">
      <c r="A443" s="131" t="str">
        <f>IF(ISBLANK('ALL Other SINs - Proposal'!A443)," ",'ALL Other SINs - Proposal'!A443)</f>
        <v xml:space="preserve"> </v>
      </c>
      <c r="B443" s="137" t="str">
        <f>IF(ISBLANK('ALL Other SINs - Proposal'!B443)," ",'ALL Other SINs - Proposal'!B443)</f>
        <v xml:space="preserve"> </v>
      </c>
      <c r="C443" s="137" t="str">
        <f>IF(ISBLANK('ALL Other SINs - Proposal'!C443)," ",'ALL Other SINs - Proposal'!C443)</f>
        <v xml:space="preserve"> </v>
      </c>
      <c r="D443" s="138" t="str">
        <f>IF(ISBLANK('ALL Other SINs - Proposal'!D443)," ",'ALL Other SINs - Proposal'!D443)</f>
        <v xml:space="preserve"> </v>
      </c>
      <c r="E443" s="69" t="str">
        <f>IF(ISBLANK('ALL Other SINs - Proposal'!R443)," ",'ALL Other SINs - Proposal'!R443)</f>
        <v xml:space="preserve"> </v>
      </c>
      <c r="F443" s="73" t="str">
        <f>IF(ISBLANK('ALL Other SINs - Proposal'!S443)," ",'ALL Other SINs - Proposal'!S443)</f>
        <v xml:space="preserve"> </v>
      </c>
      <c r="G443" s="173" t="str">
        <f>IF(ISBLANK('ALL Other SINs - Proposal'!T443)," ",'ALL Other SINs - Proposal'!T443)</f>
        <v xml:space="preserve"> </v>
      </c>
      <c r="H443" s="275" t="str">
        <f>IF(ISBLANK('ALL Other SINs - Proposal'!V443)," ",'ALL Other SINs - Proposal'!V443)</f>
        <v xml:space="preserve"> </v>
      </c>
      <c r="I443" s="271" t="str">
        <f>IF(ISBLANK('ALL Other SINs - Proposal'!W443)," ",'ALL Other SINs - Proposal'!W443)</f>
        <v xml:space="preserve"> </v>
      </c>
      <c r="J443" s="71" t="str">
        <f>IF(ISBLANK('ALL Other SINs - Proposal'!X443)," ",'ALL Other SINs - Proposal'!X443)</f>
        <v xml:space="preserve"> </v>
      </c>
      <c r="K443" s="165" t="str">
        <f>IF(ISBLANK('ALL Other SINs - Proposal'!AA443)," ",'ALL Other SINs - Proposal'!AA443)</f>
        <v xml:space="preserve"> </v>
      </c>
      <c r="L443" s="178" t="str">
        <f>IF(ISBLANK('ALL Other SINs - Proposal'!AB443)," ",'ALL Other SINs - Proposal'!AB443)</f>
        <v xml:space="preserve"> </v>
      </c>
      <c r="M443" s="72" t="str">
        <f t="shared" si="12"/>
        <v xml:space="preserve"> </v>
      </c>
      <c r="N443" s="167" t="str">
        <f t="shared" si="13"/>
        <v xml:space="preserve"> </v>
      </c>
    </row>
    <row r="444" spans="1:14" ht="15" x14ac:dyDescent="0.25">
      <c r="A444" s="131" t="str">
        <f>IF(ISBLANK('ALL Other SINs - Proposal'!A444)," ",'ALL Other SINs - Proposal'!A444)</f>
        <v xml:space="preserve"> </v>
      </c>
      <c r="B444" s="137" t="str">
        <f>IF(ISBLANK('ALL Other SINs - Proposal'!B444)," ",'ALL Other SINs - Proposal'!B444)</f>
        <v xml:space="preserve"> </v>
      </c>
      <c r="C444" s="137" t="str">
        <f>IF(ISBLANK('ALL Other SINs - Proposal'!C444)," ",'ALL Other SINs - Proposal'!C444)</f>
        <v xml:space="preserve"> </v>
      </c>
      <c r="D444" s="138" t="str">
        <f>IF(ISBLANK('ALL Other SINs - Proposal'!D444)," ",'ALL Other SINs - Proposal'!D444)</f>
        <v xml:space="preserve"> </v>
      </c>
      <c r="E444" s="69" t="str">
        <f>IF(ISBLANK('ALL Other SINs - Proposal'!R444)," ",'ALL Other SINs - Proposal'!R444)</f>
        <v xml:space="preserve"> </v>
      </c>
      <c r="F444" s="73" t="str">
        <f>IF(ISBLANK('ALL Other SINs - Proposal'!S444)," ",'ALL Other SINs - Proposal'!S444)</f>
        <v xml:space="preserve"> </v>
      </c>
      <c r="G444" s="173" t="str">
        <f>IF(ISBLANK('ALL Other SINs - Proposal'!T444)," ",'ALL Other SINs - Proposal'!T444)</f>
        <v xml:space="preserve"> </v>
      </c>
      <c r="H444" s="275" t="str">
        <f>IF(ISBLANK('ALL Other SINs - Proposal'!V444)," ",'ALL Other SINs - Proposal'!V444)</f>
        <v xml:space="preserve"> </v>
      </c>
      <c r="I444" s="271" t="str">
        <f>IF(ISBLANK('ALL Other SINs - Proposal'!W444)," ",'ALL Other SINs - Proposal'!W444)</f>
        <v xml:space="preserve"> </v>
      </c>
      <c r="J444" s="71" t="str">
        <f>IF(ISBLANK('ALL Other SINs - Proposal'!X444)," ",'ALL Other SINs - Proposal'!X444)</f>
        <v xml:space="preserve"> </v>
      </c>
      <c r="K444" s="165" t="str">
        <f>IF(ISBLANK('ALL Other SINs - Proposal'!AA444)," ",'ALL Other SINs - Proposal'!AA444)</f>
        <v xml:space="preserve"> </v>
      </c>
      <c r="L444" s="178" t="str">
        <f>IF(ISBLANK('ALL Other SINs - Proposal'!AB444)," ",'ALL Other SINs - Proposal'!AB444)</f>
        <v xml:space="preserve"> </v>
      </c>
      <c r="M444" s="72" t="str">
        <f t="shared" si="12"/>
        <v xml:space="preserve"> </v>
      </c>
      <c r="N444" s="167" t="str">
        <f t="shared" si="13"/>
        <v xml:space="preserve"> </v>
      </c>
    </row>
    <row r="445" spans="1:14" ht="15" x14ac:dyDescent="0.25">
      <c r="A445" s="131" t="str">
        <f>IF(ISBLANK('ALL Other SINs - Proposal'!A445)," ",'ALL Other SINs - Proposal'!A445)</f>
        <v xml:space="preserve"> </v>
      </c>
      <c r="B445" s="137" t="str">
        <f>IF(ISBLANK('ALL Other SINs - Proposal'!B445)," ",'ALL Other SINs - Proposal'!B445)</f>
        <v xml:space="preserve"> </v>
      </c>
      <c r="C445" s="137" t="str">
        <f>IF(ISBLANK('ALL Other SINs - Proposal'!C445)," ",'ALL Other SINs - Proposal'!C445)</f>
        <v xml:space="preserve"> </v>
      </c>
      <c r="D445" s="138" t="str">
        <f>IF(ISBLANK('ALL Other SINs - Proposal'!D445)," ",'ALL Other SINs - Proposal'!D445)</f>
        <v xml:space="preserve"> </v>
      </c>
      <c r="E445" s="69" t="str">
        <f>IF(ISBLANK('ALL Other SINs - Proposal'!R445)," ",'ALL Other SINs - Proposal'!R445)</f>
        <v xml:space="preserve"> </v>
      </c>
      <c r="F445" s="73" t="str">
        <f>IF(ISBLANK('ALL Other SINs - Proposal'!S445)," ",'ALL Other SINs - Proposal'!S445)</f>
        <v xml:space="preserve"> </v>
      </c>
      <c r="G445" s="173" t="str">
        <f>IF(ISBLANK('ALL Other SINs - Proposal'!T445)," ",'ALL Other SINs - Proposal'!T445)</f>
        <v xml:space="preserve"> </v>
      </c>
      <c r="H445" s="275" t="str">
        <f>IF(ISBLANK('ALL Other SINs - Proposal'!V445)," ",'ALL Other SINs - Proposal'!V445)</f>
        <v xml:space="preserve"> </v>
      </c>
      <c r="I445" s="271" t="str">
        <f>IF(ISBLANK('ALL Other SINs - Proposal'!W445)," ",'ALL Other SINs - Proposal'!W445)</f>
        <v xml:space="preserve"> </v>
      </c>
      <c r="J445" s="71" t="str">
        <f>IF(ISBLANK('ALL Other SINs - Proposal'!X445)," ",'ALL Other SINs - Proposal'!X445)</f>
        <v xml:space="preserve"> </v>
      </c>
      <c r="K445" s="165" t="str">
        <f>IF(ISBLANK('ALL Other SINs - Proposal'!AA445)," ",'ALL Other SINs - Proposal'!AA445)</f>
        <v xml:space="preserve"> </v>
      </c>
      <c r="L445" s="178" t="str">
        <f>IF(ISBLANK('ALL Other SINs - Proposal'!AB445)," ",'ALL Other SINs - Proposal'!AB445)</f>
        <v xml:space="preserve"> </v>
      </c>
      <c r="M445" s="72" t="str">
        <f t="shared" si="12"/>
        <v xml:space="preserve"> </v>
      </c>
      <c r="N445" s="167" t="str">
        <f t="shared" si="13"/>
        <v xml:space="preserve"> </v>
      </c>
    </row>
    <row r="446" spans="1:14" ht="15" x14ac:dyDescent="0.25">
      <c r="A446" s="131" t="str">
        <f>IF(ISBLANK('ALL Other SINs - Proposal'!A446)," ",'ALL Other SINs - Proposal'!A446)</f>
        <v xml:space="preserve"> </v>
      </c>
      <c r="B446" s="137" t="str">
        <f>IF(ISBLANK('ALL Other SINs - Proposal'!B446)," ",'ALL Other SINs - Proposal'!B446)</f>
        <v xml:space="preserve"> </v>
      </c>
      <c r="C446" s="137" t="str">
        <f>IF(ISBLANK('ALL Other SINs - Proposal'!C446)," ",'ALL Other SINs - Proposal'!C446)</f>
        <v xml:space="preserve"> </v>
      </c>
      <c r="D446" s="138" t="str">
        <f>IF(ISBLANK('ALL Other SINs - Proposal'!D446)," ",'ALL Other SINs - Proposal'!D446)</f>
        <v xml:space="preserve"> </v>
      </c>
      <c r="E446" s="69" t="str">
        <f>IF(ISBLANK('ALL Other SINs - Proposal'!R446)," ",'ALL Other SINs - Proposal'!R446)</f>
        <v xml:space="preserve"> </v>
      </c>
      <c r="F446" s="73" t="str">
        <f>IF(ISBLANK('ALL Other SINs - Proposal'!S446)," ",'ALL Other SINs - Proposal'!S446)</f>
        <v xml:space="preserve"> </v>
      </c>
      <c r="G446" s="173" t="str">
        <f>IF(ISBLANK('ALL Other SINs - Proposal'!T446)," ",'ALL Other SINs - Proposal'!T446)</f>
        <v xml:space="preserve"> </v>
      </c>
      <c r="H446" s="275" t="str">
        <f>IF(ISBLANK('ALL Other SINs - Proposal'!V446)," ",'ALL Other SINs - Proposal'!V446)</f>
        <v xml:space="preserve"> </v>
      </c>
      <c r="I446" s="271" t="str">
        <f>IF(ISBLANK('ALL Other SINs - Proposal'!W446)," ",'ALL Other SINs - Proposal'!W446)</f>
        <v xml:space="preserve"> </v>
      </c>
      <c r="J446" s="71" t="str">
        <f>IF(ISBLANK('ALL Other SINs - Proposal'!X446)," ",'ALL Other SINs - Proposal'!X446)</f>
        <v xml:space="preserve"> </v>
      </c>
      <c r="K446" s="165" t="str">
        <f>IF(ISBLANK('ALL Other SINs - Proposal'!AA446)," ",'ALL Other SINs - Proposal'!AA446)</f>
        <v xml:space="preserve"> </v>
      </c>
      <c r="L446" s="178" t="str">
        <f>IF(ISBLANK('ALL Other SINs - Proposal'!AB446)," ",'ALL Other SINs - Proposal'!AB446)</f>
        <v xml:space="preserve"> </v>
      </c>
      <c r="M446" s="72" t="str">
        <f t="shared" si="12"/>
        <v xml:space="preserve"> </v>
      </c>
      <c r="N446" s="167" t="str">
        <f t="shared" si="13"/>
        <v xml:space="preserve"> </v>
      </c>
    </row>
    <row r="447" spans="1:14" ht="15" x14ac:dyDescent="0.25">
      <c r="A447" s="131" t="str">
        <f>IF(ISBLANK('ALL Other SINs - Proposal'!A447)," ",'ALL Other SINs - Proposal'!A447)</f>
        <v xml:space="preserve"> </v>
      </c>
      <c r="B447" s="137" t="str">
        <f>IF(ISBLANK('ALL Other SINs - Proposal'!B447)," ",'ALL Other SINs - Proposal'!B447)</f>
        <v xml:space="preserve"> </v>
      </c>
      <c r="C447" s="137" t="str">
        <f>IF(ISBLANK('ALL Other SINs - Proposal'!C447)," ",'ALL Other SINs - Proposal'!C447)</f>
        <v xml:space="preserve"> </v>
      </c>
      <c r="D447" s="138" t="str">
        <f>IF(ISBLANK('ALL Other SINs - Proposal'!D447)," ",'ALL Other SINs - Proposal'!D447)</f>
        <v xml:space="preserve"> </v>
      </c>
      <c r="E447" s="69" t="str">
        <f>IF(ISBLANK('ALL Other SINs - Proposal'!R447)," ",'ALL Other SINs - Proposal'!R447)</f>
        <v xml:space="preserve"> </v>
      </c>
      <c r="F447" s="73" t="str">
        <f>IF(ISBLANK('ALL Other SINs - Proposal'!S447)," ",'ALL Other SINs - Proposal'!S447)</f>
        <v xml:space="preserve"> </v>
      </c>
      <c r="G447" s="173" t="str">
        <f>IF(ISBLANK('ALL Other SINs - Proposal'!T447)," ",'ALL Other SINs - Proposal'!T447)</f>
        <v xml:space="preserve"> </v>
      </c>
      <c r="H447" s="275" t="str">
        <f>IF(ISBLANK('ALL Other SINs - Proposal'!V447)," ",'ALL Other SINs - Proposal'!V447)</f>
        <v xml:space="preserve"> </v>
      </c>
      <c r="I447" s="271" t="str">
        <f>IF(ISBLANK('ALL Other SINs - Proposal'!W447)," ",'ALL Other SINs - Proposal'!W447)</f>
        <v xml:space="preserve"> </v>
      </c>
      <c r="J447" s="71" t="str">
        <f>IF(ISBLANK('ALL Other SINs - Proposal'!X447)," ",'ALL Other SINs - Proposal'!X447)</f>
        <v xml:space="preserve"> </v>
      </c>
      <c r="K447" s="165" t="str">
        <f>IF(ISBLANK('ALL Other SINs - Proposal'!AA447)," ",'ALL Other SINs - Proposal'!AA447)</f>
        <v xml:space="preserve"> </v>
      </c>
      <c r="L447" s="178" t="str">
        <f>IF(ISBLANK('ALL Other SINs - Proposal'!AB447)," ",'ALL Other SINs - Proposal'!AB447)</f>
        <v xml:space="preserve"> </v>
      </c>
      <c r="M447" s="72" t="str">
        <f t="shared" si="12"/>
        <v xml:space="preserve"> </v>
      </c>
      <c r="N447" s="167" t="str">
        <f t="shared" si="13"/>
        <v xml:space="preserve"> </v>
      </c>
    </row>
    <row r="448" spans="1:14" ht="15" x14ac:dyDescent="0.25">
      <c r="A448" s="131" t="str">
        <f>IF(ISBLANK('ALL Other SINs - Proposal'!A448)," ",'ALL Other SINs - Proposal'!A448)</f>
        <v xml:space="preserve"> </v>
      </c>
      <c r="B448" s="137" t="str">
        <f>IF(ISBLANK('ALL Other SINs - Proposal'!B448)," ",'ALL Other SINs - Proposal'!B448)</f>
        <v xml:space="preserve"> </v>
      </c>
      <c r="C448" s="137" t="str">
        <f>IF(ISBLANK('ALL Other SINs - Proposal'!C448)," ",'ALL Other SINs - Proposal'!C448)</f>
        <v xml:space="preserve"> </v>
      </c>
      <c r="D448" s="138" t="str">
        <f>IF(ISBLANK('ALL Other SINs - Proposal'!D448)," ",'ALL Other SINs - Proposal'!D448)</f>
        <v xml:space="preserve"> </v>
      </c>
      <c r="E448" s="69" t="str">
        <f>IF(ISBLANK('ALL Other SINs - Proposal'!R448)," ",'ALL Other SINs - Proposal'!R448)</f>
        <v xml:space="preserve"> </v>
      </c>
      <c r="F448" s="73" t="str">
        <f>IF(ISBLANK('ALL Other SINs - Proposal'!S448)," ",'ALL Other SINs - Proposal'!S448)</f>
        <v xml:space="preserve"> </v>
      </c>
      <c r="G448" s="173" t="str">
        <f>IF(ISBLANK('ALL Other SINs - Proposal'!T448)," ",'ALL Other SINs - Proposal'!T448)</f>
        <v xml:space="preserve"> </v>
      </c>
      <c r="H448" s="275" t="str">
        <f>IF(ISBLANK('ALL Other SINs - Proposal'!V448)," ",'ALL Other SINs - Proposal'!V448)</f>
        <v xml:space="preserve"> </v>
      </c>
      <c r="I448" s="271" t="str">
        <f>IF(ISBLANK('ALL Other SINs - Proposal'!W448)," ",'ALL Other SINs - Proposal'!W448)</f>
        <v xml:space="preserve"> </v>
      </c>
      <c r="J448" s="71" t="str">
        <f>IF(ISBLANK('ALL Other SINs - Proposal'!X448)," ",'ALL Other SINs - Proposal'!X448)</f>
        <v xml:space="preserve"> </v>
      </c>
      <c r="K448" s="165" t="str">
        <f>IF(ISBLANK('ALL Other SINs - Proposal'!AA448)," ",'ALL Other SINs - Proposal'!AA448)</f>
        <v xml:space="preserve"> </v>
      </c>
      <c r="L448" s="178" t="str">
        <f>IF(ISBLANK('ALL Other SINs - Proposal'!AB448)," ",'ALL Other SINs - Proposal'!AB448)</f>
        <v xml:space="preserve"> </v>
      </c>
      <c r="M448" s="72" t="str">
        <f t="shared" si="12"/>
        <v xml:space="preserve"> </v>
      </c>
      <c r="N448" s="167" t="str">
        <f t="shared" si="13"/>
        <v xml:space="preserve"> </v>
      </c>
    </row>
    <row r="449" spans="1:14" ht="15" x14ac:dyDescent="0.25">
      <c r="A449" s="131" t="str">
        <f>IF(ISBLANK('ALL Other SINs - Proposal'!A449)," ",'ALL Other SINs - Proposal'!A449)</f>
        <v xml:space="preserve"> </v>
      </c>
      <c r="B449" s="137" t="str">
        <f>IF(ISBLANK('ALL Other SINs - Proposal'!B449)," ",'ALL Other SINs - Proposal'!B449)</f>
        <v xml:space="preserve"> </v>
      </c>
      <c r="C449" s="137" t="str">
        <f>IF(ISBLANK('ALL Other SINs - Proposal'!C449)," ",'ALL Other SINs - Proposal'!C449)</f>
        <v xml:space="preserve"> </v>
      </c>
      <c r="D449" s="138" t="str">
        <f>IF(ISBLANK('ALL Other SINs - Proposal'!D449)," ",'ALL Other SINs - Proposal'!D449)</f>
        <v xml:space="preserve"> </v>
      </c>
      <c r="E449" s="69" t="str">
        <f>IF(ISBLANK('ALL Other SINs - Proposal'!R449)," ",'ALL Other SINs - Proposal'!R449)</f>
        <v xml:space="preserve"> </v>
      </c>
      <c r="F449" s="73" t="str">
        <f>IF(ISBLANK('ALL Other SINs - Proposal'!S449)," ",'ALL Other SINs - Proposal'!S449)</f>
        <v xml:space="preserve"> </v>
      </c>
      <c r="G449" s="173" t="str">
        <f>IF(ISBLANK('ALL Other SINs - Proposal'!T449)," ",'ALL Other SINs - Proposal'!T449)</f>
        <v xml:space="preserve"> </v>
      </c>
      <c r="H449" s="275" t="str">
        <f>IF(ISBLANK('ALL Other SINs - Proposal'!V449)," ",'ALL Other SINs - Proposal'!V449)</f>
        <v xml:space="preserve"> </v>
      </c>
      <c r="I449" s="271" t="str">
        <f>IF(ISBLANK('ALL Other SINs - Proposal'!W449)," ",'ALL Other SINs - Proposal'!W449)</f>
        <v xml:space="preserve"> </v>
      </c>
      <c r="J449" s="71" t="str">
        <f>IF(ISBLANK('ALL Other SINs - Proposal'!X449)," ",'ALL Other SINs - Proposal'!X449)</f>
        <v xml:space="preserve"> </v>
      </c>
      <c r="K449" s="165" t="str">
        <f>IF(ISBLANK('ALL Other SINs - Proposal'!AA449)," ",'ALL Other SINs - Proposal'!AA449)</f>
        <v xml:space="preserve"> </v>
      </c>
      <c r="L449" s="178" t="str">
        <f>IF(ISBLANK('ALL Other SINs - Proposal'!AB449)," ",'ALL Other SINs - Proposal'!AB449)</f>
        <v xml:space="preserve"> </v>
      </c>
      <c r="M449" s="72" t="str">
        <f t="shared" si="12"/>
        <v xml:space="preserve"> </v>
      </c>
      <c r="N449" s="167" t="str">
        <f t="shared" si="13"/>
        <v xml:space="preserve"> </v>
      </c>
    </row>
    <row r="450" spans="1:14" ht="15" x14ac:dyDescent="0.25">
      <c r="A450" s="131" t="str">
        <f>IF(ISBLANK('ALL Other SINs - Proposal'!A450)," ",'ALL Other SINs - Proposal'!A450)</f>
        <v xml:space="preserve"> </v>
      </c>
      <c r="B450" s="137" t="str">
        <f>IF(ISBLANK('ALL Other SINs - Proposal'!B450)," ",'ALL Other SINs - Proposal'!B450)</f>
        <v xml:space="preserve"> </v>
      </c>
      <c r="C450" s="137" t="str">
        <f>IF(ISBLANK('ALL Other SINs - Proposal'!C450)," ",'ALL Other SINs - Proposal'!C450)</f>
        <v xml:space="preserve"> </v>
      </c>
      <c r="D450" s="138" t="str">
        <f>IF(ISBLANK('ALL Other SINs - Proposal'!D450)," ",'ALL Other SINs - Proposal'!D450)</f>
        <v xml:space="preserve"> </v>
      </c>
      <c r="E450" s="69" t="str">
        <f>IF(ISBLANK('ALL Other SINs - Proposal'!R450)," ",'ALL Other SINs - Proposal'!R450)</f>
        <v xml:space="preserve"> </v>
      </c>
      <c r="F450" s="73" t="str">
        <f>IF(ISBLANK('ALL Other SINs - Proposal'!S450)," ",'ALL Other SINs - Proposal'!S450)</f>
        <v xml:space="preserve"> </v>
      </c>
      <c r="G450" s="173" t="str">
        <f>IF(ISBLANK('ALL Other SINs - Proposal'!T450)," ",'ALL Other SINs - Proposal'!T450)</f>
        <v xml:space="preserve"> </v>
      </c>
      <c r="H450" s="275" t="str">
        <f>IF(ISBLANK('ALL Other SINs - Proposal'!V450)," ",'ALL Other SINs - Proposal'!V450)</f>
        <v xml:space="preserve"> </v>
      </c>
      <c r="I450" s="271" t="str">
        <f>IF(ISBLANK('ALL Other SINs - Proposal'!W450)," ",'ALL Other SINs - Proposal'!W450)</f>
        <v xml:space="preserve"> </v>
      </c>
      <c r="J450" s="71" t="str">
        <f>IF(ISBLANK('ALL Other SINs - Proposal'!X450)," ",'ALL Other SINs - Proposal'!X450)</f>
        <v xml:space="preserve"> </v>
      </c>
      <c r="K450" s="165" t="str">
        <f>IF(ISBLANK('ALL Other SINs - Proposal'!AA450)," ",'ALL Other SINs - Proposal'!AA450)</f>
        <v xml:space="preserve"> </v>
      </c>
      <c r="L450" s="178" t="str">
        <f>IF(ISBLANK('ALL Other SINs - Proposal'!AB450)," ",'ALL Other SINs - Proposal'!AB450)</f>
        <v xml:space="preserve"> </v>
      </c>
      <c r="M450" s="72" t="str">
        <f t="shared" si="12"/>
        <v xml:space="preserve"> </v>
      </c>
      <c r="N450" s="167" t="str">
        <f t="shared" si="13"/>
        <v xml:space="preserve"> </v>
      </c>
    </row>
    <row r="451" spans="1:14" ht="15" x14ac:dyDescent="0.25">
      <c r="A451" s="131" t="str">
        <f>IF(ISBLANK('ALL Other SINs - Proposal'!A451)," ",'ALL Other SINs - Proposal'!A451)</f>
        <v xml:space="preserve"> </v>
      </c>
      <c r="B451" s="137" t="str">
        <f>IF(ISBLANK('ALL Other SINs - Proposal'!B451)," ",'ALL Other SINs - Proposal'!B451)</f>
        <v xml:space="preserve"> </v>
      </c>
      <c r="C451" s="137" t="str">
        <f>IF(ISBLANK('ALL Other SINs - Proposal'!C451)," ",'ALL Other SINs - Proposal'!C451)</f>
        <v xml:space="preserve"> </v>
      </c>
      <c r="D451" s="138" t="str">
        <f>IF(ISBLANK('ALL Other SINs - Proposal'!D451)," ",'ALL Other SINs - Proposal'!D451)</f>
        <v xml:space="preserve"> </v>
      </c>
      <c r="E451" s="69" t="str">
        <f>IF(ISBLANK('ALL Other SINs - Proposal'!R451)," ",'ALL Other SINs - Proposal'!R451)</f>
        <v xml:space="preserve"> </v>
      </c>
      <c r="F451" s="73" t="str">
        <f>IF(ISBLANK('ALL Other SINs - Proposal'!S451)," ",'ALL Other SINs - Proposal'!S451)</f>
        <v xml:space="preserve"> </v>
      </c>
      <c r="G451" s="173" t="str">
        <f>IF(ISBLANK('ALL Other SINs - Proposal'!T451)," ",'ALL Other SINs - Proposal'!T451)</f>
        <v xml:space="preserve"> </v>
      </c>
      <c r="H451" s="275" t="str">
        <f>IF(ISBLANK('ALL Other SINs - Proposal'!V451)," ",'ALL Other SINs - Proposal'!V451)</f>
        <v xml:space="preserve"> </v>
      </c>
      <c r="I451" s="271" t="str">
        <f>IF(ISBLANK('ALL Other SINs - Proposal'!W451)," ",'ALL Other SINs - Proposal'!W451)</f>
        <v xml:space="preserve"> </v>
      </c>
      <c r="J451" s="71" t="str">
        <f>IF(ISBLANK('ALL Other SINs - Proposal'!X451)," ",'ALL Other SINs - Proposal'!X451)</f>
        <v xml:space="preserve"> </v>
      </c>
      <c r="K451" s="165" t="str">
        <f>IF(ISBLANK('ALL Other SINs - Proposal'!AA451)," ",'ALL Other SINs - Proposal'!AA451)</f>
        <v xml:space="preserve"> </v>
      </c>
      <c r="L451" s="178" t="str">
        <f>IF(ISBLANK('ALL Other SINs - Proposal'!AB451)," ",'ALL Other SINs - Proposal'!AB451)</f>
        <v xml:space="preserve"> </v>
      </c>
      <c r="M451" s="72" t="str">
        <f t="shared" ref="M451:M514" si="14">IFERROR(IF((ROUND(K451,2))&lt;=(ROUND(F451,2)),"YES","NO")," ")</f>
        <v xml:space="preserve"> </v>
      </c>
      <c r="N451" s="167" t="str">
        <f t="shared" ref="N451:N514" si="15">IFERROR(IF(ISBLANK(K451)," ",(ROUND(K451,2))/(ROUND(I451,2)))," ")</f>
        <v xml:space="preserve"> </v>
      </c>
    </row>
    <row r="452" spans="1:14" ht="15" x14ac:dyDescent="0.25">
      <c r="A452" s="131" t="str">
        <f>IF(ISBLANK('ALL Other SINs - Proposal'!A452)," ",'ALL Other SINs - Proposal'!A452)</f>
        <v xml:space="preserve"> </v>
      </c>
      <c r="B452" s="137" t="str">
        <f>IF(ISBLANK('ALL Other SINs - Proposal'!B452)," ",'ALL Other SINs - Proposal'!B452)</f>
        <v xml:space="preserve"> </v>
      </c>
      <c r="C452" s="137" t="str">
        <f>IF(ISBLANK('ALL Other SINs - Proposal'!C452)," ",'ALL Other SINs - Proposal'!C452)</f>
        <v xml:space="preserve"> </v>
      </c>
      <c r="D452" s="138" t="str">
        <f>IF(ISBLANK('ALL Other SINs - Proposal'!D452)," ",'ALL Other SINs - Proposal'!D452)</f>
        <v xml:space="preserve"> </v>
      </c>
      <c r="E452" s="69" t="str">
        <f>IF(ISBLANK('ALL Other SINs - Proposal'!R452)," ",'ALL Other SINs - Proposal'!R452)</f>
        <v xml:space="preserve"> </v>
      </c>
      <c r="F452" s="73" t="str">
        <f>IF(ISBLANK('ALL Other SINs - Proposal'!S452)," ",'ALL Other SINs - Proposal'!S452)</f>
        <v xml:space="preserve"> </v>
      </c>
      <c r="G452" s="173" t="str">
        <f>IF(ISBLANK('ALL Other SINs - Proposal'!T452)," ",'ALL Other SINs - Proposal'!T452)</f>
        <v xml:space="preserve"> </v>
      </c>
      <c r="H452" s="275" t="str">
        <f>IF(ISBLANK('ALL Other SINs - Proposal'!V452)," ",'ALL Other SINs - Proposal'!V452)</f>
        <v xml:space="preserve"> </v>
      </c>
      <c r="I452" s="271" t="str">
        <f>IF(ISBLANK('ALL Other SINs - Proposal'!W452)," ",'ALL Other SINs - Proposal'!W452)</f>
        <v xml:space="preserve"> </v>
      </c>
      <c r="J452" s="71" t="str">
        <f>IF(ISBLANK('ALL Other SINs - Proposal'!X452)," ",'ALL Other SINs - Proposal'!X452)</f>
        <v xml:space="preserve"> </v>
      </c>
      <c r="K452" s="165" t="str">
        <f>IF(ISBLANK('ALL Other SINs - Proposal'!AA452)," ",'ALL Other SINs - Proposal'!AA452)</f>
        <v xml:space="preserve"> </v>
      </c>
      <c r="L452" s="178" t="str">
        <f>IF(ISBLANK('ALL Other SINs - Proposal'!AB452)," ",'ALL Other SINs - Proposal'!AB452)</f>
        <v xml:space="preserve"> </v>
      </c>
      <c r="M452" s="72" t="str">
        <f t="shared" si="14"/>
        <v xml:space="preserve"> </v>
      </c>
      <c r="N452" s="167" t="str">
        <f t="shared" si="15"/>
        <v xml:space="preserve"> </v>
      </c>
    </row>
    <row r="453" spans="1:14" ht="15" x14ac:dyDescent="0.25">
      <c r="A453" s="131" t="str">
        <f>IF(ISBLANK('ALL Other SINs - Proposal'!A453)," ",'ALL Other SINs - Proposal'!A453)</f>
        <v xml:space="preserve"> </v>
      </c>
      <c r="B453" s="137" t="str">
        <f>IF(ISBLANK('ALL Other SINs - Proposal'!B453)," ",'ALL Other SINs - Proposal'!B453)</f>
        <v xml:space="preserve"> </v>
      </c>
      <c r="C453" s="137" t="str">
        <f>IF(ISBLANK('ALL Other SINs - Proposal'!C453)," ",'ALL Other SINs - Proposal'!C453)</f>
        <v xml:space="preserve"> </v>
      </c>
      <c r="D453" s="138" t="str">
        <f>IF(ISBLANK('ALL Other SINs - Proposal'!D453)," ",'ALL Other SINs - Proposal'!D453)</f>
        <v xml:space="preserve"> </v>
      </c>
      <c r="E453" s="69" t="str">
        <f>IF(ISBLANK('ALL Other SINs - Proposal'!R453)," ",'ALL Other SINs - Proposal'!R453)</f>
        <v xml:space="preserve"> </v>
      </c>
      <c r="F453" s="73" t="str">
        <f>IF(ISBLANK('ALL Other SINs - Proposal'!S453)," ",'ALL Other SINs - Proposal'!S453)</f>
        <v xml:space="preserve"> </v>
      </c>
      <c r="G453" s="173" t="str">
        <f>IF(ISBLANK('ALL Other SINs - Proposal'!T453)," ",'ALL Other SINs - Proposal'!T453)</f>
        <v xml:space="preserve"> </v>
      </c>
      <c r="H453" s="275" t="str">
        <f>IF(ISBLANK('ALL Other SINs - Proposal'!V453)," ",'ALL Other SINs - Proposal'!V453)</f>
        <v xml:space="preserve"> </v>
      </c>
      <c r="I453" s="271" t="str">
        <f>IF(ISBLANK('ALL Other SINs - Proposal'!W453)," ",'ALL Other SINs - Proposal'!W453)</f>
        <v xml:space="preserve"> </v>
      </c>
      <c r="J453" s="71" t="str">
        <f>IF(ISBLANK('ALL Other SINs - Proposal'!X453)," ",'ALL Other SINs - Proposal'!X453)</f>
        <v xml:space="preserve"> </v>
      </c>
      <c r="K453" s="165" t="str">
        <f>IF(ISBLANK('ALL Other SINs - Proposal'!AA453)," ",'ALL Other SINs - Proposal'!AA453)</f>
        <v xml:space="preserve"> </v>
      </c>
      <c r="L453" s="178" t="str">
        <f>IF(ISBLANK('ALL Other SINs - Proposal'!AB453)," ",'ALL Other SINs - Proposal'!AB453)</f>
        <v xml:space="preserve"> </v>
      </c>
      <c r="M453" s="72" t="str">
        <f t="shared" si="14"/>
        <v xml:space="preserve"> </v>
      </c>
      <c r="N453" s="167" t="str">
        <f t="shared" si="15"/>
        <v xml:space="preserve"> </v>
      </c>
    </row>
    <row r="454" spans="1:14" ht="15" x14ac:dyDescent="0.25">
      <c r="A454" s="131" t="str">
        <f>IF(ISBLANK('ALL Other SINs - Proposal'!A454)," ",'ALL Other SINs - Proposal'!A454)</f>
        <v xml:space="preserve"> </v>
      </c>
      <c r="B454" s="137" t="str">
        <f>IF(ISBLANK('ALL Other SINs - Proposal'!B454)," ",'ALL Other SINs - Proposal'!B454)</f>
        <v xml:space="preserve"> </v>
      </c>
      <c r="C454" s="137" t="str">
        <f>IF(ISBLANK('ALL Other SINs - Proposal'!C454)," ",'ALL Other SINs - Proposal'!C454)</f>
        <v xml:space="preserve"> </v>
      </c>
      <c r="D454" s="138" t="str">
        <f>IF(ISBLANK('ALL Other SINs - Proposal'!D454)," ",'ALL Other SINs - Proposal'!D454)</f>
        <v xml:space="preserve"> </v>
      </c>
      <c r="E454" s="69" t="str">
        <f>IF(ISBLANK('ALL Other SINs - Proposal'!R454)," ",'ALL Other SINs - Proposal'!R454)</f>
        <v xml:space="preserve"> </v>
      </c>
      <c r="F454" s="73" t="str">
        <f>IF(ISBLANK('ALL Other SINs - Proposal'!S454)," ",'ALL Other SINs - Proposal'!S454)</f>
        <v xml:space="preserve"> </v>
      </c>
      <c r="G454" s="173" t="str">
        <f>IF(ISBLANK('ALL Other SINs - Proposal'!T454)," ",'ALL Other SINs - Proposal'!T454)</f>
        <v xml:space="preserve"> </v>
      </c>
      <c r="H454" s="275" t="str">
        <f>IF(ISBLANK('ALL Other SINs - Proposal'!V454)," ",'ALL Other SINs - Proposal'!V454)</f>
        <v xml:space="preserve"> </v>
      </c>
      <c r="I454" s="271" t="str">
        <f>IF(ISBLANK('ALL Other SINs - Proposal'!W454)," ",'ALL Other SINs - Proposal'!W454)</f>
        <v xml:space="preserve"> </v>
      </c>
      <c r="J454" s="71" t="str">
        <f>IF(ISBLANK('ALL Other SINs - Proposal'!X454)," ",'ALL Other SINs - Proposal'!X454)</f>
        <v xml:space="preserve"> </v>
      </c>
      <c r="K454" s="165" t="str">
        <f>IF(ISBLANK('ALL Other SINs - Proposal'!AA454)," ",'ALL Other SINs - Proposal'!AA454)</f>
        <v xml:space="preserve"> </v>
      </c>
      <c r="L454" s="178" t="str">
        <f>IF(ISBLANK('ALL Other SINs - Proposal'!AB454)," ",'ALL Other SINs - Proposal'!AB454)</f>
        <v xml:space="preserve"> </v>
      </c>
      <c r="M454" s="72" t="str">
        <f t="shared" si="14"/>
        <v xml:space="preserve"> </v>
      </c>
      <c r="N454" s="167" t="str">
        <f t="shared" si="15"/>
        <v xml:space="preserve"> </v>
      </c>
    </row>
    <row r="455" spans="1:14" ht="15" x14ac:dyDescent="0.25">
      <c r="A455" s="131" t="str">
        <f>IF(ISBLANK('ALL Other SINs - Proposal'!A455)," ",'ALL Other SINs - Proposal'!A455)</f>
        <v xml:space="preserve"> </v>
      </c>
      <c r="B455" s="137" t="str">
        <f>IF(ISBLANK('ALL Other SINs - Proposal'!B455)," ",'ALL Other SINs - Proposal'!B455)</f>
        <v xml:space="preserve"> </v>
      </c>
      <c r="C455" s="137" t="str">
        <f>IF(ISBLANK('ALL Other SINs - Proposal'!C455)," ",'ALL Other SINs - Proposal'!C455)</f>
        <v xml:space="preserve"> </v>
      </c>
      <c r="D455" s="138" t="str">
        <f>IF(ISBLANK('ALL Other SINs - Proposal'!D455)," ",'ALL Other SINs - Proposal'!D455)</f>
        <v xml:space="preserve"> </v>
      </c>
      <c r="E455" s="69" t="str">
        <f>IF(ISBLANK('ALL Other SINs - Proposal'!R455)," ",'ALL Other SINs - Proposal'!R455)</f>
        <v xml:space="preserve"> </v>
      </c>
      <c r="F455" s="73" t="str">
        <f>IF(ISBLANK('ALL Other SINs - Proposal'!S455)," ",'ALL Other SINs - Proposal'!S455)</f>
        <v xml:space="preserve"> </v>
      </c>
      <c r="G455" s="173" t="str">
        <f>IF(ISBLANK('ALL Other SINs - Proposal'!T455)," ",'ALL Other SINs - Proposal'!T455)</f>
        <v xml:space="preserve"> </v>
      </c>
      <c r="H455" s="275" t="str">
        <f>IF(ISBLANK('ALL Other SINs - Proposal'!V455)," ",'ALL Other SINs - Proposal'!V455)</f>
        <v xml:space="preserve"> </v>
      </c>
      <c r="I455" s="271" t="str">
        <f>IF(ISBLANK('ALL Other SINs - Proposal'!W455)," ",'ALL Other SINs - Proposal'!W455)</f>
        <v xml:space="preserve"> </v>
      </c>
      <c r="J455" s="71" t="str">
        <f>IF(ISBLANK('ALL Other SINs - Proposal'!X455)," ",'ALL Other SINs - Proposal'!X455)</f>
        <v xml:space="preserve"> </v>
      </c>
      <c r="K455" s="165" t="str">
        <f>IF(ISBLANK('ALL Other SINs - Proposal'!AA455)," ",'ALL Other SINs - Proposal'!AA455)</f>
        <v xml:space="preserve"> </v>
      </c>
      <c r="L455" s="178" t="str">
        <f>IF(ISBLANK('ALL Other SINs - Proposal'!AB455)," ",'ALL Other SINs - Proposal'!AB455)</f>
        <v xml:space="preserve"> </v>
      </c>
      <c r="M455" s="72" t="str">
        <f t="shared" si="14"/>
        <v xml:space="preserve"> </v>
      </c>
      <c r="N455" s="167" t="str">
        <f t="shared" si="15"/>
        <v xml:space="preserve"> </v>
      </c>
    </row>
    <row r="456" spans="1:14" ht="15" x14ac:dyDescent="0.25">
      <c r="A456" s="131" t="str">
        <f>IF(ISBLANK('ALL Other SINs - Proposal'!A456)," ",'ALL Other SINs - Proposal'!A456)</f>
        <v xml:space="preserve"> </v>
      </c>
      <c r="B456" s="137" t="str">
        <f>IF(ISBLANK('ALL Other SINs - Proposal'!B456)," ",'ALL Other SINs - Proposal'!B456)</f>
        <v xml:space="preserve"> </v>
      </c>
      <c r="C456" s="137" t="str">
        <f>IF(ISBLANK('ALL Other SINs - Proposal'!C456)," ",'ALL Other SINs - Proposal'!C456)</f>
        <v xml:space="preserve"> </v>
      </c>
      <c r="D456" s="138" t="str">
        <f>IF(ISBLANK('ALL Other SINs - Proposal'!D456)," ",'ALL Other SINs - Proposal'!D456)</f>
        <v xml:space="preserve"> </v>
      </c>
      <c r="E456" s="69" t="str">
        <f>IF(ISBLANK('ALL Other SINs - Proposal'!R456)," ",'ALL Other SINs - Proposal'!R456)</f>
        <v xml:space="preserve"> </v>
      </c>
      <c r="F456" s="73" t="str">
        <f>IF(ISBLANK('ALL Other SINs - Proposal'!S456)," ",'ALL Other SINs - Proposal'!S456)</f>
        <v xml:space="preserve"> </v>
      </c>
      <c r="G456" s="173" t="str">
        <f>IF(ISBLANK('ALL Other SINs - Proposal'!T456)," ",'ALL Other SINs - Proposal'!T456)</f>
        <v xml:space="preserve"> </v>
      </c>
      <c r="H456" s="275" t="str">
        <f>IF(ISBLANK('ALL Other SINs - Proposal'!V456)," ",'ALL Other SINs - Proposal'!V456)</f>
        <v xml:space="preserve"> </v>
      </c>
      <c r="I456" s="271" t="str">
        <f>IF(ISBLANK('ALL Other SINs - Proposal'!W456)," ",'ALL Other SINs - Proposal'!W456)</f>
        <v xml:space="preserve"> </v>
      </c>
      <c r="J456" s="71" t="str">
        <f>IF(ISBLANK('ALL Other SINs - Proposal'!X456)," ",'ALL Other SINs - Proposal'!X456)</f>
        <v xml:space="preserve"> </v>
      </c>
      <c r="K456" s="165" t="str">
        <f>IF(ISBLANK('ALL Other SINs - Proposal'!AA456)," ",'ALL Other SINs - Proposal'!AA456)</f>
        <v xml:space="preserve"> </v>
      </c>
      <c r="L456" s="178" t="str">
        <f>IF(ISBLANK('ALL Other SINs - Proposal'!AB456)," ",'ALL Other SINs - Proposal'!AB456)</f>
        <v xml:space="preserve"> </v>
      </c>
      <c r="M456" s="72" t="str">
        <f t="shared" si="14"/>
        <v xml:space="preserve"> </v>
      </c>
      <c r="N456" s="167" t="str">
        <f t="shared" si="15"/>
        <v xml:space="preserve"> </v>
      </c>
    </row>
    <row r="457" spans="1:14" ht="15" x14ac:dyDescent="0.25">
      <c r="A457" s="131" t="str">
        <f>IF(ISBLANK('ALL Other SINs - Proposal'!A457)," ",'ALL Other SINs - Proposal'!A457)</f>
        <v xml:space="preserve"> </v>
      </c>
      <c r="B457" s="137" t="str">
        <f>IF(ISBLANK('ALL Other SINs - Proposal'!B457)," ",'ALL Other SINs - Proposal'!B457)</f>
        <v xml:space="preserve"> </v>
      </c>
      <c r="C457" s="137" t="str">
        <f>IF(ISBLANK('ALL Other SINs - Proposal'!C457)," ",'ALL Other SINs - Proposal'!C457)</f>
        <v xml:space="preserve"> </v>
      </c>
      <c r="D457" s="138" t="str">
        <f>IF(ISBLANK('ALL Other SINs - Proposal'!D457)," ",'ALL Other SINs - Proposal'!D457)</f>
        <v xml:space="preserve"> </v>
      </c>
      <c r="E457" s="69" t="str">
        <f>IF(ISBLANK('ALL Other SINs - Proposal'!R457)," ",'ALL Other SINs - Proposal'!R457)</f>
        <v xml:space="preserve"> </v>
      </c>
      <c r="F457" s="73" t="str">
        <f>IF(ISBLANK('ALL Other SINs - Proposal'!S457)," ",'ALL Other SINs - Proposal'!S457)</f>
        <v xml:space="preserve"> </v>
      </c>
      <c r="G457" s="173" t="str">
        <f>IF(ISBLANK('ALL Other SINs - Proposal'!T457)," ",'ALL Other SINs - Proposal'!T457)</f>
        <v xml:space="preserve"> </v>
      </c>
      <c r="H457" s="275" t="str">
        <f>IF(ISBLANK('ALL Other SINs - Proposal'!V457)," ",'ALL Other SINs - Proposal'!V457)</f>
        <v xml:space="preserve"> </v>
      </c>
      <c r="I457" s="271" t="str">
        <f>IF(ISBLANK('ALL Other SINs - Proposal'!W457)," ",'ALL Other SINs - Proposal'!W457)</f>
        <v xml:space="preserve"> </v>
      </c>
      <c r="J457" s="71" t="str">
        <f>IF(ISBLANK('ALL Other SINs - Proposal'!X457)," ",'ALL Other SINs - Proposal'!X457)</f>
        <v xml:space="preserve"> </v>
      </c>
      <c r="K457" s="165" t="str">
        <f>IF(ISBLANK('ALL Other SINs - Proposal'!AA457)," ",'ALL Other SINs - Proposal'!AA457)</f>
        <v xml:space="preserve"> </v>
      </c>
      <c r="L457" s="178" t="str">
        <f>IF(ISBLANK('ALL Other SINs - Proposal'!AB457)," ",'ALL Other SINs - Proposal'!AB457)</f>
        <v xml:space="preserve"> </v>
      </c>
      <c r="M457" s="72" t="str">
        <f t="shared" si="14"/>
        <v xml:space="preserve"> </v>
      </c>
      <c r="N457" s="167" t="str">
        <f t="shared" si="15"/>
        <v xml:space="preserve"> </v>
      </c>
    </row>
    <row r="458" spans="1:14" ht="15" x14ac:dyDescent="0.25">
      <c r="A458" s="131" t="str">
        <f>IF(ISBLANK('ALL Other SINs - Proposal'!A458)," ",'ALL Other SINs - Proposal'!A458)</f>
        <v xml:space="preserve"> </v>
      </c>
      <c r="B458" s="137" t="str">
        <f>IF(ISBLANK('ALL Other SINs - Proposal'!B458)," ",'ALL Other SINs - Proposal'!B458)</f>
        <v xml:space="preserve"> </v>
      </c>
      <c r="C458" s="137" t="str">
        <f>IF(ISBLANK('ALL Other SINs - Proposal'!C458)," ",'ALL Other SINs - Proposal'!C458)</f>
        <v xml:space="preserve"> </v>
      </c>
      <c r="D458" s="138" t="str">
        <f>IF(ISBLANK('ALL Other SINs - Proposal'!D458)," ",'ALL Other SINs - Proposal'!D458)</f>
        <v xml:space="preserve"> </v>
      </c>
      <c r="E458" s="69" t="str">
        <f>IF(ISBLANK('ALL Other SINs - Proposal'!R458)," ",'ALL Other SINs - Proposal'!R458)</f>
        <v xml:space="preserve"> </v>
      </c>
      <c r="F458" s="73" t="str">
        <f>IF(ISBLANK('ALL Other SINs - Proposal'!S458)," ",'ALL Other SINs - Proposal'!S458)</f>
        <v xml:space="preserve"> </v>
      </c>
      <c r="G458" s="173" t="str">
        <f>IF(ISBLANK('ALL Other SINs - Proposal'!T458)," ",'ALL Other SINs - Proposal'!T458)</f>
        <v xml:space="preserve"> </v>
      </c>
      <c r="H458" s="275" t="str">
        <f>IF(ISBLANK('ALL Other SINs - Proposal'!V458)," ",'ALL Other SINs - Proposal'!V458)</f>
        <v xml:space="preserve"> </v>
      </c>
      <c r="I458" s="271" t="str">
        <f>IF(ISBLANK('ALL Other SINs - Proposal'!W458)," ",'ALL Other SINs - Proposal'!W458)</f>
        <v xml:space="preserve"> </v>
      </c>
      <c r="J458" s="71" t="str">
        <f>IF(ISBLANK('ALL Other SINs - Proposal'!X458)," ",'ALL Other SINs - Proposal'!X458)</f>
        <v xml:space="preserve"> </v>
      </c>
      <c r="K458" s="165" t="str">
        <f>IF(ISBLANK('ALL Other SINs - Proposal'!AA458)," ",'ALL Other SINs - Proposal'!AA458)</f>
        <v xml:space="preserve"> </v>
      </c>
      <c r="L458" s="178" t="str">
        <f>IF(ISBLANK('ALL Other SINs - Proposal'!AB458)," ",'ALL Other SINs - Proposal'!AB458)</f>
        <v xml:space="preserve"> </v>
      </c>
      <c r="M458" s="72" t="str">
        <f t="shared" si="14"/>
        <v xml:space="preserve"> </v>
      </c>
      <c r="N458" s="167" t="str">
        <f t="shared" si="15"/>
        <v xml:space="preserve"> </v>
      </c>
    </row>
    <row r="459" spans="1:14" ht="15" x14ac:dyDescent="0.25">
      <c r="A459" s="131" t="str">
        <f>IF(ISBLANK('ALL Other SINs - Proposal'!A459)," ",'ALL Other SINs - Proposal'!A459)</f>
        <v xml:space="preserve"> </v>
      </c>
      <c r="B459" s="137" t="str">
        <f>IF(ISBLANK('ALL Other SINs - Proposal'!B459)," ",'ALL Other SINs - Proposal'!B459)</f>
        <v xml:space="preserve"> </v>
      </c>
      <c r="C459" s="137" t="str">
        <f>IF(ISBLANK('ALL Other SINs - Proposal'!C459)," ",'ALL Other SINs - Proposal'!C459)</f>
        <v xml:space="preserve"> </v>
      </c>
      <c r="D459" s="138" t="str">
        <f>IF(ISBLANK('ALL Other SINs - Proposal'!D459)," ",'ALL Other SINs - Proposal'!D459)</f>
        <v xml:space="preserve"> </v>
      </c>
      <c r="E459" s="69" t="str">
        <f>IF(ISBLANK('ALL Other SINs - Proposal'!R459)," ",'ALL Other SINs - Proposal'!R459)</f>
        <v xml:space="preserve"> </v>
      </c>
      <c r="F459" s="73" t="str">
        <f>IF(ISBLANK('ALL Other SINs - Proposal'!S459)," ",'ALL Other SINs - Proposal'!S459)</f>
        <v xml:space="preserve"> </v>
      </c>
      <c r="G459" s="173" t="str">
        <f>IF(ISBLANK('ALL Other SINs - Proposal'!T459)," ",'ALL Other SINs - Proposal'!T459)</f>
        <v xml:space="preserve"> </v>
      </c>
      <c r="H459" s="275" t="str">
        <f>IF(ISBLANK('ALL Other SINs - Proposal'!V459)," ",'ALL Other SINs - Proposal'!V459)</f>
        <v xml:space="preserve"> </v>
      </c>
      <c r="I459" s="271" t="str">
        <f>IF(ISBLANK('ALL Other SINs - Proposal'!W459)," ",'ALL Other SINs - Proposal'!W459)</f>
        <v xml:space="preserve"> </v>
      </c>
      <c r="J459" s="71" t="str">
        <f>IF(ISBLANK('ALL Other SINs - Proposal'!X459)," ",'ALL Other SINs - Proposal'!X459)</f>
        <v xml:space="preserve"> </v>
      </c>
      <c r="K459" s="165" t="str">
        <f>IF(ISBLANK('ALL Other SINs - Proposal'!AA459)," ",'ALL Other SINs - Proposal'!AA459)</f>
        <v xml:space="preserve"> </v>
      </c>
      <c r="L459" s="178" t="str">
        <f>IF(ISBLANK('ALL Other SINs - Proposal'!AB459)," ",'ALL Other SINs - Proposal'!AB459)</f>
        <v xml:space="preserve"> </v>
      </c>
      <c r="M459" s="72" t="str">
        <f t="shared" si="14"/>
        <v xml:space="preserve"> </v>
      </c>
      <c r="N459" s="167" t="str">
        <f t="shared" si="15"/>
        <v xml:space="preserve"> </v>
      </c>
    </row>
    <row r="460" spans="1:14" ht="15" x14ac:dyDescent="0.25">
      <c r="A460" s="131" t="str">
        <f>IF(ISBLANK('ALL Other SINs - Proposal'!A460)," ",'ALL Other SINs - Proposal'!A460)</f>
        <v xml:space="preserve"> </v>
      </c>
      <c r="B460" s="137" t="str">
        <f>IF(ISBLANK('ALL Other SINs - Proposal'!B460)," ",'ALL Other SINs - Proposal'!B460)</f>
        <v xml:space="preserve"> </v>
      </c>
      <c r="C460" s="137" t="str">
        <f>IF(ISBLANK('ALL Other SINs - Proposal'!C460)," ",'ALL Other SINs - Proposal'!C460)</f>
        <v xml:space="preserve"> </v>
      </c>
      <c r="D460" s="138" t="str">
        <f>IF(ISBLANK('ALL Other SINs - Proposal'!D460)," ",'ALL Other SINs - Proposal'!D460)</f>
        <v xml:space="preserve"> </v>
      </c>
      <c r="E460" s="69" t="str">
        <f>IF(ISBLANK('ALL Other SINs - Proposal'!R460)," ",'ALL Other SINs - Proposal'!R460)</f>
        <v xml:space="preserve"> </v>
      </c>
      <c r="F460" s="73" t="str">
        <f>IF(ISBLANK('ALL Other SINs - Proposal'!S460)," ",'ALL Other SINs - Proposal'!S460)</f>
        <v xml:space="preserve"> </v>
      </c>
      <c r="G460" s="173" t="str">
        <f>IF(ISBLANK('ALL Other SINs - Proposal'!T460)," ",'ALL Other SINs - Proposal'!T460)</f>
        <v xml:space="preserve"> </v>
      </c>
      <c r="H460" s="275" t="str">
        <f>IF(ISBLANK('ALL Other SINs - Proposal'!V460)," ",'ALL Other SINs - Proposal'!V460)</f>
        <v xml:space="preserve"> </v>
      </c>
      <c r="I460" s="271" t="str">
        <f>IF(ISBLANK('ALL Other SINs - Proposal'!W460)," ",'ALL Other SINs - Proposal'!W460)</f>
        <v xml:space="preserve"> </v>
      </c>
      <c r="J460" s="71" t="str">
        <f>IF(ISBLANK('ALL Other SINs - Proposal'!X460)," ",'ALL Other SINs - Proposal'!X460)</f>
        <v xml:space="preserve"> </v>
      </c>
      <c r="K460" s="165" t="str">
        <f>IF(ISBLANK('ALL Other SINs - Proposal'!AA460)," ",'ALL Other SINs - Proposal'!AA460)</f>
        <v xml:space="preserve"> </v>
      </c>
      <c r="L460" s="178" t="str">
        <f>IF(ISBLANK('ALL Other SINs - Proposal'!AB460)," ",'ALL Other SINs - Proposal'!AB460)</f>
        <v xml:space="preserve"> </v>
      </c>
      <c r="M460" s="72" t="str">
        <f t="shared" si="14"/>
        <v xml:space="preserve"> </v>
      </c>
      <c r="N460" s="167" t="str">
        <f t="shared" si="15"/>
        <v xml:space="preserve"> </v>
      </c>
    </row>
    <row r="461" spans="1:14" ht="15" x14ac:dyDescent="0.25">
      <c r="A461" s="131" t="str">
        <f>IF(ISBLANK('ALL Other SINs - Proposal'!A461)," ",'ALL Other SINs - Proposal'!A461)</f>
        <v xml:space="preserve"> </v>
      </c>
      <c r="B461" s="137" t="str">
        <f>IF(ISBLANK('ALL Other SINs - Proposal'!B461)," ",'ALL Other SINs - Proposal'!B461)</f>
        <v xml:space="preserve"> </v>
      </c>
      <c r="C461" s="137" t="str">
        <f>IF(ISBLANK('ALL Other SINs - Proposal'!C461)," ",'ALL Other SINs - Proposal'!C461)</f>
        <v xml:space="preserve"> </v>
      </c>
      <c r="D461" s="138" t="str">
        <f>IF(ISBLANK('ALL Other SINs - Proposal'!D461)," ",'ALL Other SINs - Proposal'!D461)</f>
        <v xml:space="preserve"> </v>
      </c>
      <c r="E461" s="69" t="str">
        <f>IF(ISBLANK('ALL Other SINs - Proposal'!R461)," ",'ALL Other SINs - Proposal'!R461)</f>
        <v xml:space="preserve"> </v>
      </c>
      <c r="F461" s="73" t="str">
        <f>IF(ISBLANK('ALL Other SINs - Proposal'!S461)," ",'ALL Other SINs - Proposal'!S461)</f>
        <v xml:space="preserve"> </v>
      </c>
      <c r="G461" s="173" t="str">
        <f>IF(ISBLANK('ALL Other SINs - Proposal'!T461)," ",'ALL Other SINs - Proposal'!T461)</f>
        <v xml:space="preserve"> </v>
      </c>
      <c r="H461" s="275" t="str">
        <f>IF(ISBLANK('ALL Other SINs - Proposal'!V461)," ",'ALL Other SINs - Proposal'!V461)</f>
        <v xml:space="preserve"> </v>
      </c>
      <c r="I461" s="271" t="str">
        <f>IF(ISBLANK('ALL Other SINs - Proposal'!W461)," ",'ALL Other SINs - Proposal'!W461)</f>
        <v xml:space="preserve"> </v>
      </c>
      <c r="J461" s="71" t="str">
        <f>IF(ISBLANK('ALL Other SINs - Proposal'!X461)," ",'ALL Other SINs - Proposal'!X461)</f>
        <v xml:space="preserve"> </v>
      </c>
      <c r="K461" s="165" t="str">
        <f>IF(ISBLANK('ALL Other SINs - Proposal'!AA461)," ",'ALL Other SINs - Proposal'!AA461)</f>
        <v xml:space="preserve"> </v>
      </c>
      <c r="L461" s="178" t="str">
        <f>IF(ISBLANK('ALL Other SINs - Proposal'!AB461)," ",'ALL Other SINs - Proposal'!AB461)</f>
        <v xml:space="preserve"> </v>
      </c>
      <c r="M461" s="72" t="str">
        <f t="shared" si="14"/>
        <v xml:space="preserve"> </v>
      </c>
      <c r="N461" s="167" t="str">
        <f t="shared" si="15"/>
        <v xml:space="preserve"> </v>
      </c>
    </row>
    <row r="462" spans="1:14" ht="15" x14ac:dyDescent="0.25">
      <c r="A462" s="131" t="str">
        <f>IF(ISBLANK('ALL Other SINs - Proposal'!A462)," ",'ALL Other SINs - Proposal'!A462)</f>
        <v xml:space="preserve"> </v>
      </c>
      <c r="B462" s="137" t="str">
        <f>IF(ISBLANK('ALL Other SINs - Proposal'!B462)," ",'ALL Other SINs - Proposal'!B462)</f>
        <v xml:space="preserve"> </v>
      </c>
      <c r="C462" s="137" t="str">
        <f>IF(ISBLANK('ALL Other SINs - Proposal'!C462)," ",'ALL Other SINs - Proposal'!C462)</f>
        <v xml:space="preserve"> </v>
      </c>
      <c r="D462" s="138" t="str">
        <f>IF(ISBLANK('ALL Other SINs - Proposal'!D462)," ",'ALL Other SINs - Proposal'!D462)</f>
        <v xml:space="preserve"> </v>
      </c>
      <c r="E462" s="69" t="str">
        <f>IF(ISBLANK('ALL Other SINs - Proposal'!R462)," ",'ALL Other SINs - Proposal'!R462)</f>
        <v xml:space="preserve"> </v>
      </c>
      <c r="F462" s="73" t="str">
        <f>IF(ISBLANK('ALL Other SINs - Proposal'!S462)," ",'ALL Other SINs - Proposal'!S462)</f>
        <v xml:space="preserve"> </v>
      </c>
      <c r="G462" s="173" t="str">
        <f>IF(ISBLANK('ALL Other SINs - Proposal'!T462)," ",'ALL Other SINs - Proposal'!T462)</f>
        <v xml:space="preserve"> </v>
      </c>
      <c r="H462" s="275" t="str">
        <f>IF(ISBLANK('ALL Other SINs - Proposal'!V462)," ",'ALL Other SINs - Proposal'!V462)</f>
        <v xml:space="preserve"> </v>
      </c>
      <c r="I462" s="271" t="str">
        <f>IF(ISBLANK('ALL Other SINs - Proposal'!W462)," ",'ALL Other SINs - Proposal'!W462)</f>
        <v xml:space="preserve"> </v>
      </c>
      <c r="J462" s="71" t="str">
        <f>IF(ISBLANK('ALL Other SINs - Proposal'!X462)," ",'ALL Other SINs - Proposal'!X462)</f>
        <v xml:space="preserve"> </v>
      </c>
      <c r="K462" s="165" t="str">
        <f>IF(ISBLANK('ALL Other SINs - Proposal'!AA462)," ",'ALL Other SINs - Proposal'!AA462)</f>
        <v xml:space="preserve"> </v>
      </c>
      <c r="L462" s="178" t="str">
        <f>IF(ISBLANK('ALL Other SINs - Proposal'!AB462)," ",'ALL Other SINs - Proposal'!AB462)</f>
        <v xml:space="preserve"> </v>
      </c>
      <c r="M462" s="72" t="str">
        <f t="shared" si="14"/>
        <v xml:space="preserve"> </v>
      </c>
      <c r="N462" s="167" t="str">
        <f t="shared" si="15"/>
        <v xml:space="preserve"> </v>
      </c>
    </row>
    <row r="463" spans="1:14" ht="15" x14ac:dyDescent="0.25">
      <c r="A463" s="131" t="str">
        <f>IF(ISBLANK('ALL Other SINs - Proposal'!A463)," ",'ALL Other SINs - Proposal'!A463)</f>
        <v xml:space="preserve"> </v>
      </c>
      <c r="B463" s="137" t="str">
        <f>IF(ISBLANK('ALL Other SINs - Proposal'!B463)," ",'ALL Other SINs - Proposal'!B463)</f>
        <v xml:space="preserve"> </v>
      </c>
      <c r="C463" s="137" t="str">
        <f>IF(ISBLANK('ALL Other SINs - Proposal'!C463)," ",'ALL Other SINs - Proposal'!C463)</f>
        <v xml:space="preserve"> </v>
      </c>
      <c r="D463" s="138" t="str">
        <f>IF(ISBLANK('ALL Other SINs - Proposal'!D463)," ",'ALL Other SINs - Proposal'!D463)</f>
        <v xml:space="preserve"> </v>
      </c>
      <c r="E463" s="69" t="str">
        <f>IF(ISBLANK('ALL Other SINs - Proposal'!R463)," ",'ALL Other SINs - Proposal'!R463)</f>
        <v xml:space="preserve"> </v>
      </c>
      <c r="F463" s="73" t="str">
        <f>IF(ISBLANK('ALL Other SINs - Proposal'!S463)," ",'ALL Other SINs - Proposal'!S463)</f>
        <v xml:space="preserve"> </v>
      </c>
      <c r="G463" s="173" t="str">
        <f>IF(ISBLANK('ALL Other SINs - Proposal'!T463)," ",'ALL Other SINs - Proposal'!T463)</f>
        <v xml:space="preserve"> </v>
      </c>
      <c r="H463" s="275" t="str">
        <f>IF(ISBLANK('ALL Other SINs - Proposal'!V463)," ",'ALL Other SINs - Proposal'!V463)</f>
        <v xml:space="preserve"> </v>
      </c>
      <c r="I463" s="271" t="str">
        <f>IF(ISBLANK('ALL Other SINs - Proposal'!W463)," ",'ALL Other SINs - Proposal'!W463)</f>
        <v xml:space="preserve"> </v>
      </c>
      <c r="J463" s="71" t="str">
        <f>IF(ISBLANK('ALL Other SINs - Proposal'!X463)," ",'ALL Other SINs - Proposal'!X463)</f>
        <v xml:space="preserve"> </v>
      </c>
      <c r="K463" s="165" t="str">
        <f>IF(ISBLANK('ALL Other SINs - Proposal'!AA463)," ",'ALL Other SINs - Proposal'!AA463)</f>
        <v xml:space="preserve"> </v>
      </c>
      <c r="L463" s="178" t="str">
        <f>IF(ISBLANK('ALL Other SINs - Proposal'!AB463)," ",'ALL Other SINs - Proposal'!AB463)</f>
        <v xml:space="preserve"> </v>
      </c>
      <c r="M463" s="72" t="str">
        <f t="shared" si="14"/>
        <v xml:space="preserve"> </v>
      </c>
      <c r="N463" s="167" t="str">
        <f t="shared" si="15"/>
        <v xml:space="preserve"> </v>
      </c>
    </row>
    <row r="464" spans="1:14" ht="15" x14ac:dyDescent="0.25">
      <c r="A464" s="131" t="str">
        <f>IF(ISBLANK('ALL Other SINs - Proposal'!A464)," ",'ALL Other SINs - Proposal'!A464)</f>
        <v xml:space="preserve"> </v>
      </c>
      <c r="B464" s="137" t="str">
        <f>IF(ISBLANK('ALL Other SINs - Proposal'!B464)," ",'ALL Other SINs - Proposal'!B464)</f>
        <v xml:space="preserve"> </v>
      </c>
      <c r="C464" s="137" t="str">
        <f>IF(ISBLANK('ALL Other SINs - Proposal'!C464)," ",'ALL Other SINs - Proposal'!C464)</f>
        <v xml:space="preserve"> </v>
      </c>
      <c r="D464" s="138" t="str">
        <f>IF(ISBLANK('ALL Other SINs - Proposal'!D464)," ",'ALL Other SINs - Proposal'!D464)</f>
        <v xml:space="preserve"> </v>
      </c>
      <c r="E464" s="69" t="str">
        <f>IF(ISBLANK('ALL Other SINs - Proposal'!R464)," ",'ALL Other SINs - Proposal'!R464)</f>
        <v xml:space="preserve"> </v>
      </c>
      <c r="F464" s="73" t="str">
        <f>IF(ISBLANK('ALL Other SINs - Proposal'!S464)," ",'ALL Other SINs - Proposal'!S464)</f>
        <v xml:space="preserve"> </v>
      </c>
      <c r="G464" s="173" t="str">
        <f>IF(ISBLANK('ALL Other SINs - Proposal'!T464)," ",'ALL Other SINs - Proposal'!T464)</f>
        <v xml:space="preserve"> </v>
      </c>
      <c r="H464" s="275" t="str">
        <f>IF(ISBLANK('ALL Other SINs - Proposal'!V464)," ",'ALL Other SINs - Proposal'!V464)</f>
        <v xml:space="preserve"> </v>
      </c>
      <c r="I464" s="271" t="str">
        <f>IF(ISBLANK('ALL Other SINs - Proposal'!W464)," ",'ALL Other SINs - Proposal'!W464)</f>
        <v xml:space="preserve"> </v>
      </c>
      <c r="J464" s="71" t="str">
        <f>IF(ISBLANK('ALL Other SINs - Proposal'!X464)," ",'ALL Other SINs - Proposal'!X464)</f>
        <v xml:space="preserve"> </v>
      </c>
      <c r="K464" s="165" t="str">
        <f>IF(ISBLANK('ALL Other SINs - Proposal'!AA464)," ",'ALL Other SINs - Proposal'!AA464)</f>
        <v xml:space="preserve"> </v>
      </c>
      <c r="L464" s="178" t="str">
        <f>IF(ISBLANK('ALL Other SINs - Proposal'!AB464)," ",'ALL Other SINs - Proposal'!AB464)</f>
        <v xml:space="preserve"> </v>
      </c>
      <c r="M464" s="72" t="str">
        <f t="shared" si="14"/>
        <v xml:space="preserve"> </v>
      </c>
      <c r="N464" s="167" t="str">
        <f t="shared" si="15"/>
        <v xml:space="preserve"> </v>
      </c>
    </row>
    <row r="465" spans="1:14" ht="15" x14ac:dyDescent="0.25">
      <c r="A465" s="131" t="str">
        <f>IF(ISBLANK('ALL Other SINs - Proposal'!A465)," ",'ALL Other SINs - Proposal'!A465)</f>
        <v xml:space="preserve"> </v>
      </c>
      <c r="B465" s="137" t="str">
        <f>IF(ISBLANK('ALL Other SINs - Proposal'!B465)," ",'ALL Other SINs - Proposal'!B465)</f>
        <v xml:space="preserve"> </v>
      </c>
      <c r="C465" s="137" t="str">
        <f>IF(ISBLANK('ALL Other SINs - Proposal'!C465)," ",'ALL Other SINs - Proposal'!C465)</f>
        <v xml:space="preserve"> </v>
      </c>
      <c r="D465" s="138" t="str">
        <f>IF(ISBLANK('ALL Other SINs - Proposal'!D465)," ",'ALL Other SINs - Proposal'!D465)</f>
        <v xml:space="preserve"> </v>
      </c>
      <c r="E465" s="69" t="str">
        <f>IF(ISBLANK('ALL Other SINs - Proposal'!R465)," ",'ALL Other SINs - Proposal'!R465)</f>
        <v xml:space="preserve"> </v>
      </c>
      <c r="F465" s="73" t="str">
        <f>IF(ISBLANK('ALL Other SINs - Proposal'!S465)," ",'ALL Other SINs - Proposal'!S465)</f>
        <v xml:space="preserve"> </v>
      </c>
      <c r="G465" s="173" t="str">
        <f>IF(ISBLANK('ALL Other SINs - Proposal'!T465)," ",'ALL Other SINs - Proposal'!T465)</f>
        <v xml:space="preserve"> </v>
      </c>
      <c r="H465" s="275" t="str">
        <f>IF(ISBLANK('ALL Other SINs - Proposal'!V465)," ",'ALL Other SINs - Proposal'!V465)</f>
        <v xml:space="preserve"> </v>
      </c>
      <c r="I465" s="271" t="str">
        <f>IF(ISBLANK('ALL Other SINs - Proposal'!W465)," ",'ALL Other SINs - Proposal'!W465)</f>
        <v xml:space="preserve"> </v>
      </c>
      <c r="J465" s="71" t="str">
        <f>IF(ISBLANK('ALL Other SINs - Proposal'!X465)," ",'ALL Other SINs - Proposal'!X465)</f>
        <v xml:space="preserve"> </v>
      </c>
      <c r="K465" s="165" t="str">
        <f>IF(ISBLANK('ALL Other SINs - Proposal'!AA465)," ",'ALL Other SINs - Proposal'!AA465)</f>
        <v xml:space="preserve"> </v>
      </c>
      <c r="L465" s="178" t="str">
        <f>IF(ISBLANK('ALL Other SINs - Proposal'!AB465)," ",'ALL Other SINs - Proposal'!AB465)</f>
        <v xml:space="preserve"> </v>
      </c>
      <c r="M465" s="72" t="str">
        <f t="shared" si="14"/>
        <v xml:space="preserve"> </v>
      </c>
      <c r="N465" s="167" t="str">
        <f t="shared" si="15"/>
        <v xml:space="preserve"> </v>
      </c>
    </row>
    <row r="466" spans="1:14" ht="15" x14ac:dyDescent="0.25">
      <c r="A466" s="131" t="str">
        <f>IF(ISBLANK('ALL Other SINs - Proposal'!A466)," ",'ALL Other SINs - Proposal'!A466)</f>
        <v xml:space="preserve"> </v>
      </c>
      <c r="B466" s="137" t="str">
        <f>IF(ISBLANK('ALL Other SINs - Proposal'!B466)," ",'ALL Other SINs - Proposal'!B466)</f>
        <v xml:space="preserve"> </v>
      </c>
      <c r="C466" s="137" t="str">
        <f>IF(ISBLANK('ALL Other SINs - Proposal'!C466)," ",'ALL Other SINs - Proposal'!C466)</f>
        <v xml:space="preserve"> </v>
      </c>
      <c r="D466" s="138" t="str">
        <f>IF(ISBLANK('ALL Other SINs - Proposal'!D466)," ",'ALL Other SINs - Proposal'!D466)</f>
        <v xml:space="preserve"> </v>
      </c>
      <c r="E466" s="69" t="str">
        <f>IF(ISBLANK('ALL Other SINs - Proposal'!R466)," ",'ALL Other SINs - Proposal'!R466)</f>
        <v xml:space="preserve"> </v>
      </c>
      <c r="F466" s="73" t="str">
        <f>IF(ISBLANK('ALL Other SINs - Proposal'!S466)," ",'ALL Other SINs - Proposal'!S466)</f>
        <v xml:space="preserve"> </v>
      </c>
      <c r="G466" s="173" t="str">
        <f>IF(ISBLANK('ALL Other SINs - Proposal'!T466)," ",'ALL Other SINs - Proposal'!T466)</f>
        <v xml:space="preserve"> </v>
      </c>
      <c r="H466" s="275" t="str">
        <f>IF(ISBLANK('ALL Other SINs - Proposal'!V466)," ",'ALL Other SINs - Proposal'!V466)</f>
        <v xml:space="preserve"> </v>
      </c>
      <c r="I466" s="271" t="str">
        <f>IF(ISBLANK('ALL Other SINs - Proposal'!W466)," ",'ALL Other SINs - Proposal'!W466)</f>
        <v xml:space="preserve"> </v>
      </c>
      <c r="J466" s="71" t="str">
        <f>IF(ISBLANK('ALL Other SINs - Proposal'!X466)," ",'ALL Other SINs - Proposal'!X466)</f>
        <v xml:space="preserve"> </v>
      </c>
      <c r="K466" s="165" t="str">
        <f>IF(ISBLANK('ALL Other SINs - Proposal'!AA466)," ",'ALL Other SINs - Proposal'!AA466)</f>
        <v xml:space="preserve"> </v>
      </c>
      <c r="L466" s="178" t="str">
        <f>IF(ISBLANK('ALL Other SINs - Proposal'!AB466)," ",'ALL Other SINs - Proposal'!AB466)</f>
        <v xml:space="preserve"> </v>
      </c>
      <c r="M466" s="72" t="str">
        <f t="shared" si="14"/>
        <v xml:space="preserve"> </v>
      </c>
      <c r="N466" s="167" t="str">
        <f t="shared" si="15"/>
        <v xml:space="preserve"> </v>
      </c>
    </row>
    <row r="467" spans="1:14" ht="15" x14ac:dyDescent="0.25">
      <c r="A467" s="131" t="str">
        <f>IF(ISBLANK('ALL Other SINs - Proposal'!A467)," ",'ALL Other SINs - Proposal'!A467)</f>
        <v xml:space="preserve"> </v>
      </c>
      <c r="B467" s="137" t="str">
        <f>IF(ISBLANK('ALL Other SINs - Proposal'!B467)," ",'ALL Other SINs - Proposal'!B467)</f>
        <v xml:space="preserve"> </v>
      </c>
      <c r="C467" s="137" t="str">
        <f>IF(ISBLANK('ALL Other SINs - Proposal'!C467)," ",'ALL Other SINs - Proposal'!C467)</f>
        <v xml:space="preserve"> </v>
      </c>
      <c r="D467" s="138" t="str">
        <f>IF(ISBLANK('ALL Other SINs - Proposal'!D467)," ",'ALL Other SINs - Proposal'!D467)</f>
        <v xml:space="preserve"> </v>
      </c>
      <c r="E467" s="69" t="str">
        <f>IF(ISBLANK('ALL Other SINs - Proposal'!R467)," ",'ALL Other SINs - Proposal'!R467)</f>
        <v xml:space="preserve"> </v>
      </c>
      <c r="F467" s="73" t="str">
        <f>IF(ISBLANK('ALL Other SINs - Proposal'!S467)," ",'ALL Other SINs - Proposal'!S467)</f>
        <v xml:space="preserve"> </v>
      </c>
      <c r="G467" s="173" t="str">
        <f>IF(ISBLANK('ALL Other SINs - Proposal'!T467)," ",'ALL Other SINs - Proposal'!T467)</f>
        <v xml:space="preserve"> </v>
      </c>
      <c r="H467" s="275" t="str">
        <f>IF(ISBLANK('ALL Other SINs - Proposal'!V467)," ",'ALL Other SINs - Proposal'!V467)</f>
        <v xml:space="preserve"> </v>
      </c>
      <c r="I467" s="271" t="str">
        <f>IF(ISBLANK('ALL Other SINs - Proposal'!W467)," ",'ALL Other SINs - Proposal'!W467)</f>
        <v xml:space="preserve"> </v>
      </c>
      <c r="J467" s="71" t="str">
        <f>IF(ISBLANK('ALL Other SINs - Proposal'!X467)," ",'ALL Other SINs - Proposal'!X467)</f>
        <v xml:space="preserve"> </v>
      </c>
      <c r="K467" s="165" t="str">
        <f>IF(ISBLANK('ALL Other SINs - Proposal'!AA467)," ",'ALL Other SINs - Proposal'!AA467)</f>
        <v xml:space="preserve"> </v>
      </c>
      <c r="L467" s="178" t="str">
        <f>IF(ISBLANK('ALL Other SINs - Proposal'!AB467)," ",'ALL Other SINs - Proposal'!AB467)</f>
        <v xml:space="preserve"> </v>
      </c>
      <c r="M467" s="72" t="str">
        <f t="shared" si="14"/>
        <v xml:space="preserve"> </v>
      </c>
      <c r="N467" s="167" t="str">
        <f t="shared" si="15"/>
        <v xml:space="preserve"> </v>
      </c>
    </row>
    <row r="468" spans="1:14" ht="15" x14ac:dyDescent="0.25">
      <c r="A468" s="131" t="str">
        <f>IF(ISBLANK('ALL Other SINs - Proposal'!A468)," ",'ALL Other SINs - Proposal'!A468)</f>
        <v xml:space="preserve"> </v>
      </c>
      <c r="B468" s="137" t="str">
        <f>IF(ISBLANK('ALL Other SINs - Proposal'!B468)," ",'ALL Other SINs - Proposal'!B468)</f>
        <v xml:space="preserve"> </v>
      </c>
      <c r="C468" s="137" t="str">
        <f>IF(ISBLANK('ALL Other SINs - Proposal'!C468)," ",'ALL Other SINs - Proposal'!C468)</f>
        <v xml:space="preserve"> </v>
      </c>
      <c r="D468" s="138" t="str">
        <f>IF(ISBLANK('ALL Other SINs - Proposal'!D468)," ",'ALL Other SINs - Proposal'!D468)</f>
        <v xml:space="preserve"> </v>
      </c>
      <c r="E468" s="69" t="str">
        <f>IF(ISBLANK('ALL Other SINs - Proposal'!R468)," ",'ALL Other SINs - Proposal'!R468)</f>
        <v xml:space="preserve"> </v>
      </c>
      <c r="F468" s="73" t="str">
        <f>IF(ISBLANK('ALL Other SINs - Proposal'!S468)," ",'ALL Other SINs - Proposal'!S468)</f>
        <v xml:space="preserve"> </v>
      </c>
      <c r="G468" s="173" t="str">
        <f>IF(ISBLANK('ALL Other SINs - Proposal'!T468)," ",'ALL Other SINs - Proposal'!T468)</f>
        <v xml:space="preserve"> </v>
      </c>
      <c r="H468" s="275" t="str">
        <f>IF(ISBLANK('ALL Other SINs - Proposal'!V468)," ",'ALL Other SINs - Proposal'!V468)</f>
        <v xml:space="preserve"> </v>
      </c>
      <c r="I468" s="271" t="str">
        <f>IF(ISBLANK('ALL Other SINs - Proposal'!W468)," ",'ALL Other SINs - Proposal'!W468)</f>
        <v xml:space="preserve"> </v>
      </c>
      <c r="J468" s="71" t="str">
        <f>IF(ISBLANK('ALL Other SINs - Proposal'!X468)," ",'ALL Other SINs - Proposal'!X468)</f>
        <v xml:space="preserve"> </v>
      </c>
      <c r="K468" s="165" t="str">
        <f>IF(ISBLANK('ALL Other SINs - Proposal'!AA468)," ",'ALL Other SINs - Proposal'!AA468)</f>
        <v xml:space="preserve"> </v>
      </c>
      <c r="L468" s="178" t="str">
        <f>IF(ISBLANK('ALL Other SINs - Proposal'!AB468)," ",'ALL Other SINs - Proposal'!AB468)</f>
        <v xml:space="preserve"> </v>
      </c>
      <c r="M468" s="72" t="str">
        <f t="shared" si="14"/>
        <v xml:space="preserve"> </v>
      </c>
      <c r="N468" s="167" t="str">
        <f t="shared" si="15"/>
        <v xml:space="preserve"> </v>
      </c>
    </row>
    <row r="469" spans="1:14" ht="15" x14ac:dyDescent="0.25">
      <c r="A469" s="131" t="str">
        <f>IF(ISBLANK('ALL Other SINs - Proposal'!A469)," ",'ALL Other SINs - Proposal'!A469)</f>
        <v xml:space="preserve"> </v>
      </c>
      <c r="B469" s="137" t="str">
        <f>IF(ISBLANK('ALL Other SINs - Proposal'!B469)," ",'ALL Other SINs - Proposal'!B469)</f>
        <v xml:space="preserve"> </v>
      </c>
      <c r="C469" s="137" t="str">
        <f>IF(ISBLANK('ALL Other SINs - Proposal'!C469)," ",'ALL Other SINs - Proposal'!C469)</f>
        <v xml:space="preserve"> </v>
      </c>
      <c r="D469" s="138" t="str">
        <f>IF(ISBLANK('ALL Other SINs - Proposal'!D469)," ",'ALL Other SINs - Proposal'!D469)</f>
        <v xml:space="preserve"> </v>
      </c>
      <c r="E469" s="69" t="str">
        <f>IF(ISBLANK('ALL Other SINs - Proposal'!R469)," ",'ALL Other SINs - Proposal'!R469)</f>
        <v xml:space="preserve"> </v>
      </c>
      <c r="F469" s="73" t="str">
        <f>IF(ISBLANK('ALL Other SINs - Proposal'!S469)," ",'ALL Other SINs - Proposal'!S469)</f>
        <v xml:space="preserve"> </v>
      </c>
      <c r="G469" s="173" t="str">
        <f>IF(ISBLANK('ALL Other SINs - Proposal'!T469)," ",'ALL Other SINs - Proposal'!T469)</f>
        <v xml:space="preserve"> </v>
      </c>
      <c r="H469" s="275" t="str">
        <f>IF(ISBLANK('ALL Other SINs - Proposal'!V469)," ",'ALL Other SINs - Proposal'!V469)</f>
        <v xml:space="preserve"> </v>
      </c>
      <c r="I469" s="271" t="str">
        <f>IF(ISBLANK('ALL Other SINs - Proposal'!W469)," ",'ALL Other SINs - Proposal'!W469)</f>
        <v xml:space="preserve"> </v>
      </c>
      <c r="J469" s="71" t="str">
        <f>IF(ISBLANK('ALL Other SINs - Proposal'!X469)," ",'ALL Other SINs - Proposal'!X469)</f>
        <v xml:space="preserve"> </v>
      </c>
      <c r="K469" s="165" t="str">
        <f>IF(ISBLANK('ALL Other SINs - Proposal'!AA469)," ",'ALL Other SINs - Proposal'!AA469)</f>
        <v xml:space="preserve"> </v>
      </c>
      <c r="L469" s="178" t="str">
        <f>IF(ISBLANK('ALL Other SINs - Proposal'!AB469)," ",'ALL Other SINs - Proposal'!AB469)</f>
        <v xml:space="preserve"> </v>
      </c>
      <c r="M469" s="72" t="str">
        <f t="shared" si="14"/>
        <v xml:space="preserve"> </v>
      </c>
      <c r="N469" s="167" t="str">
        <f t="shared" si="15"/>
        <v xml:space="preserve"> </v>
      </c>
    </row>
    <row r="470" spans="1:14" ht="15" x14ac:dyDescent="0.25">
      <c r="A470" s="131" t="str">
        <f>IF(ISBLANK('ALL Other SINs - Proposal'!A470)," ",'ALL Other SINs - Proposal'!A470)</f>
        <v xml:space="preserve"> </v>
      </c>
      <c r="B470" s="137" t="str">
        <f>IF(ISBLANK('ALL Other SINs - Proposal'!B470)," ",'ALL Other SINs - Proposal'!B470)</f>
        <v xml:space="preserve"> </v>
      </c>
      <c r="C470" s="137" t="str">
        <f>IF(ISBLANK('ALL Other SINs - Proposal'!C470)," ",'ALL Other SINs - Proposal'!C470)</f>
        <v xml:space="preserve"> </v>
      </c>
      <c r="D470" s="138" t="str">
        <f>IF(ISBLANK('ALL Other SINs - Proposal'!D470)," ",'ALL Other SINs - Proposal'!D470)</f>
        <v xml:space="preserve"> </v>
      </c>
      <c r="E470" s="69" t="str">
        <f>IF(ISBLANK('ALL Other SINs - Proposal'!R470)," ",'ALL Other SINs - Proposal'!R470)</f>
        <v xml:space="preserve"> </v>
      </c>
      <c r="F470" s="73" t="str">
        <f>IF(ISBLANK('ALL Other SINs - Proposal'!S470)," ",'ALL Other SINs - Proposal'!S470)</f>
        <v xml:space="preserve"> </v>
      </c>
      <c r="G470" s="173" t="str">
        <f>IF(ISBLANK('ALL Other SINs - Proposal'!T470)," ",'ALL Other SINs - Proposal'!T470)</f>
        <v xml:space="preserve"> </v>
      </c>
      <c r="H470" s="275" t="str">
        <f>IF(ISBLANK('ALL Other SINs - Proposal'!V470)," ",'ALL Other SINs - Proposal'!V470)</f>
        <v xml:space="preserve"> </v>
      </c>
      <c r="I470" s="271" t="str">
        <f>IF(ISBLANK('ALL Other SINs - Proposal'!W470)," ",'ALL Other SINs - Proposal'!W470)</f>
        <v xml:space="preserve"> </v>
      </c>
      <c r="J470" s="71" t="str">
        <f>IF(ISBLANK('ALL Other SINs - Proposal'!X470)," ",'ALL Other SINs - Proposal'!X470)</f>
        <v xml:space="preserve"> </v>
      </c>
      <c r="K470" s="165" t="str">
        <f>IF(ISBLANK('ALL Other SINs - Proposal'!AA470)," ",'ALL Other SINs - Proposal'!AA470)</f>
        <v xml:space="preserve"> </v>
      </c>
      <c r="L470" s="178" t="str">
        <f>IF(ISBLANK('ALL Other SINs - Proposal'!AB470)," ",'ALL Other SINs - Proposal'!AB470)</f>
        <v xml:space="preserve"> </v>
      </c>
      <c r="M470" s="72" t="str">
        <f t="shared" si="14"/>
        <v xml:space="preserve"> </v>
      </c>
      <c r="N470" s="167" t="str">
        <f t="shared" si="15"/>
        <v xml:space="preserve"> </v>
      </c>
    </row>
    <row r="471" spans="1:14" ht="15" x14ac:dyDescent="0.25">
      <c r="A471" s="131" t="str">
        <f>IF(ISBLANK('ALL Other SINs - Proposal'!A471)," ",'ALL Other SINs - Proposal'!A471)</f>
        <v xml:space="preserve"> </v>
      </c>
      <c r="B471" s="137" t="str">
        <f>IF(ISBLANK('ALL Other SINs - Proposal'!B471)," ",'ALL Other SINs - Proposal'!B471)</f>
        <v xml:space="preserve"> </v>
      </c>
      <c r="C471" s="137" t="str">
        <f>IF(ISBLANK('ALL Other SINs - Proposal'!C471)," ",'ALL Other SINs - Proposal'!C471)</f>
        <v xml:space="preserve"> </v>
      </c>
      <c r="D471" s="138" t="str">
        <f>IF(ISBLANK('ALL Other SINs - Proposal'!D471)," ",'ALL Other SINs - Proposal'!D471)</f>
        <v xml:space="preserve"> </v>
      </c>
      <c r="E471" s="69" t="str">
        <f>IF(ISBLANK('ALL Other SINs - Proposal'!R471)," ",'ALL Other SINs - Proposal'!R471)</f>
        <v xml:space="preserve"> </v>
      </c>
      <c r="F471" s="73" t="str">
        <f>IF(ISBLANK('ALL Other SINs - Proposal'!S471)," ",'ALL Other SINs - Proposal'!S471)</f>
        <v xml:space="preserve"> </v>
      </c>
      <c r="G471" s="173" t="str">
        <f>IF(ISBLANK('ALL Other SINs - Proposal'!T471)," ",'ALL Other SINs - Proposal'!T471)</f>
        <v xml:space="preserve"> </v>
      </c>
      <c r="H471" s="275" t="str">
        <f>IF(ISBLANK('ALL Other SINs - Proposal'!V471)," ",'ALL Other SINs - Proposal'!V471)</f>
        <v xml:space="preserve"> </v>
      </c>
      <c r="I471" s="271" t="str">
        <f>IF(ISBLANK('ALL Other SINs - Proposal'!W471)," ",'ALL Other SINs - Proposal'!W471)</f>
        <v xml:space="preserve"> </v>
      </c>
      <c r="J471" s="71" t="str">
        <f>IF(ISBLANK('ALL Other SINs - Proposal'!X471)," ",'ALL Other SINs - Proposal'!X471)</f>
        <v xml:space="preserve"> </v>
      </c>
      <c r="K471" s="165" t="str">
        <f>IF(ISBLANK('ALL Other SINs - Proposal'!AA471)," ",'ALL Other SINs - Proposal'!AA471)</f>
        <v xml:space="preserve"> </v>
      </c>
      <c r="L471" s="178" t="str">
        <f>IF(ISBLANK('ALL Other SINs - Proposal'!AB471)," ",'ALL Other SINs - Proposal'!AB471)</f>
        <v xml:space="preserve"> </v>
      </c>
      <c r="M471" s="72" t="str">
        <f t="shared" si="14"/>
        <v xml:space="preserve"> </v>
      </c>
      <c r="N471" s="167" t="str">
        <f t="shared" si="15"/>
        <v xml:space="preserve"> </v>
      </c>
    </row>
    <row r="472" spans="1:14" ht="15" x14ac:dyDescent="0.25">
      <c r="A472" s="131" t="str">
        <f>IF(ISBLANK('ALL Other SINs - Proposal'!A472)," ",'ALL Other SINs - Proposal'!A472)</f>
        <v xml:space="preserve"> </v>
      </c>
      <c r="B472" s="137" t="str">
        <f>IF(ISBLANK('ALL Other SINs - Proposal'!B472)," ",'ALL Other SINs - Proposal'!B472)</f>
        <v xml:space="preserve"> </v>
      </c>
      <c r="C472" s="137" t="str">
        <f>IF(ISBLANK('ALL Other SINs - Proposal'!C472)," ",'ALL Other SINs - Proposal'!C472)</f>
        <v xml:space="preserve"> </v>
      </c>
      <c r="D472" s="138" t="str">
        <f>IF(ISBLANK('ALL Other SINs - Proposal'!D472)," ",'ALL Other SINs - Proposal'!D472)</f>
        <v xml:space="preserve"> </v>
      </c>
      <c r="E472" s="69" t="str">
        <f>IF(ISBLANK('ALL Other SINs - Proposal'!R472)," ",'ALL Other SINs - Proposal'!R472)</f>
        <v xml:space="preserve"> </v>
      </c>
      <c r="F472" s="73" t="str">
        <f>IF(ISBLANK('ALL Other SINs - Proposal'!S472)," ",'ALL Other SINs - Proposal'!S472)</f>
        <v xml:space="preserve"> </v>
      </c>
      <c r="G472" s="173" t="str">
        <f>IF(ISBLANK('ALL Other SINs - Proposal'!T472)," ",'ALL Other SINs - Proposal'!T472)</f>
        <v xml:space="preserve"> </v>
      </c>
      <c r="H472" s="275" t="str">
        <f>IF(ISBLANK('ALL Other SINs - Proposal'!V472)," ",'ALL Other SINs - Proposal'!V472)</f>
        <v xml:space="preserve"> </v>
      </c>
      <c r="I472" s="271" t="str">
        <f>IF(ISBLANK('ALL Other SINs - Proposal'!W472)," ",'ALL Other SINs - Proposal'!W472)</f>
        <v xml:space="preserve"> </v>
      </c>
      <c r="J472" s="71" t="str">
        <f>IF(ISBLANK('ALL Other SINs - Proposal'!X472)," ",'ALL Other SINs - Proposal'!X472)</f>
        <v xml:space="preserve"> </v>
      </c>
      <c r="K472" s="165" t="str">
        <f>IF(ISBLANK('ALL Other SINs - Proposal'!AA472)," ",'ALL Other SINs - Proposal'!AA472)</f>
        <v xml:space="preserve"> </v>
      </c>
      <c r="L472" s="178" t="str">
        <f>IF(ISBLANK('ALL Other SINs - Proposal'!AB472)," ",'ALL Other SINs - Proposal'!AB472)</f>
        <v xml:space="preserve"> </v>
      </c>
      <c r="M472" s="72" t="str">
        <f t="shared" si="14"/>
        <v xml:space="preserve"> </v>
      </c>
      <c r="N472" s="167" t="str">
        <f t="shared" si="15"/>
        <v xml:space="preserve"> </v>
      </c>
    </row>
    <row r="473" spans="1:14" ht="15" x14ac:dyDescent="0.25">
      <c r="A473" s="131" t="str">
        <f>IF(ISBLANK('ALL Other SINs - Proposal'!A473)," ",'ALL Other SINs - Proposal'!A473)</f>
        <v xml:space="preserve"> </v>
      </c>
      <c r="B473" s="137" t="str">
        <f>IF(ISBLANK('ALL Other SINs - Proposal'!B473)," ",'ALL Other SINs - Proposal'!B473)</f>
        <v xml:space="preserve"> </v>
      </c>
      <c r="C473" s="137" t="str">
        <f>IF(ISBLANK('ALL Other SINs - Proposal'!C473)," ",'ALL Other SINs - Proposal'!C473)</f>
        <v xml:space="preserve"> </v>
      </c>
      <c r="D473" s="138" t="str">
        <f>IF(ISBLANK('ALL Other SINs - Proposal'!D473)," ",'ALL Other SINs - Proposal'!D473)</f>
        <v xml:space="preserve"> </v>
      </c>
      <c r="E473" s="69" t="str">
        <f>IF(ISBLANK('ALL Other SINs - Proposal'!R473)," ",'ALL Other SINs - Proposal'!R473)</f>
        <v xml:space="preserve"> </v>
      </c>
      <c r="F473" s="73" t="str">
        <f>IF(ISBLANK('ALL Other SINs - Proposal'!S473)," ",'ALL Other SINs - Proposal'!S473)</f>
        <v xml:space="preserve"> </v>
      </c>
      <c r="G473" s="173" t="str">
        <f>IF(ISBLANK('ALL Other SINs - Proposal'!T473)," ",'ALL Other SINs - Proposal'!T473)</f>
        <v xml:space="preserve"> </v>
      </c>
      <c r="H473" s="275" t="str">
        <f>IF(ISBLANK('ALL Other SINs - Proposal'!V473)," ",'ALL Other SINs - Proposal'!V473)</f>
        <v xml:space="preserve"> </v>
      </c>
      <c r="I473" s="271" t="str">
        <f>IF(ISBLANK('ALL Other SINs - Proposal'!W473)," ",'ALL Other SINs - Proposal'!W473)</f>
        <v xml:space="preserve"> </v>
      </c>
      <c r="J473" s="71" t="str">
        <f>IF(ISBLANK('ALL Other SINs - Proposal'!X473)," ",'ALL Other SINs - Proposal'!X473)</f>
        <v xml:space="preserve"> </v>
      </c>
      <c r="K473" s="165" t="str">
        <f>IF(ISBLANK('ALL Other SINs - Proposal'!AA473)," ",'ALL Other SINs - Proposal'!AA473)</f>
        <v xml:space="preserve"> </v>
      </c>
      <c r="L473" s="178" t="str">
        <f>IF(ISBLANK('ALL Other SINs - Proposal'!AB473)," ",'ALL Other SINs - Proposal'!AB473)</f>
        <v xml:space="preserve"> </v>
      </c>
      <c r="M473" s="72" t="str">
        <f t="shared" si="14"/>
        <v xml:space="preserve"> </v>
      </c>
      <c r="N473" s="167" t="str">
        <f t="shared" si="15"/>
        <v xml:space="preserve"> </v>
      </c>
    </row>
    <row r="474" spans="1:14" ht="15" x14ac:dyDescent="0.25">
      <c r="A474" s="131" t="str">
        <f>IF(ISBLANK('ALL Other SINs - Proposal'!A474)," ",'ALL Other SINs - Proposal'!A474)</f>
        <v xml:space="preserve"> </v>
      </c>
      <c r="B474" s="137" t="str">
        <f>IF(ISBLANK('ALL Other SINs - Proposal'!B474)," ",'ALL Other SINs - Proposal'!B474)</f>
        <v xml:space="preserve"> </v>
      </c>
      <c r="C474" s="137" t="str">
        <f>IF(ISBLANK('ALL Other SINs - Proposal'!C474)," ",'ALL Other SINs - Proposal'!C474)</f>
        <v xml:space="preserve"> </v>
      </c>
      <c r="D474" s="138" t="str">
        <f>IF(ISBLANK('ALL Other SINs - Proposal'!D474)," ",'ALL Other SINs - Proposal'!D474)</f>
        <v xml:space="preserve"> </v>
      </c>
      <c r="E474" s="69" t="str">
        <f>IF(ISBLANK('ALL Other SINs - Proposal'!R474)," ",'ALL Other SINs - Proposal'!R474)</f>
        <v xml:space="preserve"> </v>
      </c>
      <c r="F474" s="73" t="str">
        <f>IF(ISBLANK('ALL Other SINs - Proposal'!S474)," ",'ALL Other SINs - Proposal'!S474)</f>
        <v xml:space="preserve"> </v>
      </c>
      <c r="G474" s="173" t="str">
        <f>IF(ISBLANK('ALL Other SINs - Proposal'!T474)," ",'ALL Other SINs - Proposal'!T474)</f>
        <v xml:space="preserve"> </v>
      </c>
      <c r="H474" s="275" t="str">
        <f>IF(ISBLANK('ALL Other SINs - Proposal'!V474)," ",'ALL Other SINs - Proposal'!V474)</f>
        <v xml:space="preserve"> </v>
      </c>
      <c r="I474" s="271" t="str">
        <f>IF(ISBLANK('ALL Other SINs - Proposal'!W474)," ",'ALL Other SINs - Proposal'!W474)</f>
        <v xml:space="preserve"> </v>
      </c>
      <c r="J474" s="71" t="str">
        <f>IF(ISBLANK('ALL Other SINs - Proposal'!X474)," ",'ALL Other SINs - Proposal'!X474)</f>
        <v xml:space="preserve"> </v>
      </c>
      <c r="K474" s="165" t="str">
        <f>IF(ISBLANK('ALL Other SINs - Proposal'!AA474)," ",'ALL Other SINs - Proposal'!AA474)</f>
        <v xml:space="preserve"> </v>
      </c>
      <c r="L474" s="178" t="str">
        <f>IF(ISBLANK('ALL Other SINs - Proposal'!AB474)," ",'ALL Other SINs - Proposal'!AB474)</f>
        <v xml:space="preserve"> </v>
      </c>
      <c r="M474" s="72" t="str">
        <f t="shared" si="14"/>
        <v xml:space="preserve"> </v>
      </c>
      <c r="N474" s="167" t="str">
        <f t="shared" si="15"/>
        <v xml:space="preserve"> </v>
      </c>
    </row>
    <row r="475" spans="1:14" ht="15" x14ac:dyDescent="0.25">
      <c r="A475" s="131" t="str">
        <f>IF(ISBLANK('ALL Other SINs - Proposal'!A475)," ",'ALL Other SINs - Proposal'!A475)</f>
        <v xml:space="preserve"> </v>
      </c>
      <c r="B475" s="137" t="str">
        <f>IF(ISBLANK('ALL Other SINs - Proposal'!B475)," ",'ALL Other SINs - Proposal'!B475)</f>
        <v xml:space="preserve"> </v>
      </c>
      <c r="C475" s="137" t="str">
        <f>IF(ISBLANK('ALL Other SINs - Proposal'!C475)," ",'ALL Other SINs - Proposal'!C475)</f>
        <v xml:space="preserve"> </v>
      </c>
      <c r="D475" s="138" t="str">
        <f>IF(ISBLANK('ALL Other SINs - Proposal'!D475)," ",'ALL Other SINs - Proposal'!D475)</f>
        <v xml:space="preserve"> </v>
      </c>
      <c r="E475" s="69" t="str">
        <f>IF(ISBLANK('ALL Other SINs - Proposal'!R475)," ",'ALL Other SINs - Proposal'!R475)</f>
        <v xml:space="preserve"> </v>
      </c>
      <c r="F475" s="73" t="str">
        <f>IF(ISBLANK('ALL Other SINs - Proposal'!S475)," ",'ALL Other SINs - Proposal'!S475)</f>
        <v xml:space="preserve"> </v>
      </c>
      <c r="G475" s="173" t="str">
        <f>IF(ISBLANK('ALL Other SINs - Proposal'!T475)," ",'ALL Other SINs - Proposal'!T475)</f>
        <v xml:space="preserve"> </v>
      </c>
      <c r="H475" s="275" t="str">
        <f>IF(ISBLANK('ALL Other SINs - Proposal'!V475)," ",'ALL Other SINs - Proposal'!V475)</f>
        <v xml:space="preserve"> </v>
      </c>
      <c r="I475" s="271" t="str">
        <f>IF(ISBLANK('ALL Other SINs - Proposal'!W475)," ",'ALL Other SINs - Proposal'!W475)</f>
        <v xml:space="preserve"> </v>
      </c>
      <c r="J475" s="71" t="str">
        <f>IF(ISBLANK('ALL Other SINs - Proposal'!X475)," ",'ALL Other SINs - Proposal'!X475)</f>
        <v xml:space="preserve"> </v>
      </c>
      <c r="K475" s="165" t="str">
        <f>IF(ISBLANK('ALL Other SINs - Proposal'!AA475)," ",'ALL Other SINs - Proposal'!AA475)</f>
        <v xml:space="preserve"> </v>
      </c>
      <c r="L475" s="178" t="str">
        <f>IF(ISBLANK('ALL Other SINs - Proposal'!AB475)," ",'ALL Other SINs - Proposal'!AB475)</f>
        <v xml:space="preserve"> </v>
      </c>
      <c r="M475" s="72" t="str">
        <f t="shared" si="14"/>
        <v xml:space="preserve"> </v>
      </c>
      <c r="N475" s="167" t="str">
        <f t="shared" si="15"/>
        <v xml:space="preserve"> </v>
      </c>
    </row>
    <row r="476" spans="1:14" ht="15" x14ac:dyDescent="0.25">
      <c r="A476" s="131" t="str">
        <f>IF(ISBLANK('ALL Other SINs - Proposal'!A476)," ",'ALL Other SINs - Proposal'!A476)</f>
        <v xml:space="preserve"> </v>
      </c>
      <c r="B476" s="137" t="str">
        <f>IF(ISBLANK('ALL Other SINs - Proposal'!B476)," ",'ALL Other SINs - Proposal'!B476)</f>
        <v xml:space="preserve"> </v>
      </c>
      <c r="C476" s="137" t="str">
        <f>IF(ISBLANK('ALL Other SINs - Proposal'!C476)," ",'ALL Other SINs - Proposal'!C476)</f>
        <v xml:space="preserve"> </v>
      </c>
      <c r="D476" s="138" t="str">
        <f>IF(ISBLANK('ALL Other SINs - Proposal'!D476)," ",'ALL Other SINs - Proposal'!D476)</f>
        <v xml:space="preserve"> </v>
      </c>
      <c r="E476" s="69" t="str">
        <f>IF(ISBLANK('ALL Other SINs - Proposal'!R476)," ",'ALL Other SINs - Proposal'!R476)</f>
        <v xml:space="preserve"> </v>
      </c>
      <c r="F476" s="73" t="str">
        <f>IF(ISBLANK('ALL Other SINs - Proposal'!S476)," ",'ALL Other SINs - Proposal'!S476)</f>
        <v xml:space="preserve"> </v>
      </c>
      <c r="G476" s="173" t="str">
        <f>IF(ISBLANK('ALL Other SINs - Proposal'!T476)," ",'ALL Other SINs - Proposal'!T476)</f>
        <v xml:space="preserve"> </v>
      </c>
      <c r="H476" s="275" t="str">
        <f>IF(ISBLANK('ALL Other SINs - Proposal'!V476)," ",'ALL Other SINs - Proposal'!V476)</f>
        <v xml:space="preserve"> </v>
      </c>
      <c r="I476" s="271" t="str">
        <f>IF(ISBLANK('ALL Other SINs - Proposal'!W476)," ",'ALL Other SINs - Proposal'!W476)</f>
        <v xml:space="preserve"> </v>
      </c>
      <c r="J476" s="71" t="str">
        <f>IF(ISBLANK('ALL Other SINs - Proposal'!X476)," ",'ALL Other SINs - Proposal'!X476)</f>
        <v xml:space="preserve"> </v>
      </c>
      <c r="K476" s="165" t="str">
        <f>IF(ISBLANK('ALL Other SINs - Proposal'!AA476)," ",'ALL Other SINs - Proposal'!AA476)</f>
        <v xml:space="preserve"> </v>
      </c>
      <c r="L476" s="178" t="str">
        <f>IF(ISBLANK('ALL Other SINs - Proposal'!AB476)," ",'ALL Other SINs - Proposal'!AB476)</f>
        <v xml:space="preserve"> </v>
      </c>
      <c r="M476" s="72" t="str">
        <f t="shared" si="14"/>
        <v xml:space="preserve"> </v>
      </c>
      <c r="N476" s="167" t="str">
        <f t="shared" si="15"/>
        <v xml:space="preserve"> </v>
      </c>
    </row>
    <row r="477" spans="1:14" ht="15" x14ac:dyDescent="0.25">
      <c r="A477" s="131" t="str">
        <f>IF(ISBLANK('ALL Other SINs - Proposal'!A477)," ",'ALL Other SINs - Proposal'!A477)</f>
        <v xml:space="preserve"> </v>
      </c>
      <c r="B477" s="137" t="str">
        <f>IF(ISBLANK('ALL Other SINs - Proposal'!B477)," ",'ALL Other SINs - Proposal'!B477)</f>
        <v xml:space="preserve"> </v>
      </c>
      <c r="C477" s="137" t="str">
        <f>IF(ISBLANK('ALL Other SINs - Proposal'!C477)," ",'ALL Other SINs - Proposal'!C477)</f>
        <v xml:space="preserve"> </v>
      </c>
      <c r="D477" s="138" t="str">
        <f>IF(ISBLANK('ALL Other SINs - Proposal'!D477)," ",'ALL Other SINs - Proposal'!D477)</f>
        <v xml:space="preserve"> </v>
      </c>
      <c r="E477" s="69" t="str">
        <f>IF(ISBLANK('ALL Other SINs - Proposal'!R477)," ",'ALL Other SINs - Proposal'!R477)</f>
        <v xml:space="preserve"> </v>
      </c>
      <c r="F477" s="73" t="str">
        <f>IF(ISBLANK('ALL Other SINs - Proposal'!S477)," ",'ALL Other SINs - Proposal'!S477)</f>
        <v xml:space="preserve"> </v>
      </c>
      <c r="G477" s="173" t="str">
        <f>IF(ISBLANK('ALL Other SINs - Proposal'!T477)," ",'ALL Other SINs - Proposal'!T477)</f>
        <v xml:space="preserve"> </v>
      </c>
      <c r="H477" s="275" t="str">
        <f>IF(ISBLANK('ALL Other SINs - Proposal'!V477)," ",'ALL Other SINs - Proposal'!V477)</f>
        <v xml:space="preserve"> </v>
      </c>
      <c r="I477" s="271" t="str">
        <f>IF(ISBLANK('ALL Other SINs - Proposal'!W477)," ",'ALL Other SINs - Proposal'!W477)</f>
        <v xml:space="preserve"> </v>
      </c>
      <c r="J477" s="71" t="str">
        <f>IF(ISBLANK('ALL Other SINs - Proposal'!X477)," ",'ALL Other SINs - Proposal'!X477)</f>
        <v xml:space="preserve"> </v>
      </c>
      <c r="K477" s="165" t="str">
        <f>IF(ISBLANK('ALL Other SINs - Proposal'!AA477)," ",'ALL Other SINs - Proposal'!AA477)</f>
        <v xml:space="preserve"> </v>
      </c>
      <c r="L477" s="178" t="str">
        <f>IF(ISBLANK('ALL Other SINs - Proposal'!AB477)," ",'ALL Other SINs - Proposal'!AB477)</f>
        <v xml:space="preserve"> </v>
      </c>
      <c r="M477" s="72" t="str">
        <f t="shared" si="14"/>
        <v xml:space="preserve"> </v>
      </c>
      <c r="N477" s="167" t="str">
        <f t="shared" si="15"/>
        <v xml:space="preserve"> </v>
      </c>
    </row>
    <row r="478" spans="1:14" ht="15" x14ac:dyDescent="0.25">
      <c r="A478" s="131" t="str">
        <f>IF(ISBLANK('ALL Other SINs - Proposal'!A478)," ",'ALL Other SINs - Proposal'!A478)</f>
        <v xml:space="preserve"> </v>
      </c>
      <c r="B478" s="137" t="str">
        <f>IF(ISBLANK('ALL Other SINs - Proposal'!B478)," ",'ALL Other SINs - Proposal'!B478)</f>
        <v xml:space="preserve"> </v>
      </c>
      <c r="C478" s="137" t="str">
        <f>IF(ISBLANK('ALL Other SINs - Proposal'!C478)," ",'ALL Other SINs - Proposal'!C478)</f>
        <v xml:space="preserve"> </v>
      </c>
      <c r="D478" s="138" t="str">
        <f>IF(ISBLANK('ALL Other SINs - Proposal'!D478)," ",'ALL Other SINs - Proposal'!D478)</f>
        <v xml:space="preserve"> </v>
      </c>
      <c r="E478" s="69" t="str">
        <f>IF(ISBLANK('ALL Other SINs - Proposal'!R478)," ",'ALL Other SINs - Proposal'!R478)</f>
        <v xml:space="preserve"> </v>
      </c>
      <c r="F478" s="73" t="str">
        <f>IF(ISBLANK('ALL Other SINs - Proposal'!S478)," ",'ALL Other SINs - Proposal'!S478)</f>
        <v xml:space="preserve"> </v>
      </c>
      <c r="G478" s="173" t="str">
        <f>IF(ISBLANK('ALL Other SINs - Proposal'!T478)," ",'ALL Other SINs - Proposal'!T478)</f>
        <v xml:space="preserve"> </v>
      </c>
      <c r="H478" s="275" t="str">
        <f>IF(ISBLANK('ALL Other SINs - Proposal'!V478)," ",'ALL Other SINs - Proposal'!V478)</f>
        <v xml:space="preserve"> </v>
      </c>
      <c r="I478" s="271" t="str">
        <f>IF(ISBLANK('ALL Other SINs - Proposal'!W478)," ",'ALL Other SINs - Proposal'!W478)</f>
        <v xml:space="preserve"> </v>
      </c>
      <c r="J478" s="71" t="str">
        <f>IF(ISBLANK('ALL Other SINs - Proposal'!X478)," ",'ALL Other SINs - Proposal'!X478)</f>
        <v xml:space="preserve"> </v>
      </c>
      <c r="K478" s="165" t="str">
        <f>IF(ISBLANK('ALL Other SINs - Proposal'!AA478)," ",'ALL Other SINs - Proposal'!AA478)</f>
        <v xml:space="preserve"> </v>
      </c>
      <c r="L478" s="178" t="str">
        <f>IF(ISBLANK('ALL Other SINs - Proposal'!AB478)," ",'ALL Other SINs - Proposal'!AB478)</f>
        <v xml:space="preserve"> </v>
      </c>
      <c r="M478" s="72" t="str">
        <f t="shared" si="14"/>
        <v xml:space="preserve"> </v>
      </c>
      <c r="N478" s="167" t="str">
        <f t="shared" si="15"/>
        <v xml:space="preserve"> </v>
      </c>
    </row>
    <row r="479" spans="1:14" ht="15" x14ac:dyDescent="0.25">
      <c r="A479" s="131" t="str">
        <f>IF(ISBLANK('ALL Other SINs - Proposal'!A479)," ",'ALL Other SINs - Proposal'!A479)</f>
        <v xml:space="preserve"> </v>
      </c>
      <c r="B479" s="137" t="str">
        <f>IF(ISBLANK('ALL Other SINs - Proposal'!B479)," ",'ALL Other SINs - Proposal'!B479)</f>
        <v xml:space="preserve"> </v>
      </c>
      <c r="C479" s="137" t="str">
        <f>IF(ISBLANK('ALL Other SINs - Proposal'!C479)," ",'ALL Other SINs - Proposal'!C479)</f>
        <v xml:space="preserve"> </v>
      </c>
      <c r="D479" s="138" t="str">
        <f>IF(ISBLANK('ALL Other SINs - Proposal'!D479)," ",'ALL Other SINs - Proposal'!D479)</f>
        <v xml:space="preserve"> </v>
      </c>
      <c r="E479" s="69" t="str">
        <f>IF(ISBLANK('ALL Other SINs - Proposal'!R479)," ",'ALL Other SINs - Proposal'!R479)</f>
        <v xml:space="preserve"> </v>
      </c>
      <c r="F479" s="73" t="str">
        <f>IF(ISBLANK('ALL Other SINs - Proposal'!S479)," ",'ALL Other SINs - Proposal'!S479)</f>
        <v xml:space="preserve"> </v>
      </c>
      <c r="G479" s="173" t="str">
        <f>IF(ISBLANK('ALL Other SINs - Proposal'!T479)," ",'ALL Other SINs - Proposal'!T479)</f>
        <v xml:space="preserve"> </v>
      </c>
      <c r="H479" s="275" t="str">
        <f>IF(ISBLANK('ALL Other SINs - Proposal'!V479)," ",'ALL Other SINs - Proposal'!V479)</f>
        <v xml:space="preserve"> </v>
      </c>
      <c r="I479" s="271" t="str">
        <f>IF(ISBLANK('ALL Other SINs - Proposal'!W479)," ",'ALL Other SINs - Proposal'!W479)</f>
        <v xml:space="preserve"> </v>
      </c>
      <c r="J479" s="71" t="str">
        <f>IF(ISBLANK('ALL Other SINs - Proposal'!X479)," ",'ALL Other SINs - Proposal'!X479)</f>
        <v xml:space="preserve"> </v>
      </c>
      <c r="K479" s="165" t="str">
        <f>IF(ISBLANK('ALL Other SINs - Proposal'!AA479)," ",'ALL Other SINs - Proposal'!AA479)</f>
        <v xml:space="preserve"> </v>
      </c>
      <c r="L479" s="178" t="str">
        <f>IF(ISBLANK('ALL Other SINs - Proposal'!AB479)," ",'ALL Other SINs - Proposal'!AB479)</f>
        <v xml:space="preserve"> </v>
      </c>
      <c r="M479" s="72" t="str">
        <f t="shared" si="14"/>
        <v xml:space="preserve"> </v>
      </c>
      <c r="N479" s="167" t="str">
        <f t="shared" si="15"/>
        <v xml:space="preserve"> </v>
      </c>
    </row>
    <row r="480" spans="1:14" ht="15" x14ac:dyDescent="0.25">
      <c r="A480" s="131" t="str">
        <f>IF(ISBLANK('ALL Other SINs - Proposal'!A480)," ",'ALL Other SINs - Proposal'!A480)</f>
        <v xml:space="preserve"> </v>
      </c>
      <c r="B480" s="137" t="str">
        <f>IF(ISBLANK('ALL Other SINs - Proposal'!B480)," ",'ALL Other SINs - Proposal'!B480)</f>
        <v xml:space="preserve"> </v>
      </c>
      <c r="C480" s="137" t="str">
        <f>IF(ISBLANK('ALL Other SINs - Proposal'!C480)," ",'ALL Other SINs - Proposal'!C480)</f>
        <v xml:space="preserve"> </v>
      </c>
      <c r="D480" s="138" t="str">
        <f>IF(ISBLANK('ALL Other SINs - Proposal'!D480)," ",'ALL Other SINs - Proposal'!D480)</f>
        <v xml:space="preserve"> </v>
      </c>
      <c r="E480" s="69" t="str">
        <f>IF(ISBLANK('ALL Other SINs - Proposal'!R480)," ",'ALL Other SINs - Proposal'!R480)</f>
        <v xml:space="preserve"> </v>
      </c>
      <c r="F480" s="73" t="str">
        <f>IF(ISBLANK('ALL Other SINs - Proposal'!S480)," ",'ALL Other SINs - Proposal'!S480)</f>
        <v xml:space="preserve"> </v>
      </c>
      <c r="G480" s="173" t="str">
        <f>IF(ISBLANK('ALL Other SINs - Proposal'!T480)," ",'ALL Other SINs - Proposal'!T480)</f>
        <v xml:space="preserve"> </v>
      </c>
      <c r="H480" s="275" t="str">
        <f>IF(ISBLANK('ALL Other SINs - Proposal'!V480)," ",'ALL Other SINs - Proposal'!V480)</f>
        <v xml:space="preserve"> </v>
      </c>
      <c r="I480" s="271" t="str">
        <f>IF(ISBLANK('ALL Other SINs - Proposal'!W480)," ",'ALL Other SINs - Proposal'!W480)</f>
        <v xml:space="preserve"> </v>
      </c>
      <c r="J480" s="71" t="str">
        <f>IF(ISBLANK('ALL Other SINs - Proposal'!X480)," ",'ALL Other SINs - Proposal'!X480)</f>
        <v xml:space="preserve"> </v>
      </c>
      <c r="K480" s="165" t="str">
        <f>IF(ISBLANK('ALL Other SINs - Proposal'!AA480)," ",'ALL Other SINs - Proposal'!AA480)</f>
        <v xml:space="preserve"> </v>
      </c>
      <c r="L480" s="178" t="str">
        <f>IF(ISBLANK('ALL Other SINs - Proposal'!AB480)," ",'ALL Other SINs - Proposal'!AB480)</f>
        <v xml:space="preserve"> </v>
      </c>
      <c r="M480" s="72" t="str">
        <f t="shared" si="14"/>
        <v xml:space="preserve"> </v>
      </c>
      <c r="N480" s="167" t="str">
        <f t="shared" si="15"/>
        <v xml:space="preserve"> </v>
      </c>
    </row>
    <row r="481" spans="1:14" ht="15" x14ac:dyDescent="0.25">
      <c r="A481" s="131" t="str">
        <f>IF(ISBLANK('ALL Other SINs - Proposal'!A481)," ",'ALL Other SINs - Proposal'!A481)</f>
        <v xml:space="preserve"> </v>
      </c>
      <c r="B481" s="137" t="str">
        <f>IF(ISBLANK('ALL Other SINs - Proposal'!B481)," ",'ALL Other SINs - Proposal'!B481)</f>
        <v xml:space="preserve"> </v>
      </c>
      <c r="C481" s="137" t="str">
        <f>IF(ISBLANK('ALL Other SINs - Proposal'!C481)," ",'ALL Other SINs - Proposal'!C481)</f>
        <v xml:space="preserve"> </v>
      </c>
      <c r="D481" s="138" t="str">
        <f>IF(ISBLANK('ALL Other SINs - Proposal'!D481)," ",'ALL Other SINs - Proposal'!D481)</f>
        <v xml:space="preserve"> </v>
      </c>
      <c r="E481" s="69" t="str">
        <f>IF(ISBLANK('ALL Other SINs - Proposal'!R481)," ",'ALL Other SINs - Proposal'!R481)</f>
        <v xml:space="preserve"> </v>
      </c>
      <c r="F481" s="73" t="str">
        <f>IF(ISBLANK('ALL Other SINs - Proposal'!S481)," ",'ALL Other SINs - Proposal'!S481)</f>
        <v xml:space="preserve"> </v>
      </c>
      <c r="G481" s="173" t="str">
        <f>IF(ISBLANK('ALL Other SINs - Proposal'!T481)," ",'ALL Other SINs - Proposal'!T481)</f>
        <v xml:space="preserve"> </v>
      </c>
      <c r="H481" s="275" t="str">
        <f>IF(ISBLANK('ALL Other SINs - Proposal'!V481)," ",'ALL Other SINs - Proposal'!V481)</f>
        <v xml:space="preserve"> </v>
      </c>
      <c r="I481" s="271" t="str">
        <f>IF(ISBLANK('ALL Other SINs - Proposal'!W481)," ",'ALL Other SINs - Proposal'!W481)</f>
        <v xml:space="preserve"> </v>
      </c>
      <c r="J481" s="71" t="str">
        <f>IF(ISBLANK('ALL Other SINs - Proposal'!X481)," ",'ALL Other SINs - Proposal'!X481)</f>
        <v xml:space="preserve"> </v>
      </c>
      <c r="K481" s="165" t="str">
        <f>IF(ISBLANK('ALL Other SINs - Proposal'!AA481)," ",'ALL Other SINs - Proposal'!AA481)</f>
        <v xml:space="preserve"> </v>
      </c>
      <c r="L481" s="178" t="str">
        <f>IF(ISBLANK('ALL Other SINs - Proposal'!AB481)," ",'ALL Other SINs - Proposal'!AB481)</f>
        <v xml:space="preserve"> </v>
      </c>
      <c r="M481" s="72" t="str">
        <f t="shared" si="14"/>
        <v xml:space="preserve"> </v>
      </c>
      <c r="N481" s="167" t="str">
        <f t="shared" si="15"/>
        <v xml:space="preserve"> </v>
      </c>
    </row>
    <row r="482" spans="1:14" ht="15" x14ac:dyDescent="0.25">
      <c r="A482" s="131" t="str">
        <f>IF(ISBLANK('ALL Other SINs - Proposal'!A482)," ",'ALL Other SINs - Proposal'!A482)</f>
        <v xml:space="preserve"> </v>
      </c>
      <c r="B482" s="137" t="str">
        <f>IF(ISBLANK('ALL Other SINs - Proposal'!B482)," ",'ALL Other SINs - Proposal'!B482)</f>
        <v xml:space="preserve"> </v>
      </c>
      <c r="C482" s="137" t="str">
        <f>IF(ISBLANK('ALL Other SINs - Proposal'!C482)," ",'ALL Other SINs - Proposal'!C482)</f>
        <v xml:space="preserve"> </v>
      </c>
      <c r="D482" s="138" t="str">
        <f>IF(ISBLANK('ALL Other SINs - Proposal'!D482)," ",'ALL Other SINs - Proposal'!D482)</f>
        <v xml:space="preserve"> </v>
      </c>
      <c r="E482" s="69" t="str">
        <f>IF(ISBLANK('ALL Other SINs - Proposal'!R482)," ",'ALL Other SINs - Proposal'!R482)</f>
        <v xml:space="preserve"> </v>
      </c>
      <c r="F482" s="73" t="str">
        <f>IF(ISBLANK('ALL Other SINs - Proposal'!S482)," ",'ALL Other SINs - Proposal'!S482)</f>
        <v xml:space="preserve"> </v>
      </c>
      <c r="G482" s="173" t="str">
        <f>IF(ISBLANK('ALL Other SINs - Proposal'!T482)," ",'ALL Other SINs - Proposal'!T482)</f>
        <v xml:space="preserve"> </v>
      </c>
      <c r="H482" s="275" t="str">
        <f>IF(ISBLANK('ALL Other SINs - Proposal'!V482)," ",'ALL Other SINs - Proposal'!V482)</f>
        <v xml:space="preserve"> </v>
      </c>
      <c r="I482" s="271" t="str">
        <f>IF(ISBLANK('ALL Other SINs - Proposal'!W482)," ",'ALL Other SINs - Proposal'!W482)</f>
        <v xml:space="preserve"> </v>
      </c>
      <c r="J482" s="71" t="str">
        <f>IF(ISBLANK('ALL Other SINs - Proposal'!X482)," ",'ALL Other SINs - Proposal'!X482)</f>
        <v xml:space="preserve"> </v>
      </c>
      <c r="K482" s="165" t="str">
        <f>IF(ISBLANK('ALL Other SINs - Proposal'!AA482)," ",'ALL Other SINs - Proposal'!AA482)</f>
        <v xml:space="preserve"> </v>
      </c>
      <c r="L482" s="178" t="str">
        <f>IF(ISBLANK('ALL Other SINs - Proposal'!AB482)," ",'ALL Other SINs - Proposal'!AB482)</f>
        <v xml:space="preserve"> </v>
      </c>
      <c r="M482" s="72" t="str">
        <f t="shared" si="14"/>
        <v xml:space="preserve"> </v>
      </c>
      <c r="N482" s="167" t="str">
        <f t="shared" si="15"/>
        <v xml:space="preserve"> </v>
      </c>
    </row>
    <row r="483" spans="1:14" ht="15" x14ac:dyDescent="0.25">
      <c r="A483" s="131" t="str">
        <f>IF(ISBLANK('ALL Other SINs - Proposal'!A483)," ",'ALL Other SINs - Proposal'!A483)</f>
        <v xml:space="preserve"> </v>
      </c>
      <c r="B483" s="137" t="str">
        <f>IF(ISBLANK('ALL Other SINs - Proposal'!B483)," ",'ALL Other SINs - Proposal'!B483)</f>
        <v xml:space="preserve"> </v>
      </c>
      <c r="C483" s="137" t="str">
        <f>IF(ISBLANK('ALL Other SINs - Proposal'!C483)," ",'ALL Other SINs - Proposal'!C483)</f>
        <v xml:space="preserve"> </v>
      </c>
      <c r="D483" s="138" t="str">
        <f>IF(ISBLANK('ALL Other SINs - Proposal'!D483)," ",'ALL Other SINs - Proposal'!D483)</f>
        <v xml:space="preserve"> </v>
      </c>
      <c r="E483" s="69" t="str">
        <f>IF(ISBLANK('ALL Other SINs - Proposal'!R483)," ",'ALL Other SINs - Proposal'!R483)</f>
        <v xml:space="preserve"> </v>
      </c>
      <c r="F483" s="73" t="str">
        <f>IF(ISBLANK('ALL Other SINs - Proposal'!S483)," ",'ALL Other SINs - Proposal'!S483)</f>
        <v xml:space="preserve"> </v>
      </c>
      <c r="G483" s="173" t="str">
        <f>IF(ISBLANK('ALL Other SINs - Proposal'!T483)," ",'ALL Other SINs - Proposal'!T483)</f>
        <v xml:space="preserve"> </v>
      </c>
      <c r="H483" s="275" t="str">
        <f>IF(ISBLANK('ALL Other SINs - Proposal'!V483)," ",'ALL Other SINs - Proposal'!V483)</f>
        <v xml:space="preserve"> </v>
      </c>
      <c r="I483" s="271" t="str">
        <f>IF(ISBLANK('ALL Other SINs - Proposal'!W483)," ",'ALL Other SINs - Proposal'!W483)</f>
        <v xml:space="preserve"> </v>
      </c>
      <c r="J483" s="71" t="str">
        <f>IF(ISBLANK('ALL Other SINs - Proposal'!X483)," ",'ALL Other SINs - Proposal'!X483)</f>
        <v xml:space="preserve"> </v>
      </c>
      <c r="K483" s="165" t="str">
        <f>IF(ISBLANK('ALL Other SINs - Proposal'!AA483)," ",'ALL Other SINs - Proposal'!AA483)</f>
        <v xml:space="preserve"> </v>
      </c>
      <c r="L483" s="178" t="str">
        <f>IF(ISBLANK('ALL Other SINs - Proposal'!AB483)," ",'ALL Other SINs - Proposal'!AB483)</f>
        <v xml:space="preserve"> </v>
      </c>
      <c r="M483" s="72" t="str">
        <f t="shared" si="14"/>
        <v xml:space="preserve"> </v>
      </c>
      <c r="N483" s="167" t="str">
        <f t="shared" si="15"/>
        <v xml:space="preserve"> </v>
      </c>
    </row>
    <row r="484" spans="1:14" ht="15" x14ac:dyDescent="0.25">
      <c r="A484" s="131" t="str">
        <f>IF(ISBLANK('ALL Other SINs - Proposal'!A484)," ",'ALL Other SINs - Proposal'!A484)</f>
        <v xml:space="preserve"> </v>
      </c>
      <c r="B484" s="137" t="str">
        <f>IF(ISBLANK('ALL Other SINs - Proposal'!B484)," ",'ALL Other SINs - Proposal'!B484)</f>
        <v xml:space="preserve"> </v>
      </c>
      <c r="C484" s="137" t="str">
        <f>IF(ISBLANK('ALL Other SINs - Proposal'!C484)," ",'ALL Other SINs - Proposal'!C484)</f>
        <v xml:space="preserve"> </v>
      </c>
      <c r="D484" s="138" t="str">
        <f>IF(ISBLANK('ALL Other SINs - Proposal'!D484)," ",'ALL Other SINs - Proposal'!D484)</f>
        <v xml:space="preserve"> </v>
      </c>
      <c r="E484" s="69" t="str">
        <f>IF(ISBLANK('ALL Other SINs - Proposal'!R484)," ",'ALL Other SINs - Proposal'!R484)</f>
        <v xml:space="preserve"> </v>
      </c>
      <c r="F484" s="73" t="str">
        <f>IF(ISBLANK('ALL Other SINs - Proposal'!S484)," ",'ALL Other SINs - Proposal'!S484)</f>
        <v xml:space="preserve"> </v>
      </c>
      <c r="G484" s="173" t="str">
        <f>IF(ISBLANK('ALL Other SINs - Proposal'!T484)," ",'ALL Other SINs - Proposal'!T484)</f>
        <v xml:space="preserve"> </v>
      </c>
      <c r="H484" s="275" t="str">
        <f>IF(ISBLANK('ALL Other SINs - Proposal'!V484)," ",'ALL Other SINs - Proposal'!V484)</f>
        <v xml:space="preserve"> </v>
      </c>
      <c r="I484" s="271" t="str">
        <f>IF(ISBLANK('ALL Other SINs - Proposal'!W484)," ",'ALL Other SINs - Proposal'!W484)</f>
        <v xml:space="preserve"> </v>
      </c>
      <c r="J484" s="71" t="str">
        <f>IF(ISBLANK('ALL Other SINs - Proposal'!X484)," ",'ALL Other SINs - Proposal'!X484)</f>
        <v xml:space="preserve"> </v>
      </c>
      <c r="K484" s="165" t="str">
        <f>IF(ISBLANK('ALL Other SINs - Proposal'!AA484)," ",'ALL Other SINs - Proposal'!AA484)</f>
        <v xml:space="preserve"> </v>
      </c>
      <c r="L484" s="178" t="str">
        <f>IF(ISBLANK('ALL Other SINs - Proposal'!AB484)," ",'ALL Other SINs - Proposal'!AB484)</f>
        <v xml:space="preserve"> </v>
      </c>
      <c r="M484" s="72" t="str">
        <f t="shared" si="14"/>
        <v xml:space="preserve"> </v>
      </c>
      <c r="N484" s="167" t="str">
        <f t="shared" si="15"/>
        <v xml:space="preserve"> </v>
      </c>
    </row>
    <row r="485" spans="1:14" ht="15" x14ac:dyDescent="0.25">
      <c r="A485" s="131" t="str">
        <f>IF(ISBLANK('ALL Other SINs - Proposal'!A485)," ",'ALL Other SINs - Proposal'!A485)</f>
        <v xml:space="preserve"> </v>
      </c>
      <c r="B485" s="137" t="str">
        <f>IF(ISBLANK('ALL Other SINs - Proposal'!B485)," ",'ALL Other SINs - Proposal'!B485)</f>
        <v xml:space="preserve"> </v>
      </c>
      <c r="C485" s="137" t="str">
        <f>IF(ISBLANK('ALL Other SINs - Proposal'!C485)," ",'ALL Other SINs - Proposal'!C485)</f>
        <v xml:space="preserve"> </v>
      </c>
      <c r="D485" s="138" t="str">
        <f>IF(ISBLANK('ALL Other SINs - Proposal'!D485)," ",'ALL Other SINs - Proposal'!D485)</f>
        <v xml:space="preserve"> </v>
      </c>
      <c r="E485" s="69" t="str">
        <f>IF(ISBLANK('ALL Other SINs - Proposal'!R485)," ",'ALL Other SINs - Proposal'!R485)</f>
        <v xml:space="preserve"> </v>
      </c>
      <c r="F485" s="73" t="str">
        <f>IF(ISBLANK('ALL Other SINs - Proposal'!S485)," ",'ALL Other SINs - Proposal'!S485)</f>
        <v xml:space="preserve"> </v>
      </c>
      <c r="G485" s="173" t="str">
        <f>IF(ISBLANK('ALL Other SINs - Proposal'!T485)," ",'ALL Other SINs - Proposal'!T485)</f>
        <v xml:space="preserve"> </v>
      </c>
      <c r="H485" s="275" t="str">
        <f>IF(ISBLANK('ALL Other SINs - Proposal'!V485)," ",'ALL Other SINs - Proposal'!V485)</f>
        <v xml:space="preserve"> </v>
      </c>
      <c r="I485" s="271" t="str">
        <f>IF(ISBLANK('ALL Other SINs - Proposal'!W485)," ",'ALL Other SINs - Proposal'!W485)</f>
        <v xml:space="preserve"> </v>
      </c>
      <c r="J485" s="71" t="str">
        <f>IF(ISBLANK('ALL Other SINs - Proposal'!X485)," ",'ALL Other SINs - Proposal'!X485)</f>
        <v xml:space="preserve"> </v>
      </c>
      <c r="K485" s="165" t="str">
        <f>IF(ISBLANK('ALL Other SINs - Proposal'!AA485)," ",'ALL Other SINs - Proposal'!AA485)</f>
        <v xml:space="preserve"> </v>
      </c>
      <c r="L485" s="178" t="str">
        <f>IF(ISBLANK('ALL Other SINs - Proposal'!AB485)," ",'ALL Other SINs - Proposal'!AB485)</f>
        <v xml:space="preserve"> </v>
      </c>
      <c r="M485" s="72" t="str">
        <f t="shared" si="14"/>
        <v xml:space="preserve"> </v>
      </c>
      <c r="N485" s="167" t="str">
        <f t="shared" si="15"/>
        <v xml:space="preserve"> </v>
      </c>
    </row>
    <row r="486" spans="1:14" ht="15" x14ac:dyDescent="0.25">
      <c r="A486" s="131" t="str">
        <f>IF(ISBLANK('ALL Other SINs - Proposal'!A486)," ",'ALL Other SINs - Proposal'!A486)</f>
        <v xml:space="preserve"> </v>
      </c>
      <c r="B486" s="137" t="str">
        <f>IF(ISBLANK('ALL Other SINs - Proposal'!B486)," ",'ALL Other SINs - Proposal'!B486)</f>
        <v xml:space="preserve"> </v>
      </c>
      <c r="C486" s="137" t="str">
        <f>IF(ISBLANK('ALL Other SINs - Proposal'!C486)," ",'ALL Other SINs - Proposal'!C486)</f>
        <v xml:space="preserve"> </v>
      </c>
      <c r="D486" s="138" t="str">
        <f>IF(ISBLANK('ALL Other SINs - Proposal'!D486)," ",'ALL Other SINs - Proposal'!D486)</f>
        <v xml:space="preserve"> </v>
      </c>
      <c r="E486" s="69" t="str">
        <f>IF(ISBLANK('ALL Other SINs - Proposal'!R486)," ",'ALL Other SINs - Proposal'!R486)</f>
        <v xml:space="preserve"> </v>
      </c>
      <c r="F486" s="73" t="str">
        <f>IF(ISBLANK('ALL Other SINs - Proposal'!S486)," ",'ALL Other SINs - Proposal'!S486)</f>
        <v xml:space="preserve"> </v>
      </c>
      <c r="G486" s="173" t="str">
        <f>IF(ISBLANK('ALL Other SINs - Proposal'!T486)," ",'ALL Other SINs - Proposal'!T486)</f>
        <v xml:space="preserve"> </v>
      </c>
      <c r="H486" s="275" t="str">
        <f>IF(ISBLANK('ALL Other SINs - Proposal'!V486)," ",'ALL Other SINs - Proposal'!V486)</f>
        <v xml:space="preserve"> </v>
      </c>
      <c r="I486" s="271" t="str">
        <f>IF(ISBLANK('ALL Other SINs - Proposal'!W486)," ",'ALL Other SINs - Proposal'!W486)</f>
        <v xml:space="preserve"> </v>
      </c>
      <c r="J486" s="71" t="str">
        <f>IF(ISBLANK('ALL Other SINs - Proposal'!X486)," ",'ALL Other SINs - Proposal'!X486)</f>
        <v xml:space="preserve"> </v>
      </c>
      <c r="K486" s="165" t="str">
        <f>IF(ISBLANK('ALL Other SINs - Proposal'!AA486)," ",'ALL Other SINs - Proposal'!AA486)</f>
        <v xml:space="preserve"> </v>
      </c>
      <c r="L486" s="178" t="str">
        <f>IF(ISBLANK('ALL Other SINs - Proposal'!AB486)," ",'ALL Other SINs - Proposal'!AB486)</f>
        <v xml:space="preserve"> </v>
      </c>
      <c r="M486" s="72" t="str">
        <f t="shared" si="14"/>
        <v xml:space="preserve"> </v>
      </c>
      <c r="N486" s="167" t="str">
        <f t="shared" si="15"/>
        <v xml:space="preserve"> </v>
      </c>
    </row>
    <row r="487" spans="1:14" ht="15" x14ac:dyDescent="0.25">
      <c r="A487" s="131" t="str">
        <f>IF(ISBLANK('ALL Other SINs - Proposal'!A487)," ",'ALL Other SINs - Proposal'!A487)</f>
        <v xml:space="preserve"> </v>
      </c>
      <c r="B487" s="137" t="str">
        <f>IF(ISBLANK('ALL Other SINs - Proposal'!B487)," ",'ALL Other SINs - Proposal'!B487)</f>
        <v xml:space="preserve"> </v>
      </c>
      <c r="C487" s="137" t="str">
        <f>IF(ISBLANK('ALL Other SINs - Proposal'!C487)," ",'ALL Other SINs - Proposal'!C487)</f>
        <v xml:space="preserve"> </v>
      </c>
      <c r="D487" s="138" t="str">
        <f>IF(ISBLANK('ALL Other SINs - Proposal'!D487)," ",'ALL Other SINs - Proposal'!D487)</f>
        <v xml:space="preserve"> </v>
      </c>
      <c r="E487" s="69" t="str">
        <f>IF(ISBLANK('ALL Other SINs - Proposal'!R487)," ",'ALL Other SINs - Proposal'!R487)</f>
        <v xml:space="preserve"> </v>
      </c>
      <c r="F487" s="73" t="str">
        <f>IF(ISBLANK('ALL Other SINs - Proposal'!S487)," ",'ALL Other SINs - Proposal'!S487)</f>
        <v xml:space="preserve"> </v>
      </c>
      <c r="G487" s="173" t="str">
        <f>IF(ISBLANK('ALL Other SINs - Proposal'!T487)," ",'ALL Other SINs - Proposal'!T487)</f>
        <v xml:space="preserve"> </v>
      </c>
      <c r="H487" s="275" t="str">
        <f>IF(ISBLANK('ALL Other SINs - Proposal'!V487)," ",'ALL Other SINs - Proposal'!V487)</f>
        <v xml:space="preserve"> </v>
      </c>
      <c r="I487" s="271" t="str">
        <f>IF(ISBLANK('ALL Other SINs - Proposal'!W487)," ",'ALL Other SINs - Proposal'!W487)</f>
        <v xml:space="preserve"> </v>
      </c>
      <c r="J487" s="71" t="str">
        <f>IF(ISBLANK('ALL Other SINs - Proposal'!X487)," ",'ALL Other SINs - Proposal'!X487)</f>
        <v xml:space="preserve"> </v>
      </c>
      <c r="K487" s="165" t="str">
        <f>IF(ISBLANK('ALL Other SINs - Proposal'!AA487)," ",'ALL Other SINs - Proposal'!AA487)</f>
        <v xml:space="preserve"> </v>
      </c>
      <c r="L487" s="178" t="str">
        <f>IF(ISBLANK('ALL Other SINs - Proposal'!AB487)," ",'ALL Other SINs - Proposal'!AB487)</f>
        <v xml:space="preserve"> </v>
      </c>
      <c r="M487" s="72" t="str">
        <f t="shared" si="14"/>
        <v xml:space="preserve"> </v>
      </c>
      <c r="N487" s="167" t="str">
        <f t="shared" si="15"/>
        <v xml:space="preserve"> </v>
      </c>
    </row>
    <row r="488" spans="1:14" ht="15" x14ac:dyDescent="0.25">
      <c r="A488" s="131" t="str">
        <f>IF(ISBLANK('ALL Other SINs - Proposal'!A488)," ",'ALL Other SINs - Proposal'!A488)</f>
        <v xml:space="preserve"> </v>
      </c>
      <c r="B488" s="137" t="str">
        <f>IF(ISBLANK('ALL Other SINs - Proposal'!B488)," ",'ALL Other SINs - Proposal'!B488)</f>
        <v xml:space="preserve"> </v>
      </c>
      <c r="C488" s="137" t="str">
        <f>IF(ISBLANK('ALL Other SINs - Proposal'!C488)," ",'ALL Other SINs - Proposal'!C488)</f>
        <v xml:space="preserve"> </v>
      </c>
      <c r="D488" s="138" t="str">
        <f>IF(ISBLANK('ALL Other SINs - Proposal'!D488)," ",'ALL Other SINs - Proposal'!D488)</f>
        <v xml:space="preserve"> </v>
      </c>
      <c r="E488" s="69" t="str">
        <f>IF(ISBLANK('ALL Other SINs - Proposal'!R488)," ",'ALL Other SINs - Proposal'!R488)</f>
        <v xml:space="preserve"> </v>
      </c>
      <c r="F488" s="73" t="str">
        <f>IF(ISBLANK('ALL Other SINs - Proposal'!S488)," ",'ALL Other SINs - Proposal'!S488)</f>
        <v xml:space="preserve"> </v>
      </c>
      <c r="G488" s="173" t="str">
        <f>IF(ISBLANK('ALL Other SINs - Proposal'!T488)," ",'ALL Other SINs - Proposal'!T488)</f>
        <v xml:space="preserve"> </v>
      </c>
      <c r="H488" s="275" t="str">
        <f>IF(ISBLANK('ALL Other SINs - Proposal'!V488)," ",'ALL Other SINs - Proposal'!V488)</f>
        <v xml:space="preserve"> </v>
      </c>
      <c r="I488" s="271" t="str">
        <f>IF(ISBLANK('ALL Other SINs - Proposal'!W488)," ",'ALL Other SINs - Proposal'!W488)</f>
        <v xml:space="preserve"> </v>
      </c>
      <c r="J488" s="71" t="str">
        <f>IF(ISBLANK('ALL Other SINs - Proposal'!X488)," ",'ALL Other SINs - Proposal'!X488)</f>
        <v xml:space="preserve"> </v>
      </c>
      <c r="K488" s="165" t="str">
        <f>IF(ISBLANK('ALL Other SINs - Proposal'!AA488)," ",'ALL Other SINs - Proposal'!AA488)</f>
        <v xml:space="preserve"> </v>
      </c>
      <c r="L488" s="178" t="str">
        <f>IF(ISBLANK('ALL Other SINs - Proposal'!AB488)," ",'ALL Other SINs - Proposal'!AB488)</f>
        <v xml:space="preserve"> </v>
      </c>
      <c r="M488" s="72" t="str">
        <f t="shared" si="14"/>
        <v xml:space="preserve"> </v>
      </c>
      <c r="N488" s="167" t="str">
        <f t="shared" si="15"/>
        <v xml:space="preserve"> </v>
      </c>
    </row>
    <row r="489" spans="1:14" ht="15" x14ac:dyDescent="0.25">
      <c r="A489" s="131" t="str">
        <f>IF(ISBLANK('ALL Other SINs - Proposal'!A489)," ",'ALL Other SINs - Proposal'!A489)</f>
        <v xml:space="preserve"> </v>
      </c>
      <c r="B489" s="137" t="str">
        <f>IF(ISBLANK('ALL Other SINs - Proposal'!B489)," ",'ALL Other SINs - Proposal'!B489)</f>
        <v xml:space="preserve"> </v>
      </c>
      <c r="C489" s="137" t="str">
        <f>IF(ISBLANK('ALL Other SINs - Proposal'!C489)," ",'ALL Other SINs - Proposal'!C489)</f>
        <v xml:space="preserve"> </v>
      </c>
      <c r="D489" s="138" t="str">
        <f>IF(ISBLANK('ALL Other SINs - Proposal'!D489)," ",'ALL Other SINs - Proposal'!D489)</f>
        <v xml:space="preserve"> </v>
      </c>
      <c r="E489" s="69" t="str">
        <f>IF(ISBLANK('ALL Other SINs - Proposal'!R489)," ",'ALL Other SINs - Proposal'!R489)</f>
        <v xml:space="preserve"> </v>
      </c>
      <c r="F489" s="73" t="str">
        <f>IF(ISBLANK('ALL Other SINs - Proposal'!S489)," ",'ALL Other SINs - Proposal'!S489)</f>
        <v xml:space="preserve"> </v>
      </c>
      <c r="G489" s="173" t="str">
        <f>IF(ISBLANK('ALL Other SINs - Proposal'!T489)," ",'ALL Other SINs - Proposal'!T489)</f>
        <v xml:space="preserve"> </v>
      </c>
      <c r="H489" s="275" t="str">
        <f>IF(ISBLANK('ALL Other SINs - Proposal'!V489)," ",'ALL Other SINs - Proposal'!V489)</f>
        <v xml:space="preserve"> </v>
      </c>
      <c r="I489" s="271" t="str">
        <f>IF(ISBLANK('ALL Other SINs - Proposal'!W489)," ",'ALL Other SINs - Proposal'!W489)</f>
        <v xml:space="preserve"> </v>
      </c>
      <c r="J489" s="71" t="str">
        <f>IF(ISBLANK('ALL Other SINs - Proposal'!X489)," ",'ALL Other SINs - Proposal'!X489)</f>
        <v xml:space="preserve"> </v>
      </c>
      <c r="K489" s="165" t="str">
        <f>IF(ISBLANK('ALL Other SINs - Proposal'!AA489)," ",'ALL Other SINs - Proposal'!AA489)</f>
        <v xml:space="preserve"> </v>
      </c>
      <c r="L489" s="178" t="str">
        <f>IF(ISBLANK('ALL Other SINs - Proposal'!AB489)," ",'ALL Other SINs - Proposal'!AB489)</f>
        <v xml:space="preserve"> </v>
      </c>
      <c r="M489" s="72" t="str">
        <f t="shared" si="14"/>
        <v xml:space="preserve"> </v>
      </c>
      <c r="N489" s="167" t="str">
        <f t="shared" si="15"/>
        <v xml:space="preserve"> </v>
      </c>
    </row>
    <row r="490" spans="1:14" ht="15" x14ac:dyDescent="0.25">
      <c r="A490" s="131" t="str">
        <f>IF(ISBLANK('ALL Other SINs - Proposal'!A490)," ",'ALL Other SINs - Proposal'!A490)</f>
        <v xml:space="preserve"> </v>
      </c>
      <c r="B490" s="137" t="str">
        <f>IF(ISBLANK('ALL Other SINs - Proposal'!B490)," ",'ALL Other SINs - Proposal'!B490)</f>
        <v xml:space="preserve"> </v>
      </c>
      <c r="C490" s="137" t="str">
        <f>IF(ISBLANK('ALL Other SINs - Proposal'!C490)," ",'ALL Other SINs - Proposal'!C490)</f>
        <v xml:space="preserve"> </v>
      </c>
      <c r="D490" s="138" t="str">
        <f>IF(ISBLANK('ALL Other SINs - Proposal'!D490)," ",'ALL Other SINs - Proposal'!D490)</f>
        <v xml:space="preserve"> </v>
      </c>
      <c r="E490" s="69" t="str">
        <f>IF(ISBLANK('ALL Other SINs - Proposal'!R490)," ",'ALL Other SINs - Proposal'!R490)</f>
        <v xml:space="preserve"> </v>
      </c>
      <c r="F490" s="73" t="str">
        <f>IF(ISBLANK('ALL Other SINs - Proposal'!S490)," ",'ALL Other SINs - Proposal'!S490)</f>
        <v xml:space="preserve"> </v>
      </c>
      <c r="G490" s="173" t="str">
        <f>IF(ISBLANK('ALL Other SINs - Proposal'!T490)," ",'ALL Other SINs - Proposal'!T490)</f>
        <v xml:space="preserve"> </v>
      </c>
      <c r="H490" s="275" t="str">
        <f>IF(ISBLANK('ALL Other SINs - Proposal'!V490)," ",'ALL Other SINs - Proposal'!V490)</f>
        <v xml:space="preserve"> </v>
      </c>
      <c r="I490" s="271" t="str">
        <f>IF(ISBLANK('ALL Other SINs - Proposal'!W490)," ",'ALL Other SINs - Proposal'!W490)</f>
        <v xml:space="preserve"> </v>
      </c>
      <c r="J490" s="71" t="str">
        <f>IF(ISBLANK('ALL Other SINs - Proposal'!X490)," ",'ALL Other SINs - Proposal'!X490)</f>
        <v xml:space="preserve"> </v>
      </c>
      <c r="K490" s="165" t="str">
        <f>IF(ISBLANK('ALL Other SINs - Proposal'!AA490)," ",'ALL Other SINs - Proposal'!AA490)</f>
        <v xml:space="preserve"> </v>
      </c>
      <c r="L490" s="178" t="str">
        <f>IF(ISBLANK('ALL Other SINs - Proposal'!AB490)," ",'ALL Other SINs - Proposal'!AB490)</f>
        <v xml:space="preserve"> </v>
      </c>
      <c r="M490" s="72" t="str">
        <f t="shared" si="14"/>
        <v xml:space="preserve"> </v>
      </c>
      <c r="N490" s="167" t="str">
        <f t="shared" si="15"/>
        <v xml:space="preserve"> </v>
      </c>
    </row>
    <row r="491" spans="1:14" ht="15" x14ac:dyDescent="0.25">
      <c r="A491" s="131" t="str">
        <f>IF(ISBLANK('ALL Other SINs - Proposal'!A491)," ",'ALL Other SINs - Proposal'!A491)</f>
        <v xml:space="preserve"> </v>
      </c>
      <c r="B491" s="137" t="str">
        <f>IF(ISBLANK('ALL Other SINs - Proposal'!B491)," ",'ALL Other SINs - Proposal'!B491)</f>
        <v xml:space="preserve"> </v>
      </c>
      <c r="C491" s="137" t="str">
        <f>IF(ISBLANK('ALL Other SINs - Proposal'!C491)," ",'ALL Other SINs - Proposal'!C491)</f>
        <v xml:space="preserve"> </v>
      </c>
      <c r="D491" s="138" t="str">
        <f>IF(ISBLANK('ALL Other SINs - Proposal'!D491)," ",'ALL Other SINs - Proposal'!D491)</f>
        <v xml:space="preserve"> </v>
      </c>
      <c r="E491" s="69" t="str">
        <f>IF(ISBLANK('ALL Other SINs - Proposal'!R491)," ",'ALL Other SINs - Proposal'!R491)</f>
        <v xml:space="preserve"> </v>
      </c>
      <c r="F491" s="73" t="str">
        <f>IF(ISBLANK('ALL Other SINs - Proposal'!S491)," ",'ALL Other SINs - Proposal'!S491)</f>
        <v xml:space="preserve"> </v>
      </c>
      <c r="G491" s="173" t="str">
        <f>IF(ISBLANK('ALL Other SINs - Proposal'!T491)," ",'ALL Other SINs - Proposal'!T491)</f>
        <v xml:space="preserve"> </v>
      </c>
      <c r="H491" s="275" t="str">
        <f>IF(ISBLANK('ALL Other SINs - Proposal'!V491)," ",'ALL Other SINs - Proposal'!V491)</f>
        <v xml:space="preserve"> </v>
      </c>
      <c r="I491" s="271" t="str">
        <f>IF(ISBLANK('ALL Other SINs - Proposal'!W491)," ",'ALL Other SINs - Proposal'!W491)</f>
        <v xml:space="preserve"> </v>
      </c>
      <c r="J491" s="71" t="str">
        <f>IF(ISBLANK('ALL Other SINs - Proposal'!X491)," ",'ALL Other SINs - Proposal'!X491)</f>
        <v xml:space="preserve"> </v>
      </c>
      <c r="K491" s="165" t="str">
        <f>IF(ISBLANK('ALL Other SINs - Proposal'!AA491)," ",'ALL Other SINs - Proposal'!AA491)</f>
        <v xml:space="preserve"> </v>
      </c>
      <c r="L491" s="178" t="str">
        <f>IF(ISBLANK('ALL Other SINs - Proposal'!AB491)," ",'ALL Other SINs - Proposal'!AB491)</f>
        <v xml:space="preserve"> </v>
      </c>
      <c r="M491" s="72" t="str">
        <f t="shared" si="14"/>
        <v xml:space="preserve"> </v>
      </c>
      <c r="N491" s="167" t="str">
        <f t="shared" si="15"/>
        <v xml:space="preserve"> </v>
      </c>
    </row>
    <row r="492" spans="1:14" ht="15" x14ac:dyDescent="0.25">
      <c r="A492" s="131" t="str">
        <f>IF(ISBLANK('ALL Other SINs - Proposal'!A492)," ",'ALL Other SINs - Proposal'!A492)</f>
        <v xml:space="preserve"> </v>
      </c>
      <c r="B492" s="137" t="str">
        <f>IF(ISBLANK('ALL Other SINs - Proposal'!B492)," ",'ALL Other SINs - Proposal'!B492)</f>
        <v xml:space="preserve"> </v>
      </c>
      <c r="C492" s="137" t="str">
        <f>IF(ISBLANK('ALL Other SINs - Proposal'!C492)," ",'ALL Other SINs - Proposal'!C492)</f>
        <v xml:space="preserve"> </v>
      </c>
      <c r="D492" s="138" t="str">
        <f>IF(ISBLANK('ALL Other SINs - Proposal'!D492)," ",'ALL Other SINs - Proposal'!D492)</f>
        <v xml:space="preserve"> </v>
      </c>
      <c r="E492" s="69" t="str">
        <f>IF(ISBLANK('ALL Other SINs - Proposal'!R492)," ",'ALL Other SINs - Proposal'!R492)</f>
        <v xml:space="preserve"> </v>
      </c>
      <c r="F492" s="73" t="str">
        <f>IF(ISBLANK('ALL Other SINs - Proposal'!S492)," ",'ALL Other SINs - Proposal'!S492)</f>
        <v xml:space="preserve"> </v>
      </c>
      <c r="G492" s="173" t="str">
        <f>IF(ISBLANK('ALL Other SINs - Proposal'!T492)," ",'ALL Other SINs - Proposal'!T492)</f>
        <v xml:space="preserve"> </v>
      </c>
      <c r="H492" s="275" t="str">
        <f>IF(ISBLANK('ALL Other SINs - Proposal'!V492)," ",'ALL Other SINs - Proposal'!V492)</f>
        <v xml:space="preserve"> </v>
      </c>
      <c r="I492" s="271" t="str">
        <f>IF(ISBLANK('ALL Other SINs - Proposal'!W492)," ",'ALL Other SINs - Proposal'!W492)</f>
        <v xml:space="preserve"> </v>
      </c>
      <c r="J492" s="71" t="str">
        <f>IF(ISBLANK('ALL Other SINs - Proposal'!X492)," ",'ALL Other SINs - Proposal'!X492)</f>
        <v xml:space="preserve"> </v>
      </c>
      <c r="K492" s="165" t="str">
        <f>IF(ISBLANK('ALL Other SINs - Proposal'!AA492)," ",'ALL Other SINs - Proposal'!AA492)</f>
        <v xml:space="preserve"> </v>
      </c>
      <c r="L492" s="178" t="str">
        <f>IF(ISBLANK('ALL Other SINs - Proposal'!AB492)," ",'ALL Other SINs - Proposal'!AB492)</f>
        <v xml:space="preserve"> </v>
      </c>
      <c r="M492" s="72" t="str">
        <f t="shared" si="14"/>
        <v xml:space="preserve"> </v>
      </c>
      <c r="N492" s="167" t="str">
        <f t="shared" si="15"/>
        <v xml:space="preserve"> </v>
      </c>
    </row>
    <row r="493" spans="1:14" ht="15" x14ac:dyDescent="0.25">
      <c r="A493" s="131" t="str">
        <f>IF(ISBLANK('ALL Other SINs - Proposal'!A493)," ",'ALL Other SINs - Proposal'!A493)</f>
        <v xml:space="preserve"> </v>
      </c>
      <c r="B493" s="137" t="str">
        <f>IF(ISBLANK('ALL Other SINs - Proposal'!B493)," ",'ALL Other SINs - Proposal'!B493)</f>
        <v xml:space="preserve"> </v>
      </c>
      <c r="C493" s="137" t="str">
        <f>IF(ISBLANK('ALL Other SINs - Proposal'!C493)," ",'ALL Other SINs - Proposal'!C493)</f>
        <v xml:space="preserve"> </v>
      </c>
      <c r="D493" s="138" t="str">
        <f>IF(ISBLANK('ALL Other SINs - Proposal'!D493)," ",'ALL Other SINs - Proposal'!D493)</f>
        <v xml:space="preserve"> </v>
      </c>
      <c r="E493" s="69" t="str">
        <f>IF(ISBLANK('ALL Other SINs - Proposal'!R493)," ",'ALL Other SINs - Proposal'!R493)</f>
        <v xml:space="preserve"> </v>
      </c>
      <c r="F493" s="73" t="str">
        <f>IF(ISBLANK('ALL Other SINs - Proposal'!S493)," ",'ALL Other SINs - Proposal'!S493)</f>
        <v xml:space="preserve"> </v>
      </c>
      <c r="G493" s="173" t="str">
        <f>IF(ISBLANK('ALL Other SINs - Proposal'!T493)," ",'ALL Other SINs - Proposal'!T493)</f>
        <v xml:space="preserve"> </v>
      </c>
      <c r="H493" s="275" t="str">
        <f>IF(ISBLANK('ALL Other SINs - Proposal'!V493)," ",'ALL Other SINs - Proposal'!V493)</f>
        <v xml:space="preserve"> </v>
      </c>
      <c r="I493" s="271" t="str">
        <f>IF(ISBLANK('ALL Other SINs - Proposal'!W493)," ",'ALL Other SINs - Proposal'!W493)</f>
        <v xml:space="preserve"> </v>
      </c>
      <c r="J493" s="71" t="str">
        <f>IF(ISBLANK('ALL Other SINs - Proposal'!X493)," ",'ALL Other SINs - Proposal'!X493)</f>
        <v xml:space="preserve"> </v>
      </c>
      <c r="K493" s="165" t="str">
        <f>IF(ISBLANK('ALL Other SINs - Proposal'!AA493)," ",'ALL Other SINs - Proposal'!AA493)</f>
        <v xml:space="preserve"> </v>
      </c>
      <c r="L493" s="178" t="str">
        <f>IF(ISBLANK('ALL Other SINs - Proposal'!AB493)," ",'ALL Other SINs - Proposal'!AB493)</f>
        <v xml:space="preserve"> </v>
      </c>
      <c r="M493" s="72" t="str">
        <f t="shared" si="14"/>
        <v xml:space="preserve"> </v>
      </c>
      <c r="N493" s="167" t="str">
        <f t="shared" si="15"/>
        <v xml:space="preserve"> </v>
      </c>
    </row>
    <row r="494" spans="1:14" ht="15" x14ac:dyDescent="0.25">
      <c r="A494" s="131" t="str">
        <f>IF(ISBLANK('ALL Other SINs - Proposal'!A494)," ",'ALL Other SINs - Proposal'!A494)</f>
        <v xml:space="preserve"> </v>
      </c>
      <c r="B494" s="137" t="str">
        <f>IF(ISBLANK('ALL Other SINs - Proposal'!B494)," ",'ALL Other SINs - Proposal'!B494)</f>
        <v xml:space="preserve"> </v>
      </c>
      <c r="C494" s="137" t="str">
        <f>IF(ISBLANK('ALL Other SINs - Proposal'!C494)," ",'ALL Other SINs - Proposal'!C494)</f>
        <v xml:space="preserve"> </v>
      </c>
      <c r="D494" s="138" t="str">
        <f>IF(ISBLANK('ALL Other SINs - Proposal'!D494)," ",'ALL Other SINs - Proposal'!D494)</f>
        <v xml:space="preserve"> </v>
      </c>
      <c r="E494" s="69" t="str">
        <f>IF(ISBLANK('ALL Other SINs - Proposal'!R494)," ",'ALL Other SINs - Proposal'!R494)</f>
        <v xml:space="preserve"> </v>
      </c>
      <c r="F494" s="73" t="str">
        <f>IF(ISBLANK('ALL Other SINs - Proposal'!S494)," ",'ALL Other SINs - Proposal'!S494)</f>
        <v xml:space="preserve"> </v>
      </c>
      <c r="G494" s="173" t="str">
        <f>IF(ISBLANK('ALL Other SINs - Proposal'!T494)," ",'ALL Other SINs - Proposal'!T494)</f>
        <v xml:space="preserve"> </v>
      </c>
      <c r="H494" s="275" t="str">
        <f>IF(ISBLANK('ALL Other SINs - Proposal'!V494)," ",'ALL Other SINs - Proposal'!V494)</f>
        <v xml:space="preserve"> </v>
      </c>
      <c r="I494" s="271" t="str">
        <f>IF(ISBLANK('ALL Other SINs - Proposal'!W494)," ",'ALL Other SINs - Proposal'!W494)</f>
        <v xml:space="preserve"> </v>
      </c>
      <c r="J494" s="71" t="str">
        <f>IF(ISBLANK('ALL Other SINs - Proposal'!X494)," ",'ALL Other SINs - Proposal'!X494)</f>
        <v xml:space="preserve"> </v>
      </c>
      <c r="K494" s="165" t="str">
        <f>IF(ISBLANK('ALL Other SINs - Proposal'!AA494)," ",'ALL Other SINs - Proposal'!AA494)</f>
        <v xml:space="preserve"> </v>
      </c>
      <c r="L494" s="178" t="str">
        <f>IF(ISBLANK('ALL Other SINs - Proposal'!AB494)," ",'ALL Other SINs - Proposal'!AB494)</f>
        <v xml:space="preserve"> </v>
      </c>
      <c r="M494" s="72" t="str">
        <f t="shared" si="14"/>
        <v xml:space="preserve"> </v>
      </c>
      <c r="N494" s="167" t="str">
        <f t="shared" si="15"/>
        <v xml:space="preserve"> </v>
      </c>
    </row>
    <row r="495" spans="1:14" ht="15" x14ac:dyDescent="0.25">
      <c r="A495" s="131" t="str">
        <f>IF(ISBLANK('ALL Other SINs - Proposal'!A495)," ",'ALL Other SINs - Proposal'!A495)</f>
        <v xml:space="preserve"> </v>
      </c>
      <c r="B495" s="137" t="str">
        <f>IF(ISBLANK('ALL Other SINs - Proposal'!B495)," ",'ALL Other SINs - Proposal'!B495)</f>
        <v xml:space="preserve"> </v>
      </c>
      <c r="C495" s="137" t="str">
        <f>IF(ISBLANK('ALL Other SINs - Proposal'!C495)," ",'ALL Other SINs - Proposal'!C495)</f>
        <v xml:space="preserve"> </v>
      </c>
      <c r="D495" s="138" t="str">
        <f>IF(ISBLANK('ALL Other SINs - Proposal'!D495)," ",'ALL Other SINs - Proposal'!D495)</f>
        <v xml:space="preserve"> </v>
      </c>
      <c r="E495" s="69" t="str">
        <f>IF(ISBLANK('ALL Other SINs - Proposal'!R495)," ",'ALL Other SINs - Proposal'!R495)</f>
        <v xml:space="preserve"> </v>
      </c>
      <c r="F495" s="73" t="str">
        <f>IF(ISBLANK('ALL Other SINs - Proposal'!S495)," ",'ALL Other SINs - Proposal'!S495)</f>
        <v xml:space="preserve"> </v>
      </c>
      <c r="G495" s="173" t="str">
        <f>IF(ISBLANK('ALL Other SINs - Proposal'!T495)," ",'ALL Other SINs - Proposal'!T495)</f>
        <v xml:space="preserve"> </v>
      </c>
      <c r="H495" s="275" t="str">
        <f>IF(ISBLANK('ALL Other SINs - Proposal'!V495)," ",'ALL Other SINs - Proposal'!V495)</f>
        <v xml:space="preserve"> </v>
      </c>
      <c r="I495" s="271" t="str">
        <f>IF(ISBLANK('ALL Other SINs - Proposal'!W495)," ",'ALL Other SINs - Proposal'!W495)</f>
        <v xml:space="preserve"> </v>
      </c>
      <c r="J495" s="71" t="str">
        <f>IF(ISBLANK('ALL Other SINs - Proposal'!X495)," ",'ALL Other SINs - Proposal'!X495)</f>
        <v xml:space="preserve"> </v>
      </c>
      <c r="K495" s="165" t="str">
        <f>IF(ISBLANK('ALL Other SINs - Proposal'!AA495)," ",'ALL Other SINs - Proposal'!AA495)</f>
        <v xml:space="preserve"> </v>
      </c>
      <c r="L495" s="178" t="str">
        <f>IF(ISBLANK('ALL Other SINs - Proposal'!AB495)," ",'ALL Other SINs - Proposal'!AB495)</f>
        <v xml:space="preserve"> </v>
      </c>
      <c r="M495" s="72" t="str">
        <f t="shared" si="14"/>
        <v xml:space="preserve"> </v>
      </c>
      <c r="N495" s="167" t="str">
        <f t="shared" si="15"/>
        <v xml:space="preserve"> </v>
      </c>
    </row>
    <row r="496" spans="1:14" ht="15" x14ac:dyDescent="0.25">
      <c r="A496" s="131" t="str">
        <f>IF(ISBLANK('ALL Other SINs - Proposal'!A496)," ",'ALL Other SINs - Proposal'!A496)</f>
        <v xml:space="preserve"> </v>
      </c>
      <c r="B496" s="137" t="str">
        <f>IF(ISBLANK('ALL Other SINs - Proposal'!B496)," ",'ALL Other SINs - Proposal'!B496)</f>
        <v xml:space="preserve"> </v>
      </c>
      <c r="C496" s="137" t="str">
        <f>IF(ISBLANK('ALL Other SINs - Proposal'!C496)," ",'ALL Other SINs - Proposal'!C496)</f>
        <v xml:space="preserve"> </v>
      </c>
      <c r="D496" s="138" t="str">
        <f>IF(ISBLANK('ALL Other SINs - Proposal'!D496)," ",'ALL Other SINs - Proposal'!D496)</f>
        <v xml:space="preserve"> </v>
      </c>
      <c r="E496" s="69" t="str">
        <f>IF(ISBLANK('ALL Other SINs - Proposal'!R496)," ",'ALL Other SINs - Proposal'!R496)</f>
        <v xml:space="preserve"> </v>
      </c>
      <c r="F496" s="73" t="str">
        <f>IF(ISBLANK('ALL Other SINs - Proposal'!S496)," ",'ALL Other SINs - Proposal'!S496)</f>
        <v xml:space="preserve"> </v>
      </c>
      <c r="G496" s="173" t="str">
        <f>IF(ISBLANK('ALL Other SINs - Proposal'!T496)," ",'ALL Other SINs - Proposal'!T496)</f>
        <v xml:space="preserve"> </v>
      </c>
      <c r="H496" s="275" t="str">
        <f>IF(ISBLANK('ALL Other SINs - Proposal'!V496)," ",'ALL Other SINs - Proposal'!V496)</f>
        <v xml:space="preserve"> </v>
      </c>
      <c r="I496" s="271" t="str">
        <f>IF(ISBLANK('ALL Other SINs - Proposal'!W496)," ",'ALL Other SINs - Proposal'!W496)</f>
        <v xml:space="preserve"> </v>
      </c>
      <c r="J496" s="71" t="str">
        <f>IF(ISBLANK('ALL Other SINs - Proposal'!X496)," ",'ALL Other SINs - Proposal'!X496)</f>
        <v xml:space="preserve"> </v>
      </c>
      <c r="K496" s="165" t="str">
        <f>IF(ISBLANK('ALL Other SINs - Proposal'!AA496)," ",'ALL Other SINs - Proposal'!AA496)</f>
        <v xml:space="preserve"> </v>
      </c>
      <c r="L496" s="178" t="str">
        <f>IF(ISBLANK('ALL Other SINs - Proposal'!AB496)," ",'ALL Other SINs - Proposal'!AB496)</f>
        <v xml:space="preserve"> </v>
      </c>
      <c r="M496" s="72" t="str">
        <f t="shared" si="14"/>
        <v xml:space="preserve"> </v>
      </c>
      <c r="N496" s="167" t="str">
        <f t="shared" si="15"/>
        <v xml:space="preserve"> </v>
      </c>
    </row>
    <row r="497" spans="1:14" ht="15" x14ac:dyDescent="0.25">
      <c r="A497" s="131" t="str">
        <f>IF(ISBLANK('ALL Other SINs - Proposal'!A497)," ",'ALL Other SINs - Proposal'!A497)</f>
        <v xml:space="preserve"> </v>
      </c>
      <c r="B497" s="137" t="str">
        <f>IF(ISBLANK('ALL Other SINs - Proposal'!B497)," ",'ALL Other SINs - Proposal'!B497)</f>
        <v xml:space="preserve"> </v>
      </c>
      <c r="C497" s="137" t="str">
        <f>IF(ISBLANK('ALL Other SINs - Proposal'!C497)," ",'ALL Other SINs - Proposal'!C497)</f>
        <v xml:space="preserve"> </v>
      </c>
      <c r="D497" s="138" t="str">
        <f>IF(ISBLANK('ALL Other SINs - Proposal'!D497)," ",'ALL Other SINs - Proposal'!D497)</f>
        <v xml:space="preserve"> </v>
      </c>
      <c r="E497" s="69" t="str">
        <f>IF(ISBLANK('ALL Other SINs - Proposal'!R497)," ",'ALL Other SINs - Proposal'!R497)</f>
        <v xml:space="preserve"> </v>
      </c>
      <c r="F497" s="73" t="str">
        <f>IF(ISBLANK('ALL Other SINs - Proposal'!S497)," ",'ALL Other SINs - Proposal'!S497)</f>
        <v xml:space="preserve"> </v>
      </c>
      <c r="G497" s="173" t="str">
        <f>IF(ISBLANK('ALL Other SINs - Proposal'!T497)," ",'ALL Other SINs - Proposal'!T497)</f>
        <v xml:space="preserve"> </v>
      </c>
      <c r="H497" s="275" t="str">
        <f>IF(ISBLANK('ALL Other SINs - Proposal'!V497)," ",'ALL Other SINs - Proposal'!V497)</f>
        <v xml:space="preserve"> </v>
      </c>
      <c r="I497" s="271" t="str">
        <f>IF(ISBLANK('ALL Other SINs - Proposal'!W497)," ",'ALL Other SINs - Proposal'!W497)</f>
        <v xml:space="preserve"> </v>
      </c>
      <c r="J497" s="71" t="str">
        <f>IF(ISBLANK('ALL Other SINs - Proposal'!X497)," ",'ALL Other SINs - Proposal'!X497)</f>
        <v xml:space="preserve"> </v>
      </c>
      <c r="K497" s="165" t="str">
        <f>IF(ISBLANK('ALL Other SINs - Proposal'!AA497)," ",'ALL Other SINs - Proposal'!AA497)</f>
        <v xml:space="preserve"> </v>
      </c>
      <c r="L497" s="178" t="str">
        <f>IF(ISBLANK('ALL Other SINs - Proposal'!AB497)," ",'ALL Other SINs - Proposal'!AB497)</f>
        <v xml:space="preserve"> </v>
      </c>
      <c r="M497" s="72" t="str">
        <f t="shared" si="14"/>
        <v xml:space="preserve"> </v>
      </c>
      <c r="N497" s="167" t="str">
        <f t="shared" si="15"/>
        <v xml:space="preserve"> </v>
      </c>
    </row>
    <row r="498" spans="1:14" ht="15" x14ac:dyDescent="0.25">
      <c r="A498" s="131" t="str">
        <f>IF(ISBLANK('ALL Other SINs - Proposal'!A498)," ",'ALL Other SINs - Proposal'!A498)</f>
        <v xml:space="preserve"> </v>
      </c>
      <c r="B498" s="137" t="str">
        <f>IF(ISBLANK('ALL Other SINs - Proposal'!B498)," ",'ALL Other SINs - Proposal'!B498)</f>
        <v xml:space="preserve"> </v>
      </c>
      <c r="C498" s="137" t="str">
        <f>IF(ISBLANK('ALL Other SINs - Proposal'!C498)," ",'ALL Other SINs - Proposal'!C498)</f>
        <v xml:space="preserve"> </v>
      </c>
      <c r="D498" s="138" t="str">
        <f>IF(ISBLANK('ALL Other SINs - Proposal'!D498)," ",'ALL Other SINs - Proposal'!D498)</f>
        <v xml:space="preserve"> </v>
      </c>
      <c r="E498" s="69" t="str">
        <f>IF(ISBLANK('ALL Other SINs - Proposal'!R498)," ",'ALL Other SINs - Proposal'!R498)</f>
        <v xml:space="preserve"> </v>
      </c>
      <c r="F498" s="73" t="str">
        <f>IF(ISBLANK('ALL Other SINs - Proposal'!S498)," ",'ALL Other SINs - Proposal'!S498)</f>
        <v xml:space="preserve"> </v>
      </c>
      <c r="G498" s="173" t="str">
        <f>IF(ISBLANK('ALL Other SINs - Proposal'!T498)," ",'ALL Other SINs - Proposal'!T498)</f>
        <v xml:space="preserve"> </v>
      </c>
      <c r="H498" s="275" t="str">
        <f>IF(ISBLANK('ALL Other SINs - Proposal'!V498)," ",'ALL Other SINs - Proposal'!V498)</f>
        <v xml:space="preserve"> </v>
      </c>
      <c r="I498" s="271" t="str">
        <f>IF(ISBLANK('ALL Other SINs - Proposal'!W498)," ",'ALL Other SINs - Proposal'!W498)</f>
        <v xml:space="preserve"> </v>
      </c>
      <c r="J498" s="71" t="str">
        <f>IF(ISBLANK('ALL Other SINs - Proposal'!X498)," ",'ALL Other SINs - Proposal'!X498)</f>
        <v xml:space="preserve"> </v>
      </c>
      <c r="K498" s="165" t="str">
        <f>IF(ISBLANK('ALL Other SINs - Proposal'!AA498)," ",'ALL Other SINs - Proposal'!AA498)</f>
        <v xml:space="preserve"> </v>
      </c>
      <c r="L498" s="178" t="str">
        <f>IF(ISBLANK('ALL Other SINs - Proposal'!AB498)," ",'ALL Other SINs - Proposal'!AB498)</f>
        <v xml:space="preserve"> </v>
      </c>
      <c r="M498" s="72" t="str">
        <f t="shared" si="14"/>
        <v xml:space="preserve"> </v>
      </c>
      <c r="N498" s="167" t="str">
        <f t="shared" si="15"/>
        <v xml:space="preserve"> </v>
      </c>
    </row>
    <row r="499" spans="1:14" ht="15" x14ac:dyDescent="0.25">
      <c r="A499" s="131" t="str">
        <f>IF(ISBLANK('ALL Other SINs - Proposal'!A499)," ",'ALL Other SINs - Proposal'!A499)</f>
        <v xml:space="preserve"> </v>
      </c>
      <c r="B499" s="137" t="str">
        <f>IF(ISBLANK('ALL Other SINs - Proposal'!B499)," ",'ALL Other SINs - Proposal'!B499)</f>
        <v xml:space="preserve"> </v>
      </c>
      <c r="C499" s="137" t="str">
        <f>IF(ISBLANK('ALL Other SINs - Proposal'!C499)," ",'ALL Other SINs - Proposal'!C499)</f>
        <v xml:space="preserve"> </v>
      </c>
      <c r="D499" s="138" t="str">
        <f>IF(ISBLANK('ALL Other SINs - Proposal'!D499)," ",'ALL Other SINs - Proposal'!D499)</f>
        <v xml:space="preserve"> </v>
      </c>
      <c r="E499" s="69" t="str">
        <f>IF(ISBLANK('ALL Other SINs - Proposal'!R499)," ",'ALL Other SINs - Proposal'!R499)</f>
        <v xml:space="preserve"> </v>
      </c>
      <c r="F499" s="73" t="str">
        <f>IF(ISBLANK('ALL Other SINs - Proposal'!S499)," ",'ALL Other SINs - Proposal'!S499)</f>
        <v xml:space="preserve"> </v>
      </c>
      <c r="G499" s="173" t="str">
        <f>IF(ISBLANK('ALL Other SINs - Proposal'!T499)," ",'ALL Other SINs - Proposal'!T499)</f>
        <v xml:space="preserve"> </v>
      </c>
      <c r="H499" s="275" t="str">
        <f>IF(ISBLANK('ALL Other SINs - Proposal'!V499)," ",'ALL Other SINs - Proposal'!V499)</f>
        <v xml:space="preserve"> </v>
      </c>
      <c r="I499" s="271" t="str">
        <f>IF(ISBLANK('ALL Other SINs - Proposal'!W499)," ",'ALL Other SINs - Proposal'!W499)</f>
        <v xml:space="preserve"> </v>
      </c>
      <c r="J499" s="71" t="str">
        <f>IF(ISBLANK('ALL Other SINs - Proposal'!X499)," ",'ALL Other SINs - Proposal'!X499)</f>
        <v xml:space="preserve"> </v>
      </c>
      <c r="K499" s="165" t="str">
        <f>IF(ISBLANK('ALL Other SINs - Proposal'!AA499)," ",'ALL Other SINs - Proposal'!AA499)</f>
        <v xml:space="preserve"> </v>
      </c>
      <c r="L499" s="178" t="str">
        <f>IF(ISBLANK('ALL Other SINs - Proposal'!AB499)," ",'ALL Other SINs - Proposal'!AB499)</f>
        <v xml:space="preserve"> </v>
      </c>
      <c r="M499" s="72" t="str">
        <f t="shared" si="14"/>
        <v xml:space="preserve"> </v>
      </c>
      <c r="N499" s="167" t="str">
        <f t="shared" si="15"/>
        <v xml:space="preserve"> </v>
      </c>
    </row>
    <row r="500" spans="1:14" ht="15" x14ac:dyDescent="0.25">
      <c r="A500" s="131" t="str">
        <f>IF(ISBLANK('ALL Other SINs - Proposal'!A500)," ",'ALL Other SINs - Proposal'!A500)</f>
        <v xml:space="preserve"> </v>
      </c>
      <c r="B500" s="137" t="str">
        <f>IF(ISBLANK('ALL Other SINs - Proposal'!B500)," ",'ALL Other SINs - Proposal'!B500)</f>
        <v xml:space="preserve"> </v>
      </c>
      <c r="C500" s="137" t="str">
        <f>IF(ISBLANK('ALL Other SINs - Proposal'!C500)," ",'ALL Other SINs - Proposal'!C500)</f>
        <v xml:space="preserve"> </v>
      </c>
      <c r="D500" s="138" t="str">
        <f>IF(ISBLANK('ALL Other SINs - Proposal'!D500)," ",'ALL Other SINs - Proposal'!D500)</f>
        <v xml:space="preserve"> </v>
      </c>
      <c r="E500" s="69" t="str">
        <f>IF(ISBLANK('ALL Other SINs - Proposal'!R500)," ",'ALL Other SINs - Proposal'!R500)</f>
        <v xml:space="preserve"> </v>
      </c>
      <c r="F500" s="73" t="str">
        <f>IF(ISBLANK('ALL Other SINs - Proposal'!S500)," ",'ALL Other SINs - Proposal'!S500)</f>
        <v xml:space="preserve"> </v>
      </c>
      <c r="G500" s="173" t="str">
        <f>IF(ISBLANK('ALL Other SINs - Proposal'!T500)," ",'ALL Other SINs - Proposal'!T500)</f>
        <v xml:space="preserve"> </v>
      </c>
      <c r="H500" s="275" t="str">
        <f>IF(ISBLANK('ALL Other SINs - Proposal'!V500)," ",'ALL Other SINs - Proposal'!V500)</f>
        <v xml:space="preserve"> </v>
      </c>
      <c r="I500" s="271" t="str">
        <f>IF(ISBLANK('ALL Other SINs - Proposal'!W500)," ",'ALL Other SINs - Proposal'!W500)</f>
        <v xml:space="preserve"> </v>
      </c>
      <c r="J500" s="71" t="str">
        <f>IF(ISBLANK('ALL Other SINs - Proposal'!X500)," ",'ALL Other SINs - Proposal'!X500)</f>
        <v xml:space="preserve"> </v>
      </c>
      <c r="K500" s="165" t="str">
        <f>IF(ISBLANK('ALL Other SINs - Proposal'!AA500)," ",'ALL Other SINs - Proposal'!AA500)</f>
        <v xml:space="preserve"> </v>
      </c>
      <c r="L500" s="178" t="str">
        <f>IF(ISBLANK('ALL Other SINs - Proposal'!AB500)," ",'ALL Other SINs - Proposal'!AB500)</f>
        <v xml:space="preserve"> </v>
      </c>
      <c r="M500" s="72" t="str">
        <f t="shared" si="14"/>
        <v xml:space="preserve"> </v>
      </c>
      <c r="N500" s="167" t="str">
        <f t="shared" si="15"/>
        <v xml:space="preserve"> </v>
      </c>
    </row>
    <row r="501" spans="1:14" ht="15" x14ac:dyDescent="0.25">
      <c r="A501" s="131" t="str">
        <f>IF(ISBLANK('ALL Other SINs - Proposal'!A501)," ",'ALL Other SINs - Proposal'!A501)</f>
        <v xml:space="preserve"> </v>
      </c>
      <c r="B501" s="137" t="str">
        <f>IF(ISBLANK('ALL Other SINs - Proposal'!B501)," ",'ALL Other SINs - Proposal'!B501)</f>
        <v xml:space="preserve"> </v>
      </c>
      <c r="C501" s="137" t="str">
        <f>IF(ISBLANK('ALL Other SINs - Proposal'!C501)," ",'ALL Other SINs - Proposal'!C501)</f>
        <v xml:space="preserve"> </v>
      </c>
      <c r="D501" s="138" t="str">
        <f>IF(ISBLANK('ALL Other SINs - Proposal'!D501)," ",'ALL Other SINs - Proposal'!D501)</f>
        <v xml:space="preserve"> </v>
      </c>
      <c r="E501" s="69" t="str">
        <f>IF(ISBLANK('ALL Other SINs - Proposal'!R501)," ",'ALL Other SINs - Proposal'!R501)</f>
        <v xml:space="preserve"> </v>
      </c>
      <c r="F501" s="73" t="str">
        <f>IF(ISBLANK('ALL Other SINs - Proposal'!S501)," ",'ALL Other SINs - Proposal'!S501)</f>
        <v xml:space="preserve"> </v>
      </c>
      <c r="G501" s="173" t="str">
        <f>IF(ISBLANK('ALL Other SINs - Proposal'!T501)," ",'ALL Other SINs - Proposal'!T501)</f>
        <v xml:space="preserve"> </v>
      </c>
      <c r="H501" s="275" t="str">
        <f>IF(ISBLANK('ALL Other SINs - Proposal'!V501)," ",'ALL Other SINs - Proposal'!V501)</f>
        <v xml:space="preserve"> </v>
      </c>
      <c r="I501" s="271" t="str">
        <f>IF(ISBLANK('ALL Other SINs - Proposal'!W501)," ",'ALL Other SINs - Proposal'!W501)</f>
        <v xml:space="preserve"> </v>
      </c>
      <c r="J501" s="71" t="str">
        <f>IF(ISBLANK('ALL Other SINs - Proposal'!X501)," ",'ALL Other SINs - Proposal'!X501)</f>
        <v xml:space="preserve"> </v>
      </c>
      <c r="K501" s="165" t="str">
        <f>IF(ISBLANK('ALL Other SINs - Proposal'!AA501)," ",'ALL Other SINs - Proposal'!AA501)</f>
        <v xml:space="preserve"> </v>
      </c>
      <c r="L501" s="178" t="str">
        <f>IF(ISBLANK('ALL Other SINs - Proposal'!AB501)," ",'ALL Other SINs - Proposal'!AB501)</f>
        <v xml:space="preserve"> </v>
      </c>
      <c r="M501" s="72" t="str">
        <f t="shared" si="14"/>
        <v xml:space="preserve"> </v>
      </c>
      <c r="N501" s="167" t="str">
        <f t="shared" si="15"/>
        <v xml:space="preserve"> </v>
      </c>
    </row>
    <row r="502" spans="1:14" ht="15" x14ac:dyDescent="0.25">
      <c r="A502" s="131" t="str">
        <f>IF(ISBLANK('ALL Other SINs - Proposal'!A502)," ",'ALL Other SINs - Proposal'!A502)</f>
        <v xml:space="preserve"> </v>
      </c>
      <c r="B502" s="137" t="str">
        <f>IF(ISBLANK('ALL Other SINs - Proposal'!B502)," ",'ALL Other SINs - Proposal'!B502)</f>
        <v xml:space="preserve"> </v>
      </c>
      <c r="C502" s="137" t="str">
        <f>IF(ISBLANK('ALL Other SINs - Proposal'!C502)," ",'ALL Other SINs - Proposal'!C502)</f>
        <v xml:space="preserve"> </v>
      </c>
      <c r="D502" s="138" t="str">
        <f>IF(ISBLANK('ALL Other SINs - Proposal'!D502)," ",'ALL Other SINs - Proposal'!D502)</f>
        <v xml:space="preserve"> </v>
      </c>
      <c r="E502" s="69" t="str">
        <f>IF(ISBLANK('ALL Other SINs - Proposal'!R502)," ",'ALL Other SINs - Proposal'!R502)</f>
        <v xml:space="preserve"> </v>
      </c>
      <c r="F502" s="73" t="str">
        <f>IF(ISBLANK('ALL Other SINs - Proposal'!S502)," ",'ALL Other SINs - Proposal'!S502)</f>
        <v xml:space="preserve"> </v>
      </c>
      <c r="G502" s="173" t="str">
        <f>IF(ISBLANK('ALL Other SINs - Proposal'!T502)," ",'ALL Other SINs - Proposal'!T502)</f>
        <v xml:space="preserve"> </v>
      </c>
      <c r="H502" s="275" t="str">
        <f>IF(ISBLANK('ALL Other SINs - Proposal'!V502)," ",'ALL Other SINs - Proposal'!V502)</f>
        <v xml:space="preserve"> </v>
      </c>
      <c r="I502" s="271" t="str">
        <f>IF(ISBLANK('ALL Other SINs - Proposal'!W502)," ",'ALL Other SINs - Proposal'!W502)</f>
        <v xml:space="preserve"> </v>
      </c>
      <c r="J502" s="71" t="str">
        <f>IF(ISBLANK('ALL Other SINs - Proposal'!X502)," ",'ALL Other SINs - Proposal'!X502)</f>
        <v xml:space="preserve"> </v>
      </c>
      <c r="K502" s="165" t="str">
        <f>IF(ISBLANK('ALL Other SINs - Proposal'!AA502)," ",'ALL Other SINs - Proposal'!AA502)</f>
        <v xml:space="preserve"> </v>
      </c>
      <c r="L502" s="178" t="str">
        <f>IF(ISBLANK('ALL Other SINs - Proposal'!AB502)," ",'ALL Other SINs - Proposal'!AB502)</f>
        <v xml:space="preserve"> </v>
      </c>
      <c r="M502" s="72" t="str">
        <f t="shared" si="14"/>
        <v xml:space="preserve"> </v>
      </c>
      <c r="N502" s="167" t="str">
        <f t="shared" si="15"/>
        <v xml:space="preserve"> </v>
      </c>
    </row>
    <row r="503" spans="1:14" ht="15" x14ac:dyDescent="0.25">
      <c r="A503" s="131" t="str">
        <f>IF(ISBLANK('ALL Other SINs - Proposal'!A503)," ",'ALL Other SINs - Proposal'!A503)</f>
        <v xml:space="preserve"> </v>
      </c>
      <c r="B503" s="137" t="str">
        <f>IF(ISBLANK('ALL Other SINs - Proposal'!B503)," ",'ALL Other SINs - Proposal'!B503)</f>
        <v xml:space="preserve"> </v>
      </c>
      <c r="C503" s="137" t="str">
        <f>IF(ISBLANK('ALL Other SINs - Proposal'!C503)," ",'ALL Other SINs - Proposal'!C503)</f>
        <v xml:space="preserve"> </v>
      </c>
      <c r="D503" s="138" t="str">
        <f>IF(ISBLANK('ALL Other SINs - Proposal'!D503)," ",'ALL Other SINs - Proposal'!D503)</f>
        <v xml:space="preserve"> </v>
      </c>
      <c r="E503" s="69" t="str">
        <f>IF(ISBLANK('ALL Other SINs - Proposal'!R503)," ",'ALL Other SINs - Proposal'!R503)</f>
        <v xml:space="preserve"> </v>
      </c>
      <c r="F503" s="73" t="str">
        <f>IF(ISBLANK('ALL Other SINs - Proposal'!S503)," ",'ALL Other SINs - Proposal'!S503)</f>
        <v xml:space="preserve"> </v>
      </c>
      <c r="G503" s="173" t="str">
        <f>IF(ISBLANK('ALL Other SINs - Proposal'!T503)," ",'ALL Other SINs - Proposal'!T503)</f>
        <v xml:space="preserve"> </v>
      </c>
      <c r="H503" s="275" t="str">
        <f>IF(ISBLANK('ALL Other SINs - Proposal'!V503)," ",'ALL Other SINs - Proposal'!V503)</f>
        <v xml:space="preserve"> </v>
      </c>
      <c r="I503" s="271" t="str">
        <f>IF(ISBLANK('ALL Other SINs - Proposal'!W503)," ",'ALL Other SINs - Proposal'!W503)</f>
        <v xml:space="preserve"> </v>
      </c>
      <c r="J503" s="71" t="str">
        <f>IF(ISBLANK('ALL Other SINs - Proposal'!X503)," ",'ALL Other SINs - Proposal'!X503)</f>
        <v xml:space="preserve"> </v>
      </c>
      <c r="K503" s="165" t="str">
        <f>IF(ISBLANK('ALL Other SINs - Proposal'!AA503)," ",'ALL Other SINs - Proposal'!AA503)</f>
        <v xml:space="preserve"> </v>
      </c>
      <c r="L503" s="178" t="str">
        <f>IF(ISBLANK('ALL Other SINs - Proposal'!AB503)," ",'ALL Other SINs - Proposal'!AB503)</f>
        <v xml:space="preserve"> </v>
      </c>
      <c r="M503" s="72" t="str">
        <f t="shared" si="14"/>
        <v xml:space="preserve"> </v>
      </c>
      <c r="N503" s="167" t="str">
        <f t="shared" si="15"/>
        <v xml:space="preserve"> </v>
      </c>
    </row>
    <row r="504" spans="1:14" ht="15" x14ac:dyDescent="0.25">
      <c r="A504" s="131" t="str">
        <f>IF(ISBLANK('ALL Other SINs - Proposal'!A504)," ",'ALL Other SINs - Proposal'!A504)</f>
        <v xml:space="preserve"> </v>
      </c>
      <c r="B504" s="137" t="str">
        <f>IF(ISBLANK('ALL Other SINs - Proposal'!B504)," ",'ALL Other SINs - Proposal'!B504)</f>
        <v xml:space="preserve"> </v>
      </c>
      <c r="C504" s="137" t="str">
        <f>IF(ISBLANK('ALL Other SINs - Proposal'!C504)," ",'ALL Other SINs - Proposal'!C504)</f>
        <v xml:space="preserve"> </v>
      </c>
      <c r="D504" s="138" t="str">
        <f>IF(ISBLANK('ALL Other SINs - Proposal'!D504)," ",'ALL Other SINs - Proposal'!D504)</f>
        <v xml:space="preserve"> </v>
      </c>
      <c r="E504" s="69" t="str">
        <f>IF(ISBLANK('ALL Other SINs - Proposal'!R504)," ",'ALL Other SINs - Proposal'!R504)</f>
        <v xml:space="preserve"> </v>
      </c>
      <c r="F504" s="73" t="str">
        <f>IF(ISBLANK('ALL Other SINs - Proposal'!S504)," ",'ALL Other SINs - Proposal'!S504)</f>
        <v xml:space="preserve"> </v>
      </c>
      <c r="G504" s="173" t="str">
        <f>IF(ISBLANK('ALL Other SINs - Proposal'!T504)," ",'ALL Other SINs - Proposal'!T504)</f>
        <v xml:space="preserve"> </v>
      </c>
      <c r="H504" s="275" t="str">
        <f>IF(ISBLANK('ALL Other SINs - Proposal'!V504)," ",'ALL Other SINs - Proposal'!V504)</f>
        <v xml:space="preserve"> </v>
      </c>
      <c r="I504" s="271" t="str">
        <f>IF(ISBLANK('ALL Other SINs - Proposal'!W504)," ",'ALL Other SINs - Proposal'!W504)</f>
        <v xml:space="preserve"> </v>
      </c>
      <c r="J504" s="71" t="str">
        <f>IF(ISBLANK('ALL Other SINs - Proposal'!X504)," ",'ALL Other SINs - Proposal'!X504)</f>
        <v xml:space="preserve"> </v>
      </c>
      <c r="K504" s="165" t="str">
        <f>IF(ISBLANK('ALL Other SINs - Proposal'!AA504)," ",'ALL Other SINs - Proposal'!AA504)</f>
        <v xml:space="preserve"> </v>
      </c>
      <c r="L504" s="178" t="str">
        <f>IF(ISBLANK('ALL Other SINs - Proposal'!AB504)," ",'ALL Other SINs - Proposal'!AB504)</f>
        <v xml:space="preserve"> </v>
      </c>
      <c r="M504" s="72" t="str">
        <f t="shared" si="14"/>
        <v xml:space="preserve"> </v>
      </c>
      <c r="N504" s="167" t="str">
        <f t="shared" si="15"/>
        <v xml:space="preserve"> </v>
      </c>
    </row>
    <row r="505" spans="1:14" ht="15" x14ac:dyDescent="0.25">
      <c r="A505" s="131" t="str">
        <f>IF(ISBLANK('ALL Other SINs - Proposal'!A505)," ",'ALL Other SINs - Proposal'!A505)</f>
        <v xml:space="preserve"> </v>
      </c>
      <c r="B505" s="137" t="str">
        <f>IF(ISBLANK('ALL Other SINs - Proposal'!B505)," ",'ALL Other SINs - Proposal'!B505)</f>
        <v xml:space="preserve"> </v>
      </c>
      <c r="C505" s="137" t="str">
        <f>IF(ISBLANK('ALL Other SINs - Proposal'!C505)," ",'ALL Other SINs - Proposal'!C505)</f>
        <v xml:space="preserve"> </v>
      </c>
      <c r="D505" s="138" t="str">
        <f>IF(ISBLANK('ALL Other SINs - Proposal'!D505)," ",'ALL Other SINs - Proposal'!D505)</f>
        <v xml:space="preserve"> </v>
      </c>
      <c r="E505" s="69" t="str">
        <f>IF(ISBLANK('ALL Other SINs - Proposal'!R505)," ",'ALL Other SINs - Proposal'!R505)</f>
        <v xml:space="preserve"> </v>
      </c>
      <c r="F505" s="73" t="str">
        <f>IF(ISBLANK('ALL Other SINs - Proposal'!S505)," ",'ALL Other SINs - Proposal'!S505)</f>
        <v xml:space="preserve"> </v>
      </c>
      <c r="G505" s="173" t="str">
        <f>IF(ISBLANK('ALL Other SINs - Proposal'!T505)," ",'ALL Other SINs - Proposal'!T505)</f>
        <v xml:space="preserve"> </v>
      </c>
      <c r="H505" s="275" t="str">
        <f>IF(ISBLANK('ALL Other SINs - Proposal'!V505)," ",'ALL Other SINs - Proposal'!V505)</f>
        <v xml:space="preserve"> </v>
      </c>
      <c r="I505" s="271" t="str">
        <f>IF(ISBLANK('ALL Other SINs - Proposal'!W505)," ",'ALL Other SINs - Proposal'!W505)</f>
        <v xml:space="preserve"> </v>
      </c>
      <c r="J505" s="71" t="str">
        <f>IF(ISBLANK('ALL Other SINs - Proposal'!X505)," ",'ALL Other SINs - Proposal'!X505)</f>
        <v xml:space="preserve"> </v>
      </c>
      <c r="K505" s="165" t="str">
        <f>IF(ISBLANK('ALL Other SINs - Proposal'!AA505)," ",'ALL Other SINs - Proposal'!AA505)</f>
        <v xml:space="preserve"> </v>
      </c>
      <c r="L505" s="178" t="str">
        <f>IF(ISBLANK('ALL Other SINs - Proposal'!AB505)," ",'ALL Other SINs - Proposal'!AB505)</f>
        <v xml:space="preserve"> </v>
      </c>
      <c r="M505" s="72" t="str">
        <f t="shared" si="14"/>
        <v xml:space="preserve"> </v>
      </c>
      <c r="N505" s="167" t="str">
        <f t="shared" si="15"/>
        <v xml:space="preserve"> </v>
      </c>
    </row>
    <row r="506" spans="1:14" ht="15" x14ac:dyDescent="0.25">
      <c r="A506" s="131" t="str">
        <f>IF(ISBLANK('ALL Other SINs - Proposal'!A506)," ",'ALL Other SINs - Proposal'!A506)</f>
        <v xml:space="preserve"> </v>
      </c>
      <c r="B506" s="137" t="str">
        <f>IF(ISBLANK('ALL Other SINs - Proposal'!B506)," ",'ALL Other SINs - Proposal'!B506)</f>
        <v xml:space="preserve"> </v>
      </c>
      <c r="C506" s="137" t="str">
        <f>IF(ISBLANK('ALL Other SINs - Proposal'!C506)," ",'ALL Other SINs - Proposal'!C506)</f>
        <v xml:space="preserve"> </v>
      </c>
      <c r="D506" s="138" t="str">
        <f>IF(ISBLANK('ALL Other SINs - Proposal'!D506)," ",'ALL Other SINs - Proposal'!D506)</f>
        <v xml:space="preserve"> </v>
      </c>
      <c r="E506" s="69" t="str">
        <f>IF(ISBLANK('ALL Other SINs - Proposal'!R506)," ",'ALL Other SINs - Proposal'!R506)</f>
        <v xml:space="preserve"> </v>
      </c>
      <c r="F506" s="73" t="str">
        <f>IF(ISBLANK('ALL Other SINs - Proposal'!S506)," ",'ALL Other SINs - Proposal'!S506)</f>
        <v xml:space="preserve"> </v>
      </c>
      <c r="G506" s="173" t="str">
        <f>IF(ISBLANK('ALL Other SINs - Proposal'!T506)," ",'ALL Other SINs - Proposal'!T506)</f>
        <v xml:space="preserve"> </v>
      </c>
      <c r="H506" s="275" t="str">
        <f>IF(ISBLANK('ALL Other SINs - Proposal'!V506)," ",'ALL Other SINs - Proposal'!V506)</f>
        <v xml:space="preserve"> </v>
      </c>
      <c r="I506" s="271" t="str">
        <f>IF(ISBLANK('ALL Other SINs - Proposal'!W506)," ",'ALL Other SINs - Proposal'!W506)</f>
        <v xml:space="preserve"> </v>
      </c>
      <c r="J506" s="71" t="str">
        <f>IF(ISBLANK('ALL Other SINs - Proposal'!X506)," ",'ALL Other SINs - Proposal'!X506)</f>
        <v xml:space="preserve"> </v>
      </c>
      <c r="K506" s="165" t="str">
        <f>IF(ISBLANK('ALL Other SINs - Proposal'!AA506)," ",'ALL Other SINs - Proposal'!AA506)</f>
        <v xml:space="preserve"> </v>
      </c>
      <c r="L506" s="178" t="str">
        <f>IF(ISBLANK('ALL Other SINs - Proposal'!AB506)," ",'ALL Other SINs - Proposal'!AB506)</f>
        <v xml:space="preserve"> </v>
      </c>
      <c r="M506" s="72" t="str">
        <f t="shared" si="14"/>
        <v xml:space="preserve"> </v>
      </c>
      <c r="N506" s="167" t="str">
        <f t="shared" si="15"/>
        <v xml:space="preserve"> </v>
      </c>
    </row>
    <row r="507" spans="1:14" ht="15" x14ac:dyDescent="0.25">
      <c r="A507" s="131" t="str">
        <f>IF(ISBLANK('ALL Other SINs - Proposal'!A507)," ",'ALL Other SINs - Proposal'!A507)</f>
        <v xml:space="preserve"> </v>
      </c>
      <c r="B507" s="137" t="str">
        <f>IF(ISBLANK('ALL Other SINs - Proposal'!B507)," ",'ALL Other SINs - Proposal'!B507)</f>
        <v xml:space="preserve"> </v>
      </c>
      <c r="C507" s="137" t="str">
        <f>IF(ISBLANK('ALL Other SINs - Proposal'!C507)," ",'ALL Other SINs - Proposal'!C507)</f>
        <v xml:space="preserve"> </v>
      </c>
      <c r="D507" s="138" t="str">
        <f>IF(ISBLANK('ALL Other SINs - Proposal'!D507)," ",'ALL Other SINs - Proposal'!D507)</f>
        <v xml:space="preserve"> </v>
      </c>
      <c r="E507" s="69" t="str">
        <f>IF(ISBLANK('ALL Other SINs - Proposal'!R507)," ",'ALL Other SINs - Proposal'!R507)</f>
        <v xml:space="preserve"> </v>
      </c>
      <c r="F507" s="73" t="str">
        <f>IF(ISBLANK('ALL Other SINs - Proposal'!S507)," ",'ALL Other SINs - Proposal'!S507)</f>
        <v xml:space="preserve"> </v>
      </c>
      <c r="G507" s="173" t="str">
        <f>IF(ISBLANK('ALL Other SINs - Proposal'!T507)," ",'ALL Other SINs - Proposal'!T507)</f>
        <v xml:space="preserve"> </v>
      </c>
      <c r="H507" s="275" t="str">
        <f>IF(ISBLANK('ALL Other SINs - Proposal'!V507)," ",'ALL Other SINs - Proposal'!V507)</f>
        <v xml:space="preserve"> </v>
      </c>
      <c r="I507" s="271" t="str">
        <f>IF(ISBLANK('ALL Other SINs - Proposal'!W507)," ",'ALL Other SINs - Proposal'!W507)</f>
        <v xml:space="preserve"> </v>
      </c>
      <c r="J507" s="71" t="str">
        <f>IF(ISBLANK('ALL Other SINs - Proposal'!X507)," ",'ALL Other SINs - Proposal'!X507)</f>
        <v xml:space="preserve"> </v>
      </c>
      <c r="K507" s="165" t="str">
        <f>IF(ISBLANK('ALL Other SINs - Proposal'!AA507)," ",'ALL Other SINs - Proposal'!AA507)</f>
        <v xml:space="preserve"> </v>
      </c>
      <c r="L507" s="178" t="str">
        <f>IF(ISBLANK('ALL Other SINs - Proposal'!AB507)," ",'ALL Other SINs - Proposal'!AB507)</f>
        <v xml:space="preserve"> </v>
      </c>
      <c r="M507" s="72" t="str">
        <f t="shared" si="14"/>
        <v xml:space="preserve"> </v>
      </c>
      <c r="N507" s="167" t="str">
        <f t="shared" si="15"/>
        <v xml:space="preserve"> </v>
      </c>
    </row>
    <row r="508" spans="1:14" ht="15" x14ac:dyDescent="0.25">
      <c r="A508" s="131" t="str">
        <f>IF(ISBLANK('ALL Other SINs - Proposal'!A508)," ",'ALL Other SINs - Proposal'!A508)</f>
        <v xml:space="preserve"> </v>
      </c>
      <c r="B508" s="137" t="str">
        <f>IF(ISBLANK('ALL Other SINs - Proposal'!B508)," ",'ALL Other SINs - Proposal'!B508)</f>
        <v xml:space="preserve"> </v>
      </c>
      <c r="C508" s="137" t="str">
        <f>IF(ISBLANK('ALL Other SINs - Proposal'!C508)," ",'ALL Other SINs - Proposal'!C508)</f>
        <v xml:space="preserve"> </v>
      </c>
      <c r="D508" s="138" t="str">
        <f>IF(ISBLANK('ALL Other SINs - Proposal'!D508)," ",'ALL Other SINs - Proposal'!D508)</f>
        <v xml:space="preserve"> </v>
      </c>
      <c r="E508" s="69" t="str">
        <f>IF(ISBLANK('ALL Other SINs - Proposal'!R508)," ",'ALL Other SINs - Proposal'!R508)</f>
        <v xml:space="preserve"> </v>
      </c>
      <c r="F508" s="73" t="str">
        <f>IF(ISBLANK('ALL Other SINs - Proposal'!S508)," ",'ALL Other SINs - Proposal'!S508)</f>
        <v xml:space="preserve"> </v>
      </c>
      <c r="G508" s="173" t="str">
        <f>IF(ISBLANK('ALL Other SINs - Proposal'!T508)," ",'ALL Other SINs - Proposal'!T508)</f>
        <v xml:space="preserve"> </v>
      </c>
      <c r="H508" s="275" t="str">
        <f>IF(ISBLANK('ALL Other SINs - Proposal'!V508)," ",'ALL Other SINs - Proposal'!V508)</f>
        <v xml:space="preserve"> </v>
      </c>
      <c r="I508" s="271" t="str">
        <f>IF(ISBLANK('ALL Other SINs - Proposal'!W508)," ",'ALL Other SINs - Proposal'!W508)</f>
        <v xml:space="preserve"> </v>
      </c>
      <c r="J508" s="71" t="str">
        <f>IF(ISBLANK('ALL Other SINs - Proposal'!X508)," ",'ALL Other SINs - Proposal'!X508)</f>
        <v xml:space="preserve"> </v>
      </c>
      <c r="K508" s="165" t="str">
        <f>IF(ISBLANK('ALL Other SINs - Proposal'!AA508)," ",'ALL Other SINs - Proposal'!AA508)</f>
        <v xml:space="preserve"> </v>
      </c>
      <c r="L508" s="178" t="str">
        <f>IF(ISBLANK('ALL Other SINs - Proposal'!AB508)," ",'ALL Other SINs - Proposal'!AB508)</f>
        <v xml:space="preserve"> </v>
      </c>
      <c r="M508" s="72" t="str">
        <f t="shared" si="14"/>
        <v xml:space="preserve"> </v>
      </c>
      <c r="N508" s="167" t="str">
        <f t="shared" si="15"/>
        <v xml:space="preserve"> </v>
      </c>
    </row>
    <row r="509" spans="1:14" ht="15" x14ac:dyDescent="0.25">
      <c r="A509" s="131" t="str">
        <f>IF(ISBLANK('ALL Other SINs - Proposal'!A509)," ",'ALL Other SINs - Proposal'!A509)</f>
        <v xml:space="preserve"> </v>
      </c>
      <c r="B509" s="137" t="str">
        <f>IF(ISBLANK('ALL Other SINs - Proposal'!B509)," ",'ALL Other SINs - Proposal'!B509)</f>
        <v xml:space="preserve"> </v>
      </c>
      <c r="C509" s="137" t="str">
        <f>IF(ISBLANK('ALL Other SINs - Proposal'!C509)," ",'ALL Other SINs - Proposal'!C509)</f>
        <v xml:space="preserve"> </v>
      </c>
      <c r="D509" s="138" t="str">
        <f>IF(ISBLANK('ALL Other SINs - Proposal'!D509)," ",'ALL Other SINs - Proposal'!D509)</f>
        <v xml:space="preserve"> </v>
      </c>
      <c r="E509" s="69" t="str">
        <f>IF(ISBLANK('ALL Other SINs - Proposal'!R509)," ",'ALL Other SINs - Proposal'!R509)</f>
        <v xml:space="preserve"> </v>
      </c>
      <c r="F509" s="73" t="str">
        <f>IF(ISBLANK('ALL Other SINs - Proposal'!S509)," ",'ALL Other SINs - Proposal'!S509)</f>
        <v xml:space="preserve"> </v>
      </c>
      <c r="G509" s="173" t="str">
        <f>IF(ISBLANK('ALL Other SINs - Proposal'!T509)," ",'ALL Other SINs - Proposal'!T509)</f>
        <v xml:space="preserve"> </v>
      </c>
      <c r="H509" s="275" t="str">
        <f>IF(ISBLANK('ALL Other SINs - Proposal'!V509)," ",'ALL Other SINs - Proposal'!V509)</f>
        <v xml:space="preserve"> </v>
      </c>
      <c r="I509" s="271" t="str">
        <f>IF(ISBLANK('ALL Other SINs - Proposal'!W509)," ",'ALL Other SINs - Proposal'!W509)</f>
        <v xml:space="preserve"> </v>
      </c>
      <c r="J509" s="71" t="str">
        <f>IF(ISBLANK('ALL Other SINs - Proposal'!X509)," ",'ALL Other SINs - Proposal'!X509)</f>
        <v xml:space="preserve"> </v>
      </c>
      <c r="K509" s="165" t="str">
        <f>IF(ISBLANK('ALL Other SINs - Proposal'!AA509)," ",'ALL Other SINs - Proposal'!AA509)</f>
        <v xml:space="preserve"> </v>
      </c>
      <c r="L509" s="178" t="str">
        <f>IF(ISBLANK('ALL Other SINs - Proposal'!AB509)," ",'ALL Other SINs - Proposal'!AB509)</f>
        <v xml:space="preserve"> </v>
      </c>
      <c r="M509" s="72" t="str">
        <f t="shared" si="14"/>
        <v xml:space="preserve"> </v>
      </c>
      <c r="N509" s="167" t="str">
        <f t="shared" si="15"/>
        <v xml:space="preserve"> </v>
      </c>
    </row>
    <row r="510" spans="1:14" ht="15" x14ac:dyDescent="0.25">
      <c r="A510" s="131" t="str">
        <f>IF(ISBLANK('ALL Other SINs - Proposal'!A510)," ",'ALL Other SINs - Proposal'!A510)</f>
        <v xml:space="preserve"> </v>
      </c>
      <c r="B510" s="137" t="str">
        <f>IF(ISBLANK('ALL Other SINs - Proposal'!B510)," ",'ALL Other SINs - Proposal'!B510)</f>
        <v xml:space="preserve"> </v>
      </c>
      <c r="C510" s="137" t="str">
        <f>IF(ISBLANK('ALL Other SINs - Proposal'!C510)," ",'ALL Other SINs - Proposal'!C510)</f>
        <v xml:space="preserve"> </v>
      </c>
      <c r="D510" s="138" t="str">
        <f>IF(ISBLANK('ALL Other SINs - Proposal'!D510)," ",'ALL Other SINs - Proposal'!D510)</f>
        <v xml:space="preserve"> </v>
      </c>
      <c r="E510" s="69" t="str">
        <f>IF(ISBLANK('ALL Other SINs - Proposal'!R510)," ",'ALL Other SINs - Proposal'!R510)</f>
        <v xml:space="preserve"> </v>
      </c>
      <c r="F510" s="73" t="str">
        <f>IF(ISBLANK('ALL Other SINs - Proposal'!S510)," ",'ALL Other SINs - Proposal'!S510)</f>
        <v xml:space="preserve"> </v>
      </c>
      <c r="G510" s="173" t="str">
        <f>IF(ISBLANK('ALL Other SINs - Proposal'!T510)," ",'ALL Other SINs - Proposal'!T510)</f>
        <v xml:space="preserve"> </v>
      </c>
      <c r="H510" s="275" t="str">
        <f>IF(ISBLANK('ALL Other SINs - Proposal'!V510)," ",'ALL Other SINs - Proposal'!V510)</f>
        <v xml:space="preserve"> </v>
      </c>
      <c r="I510" s="271" t="str">
        <f>IF(ISBLANK('ALL Other SINs - Proposal'!W510)," ",'ALL Other SINs - Proposal'!W510)</f>
        <v xml:space="preserve"> </v>
      </c>
      <c r="J510" s="71" t="str">
        <f>IF(ISBLANK('ALL Other SINs - Proposal'!X510)," ",'ALL Other SINs - Proposal'!X510)</f>
        <v xml:space="preserve"> </v>
      </c>
      <c r="K510" s="165" t="str">
        <f>IF(ISBLANK('ALL Other SINs - Proposal'!AA510)," ",'ALL Other SINs - Proposal'!AA510)</f>
        <v xml:space="preserve"> </v>
      </c>
      <c r="L510" s="178" t="str">
        <f>IF(ISBLANK('ALL Other SINs - Proposal'!AB510)," ",'ALL Other SINs - Proposal'!AB510)</f>
        <v xml:space="preserve"> </v>
      </c>
      <c r="M510" s="72" t="str">
        <f t="shared" si="14"/>
        <v xml:space="preserve"> </v>
      </c>
      <c r="N510" s="167" t="str">
        <f t="shared" si="15"/>
        <v xml:space="preserve"> </v>
      </c>
    </row>
    <row r="511" spans="1:14" ht="15" x14ac:dyDescent="0.25">
      <c r="A511" s="131" t="str">
        <f>IF(ISBLANK('ALL Other SINs - Proposal'!A511)," ",'ALL Other SINs - Proposal'!A511)</f>
        <v xml:space="preserve"> </v>
      </c>
      <c r="B511" s="137" t="str">
        <f>IF(ISBLANK('ALL Other SINs - Proposal'!B511)," ",'ALL Other SINs - Proposal'!B511)</f>
        <v xml:space="preserve"> </v>
      </c>
      <c r="C511" s="137" t="str">
        <f>IF(ISBLANK('ALL Other SINs - Proposal'!C511)," ",'ALL Other SINs - Proposal'!C511)</f>
        <v xml:space="preserve"> </v>
      </c>
      <c r="D511" s="138" t="str">
        <f>IF(ISBLANK('ALL Other SINs - Proposal'!D511)," ",'ALL Other SINs - Proposal'!D511)</f>
        <v xml:space="preserve"> </v>
      </c>
      <c r="E511" s="69" t="str">
        <f>IF(ISBLANK('ALL Other SINs - Proposal'!R511)," ",'ALL Other SINs - Proposal'!R511)</f>
        <v xml:space="preserve"> </v>
      </c>
      <c r="F511" s="73" t="str">
        <f>IF(ISBLANK('ALL Other SINs - Proposal'!S511)," ",'ALL Other SINs - Proposal'!S511)</f>
        <v xml:space="preserve"> </v>
      </c>
      <c r="G511" s="173" t="str">
        <f>IF(ISBLANK('ALL Other SINs - Proposal'!T511)," ",'ALL Other SINs - Proposal'!T511)</f>
        <v xml:space="preserve"> </v>
      </c>
      <c r="H511" s="275" t="str">
        <f>IF(ISBLANK('ALL Other SINs - Proposal'!V511)," ",'ALL Other SINs - Proposal'!V511)</f>
        <v xml:space="preserve"> </v>
      </c>
      <c r="I511" s="271" t="str">
        <f>IF(ISBLANK('ALL Other SINs - Proposal'!W511)," ",'ALL Other SINs - Proposal'!W511)</f>
        <v xml:space="preserve"> </v>
      </c>
      <c r="J511" s="71" t="str">
        <f>IF(ISBLANK('ALL Other SINs - Proposal'!X511)," ",'ALL Other SINs - Proposal'!X511)</f>
        <v xml:space="preserve"> </v>
      </c>
      <c r="K511" s="165" t="str">
        <f>IF(ISBLANK('ALL Other SINs - Proposal'!AA511)," ",'ALL Other SINs - Proposal'!AA511)</f>
        <v xml:space="preserve"> </v>
      </c>
      <c r="L511" s="178" t="str">
        <f>IF(ISBLANK('ALL Other SINs - Proposal'!AB511)," ",'ALL Other SINs - Proposal'!AB511)</f>
        <v xml:space="preserve"> </v>
      </c>
      <c r="M511" s="72" t="str">
        <f t="shared" si="14"/>
        <v xml:space="preserve"> </v>
      </c>
      <c r="N511" s="167" t="str">
        <f t="shared" si="15"/>
        <v xml:space="preserve"> </v>
      </c>
    </row>
    <row r="512" spans="1:14" ht="15" x14ac:dyDescent="0.25">
      <c r="A512" s="131" t="str">
        <f>IF(ISBLANK('ALL Other SINs - Proposal'!A512)," ",'ALL Other SINs - Proposal'!A512)</f>
        <v xml:space="preserve"> </v>
      </c>
      <c r="B512" s="137" t="str">
        <f>IF(ISBLANK('ALL Other SINs - Proposal'!B512)," ",'ALL Other SINs - Proposal'!B512)</f>
        <v xml:space="preserve"> </v>
      </c>
      <c r="C512" s="137" t="str">
        <f>IF(ISBLANK('ALL Other SINs - Proposal'!C512)," ",'ALL Other SINs - Proposal'!C512)</f>
        <v xml:space="preserve"> </v>
      </c>
      <c r="D512" s="138" t="str">
        <f>IF(ISBLANK('ALL Other SINs - Proposal'!D512)," ",'ALL Other SINs - Proposal'!D512)</f>
        <v xml:space="preserve"> </v>
      </c>
      <c r="E512" s="69" t="str">
        <f>IF(ISBLANK('ALL Other SINs - Proposal'!R512)," ",'ALL Other SINs - Proposal'!R512)</f>
        <v xml:space="preserve"> </v>
      </c>
      <c r="F512" s="73" t="str">
        <f>IF(ISBLANK('ALL Other SINs - Proposal'!S512)," ",'ALL Other SINs - Proposal'!S512)</f>
        <v xml:space="preserve"> </v>
      </c>
      <c r="G512" s="173" t="str">
        <f>IF(ISBLANK('ALL Other SINs - Proposal'!T512)," ",'ALL Other SINs - Proposal'!T512)</f>
        <v xml:space="preserve"> </v>
      </c>
      <c r="H512" s="275" t="str">
        <f>IF(ISBLANK('ALL Other SINs - Proposal'!V512)," ",'ALL Other SINs - Proposal'!V512)</f>
        <v xml:space="preserve"> </v>
      </c>
      <c r="I512" s="271" t="str">
        <f>IF(ISBLANK('ALL Other SINs - Proposal'!W512)," ",'ALL Other SINs - Proposal'!W512)</f>
        <v xml:space="preserve"> </v>
      </c>
      <c r="J512" s="71" t="str">
        <f>IF(ISBLANK('ALL Other SINs - Proposal'!X512)," ",'ALL Other SINs - Proposal'!X512)</f>
        <v xml:space="preserve"> </v>
      </c>
      <c r="K512" s="165" t="str">
        <f>IF(ISBLANK('ALL Other SINs - Proposal'!AA512)," ",'ALL Other SINs - Proposal'!AA512)</f>
        <v xml:space="preserve"> </v>
      </c>
      <c r="L512" s="178" t="str">
        <f>IF(ISBLANK('ALL Other SINs - Proposal'!AB512)," ",'ALL Other SINs - Proposal'!AB512)</f>
        <v xml:space="preserve"> </v>
      </c>
      <c r="M512" s="72" t="str">
        <f t="shared" si="14"/>
        <v xml:space="preserve"> </v>
      </c>
      <c r="N512" s="167" t="str">
        <f t="shared" si="15"/>
        <v xml:space="preserve"> </v>
      </c>
    </row>
    <row r="513" spans="1:14" ht="15" x14ac:dyDescent="0.25">
      <c r="A513" s="131" t="str">
        <f>IF(ISBLANK('ALL Other SINs - Proposal'!A513)," ",'ALL Other SINs - Proposal'!A513)</f>
        <v xml:space="preserve"> </v>
      </c>
      <c r="B513" s="137" t="str">
        <f>IF(ISBLANK('ALL Other SINs - Proposal'!B513)," ",'ALL Other SINs - Proposal'!B513)</f>
        <v xml:space="preserve"> </v>
      </c>
      <c r="C513" s="137" t="str">
        <f>IF(ISBLANK('ALL Other SINs - Proposal'!C513)," ",'ALL Other SINs - Proposal'!C513)</f>
        <v xml:space="preserve"> </v>
      </c>
      <c r="D513" s="138" t="str">
        <f>IF(ISBLANK('ALL Other SINs - Proposal'!D513)," ",'ALL Other SINs - Proposal'!D513)</f>
        <v xml:space="preserve"> </v>
      </c>
      <c r="E513" s="69" t="str">
        <f>IF(ISBLANK('ALL Other SINs - Proposal'!R513)," ",'ALL Other SINs - Proposal'!R513)</f>
        <v xml:space="preserve"> </v>
      </c>
      <c r="F513" s="73" t="str">
        <f>IF(ISBLANK('ALL Other SINs - Proposal'!S513)," ",'ALL Other SINs - Proposal'!S513)</f>
        <v xml:space="preserve"> </v>
      </c>
      <c r="G513" s="173" t="str">
        <f>IF(ISBLANK('ALL Other SINs - Proposal'!T513)," ",'ALL Other SINs - Proposal'!T513)</f>
        <v xml:space="preserve"> </v>
      </c>
      <c r="H513" s="275" t="str">
        <f>IF(ISBLANK('ALL Other SINs - Proposal'!V513)," ",'ALL Other SINs - Proposal'!V513)</f>
        <v xml:space="preserve"> </v>
      </c>
      <c r="I513" s="271" t="str">
        <f>IF(ISBLANK('ALL Other SINs - Proposal'!W513)," ",'ALL Other SINs - Proposal'!W513)</f>
        <v xml:space="preserve"> </v>
      </c>
      <c r="J513" s="71" t="str">
        <f>IF(ISBLANK('ALL Other SINs - Proposal'!X513)," ",'ALL Other SINs - Proposal'!X513)</f>
        <v xml:space="preserve"> </v>
      </c>
      <c r="K513" s="165" t="str">
        <f>IF(ISBLANK('ALL Other SINs - Proposal'!AA513)," ",'ALL Other SINs - Proposal'!AA513)</f>
        <v xml:space="preserve"> </v>
      </c>
      <c r="L513" s="178" t="str">
        <f>IF(ISBLANK('ALL Other SINs - Proposal'!AB513)," ",'ALL Other SINs - Proposal'!AB513)</f>
        <v xml:space="preserve"> </v>
      </c>
      <c r="M513" s="72" t="str">
        <f t="shared" si="14"/>
        <v xml:space="preserve"> </v>
      </c>
      <c r="N513" s="167" t="str">
        <f t="shared" si="15"/>
        <v xml:space="preserve"> </v>
      </c>
    </row>
    <row r="514" spans="1:14" ht="15" x14ac:dyDescent="0.25">
      <c r="A514" s="131" t="str">
        <f>IF(ISBLANK('ALL Other SINs - Proposal'!A514)," ",'ALL Other SINs - Proposal'!A514)</f>
        <v xml:space="preserve"> </v>
      </c>
      <c r="B514" s="137" t="str">
        <f>IF(ISBLANK('ALL Other SINs - Proposal'!B514)," ",'ALL Other SINs - Proposal'!B514)</f>
        <v xml:space="preserve"> </v>
      </c>
      <c r="C514" s="137" t="str">
        <f>IF(ISBLANK('ALL Other SINs - Proposal'!C514)," ",'ALL Other SINs - Proposal'!C514)</f>
        <v xml:space="preserve"> </v>
      </c>
      <c r="D514" s="138" t="str">
        <f>IF(ISBLANK('ALL Other SINs - Proposal'!D514)," ",'ALL Other SINs - Proposal'!D514)</f>
        <v xml:space="preserve"> </v>
      </c>
      <c r="E514" s="69" t="str">
        <f>IF(ISBLANK('ALL Other SINs - Proposal'!R514)," ",'ALL Other SINs - Proposal'!R514)</f>
        <v xml:space="preserve"> </v>
      </c>
      <c r="F514" s="73" t="str">
        <f>IF(ISBLANK('ALL Other SINs - Proposal'!S514)," ",'ALL Other SINs - Proposal'!S514)</f>
        <v xml:space="preserve"> </v>
      </c>
      <c r="G514" s="173" t="str">
        <f>IF(ISBLANK('ALL Other SINs - Proposal'!T514)," ",'ALL Other SINs - Proposal'!T514)</f>
        <v xml:space="preserve"> </v>
      </c>
      <c r="H514" s="275" t="str">
        <f>IF(ISBLANK('ALL Other SINs - Proposal'!V514)," ",'ALL Other SINs - Proposal'!V514)</f>
        <v xml:space="preserve"> </v>
      </c>
      <c r="I514" s="271" t="str">
        <f>IF(ISBLANK('ALL Other SINs - Proposal'!W514)," ",'ALL Other SINs - Proposal'!W514)</f>
        <v xml:space="preserve"> </v>
      </c>
      <c r="J514" s="71" t="str">
        <f>IF(ISBLANK('ALL Other SINs - Proposal'!X514)," ",'ALL Other SINs - Proposal'!X514)</f>
        <v xml:space="preserve"> </v>
      </c>
      <c r="K514" s="165" t="str">
        <f>IF(ISBLANK('ALL Other SINs - Proposal'!AA514)," ",'ALL Other SINs - Proposal'!AA514)</f>
        <v xml:space="preserve"> </v>
      </c>
      <c r="L514" s="178" t="str">
        <f>IF(ISBLANK('ALL Other SINs - Proposal'!AB514)," ",'ALL Other SINs - Proposal'!AB514)</f>
        <v xml:space="preserve"> </v>
      </c>
      <c r="M514" s="72" t="str">
        <f t="shared" si="14"/>
        <v xml:space="preserve"> </v>
      </c>
      <c r="N514" s="167" t="str">
        <f t="shared" si="15"/>
        <v xml:space="preserve"> </v>
      </c>
    </row>
    <row r="515" spans="1:14" ht="15" x14ac:dyDescent="0.25">
      <c r="A515" s="131" t="str">
        <f>IF(ISBLANK('ALL Other SINs - Proposal'!A515)," ",'ALL Other SINs - Proposal'!A515)</f>
        <v xml:space="preserve"> </v>
      </c>
      <c r="B515" s="137" t="str">
        <f>IF(ISBLANK('ALL Other SINs - Proposal'!B515)," ",'ALL Other SINs - Proposal'!B515)</f>
        <v xml:space="preserve"> </v>
      </c>
      <c r="C515" s="137" t="str">
        <f>IF(ISBLANK('ALL Other SINs - Proposal'!C515)," ",'ALL Other SINs - Proposal'!C515)</f>
        <v xml:space="preserve"> </v>
      </c>
      <c r="D515" s="138" t="str">
        <f>IF(ISBLANK('ALL Other SINs - Proposal'!D515)," ",'ALL Other SINs - Proposal'!D515)</f>
        <v xml:space="preserve"> </v>
      </c>
      <c r="E515" s="69" t="str">
        <f>IF(ISBLANK('ALL Other SINs - Proposal'!R515)," ",'ALL Other SINs - Proposal'!R515)</f>
        <v xml:space="preserve"> </v>
      </c>
      <c r="F515" s="73" t="str">
        <f>IF(ISBLANK('ALL Other SINs - Proposal'!S515)," ",'ALL Other SINs - Proposal'!S515)</f>
        <v xml:space="preserve"> </v>
      </c>
      <c r="G515" s="173" t="str">
        <f>IF(ISBLANK('ALL Other SINs - Proposal'!T515)," ",'ALL Other SINs - Proposal'!T515)</f>
        <v xml:space="preserve"> </v>
      </c>
      <c r="H515" s="275" t="str">
        <f>IF(ISBLANK('ALL Other SINs - Proposal'!V515)," ",'ALL Other SINs - Proposal'!V515)</f>
        <v xml:space="preserve"> </v>
      </c>
      <c r="I515" s="271" t="str">
        <f>IF(ISBLANK('ALL Other SINs - Proposal'!W515)," ",'ALL Other SINs - Proposal'!W515)</f>
        <v xml:space="preserve"> </v>
      </c>
      <c r="J515" s="71" t="str">
        <f>IF(ISBLANK('ALL Other SINs - Proposal'!X515)," ",'ALL Other SINs - Proposal'!X515)</f>
        <v xml:space="preserve"> </v>
      </c>
      <c r="K515" s="165" t="str">
        <f>IF(ISBLANK('ALL Other SINs - Proposal'!AA515)," ",'ALL Other SINs - Proposal'!AA515)</f>
        <v xml:space="preserve"> </v>
      </c>
      <c r="L515" s="178" t="str">
        <f>IF(ISBLANK('ALL Other SINs - Proposal'!AB515)," ",'ALL Other SINs - Proposal'!AB515)</f>
        <v xml:space="preserve"> </v>
      </c>
      <c r="M515" s="72" t="str">
        <f t="shared" ref="M515:M578" si="16">IFERROR(IF((ROUND(K515,2))&lt;=(ROUND(F515,2)),"YES","NO")," ")</f>
        <v xml:space="preserve"> </v>
      </c>
      <c r="N515" s="167" t="str">
        <f t="shared" ref="N515:N578" si="17">IFERROR(IF(ISBLANK(K515)," ",(ROUND(K515,2))/(ROUND(I515,2)))," ")</f>
        <v xml:space="preserve"> </v>
      </c>
    </row>
    <row r="516" spans="1:14" ht="15" x14ac:dyDescent="0.25">
      <c r="A516" s="131" t="str">
        <f>IF(ISBLANK('ALL Other SINs - Proposal'!A516)," ",'ALL Other SINs - Proposal'!A516)</f>
        <v xml:space="preserve"> </v>
      </c>
      <c r="B516" s="137" t="str">
        <f>IF(ISBLANK('ALL Other SINs - Proposal'!B516)," ",'ALL Other SINs - Proposal'!B516)</f>
        <v xml:space="preserve"> </v>
      </c>
      <c r="C516" s="137" t="str">
        <f>IF(ISBLANK('ALL Other SINs - Proposal'!C516)," ",'ALL Other SINs - Proposal'!C516)</f>
        <v xml:space="preserve"> </v>
      </c>
      <c r="D516" s="138" t="str">
        <f>IF(ISBLANK('ALL Other SINs - Proposal'!D516)," ",'ALL Other SINs - Proposal'!D516)</f>
        <v xml:space="preserve"> </v>
      </c>
      <c r="E516" s="69" t="str">
        <f>IF(ISBLANK('ALL Other SINs - Proposal'!R516)," ",'ALL Other SINs - Proposal'!R516)</f>
        <v xml:space="preserve"> </v>
      </c>
      <c r="F516" s="73" t="str">
        <f>IF(ISBLANK('ALL Other SINs - Proposal'!S516)," ",'ALL Other SINs - Proposal'!S516)</f>
        <v xml:space="preserve"> </v>
      </c>
      <c r="G516" s="173" t="str">
        <f>IF(ISBLANK('ALL Other SINs - Proposal'!T516)," ",'ALL Other SINs - Proposal'!T516)</f>
        <v xml:space="preserve"> </v>
      </c>
      <c r="H516" s="275" t="str">
        <f>IF(ISBLANK('ALL Other SINs - Proposal'!V516)," ",'ALL Other SINs - Proposal'!V516)</f>
        <v xml:space="preserve"> </v>
      </c>
      <c r="I516" s="271" t="str">
        <f>IF(ISBLANK('ALL Other SINs - Proposal'!W516)," ",'ALL Other SINs - Proposal'!W516)</f>
        <v xml:space="preserve"> </v>
      </c>
      <c r="J516" s="71" t="str">
        <f>IF(ISBLANK('ALL Other SINs - Proposal'!X516)," ",'ALL Other SINs - Proposal'!X516)</f>
        <v xml:space="preserve"> </v>
      </c>
      <c r="K516" s="165" t="str">
        <f>IF(ISBLANK('ALL Other SINs - Proposal'!AA516)," ",'ALL Other SINs - Proposal'!AA516)</f>
        <v xml:space="preserve"> </v>
      </c>
      <c r="L516" s="178" t="str">
        <f>IF(ISBLANK('ALL Other SINs - Proposal'!AB516)," ",'ALL Other SINs - Proposal'!AB516)</f>
        <v xml:space="preserve"> </v>
      </c>
      <c r="M516" s="72" t="str">
        <f t="shared" si="16"/>
        <v xml:space="preserve"> </v>
      </c>
      <c r="N516" s="167" t="str">
        <f t="shared" si="17"/>
        <v xml:space="preserve"> </v>
      </c>
    </row>
    <row r="517" spans="1:14" ht="15" x14ac:dyDescent="0.25">
      <c r="A517" s="131" t="str">
        <f>IF(ISBLANK('ALL Other SINs - Proposal'!A517)," ",'ALL Other SINs - Proposal'!A517)</f>
        <v xml:space="preserve"> </v>
      </c>
      <c r="B517" s="137" t="str">
        <f>IF(ISBLANK('ALL Other SINs - Proposal'!B517)," ",'ALL Other SINs - Proposal'!B517)</f>
        <v xml:space="preserve"> </v>
      </c>
      <c r="C517" s="137" t="str">
        <f>IF(ISBLANK('ALL Other SINs - Proposal'!C517)," ",'ALL Other SINs - Proposal'!C517)</f>
        <v xml:space="preserve"> </v>
      </c>
      <c r="D517" s="138" t="str">
        <f>IF(ISBLANK('ALL Other SINs - Proposal'!D517)," ",'ALL Other SINs - Proposal'!D517)</f>
        <v xml:space="preserve"> </v>
      </c>
      <c r="E517" s="69" t="str">
        <f>IF(ISBLANK('ALL Other SINs - Proposal'!R517)," ",'ALL Other SINs - Proposal'!R517)</f>
        <v xml:space="preserve"> </v>
      </c>
      <c r="F517" s="73" t="str">
        <f>IF(ISBLANK('ALL Other SINs - Proposal'!S517)," ",'ALL Other SINs - Proposal'!S517)</f>
        <v xml:space="preserve"> </v>
      </c>
      <c r="G517" s="173" t="str">
        <f>IF(ISBLANK('ALL Other SINs - Proposal'!T517)," ",'ALL Other SINs - Proposal'!T517)</f>
        <v xml:space="preserve"> </v>
      </c>
      <c r="H517" s="275" t="str">
        <f>IF(ISBLANK('ALL Other SINs - Proposal'!V517)," ",'ALL Other SINs - Proposal'!V517)</f>
        <v xml:space="preserve"> </v>
      </c>
      <c r="I517" s="271" t="str">
        <f>IF(ISBLANK('ALL Other SINs - Proposal'!W517)," ",'ALL Other SINs - Proposal'!W517)</f>
        <v xml:space="preserve"> </v>
      </c>
      <c r="J517" s="71" t="str">
        <f>IF(ISBLANK('ALL Other SINs - Proposal'!X517)," ",'ALL Other SINs - Proposal'!X517)</f>
        <v xml:space="preserve"> </v>
      </c>
      <c r="K517" s="165" t="str">
        <f>IF(ISBLANK('ALL Other SINs - Proposal'!AA517)," ",'ALL Other SINs - Proposal'!AA517)</f>
        <v xml:space="preserve"> </v>
      </c>
      <c r="L517" s="178" t="str">
        <f>IF(ISBLANK('ALL Other SINs - Proposal'!AB517)," ",'ALL Other SINs - Proposal'!AB517)</f>
        <v xml:space="preserve"> </v>
      </c>
      <c r="M517" s="72" t="str">
        <f t="shared" si="16"/>
        <v xml:space="preserve"> </v>
      </c>
      <c r="N517" s="167" t="str">
        <f t="shared" si="17"/>
        <v xml:space="preserve"> </v>
      </c>
    </row>
    <row r="518" spans="1:14" ht="15" x14ac:dyDescent="0.25">
      <c r="A518" s="131" t="str">
        <f>IF(ISBLANK('ALL Other SINs - Proposal'!A518)," ",'ALL Other SINs - Proposal'!A518)</f>
        <v xml:space="preserve"> </v>
      </c>
      <c r="B518" s="137" t="str">
        <f>IF(ISBLANK('ALL Other SINs - Proposal'!B518)," ",'ALL Other SINs - Proposal'!B518)</f>
        <v xml:space="preserve"> </v>
      </c>
      <c r="C518" s="137" t="str">
        <f>IF(ISBLANK('ALL Other SINs - Proposal'!C518)," ",'ALL Other SINs - Proposal'!C518)</f>
        <v xml:space="preserve"> </v>
      </c>
      <c r="D518" s="138" t="str">
        <f>IF(ISBLANK('ALL Other SINs - Proposal'!D518)," ",'ALL Other SINs - Proposal'!D518)</f>
        <v xml:space="preserve"> </v>
      </c>
      <c r="E518" s="69" t="str">
        <f>IF(ISBLANK('ALL Other SINs - Proposal'!R518)," ",'ALL Other SINs - Proposal'!R518)</f>
        <v xml:space="preserve"> </v>
      </c>
      <c r="F518" s="73" t="str">
        <f>IF(ISBLANK('ALL Other SINs - Proposal'!S518)," ",'ALL Other SINs - Proposal'!S518)</f>
        <v xml:space="preserve"> </v>
      </c>
      <c r="G518" s="173" t="str">
        <f>IF(ISBLANK('ALL Other SINs - Proposal'!T518)," ",'ALL Other SINs - Proposal'!T518)</f>
        <v xml:space="preserve"> </v>
      </c>
      <c r="H518" s="275" t="str">
        <f>IF(ISBLANK('ALL Other SINs - Proposal'!V518)," ",'ALL Other SINs - Proposal'!V518)</f>
        <v xml:space="preserve"> </v>
      </c>
      <c r="I518" s="271" t="str">
        <f>IF(ISBLANK('ALL Other SINs - Proposal'!W518)," ",'ALL Other SINs - Proposal'!W518)</f>
        <v xml:space="preserve"> </v>
      </c>
      <c r="J518" s="71" t="str">
        <f>IF(ISBLANK('ALL Other SINs - Proposal'!X518)," ",'ALL Other SINs - Proposal'!X518)</f>
        <v xml:space="preserve"> </v>
      </c>
      <c r="K518" s="165" t="str">
        <f>IF(ISBLANK('ALL Other SINs - Proposal'!AA518)," ",'ALL Other SINs - Proposal'!AA518)</f>
        <v xml:space="preserve"> </v>
      </c>
      <c r="L518" s="178" t="str">
        <f>IF(ISBLANK('ALL Other SINs - Proposal'!AB518)," ",'ALL Other SINs - Proposal'!AB518)</f>
        <v xml:space="preserve"> </v>
      </c>
      <c r="M518" s="72" t="str">
        <f t="shared" si="16"/>
        <v xml:space="preserve"> </v>
      </c>
      <c r="N518" s="167" t="str">
        <f t="shared" si="17"/>
        <v xml:space="preserve"> </v>
      </c>
    </row>
    <row r="519" spans="1:14" ht="15" x14ac:dyDescent="0.25">
      <c r="A519" s="131" t="str">
        <f>IF(ISBLANK('ALL Other SINs - Proposal'!A519)," ",'ALL Other SINs - Proposal'!A519)</f>
        <v xml:space="preserve"> </v>
      </c>
      <c r="B519" s="137" t="str">
        <f>IF(ISBLANK('ALL Other SINs - Proposal'!B519)," ",'ALL Other SINs - Proposal'!B519)</f>
        <v xml:space="preserve"> </v>
      </c>
      <c r="C519" s="137" t="str">
        <f>IF(ISBLANK('ALL Other SINs - Proposal'!C519)," ",'ALL Other SINs - Proposal'!C519)</f>
        <v xml:space="preserve"> </v>
      </c>
      <c r="D519" s="138" t="str">
        <f>IF(ISBLANK('ALL Other SINs - Proposal'!D519)," ",'ALL Other SINs - Proposal'!D519)</f>
        <v xml:space="preserve"> </v>
      </c>
      <c r="E519" s="69" t="str">
        <f>IF(ISBLANK('ALL Other SINs - Proposal'!R519)," ",'ALL Other SINs - Proposal'!R519)</f>
        <v xml:space="preserve"> </v>
      </c>
      <c r="F519" s="73" t="str">
        <f>IF(ISBLANK('ALL Other SINs - Proposal'!S519)," ",'ALL Other SINs - Proposal'!S519)</f>
        <v xml:space="preserve"> </v>
      </c>
      <c r="G519" s="173" t="str">
        <f>IF(ISBLANK('ALL Other SINs - Proposal'!T519)," ",'ALL Other SINs - Proposal'!T519)</f>
        <v xml:space="preserve"> </v>
      </c>
      <c r="H519" s="275" t="str">
        <f>IF(ISBLANK('ALL Other SINs - Proposal'!V519)," ",'ALL Other SINs - Proposal'!V519)</f>
        <v xml:space="preserve"> </v>
      </c>
      <c r="I519" s="271" t="str">
        <f>IF(ISBLANK('ALL Other SINs - Proposal'!W519)," ",'ALL Other SINs - Proposal'!W519)</f>
        <v xml:space="preserve"> </v>
      </c>
      <c r="J519" s="71" t="str">
        <f>IF(ISBLANK('ALL Other SINs - Proposal'!X519)," ",'ALL Other SINs - Proposal'!X519)</f>
        <v xml:space="preserve"> </v>
      </c>
      <c r="K519" s="165" t="str">
        <f>IF(ISBLANK('ALL Other SINs - Proposal'!AA519)," ",'ALL Other SINs - Proposal'!AA519)</f>
        <v xml:space="preserve"> </v>
      </c>
      <c r="L519" s="178" t="str">
        <f>IF(ISBLANK('ALL Other SINs - Proposal'!AB519)," ",'ALL Other SINs - Proposal'!AB519)</f>
        <v xml:space="preserve"> </v>
      </c>
      <c r="M519" s="72" t="str">
        <f t="shared" si="16"/>
        <v xml:space="preserve"> </v>
      </c>
      <c r="N519" s="167" t="str">
        <f t="shared" si="17"/>
        <v xml:space="preserve"> </v>
      </c>
    </row>
    <row r="520" spans="1:14" ht="15" x14ac:dyDescent="0.25">
      <c r="A520" s="131" t="str">
        <f>IF(ISBLANK('ALL Other SINs - Proposal'!A520)," ",'ALL Other SINs - Proposal'!A520)</f>
        <v xml:space="preserve"> </v>
      </c>
      <c r="B520" s="137" t="str">
        <f>IF(ISBLANK('ALL Other SINs - Proposal'!B520)," ",'ALL Other SINs - Proposal'!B520)</f>
        <v xml:space="preserve"> </v>
      </c>
      <c r="C520" s="137" t="str">
        <f>IF(ISBLANK('ALL Other SINs - Proposal'!C520)," ",'ALL Other SINs - Proposal'!C520)</f>
        <v xml:space="preserve"> </v>
      </c>
      <c r="D520" s="138" t="str">
        <f>IF(ISBLANK('ALL Other SINs - Proposal'!D520)," ",'ALL Other SINs - Proposal'!D520)</f>
        <v xml:space="preserve"> </v>
      </c>
      <c r="E520" s="69" t="str">
        <f>IF(ISBLANK('ALL Other SINs - Proposal'!R520)," ",'ALL Other SINs - Proposal'!R520)</f>
        <v xml:space="preserve"> </v>
      </c>
      <c r="F520" s="73" t="str">
        <f>IF(ISBLANK('ALL Other SINs - Proposal'!S520)," ",'ALL Other SINs - Proposal'!S520)</f>
        <v xml:space="preserve"> </v>
      </c>
      <c r="G520" s="173" t="str">
        <f>IF(ISBLANK('ALL Other SINs - Proposal'!T520)," ",'ALL Other SINs - Proposal'!T520)</f>
        <v xml:space="preserve"> </v>
      </c>
      <c r="H520" s="275" t="str">
        <f>IF(ISBLANK('ALL Other SINs - Proposal'!V520)," ",'ALL Other SINs - Proposal'!V520)</f>
        <v xml:space="preserve"> </v>
      </c>
      <c r="I520" s="271" t="str">
        <f>IF(ISBLANK('ALL Other SINs - Proposal'!W520)," ",'ALL Other SINs - Proposal'!W520)</f>
        <v xml:space="preserve"> </v>
      </c>
      <c r="J520" s="71" t="str">
        <f>IF(ISBLANK('ALL Other SINs - Proposal'!X520)," ",'ALL Other SINs - Proposal'!X520)</f>
        <v xml:space="preserve"> </v>
      </c>
      <c r="K520" s="165" t="str">
        <f>IF(ISBLANK('ALL Other SINs - Proposal'!AA520)," ",'ALL Other SINs - Proposal'!AA520)</f>
        <v xml:space="preserve"> </v>
      </c>
      <c r="L520" s="178" t="str">
        <f>IF(ISBLANK('ALL Other SINs - Proposal'!AB520)," ",'ALL Other SINs - Proposal'!AB520)</f>
        <v xml:space="preserve"> </v>
      </c>
      <c r="M520" s="72" t="str">
        <f t="shared" si="16"/>
        <v xml:space="preserve"> </v>
      </c>
      <c r="N520" s="167" t="str">
        <f t="shared" si="17"/>
        <v xml:space="preserve"> </v>
      </c>
    </row>
    <row r="521" spans="1:14" ht="15" x14ac:dyDescent="0.25">
      <c r="A521" s="131" t="str">
        <f>IF(ISBLANK('ALL Other SINs - Proposal'!A521)," ",'ALL Other SINs - Proposal'!A521)</f>
        <v xml:space="preserve"> </v>
      </c>
      <c r="B521" s="137" t="str">
        <f>IF(ISBLANK('ALL Other SINs - Proposal'!B521)," ",'ALL Other SINs - Proposal'!B521)</f>
        <v xml:space="preserve"> </v>
      </c>
      <c r="C521" s="137" t="str">
        <f>IF(ISBLANK('ALL Other SINs - Proposal'!C521)," ",'ALL Other SINs - Proposal'!C521)</f>
        <v xml:space="preserve"> </v>
      </c>
      <c r="D521" s="138" t="str">
        <f>IF(ISBLANK('ALL Other SINs - Proposal'!D521)," ",'ALL Other SINs - Proposal'!D521)</f>
        <v xml:space="preserve"> </v>
      </c>
      <c r="E521" s="69" t="str">
        <f>IF(ISBLANK('ALL Other SINs - Proposal'!R521)," ",'ALL Other SINs - Proposal'!R521)</f>
        <v xml:space="preserve"> </v>
      </c>
      <c r="F521" s="73" t="str">
        <f>IF(ISBLANK('ALL Other SINs - Proposal'!S521)," ",'ALL Other SINs - Proposal'!S521)</f>
        <v xml:space="preserve"> </v>
      </c>
      <c r="G521" s="173" t="str">
        <f>IF(ISBLANK('ALL Other SINs - Proposal'!T521)," ",'ALL Other SINs - Proposal'!T521)</f>
        <v xml:space="preserve"> </v>
      </c>
      <c r="H521" s="275" t="str">
        <f>IF(ISBLANK('ALL Other SINs - Proposal'!V521)," ",'ALL Other SINs - Proposal'!V521)</f>
        <v xml:space="preserve"> </v>
      </c>
      <c r="I521" s="271" t="str">
        <f>IF(ISBLANK('ALL Other SINs - Proposal'!W521)," ",'ALL Other SINs - Proposal'!W521)</f>
        <v xml:space="preserve"> </v>
      </c>
      <c r="J521" s="71" t="str">
        <f>IF(ISBLANK('ALL Other SINs - Proposal'!X521)," ",'ALL Other SINs - Proposal'!X521)</f>
        <v xml:space="preserve"> </v>
      </c>
      <c r="K521" s="165" t="str">
        <f>IF(ISBLANK('ALL Other SINs - Proposal'!AA521)," ",'ALL Other SINs - Proposal'!AA521)</f>
        <v xml:space="preserve"> </v>
      </c>
      <c r="L521" s="178" t="str">
        <f>IF(ISBLANK('ALL Other SINs - Proposal'!AB521)," ",'ALL Other SINs - Proposal'!AB521)</f>
        <v xml:space="preserve"> </v>
      </c>
      <c r="M521" s="72" t="str">
        <f t="shared" si="16"/>
        <v xml:space="preserve"> </v>
      </c>
      <c r="N521" s="167" t="str">
        <f t="shared" si="17"/>
        <v xml:space="preserve"> </v>
      </c>
    </row>
    <row r="522" spans="1:14" ht="15" x14ac:dyDescent="0.25">
      <c r="A522" s="131" t="str">
        <f>IF(ISBLANK('ALL Other SINs - Proposal'!A522)," ",'ALL Other SINs - Proposal'!A522)</f>
        <v xml:space="preserve"> </v>
      </c>
      <c r="B522" s="137" t="str">
        <f>IF(ISBLANK('ALL Other SINs - Proposal'!B522)," ",'ALL Other SINs - Proposal'!B522)</f>
        <v xml:space="preserve"> </v>
      </c>
      <c r="C522" s="137" t="str">
        <f>IF(ISBLANK('ALL Other SINs - Proposal'!C522)," ",'ALL Other SINs - Proposal'!C522)</f>
        <v xml:space="preserve"> </v>
      </c>
      <c r="D522" s="138" t="str">
        <f>IF(ISBLANK('ALL Other SINs - Proposal'!D522)," ",'ALL Other SINs - Proposal'!D522)</f>
        <v xml:space="preserve"> </v>
      </c>
      <c r="E522" s="69" t="str">
        <f>IF(ISBLANK('ALL Other SINs - Proposal'!R522)," ",'ALL Other SINs - Proposal'!R522)</f>
        <v xml:space="preserve"> </v>
      </c>
      <c r="F522" s="73" t="str">
        <f>IF(ISBLANK('ALL Other SINs - Proposal'!S522)," ",'ALL Other SINs - Proposal'!S522)</f>
        <v xml:space="preserve"> </v>
      </c>
      <c r="G522" s="173" t="str">
        <f>IF(ISBLANK('ALL Other SINs - Proposal'!T522)," ",'ALL Other SINs - Proposal'!T522)</f>
        <v xml:space="preserve"> </v>
      </c>
      <c r="H522" s="275" t="str">
        <f>IF(ISBLANK('ALL Other SINs - Proposal'!V522)," ",'ALL Other SINs - Proposal'!V522)</f>
        <v xml:space="preserve"> </v>
      </c>
      <c r="I522" s="271" t="str">
        <f>IF(ISBLANK('ALL Other SINs - Proposal'!W522)," ",'ALL Other SINs - Proposal'!W522)</f>
        <v xml:space="preserve"> </v>
      </c>
      <c r="J522" s="71" t="str">
        <f>IF(ISBLANK('ALL Other SINs - Proposal'!X522)," ",'ALL Other SINs - Proposal'!X522)</f>
        <v xml:space="preserve"> </v>
      </c>
      <c r="K522" s="165" t="str">
        <f>IF(ISBLANK('ALL Other SINs - Proposal'!AA522)," ",'ALL Other SINs - Proposal'!AA522)</f>
        <v xml:space="preserve"> </v>
      </c>
      <c r="L522" s="178" t="str">
        <f>IF(ISBLANK('ALL Other SINs - Proposal'!AB522)," ",'ALL Other SINs - Proposal'!AB522)</f>
        <v xml:space="preserve"> </v>
      </c>
      <c r="M522" s="72" t="str">
        <f t="shared" si="16"/>
        <v xml:space="preserve"> </v>
      </c>
      <c r="N522" s="167" t="str">
        <f t="shared" si="17"/>
        <v xml:space="preserve"> </v>
      </c>
    </row>
    <row r="523" spans="1:14" ht="15" x14ac:dyDescent="0.25">
      <c r="A523" s="131" t="str">
        <f>IF(ISBLANK('ALL Other SINs - Proposal'!A523)," ",'ALL Other SINs - Proposal'!A523)</f>
        <v xml:space="preserve"> </v>
      </c>
      <c r="B523" s="137" t="str">
        <f>IF(ISBLANK('ALL Other SINs - Proposal'!B523)," ",'ALL Other SINs - Proposal'!B523)</f>
        <v xml:space="preserve"> </v>
      </c>
      <c r="C523" s="137" t="str">
        <f>IF(ISBLANK('ALL Other SINs - Proposal'!C523)," ",'ALL Other SINs - Proposal'!C523)</f>
        <v xml:space="preserve"> </v>
      </c>
      <c r="D523" s="138" t="str">
        <f>IF(ISBLANK('ALL Other SINs - Proposal'!D523)," ",'ALL Other SINs - Proposal'!D523)</f>
        <v xml:space="preserve"> </v>
      </c>
      <c r="E523" s="69" t="str">
        <f>IF(ISBLANK('ALL Other SINs - Proposal'!R523)," ",'ALL Other SINs - Proposal'!R523)</f>
        <v xml:space="preserve"> </v>
      </c>
      <c r="F523" s="73" t="str">
        <f>IF(ISBLANK('ALL Other SINs - Proposal'!S523)," ",'ALL Other SINs - Proposal'!S523)</f>
        <v xml:space="preserve"> </v>
      </c>
      <c r="G523" s="173" t="str">
        <f>IF(ISBLANK('ALL Other SINs - Proposal'!T523)," ",'ALL Other SINs - Proposal'!T523)</f>
        <v xml:space="preserve"> </v>
      </c>
      <c r="H523" s="275" t="str">
        <f>IF(ISBLANK('ALL Other SINs - Proposal'!V523)," ",'ALL Other SINs - Proposal'!V523)</f>
        <v xml:space="preserve"> </v>
      </c>
      <c r="I523" s="271" t="str">
        <f>IF(ISBLANK('ALL Other SINs - Proposal'!W523)," ",'ALL Other SINs - Proposal'!W523)</f>
        <v xml:space="preserve"> </v>
      </c>
      <c r="J523" s="71" t="str">
        <f>IF(ISBLANK('ALL Other SINs - Proposal'!X523)," ",'ALL Other SINs - Proposal'!X523)</f>
        <v xml:space="preserve"> </v>
      </c>
      <c r="K523" s="165" t="str">
        <f>IF(ISBLANK('ALL Other SINs - Proposal'!AA523)," ",'ALL Other SINs - Proposal'!AA523)</f>
        <v xml:space="preserve"> </v>
      </c>
      <c r="L523" s="178" t="str">
        <f>IF(ISBLANK('ALL Other SINs - Proposal'!AB523)," ",'ALL Other SINs - Proposal'!AB523)</f>
        <v xml:space="preserve"> </v>
      </c>
      <c r="M523" s="72" t="str">
        <f t="shared" si="16"/>
        <v xml:space="preserve"> </v>
      </c>
      <c r="N523" s="167" t="str">
        <f t="shared" si="17"/>
        <v xml:space="preserve"> </v>
      </c>
    </row>
    <row r="524" spans="1:14" ht="15" x14ac:dyDescent="0.25">
      <c r="A524" s="131" t="str">
        <f>IF(ISBLANK('ALL Other SINs - Proposal'!A524)," ",'ALL Other SINs - Proposal'!A524)</f>
        <v xml:space="preserve"> </v>
      </c>
      <c r="B524" s="137" t="str">
        <f>IF(ISBLANK('ALL Other SINs - Proposal'!B524)," ",'ALL Other SINs - Proposal'!B524)</f>
        <v xml:space="preserve"> </v>
      </c>
      <c r="C524" s="137" t="str">
        <f>IF(ISBLANK('ALL Other SINs - Proposal'!C524)," ",'ALL Other SINs - Proposal'!C524)</f>
        <v xml:space="preserve"> </v>
      </c>
      <c r="D524" s="138" t="str">
        <f>IF(ISBLANK('ALL Other SINs - Proposal'!D524)," ",'ALL Other SINs - Proposal'!D524)</f>
        <v xml:space="preserve"> </v>
      </c>
      <c r="E524" s="69" t="str">
        <f>IF(ISBLANK('ALL Other SINs - Proposal'!R524)," ",'ALL Other SINs - Proposal'!R524)</f>
        <v xml:space="preserve"> </v>
      </c>
      <c r="F524" s="73" t="str">
        <f>IF(ISBLANK('ALL Other SINs - Proposal'!S524)," ",'ALL Other SINs - Proposal'!S524)</f>
        <v xml:space="preserve"> </v>
      </c>
      <c r="G524" s="173" t="str">
        <f>IF(ISBLANK('ALL Other SINs - Proposal'!T524)," ",'ALL Other SINs - Proposal'!T524)</f>
        <v xml:space="preserve"> </v>
      </c>
      <c r="H524" s="275" t="str">
        <f>IF(ISBLANK('ALL Other SINs - Proposal'!V524)," ",'ALL Other SINs - Proposal'!V524)</f>
        <v xml:space="preserve"> </v>
      </c>
      <c r="I524" s="271" t="str">
        <f>IF(ISBLANK('ALL Other SINs - Proposal'!W524)," ",'ALL Other SINs - Proposal'!W524)</f>
        <v xml:space="preserve"> </v>
      </c>
      <c r="J524" s="71" t="str">
        <f>IF(ISBLANK('ALL Other SINs - Proposal'!X524)," ",'ALL Other SINs - Proposal'!X524)</f>
        <v xml:space="preserve"> </v>
      </c>
      <c r="K524" s="165" t="str">
        <f>IF(ISBLANK('ALL Other SINs - Proposal'!AA524)," ",'ALL Other SINs - Proposal'!AA524)</f>
        <v xml:space="preserve"> </v>
      </c>
      <c r="L524" s="178" t="str">
        <f>IF(ISBLANK('ALL Other SINs - Proposal'!AB524)," ",'ALL Other SINs - Proposal'!AB524)</f>
        <v xml:space="preserve"> </v>
      </c>
      <c r="M524" s="72" t="str">
        <f t="shared" si="16"/>
        <v xml:space="preserve"> </v>
      </c>
      <c r="N524" s="167" t="str">
        <f t="shared" si="17"/>
        <v xml:space="preserve"> </v>
      </c>
    </row>
    <row r="525" spans="1:14" ht="15" x14ac:dyDescent="0.25">
      <c r="A525" s="131" t="str">
        <f>IF(ISBLANK('ALL Other SINs - Proposal'!A525)," ",'ALL Other SINs - Proposal'!A525)</f>
        <v xml:space="preserve"> </v>
      </c>
      <c r="B525" s="137" t="str">
        <f>IF(ISBLANK('ALL Other SINs - Proposal'!B525)," ",'ALL Other SINs - Proposal'!B525)</f>
        <v xml:space="preserve"> </v>
      </c>
      <c r="C525" s="137" t="str">
        <f>IF(ISBLANK('ALL Other SINs - Proposal'!C525)," ",'ALL Other SINs - Proposal'!C525)</f>
        <v xml:space="preserve"> </v>
      </c>
      <c r="D525" s="138" t="str">
        <f>IF(ISBLANK('ALL Other SINs - Proposal'!D525)," ",'ALL Other SINs - Proposal'!D525)</f>
        <v xml:space="preserve"> </v>
      </c>
      <c r="E525" s="69" t="str">
        <f>IF(ISBLANK('ALL Other SINs - Proposal'!R525)," ",'ALL Other SINs - Proposal'!R525)</f>
        <v xml:space="preserve"> </v>
      </c>
      <c r="F525" s="73" t="str">
        <f>IF(ISBLANK('ALL Other SINs - Proposal'!S525)," ",'ALL Other SINs - Proposal'!S525)</f>
        <v xml:space="preserve"> </v>
      </c>
      <c r="G525" s="173" t="str">
        <f>IF(ISBLANK('ALL Other SINs - Proposal'!T525)," ",'ALL Other SINs - Proposal'!T525)</f>
        <v xml:space="preserve"> </v>
      </c>
      <c r="H525" s="275" t="str">
        <f>IF(ISBLANK('ALL Other SINs - Proposal'!V525)," ",'ALL Other SINs - Proposal'!V525)</f>
        <v xml:space="preserve"> </v>
      </c>
      <c r="I525" s="271" t="str">
        <f>IF(ISBLANK('ALL Other SINs - Proposal'!W525)," ",'ALL Other SINs - Proposal'!W525)</f>
        <v xml:space="preserve"> </v>
      </c>
      <c r="J525" s="71" t="str">
        <f>IF(ISBLANK('ALL Other SINs - Proposal'!X525)," ",'ALL Other SINs - Proposal'!X525)</f>
        <v xml:space="preserve"> </v>
      </c>
      <c r="K525" s="165" t="str">
        <f>IF(ISBLANK('ALL Other SINs - Proposal'!AA525)," ",'ALL Other SINs - Proposal'!AA525)</f>
        <v xml:space="preserve"> </v>
      </c>
      <c r="L525" s="178" t="str">
        <f>IF(ISBLANK('ALL Other SINs - Proposal'!AB525)," ",'ALL Other SINs - Proposal'!AB525)</f>
        <v xml:space="preserve"> </v>
      </c>
      <c r="M525" s="72" t="str">
        <f t="shared" si="16"/>
        <v xml:space="preserve"> </v>
      </c>
      <c r="N525" s="167" t="str">
        <f t="shared" si="17"/>
        <v xml:space="preserve"> </v>
      </c>
    </row>
    <row r="526" spans="1:14" ht="15" x14ac:dyDescent="0.25">
      <c r="A526" s="131" t="str">
        <f>IF(ISBLANK('ALL Other SINs - Proposal'!A526)," ",'ALL Other SINs - Proposal'!A526)</f>
        <v xml:space="preserve"> </v>
      </c>
      <c r="B526" s="137" t="str">
        <f>IF(ISBLANK('ALL Other SINs - Proposal'!B526)," ",'ALL Other SINs - Proposal'!B526)</f>
        <v xml:space="preserve"> </v>
      </c>
      <c r="C526" s="137" t="str">
        <f>IF(ISBLANK('ALL Other SINs - Proposal'!C526)," ",'ALL Other SINs - Proposal'!C526)</f>
        <v xml:space="preserve"> </v>
      </c>
      <c r="D526" s="138" t="str">
        <f>IF(ISBLANK('ALL Other SINs - Proposal'!D526)," ",'ALL Other SINs - Proposal'!D526)</f>
        <v xml:space="preserve"> </v>
      </c>
      <c r="E526" s="69" t="str">
        <f>IF(ISBLANK('ALL Other SINs - Proposal'!R526)," ",'ALL Other SINs - Proposal'!R526)</f>
        <v xml:space="preserve"> </v>
      </c>
      <c r="F526" s="73" t="str">
        <f>IF(ISBLANK('ALL Other SINs - Proposal'!S526)," ",'ALL Other SINs - Proposal'!S526)</f>
        <v xml:space="preserve"> </v>
      </c>
      <c r="G526" s="173" t="str">
        <f>IF(ISBLANK('ALL Other SINs - Proposal'!T526)," ",'ALL Other SINs - Proposal'!T526)</f>
        <v xml:space="preserve"> </v>
      </c>
      <c r="H526" s="275" t="str">
        <f>IF(ISBLANK('ALL Other SINs - Proposal'!V526)," ",'ALL Other SINs - Proposal'!V526)</f>
        <v xml:space="preserve"> </v>
      </c>
      <c r="I526" s="271" t="str">
        <f>IF(ISBLANK('ALL Other SINs - Proposal'!W526)," ",'ALL Other SINs - Proposal'!W526)</f>
        <v xml:space="preserve"> </v>
      </c>
      <c r="J526" s="71" t="str">
        <f>IF(ISBLANK('ALL Other SINs - Proposal'!X526)," ",'ALL Other SINs - Proposal'!X526)</f>
        <v xml:space="preserve"> </v>
      </c>
      <c r="K526" s="165" t="str">
        <f>IF(ISBLANK('ALL Other SINs - Proposal'!AA526)," ",'ALL Other SINs - Proposal'!AA526)</f>
        <v xml:space="preserve"> </v>
      </c>
      <c r="L526" s="178" t="str">
        <f>IF(ISBLANK('ALL Other SINs - Proposal'!AB526)," ",'ALL Other SINs - Proposal'!AB526)</f>
        <v xml:space="preserve"> </v>
      </c>
      <c r="M526" s="72" t="str">
        <f t="shared" si="16"/>
        <v xml:space="preserve"> </v>
      </c>
      <c r="N526" s="167" t="str">
        <f t="shared" si="17"/>
        <v xml:space="preserve"> </v>
      </c>
    </row>
    <row r="527" spans="1:14" ht="15" x14ac:dyDescent="0.25">
      <c r="A527" s="131" t="str">
        <f>IF(ISBLANK('ALL Other SINs - Proposal'!A527)," ",'ALL Other SINs - Proposal'!A527)</f>
        <v xml:space="preserve"> </v>
      </c>
      <c r="B527" s="137" t="str">
        <f>IF(ISBLANK('ALL Other SINs - Proposal'!B527)," ",'ALL Other SINs - Proposal'!B527)</f>
        <v xml:space="preserve"> </v>
      </c>
      <c r="C527" s="137" t="str">
        <f>IF(ISBLANK('ALL Other SINs - Proposal'!C527)," ",'ALL Other SINs - Proposal'!C527)</f>
        <v xml:space="preserve"> </v>
      </c>
      <c r="D527" s="138" t="str">
        <f>IF(ISBLANK('ALL Other SINs - Proposal'!D527)," ",'ALL Other SINs - Proposal'!D527)</f>
        <v xml:space="preserve"> </v>
      </c>
      <c r="E527" s="69" t="str">
        <f>IF(ISBLANK('ALL Other SINs - Proposal'!R527)," ",'ALL Other SINs - Proposal'!R527)</f>
        <v xml:space="preserve"> </v>
      </c>
      <c r="F527" s="73" t="str">
        <f>IF(ISBLANK('ALL Other SINs - Proposal'!S527)," ",'ALL Other SINs - Proposal'!S527)</f>
        <v xml:space="preserve"> </v>
      </c>
      <c r="G527" s="173" t="str">
        <f>IF(ISBLANK('ALL Other SINs - Proposal'!T527)," ",'ALL Other SINs - Proposal'!T527)</f>
        <v xml:space="preserve"> </v>
      </c>
      <c r="H527" s="275" t="str">
        <f>IF(ISBLANK('ALL Other SINs - Proposal'!V527)," ",'ALL Other SINs - Proposal'!V527)</f>
        <v xml:space="preserve"> </v>
      </c>
      <c r="I527" s="271" t="str">
        <f>IF(ISBLANK('ALL Other SINs - Proposal'!W527)," ",'ALL Other SINs - Proposal'!W527)</f>
        <v xml:space="preserve"> </v>
      </c>
      <c r="J527" s="71" t="str">
        <f>IF(ISBLANK('ALL Other SINs - Proposal'!X527)," ",'ALL Other SINs - Proposal'!X527)</f>
        <v xml:space="preserve"> </v>
      </c>
      <c r="K527" s="165" t="str">
        <f>IF(ISBLANK('ALL Other SINs - Proposal'!AA527)," ",'ALL Other SINs - Proposal'!AA527)</f>
        <v xml:space="preserve"> </v>
      </c>
      <c r="L527" s="178" t="str">
        <f>IF(ISBLANK('ALL Other SINs - Proposal'!AB527)," ",'ALL Other SINs - Proposal'!AB527)</f>
        <v xml:space="preserve"> </v>
      </c>
      <c r="M527" s="72" t="str">
        <f t="shared" si="16"/>
        <v xml:space="preserve"> </v>
      </c>
      <c r="N527" s="167" t="str">
        <f t="shared" si="17"/>
        <v xml:space="preserve"> </v>
      </c>
    </row>
    <row r="528" spans="1:14" ht="15" x14ac:dyDescent="0.25">
      <c r="A528" s="131" t="str">
        <f>IF(ISBLANK('ALL Other SINs - Proposal'!A528)," ",'ALL Other SINs - Proposal'!A528)</f>
        <v xml:space="preserve"> </v>
      </c>
      <c r="B528" s="137" t="str">
        <f>IF(ISBLANK('ALL Other SINs - Proposal'!B528)," ",'ALL Other SINs - Proposal'!B528)</f>
        <v xml:space="preserve"> </v>
      </c>
      <c r="C528" s="137" t="str">
        <f>IF(ISBLANK('ALL Other SINs - Proposal'!C528)," ",'ALL Other SINs - Proposal'!C528)</f>
        <v xml:space="preserve"> </v>
      </c>
      <c r="D528" s="138" t="str">
        <f>IF(ISBLANK('ALL Other SINs - Proposal'!D528)," ",'ALL Other SINs - Proposal'!D528)</f>
        <v xml:space="preserve"> </v>
      </c>
      <c r="E528" s="69" t="str">
        <f>IF(ISBLANK('ALL Other SINs - Proposal'!R528)," ",'ALL Other SINs - Proposal'!R528)</f>
        <v xml:space="preserve"> </v>
      </c>
      <c r="F528" s="73" t="str">
        <f>IF(ISBLANK('ALL Other SINs - Proposal'!S528)," ",'ALL Other SINs - Proposal'!S528)</f>
        <v xml:space="preserve"> </v>
      </c>
      <c r="G528" s="173" t="str">
        <f>IF(ISBLANK('ALL Other SINs - Proposal'!T528)," ",'ALL Other SINs - Proposal'!T528)</f>
        <v xml:space="preserve"> </v>
      </c>
      <c r="H528" s="275" t="str">
        <f>IF(ISBLANK('ALL Other SINs - Proposal'!V528)," ",'ALL Other SINs - Proposal'!V528)</f>
        <v xml:space="preserve"> </v>
      </c>
      <c r="I528" s="271" t="str">
        <f>IF(ISBLANK('ALL Other SINs - Proposal'!W528)," ",'ALL Other SINs - Proposal'!W528)</f>
        <v xml:space="preserve"> </v>
      </c>
      <c r="J528" s="71" t="str">
        <f>IF(ISBLANK('ALL Other SINs - Proposal'!X528)," ",'ALL Other SINs - Proposal'!X528)</f>
        <v xml:space="preserve"> </v>
      </c>
      <c r="K528" s="165" t="str">
        <f>IF(ISBLANK('ALL Other SINs - Proposal'!AA528)," ",'ALL Other SINs - Proposal'!AA528)</f>
        <v xml:space="preserve"> </v>
      </c>
      <c r="L528" s="178" t="str">
        <f>IF(ISBLANK('ALL Other SINs - Proposal'!AB528)," ",'ALL Other SINs - Proposal'!AB528)</f>
        <v xml:space="preserve"> </v>
      </c>
      <c r="M528" s="72" t="str">
        <f t="shared" si="16"/>
        <v xml:space="preserve"> </v>
      </c>
      <c r="N528" s="167" t="str">
        <f t="shared" si="17"/>
        <v xml:space="preserve"> </v>
      </c>
    </row>
    <row r="529" spans="1:14" ht="15" x14ac:dyDescent="0.25">
      <c r="A529" s="131" t="str">
        <f>IF(ISBLANK('ALL Other SINs - Proposal'!A529)," ",'ALL Other SINs - Proposal'!A529)</f>
        <v xml:space="preserve"> </v>
      </c>
      <c r="B529" s="137" t="str">
        <f>IF(ISBLANK('ALL Other SINs - Proposal'!B529)," ",'ALL Other SINs - Proposal'!B529)</f>
        <v xml:space="preserve"> </v>
      </c>
      <c r="C529" s="137" t="str">
        <f>IF(ISBLANK('ALL Other SINs - Proposal'!C529)," ",'ALL Other SINs - Proposal'!C529)</f>
        <v xml:space="preserve"> </v>
      </c>
      <c r="D529" s="138" t="str">
        <f>IF(ISBLANK('ALL Other SINs - Proposal'!D529)," ",'ALL Other SINs - Proposal'!D529)</f>
        <v xml:space="preserve"> </v>
      </c>
      <c r="E529" s="69" t="str">
        <f>IF(ISBLANK('ALL Other SINs - Proposal'!R529)," ",'ALL Other SINs - Proposal'!R529)</f>
        <v xml:space="preserve"> </v>
      </c>
      <c r="F529" s="73" t="str">
        <f>IF(ISBLANK('ALL Other SINs - Proposal'!S529)," ",'ALL Other SINs - Proposal'!S529)</f>
        <v xml:space="preserve"> </v>
      </c>
      <c r="G529" s="173" t="str">
        <f>IF(ISBLANK('ALL Other SINs - Proposal'!T529)," ",'ALL Other SINs - Proposal'!T529)</f>
        <v xml:space="preserve"> </v>
      </c>
      <c r="H529" s="275" t="str">
        <f>IF(ISBLANK('ALL Other SINs - Proposal'!V529)," ",'ALL Other SINs - Proposal'!V529)</f>
        <v xml:space="preserve"> </v>
      </c>
      <c r="I529" s="271" t="str">
        <f>IF(ISBLANK('ALL Other SINs - Proposal'!W529)," ",'ALL Other SINs - Proposal'!W529)</f>
        <v xml:space="preserve"> </v>
      </c>
      <c r="J529" s="71" t="str">
        <f>IF(ISBLANK('ALL Other SINs - Proposal'!X529)," ",'ALL Other SINs - Proposal'!X529)</f>
        <v xml:space="preserve"> </v>
      </c>
      <c r="K529" s="165" t="str">
        <f>IF(ISBLANK('ALL Other SINs - Proposal'!AA529)," ",'ALL Other SINs - Proposal'!AA529)</f>
        <v xml:space="preserve"> </v>
      </c>
      <c r="L529" s="178" t="str">
        <f>IF(ISBLANK('ALL Other SINs - Proposal'!AB529)," ",'ALL Other SINs - Proposal'!AB529)</f>
        <v xml:space="preserve"> </v>
      </c>
      <c r="M529" s="72" t="str">
        <f t="shared" si="16"/>
        <v xml:space="preserve"> </v>
      </c>
      <c r="N529" s="167" t="str">
        <f t="shared" si="17"/>
        <v xml:space="preserve"> </v>
      </c>
    </row>
    <row r="530" spans="1:14" ht="15" x14ac:dyDescent="0.25">
      <c r="A530" s="131" t="str">
        <f>IF(ISBLANK('ALL Other SINs - Proposal'!A530)," ",'ALL Other SINs - Proposal'!A530)</f>
        <v xml:space="preserve"> </v>
      </c>
      <c r="B530" s="137" t="str">
        <f>IF(ISBLANK('ALL Other SINs - Proposal'!B530)," ",'ALL Other SINs - Proposal'!B530)</f>
        <v xml:space="preserve"> </v>
      </c>
      <c r="C530" s="137" t="str">
        <f>IF(ISBLANK('ALL Other SINs - Proposal'!C530)," ",'ALL Other SINs - Proposal'!C530)</f>
        <v xml:space="preserve"> </v>
      </c>
      <c r="D530" s="138" t="str">
        <f>IF(ISBLANK('ALL Other SINs - Proposal'!D530)," ",'ALL Other SINs - Proposal'!D530)</f>
        <v xml:space="preserve"> </v>
      </c>
      <c r="E530" s="69" t="str">
        <f>IF(ISBLANK('ALL Other SINs - Proposal'!R530)," ",'ALL Other SINs - Proposal'!R530)</f>
        <v xml:space="preserve"> </v>
      </c>
      <c r="F530" s="73" t="str">
        <f>IF(ISBLANK('ALL Other SINs - Proposal'!S530)," ",'ALL Other SINs - Proposal'!S530)</f>
        <v xml:space="preserve"> </v>
      </c>
      <c r="G530" s="173" t="str">
        <f>IF(ISBLANK('ALL Other SINs - Proposal'!T530)," ",'ALL Other SINs - Proposal'!T530)</f>
        <v xml:space="preserve"> </v>
      </c>
      <c r="H530" s="275" t="str">
        <f>IF(ISBLANK('ALL Other SINs - Proposal'!V530)," ",'ALL Other SINs - Proposal'!V530)</f>
        <v xml:space="preserve"> </v>
      </c>
      <c r="I530" s="271" t="str">
        <f>IF(ISBLANK('ALL Other SINs - Proposal'!W530)," ",'ALL Other SINs - Proposal'!W530)</f>
        <v xml:space="preserve"> </v>
      </c>
      <c r="J530" s="71" t="str">
        <f>IF(ISBLANK('ALL Other SINs - Proposal'!X530)," ",'ALL Other SINs - Proposal'!X530)</f>
        <v xml:space="preserve"> </v>
      </c>
      <c r="K530" s="165" t="str">
        <f>IF(ISBLANK('ALL Other SINs - Proposal'!AA530)," ",'ALL Other SINs - Proposal'!AA530)</f>
        <v xml:space="preserve"> </v>
      </c>
      <c r="L530" s="178" t="str">
        <f>IF(ISBLANK('ALL Other SINs - Proposal'!AB530)," ",'ALL Other SINs - Proposal'!AB530)</f>
        <v xml:space="preserve"> </v>
      </c>
      <c r="M530" s="72" t="str">
        <f t="shared" si="16"/>
        <v xml:space="preserve"> </v>
      </c>
      <c r="N530" s="167" t="str">
        <f t="shared" si="17"/>
        <v xml:space="preserve"> </v>
      </c>
    </row>
    <row r="531" spans="1:14" ht="15" x14ac:dyDescent="0.25">
      <c r="A531" s="131" t="str">
        <f>IF(ISBLANK('ALL Other SINs - Proposal'!A531)," ",'ALL Other SINs - Proposal'!A531)</f>
        <v xml:space="preserve"> </v>
      </c>
      <c r="B531" s="137" t="str">
        <f>IF(ISBLANK('ALL Other SINs - Proposal'!B531)," ",'ALL Other SINs - Proposal'!B531)</f>
        <v xml:space="preserve"> </v>
      </c>
      <c r="C531" s="137" t="str">
        <f>IF(ISBLANK('ALL Other SINs - Proposal'!C531)," ",'ALL Other SINs - Proposal'!C531)</f>
        <v xml:space="preserve"> </v>
      </c>
      <c r="D531" s="138" t="str">
        <f>IF(ISBLANK('ALL Other SINs - Proposal'!D531)," ",'ALL Other SINs - Proposal'!D531)</f>
        <v xml:space="preserve"> </v>
      </c>
      <c r="E531" s="69" t="str">
        <f>IF(ISBLANK('ALL Other SINs - Proposal'!R531)," ",'ALL Other SINs - Proposal'!R531)</f>
        <v xml:space="preserve"> </v>
      </c>
      <c r="F531" s="73" t="str">
        <f>IF(ISBLANK('ALL Other SINs - Proposal'!S531)," ",'ALL Other SINs - Proposal'!S531)</f>
        <v xml:space="preserve"> </v>
      </c>
      <c r="G531" s="173" t="str">
        <f>IF(ISBLANK('ALL Other SINs - Proposal'!T531)," ",'ALL Other SINs - Proposal'!T531)</f>
        <v xml:space="preserve"> </v>
      </c>
      <c r="H531" s="275" t="str">
        <f>IF(ISBLANK('ALL Other SINs - Proposal'!V531)," ",'ALL Other SINs - Proposal'!V531)</f>
        <v xml:space="preserve"> </v>
      </c>
      <c r="I531" s="271" t="str">
        <f>IF(ISBLANK('ALL Other SINs - Proposal'!W531)," ",'ALL Other SINs - Proposal'!W531)</f>
        <v xml:space="preserve"> </v>
      </c>
      <c r="J531" s="71" t="str">
        <f>IF(ISBLANK('ALL Other SINs - Proposal'!X531)," ",'ALL Other SINs - Proposal'!X531)</f>
        <v xml:space="preserve"> </v>
      </c>
      <c r="K531" s="165" t="str">
        <f>IF(ISBLANK('ALL Other SINs - Proposal'!AA531)," ",'ALL Other SINs - Proposal'!AA531)</f>
        <v xml:space="preserve"> </v>
      </c>
      <c r="L531" s="178" t="str">
        <f>IF(ISBLANK('ALL Other SINs - Proposal'!AB531)," ",'ALL Other SINs - Proposal'!AB531)</f>
        <v xml:space="preserve"> </v>
      </c>
      <c r="M531" s="72" t="str">
        <f t="shared" si="16"/>
        <v xml:space="preserve"> </v>
      </c>
      <c r="N531" s="167" t="str">
        <f t="shared" si="17"/>
        <v xml:space="preserve"> </v>
      </c>
    </row>
    <row r="532" spans="1:14" ht="15" x14ac:dyDescent="0.25">
      <c r="A532" s="131" t="str">
        <f>IF(ISBLANK('ALL Other SINs - Proposal'!A532)," ",'ALL Other SINs - Proposal'!A532)</f>
        <v xml:space="preserve"> </v>
      </c>
      <c r="B532" s="137" t="str">
        <f>IF(ISBLANK('ALL Other SINs - Proposal'!B532)," ",'ALL Other SINs - Proposal'!B532)</f>
        <v xml:space="preserve"> </v>
      </c>
      <c r="C532" s="137" t="str">
        <f>IF(ISBLANK('ALL Other SINs - Proposal'!C532)," ",'ALL Other SINs - Proposal'!C532)</f>
        <v xml:space="preserve"> </v>
      </c>
      <c r="D532" s="138" t="str">
        <f>IF(ISBLANK('ALL Other SINs - Proposal'!D532)," ",'ALL Other SINs - Proposal'!D532)</f>
        <v xml:space="preserve"> </v>
      </c>
      <c r="E532" s="69" t="str">
        <f>IF(ISBLANK('ALL Other SINs - Proposal'!R532)," ",'ALL Other SINs - Proposal'!R532)</f>
        <v xml:space="preserve"> </v>
      </c>
      <c r="F532" s="73" t="str">
        <f>IF(ISBLANK('ALL Other SINs - Proposal'!S532)," ",'ALL Other SINs - Proposal'!S532)</f>
        <v xml:space="preserve"> </v>
      </c>
      <c r="G532" s="173" t="str">
        <f>IF(ISBLANK('ALL Other SINs - Proposal'!T532)," ",'ALL Other SINs - Proposal'!T532)</f>
        <v xml:space="preserve"> </v>
      </c>
      <c r="H532" s="275" t="str">
        <f>IF(ISBLANK('ALL Other SINs - Proposal'!V532)," ",'ALL Other SINs - Proposal'!V532)</f>
        <v xml:space="preserve"> </v>
      </c>
      <c r="I532" s="271" t="str">
        <f>IF(ISBLANK('ALL Other SINs - Proposal'!W532)," ",'ALL Other SINs - Proposal'!W532)</f>
        <v xml:space="preserve"> </v>
      </c>
      <c r="J532" s="71" t="str">
        <f>IF(ISBLANK('ALL Other SINs - Proposal'!X532)," ",'ALL Other SINs - Proposal'!X532)</f>
        <v xml:space="preserve"> </v>
      </c>
      <c r="K532" s="165" t="str">
        <f>IF(ISBLANK('ALL Other SINs - Proposal'!AA532)," ",'ALL Other SINs - Proposal'!AA532)</f>
        <v xml:space="preserve"> </v>
      </c>
      <c r="L532" s="178" t="str">
        <f>IF(ISBLANK('ALL Other SINs - Proposal'!AB532)," ",'ALL Other SINs - Proposal'!AB532)</f>
        <v xml:space="preserve"> </v>
      </c>
      <c r="M532" s="72" t="str">
        <f t="shared" si="16"/>
        <v xml:space="preserve"> </v>
      </c>
      <c r="N532" s="167" t="str">
        <f t="shared" si="17"/>
        <v xml:space="preserve"> </v>
      </c>
    </row>
    <row r="533" spans="1:14" ht="15" x14ac:dyDescent="0.25">
      <c r="A533" s="131" t="str">
        <f>IF(ISBLANK('ALL Other SINs - Proposal'!A533)," ",'ALL Other SINs - Proposal'!A533)</f>
        <v xml:space="preserve"> </v>
      </c>
      <c r="B533" s="137" t="str">
        <f>IF(ISBLANK('ALL Other SINs - Proposal'!B533)," ",'ALL Other SINs - Proposal'!B533)</f>
        <v xml:space="preserve"> </v>
      </c>
      <c r="C533" s="137" t="str">
        <f>IF(ISBLANK('ALL Other SINs - Proposal'!C533)," ",'ALL Other SINs - Proposal'!C533)</f>
        <v xml:space="preserve"> </v>
      </c>
      <c r="D533" s="138" t="str">
        <f>IF(ISBLANK('ALL Other SINs - Proposal'!D533)," ",'ALL Other SINs - Proposal'!D533)</f>
        <v xml:space="preserve"> </v>
      </c>
      <c r="E533" s="69" t="str">
        <f>IF(ISBLANK('ALL Other SINs - Proposal'!R533)," ",'ALL Other SINs - Proposal'!R533)</f>
        <v xml:space="preserve"> </v>
      </c>
      <c r="F533" s="73" t="str">
        <f>IF(ISBLANK('ALL Other SINs - Proposal'!S533)," ",'ALL Other SINs - Proposal'!S533)</f>
        <v xml:space="preserve"> </v>
      </c>
      <c r="G533" s="173" t="str">
        <f>IF(ISBLANK('ALL Other SINs - Proposal'!T533)," ",'ALL Other SINs - Proposal'!T533)</f>
        <v xml:space="preserve"> </v>
      </c>
      <c r="H533" s="275" t="str">
        <f>IF(ISBLANK('ALL Other SINs - Proposal'!V533)," ",'ALL Other SINs - Proposal'!V533)</f>
        <v xml:space="preserve"> </v>
      </c>
      <c r="I533" s="271" t="str">
        <f>IF(ISBLANK('ALL Other SINs - Proposal'!W533)," ",'ALL Other SINs - Proposal'!W533)</f>
        <v xml:space="preserve"> </v>
      </c>
      <c r="J533" s="71" t="str">
        <f>IF(ISBLANK('ALL Other SINs - Proposal'!X533)," ",'ALL Other SINs - Proposal'!X533)</f>
        <v xml:space="preserve"> </v>
      </c>
      <c r="K533" s="165" t="str">
        <f>IF(ISBLANK('ALL Other SINs - Proposal'!AA533)," ",'ALL Other SINs - Proposal'!AA533)</f>
        <v xml:space="preserve"> </v>
      </c>
      <c r="L533" s="178" t="str">
        <f>IF(ISBLANK('ALL Other SINs - Proposal'!AB533)," ",'ALL Other SINs - Proposal'!AB533)</f>
        <v xml:space="preserve"> </v>
      </c>
      <c r="M533" s="72" t="str">
        <f t="shared" si="16"/>
        <v xml:space="preserve"> </v>
      </c>
      <c r="N533" s="167" t="str">
        <f t="shared" si="17"/>
        <v xml:space="preserve"> </v>
      </c>
    </row>
    <row r="534" spans="1:14" ht="15" x14ac:dyDescent="0.25">
      <c r="A534" s="131" t="str">
        <f>IF(ISBLANK('ALL Other SINs - Proposal'!A534)," ",'ALL Other SINs - Proposal'!A534)</f>
        <v xml:space="preserve"> </v>
      </c>
      <c r="B534" s="137" t="str">
        <f>IF(ISBLANK('ALL Other SINs - Proposal'!B534)," ",'ALL Other SINs - Proposal'!B534)</f>
        <v xml:space="preserve"> </v>
      </c>
      <c r="C534" s="137" t="str">
        <f>IF(ISBLANK('ALL Other SINs - Proposal'!C534)," ",'ALL Other SINs - Proposal'!C534)</f>
        <v xml:space="preserve"> </v>
      </c>
      <c r="D534" s="138" t="str">
        <f>IF(ISBLANK('ALL Other SINs - Proposal'!D534)," ",'ALL Other SINs - Proposal'!D534)</f>
        <v xml:space="preserve"> </v>
      </c>
      <c r="E534" s="69" t="str">
        <f>IF(ISBLANK('ALL Other SINs - Proposal'!R534)," ",'ALL Other SINs - Proposal'!R534)</f>
        <v xml:space="preserve"> </v>
      </c>
      <c r="F534" s="73" t="str">
        <f>IF(ISBLANK('ALL Other SINs - Proposal'!S534)," ",'ALL Other SINs - Proposal'!S534)</f>
        <v xml:space="preserve"> </v>
      </c>
      <c r="G534" s="173" t="str">
        <f>IF(ISBLANK('ALL Other SINs - Proposal'!T534)," ",'ALL Other SINs - Proposal'!T534)</f>
        <v xml:space="preserve"> </v>
      </c>
      <c r="H534" s="275" t="str">
        <f>IF(ISBLANK('ALL Other SINs - Proposal'!V534)," ",'ALL Other SINs - Proposal'!V534)</f>
        <v xml:space="preserve"> </v>
      </c>
      <c r="I534" s="271" t="str">
        <f>IF(ISBLANK('ALL Other SINs - Proposal'!W534)," ",'ALL Other SINs - Proposal'!W534)</f>
        <v xml:space="preserve"> </v>
      </c>
      <c r="J534" s="71" t="str">
        <f>IF(ISBLANK('ALL Other SINs - Proposal'!X534)," ",'ALL Other SINs - Proposal'!X534)</f>
        <v xml:space="preserve"> </v>
      </c>
      <c r="K534" s="165" t="str">
        <f>IF(ISBLANK('ALL Other SINs - Proposal'!AA534)," ",'ALL Other SINs - Proposal'!AA534)</f>
        <v xml:space="preserve"> </v>
      </c>
      <c r="L534" s="178" t="str">
        <f>IF(ISBLANK('ALL Other SINs - Proposal'!AB534)," ",'ALL Other SINs - Proposal'!AB534)</f>
        <v xml:space="preserve"> </v>
      </c>
      <c r="M534" s="72" t="str">
        <f t="shared" si="16"/>
        <v xml:space="preserve"> </v>
      </c>
      <c r="N534" s="167" t="str">
        <f t="shared" si="17"/>
        <v xml:space="preserve"> </v>
      </c>
    </row>
    <row r="535" spans="1:14" ht="15" x14ac:dyDescent="0.25">
      <c r="A535" s="131" t="str">
        <f>IF(ISBLANK('ALL Other SINs - Proposal'!A535)," ",'ALL Other SINs - Proposal'!A535)</f>
        <v xml:space="preserve"> </v>
      </c>
      <c r="B535" s="137" t="str">
        <f>IF(ISBLANK('ALL Other SINs - Proposal'!B535)," ",'ALL Other SINs - Proposal'!B535)</f>
        <v xml:space="preserve"> </v>
      </c>
      <c r="C535" s="137" t="str">
        <f>IF(ISBLANK('ALL Other SINs - Proposal'!C535)," ",'ALL Other SINs - Proposal'!C535)</f>
        <v xml:space="preserve"> </v>
      </c>
      <c r="D535" s="138" t="str">
        <f>IF(ISBLANK('ALL Other SINs - Proposal'!D535)," ",'ALL Other SINs - Proposal'!D535)</f>
        <v xml:space="preserve"> </v>
      </c>
      <c r="E535" s="69" t="str">
        <f>IF(ISBLANK('ALL Other SINs - Proposal'!R535)," ",'ALL Other SINs - Proposal'!R535)</f>
        <v xml:space="preserve"> </v>
      </c>
      <c r="F535" s="73" t="str">
        <f>IF(ISBLANK('ALL Other SINs - Proposal'!S535)," ",'ALL Other SINs - Proposal'!S535)</f>
        <v xml:space="preserve"> </v>
      </c>
      <c r="G535" s="173" t="str">
        <f>IF(ISBLANK('ALL Other SINs - Proposal'!T535)," ",'ALL Other SINs - Proposal'!T535)</f>
        <v xml:space="preserve"> </v>
      </c>
      <c r="H535" s="275" t="str">
        <f>IF(ISBLANK('ALL Other SINs - Proposal'!V535)," ",'ALL Other SINs - Proposal'!V535)</f>
        <v xml:space="preserve"> </v>
      </c>
      <c r="I535" s="271" t="str">
        <f>IF(ISBLANK('ALL Other SINs - Proposal'!W535)," ",'ALL Other SINs - Proposal'!W535)</f>
        <v xml:space="preserve"> </v>
      </c>
      <c r="J535" s="71" t="str">
        <f>IF(ISBLANK('ALL Other SINs - Proposal'!X535)," ",'ALL Other SINs - Proposal'!X535)</f>
        <v xml:space="preserve"> </v>
      </c>
      <c r="K535" s="165" t="str">
        <f>IF(ISBLANK('ALL Other SINs - Proposal'!AA535)," ",'ALL Other SINs - Proposal'!AA535)</f>
        <v xml:space="preserve"> </v>
      </c>
      <c r="L535" s="178" t="str">
        <f>IF(ISBLANK('ALL Other SINs - Proposal'!AB535)," ",'ALL Other SINs - Proposal'!AB535)</f>
        <v xml:space="preserve"> </v>
      </c>
      <c r="M535" s="72" t="str">
        <f t="shared" si="16"/>
        <v xml:space="preserve"> </v>
      </c>
      <c r="N535" s="167" t="str">
        <f t="shared" si="17"/>
        <v xml:space="preserve"> </v>
      </c>
    </row>
    <row r="536" spans="1:14" ht="15" x14ac:dyDescent="0.25">
      <c r="A536" s="131" t="str">
        <f>IF(ISBLANK('ALL Other SINs - Proposal'!A536)," ",'ALL Other SINs - Proposal'!A536)</f>
        <v xml:space="preserve"> </v>
      </c>
      <c r="B536" s="137" t="str">
        <f>IF(ISBLANK('ALL Other SINs - Proposal'!B536)," ",'ALL Other SINs - Proposal'!B536)</f>
        <v xml:space="preserve"> </v>
      </c>
      <c r="C536" s="137" t="str">
        <f>IF(ISBLANK('ALL Other SINs - Proposal'!C536)," ",'ALL Other SINs - Proposal'!C536)</f>
        <v xml:space="preserve"> </v>
      </c>
      <c r="D536" s="138" t="str">
        <f>IF(ISBLANK('ALL Other SINs - Proposal'!D536)," ",'ALL Other SINs - Proposal'!D536)</f>
        <v xml:space="preserve"> </v>
      </c>
      <c r="E536" s="69" t="str">
        <f>IF(ISBLANK('ALL Other SINs - Proposal'!R536)," ",'ALL Other SINs - Proposal'!R536)</f>
        <v xml:space="preserve"> </v>
      </c>
      <c r="F536" s="73" t="str">
        <f>IF(ISBLANK('ALL Other SINs - Proposal'!S536)," ",'ALL Other SINs - Proposal'!S536)</f>
        <v xml:space="preserve"> </v>
      </c>
      <c r="G536" s="173" t="str">
        <f>IF(ISBLANK('ALL Other SINs - Proposal'!T536)," ",'ALL Other SINs - Proposal'!T536)</f>
        <v xml:space="preserve"> </v>
      </c>
      <c r="H536" s="275" t="str">
        <f>IF(ISBLANK('ALL Other SINs - Proposal'!V536)," ",'ALL Other SINs - Proposal'!V536)</f>
        <v xml:space="preserve"> </v>
      </c>
      <c r="I536" s="271" t="str">
        <f>IF(ISBLANK('ALL Other SINs - Proposal'!W536)," ",'ALL Other SINs - Proposal'!W536)</f>
        <v xml:space="preserve"> </v>
      </c>
      <c r="J536" s="71" t="str">
        <f>IF(ISBLANK('ALL Other SINs - Proposal'!X536)," ",'ALL Other SINs - Proposal'!X536)</f>
        <v xml:space="preserve"> </v>
      </c>
      <c r="K536" s="165" t="str">
        <f>IF(ISBLANK('ALL Other SINs - Proposal'!AA536)," ",'ALL Other SINs - Proposal'!AA536)</f>
        <v xml:space="preserve"> </v>
      </c>
      <c r="L536" s="178" t="str">
        <f>IF(ISBLANK('ALL Other SINs - Proposal'!AB536)," ",'ALL Other SINs - Proposal'!AB536)</f>
        <v xml:space="preserve"> </v>
      </c>
      <c r="M536" s="72" t="str">
        <f t="shared" si="16"/>
        <v xml:space="preserve"> </v>
      </c>
      <c r="N536" s="167" t="str">
        <f t="shared" si="17"/>
        <v xml:space="preserve"> </v>
      </c>
    </row>
    <row r="537" spans="1:14" ht="15" x14ac:dyDescent="0.25">
      <c r="A537" s="131" t="str">
        <f>IF(ISBLANK('ALL Other SINs - Proposal'!A537)," ",'ALL Other SINs - Proposal'!A537)</f>
        <v xml:space="preserve"> </v>
      </c>
      <c r="B537" s="137" t="str">
        <f>IF(ISBLANK('ALL Other SINs - Proposal'!B537)," ",'ALL Other SINs - Proposal'!B537)</f>
        <v xml:space="preserve"> </v>
      </c>
      <c r="C537" s="137" t="str">
        <f>IF(ISBLANK('ALL Other SINs - Proposal'!C537)," ",'ALL Other SINs - Proposal'!C537)</f>
        <v xml:space="preserve"> </v>
      </c>
      <c r="D537" s="138" t="str">
        <f>IF(ISBLANK('ALL Other SINs - Proposal'!D537)," ",'ALL Other SINs - Proposal'!D537)</f>
        <v xml:space="preserve"> </v>
      </c>
      <c r="E537" s="69" t="str">
        <f>IF(ISBLANK('ALL Other SINs - Proposal'!R537)," ",'ALL Other SINs - Proposal'!R537)</f>
        <v xml:space="preserve"> </v>
      </c>
      <c r="F537" s="73" t="str">
        <f>IF(ISBLANK('ALL Other SINs - Proposal'!S537)," ",'ALL Other SINs - Proposal'!S537)</f>
        <v xml:space="preserve"> </v>
      </c>
      <c r="G537" s="173" t="str">
        <f>IF(ISBLANK('ALL Other SINs - Proposal'!T537)," ",'ALL Other SINs - Proposal'!T537)</f>
        <v xml:space="preserve"> </v>
      </c>
      <c r="H537" s="275" t="str">
        <f>IF(ISBLANK('ALL Other SINs - Proposal'!V537)," ",'ALL Other SINs - Proposal'!V537)</f>
        <v xml:space="preserve"> </v>
      </c>
      <c r="I537" s="271" t="str">
        <f>IF(ISBLANK('ALL Other SINs - Proposal'!W537)," ",'ALL Other SINs - Proposal'!W537)</f>
        <v xml:space="preserve"> </v>
      </c>
      <c r="J537" s="71" t="str">
        <f>IF(ISBLANK('ALL Other SINs - Proposal'!X537)," ",'ALL Other SINs - Proposal'!X537)</f>
        <v xml:space="preserve"> </v>
      </c>
      <c r="K537" s="165" t="str">
        <f>IF(ISBLANK('ALL Other SINs - Proposal'!AA537)," ",'ALL Other SINs - Proposal'!AA537)</f>
        <v xml:space="preserve"> </v>
      </c>
      <c r="L537" s="178" t="str">
        <f>IF(ISBLANK('ALL Other SINs - Proposal'!AB537)," ",'ALL Other SINs - Proposal'!AB537)</f>
        <v xml:space="preserve"> </v>
      </c>
      <c r="M537" s="72" t="str">
        <f t="shared" si="16"/>
        <v xml:space="preserve"> </v>
      </c>
      <c r="N537" s="167" t="str">
        <f t="shared" si="17"/>
        <v xml:space="preserve"> </v>
      </c>
    </row>
    <row r="538" spans="1:14" ht="15" x14ac:dyDescent="0.25">
      <c r="A538" s="131" t="str">
        <f>IF(ISBLANK('ALL Other SINs - Proposal'!A538)," ",'ALL Other SINs - Proposal'!A538)</f>
        <v xml:space="preserve"> </v>
      </c>
      <c r="B538" s="137" t="str">
        <f>IF(ISBLANK('ALL Other SINs - Proposal'!B538)," ",'ALL Other SINs - Proposal'!B538)</f>
        <v xml:space="preserve"> </v>
      </c>
      <c r="C538" s="137" t="str">
        <f>IF(ISBLANK('ALL Other SINs - Proposal'!C538)," ",'ALL Other SINs - Proposal'!C538)</f>
        <v xml:space="preserve"> </v>
      </c>
      <c r="D538" s="138" t="str">
        <f>IF(ISBLANK('ALL Other SINs - Proposal'!D538)," ",'ALL Other SINs - Proposal'!D538)</f>
        <v xml:space="preserve"> </v>
      </c>
      <c r="E538" s="69" t="str">
        <f>IF(ISBLANK('ALL Other SINs - Proposal'!R538)," ",'ALL Other SINs - Proposal'!R538)</f>
        <v xml:space="preserve"> </v>
      </c>
      <c r="F538" s="73" t="str">
        <f>IF(ISBLANK('ALL Other SINs - Proposal'!S538)," ",'ALL Other SINs - Proposal'!S538)</f>
        <v xml:space="preserve"> </v>
      </c>
      <c r="G538" s="173" t="str">
        <f>IF(ISBLANK('ALL Other SINs - Proposal'!T538)," ",'ALL Other SINs - Proposal'!T538)</f>
        <v xml:space="preserve"> </v>
      </c>
      <c r="H538" s="275" t="str">
        <f>IF(ISBLANK('ALL Other SINs - Proposal'!V538)," ",'ALL Other SINs - Proposal'!V538)</f>
        <v xml:space="preserve"> </v>
      </c>
      <c r="I538" s="271" t="str">
        <f>IF(ISBLANK('ALL Other SINs - Proposal'!W538)," ",'ALL Other SINs - Proposal'!W538)</f>
        <v xml:space="preserve"> </v>
      </c>
      <c r="J538" s="71" t="str">
        <f>IF(ISBLANK('ALL Other SINs - Proposal'!X538)," ",'ALL Other SINs - Proposal'!X538)</f>
        <v xml:space="preserve"> </v>
      </c>
      <c r="K538" s="165" t="str">
        <f>IF(ISBLANK('ALL Other SINs - Proposal'!AA538)," ",'ALL Other SINs - Proposal'!AA538)</f>
        <v xml:space="preserve"> </v>
      </c>
      <c r="L538" s="178" t="str">
        <f>IF(ISBLANK('ALL Other SINs - Proposal'!AB538)," ",'ALL Other SINs - Proposal'!AB538)</f>
        <v xml:space="preserve"> </v>
      </c>
      <c r="M538" s="72" t="str">
        <f t="shared" si="16"/>
        <v xml:space="preserve"> </v>
      </c>
      <c r="N538" s="167" t="str">
        <f t="shared" si="17"/>
        <v xml:space="preserve"> </v>
      </c>
    </row>
    <row r="539" spans="1:14" ht="15" x14ac:dyDescent="0.25">
      <c r="A539" s="131" t="str">
        <f>IF(ISBLANK('ALL Other SINs - Proposal'!A539)," ",'ALL Other SINs - Proposal'!A539)</f>
        <v xml:space="preserve"> </v>
      </c>
      <c r="B539" s="137" t="str">
        <f>IF(ISBLANK('ALL Other SINs - Proposal'!B539)," ",'ALL Other SINs - Proposal'!B539)</f>
        <v xml:space="preserve"> </v>
      </c>
      <c r="C539" s="137" t="str">
        <f>IF(ISBLANK('ALL Other SINs - Proposal'!C539)," ",'ALL Other SINs - Proposal'!C539)</f>
        <v xml:space="preserve"> </v>
      </c>
      <c r="D539" s="138" t="str">
        <f>IF(ISBLANK('ALL Other SINs - Proposal'!D539)," ",'ALL Other SINs - Proposal'!D539)</f>
        <v xml:space="preserve"> </v>
      </c>
      <c r="E539" s="69" t="str">
        <f>IF(ISBLANK('ALL Other SINs - Proposal'!R539)," ",'ALL Other SINs - Proposal'!R539)</f>
        <v xml:space="preserve"> </v>
      </c>
      <c r="F539" s="73" t="str">
        <f>IF(ISBLANK('ALL Other SINs - Proposal'!S539)," ",'ALL Other SINs - Proposal'!S539)</f>
        <v xml:space="preserve"> </v>
      </c>
      <c r="G539" s="173" t="str">
        <f>IF(ISBLANK('ALL Other SINs - Proposal'!T539)," ",'ALL Other SINs - Proposal'!T539)</f>
        <v xml:space="preserve"> </v>
      </c>
      <c r="H539" s="275" t="str">
        <f>IF(ISBLANK('ALL Other SINs - Proposal'!V539)," ",'ALL Other SINs - Proposal'!V539)</f>
        <v xml:space="preserve"> </v>
      </c>
      <c r="I539" s="271" t="str">
        <f>IF(ISBLANK('ALL Other SINs - Proposal'!W539)," ",'ALL Other SINs - Proposal'!W539)</f>
        <v xml:space="preserve"> </v>
      </c>
      <c r="J539" s="71" t="str">
        <f>IF(ISBLANK('ALL Other SINs - Proposal'!X539)," ",'ALL Other SINs - Proposal'!X539)</f>
        <v xml:space="preserve"> </v>
      </c>
      <c r="K539" s="165" t="str">
        <f>IF(ISBLANK('ALL Other SINs - Proposal'!AA539)," ",'ALL Other SINs - Proposal'!AA539)</f>
        <v xml:space="preserve"> </v>
      </c>
      <c r="L539" s="178" t="str">
        <f>IF(ISBLANK('ALL Other SINs - Proposal'!AB539)," ",'ALL Other SINs - Proposal'!AB539)</f>
        <v xml:space="preserve"> </v>
      </c>
      <c r="M539" s="72" t="str">
        <f t="shared" si="16"/>
        <v xml:space="preserve"> </v>
      </c>
      <c r="N539" s="167" t="str">
        <f t="shared" si="17"/>
        <v xml:space="preserve"> </v>
      </c>
    </row>
    <row r="540" spans="1:14" ht="15" x14ac:dyDescent="0.25">
      <c r="A540" s="131" t="str">
        <f>IF(ISBLANK('ALL Other SINs - Proposal'!A540)," ",'ALL Other SINs - Proposal'!A540)</f>
        <v xml:space="preserve"> </v>
      </c>
      <c r="B540" s="137" t="str">
        <f>IF(ISBLANK('ALL Other SINs - Proposal'!B540)," ",'ALL Other SINs - Proposal'!B540)</f>
        <v xml:space="preserve"> </v>
      </c>
      <c r="C540" s="137" t="str">
        <f>IF(ISBLANK('ALL Other SINs - Proposal'!C540)," ",'ALL Other SINs - Proposal'!C540)</f>
        <v xml:space="preserve"> </v>
      </c>
      <c r="D540" s="138" t="str">
        <f>IF(ISBLANK('ALL Other SINs - Proposal'!D540)," ",'ALL Other SINs - Proposal'!D540)</f>
        <v xml:space="preserve"> </v>
      </c>
      <c r="E540" s="69" t="str">
        <f>IF(ISBLANK('ALL Other SINs - Proposal'!R540)," ",'ALL Other SINs - Proposal'!R540)</f>
        <v xml:space="preserve"> </v>
      </c>
      <c r="F540" s="73" t="str">
        <f>IF(ISBLANK('ALL Other SINs - Proposal'!S540)," ",'ALL Other SINs - Proposal'!S540)</f>
        <v xml:space="preserve"> </v>
      </c>
      <c r="G540" s="173" t="str">
        <f>IF(ISBLANK('ALL Other SINs - Proposal'!T540)," ",'ALL Other SINs - Proposal'!T540)</f>
        <v xml:space="preserve"> </v>
      </c>
      <c r="H540" s="275" t="str">
        <f>IF(ISBLANK('ALL Other SINs - Proposal'!V540)," ",'ALL Other SINs - Proposal'!V540)</f>
        <v xml:space="preserve"> </v>
      </c>
      <c r="I540" s="271" t="str">
        <f>IF(ISBLANK('ALL Other SINs - Proposal'!W540)," ",'ALL Other SINs - Proposal'!W540)</f>
        <v xml:space="preserve"> </v>
      </c>
      <c r="J540" s="71" t="str">
        <f>IF(ISBLANK('ALL Other SINs - Proposal'!X540)," ",'ALL Other SINs - Proposal'!X540)</f>
        <v xml:space="preserve"> </v>
      </c>
      <c r="K540" s="165" t="str">
        <f>IF(ISBLANK('ALL Other SINs - Proposal'!AA540)," ",'ALL Other SINs - Proposal'!AA540)</f>
        <v xml:space="preserve"> </v>
      </c>
      <c r="L540" s="178" t="str">
        <f>IF(ISBLANK('ALL Other SINs - Proposal'!AB540)," ",'ALL Other SINs - Proposal'!AB540)</f>
        <v xml:space="preserve"> </v>
      </c>
      <c r="M540" s="72" t="str">
        <f t="shared" si="16"/>
        <v xml:space="preserve"> </v>
      </c>
      <c r="N540" s="167" t="str">
        <f t="shared" si="17"/>
        <v xml:space="preserve"> </v>
      </c>
    </row>
    <row r="541" spans="1:14" ht="15" x14ac:dyDescent="0.25">
      <c r="A541" s="131" t="str">
        <f>IF(ISBLANK('ALL Other SINs - Proposal'!A541)," ",'ALL Other SINs - Proposal'!A541)</f>
        <v xml:space="preserve"> </v>
      </c>
      <c r="B541" s="137" t="str">
        <f>IF(ISBLANK('ALL Other SINs - Proposal'!B541)," ",'ALL Other SINs - Proposal'!B541)</f>
        <v xml:space="preserve"> </v>
      </c>
      <c r="C541" s="137" t="str">
        <f>IF(ISBLANK('ALL Other SINs - Proposal'!C541)," ",'ALL Other SINs - Proposal'!C541)</f>
        <v xml:space="preserve"> </v>
      </c>
      <c r="D541" s="138" t="str">
        <f>IF(ISBLANK('ALL Other SINs - Proposal'!D541)," ",'ALL Other SINs - Proposal'!D541)</f>
        <v xml:space="preserve"> </v>
      </c>
      <c r="E541" s="69" t="str">
        <f>IF(ISBLANK('ALL Other SINs - Proposal'!R541)," ",'ALL Other SINs - Proposal'!R541)</f>
        <v xml:space="preserve"> </v>
      </c>
      <c r="F541" s="73" t="str">
        <f>IF(ISBLANK('ALL Other SINs - Proposal'!S541)," ",'ALL Other SINs - Proposal'!S541)</f>
        <v xml:space="preserve"> </v>
      </c>
      <c r="G541" s="173" t="str">
        <f>IF(ISBLANK('ALL Other SINs - Proposal'!T541)," ",'ALL Other SINs - Proposal'!T541)</f>
        <v xml:space="preserve"> </v>
      </c>
      <c r="H541" s="275" t="str">
        <f>IF(ISBLANK('ALL Other SINs - Proposal'!V541)," ",'ALL Other SINs - Proposal'!V541)</f>
        <v xml:space="preserve"> </v>
      </c>
      <c r="I541" s="271" t="str">
        <f>IF(ISBLANK('ALL Other SINs - Proposal'!W541)," ",'ALL Other SINs - Proposal'!W541)</f>
        <v xml:space="preserve"> </v>
      </c>
      <c r="J541" s="71" t="str">
        <f>IF(ISBLANK('ALL Other SINs - Proposal'!X541)," ",'ALL Other SINs - Proposal'!X541)</f>
        <v xml:space="preserve"> </v>
      </c>
      <c r="K541" s="165" t="str">
        <f>IF(ISBLANK('ALL Other SINs - Proposal'!AA541)," ",'ALL Other SINs - Proposal'!AA541)</f>
        <v xml:space="preserve"> </v>
      </c>
      <c r="L541" s="178" t="str">
        <f>IF(ISBLANK('ALL Other SINs - Proposal'!AB541)," ",'ALL Other SINs - Proposal'!AB541)</f>
        <v xml:space="preserve"> </v>
      </c>
      <c r="M541" s="72" t="str">
        <f t="shared" si="16"/>
        <v xml:space="preserve"> </v>
      </c>
      <c r="N541" s="167" t="str">
        <f t="shared" si="17"/>
        <v xml:space="preserve"> </v>
      </c>
    </row>
    <row r="542" spans="1:14" ht="15" x14ac:dyDescent="0.25">
      <c r="A542" s="131" t="str">
        <f>IF(ISBLANK('ALL Other SINs - Proposal'!A542)," ",'ALL Other SINs - Proposal'!A542)</f>
        <v xml:space="preserve"> </v>
      </c>
      <c r="B542" s="137" t="str">
        <f>IF(ISBLANK('ALL Other SINs - Proposal'!B542)," ",'ALL Other SINs - Proposal'!B542)</f>
        <v xml:space="preserve"> </v>
      </c>
      <c r="C542" s="137" t="str">
        <f>IF(ISBLANK('ALL Other SINs - Proposal'!C542)," ",'ALL Other SINs - Proposal'!C542)</f>
        <v xml:space="preserve"> </v>
      </c>
      <c r="D542" s="138" t="str">
        <f>IF(ISBLANK('ALL Other SINs - Proposal'!D542)," ",'ALL Other SINs - Proposal'!D542)</f>
        <v xml:space="preserve"> </v>
      </c>
      <c r="E542" s="69" t="str">
        <f>IF(ISBLANK('ALL Other SINs - Proposal'!R542)," ",'ALL Other SINs - Proposal'!R542)</f>
        <v xml:space="preserve"> </v>
      </c>
      <c r="F542" s="73" t="str">
        <f>IF(ISBLANK('ALL Other SINs - Proposal'!S542)," ",'ALL Other SINs - Proposal'!S542)</f>
        <v xml:space="preserve"> </v>
      </c>
      <c r="G542" s="173" t="str">
        <f>IF(ISBLANK('ALL Other SINs - Proposal'!T542)," ",'ALL Other SINs - Proposal'!T542)</f>
        <v xml:space="preserve"> </v>
      </c>
      <c r="H542" s="275" t="str">
        <f>IF(ISBLANK('ALL Other SINs - Proposal'!V542)," ",'ALL Other SINs - Proposal'!V542)</f>
        <v xml:space="preserve"> </v>
      </c>
      <c r="I542" s="271" t="str">
        <f>IF(ISBLANK('ALL Other SINs - Proposal'!W542)," ",'ALL Other SINs - Proposal'!W542)</f>
        <v xml:space="preserve"> </v>
      </c>
      <c r="J542" s="71" t="str">
        <f>IF(ISBLANK('ALL Other SINs - Proposal'!X542)," ",'ALL Other SINs - Proposal'!X542)</f>
        <v xml:space="preserve"> </v>
      </c>
      <c r="K542" s="165" t="str">
        <f>IF(ISBLANK('ALL Other SINs - Proposal'!AA542)," ",'ALL Other SINs - Proposal'!AA542)</f>
        <v xml:space="preserve"> </v>
      </c>
      <c r="L542" s="178" t="str">
        <f>IF(ISBLANK('ALL Other SINs - Proposal'!AB542)," ",'ALL Other SINs - Proposal'!AB542)</f>
        <v xml:space="preserve"> </v>
      </c>
      <c r="M542" s="72" t="str">
        <f t="shared" si="16"/>
        <v xml:space="preserve"> </v>
      </c>
      <c r="N542" s="167" t="str">
        <f t="shared" si="17"/>
        <v xml:space="preserve"> </v>
      </c>
    </row>
    <row r="543" spans="1:14" ht="15" x14ac:dyDescent="0.25">
      <c r="A543" s="131" t="str">
        <f>IF(ISBLANK('ALL Other SINs - Proposal'!A543)," ",'ALL Other SINs - Proposal'!A543)</f>
        <v xml:space="preserve"> </v>
      </c>
      <c r="B543" s="137" t="str">
        <f>IF(ISBLANK('ALL Other SINs - Proposal'!B543)," ",'ALL Other SINs - Proposal'!B543)</f>
        <v xml:space="preserve"> </v>
      </c>
      <c r="C543" s="137" t="str">
        <f>IF(ISBLANK('ALL Other SINs - Proposal'!C543)," ",'ALL Other SINs - Proposal'!C543)</f>
        <v xml:space="preserve"> </v>
      </c>
      <c r="D543" s="138" t="str">
        <f>IF(ISBLANK('ALL Other SINs - Proposal'!D543)," ",'ALL Other SINs - Proposal'!D543)</f>
        <v xml:space="preserve"> </v>
      </c>
      <c r="E543" s="69" t="str">
        <f>IF(ISBLANK('ALL Other SINs - Proposal'!R543)," ",'ALL Other SINs - Proposal'!R543)</f>
        <v xml:space="preserve"> </v>
      </c>
      <c r="F543" s="73" t="str">
        <f>IF(ISBLANK('ALL Other SINs - Proposal'!S543)," ",'ALL Other SINs - Proposal'!S543)</f>
        <v xml:space="preserve"> </v>
      </c>
      <c r="G543" s="173" t="str">
        <f>IF(ISBLANK('ALL Other SINs - Proposal'!T543)," ",'ALL Other SINs - Proposal'!T543)</f>
        <v xml:space="preserve"> </v>
      </c>
      <c r="H543" s="275" t="str">
        <f>IF(ISBLANK('ALL Other SINs - Proposal'!V543)," ",'ALL Other SINs - Proposal'!V543)</f>
        <v xml:space="preserve"> </v>
      </c>
      <c r="I543" s="271" t="str">
        <f>IF(ISBLANK('ALL Other SINs - Proposal'!W543)," ",'ALL Other SINs - Proposal'!W543)</f>
        <v xml:space="preserve"> </v>
      </c>
      <c r="J543" s="71" t="str">
        <f>IF(ISBLANK('ALL Other SINs - Proposal'!X543)," ",'ALL Other SINs - Proposal'!X543)</f>
        <v xml:space="preserve"> </v>
      </c>
      <c r="K543" s="165" t="str">
        <f>IF(ISBLANK('ALL Other SINs - Proposal'!AA543)," ",'ALL Other SINs - Proposal'!AA543)</f>
        <v xml:space="preserve"> </v>
      </c>
      <c r="L543" s="178" t="str">
        <f>IF(ISBLANK('ALL Other SINs - Proposal'!AB543)," ",'ALL Other SINs - Proposal'!AB543)</f>
        <v xml:space="preserve"> </v>
      </c>
      <c r="M543" s="72" t="str">
        <f t="shared" si="16"/>
        <v xml:space="preserve"> </v>
      </c>
      <c r="N543" s="167" t="str">
        <f t="shared" si="17"/>
        <v xml:space="preserve"> </v>
      </c>
    </row>
    <row r="544" spans="1:14" ht="15" x14ac:dyDescent="0.25">
      <c r="A544" s="131" t="str">
        <f>IF(ISBLANK('ALL Other SINs - Proposal'!A544)," ",'ALL Other SINs - Proposal'!A544)</f>
        <v xml:space="preserve"> </v>
      </c>
      <c r="B544" s="137" t="str">
        <f>IF(ISBLANK('ALL Other SINs - Proposal'!B544)," ",'ALL Other SINs - Proposal'!B544)</f>
        <v xml:space="preserve"> </v>
      </c>
      <c r="C544" s="137" t="str">
        <f>IF(ISBLANK('ALL Other SINs - Proposal'!C544)," ",'ALL Other SINs - Proposal'!C544)</f>
        <v xml:space="preserve"> </v>
      </c>
      <c r="D544" s="138" t="str">
        <f>IF(ISBLANK('ALL Other SINs - Proposal'!D544)," ",'ALL Other SINs - Proposal'!D544)</f>
        <v xml:space="preserve"> </v>
      </c>
      <c r="E544" s="69" t="str">
        <f>IF(ISBLANK('ALL Other SINs - Proposal'!R544)," ",'ALL Other SINs - Proposal'!R544)</f>
        <v xml:space="preserve"> </v>
      </c>
      <c r="F544" s="73" t="str">
        <f>IF(ISBLANK('ALL Other SINs - Proposal'!S544)," ",'ALL Other SINs - Proposal'!S544)</f>
        <v xml:space="preserve"> </v>
      </c>
      <c r="G544" s="173" t="str">
        <f>IF(ISBLANK('ALL Other SINs - Proposal'!T544)," ",'ALL Other SINs - Proposal'!T544)</f>
        <v xml:space="preserve"> </v>
      </c>
      <c r="H544" s="275" t="str">
        <f>IF(ISBLANK('ALL Other SINs - Proposal'!V544)," ",'ALL Other SINs - Proposal'!V544)</f>
        <v xml:space="preserve"> </v>
      </c>
      <c r="I544" s="271" t="str">
        <f>IF(ISBLANK('ALL Other SINs - Proposal'!W544)," ",'ALL Other SINs - Proposal'!W544)</f>
        <v xml:space="preserve"> </v>
      </c>
      <c r="J544" s="71" t="str">
        <f>IF(ISBLANK('ALL Other SINs - Proposal'!X544)," ",'ALL Other SINs - Proposal'!X544)</f>
        <v xml:space="preserve"> </v>
      </c>
      <c r="K544" s="165" t="str">
        <f>IF(ISBLANK('ALL Other SINs - Proposal'!AA544)," ",'ALL Other SINs - Proposal'!AA544)</f>
        <v xml:space="preserve"> </v>
      </c>
      <c r="L544" s="178" t="str">
        <f>IF(ISBLANK('ALL Other SINs - Proposal'!AB544)," ",'ALL Other SINs - Proposal'!AB544)</f>
        <v xml:space="preserve"> </v>
      </c>
      <c r="M544" s="72" t="str">
        <f t="shared" si="16"/>
        <v xml:space="preserve"> </v>
      </c>
      <c r="N544" s="167" t="str">
        <f t="shared" si="17"/>
        <v xml:space="preserve"> </v>
      </c>
    </row>
    <row r="545" spans="1:14" ht="15" x14ac:dyDescent="0.25">
      <c r="A545" s="131" t="str">
        <f>IF(ISBLANK('ALL Other SINs - Proposal'!A545)," ",'ALL Other SINs - Proposal'!A545)</f>
        <v xml:space="preserve"> </v>
      </c>
      <c r="B545" s="137" t="str">
        <f>IF(ISBLANK('ALL Other SINs - Proposal'!B545)," ",'ALL Other SINs - Proposal'!B545)</f>
        <v xml:space="preserve"> </v>
      </c>
      <c r="C545" s="137" t="str">
        <f>IF(ISBLANK('ALL Other SINs - Proposal'!C545)," ",'ALL Other SINs - Proposal'!C545)</f>
        <v xml:space="preserve"> </v>
      </c>
      <c r="D545" s="138" t="str">
        <f>IF(ISBLANK('ALL Other SINs - Proposal'!D545)," ",'ALL Other SINs - Proposal'!D545)</f>
        <v xml:space="preserve"> </v>
      </c>
      <c r="E545" s="69" t="str">
        <f>IF(ISBLANK('ALL Other SINs - Proposal'!R545)," ",'ALL Other SINs - Proposal'!R545)</f>
        <v xml:space="preserve"> </v>
      </c>
      <c r="F545" s="73" t="str">
        <f>IF(ISBLANK('ALL Other SINs - Proposal'!S545)," ",'ALL Other SINs - Proposal'!S545)</f>
        <v xml:space="preserve"> </v>
      </c>
      <c r="G545" s="173" t="str">
        <f>IF(ISBLANK('ALL Other SINs - Proposal'!T545)," ",'ALL Other SINs - Proposal'!T545)</f>
        <v xml:space="preserve"> </v>
      </c>
      <c r="H545" s="275" t="str">
        <f>IF(ISBLANK('ALL Other SINs - Proposal'!V545)," ",'ALL Other SINs - Proposal'!V545)</f>
        <v xml:space="preserve"> </v>
      </c>
      <c r="I545" s="271" t="str">
        <f>IF(ISBLANK('ALL Other SINs - Proposal'!W545)," ",'ALL Other SINs - Proposal'!W545)</f>
        <v xml:space="preserve"> </v>
      </c>
      <c r="J545" s="71" t="str">
        <f>IF(ISBLANK('ALL Other SINs - Proposal'!X545)," ",'ALL Other SINs - Proposal'!X545)</f>
        <v xml:space="preserve"> </v>
      </c>
      <c r="K545" s="165" t="str">
        <f>IF(ISBLANK('ALL Other SINs - Proposal'!AA545)," ",'ALL Other SINs - Proposal'!AA545)</f>
        <v xml:space="preserve"> </v>
      </c>
      <c r="L545" s="178" t="str">
        <f>IF(ISBLANK('ALL Other SINs - Proposal'!AB545)," ",'ALL Other SINs - Proposal'!AB545)</f>
        <v xml:space="preserve"> </v>
      </c>
      <c r="M545" s="72" t="str">
        <f t="shared" si="16"/>
        <v xml:space="preserve"> </v>
      </c>
      <c r="N545" s="167" t="str">
        <f t="shared" si="17"/>
        <v xml:space="preserve"> </v>
      </c>
    </row>
    <row r="546" spans="1:14" ht="15" x14ac:dyDescent="0.25">
      <c r="A546" s="131" t="str">
        <f>IF(ISBLANK('ALL Other SINs - Proposal'!A546)," ",'ALL Other SINs - Proposal'!A546)</f>
        <v xml:space="preserve"> </v>
      </c>
      <c r="B546" s="137" t="str">
        <f>IF(ISBLANK('ALL Other SINs - Proposal'!B546)," ",'ALL Other SINs - Proposal'!B546)</f>
        <v xml:space="preserve"> </v>
      </c>
      <c r="C546" s="137" t="str">
        <f>IF(ISBLANK('ALL Other SINs - Proposal'!C546)," ",'ALL Other SINs - Proposal'!C546)</f>
        <v xml:space="preserve"> </v>
      </c>
      <c r="D546" s="138" t="str">
        <f>IF(ISBLANK('ALL Other SINs - Proposal'!D546)," ",'ALL Other SINs - Proposal'!D546)</f>
        <v xml:space="preserve"> </v>
      </c>
      <c r="E546" s="69" t="str">
        <f>IF(ISBLANK('ALL Other SINs - Proposal'!R546)," ",'ALL Other SINs - Proposal'!R546)</f>
        <v xml:space="preserve"> </v>
      </c>
      <c r="F546" s="73" t="str">
        <f>IF(ISBLANK('ALL Other SINs - Proposal'!S546)," ",'ALL Other SINs - Proposal'!S546)</f>
        <v xml:space="preserve"> </v>
      </c>
      <c r="G546" s="173" t="str">
        <f>IF(ISBLANK('ALL Other SINs - Proposal'!T546)," ",'ALL Other SINs - Proposal'!T546)</f>
        <v xml:space="preserve"> </v>
      </c>
      <c r="H546" s="275" t="str">
        <f>IF(ISBLANK('ALL Other SINs - Proposal'!V546)," ",'ALL Other SINs - Proposal'!V546)</f>
        <v xml:space="preserve"> </v>
      </c>
      <c r="I546" s="271" t="str">
        <f>IF(ISBLANK('ALL Other SINs - Proposal'!W546)," ",'ALL Other SINs - Proposal'!W546)</f>
        <v xml:space="preserve"> </v>
      </c>
      <c r="J546" s="71" t="str">
        <f>IF(ISBLANK('ALL Other SINs - Proposal'!X546)," ",'ALL Other SINs - Proposal'!X546)</f>
        <v xml:space="preserve"> </v>
      </c>
      <c r="K546" s="165" t="str">
        <f>IF(ISBLANK('ALL Other SINs - Proposal'!AA546)," ",'ALL Other SINs - Proposal'!AA546)</f>
        <v xml:space="preserve"> </v>
      </c>
      <c r="L546" s="178" t="str">
        <f>IF(ISBLANK('ALL Other SINs - Proposal'!AB546)," ",'ALL Other SINs - Proposal'!AB546)</f>
        <v xml:space="preserve"> </v>
      </c>
      <c r="M546" s="72" t="str">
        <f t="shared" si="16"/>
        <v xml:space="preserve"> </v>
      </c>
      <c r="N546" s="167" t="str">
        <f t="shared" si="17"/>
        <v xml:space="preserve"> </v>
      </c>
    </row>
    <row r="547" spans="1:14" ht="15" x14ac:dyDescent="0.25">
      <c r="A547" s="131" t="str">
        <f>IF(ISBLANK('ALL Other SINs - Proposal'!A547)," ",'ALL Other SINs - Proposal'!A547)</f>
        <v xml:space="preserve"> </v>
      </c>
      <c r="B547" s="137" t="str">
        <f>IF(ISBLANK('ALL Other SINs - Proposal'!B547)," ",'ALL Other SINs - Proposal'!B547)</f>
        <v xml:space="preserve"> </v>
      </c>
      <c r="C547" s="137" t="str">
        <f>IF(ISBLANK('ALL Other SINs - Proposal'!C547)," ",'ALL Other SINs - Proposal'!C547)</f>
        <v xml:space="preserve"> </v>
      </c>
      <c r="D547" s="138" t="str">
        <f>IF(ISBLANK('ALL Other SINs - Proposal'!D547)," ",'ALL Other SINs - Proposal'!D547)</f>
        <v xml:space="preserve"> </v>
      </c>
      <c r="E547" s="69" t="str">
        <f>IF(ISBLANK('ALL Other SINs - Proposal'!R547)," ",'ALL Other SINs - Proposal'!R547)</f>
        <v xml:space="preserve"> </v>
      </c>
      <c r="F547" s="73" t="str">
        <f>IF(ISBLANK('ALL Other SINs - Proposal'!S547)," ",'ALL Other SINs - Proposal'!S547)</f>
        <v xml:space="preserve"> </v>
      </c>
      <c r="G547" s="173" t="str">
        <f>IF(ISBLANK('ALL Other SINs - Proposal'!T547)," ",'ALL Other SINs - Proposal'!T547)</f>
        <v xml:space="preserve"> </v>
      </c>
      <c r="H547" s="275" t="str">
        <f>IF(ISBLANK('ALL Other SINs - Proposal'!V547)," ",'ALL Other SINs - Proposal'!V547)</f>
        <v xml:space="preserve"> </v>
      </c>
      <c r="I547" s="271" t="str">
        <f>IF(ISBLANK('ALL Other SINs - Proposal'!W547)," ",'ALL Other SINs - Proposal'!W547)</f>
        <v xml:space="preserve"> </v>
      </c>
      <c r="J547" s="71" t="str">
        <f>IF(ISBLANK('ALL Other SINs - Proposal'!X547)," ",'ALL Other SINs - Proposal'!X547)</f>
        <v xml:space="preserve"> </v>
      </c>
      <c r="K547" s="165" t="str">
        <f>IF(ISBLANK('ALL Other SINs - Proposal'!AA547)," ",'ALL Other SINs - Proposal'!AA547)</f>
        <v xml:space="preserve"> </v>
      </c>
      <c r="L547" s="178" t="str">
        <f>IF(ISBLANK('ALL Other SINs - Proposal'!AB547)," ",'ALL Other SINs - Proposal'!AB547)</f>
        <v xml:space="preserve"> </v>
      </c>
      <c r="M547" s="72" t="str">
        <f t="shared" si="16"/>
        <v xml:space="preserve"> </v>
      </c>
      <c r="N547" s="167" t="str">
        <f t="shared" si="17"/>
        <v xml:space="preserve"> </v>
      </c>
    </row>
    <row r="548" spans="1:14" ht="15" x14ac:dyDescent="0.25">
      <c r="A548" s="131" t="str">
        <f>IF(ISBLANK('ALL Other SINs - Proposal'!A548)," ",'ALL Other SINs - Proposal'!A548)</f>
        <v xml:space="preserve"> </v>
      </c>
      <c r="B548" s="137" t="str">
        <f>IF(ISBLANK('ALL Other SINs - Proposal'!B548)," ",'ALL Other SINs - Proposal'!B548)</f>
        <v xml:space="preserve"> </v>
      </c>
      <c r="C548" s="137" t="str">
        <f>IF(ISBLANK('ALL Other SINs - Proposal'!C548)," ",'ALL Other SINs - Proposal'!C548)</f>
        <v xml:space="preserve"> </v>
      </c>
      <c r="D548" s="138" t="str">
        <f>IF(ISBLANK('ALL Other SINs - Proposal'!D548)," ",'ALL Other SINs - Proposal'!D548)</f>
        <v xml:space="preserve"> </v>
      </c>
      <c r="E548" s="69" t="str">
        <f>IF(ISBLANK('ALL Other SINs - Proposal'!R548)," ",'ALL Other SINs - Proposal'!R548)</f>
        <v xml:space="preserve"> </v>
      </c>
      <c r="F548" s="73" t="str">
        <f>IF(ISBLANK('ALL Other SINs - Proposal'!S548)," ",'ALL Other SINs - Proposal'!S548)</f>
        <v xml:space="preserve"> </v>
      </c>
      <c r="G548" s="173" t="str">
        <f>IF(ISBLANK('ALL Other SINs - Proposal'!T548)," ",'ALL Other SINs - Proposal'!T548)</f>
        <v xml:space="preserve"> </v>
      </c>
      <c r="H548" s="275" t="str">
        <f>IF(ISBLANK('ALL Other SINs - Proposal'!V548)," ",'ALL Other SINs - Proposal'!V548)</f>
        <v xml:space="preserve"> </v>
      </c>
      <c r="I548" s="271" t="str">
        <f>IF(ISBLANK('ALL Other SINs - Proposal'!W548)," ",'ALL Other SINs - Proposal'!W548)</f>
        <v xml:space="preserve"> </v>
      </c>
      <c r="J548" s="71" t="str">
        <f>IF(ISBLANK('ALL Other SINs - Proposal'!X548)," ",'ALL Other SINs - Proposal'!X548)</f>
        <v xml:space="preserve"> </v>
      </c>
      <c r="K548" s="165" t="str">
        <f>IF(ISBLANK('ALL Other SINs - Proposal'!AA548)," ",'ALL Other SINs - Proposal'!AA548)</f>
        <v xml:space="preserve"> </v>
      </c>
      <c r="L548" s="178" t="str">
        <f>IF(ISBLANK('ALL Other SINs - Proposal'!AB548)," ",'ALL Other SINs - Proposal'!AB548)</f>
        <v xml:space="preserve"> </v>
      </c>
      <c r="M548" s="72" t="str">
        <f t="shared" si="16"/>
        <v xml:space="preserve"> </v>
      </c>
      <c r="N548" s="167" t="str">
        <f t="shared" si="17"/>
        <v xml:space="preserve"> </v>
      </c>
    </row>
    <row r="549" spans="1:14" ht="15" x14ac:dyDescent="0.25">
      <c r="A549" s="131" t="str">
        <f>IF(ISBLANK('ALL Other SINs - Proposal'!A549)," ",'ALL Other SINs - Proposal'!A549)</f>
        <v xml:space="preserve"> </v>
      </c>
      <c r="B549" s="137" t="str">
        <f>IF(ISBLANK('ALL Other SINs - Proposal'!B549)," ",'ALL Other SINs - Proposal'!B549)</f>
        <v xml:space="preserve"> </v>
      </c>
      <c r="C549" s="137" t="str">
        <f>IF(ISBLANK('ALL Other SINs - Proposal'!C549)," ",'ALL Other SINs - Proposal'!C549)</f>
        <v xml:space="preserve"> </v>
      </c>
      <c r="D549" s="138" t="str">
        <f>IF(ISBLANK('ALL Other SINs - Proposal'!D549)," ",'ALL Other SINs - Proposal'!D549)</f>
        <v xml:space="preserve"> </v>
      </c>
      <c r="E549" s="69" t="str">
        <f>IF(ISBLANK('ALL Other SINs - Proposal'!R549)," ",'ALL Other SINs - Proposal'!R549)</f>
        <v xml:space="preserve"> </v>
      </c>
      <c r="F549" s="73" t="str">
        <f>IF(ISBLANK('ALL Other SINs - Proposal'!S549)," ",'ALL Other SINs - Proposal'!S549)</f>
        <v xml:space="preserve"> </v>
      </c>
      <c r="G549" s="173" t="str">
        <f>IF(ISBLANK('ALL Other SINs - Proposal'!T549)," ",'ALL Other SINs - Proposal'!T549)</f>
        <v xml:space="preserve"> </v>
      </c>
      <c r="H549" s="275" t="str">
        <f>IF(ISBLANK('ALL Other SINs - Proposal'!V549)," ",'ALL Other SINs - Proposal'!V549)</f>
        <v xml:space="preserve"> </v>
      </c>
      <c r="I549" s="271" t="str">
        <f>IF(ISBLANK('ALL Other SINs - Proposal'!W549)," ",'ALL Other SINs - Proposal'!W549)</f>
        <v xml:space="preserve"> </v>
      </c>
      <c r="J549" s="71" t="str">
        <f>IF(ISBLANK('ALL Other SINs - Proposal'!X549)," ",'ALL Other SINs - Proposal'!X549)</f>
        <v xml:space="preserve"> </v>
      </c>
      <c r="K549" s="165" t="str">
        <f>IF(ISBLANK('ALL Other SINs - Proposal'!AA549)," ",'ALL Other SINs - Proposal'!AA549)</f>
        <v xml:space="preserve"> </v>
      </c>
      <c r="L549" s="178" t="str">
        <f>IF(ISBLANK('ALL Other SINs - Proposal'!AB549)," ",'ALL Other SINs - Proposal'!AB549)</f>
        <v xml:space="preserve"> </v>
      </c>
      <c r="M549" s="72" t="str">
        <f t="shared" si="16"/>
        <v xml:space="preserve"> </v>
      </c>
      <c r="N549" s="167" t="str">
        <f t="shared" si="17"/>
        <v xml:space="preserve"> </v>
      </c>
    </row>
    <row r="550" spans="1:14" ht="15" x14ac:dyDescent="0.25">
      <c r="A550" s="131" t="str">
        <f>IF(ISBLANK('ALL Other SINs - Proposal'!A550)," ",'ALL Other SINs - Proposal'!A550)</f>
        <v xml:space="preserve"> </v>
      </c>
      <c r="B550" s="137" t="str">
        <f>IF(ISBLANK('ALL Other SINs - Proposal'!B550)," ",'ALL Other SINs - Proposal'!B550)</f>
        <v xml:space="preserve"> </v>
      </c>
      <c r="C550" s="137" t="str">
        <f>IF(ISBLANK('ALL Other SINs - Proposal'!C550)," ",'ALL Other SINs - Proposal'!C550)</f>
        <v xml:space="preserve"> </v>
      </c>
      <c r="D550" s="138" t="str">
        <f>IF(ISBLANK('ALL Other SINs - Proposal'!D550)," ",'ALL Other SINs - Proposal'!D550)</f>
        <v xml:space="preserve"> </v>
      </c>
      <c r="E550" s="69" t="str">
        <f>IF(ISBLANK('ALL Other SINs - Proposal'!R550)," ",'ALL Other SINs - Proposal'!R550)</f>
        <v xml:space="preserve"> </v>
      </c>
      <c r="F550" s="73" t="str">
        <f>IF(ISBLANK('ALL Other SINs - Proposal'!S550)," ",'ALL Other SINs - Proposal'!S550)</f>
        <v xml:space="preserve"> </v>
      </c>
      <c r="G550" s="173" t="str">
        <f>IF(ISBLANK('ALL Other SINs - Proposal'!T550)," ",'ALL Other SINs - Proposal'!T550)</f>
        <v xml:space="preserve"> </v>
      </c>
      <c r="H550" s="275" t="str">
        <f>IF(ISBLANK('ALL Other SINs - Proposal'!V550)," ",'ALL Other SINs - Proposal'!V550)</f>
        <v xml:space="preserve"> </v>
      </c>
      <c r="I550" s="271" t="str">
        <f>IF(ISBLANK('ALL Other SINs - Proposal'!W550)," ",'ALL Other SINs - Proposal'!W550)</f>
        <v xml:space="preserve"> </v>
      </c>
      <c r="J550" s="71" t="str">
        <f>IF(ISBLANK('ALL Other SINs - Proposal'!X550)," ",'ALL Other SINs - Proposal'!X550)</f>
        <v xml:space="preserve"> </v>
      </c>
      <c r="K550" s="165" t="str">
        <f>IF(ISBLANK('ALL Other SINs - Proposal'!AA550)," ",'ALL Other SINs - Proposal'!AA550)</f>
        <v xml:space="preserve"> </v>
      </c>
      <c r="L550" s="178" t="str">
        <f>IF(ISBLANK('ALL Other SINs - Proposal'!AB550)," ",'ALL Other SINs - Proposal'!AB550)</f>
        <v xml:space="preserve"> </v>
      </c>
      <c r="M550" s="72" t="str">
        <f t="shared" si="16"/>
        <v xml:space="preserve"> </v>
      </c>
      <c r="N550" s="167" t="str">
        <f t="shared" si="17"/>
        <v xml:space="preserve"> </v>
      </c>
    </row>
    <row r="551" spans="1:14" ht="15" x14ac:dyDescent="0.25">
      <c r="A551" s="131" t="str">
        <f>IF(ISBLANK('ALL Other SINs - Proposal'!A551)," ",'ALL Other SINs - Proposal'!A551)</f>
        <v xml:space="preserve"> </v>
      </c>
      <c r="B551" s="137" t="str">
        <f>IF(ISBLANK('ALL Other SINs - Proposal'!B551)," ",'ALL Other SINs - Proposal'!B551)</f>
        <v xml:space="preserve"> </v>
      </c>
      <c r="C551" s="137" t="str">
        <f>IF(ISBLANK('ALL Other SINs - Proposal'!C551)," ",'ALL Other SINs - Proposal'!C551)</f>
        <v xml:space="preserve"> </v>
      </c>
      <c r="D551" s="138" t="str">
        <f>IF(ISBLANK('ALL Other SINs - Proposal'!D551)," ",'ALL Other SINs - Proposal'!D551)</f>
        <v xml:space="preserve"> </v>
      </c>
      <c r="E551" s="69" t="str">
        <f>IF(ISBLANK('ALL Other SINs - Proposal'!R551)," ",'ALL Other SINs - Proposal'!R551)</f>
        <v xml:space="preserve"> </v>
      </c>
      <c r="F551" s="73" t="str">
        <f>IF(ISBLANK('ALL Other SINs - Proposal'!S551)," ",'ALL Other SINs - Proposal'!S551)</f>
        <v xml:space="preserve"> </v>
      </c>
      <c r="G551" s="173" t="str">
        <f>IF(ISBLANK('ALL Other SINs - Proposal'!T551)," ",'ALL Other SINs - Proposal'!T551)</f>
        <v xml:space="preserve"> </v>
      </c>
      <c r="H551" s="275" t="str">
        <f>IF(ISBLANK('ALL Other SINs - Proposal'!V551)," ",'ALL Other SINs - Proposal'!V551)</f>
        <v xml:space="preserve"> </v>
      </c>
      <c r="I551" s="271" t="str">
        <f>IF(ISBLANK('ALL Other SINs - Proposal'!W551)," ",'ALL Other SINs - Proposal'!W551)</f>
        <v xml:space="preserve"> </v>
      </c>
      <c r="J551" s="71" t="str">
        <f>IF(ISBLANK('ALL Other SINs - Proposal'!X551)," ",'ALL Other SINs - Proposal'!X551)</f>
        <v xml:space="preserve"> </v>
      </c>
      <c r="K551" s="165" t="str">
        <f>IF(ISBLANK('ALL Other SINs - Proposal'!AA551)," ",'ALL Other SINs - Proposal'!AA551)</f>
        <v xml:space="preserve"> </v>
      </c>
      <c r="L551" s="178" t="str">
        <f>IF(ISBLANK('ALL Other SINs - Proposal'!AB551)," ",'ALL Other SINs - Proposal'!AB551)</f>
        <v xml:space="preserve"> </v>
      </c>
      <c r="M551" s="72" t="str">
        <f t="shared" si="16"/>
        <v xml:space="preserve"> </v>
      </c>
      <c r="N551" s="167" t="str">
        <f t="shared" si="17"/>
        <v xml:space="preserve"> </v>
      </c>
    </row>
    <row r="552" spans="1:14" ht="15" x14ac:dyDescent="0.25">
      <c r="A552" s="131" t="str">
        <f>IF(ISBLANK('ALL Other SINs - Proposal'!A552)," ",'ALL Other SINs - Proposal'!A552)</f>
        <v xml:space="preserve"> </v>
      </c>
      <c r="B552" s="137" t="str">
        <f>IF(ISBLANK('ALL Other SINs - Proposal'!B552)," ",'ALL Other SINs - Proposal'!B552)</f>
        <v xml:space="preserve"> </v>
      </c>
      <c r="C552" s="137" t="str">
        <f>IF(ISBLANK('ALL Other SINs - Proposal'!C552)," ",'ALL Other SINs - Proposal'!C552)</f>
        <v xml:space="preserve"> </v>
      </c>
      <c r="D552" s="138" t="str">
        <f>IF(ISBLANK('ALL Other SINs - Proposal'!D552)," ",'ALL Other SINs - Proposal'!D552)</f>
        <v xml:space="preserve"> </v>
      </c>
      <c r="E552" s="69" t="str">
        <f>IF(ISBLANK('ALL Other SINs - Proposal'!R552)," ",'ALL Other SINs - Proposal'!R552)</f>
        <v xml:space="preserve"> </v>
      </c>
      <c r="F552" s="73" t="str">
        <f>IF(ISBLANK('ALL Other SINs - Proposal'!S552)," ",'ALL Other SINs - Proposal'!S552)</f>
        <v xml:space="preserve"> </v>
      </c>
      <c r="G552" s="173" t="str">
        <f>IF(ISBLANK('ALL Other SINs - Proposal'!T552)," ",'ALL Other SINs - Proposal'!T552)</f>
        <v xml:space="preserve"> </v>
      </c>
      <c r="H552" s="275" t="str">
        <f>IF(ISBLANK('ALL Other SINs - Proposal'!V552)," ",'ALL Other SINs - Proposal'!V552)</f>
        <v xml:space="preserve"> </v>
      </c>
      <c r="I552" s="271" t="str">
        <f>IF(ISBLANK('ALL Other SINs - Proposal'!W552)," ",'ALL Other SINs - Proposal'!W552)</f>
        <v xml:space="preserve"> </v>
      </c>
      <c r="J552" s="71" t="str">
        <f>IF(ISBLANK('ALL Other SINs - Proposal'!X552)," ",'ALL Other SINs - Proposal'!X552)</f>
        <v xml:space="preserve"> </v>
      </c>
      <c r="K552" s="165" t="str">
        <f>IF(ISBLANK('ALL Other SINs - Proposal'!AA552)," ",'ALL Other SINs - Proposal'!AA552)</f>
        <v xml:space="preserve"> </v>
      </c>
      <c r="L552" s="178" t="str">
        <f>IF(ISBLANK('ALL Other SINs - Proposal'!AB552)," ",'ALL Other SINs - Proposal'!AB552)</f>
        <v xml:space="preserve"> </v>
      </c>
      <c r="M552" s="72" t="str">
        <f t="shared" si="16"/>
        <v xml:space="preserve"> </v>
      </c>
      <c r="N552" s="167" t="str">
        <f t="shared" si="17"/>
        <v xml:space="preserve"> </v>
      </c>
    </row>
    <row r="553" spans="1:14" ht="15" x14ac:dyDescent="0.25">
      <c r="A553" s="131" t="str">
        <f>IF(ISBLANK('ALL Other SINs - Proposal'!A553)," ",'ALL Other SINs - Proposal'!A553)</f>
        <v xml:space="preserve"> </v>
      </c>
      <c r="B553" s="137" t="str">
        <f>IF(ISBLANK('ALL Other SINs - Proposal'!B553)," ",'ALL Other SINs - Proposal'!B553)</f>
        <v xml:space="preserve"> </v>
      </c>
      <c r="C553" s="137" t="str">
        <f>IF(ISBLANK('ALL Other SINs - Proposal'!C553)," ",'ALL Other SINs - Proposal'!C553)</f>
        <v xml:space="preserve"> </v>
      </c>
      <c r="D553" s="138" t="str">
        <f>IF(ISBLANK('ALL Other SINs - Proposal'!D553)," ",'ALL Other SINs - Proposal'!D553)</f>
        <v xml:space="preserve"> </v>
      </c>
      <c r="E553" s="69" t="str">
        <f>IF(ISBLANK('ALL Other SINs - Proposal'!R553)," ",'ALL Other SINs - Proposal'!R553)</f>
        <v xml:space="preserve"> </v>
      </c>
      <c r="F553" s="73" t="str">
        <f>IF(ISBLANK('ALL Other SINs - Proposal'!S553)," ",'ALL Other SINs - Proposal'!S553)</f>
        <v xml:space="preserve"> </v>
      </c>
      <c r="G553" s="173" t="str">
        <f>IF(ISBLANK('ALL Other SINs - Proposal'!T553)," ",'ALL Other SINs - Proposal'!T553)</f>
        <v xml:space="preserve"> </v>
      </c>
      <c r="H553" s="275" t="str">
        <f>IF(ISBLANK('ALL Other SINs - Proposal'!V553)," ",'ALL Other SINs - Proposal'!V553)</f>
        <v xml:space="preserve"> </v>
      </c>
      <c r="I553" s="271" t="str">
        <f>IF(ISBLANK('ALL Other SINs - Proposal'!W553)," ",'ALL Other SINs - Proposal'!W553)</f>
        <v xml:space="preserve"> </v>
      </c>
      <c r="J553" s="71" t="str">
        <f>IF(ISBLANK('ALL Other SINs - Proposal'!X553)," ",'ALL Other SINs - Proposal'!X553)</f>
        <v xml:space="preserve"> </v>
      </c>
      <c r="K553" s="165" t="str">
        <f>IF(ISBLANK('ALL Other SINs - Proposal'!AA553)," ",'ALL Other SINs - Proposal'!AA553)</f>
        <v xml:space="preserve"> </v>
      </c>
      <c r="L553" s="178" t="str">
        <f>IF(ISBLANK('ALL Other SINs - Proposal'!AB553)," ",'ALL Other SINs - Proposal'!AB553)</f>
        <v xml:space="preserve"> </v>
      </c>
      <c r="M553" s="72" t="str">
        <f t="shared" si="16"/>
        <v xml:space="preserve"> </v>
      </c>
      <c r="N553" s="167" t="str">
        <f t="shared" si="17"/>
        <v xml:space="preserve"> </v>
      </c>
    </row>
    <row r="554" spans="1:14" ht="15" x14ac:dyDescent="0.25">
      <c r="A554" s="131" t="str">
        <f>IF(ISBLANK('ALL Other SINs - Proposal'!A554)," ",'ALL Other SINs - Proposal'!A554)</f>
        <v xml:space="preserve"> </v>
      </c>
      <c r="B554" s="137" t="str">
        <f>IF(ISBLANK('ALL Other SINs - Proposal'!B554)," ",'ALL Other SINs - Proposal'!B554)</f>
        <v xml:space="preserve"> </v>
      </c>
      <c r="C554" s="137" t="str">
        <f>IF(ISBLANK('ALL Other SINs - Proposal'!C554)," ",'ALL Other SINs - Proposal'!C554)</f>
        <v xml:space="preserve"> </v>
      </c>
      <c r="D554" s="138" t="str">
        <f>IF(ISBLANK('ALL Other SINs - Proposal'!D554)," ",'ALL Other SINs - Proposal'!D554)</f>
        <v xml:space="preserve"> </v>
      </c>
      <c r="E554" s="69" t="str">
        <f>IF(ISBLANK('ALL Other SINs - Proposal'!R554)," ",'ALL Other SINs - Proposal'!R554)</f>
        <v xml:space="preserve"> </v>
      </c>
      <c r="F554" s="73" t="str">
        <f>IF(ISBLANK('ALL Other SINs - Proposal'!S554)," ",'ALL Other SINs - Proposal'!S554)</f>
        <v xml:space="preserve"> </v>
      </c>
      <c r="G554" s="173" t="str">
        <f>IF(ISBLANK('ALL Other SINs - Proposal'!T554)," ",'ALL Other SINs - Proposal'!T554)</f>
        <v xml:space="preserve"> </v>
      </c>
      <c r="H554" s="275" t="str">
        <f>IF(ISBLANK('ALL Other SINs - Proposal'!V554)," ",'ALL Other SINs - Proposal'!V554)</f>
        <v xml:space="preserve"> </v>
      </c>
      <c r="I554" s="271" t="str">
        <f>IF(ISBLANK('ALL Other SINs - Proposal'!W554)," ",'ALL Other SINs - Proposal'!W554)</f>
        <v xml:space="preserve"> </v>
      </c>
      <c r="J554" s="71" t="str">
        <f>IF(ISBLANK('ALL Other SINs - Proposal'!X554)," ",'ALL Other SINs - Proposal'!X554)</f>
        <v xml:space="preserve"> </v>
      </c>
      <c r="K554" s="165" t="str">
        <f>IF(ISBLANK('ALL Other SINs - Proposal'!AA554)," ",'ALL Other SINs - Proposal'!AA554)</f>
        <v xml:space="preserve"> </v>
      </c>
      <c r="L554" s="178" t="str">
        <f>IF(ISBLANK('ALL Other SINs - Proposal'!AB554)," ",'ALL Other SINs - Proposal'!AB554)</f>
        <v xml:space="preserve"> </v>
      </c>
      <c r="M554" s="72" t="str">
        <f t="shared" si="16"/>
        <v xml:space="preserve"> </v>
      </c>
      <c r="N554" s="167" t="str">
        <f t="shared" si="17"/>
        <v xml:space="preserve"> </v>
      </c>
    </row>
    <row r="555" spans="1:14" ht="15" x14ac:dyDescent="0.25">
      <c r="A555" s="131" t="str">
        <f>IF(ISBLANK('ALL Other SINs - Proposal'!A555)," ",'ALL Other SINs - Proposal'!A555)</f>
        <v xml:space="preserve"> </v>
      </c>
      <c r="B555" s="137" t="str">
        <f>IF(ISBLANK('ALL Other SINs - Proposal'!B555)," ",'ALL Other SINs - Proposal'!B555)</f>
        <v xml:space="preserve"> </v>
      </c>
      <c r="C555" s="137" t="str">
        <f>IF(ISBLANK('ALL Other SINs - Proposal'!C555)," ",'ALL Other SINs - Proposal'!C555)</f>
        <v xml:space="preserve"> </v>
      </c>
      <c r="D555" s="138" t="str">
        <f>IF(ISBLANK('ALL Other SINs - Proposal'!D555)," ",'ALL Other SINs - Proposal'!D555)</f>
        <v xml:space="preserve"> </v>
      </c>
      <c r="E555" s="69" t="str">
        <f>IF(ISBLANK('ALL Other SINs - Proposal'!R555)," ",'ALL Other SINs - Proposal'!R555)</f>
        <v xml:space="preserve"> </v>
      </c>
      <c r="F555" s="73" t="str">
        <f>IF(ISBLANK('ALL Other SINs - Proposal'!S555)," ",'ALL Other SINs - Proposal'!S555)</f>
        <v xml:space="preserve"> </v>
      </c>
      <c r="G555" s="173" t="str">
        <f>IF(ISBLANK('ALL Other SINs - Proposal'!T555)," ",'ALL Other SINs - Proposal'!T555)</f>
        <v xml:space="preserve"> </v>
      </c>
      <c r="H555" s="275" t="str">
        <f>IF(ISBLANK('ALL Other SINs - Proposal'!V555)," ",'ALL Other SINs - Proposal'!V555)</f>
        <v xml:space="preserve"> </v>
      </c>
      <c r="I555" s="271" t="str">
        <f>IF(ISBLANK('ALL Other SINs - Proposal'!W555)," ",'ALL Other SINs - Proposal'!W555)</f>
        <v xml:space="preserve"> </v>
      </c>
      <c r="J555" s="71" t="str">
        <f>IF(ISBLANK('ALL Other SINs - Proposal'!X555)," ",'ALL Other SINs - Proposal'!X555)</f>
        <v xml:space="preserve"> </v>
      </c>
      <c r="K555" s="165" t="str">
        <f>IF(ISBLANK('ALL Other SINs - Proposal'!AA555)," ",'ALL Other SINs - Proposal'!AA555)</f>
        <v xml:space="preserve"> </v>
      </c>
      <c r="L555" s="178" t="str">
        <f>IF(ISBLANK('ALL Other SINs - Proposal'!AB555)," ",'ALL Other SINs - Proposal'!AB555)</f>
        <v xml:space="preserve"> </v>
      </c>
      <c r="M555" s="72" t="str">
        <f t="shared" si="16"/>
        <v xml:space="preserve"> </v>
      </c>
      <c r="N555" s="167" t="str">
        <f t="shared" si="17"/>
        <v xml:space="preserve"> </v>
      </c>
    </row>
    <row r="556" spans="1:14" ht="15" x14ac:dyDescent="0.25">
      <c r="A556" s="131" t="str">
        <f>IF(ISBLANK('ALL Other SINs - Proposal'!A556)," ",'ALL Other SINs - Proposal'!A556)</f>
        <v xml:space="preserve"> </v>
      </c>
      <c r="B556" s="137" t="str">
        <f>IF(ISBLANK('ALL Other SINs - Proposal'!B556)," ",'ALL Other SINs - Proposal'!B556)</f>
        <v xml:space="preserve"> </v>
      </c>
      <c r="C556" s="137" t="str">
        <f>IF(ISBLANK('ALL Other SINs - Proposal'!C556)," ",'ALL Other SINs - Proposal'!C556)</f>
        <v xml:space="preserve"> </v>
      </c>
      <c r="D556" s="138" t="str">
        <f>IF(ISBLANK('ALL Other SINs - Proposal'!D556)," ",'ALL Other SINs - Proposal'!D556)</f>
        <v xml:space="preserve"> </v>
      </c>
      <c r="E556" s="69" t="str">
        <f>IF(ISBLANK('ALL Other SINs - Proposal'!R556)," ",'ALL Other SINs - Proposal'!R556)</f>
        <v xml:space="preserve"> </v>
      </c>
      <c r="F556" s="73" t="str">
        <f>IF(ISBLANK('ALL Other SINs - Proposal'!S556)," ",'ALL Other SINs - Proposal'!S556)</f>
        <v xml:space="preserve"> </v>
      </c>
      <c r="G556" s="173" t="str">
        <f>IF(ISBLANK('ALL Other SINs - Proposal'!T556)," ",'ALL Other SINs - Proposal'!T556)</f>
        <v xml:space="preserve"> </v>
      </c>
      <c r="H556" s="275" t="str">
        <f>IF(ISBLANK('ALL Other SINs - Proposal'!V556)," ",'ALL Other SINs - Proposal'!V556)</f>
        <v xml:space="preserve"> </v>
      </c>
      <c r="I556" s="271" t="str">
        <f>IF(ISBLANK('ALL Other SINs - Proposal'!W556)," ",'ALL Other SINs - Proposal'!W556)</f>
        <v xml:space="preserve"> </v>
      </c>
      <c r="J556" s="71" t="str">
        <f>IF(ISBLANK('ALL Other SINs - Proposal'!X556)," ",'ALL Other SINs - Proposal'!X556)</f>
        <v xml:space="preserve"> </v>
      </c>
      <c r="K556" s="165" t="str">
        <f>IF(ISBLANK('ALL Other SINs - Proposal'!AA556)," ",'ALL Other SINs - Proposal'!AA556)</f>
        <v xml:space="preserve"> </v>
      </c>
      <c r="L556" s="178" t="str">
        <f>IF(ISBLANK('ALL Other SINs - Proposal'!AB556)," ",'ALL Other SINs - Proposal'!AB556)</f>
        <v xml:space="preserve"> </v>
      </c>
      <c r="M556" s="72" t="str">
        <f t="shared" si="16"/>
        <v xml:space="preserve"> </v>
      </c>
      <c r="N556" s="167" t="str">
        <f t="shared" si="17"/>
        <v xml:space="preserve"> </v>
      </c>
    </row>
    <row r="557" spans="1:14" ht="15" x14ac:dyDescent="0.25">
      <c r="A557" s="131" t="str">
        <f>IF(ISBLANK('ALL Other SINs - Proposal'!A557)," ",'ALL Other SINs - Proposal'!A557)</f>
        <v xml:space="preserve"> </v>
      </c>
      <c r="B557" s="137" t="str">
        <f>IF(ISBLANK('ALL Other SINs - Proposal'!B557)," ",'ALL Other SINs - Proposal'!B557)</f>
        <v xml:space="preserve"> </v>
      </c>
      <c r="C557" s="137" t="str">
        <f>IF(ISBLANK('ALL Other SINs - Proposal'!C557)," ",'ALL Other SINs - Proposal'!C557)</f>
        <v xml:space="preserve"> </v>
      </c>
      <c r="D557" s="138" t="str">
        <f>IF(ISBLANK('ALL Other SINs - Proposal'!D557)," ",'ALL Other SINs - Proposal'!D557)</f>
        <v xml:space="preserve"> </v>
      </c>
      <c r="E557" s="69" t="str">
        <f>IF(ISBLANK('ALL Other SINs - Proposal'!R557)," ",'ALL Other SINs - Proposal'!R557)</f>
        <v xml:space="preserve"> </v>
      </c>
      <c r="F557" s="73" t="str">
        <f>IF(ISBLANK('ALL Other SINs - Proposal'!S557)," ",'ALL Other SINs - Proposal'!S557)</f>
        <v xml:space="preserve"> </v>
      </c>
      <c r="G557" s="173" t="str">
        <f>IF(ISBLANK('ALL Other SINs - Proposal'!T557)," ",'ALL Other SINs - Proposal'!T557)</f>
        <v xml:space="preserve"> </v>
      </c>
      <c r="H557" s="275" t="str">
        <f>IF(ISBLANK('ALL Other SINs - Proposal'!V557)," ",'ALL Other SINs - Proposal'!V557)</f>
        <v xml:space="preserve"> </v>
      </c>
      <c r="I557" s="271" t="str">
        <f>IF(ISBLANK('ALL Other SINs - Proposal'!W557)," ",'ALL Other SINs - Proposal'!W557)</f>
        <v xml:space="preserve"> </v>
      </c>
      <c r="J557" s="71" t="str">
        <f>IF(ISBLANK('ALL Other SINs - Proposal'!X557)," ",'ALL Other SINs - Proposal'!X557)</f>
        <v xml:space="preserve"> </v>
      </c>
      <c r="K557" s="165" t="str">
        <f>IF(ISBLANK('ALL Other SINs - Proposal'!AA557)," ",'ALL Other SINs - Proposal'!AA557)</f>
        <v xml:space="preserve"> </v>
      </c>
      <c r="L557" s="178" t="str">
        <f>IF(ISBLANK('ALL Other SINs - Proposal'!AB557)," ",'ALL Other SINs - Proposal'!AB557)</f>
        <v xml:space="preserve"> </v>
      </c>
      <c r="M557" s="72" t="str">
        <f t="shared" si="16"/>
        <v xml:space="preserve"> </v>
      </c>
      <c r="N557" s="167" t="str">
        <f t="shared" si="17"/>
        <v xml:space="preserve"> </v>
      </c>
    </row>
    <row r="558" spans="1:14" ht="15" x14ac:dyDescent="0.25">
      <c r="A558" s="131" t="str">
        <f>IF(ISBLANK('ALL Other SINs - Proposal'!A558)," ",'ALL Other SINs - Proposal'!A558)</f>
        <v xml:space="preserve"> </v>
      </c>
      <c r="B558" s="137" t="str">
        <f>IF(ISBLANK('ALL Other SINs - Proposal'!B558)," ",'ALL Other SINs - Proposal'!B558)</f>
        <v xml:space="preserve"> </v>
      </c>
      <c r="C558" s="137" t="str">
        <f>IF(ISBLANK('ALL Other SINs - Proposal'!C558)," ",'ALL Other SINs - Proposal'!C558)</f>
        <v xml:space="preserve"> </v>
      </c>
      <c r="D558" s="138" t="str">
        <f>IF(ISBLANK('ALL Other SINs - Proposal'!D558)," ",'ALL Other SINs - Proposal'!D558)</f>
        <v xml:space="preserve"> </v>
      </c>
      <c r="E558" s="69" t="str">
        <f>IF(ISBLANK('ALL Other SINs - Proposal'!R558)," ",'ALL Other SINs - Proposal'!R558)</f>
        <v xml:space="preserve"> </v>
      </c>
      <c r="F558" s="73" t="str">
        <f>IF(ISBLANK('ALL Other SINs - Proposal'!S558)," ",'ALL Other SINs - Proposal'!S558)</f>
        <v xml:space="preserve"> </v>
      </c>
      <c r="G558" s="173" t="str">
        <f>IF(ISBLANK('ALL Other SINs - Proposal'!T558)," ",'ALL Other SINs - Proposal'!T558)</f>
        <v xml:space="preserve"> </v>
      </c>
      <c r="H558" s="275" t="str">
        <f>IF(ISBLANK('ALL Other SINs - Proposal'!V558)," ",'ALL Other SINs - Proposal'!V558)</f>
        <v xml:space="preserve"> </v>
      </c>
      <c r="I558" s="271" t="str">
        <f>IF(ISBLANK('ALL Other SINs - Proposal'!W558)," ",'ALL Other SINs - Proposal'!W558)</f>
        <v xml:space="preserve"> </v>
      </c>
      <c r="J558" s="71" t="str">
        <f>IF(ISBLANK('ALL Other SINs - Proposal'!X558)," ",'ALL Other SINs - Proposal'!X558)</f>
        <v xml:space="preserve"> </v>
      </c>
      <c r="K558" s="165" t="str">
        <f>IF(ISBLANK('ALL Other SINs - Proposal'!AA558)," ",'ALL Other SINs - Proposal'!AA558)</f>
        <v xml:space="preserve"> </v>
      </c>
      <c r="L558" s="178" t="str">
        <f>IF(ISBLANK('ALL Other SINs - Proposal'!AB558)," ",'ALL Other SINs - Proposal'!AB558)</f>
        <v xml:space="preserve"> </v>
      </c>
      <c r="M558" s="72" t="str">
        <f t="shared" si="16"/>
        <v xml:space="preserve"> </v>
      </c>
      <c r="N558" s="167" t="str">
        <f t="shared" si="17"/>
        <v xml:space="preserve"> </v>
      </c>
    </row>
    <row r="559" spans="1:14" ht="15" x14ac:dyDescent="0.25">
      <c r="A559" s="131" t="str">
        <f>IF(ISBLANK('ALL Other SINs - Proposal'!A559)," ",'ALL Other SINs - Proposal'!A559)</f>
        <v xml:space="preserve"> </v>
      </c>
      <c r="B559" s="137" t="str">
        <f>IF(ISBLANK('ALL Other SINs - Proposal'!B559)," ",'ALL Other SINs - Proposal'!B559)</f>
        <v xml:space="preserve"> </v>
      </c>
      <c r="C559" s="137" t="str">
        <f>IF(ISBLANK('ALL Other SINs - Proposal'!C559)," ",'ALL Other SINs - Proposal'!C559)</f>
        <v xml:space="preserve"> </v>
      </c>
      <c r="D559" s="138" t="str">
        <f>IF(ISBLANK('ALL Other SINs - Proposal'!D559)," ",'ALL Other SINs - Proposal'!D559)</f>
        <v xml:space="preserve"> </v>
      </c>
      <c r="E559" s="69" t="str">
        <f>IF(ISBLANK('ALL Other SINs - Proposal'!R559)," ",'ALL Other SINs - Proposal'!R559)</f>
        <v xml:space="preserve"> </v>
      </c>
      <c r="F559" s="73" t="str">
        <f>IF(ISBLANK('ALL Other SINs - Proposal'!S559)," ",'ALL Other SINs - Proposal'!S559)</f>
        <v xml:space="preserve"> </v>
      </c>
      <c r="G559" s="173" t="str">
        <f>IF(ISBLANK('ALL Other SINs - Proposal'!T559)," ",'ALL Other SINs - Proposal'!T559)</f>
        <v xml:space="preserve"> </v>
      </c>
      <c r="H559" s="275" t="str">
        <f>IF(ISBLANK('ALL Other SINs - Proposal'!V559)," ",'ALL Other SINs - Proposal'!V559)</f>
        <v xml:space="preserve"> </v>
      </c>
      <c r="I559" s="271" t="str">
        <f>IF(ISBLANK('ALL Other SINs - Proposal'!W559)," ",'ALL Other SINs - Proposal'!W559)</f>
        <v xml:space="preserve"> </v>
      </c>
      <c r="J559" s="71" t="str">
        <f>IF(ISBLANK('ALL Other SINs - Proposal'!X559)," ",'ALL Other SINs - Proposal'!X559)</f>
        <v xml:space="preserve"> </v>
      </c>
      <c r="K559" s="165" t="str">
        <f>IF(ISBLANK('ALL Other SINs - Proposal'!AA559)," ",'ALL Other SINs - Proposal'!AA559)</f>
        <v xml:space="preserve"> </v>
      </c>
      <c r="L559" s="178" t="str">
        <f>IF(ISBLANK('ALL Other SINs - Proposal'!AB559)," ",'ALL Other SINs - Proposal'!AB559)</f>
        <v xml:space="preserve"> </v>
      </c>
      <c r="M559" s="72" t="str">
        <f t="shared" si="16"/>
        <v xml:space="preserve"> </v>
      </c>
      <c r="N559" s="167" t="str">
        <f t="shared" si="17"/>
        <v xml:space="preserve"> </v>
      </c>
    </row>
    <row r="560" spans="1:14" ht="15" x14ac:dyDescent="0.25">
      <c r="A560" s="131" t="str">
        <f>IF(ISBLANK('ALL Other SINs - Proposal'!A560)," ",'ALL Other SINs - Proposal'!A560)</f>
        <v xml:space="preserve"> </v>
      </c>
      <c r="B560" s="137" t="str">
        <f>IF(ISBLANK('ALL Other SINs - Proposal'!B560)," ",'ALL Other SINs - Proposal'!B560)</f>
        <v xml:space="preserve"> </v>
      </c>
      <c r="C560" s="137" t="str">
        <f>IF(ISBLANK('ALL Other SINs - Proposal'!C560)," ",'ALL Other SINs - Proposal'!C560)</f>
        <v xml:space="preserve"> </v>
      </c>
      <c r="D560" s="138" t="str">
        <f>IF(ISBLANK('ALL Other SINs - Proposal'!D560)," ",'ALL Other SINs - Proposal'!D560)</f>
        <v xml:space="preserve"> </v>
      </c>
      <c r="E560" s="69" t="str">
        <f>IF(ISBLANK('ALL Other SINs - Proposal'!R560)," ",'ALL Other SINs - Proposal'!R560)</f>
        <v xml:space="preserve"> </v>
      </c>
      <c r="F560" s="73" t="str">
        <f>IF(ISBLANK('ALL Other SINs - Proposal'!S560)," ",'ALL Other SINs - Proposal'!S560)</f>
        <v xml:space="preserve"> </v>
      </c>
      <c r="G560" s="173" t="str">
        <f>IF(ISBLANK('ALL Other SINs - Proposal'!T560)," ",'ALL Other SINs - Proposal'!T560)</f>
        <v xml:space="preserve"> </v>
      </c>
      <c r="H560" s="275" t="str">
        <f>IF(ISBLANK('ALL Other SINs - Proposal'!V560)," ",'ALL Other SINs - Proposal'!V560)</f>
        <v xml:space="preserve"> </v>
      </c>
      <c r="I560" s="271" t="str">
        <f>IF(ISBLANK('ALL Other SINs - Proposal'!W560)," ",'ALL Other SINs - Proposal'!W560)</f>
        <v xml:space="preserve"> </v>
      </c>
      <c r="J560" s="71" t="str">
        <f>IF(ISBLANK('ALL Other SINs - Proposal'!X560)," ",'ALL Other SINs - Proposal'!X560)</f>
        <v xml:space="preserve"> </v>
      </c>
      <c r="K560" s="165" t="str">
        <f>IF(ISBLANK('ALL Other SINs - Proposal'!AA560)," ",'ALL Other SINs - Proposal'!AA560)</f>
        <v xml:space="preserve"> </v>
      </c>
      <c r="L560" s="178" t="str">
        <f>IF(ISBLANK('ALL Other SINs - Proposal'!AB560)," ",'ALL Other SINs - Proposal'!AB560)</f>
        <v xml:space="preserve"> </v>
      </c>
      <c r="M560" s="72" t="str">
        <f t="shared" si="16"/>
        <v xml:space="preserve"> </v>
      </c>
      <c r="N560" s="167" t="str">
        <f t="shared" si="17"/>
        <v xml:space="preserve"> </v>
      </c>
    </row>
    <row r="561" spans="1:14" ht="15" x14ac:dyDescent="0.25">
      <c r="A561" s="131" t="str">
        <f>IF(ISBLANK('ALL Other SINs - Proposal'!A561)," ",'ALL Other SINs - Proposal'!A561)</f>
        <v xml:space="preserve"> </v>
      </c>
      <c r="B561" s="137" t="str">
        <f>IF(ISBLANK('ALL Other SINs - Proposal'!B561)," ",'ALL Other SINs - Proposal'!B561)</f>
        <v xml:space="preserve"> </v>
      </c>
      <c r="C561" s="137" t="str">
        <f>IF(ISBLANK('ALL Other SINs - Proposal'!C561)," ",'ALL Other SINs - Proposal'!C561)</f>
        <v xml:space="preserve"> </v>
      </c>
      <c r="D561" s="138" t="str">
        <f>IF(ISBLANK('ALL Other SINs - Proposal'!D561)," ",'ALL Other SINs - Proposal'!D561)</f>
        <v xml:space="preserve"> </v>
      </c>
      <c r="E561" s="69" t="str">
        <f>IF(ISBLANK('ALL Other SINs - Proposal'!R561)," ",'ALL Other SINs - Proposal'!R561)</f>
        <v xml:space="preserve"> </v>
      </c>
      <c r="F561" s="73" t="str">
        <f>IF(ISBLANK('ALL Other SINs - Proposal'!S561)," ",'ALL Other SINs - Proposal'!S561)</f>
        <v xml:space="preserve"> </v>
      </c>
      <c r="G561" s="173" t="str">
        <f>IF(ISBLANK('ALL Other SINs - Proposal'!T561)," ",'ALL Other SINs - Proposal'!T561)</f>
        <v xml:space="preserve"> </v>
      </c>
      <c r="H561" s="275" t="str">
        <f>IF(ISBLANK('ALL Other SINs - Proposal'!V561)," ",'ALL Other SINs - Proposal'!V561)</f>
        <v xml:space="preserve"> </v>
      </c>
      <c r="I561" s="271" t="str">
        <f>IF(ISBLANK('ALL Other SINs - Proposal'!W561)," ",'ALL Other SINs - Proposal'!W561)</f>
        <v xml:space="preserve"> </v>
      </c>
      <c r="J561" s="71" t="str">
        <f>IF(ISBLANK('ALL Other SINs - Proposal'!X561)," ",'ALL Other SINs - Proposal'!X561)</f>
        <v xml:space="preserve"> </v>
      </c>
      <c r="K561" s="165" t="str">
        <f>IF(ISBLANK('ALL Other SINs - Proposal'!AA561)," ",'ALL Other SINs - Proposal'!AA561)</f>
        <v xml:space="preserve"> </v>
      </c>
      <c r="L561" s="178" t="str">
        <f>IF(ISBLANK('ALL Other SINs - Proposal'!AB561)," ",'ALL Other SINs - Proposal'!AB561)</f>
        <v xml:space="preserve"> </v>
      </c>
      <c r="M561" s="72" t="str">
        <f t="shared" si="16"/>
        <v xml:space="preserve"> </v>
      </c>
      <c r="N561" s="167" t="str">
        <f t="shared" si="17"/>
        <v xml:space="preserve"> </v>
      </c>
    </row>
    <row r="562" spans="1:14" ht="15" x14ac:dyDescent="0.25">
      <c r="A562" s="131" t="str">
        <f>IF(ISBLANK('ALL Other SINs - Proposal'!A562)," ",'ALL Other SINs - Proposal'!A562)</f>
        <v xml:space="preserve"> </v>
      </c>
      <c r="B562" s="137" t="str">
        <f>IF(ISBLANK('ALL Other SINs - Proposal'!B562)," ",'ALL Other SINs - Proposal'!B562)</f>
        <v xml:space="preserve"> </v>
      </c>
      <c r="C562" s="137" t="str">
        <f>IF(ISBLANK('ALL Other SINs - Proposal'!C562)," ",'ALL Other SINs - Proposal'!C562)</f>
        <v xml:space="preserve"> </v>
      </c>
      <c r="D562" s="138" t="str">
        <f>IF(ISBLANK('ALL Other SINs - Proposal'!D562)," ",'ALL Other SINs - Proposal'!D562)</f>
        <v xml:space="preserve"> </v>
      </c>
      <c r="E562" s="69" t="str">
        <f>IF(ISBLANK('ALL Other SINs - Proposal'!R562)," ",'ALL Other SINs - Proposal'!R562)</f>
        <v xml:space="preserve"> </v>
      </c>
      <c r="F562" s="73" t="str">
        <f>IF(ISBLANK('ALL Other SINs - Proposal'!S562)," ",'ALL Other SINs - Proposal'!S562)</f>
        <v xml:space="preserve"> </v>
      </c>
      <c r="G562" s="173" t="str">
        <f>IF(ISBLANK('ALL Other SINs - Proposal'!T562)," ",'ALL Other SINs - Proposal'!T562)</f>
        <v xml:space="preserve"> </v>
      </c>
      <c r="H562" s="275" t="str">
        <f>IF(ISBLANK('ALL Other SINs - Proposal'!V562)," ",'ALL Other SINs - Proposal'!V562)</f>
        <v xml:space="preserve"> </v>
      </c>
      <c r="I562" s="271" t="str">
        <f>IF(ISBLANK('ALL Other SINs - Proposal'!W562)," ",'ALL Other SINs - Proposal'!W562)</f>
        <v xml:space="preserve"> </v>
      </c>
      <c r="J562" s="71" t="str">
        <f>IF(ISBLANK('ALL Other SINs - Proposal'!X562)," ",'ALL Other SINs - Proposal'!X562)</f>
        <v xml:space="preserve"> </v>
      </c>
      <c r="K562" s="165" t="str">
        <f>IF(ISBLANK('ALL Other SINs - Proposal'!AA562)," ",'ALL Other SINs - Proposal'!AA562)</f>
        <v xml:space="preserve"> </v>
      </c>
      <c r="L562" s="178" t="str">
        <f>IF(ISBLANK('ALL Other SINs - Proposal'!AB562)," ",'ALL Other SINs - Proposal'!AB562)</f>
        <v xml:space="preserve"> </v>
      </c>
      <c r="M562" s="72" t="str">
        <f t="shared" si="16"/>
        <v xml:space="preserve"> </v>
      </c>
      <c r="N562" s="167" t="str">
        <f t="shared" si="17"/>
        <v xml:space="preserve"> </v>
      </c>
    </row>
    <row r="563" spans="1:14" ht="15" x14ac:dyDescent="0.25">
      <c r="A563" s="131" t="str">
        <f>IF(ISBLANK('ALL Other SINs - Proposal'!A563)," ",'ALL Other SINs - Proposal'!A563)</f>
        <v xml:space="preserve"> </v>
      </c>
      <c r="B563" s="137" t="str">
        <f>IF(ISBLANK('ALL Other SINs - Proposal'!B563)," ",'ALL Other SINs - Proposal'!B563)</f>
        <v xml:space="preserve"> </v>
      </c>
      <c r="C563" s="137" t="str">
        <f>IF(ISBLANK('ALL Other SINs - Proposal'!C563)," ",'ALL Other SINs - Proposal'!C563)</f>
        <v xml:space="preserve"> </v>
      </c>
      <c r="D563" s="138" t="str">
        <f>IF(ISBLANK('ALL Other SINs - Proposal'!D563)," ",'ALL Other SINs - Proposal'!D563)</f>
        <v xml:space="preserve"> </v>
      </c>
      <c r="E563" s="69" t="str">
        <f>IF(ISBLANK('ALL Other SINs - Proposal'!R563)," ",'ALL Other SINs - Proposal'!R563)</f>
        <v xml:space="preserve"> </v>
      </c>
      <c r="F563" s="73" t="str">
        <f>IF(ISBLANK('ALL Other SINs - Proposal'!S563)," ",'ALL Other SINs - Proposal'!S563)</f>
        <v xml:space="preserve"> </v>
      </c>
      <c r="G563" s="173" t="str">
        <f>IF(ISBLANK('ALL Other SINs - Proposal'!T563)," ",'ALL Other SINs - Proposal'!T563)</f>
        <v xml:space="preserve"> </v>
      </c>
      <c r="H563" s="275" t="str">
        <f>IF(ISBLANK('ALL Other SINs - Proposal'!V563)," ",'ALL Other SINs - Proposal'!V563)</f>
        <v xml:space="preserve"> </v>
      </c>
      <c r="I563" s="271" t="str">
        <f>IF(ISBLANK('ALL Other SINs - Proposal'!W563)," ",'ALL Other SINs - Proposal'!W563)</f>
        <v xml:space="preserve"> </v>
      </c>
      <c r="J563" s="71" t="str">
        <f>IF(ISBLANK('ALL Other SINs - Proposal'!X563)," ",'ALL Other SINs - Proposal'!X563)</f>
        <v xml:space="preserve"> </v>
      </c>
      <c r="K563" s="165" t="str">
        <f>IF(ISBLANK('ALL Other SINs - Proposal'!AA563)," ",'ALL Other SINs - Proposal'!AA563)</f>
        <v xml:space="preserve"> </v>
      </c>
      <c r="L563" s="178" t="str">
        <f>IF(ISBLANK('ALL Other SINs - Proposal'!AB563)," ",'ALL Other SINs - Proposal'!AB563)</f>
        <v xml:space="preserve"> </v>
      </c>
      <c r="M563" s="72" t="str">
        <f t="shared" si="16"/>
        <v xml:space="preserve"> </v>
      </c>
      <c r="N563" s="167" t="str">
        <f t="shared" si="17"/>
        <v xml:space="preserve"> </v>
      </c>
    </row>
    <row r="564" spans="1:14" ht="15" x14ac:dyDescent="0.25">
      <c r="A564" s="131" t="str">
        <f>IF(ISBLANK('ALL Other SINs - Proposal'!A564)," ",'ALL Other SINs - Proposal'!A564)</f>
        <v xml:space="preserve"> </v>
      </c>
      <c r="B564" s="137" t="str">
        <f>IF(ISBLANK('ALL Other SINs - Proposal'!B564)," ",'ALL Other SINs - Proposal'!B564)</f>
        <v xml:space="preserve"> </v>
      </c>
      <c r="C564" s="137" t="str">
        <f>IF(ISBLANK('ALL Other SINs - Proposal'!C564)," ",'ALL Other SINs - Proposal'!C564)</f>
        <v xml:space="preserve"> </v>
      </c>
      <c r="D564" s="138" t="str">
        <f>IF(ISBLANK('ALL Other SINs - Proposal'!D564)," ",'ALL Other SINs - Proposal'!D564)</f>
        <v xml:space="preserve"> </v>
      </c>
      <c r="E564" s="69" t="str">
        <f>IF(ISBLANK('ALL Other SINs - Proposal'!R564)," ",'ALL Other SINs - Proposal'!R564)</f>
        <v xml:space="preserve"> </v>
      </c>
      <c r="F564" s="73" t="str">
        <f>IF(ISBLANK('ALL Other SINs - Proposal'!S564)," ",'ALL Other SINs - Proposal'!S564)</f>
        <v xml:space="preserve"> </v>
      </c>
      <c r="G564" s="173" t="str">
        <f>IF(ISBLANK('ALL Other SINs - Proposal'!T564)," ",'ALL Other SINs - Proposal'!T564)</f>
        <v xml:space="preserve"> </v>
      </c>
      <c r="H564" s="275" t="str">
        <f>IF(ISBLANK('ALL Other SINs - Proposal'!V564)," ",'ALL Other SINs - Proposal'!V564)</f>
        <v xml:space="preserve"> </v>
      </c>
      <c r="I564" s="271" t="str">
        <f>IF(ISBLANK('ALL Other SINs - Proposal'!W564)," ",'ALL Other SINs - Proposal'!W564)</f>
        <v xml:space="preserve"> </v>
      </c>
      <c r="J564" s="71" t="str">
        <f>IF(ISBLANK('ALL Other SINs - Proposal'!X564)," ",'ALL Other SINs - Proposal'!X564)</f>
        <v xml:space="preserve"> </v>
      </c>
      <c r="K564" s="165" t="str">
        <f>IF(ISBLANK('ALL Other SINs - Proposal'!AA564)," ",'ALL Other SINs - Proposal'!AA564)</f>
        <v xml:space="preserve"> </v>
      </c>
      <c r="L564" s="178" t="str">
        <f>IF(ISBLANK('ALL Other SINs - Proposal'!AB564)," ",'ALL Other SINs - Proposal'!AB564)</f>
        <v xml:space="preserve"> </v>
      </c>
      <c r="M564" s="72" t="str">
        <f t="shared" si="16"/>
        <v xml:space="preserve"> </v>
      </c>
      <c r="N564" s="167" t="str">
        <f t="shared" si="17"/>
        <v xml:space="preserve"> </v>
      </c>
    </row>
    <row r="565" spans="1:14" ht="15" x14ac:dyDescent="0.25">
      <c r="A565" s="131" t="str">
        <f>IF(ISBLANK('ALL Other SINs - Proposal'!A565)," ",'ALL Other SINs - Proposal'!A565)</f>
        <v xml:space="preserve"> </v>
      </c>
      <c r="B565" s="137" t="str">
        <f>IF(ISBLANK('ALL Other SINs - Proposal'!B565)," ",'ALL Other SINs - Proposal'!B565)</f>
        <v xml:space="preserve"> </v>
      </c>
      <c r="C565" s="137" t="str">
        <f>IF(ISBLANK('ALL Other SINs - Proposal'!C565)," ",'ALL Other SINs - Proposal'!C565)</f>
        <v xml:space="preserve"> </v>
      </c>
      <c r="D565" s="138" t="str">
        <f>IF(ISBLANK('ALL Other SINs - Proposal'!D565)," ",'ALL Other SINs - Proposal'!D565)</f>
        <v xml:space="preserve"> </v>
      </c>
      <c r="E565" s="69" t="str">
        <f>IF(ISBLANK('ALL Other SINs - Proposal'!R565)," ",'ALL Other SINs - Proposal'!R565)</f>
        <v xml:space="preserve"> </v>
      </c>
      <c r="F565" s="73" t="str">
        <f>IF(ISBLANK('ALL Other SINs - Proposal'!S565)," ",'ALL Other SINs - Proposal'!S565)</f>
        <v xml:space="preserve"> </v>
      </c>
      <c r="G565" s="173" t="str">
        <f>IF(ISBLANK('ALL Other SINs - Proposal'!T565)," ",'ALL Other SINs - Proposal'!T565)</f>
        <v xml:space="preserve"> </v>
      </c>
      <c r="H565" s="275" t="str">
        <f>IF(ISBLANK('ALL Other SINs - Proposal'!V565)," ",'ALL Other SINs - Proposal'!V565)</f>
        <v xml:space="preserve"> </v>
      </c>
      <c r="I565" s="271" t="str">
        <f>IF(ISBLANK('ALL Other SINs - Proposal'!W565)," ",'ALL Other SINs - Proposal'!W565)</f>
        <v xml:space="preserve"> </v>
      </c>
      <c r="J565" s="71" t="str">
        <f>IF(ISBLANK('ALL Other SINs - Proposal'!X565)," ",'ALL Other SINs - Proposal'!X565)</f>
        <v xml:space="preserve"> </v>
      </c>
      <c r="K565" s="165" t="str">
        <f>IF(ISBLANK('ALL Other SINs - Proposal'!AA565)," ",'ALL Other SINs - Proposal'!AA565)</f>
        <v xml:space="preserve"> </v>
      </c>
      <c r="L565" s="178" t="str">
        <f>IF(ISBLANK('ALL Other SINs - Proposal'!AB565)," ",'ALL Other SINs - Proposal'!AB565)</f>
        <v xml:space="preserve"> </v>
      </c>
      <c r="M565" s="72" t="str">
        <f t="shared" si="16"/>
        <v xml:space="preserve"> </v>
      </c>
      <c r="N565" s="167" t="str">
        <f t="shared" si="17"/>
        <v xml:space="preserve"> </v>
      </c>
    </row>
    <row r="566" spans="1:14" ht="15" x14ac:dyDescent="0.25">
      <c r="A566" s="131" t="str">
        <f>IF(ISBLANK('ALL Other SINs - Proposal'!A566)," ",'ALL Other SINs - Proposal'!A566)</f>
        <v xml:space="preserve"> </v>
      </c>
      <c r="B566" s="137" t="str">
        <f>IF(ISBLANK('ALL Other SINs - Proposal'!B566)," ",'ALL Other SINs - Proposal'!B566)</f>
        <v xml:space="preserve"> </v>
      </c>
      <c r="C566" s="137" t="str">
        <f>IF(ISBLANK('ALL Other SINs - Proposal'!C566)," ",'ALL Other SINs - Proposal'!C566)</f>
        <v xml:space="preserve"> </v>
      </c>
      <c r="D566" s="138" t="str">
        <f>IF(ISBLANK('ALL Other SINs - Proposal'!D566)," ",'ALL Other SINs - Proposal'!D566)</f>
        <v xml:space="preserve"> </v>
      </c>
      <c r="E566" s="69" t="str">
        <f>IF(ISBLANK('ALL Other SINs - Proposal'!R566)," ",'ALL Other SINs - Proposal'!R566)</f>
        <v xml:space="preserve"> </v>
      </c>
      <c r="F566" s="73" t="str">
        <f>IF(ISBLANK('ALL Other SINs - Proposal'!S566)," ",'ALL Other SINs - Proposal'!S566)</f>
        <v xml:space="preserve"> </v>
      </c>
      <c r="G566" s="173" t="str">
        <f>IF(ISBLANK('ALL Other SINs - Proposal'!T566)," ",'ALL Other SINs - Proposal'!T566)</f>
        <v xml:space="preserve"> </v>
      </c>
      <c r="H566" s="275" t="str">
        <f>IF(ISBLANK('ALL Other SINs - Proposal'!V566)," ",'ALL Other SINs - Proposal'!V566)</f>
        <v xml:space="preserve"> </v>
      </c>
      <c r="I566" s="271" t="str">
        <f>IF(ISBLANK('ALL Other SINs - Proposal'!W566)," ",'ALL Other SINs - Proposal'!W566)</f>
        <v xml:space="preserve"> </v>
      </c>
      <c r="J566" s="71" t="str">
        <f>IF(ISBLANK('ALL Other SINs - Proposal'!X566)," ",'ALL Other SINs - Proposal'!X566)</f>
        <v xml:space="preserve"> </v>
      </c>
      <c r="K566" s="165" t="str">
        <f>IF(ISBLANK('ALL Other SINs - Proposal'!AA566)," ",'ALL Other SINs - Proposal'!AA566)</f>
        <v xml:space="preserve"> </v>
      </c>
      <c r="L566" s="178" t="str">
        <f>IF(ISBLANK('ALL Other SINs - Proposal'!AB566)," ",'ALL Other SINs - Proposal'!AB566)</f>
        <v xml:space="preserve"> </v>
      </c>
      <c r="M566" s="72" t="str">
        <f t="shared" si="16"/>
        <v xml:space="preserve"> </v>
      </c>
      <c r="N566" s="167" t="str">
        <f t="shared" si="17"/>
        <v xml:space="preserve"> </v>
      </c>
    </row>
    <row r="567" spans="1:14" ht="15" x14ac:dyDescent="0.25">
      <c r="A567" s="131" t="str">
        <f>IF(ISBLANK('ALL Other SINs - Proposal'!A567)," ",'ALL Other SINs - Proposal'!A567)</f>
        <v xml:space="preserve"> </v>
      </c>
      <c r="B567" s="137" t="str">
        <f>IF(ISBLANK('ALL Other SINs - Proposal'!B567)," ",'ALL Other SINs - Proposal'!B567)</f>
        <v xml:space="preserve"> </v>
      </c>
      <c r="C567" s="137" t="str">
        <f>IF(ISBLANK('ALL Other SINs - Proposal'!C567)," ",'ALL Other SINs - Proposal'!C567)</f>
        <v xml:space="preserve"> </v>
      </c>
      <c r="D567" s="138" t="str">
        <f>IF(ISBLANK('ALL Other SINs - Proposal'!D567)," ",'ALL Other SINs - Proposal'!D567)</f>
        <v xml:space="preserve"> </v>
      </c>
      <c r="E567" s="69" t="str">
        <f>IF(ISBLANK('ALL Other SINs - Proposal'!R567)," ",'ALL Other SINs - Proposal'!R567)</f>
        <v xml:space="preserve"> </v>
      </c>
      <c r="F567" s="73" t="str">
        <f>IF(ISBLANK('ALL Other SINs - Proposal'!S567)," ",'ALL Other SINs - Proposal'!S567)</f>
        <v xml:space="preserve"> </v>
      </c>
      <c r="G567" s="173" t="str">
        <f>IF(ISBLANK('ALL Other SINs - Proposal'!T567)," ",'ALL Other SINs - Proposal'!T567)</f>
        <v xml:space="preserve"> </v>
      </c>
      <c r="H567" s="275" t="str">
        <f>IF(ISBLANK('ALL Other SINs - Proposal'!V567)," ",'ALL Other SINs - Proposal'!V567)</f>
        <v xml:space="preserve"> </v>
      </c>
      <c r="I567" s="271" t="str">
        <f>IF(ISBLANK('ALL Other SINs - Proposal'!W567)," ",'ALL Other SINs - Proposal'!W567)</f>
        <v xml:space="preserve"> </v>
      </c>
      <c r="J567" s="71" t="str">
        <f>IF(ISBLANK('ALL Other SINs - Proposal'!X567)," ",'ALL Other SINs - Proposal'!X567)</f>
        <v xml:space="preserve"> </v>
      </c>
      <c r="K567" s="165" t="str">
        <f>IF(ISBLANK('ALL Other SINs - Proposal'!AA567)," ",'ALL Other SINs - Proposal'!AA567)</f>
        <v xml:space="preserve"> </v>
      </c>
      <c r="L567" s="178" t="str">
        <f>IF(ISBLANK('ALL Other SINs - Proposal'!AB567)," ",'ALL Other SINs - Proposal'!AB567)</f>
        <v xml:space="preserve"> </v>
      </c>
      <c r="M567" s="72" t="str">
        <f t="shared" si="16"/>
        <v xml:space="preserve"> </v>
      </c>
      <c r="N567" s="167" t="str">
        <f t="shared" si="17"/>
        <v xml:space="preserve"> </v>
      </c>
    </row>
    <row r="568" spans="1:14" ht="15" x14ac:dyDescent="0.25">
      <c r="A568" s="131" t="str">
        <f>IF(ISBLANK('ALL Other SINs - Proposal'!A568)," ",'ALL Other SINs - Proposal'!A568)</f>
        <v xml:space="preserve"> </v>
      </c>
      <c r="B568" s="137" t="str">
        <f>IF(ISBLANK('ALL Other SINs - Proposal'!B568)," ",'ALL Other SINs - Proposal'!B568)</f>
        <v xml:space="preserve"> </v>
      </c>
      <c r="C568" s="137" t="str">
        <f>IF(ISBLANK('ALL Other SINs - Proposal'!C568)," ",'ALL Other SINs - Proposal'!C568)</f>
        <v xml:space="preserve"> </v>
      </c>
      <c r="D568" s="138" t="str">
        <f>IF(ISBLANK('ALL Other SINs - Proposal'!D568)," ",'ALL Other SINs - Proposal'!D568)</f>
        <v xml:space="preserve"> </v>
      </c>
      <c r="E568" s="69" t="str">
        <f>IF(ISBLANK('ALL Other SINs - Proposal'!R568)," ",'ALL Other SINs - Proposal'!R568)</f>
        <v xml:space="preserve"> </v>
      </c>
      <c r="F568" s="73" t="str">
        <f>IF(ISBLANK('ALL Other SINs - Proposal'!S568)," ",'ALL Other SINs - Proposal'!S568)</f>
        <v xml:space="preserve"> </v>
      </c>
      <c r="G568" s="173" t="str">
        <f>IF(ISBLANK('ALL Other SINs - Proposal'!T568)," ",'ALL Other SINs - Proposal'!T568)</f>
        <v xml:space="preserve"> </v>
      </c>
      <c r="H568" s="275" t="str">
        <f>IF(ISBLANK('ALL Other SINs - Proposal'!V568)," ",'ALL Other SINs - Proposal'!V568)</f>
        <v xml:space="preserve"> </v>
      </c>
      <c r="I568" s="271" t="str">
        <f>IF(ISBLANK('ALL Other SINs - Proposal'!W568)," ",'ALL Other SINs - Proposal'!W568)</f>
        <v xml:space="preserve"> </v>
      </c>
      <c r="J568" s="71" t="str">
        <f>IF(ISBLANK('ALL Other SINs - Proposal'!X568)," ",'ALL Other SINs - Proposal'!X568)</f>
        <v xml:space="preserve"> </v>
      </c>
      <c r="K568" s="165" t="str">
        <f>IF(ISBLANK('ALL Other SINs - Proposal'!AA568)," ",'ALL Other SINs - Proposal'!AA568)</f>
        <v xml:space="preserve"> </v>
      </c>
      <c r="L568" s="178" t="str">
        <f>IF(ISBLANK('ALL Other SINs - Proposal'!AB568)," ",'ALL Other SINs - Proposal'!AB568)</f>
        <v xml:space="preserve"> </v>
      </c>
      <c r="M568" s="72" t="str">
        <f t="shared" si="16"/>
        <v xml:space="preserve"> </v>
      </c>
      <c r="N568" s="167" t="str">
        <f t="shared" si="17"/>
        <v xml:space="preserve"> </v>
      </c>
    </row>
    <row r="569" spans="1:14" ht="15" x14ac:dyDescent="0.25">
      <c r="A569" s="131" t="str">
        <f>IF(ISBLANK('ALL Other SINs - Proposal'!A569)," ",'ALL Other SINs - Proposal'!A569)</f>
        <v xml:space="preserve"> </v>
      </c>
      <c r="B569" s="137" t="str">
        <f>IF(ISBLANK('ALL Other SINs - Proposal'!B569)," ",'ALL Other SINs - Proposal'!B569)</f>
        <v xml:space="preserve"> </v>
      </c>
      <c r="C569" s="137" t="str">
        <f>IF(ISBLANK('ALL Other SINs - Proposal'!C569)," ",'ALL Other SINs - Proposal'!C569)</f>
        <v xml:space="preserve"> </v>
      </c>
      <c r="D569" s="138" t="str">
        <f>IF(ISBLANK('ALL Other SINs - Proposal'!D569)," ",'ALL Other SINs - Proposal'!D569)</f>
        <v xml:space="preserve"> </v>
      </c>
      <c r="E569" s="69" t="str">
        <f>IF(ISBLANK('ALL Other SINs - Proposal'!R569)," ",'ALL Other SINs - Proposal'!R569)</f>
        <v xml:space="preserve"> </v>
      </c>
      <c r="F569" s="73" t="str">
        <f>IF(ISBLANK('ALL Other SINs - Proposal'!S569)," ",'ALL Other SINs - Proposal'!S569)</f>
        <v xml:space="preserve"> </v>
      </c>
      <c r="G569" s="173" t="str">
        <f>IF(ISBLANK('ALL Other SINs - Proposal'!T569)," ",'ALL Other SINs - Proposal'!T569)</f>
        <v xml:space="preserve"> </v>
      </c>
      <c r="H569" s="275" t="str">
        <f>IF(ISBLANK('ALL Other SINs - Proposal'!V569)," ",'ALL Other SINs - Proposal'!V569)</f>
        <v xml:space="preserve"> </v>
      </c>
      <c r="I569" s="271" t="str">
        <f>IF(ISBLANK('ALL Other SINs - Proposal'!W569)," ",'ALL Other SINs - Proposal'!W569)</f>
        <v xml:space="preserve"> </v>
      </c>
      <c r="J569" s="71" t="str">
        <f>IF(ISBLANK('ALL Other SINs - Proposal'!X569)," ",'ALL Other SINs - Proposal'!X569)</f>
        <v xml:space="preserve"> </v>
      </c>
      <c r="K569" s="165" t="str">
        <f>IF(ISBLANK('ALL Other SINs - Proposal'!AA569)," ",'ALL Other SINs - Proposal'!AA569)</f>
        <v xml:space="preserve"> </v>
      </c>
      <c r="L569" s="178" t="str">
        <f>IF(ISBLANK('ALL Other SINs - Proposal'!AB569)," ",'ALL Other SINs - Proposal'!AB569)</f>
        <v xml:space="preserve"> </v>
      </c>
      <c r="M569" s="72" t="str">
        <f t="shared" si="16"/>
        <v xml:space="preserve"> </v>
      </c>
      <c r="N569" s="167" t="str">
        <f t="shared" si="17"/>
        <v xml:space="preserve"> </v>
      </c>
    </row>
    <row r="570" spans="1:14" ht="15" x14ac:dyDescent="0.25">
      <c r="A570" s="131" t="str">
        <f>IF(ISBLANK('ALL Other SINs - Proposal'!A570)," ",'ALL Other SINs - Proposal'!A570)</f>
        <v xml:space="preserve"> </v>
      </c>
      <c r="B570" s="137" t="str">
        <f>IF(ISBLANK('ALL Other SINs - Proposal'!B570)," ",'ALL Other SINs - Proposal'!B570)</f>
        <v xml:space="preserve"> </v>
      </c>
      <c r="C570" s="137" t="str">
        <f>IF(ISBLANK('ALL Other SINs - Proposal'!C570)," ",'ALL Other SINs - Proposal'!C570)</f>
        <v xml:space="preserve"> </v>
      </c>
      <c r="D570" s="138" t="str">
        <f>IF(ISBLANK('ALL Other SINs - Proposal'!D570)," ",'ALL Other SINs - Proposal'!D570)</f>
        <v xml:space="preserve"> </v>
      </c>
      <c r="E570" s="69" t="str">
        <f>IF(ISBLANK('ALL Other SINs - Proposal'!R570)," ",'ALL Other SINs - Proposal'!R570)</f>
        <v xml:space="preserve"> </v>
      </c>
      <c r="F570" s="73" t="str">
        <f>IF(ISBLANK('ALL Other SINs - Proposal'!S570)," ",'ALL Other SINs - Proposal'!S570)</f>
        <v xml:space="preserve"> </v>
      </c>
      <c r="G570" s="173" t="str">
        <f>IF(ISBLANK('ALL Other SINs - Proposal'!T570)," ",'ALL Other SINs - Proposal'!T570)</f>
        <v xml:space="preserve"> </v>
      </c>
      <c r="H570" s="275" t="str">
        <f>IF(ISBLANK('ALL Other SINs - Proposal'!V570)," ",'ALL Other SINs - Proposal'!V570)</f>
        <v xml:space="preserve"> </v>
      </c>
      <c r="I570" s="271" t="str">
        <f>IF(ISBLANK('ALL Other SINs - Proposal'!W570)," ",'ALL Other SINs - Proposal'!W570)</f>
        <v xml:space="preserve"> </v>
      </c>
      <c r="J570" s="71" t="str">
        <f>IF(ISBLANK('ALL Other SINs - Proposal'!X570)," ",'ALL Other SINs - Proposal'!X570)</f>
        <v xml:space="preserve"> </v>
      </c>
      <c r="K570" s="165" t="str">
        <f>IF(ISBLANK('ALL Other SINs - Proposal'!AA570)," ",'ALL Other SINs - Proposal'!AA570)</f>
        <v xml:space="preserve"> </v>
      </c>
      <c r="L570" s="178" t="str">
        <f>IF(ISBLANK('ALL Other SINs - Proposal'!AB570)," ",'ALL Other SINs - Proposal'!AB570)</f>
        <v xml:space="preserve"> </v>
      </c>
      <c r="M570" s="72" t="str">
        <f t="shared" si="16"/>
        <v xml:space="preserve"> </v>
      </c>
      <c r="N570" s="167" t="str">
        <f t="shared" si="17"/>
        <v xml:space="preserve"> </v>
      </c>
    </row>
    <row r="571" spans="1:14" ht="15" x14ac:dyDescent="0.25">
      <c r="A571" s="131" t="str">
        <f>IF(ISBLANK('ALL Other SINs - Proposal'!A571)," ",'ALL Other SINs - Proposal'!A571)</f>
        <v xml:space="preserve"> </v>
      </c>
      <c r="B571" s="137" t="str">
        <f>IF(ISBLANK('ALL Other SINs - Proposal'!B571)," ",'ALL Other SINs - Proposal'!B571)</f>
        <v xml:space="preserve"> </v>
      </c>
      <c r="C571" s="137" t="str">
        <f>IF(ISBLANK('ALL Other SINs - Proposal'!C571)," ",'ALL Other SINs - Proposal'!C571)</f>
        <v xml:space="preserve"> </v>
      </c>
      <c r="D571" s="138" t="str">
        <f>IF(ISBLANK('ALL Other SINs - Proposal'!D571)," ",'ALL Other SINs - Proposal'!D571)</f>
        <v xml:space="preserve"> </v>
      </c>
      <c r="E571" s="69" t="str">
        <f>IF(ISBLANK('ALL Other SINs - Proposal'!R571)," ",'ALL Other SINs - Proposal'!R571)</f>
        <v xml:space="preserve"> </v>
      </c>
      <c r="F571" s="73" t="str">
        <f>IF(ISBLANK('ALL Other SINs - Proposal'!S571)," ",'ALL Other SINs - Proposal'!S571)</f>
        <v xml:space="preserve"> </v>
      </c>
      <c r="G571" s="173" t="str">
        <f>IF(ISBLANK('ALL Other SINs - Proposal'!T571)," ",'ALL Other SINs - Proposal'!T571)</f>
        <v xml:space="preserve"> </v>
      </c>
      <c r="H571" s="275" t="str">
        <f>IF(ISBLANK('ALL Other SINs - Proposal'!V571)," ",'ALL Other SINs - Proposal'!V571)</f>
        <v xml:space="preserve"> </v>
      </c>
      <c r="I571" s="271" t="str">
        <f>IF(ISBLANK('ALL Other SINs - Proposal'!W571)," ",'ALL Other SINs - Proposal'!W571)</f>
        <v xml:space="preserve"> </v>
      </c>
      <c r="J571" s="71" t="str">
        <f>IF(ISBLANK('ALL Other SINs - Proposal'!X571)," ",'ALL Other SINs - Proposal'!X571)</f>
        <v xml:space="preserve"> </v>
      </c>
      <c r="K571" s="165" t="str">
        <f>IF(ISBLANK('ALL Other SINs - Proposal'!AA571)," ",'ALL Other SINs - Proposal'!AA571)</f>
        <v xml:space="preserve"> </v>
      </c>
      <c r="L571" s="178" t="str">
        <f>IF(ISBLANK('ALL Other SINs - Proposal'!AB571)," ",'ALL Other SINs - Proposal'!AB571)</f>
        <v xml:space="preserve"> </v>
      </c>
      <c r="M571" s="72" t="str">
        <f t="shared" si="16"/>
        <v xml:space="preserve"> </v>
      </c>
      <c r="N571" s="167" t="str">
        <f t="shared" si="17"/>
        <v xml:space="preserve"> </v>
      </c>
    </row>
    <row r="572" spans="1:14" ht="15" x14ac:dyDescent="0.25">
      <c r="A572" s="131" t="str">
        <f>IF(ISBLANK('ALL Other SINs - Proposal'!A572)," ",'ALL Other SINs - Proposal'!A572)</f>
        <v xml:space="preserve"> </v>
      </c>
      <c r="B572" s="137" t="str">
        <f>IF(ISBLANK('ALL Other SINs - Proposal'!B572)," ",'ALL Other SINs - Proposal'!B572)</f>
        <v xml:space="preserve"> </v>
      </c>
      <c r="C572" s="137" t="str">
        <f>IF(ISBLANK('ALL Other SINs - Proposal'!C572)," ",'ALL Other SINs - Proposal'!C572)</f>
        <v xml:space="preserve"> </v>
      </c>
      <c r="D572" s="138" t="str">
        <f>IF(ISBLANK('ALL Other SINs - Proposal'!D572)," ",'ALL Other SINs - Proposal'!D572)</f>
        <v xml:space="preserve"> </v>
      </c>
      <c r="E572" s="69" t="str">
        <f>IF(ISBLANK('ALL Other SINs - Proposal'!R572)," ",'ALL Other SINs - Proposal'!R572)</f>
        <v xml:space="preserve"> </v>
      </c>
      <c r="F572" s="73" t="str">
        <f>IF(ISBLANK('ALL Other SINs - Proposal'!S572)," ",'ALL Other SINs - Proposal'!S572)</f>
        <v xml:space="preserve"> </v>
      </c>
      <c r="G572" s="173" t="str">
        <f>IF(ISBLANK('ALL Other SINs - Proposal'!T572)," ",'ALL Other SINs - Proposal'!T572)</f>
        <v xml:space="preserve"> </v>
      </c>
      <c r="H572" s="275" t="str">
        <f>IF(ISBLANK('ALL Other SINs - Proposal'!V572)," ",'ALL Other SINs - Proposal'!V572)</f>
        <v xml:space="preserve"> </v>
      </c>
      <c r="I572" s="271" t="str">
        <f>IF(ISBLANK('ALL Other SINs - Proposal'!W572)," ",'ALL Other SINs - Proposal'!W572)</f>
        <v xml:space="preserve"> </v>
      </c>
      <c r="J572" s="71" t="str">
        <f>IF(ISBLANK('ALL Other SINs - Proposal'!X572)," ",'ALL Other SINs - Proposal'!X572)</f>
        <v xml:space="preserve"> </v>
      </c>
      <c r="K572" s="165" t="str">
        <f>IF(ISBLANK('ALL Other SINs - Proposal'!AA572)," ",'ALL Other SINs - Proposal'!AA572)</f>
        <v xml:space="preserve"> </v>
      </c>
      <c r="L572" s="178" t="str">
        <f>IF(ISBLANK('ALL Other SINs - Proposal'!AB572)," ",'ALL Other SINs - Proposal'!AB572)</f>
        <v xml:space="preserve"> </v>
      </c>
      <c r="M572" s="72" t="str">
        <f t="shared" si="16"/>
        <v xml:space="preserve"> </v>
      </c>
      <c r="N572" s="167" t="str">
        <f t="shared" si="17"/>
        <v xml:space="preserve"> </v>
      </c>
    </row>
    <row r="573" spans="1:14" ht="15" x14ac:dyDescent="0.25">
      <c r="A573" s="131" t="str">
        <f>IF(ISBLANK('ALL Other SINs - Proposal'!A573)," ",'ALL Other SINs - Proposal'!A573)</f>
        <v xml:space="preserve"> </v>
      </c>
      <c r="B573" s="137" t="str">
        <f>IF(ISBLANK('ALL Other SINs - Proposal'!B573)," ",'ALL Other SINs - Proposal'!B573)</f>
        <v xml:space="preserve"> </v>
      </c>
      <c r="C573" s="137" t="str">
        <f>IF(ISBLANK('ALL Other SINs - Proposal'!C573)," ",'ALL Other SINs - Proposal'!C573)</f>
        <v xml:space="preserve"> </v>
      </c>
      <c r="D573" s="138" t="str">
        <f>IF(ISBLANK('ALL Other SINs - Proposal'!D573)," ",'ALL Other SINs - Proposal'!D573)</f>
        <v xml:space="preserve"> </v>
      </c>
      <c r="E573" s="69" t="str">
        <f>IF(ISBLANK('ALL Other SINs - Proposal'!R573)," ",'ALL Other SINs - Proposal'!R573)</f>
        <v xml:space="preserve"> </v>
      </c>
      <c r="F573" s="73" t="str">
        <f>IF(ISBLANK('ALL Other SINs - Proposal'!S573)," ",'ALL Other SINs - Proposal'!S573)</f>
        <v xml:space="preserve"> </v>
      </c>
      <c r="G573" s="173" t="str">
        <f>IF(ISBLANK('ALL Other SINs - Proposal'!T573)," ",'ALL Other SINs - Proposal'!T573)</f>
        <v xml:space="preserve"> </v>
      </c>
      <c r="H573" s="275" t="str">
        <f>IF(ISBLANK('ALL Other SINs - Proposal'!V573)," ",'ALL Other SINs - Proposal'!V573)</f>
        <v xml:space="preserve"> </v>
      </c>
      <c r="I573" s="271" t="str">
        <f>IF(ISBLANK('ALL Other SINs - Proposal'!W573)," ",'ALL Other SINs - Proposal'!W573)</f>
        <v xml:space="preserve"> </v>
      </c>
      <c r="J573" s="71" t="str">
        <f>IF(ISBLANK('ALL Other SINs - Proposal'!X573)," ",'ALL Other SINs - Proposal'!X573)</f>
        <v xml:space="preserve"> </v>
      </c>
      <c r="K573" s="165" t="str">
        <f>IF(ISBLANK('ALL Other SINs - Proposal'!AA573)," ",'ALL Other SINs - Proposal'!AA573)</f>
        <v xml:space="preserve"> </v>
      </c>
      <c r="L573" s="178" t="str">
        <f>IF(ISBLANK('ALL Other SINs - Proposal'!AB573)," ",'ALL Other SINs - Proposal'!AB573)</f>
        <v xml:space="preserve"> </v>
      </c>
      <c r="M573" s="72" t="str">
        <f t="shared" si="16"/>
        <v xml:space="preserve"> </v>
      </c>
      <c r="N573" s="167" t="str">
        <f t="shared" si="17"/>
        <v xml:space="preserve"> </v>
      </c>
    </row>
    <row r="574" spans="1:14" ht="15" x14ac:dyDescent="0.25">
      <c r="A574" s="131" t="str">
        <f>IF(ISBLANK('ALL Other SINs - Proposal'!A574)," ",'ALL Other SINs - Proposal'!A574)</f>
        <v xml:space="preserve"> </v>
      </c>
      <c r="B574" s="137" t="str">
        <f>IF(ISBLANK('ALL Other SINs - Proposal'!B574)," ",'ALL Other SINs - Proposal'!B574)</f>
        <v xml:space="preserve"> </v>
      </c>
      <c r="C574" s="137" t="str">
        <f>IF(ISBLANK('ALL Other SINs - Proposal'!C574)," ",'ALL Other SINs - Proposal'!C574)</f>
        <v xml:space="preserve"> </v>
      </c>
      <c r="D574" s="138" t="str">
        <f>IF(ISBLANK('ALL Other SINs - Proposal'!D574)," ",'ALL Other SINs - Proposal'!D574)</f>
        <v xml:space="preserve"> </v>
      </c>
      <c r="E574" s="69" t="str">
        <f>IF(ISBLANK('ALL Other SINs - Proposal'!R574)," ",'ALL Other SINs - Proposal'!R574)</f>
        <v xml:space="preserve"> </v>
      </c>
      <c r="F574" s="73" t="str">
        <f>IF(ISBLANK('ALL Other SINs - Proposal'!S574)," ",'ALL Other SINs - Proposal'!S574)</f>
        <v xml:space="preserve"> </v>
      </c>
      <c r="G574" s="173" t="str">
        <f>IF(ISBLANK('ALL Other SINs - Proposal'!T574)," ",'ALL Other SINs - Proposal'!T574)</f>
        <v xml:space="preserve"> </v>
      </c>
      <c r="H574" s="275" t="str">
        <f>IF(ISBLANK('ALL Other SINs - Proposal'!V574)," ",'ALL Other SINs - Proposal'!V574)</f>
        <v xml:space="preserve"> </v>
      </c>
      <c r="I574" s="271" t="str">
        <f>IF(ISBLANK('ALL Other SINs - Proposal'!W574)," ",'ALL Other SINs - Proposal'!W574)</f>
        <v xml:space="preserve"> </v>
      </c>
      <c r="J574" s="71" t="str">
        <f>IF(ISBLANK('ALL Other SINs - Proposal'!X574)," ",'ALL Other SINs - Proposal'!X574)</f>
        <v xml:space="preserve"> </v>
      </c>
      <c r="K574" s="165" t="str">
        <f>IF(ISBLANK('ALL Other SINs - Proposal'!AA574)," ",'ALL Other SINs - Proposal'!AA574)</f>
        <v xml:space="preserve"> </v>
      </c>
      <c r="L574" s="178" t="str">
        <f>IF(ISBLANK('ALL Other SINs - Proposal'!AB574)," ",'ALL Other SINs - Proposal'!AB574)</f>
        <v xml:space="preserve"> </v>
      </c>
      <c r="M574" s="72" t="str">
        <f t="shared" si="16"/>
        <v xml:space="preserve"> </v>
      </c>
      <c r="N574" s="167" t="str">
        <f t="shared" si="17"/>
        <v xml:space="preserve"> </v>
      </c>
    </row>
    <row r="575" spans="1:14" ht="15" x14ac:dyDescent="0.25">
      <c r="A575" s="131" t="str">
        <f>IF(ISBLANK('ALL Other SINs - Proposal'!A575)," ",'ALL Other SINs - Proposal'!A575)</f>
        <v xml:space="preserve"> </v>
      </c>
      <c r="B575" s="137" t="str">
        <f>IF(ISBLANK('ALL Other SINs - Proposal'!B575)," ",'ALL Other SINs - Proposal'!B575)</f>
        <v xml:space="preserve"> </v>
      </c>
      <c r="C575" s="137" t="str">
        <f>IF(ISBLANK('ALL Other SINs - Proposal'!C575)," ",'ALL Other SINs - Proposal'!C575)</f>
        <v xml:space="preserve"> </v>
      </c>
      <c r="D575" s="138" t="str">
        <f>IF(ISBLANK('ALL Other SINs - Proposal'!D575)," ",'ALL Other SINs - Proposal'!D575)</f>
        <v xml:space="preserve"> </v>
      </c>
      <c r="E575" s="69" t="str">
        <f>IF(ISBLANK('ALL Other SINs - Proposal'!R575)," ",'ALL Other SINs - Proposal'!R575)</f>
        <v xml:space="preserve"> </v>
      </c>
      <c r="F575" s="73" t="str">
        <f>IF(ISBLANK('ALL Other SINs - Proposal'!S575)," ",'ALL Other SINs - Proposal'!S575)</f>
        <v xml:space="preserve"> </v>
      </c>
      <c r="G575" s="173" t="str">
        <f>IF(ISBLANK('ALL Other SINs - Proposal'!T575)," ",'ALL Other SINs - Proposal'!T575)</f>
        <v xml:space="preserve"> </v>
      </c>
      <c r="H575" s="275" t="str">
        <f>IF(ISBLANK('ALL Other SINs - Proposal'!V575)," ",'ALL Other SINs - Proposal'!V575)</f>
        <v xml:space="preserve"> </v>
      </c>
      <c r="I575" s="271" t="str">
        <f>IF(ISBLANK('ALL Other SINs - Proposal'!W575)," ",'ALL Other SINs - Proposal'!W575)</f>
        <v xml:space="preserve"> </v>
      </c>
      <c r="J575" s="71" t="str">
        <f>IF(ISBLANK('ALL Other SINs - Proposal'!X575)," ",'ALL Other SINs - Proposal'!X575)</f>
        <v xml:space="preserve"> </v>
      </c>
      <c r="K575" s="165" t="str">
        <f>IF(ISBLANK('ALL Other SINs - Proposal'!AA575)," ",'ALL Other SINs - Proposal'!AA575)</f>
        <v xml:space="preserve"> </v>
      </c>
      <c r="L575" s="178" t="str">
        <f>IF(ISBLANK('ALL Other SINs - Proposal'!AB575)," ",'ALL Other SINs - Proposal'!AB575)</f>
        <v xml:space="preserve"> </v>
      </c>
      <c r="M575" s="72" t="str">
        <f t="shared" si="16"/>
        <v xml:space="preserve"> </v>
      </c>
      <c r="N575" s="167" t="str">
        <f t="shared" si="17"/>
        <v xml:space="preserve"> </v>
      </c>
    </row>
    <row r="576" spans="1:14" ht="15" x14ac:dyDescent="0.25">
      <c r="A576" s="131" t="str">
        <f>IF(ISBLANK('ALL Other SINs - Proposal'!A576)," ",'ALL Other SINs - Proposal'!A576)</f>
        <v xml:space="preserve"> </v>
      </c>
      <c r="B576" s="137" t="str">
        <f>IF(ISBLANK('ALL Other SINs - Proposal'!B576)," ",'ALL Other SINs - Proposal'!B576)</f>
        <v xml:space="preserve"> </v>
      </c>
      <c r="C576" s="137" t="str">
        <f>IF(ISBLANK('ALL Other SINs - Proposal'!C576)," ",'ALL Other SINs - Proposal'!C576)</f>
        <v xml:space="preserve"> </v>
      </c>
      <c r="D576" s="138" t="str">
        <f>IF(ISBLANK('ALL Other SINs - Proposal'!D576)," ",'ALL Other SINs - Proposal'!D576)</f>
        <v xml:space="preserve"> </v>
      </c>
      <c r="E576" s="69" t="str">
        <f>IF(ISBLANK('ALL Other SINs - Proposal'!R576)," ",'ALL Other SINs - Proposal'!R576)</f>
        <v xml:space="preserve"> </v>
      </c>
      <c r="F576" s="73" t="str">
        <f>IF(ISBLANK('ALL Other SINs - Proposal'!S576)," ",'ALL Other SINs - Proposal'!S576)</f>
        <v xml:space="preserve"> </v>
      </c>
      <c r="G576" s="173" t="str">
        <f>IF(ISBLANK('ALL Other SINs - Proposal'!T576)," ",'ALL Other SINs - Proposal'!T576)</f>
        <v xml:space="preserve"> </v>
      </c>
      <c r="H576" s="275" t="str">
        <f>IF(ISBLANK('ALL Other SINs - Proposal'!V576)," ",'ALL Other SINs - Proposal'!V576)</f>
        <v xml:space="preserve"> </v>
      </c>
      <c r="I576" s="271" t="str">
        <f>IF(ISBLANK('ALL Other SINs - Proposal'!W576)," ",'ALL Other SINs - Proposal'!W576)</f>
        <v xml:space="preserve"> </v>
      </c>
      <c r="J576" s="71" t="str">
        <f>IF(ISBLANK('ALL Other SINs - Proposal'!X576)," ",'ALL Other SINs - Proposal'!X576)</f>
        <v xml:space="preserve"> </v>
      </c>
      <c r="K576" s="165" t="str">
        <f>IF(ISBLANK('ALL Other SINs - Proposal'!AA576)," ",'ALL Other SINs - Proposal'!AA576)</f>
        <v xml:space="preserve"> </v>
      </c>
      <c r="L576" s="178" t="str">
        <f>IF(ISBLANK('ALL Other SINs - Proposal'!AB576)," ",'ALL Other SINs - Proposal'!AB576)</f>
        <v xml:space="preserve"> </v>
      </c>
      <c r="M576" s="72" t="str">
        <f t="shared" si="16"/>
        <v xml:space="preserve"> </v>
      </c>
      <c r="N576" s="167" t="str">
        <f t="shared" si="17"/>
        <v xml:space="preserve"> </v>
      </c>
    </row>
    <row r="577" spans="1:14" ht="15" x14ac:dyDescent="0.25">
      <c r="A577" s="131" t="str">
        <f>IF(ISBLANK('ALL Other SINs - Proposal'!A577)," ",'ALL Other SINs - Proposal'!A577)</f>
        <v xml:space="preserve"> </v>
      </c>
      <c r="B577" s="137" t="str">
        <f>IF(ISBLANK('ALL Other SINs - Proposal'!B577)," ",'ALL Other SINs - Proposal'!B577)</f>
        <v xml:space="preserve"> </v>
      </c>
      <c r="C577" s="137" t="str">
        <f>IF(ISBLANK('ALL Other SINs - Proposal'!C577)," ",'ALL Other SINs - Proposal'!C577)</f>
        <v xml:space="preserve"> </v>
      </c>
      <c r="D577" s="138" t="str">
        <f>IF(ISBLANK('ALL Other SINs - Proposal'!D577)," ",'ALL Other SINs - Proposal'!D577)</f>
        <v xml:space="preserve"> </v>
      </c>
      <c r="E577" s="69" t="str">
        <f>IF(ISBLANK('ALL Other SINs - Proposal'!R577)," ",'ALL Other SINs - Proposal'!R577)</f>
        <v xml:space="preserve"> </v>
      </c>
      <c r="F577" s="73" t="str">
        <f>IF(ISBLANK('ALL Other SINs - Proposal'!S577)," ",'ALL Other SINs - Proposal'!S577)</f>
        <v xml:space="preserve"> </v>
      </c>
      <c r="G577" s="173" t="str">
        <f>IF(ISBLANK('ALL Other SINs - Proposal'!T577)," ",'ALL Other SINs - Proposal'!T577)</f>
        <v xml:space="preserve"> </v>
      </c>
      <c r="H577" s="275" t="str">
        <f>IF(ISBLANK('ALL Other SINs - Proposal'!V577)," ",'ALL Other SINs - Proposal'!V577)</f>
        <v xml:space="preserve"> </v>
      </c>
      <c r="I577" s="271" t="str">
        <f>IF(ISBLANK('ALL Other SINs - Proposal'!W577)," ",'ALL Other SINs - Proposal'!W577)</f>
        <v xml:space="preserve"> </v>
      </c>
      <c r="J577" s="71" t="str">
        <f>IF(ISBLANK('ALL Other SINs - Proposal'!X577)," ",'ALL Other SINs - Proposal'!X577)</f>
        <v xml:space="preserve"> </v>
      </c>
      <c r="K577" s="165" t="str">
        <f>IF(ISBLANK('ALL Other SINs - Proposal'!AA577)," ",'ALL Other SINs - Proposal'!AA577)</f>
        <v xml:space="preserve"> </v>
      </c>
      <c r="L577" s="178" t="str">
        <f>IF(ISBLANK('ALL Other SINs - Proposal'!AB577)," ",'ALL Other SINs - Proposal'!AB577)</f>
        <v xml:space="preserve"> </v>
      </c>
      <c r="M577" s="72" t="str">
        <f t="shared" si="16"/>
        <v xml:space="preserve"> </v>
      </c>
      <c r="N577" s="167" t="str">
        <f t="shared" si="17"/>
        <v xml:space="preserve"> </v>
      </c>
    </row>
    <row r="578" spans="1:14" ht="15" x14ac:dyDescent="0.25">
      <c r="A578" s="131" t="str">
        <f>IF(ISBLANK('ALL Other SINs - Proposal'!A578)," ",'ALL Other SINs - Proposal'!A578)</f>
        <v xml:space="preserve"> </v>
      </c>
      <c r="B578" s="137" t="str">
        <f>IF(ISBLANK('ALL Other SINs - Proposal'!B578)," ",'ALL Other SINs - Proposal'!B578)</f>
        <v xml:space="preserve"> </v>
      </c>
      <c r="C578" s="137" t="str">
        <f>IF(ISBLANK('ALL Other SINs - Proposal'!C578)," ",'ALL Other SINs - Proposal'!C578)</f>
        <v xml:space="preserve"> </v>
      </c>
      <c r="D578" s="138" t="str">
        <f>IF(ISBLANK('ALL Other SINs - Proposal'!D578)," ",'ALL Other SINs - Proposal'!D578)</f>
        <v xml:space="preserve"> </v>
      </c>
      <c r="E578" s="69" t="str">
        <f>IF(ISBLANK('ALL Other SINs - Proposal'!R578)," ",'ALL Other SINs - Proposal'!R578)</f>
        <v xml:space="preserve"> </v>
      </c>
      <c r="F578" s="73" t="str">
        <f>IF(ISBLANK('ALL Other SINs - Proposal'!S578)," ",'ALL Other SINs - Proposal'!S578)</f>
        <v xml:space="preserve"> </v>
      </c>
      <c r="G578" s="173" t="str">
        <f>IF(ISBLANK('ALL Other SINs - Proposal'!T578)," ",'ALL Other SINs - Proposal'!T578)</f>
        <v xml:space="preserve"> </v>
      </c>
      <c r="H578" s="275" t="str">
        <f>IF(ISBLANK('ALL Other SINs - Proposal'!V578)," ",'ALL Other SINs - Proposal'!V578)</f>
        <v xml:space="preserve"> </v>
      </c>
      <c r="I578" s="271" t="str">
        <f>IF(ISBLANK('ALL Other SINs - Proposal'!W578)," ",'ALL Other SINs - Proposal'!W578)</f>
        <v xml:space="preserve"> </v>
      </c>
      <c r="J578" s="71" t="str">
        <f>IF(ISBLANK('ALL Other SINs - Proposal'!X578)," ",'ALL Other SINs - Proposal'!X578)</f>
        <v xml:space="preserve"> </v>
      </c>
      <c r="K578" s="165" t="str">
        <f>IF(ISBLANK('ALL Other SINs - Proposal'!AA578)," ",'ALL Other SINs - Proposal'!AA578)</f>
        <v xml:space="preserve"> </v>
      </c>
      <c r="L578" s="178" t="str">
        <f>IF(ISBLANK('ALL Other SINs - Proposal'!AB578)," ",'ALL Other SINs - Proposal'!AB578)</f>
        <v xml:space="preserve"> </v>
      </c>
      <c r="M578" s="72" t="str">
        <f t="shared" si="16"/>
        <v xml:space="preserve"> </v>
      </c>
      <c r="N578" s="167" t="str">
        <f t="shared" si="17"/>
        <v xml:space="preserve"> </v>
      </c>
    </row>
    <row r="579" spans="1:14" ht="15" x14ac:dyDescent="0.25">
      <c r="A579" s="131" t="str">
        <f>IF(ISBLANK('ALL Other SINs - Proposal'!A579)," ",'ALL Other SINs - Proposal'!A579)</f>
        <v xml:space="preserve"> </v>
      </c>
      <c r="B579" s="137" t="str">
        <f>IF(ISBLANK('ALL Other SINs - Proposal'!B579)," ",'ALL Other SINs - Proposal'!B579)</f>
        <v xml:space="preserve"> </v>
      </c>
      <c r="C579" s="137" t="str">
        <f>IF(ISBLANK('ALL Other SINs - Proposal'!C579)," ",'ALL Other SINs - Proposal'!C579)</f>
        <v xml:space="preserve"> </v>
      </c>
      <c r="D579" s="138" t="str">
        <f>IF(ISBLANK('ALL Other SINs - Proposal'!D579)," ",'ALL Other SINs - Proposal'!D579)</f>
        <v xml:space="preserve"> </v>
      </c>
      <c r="E579" s="69" t="str">
        <f>IF(ISBLANK('ALL Other SINs - Proposal'!R579)," ",'ALL Other SINs - Proposal'!R579)</f>
        <v xml:space="preserve"> </v>
      </c>
      <c r="F579" s="73" t="str">
        <f>IF(ISBLANK('ALL Other SINs - Proposal'!S579)," ",'ALL Other SINs - Proposal'!S579)</f>
        <v xml:space="preserve"> </v>
      </c>
      <c r="G579" s="173" t="str">
        <f>IF(ISBLANK('ALL Other SINs - Proposal'!T579)," ",'ALL Other SINs - Proposal'!T579)</f>
        <v xml:space="preserve"> </v>
      </c>
      <c r="H579" s="275" t="str">
        <f>IF(ISBLANK('ALL Other SINs - Proposal'!V579)," ",'ALL Other SINs - Proposal'!V579)</f>
        <v xml:space="preserve"> </v>
      </c>
      <c r="I579" s="271" t="str">
        <f>IF(ISBLANK('ALL Other SINs - Proposal'!W579)," ",'ALL Other SINs - Proposal'!W579)</f>
        <v xml:space="preserve"> </v>
      </c>
      <c r="J579" s="71" t="str">
        <f>IF(ISBLANK('ALL Other SINs - Proposal'!X579)," ",'ALL Other SINs - Proposal'!X579)</f>
        <v xml:space="preserve"> </v>
      </c>
      <c r="K579" s="165" t="str">
        <f>IF(ISBLANK('ALL Other SINs - Proposal'!AA579)," ",'ALL Other SINs - Proposal'!AA579)</f>
        <v xml:space="preserve"> </v>
      </c>
      <c r="L579" s="178" t="str">
        <f>IF(ISBLANK('ALL Other SINs - Proposal'!AB579)," ",'ALL Other SINs - Proposal'!AB579)</f>
        <v xml:space="preserve"> </v>
      </c>
      <c r="M579" s="72" t="str">
        <f t="shared" ref="M579:M642" si="18">IFERROR(IF((ROUND(K579,2))&lt;=(ROUND(F579,2)),"YES","NO")," ")</f>
        <v xml:space="preserve"> </v>
      </c>
      <c r="N579" s="167" t="str">
        <f t="shared" ref="N579:N642" si="19">IFERROR(IF(ISBLANK(K579)," ",(ROUND(K579,2))/(ROUND(I579,2)))," ")</f>
        <v xml:space="preserve"> </v>
      </c>
    </row>
    <row r="580" spans="1:14" ht="15" x14ac:dyDescent="0.25">
      <c r="A580" s="131" t="str">
        <f>IF(ISBLANK('ALL Other SINs - Proposal'!A580)," ",'ALL Other SINs - Proposal'!A580)</f>
        <v xml:space="preserve"> </v>
      </c>
      <c r="B580" s="137" t="str">
        <f>IF(ISBLANK('ALL Other SINs - Proposal'!B580)," ",'ALL Other SINs - Proposal'!B580)</f>
        <v xml:space="preserve"> </v>
      </c>
      <c r="C580" s="137" t="str">
        <f>IF(ISBLANK('ALL Other SINs - Proposal'!C580)," ",'ALL Other SINs - Proposal'!C580)</f>
        <v xml:space="preserve"> </v>
      </c>
      <c r="D580" s="138" t="str">
        <f>IF(ISBLANK('ALL Other SINs - Proposal'!D580)," ",'ALL Other SINs - Proposal'!D580)</f>
        <v xml:space="preserve"> </v>
      </c>
      <c r="E580" s="69" t="str">
        <f>IF(ISBLANK('ALL Other SINs - Proposal'!R580)," ",'ALL Other SINs - Proposal'!R580)</f>
        <v xml:space="preserve"> </v>
      </c>
      <c r="F580" s="73" t="str">
        <f>IF(ISBLANK('ALL Other SINs - Proposal'!S580)," ",'ALL Other SINs - Proposal'!S580)</f>
        <v xml:space="preserve"> </v>
      </c>
      <c r="G580" s="173" t="str">
        <f>IF(ISBLANK('ALL Other SINs - Proposal'!T580)," ",'ALL Other SINs - Proposal'!T580)</f>
        <v xml:space="preserve"> </v>
      </c>
      <c r="H580" s="275" t="str">
        <f>IF(ISBLANK('ALL Other SINs - Proposal'!V580)," ",'ALL Other SINs - Proposal'!V580)</f>
        <v xml:space="preserve"> </v>
      </c>
      <c r="I580" s="271" t="str">
        <f>IF(ISBLANK('ALL Other SINs - Proposal'!W580)," ",'ALL Other SINs - Proposal'!W580)</f>
        <v xml:space="preserve"> </v>
      </c>
      <c r="J580" s="71" t="str">
        <f>IF(ISBLANK('ALL Other SINs - Proposal'!X580)," ",'ALL Other SINs - Proposal'!X580)</f>
        <v xml:space="preserve"> </v>
      </c>
      <c r="K580" s="165" t="str">
        <f>IF(ISBLANK('ALL Other SINs - Proposal'!AA580)," ",'ALL Other SINs - Proposal'!AA580)</f>
        <v xml:space="preserve"> </v>
      </c>
      <c r="L580" s="178" t="str">
        <f>IF(ISBLANK('ALL Other SINs - Proposal'!AB580)," ",'ALL Other SINs - Proposal'!AB580)</f>
        <v xml:space="preserve"> </v>
      </c>
      <c r="M580" s="72" t="str">
        <f t="shared" si="18"/>
        <v xml:space="preserve"> </v>
      </c>
      <c r="N580" s="167" t="str">
        <f t="shared" si="19"/>
        <v xml:space="preserve"> </v>
      </c>
    </row>
    <row r="581" spans="1:14" ht="15" x14ac:dyDescent="0.25">
      <c r="A581" s="131" t="str">
        <f>IF(ISBLANK('ALL Other SINs - Proposal'!A581)," ",'ALL Other SINs - Proposal'!A581)</f>
        <v xml:space="preserve"> </v>
      </c>
      <c r="B581" s="137" t="str">
        <f>IF(ISBLANK('ALL Other SINs - Proposal'!B581)," ",'ALL Other SINs - Proposal'!B581)</f>
        <v xml:space="preserve"> </v>
      </c>
      <c r="C581" s="137" t="str">
        <f>IF(ISBLANK('ALL Other SINs - Proposal'!C581)," ",'ALL Other SINs - Proposal'!C581)</f>
        <v xml:space="preserve"> </v>
      </c>
      <c r="D581" s="138" t="str">
        <f>IF(ISBLANK('ALL Other SINs - Proposal'!D581)," ",'ALL Other SINs - Proposal'!D581)</f>
        <v xml:space="preserve"> </v>
      </c>
      <c r="E581" s="69" t="str">
        <f>IF(ISBLANK('ALL Other SINs - Proposal'!R581)," ",'ALL Other SINs - Proposal'!R581)</f>
        <v xml:space="preserve"> </v>
      </c>
      <c r="F581" s="73" t="str">
        <f>IF(ISBLANK('ALL Other SINs - Proposal'!S581)," ",'ALL Other SINs - Proposal'!S581)</f>
        <v xml:space="preserve"> </v>
      </c>
      <c r="G581" s="173" t="str">
        <f>IF(ISBLANK('ALL Other SINs - Proposal'!T581)," ",'ALL Other SINs - Proposal'!T581)</f>
        <v xml:space="preserve"> </v>
      </c>
      <c r="H581" s="275" t="str">
        <f>IF(ISBLANK('ALL Other SINs - Proposal'!V581)," ",'ALL Other SINs - Proposal'!V581)</f>
        <v xml:space="preserve"> </v>
      </c>
      <c r="I581" s="271" t="str">
        <f>IF(ISBLANK('ALL Other SINs - Proposal'!W581)," ",'ALL Other SINs - Proposal'!W581)</f>
        <v xml:space="preserve"> </v>
      </c>
      <c r="J581" s="71" t="str">
        <f>IF(ISBLANK('ALL Other SINs - Proposal'!X581)," ",'ALL Other SINs - Proposal'!X581)</f>
        <v xml:space="preserve"> </v>
      </c>
      <c r="K581" s="165" t="str">
        <f>IF(ISBLANK('ALL Other SINs - Proposal'!AA581)," ",'ALL Other SINs - Proposal'!AA581)</f>
        <v xml:space="preserve"> </v>
      </c>
      <c r="L581" s="178" t="str">
        <f>IF(ISBLANK('ALL Other SINs - Proposal'!AB581)," ",'ALL Other SINs - Proposal'!AB581)</f>
        <v xml:space="preserve"> </v>
      </c>
      <c r="M581" s="72" t="str">
        <f t="shared" si="18"/>
        <v xml:space="preserve"> </v>
      </c>
      <c r="N581" s="167" t="str">
        <f t="shared" si="19"/>
        <v xml:space="preserve"> </v>
      </c>
    </row>
    <row r="582" spans="1:14" ht="15" x14ac:dyDescent="0.25">
      <c r="A582" s="131" t="str">
        <f>IF(ISBLANK('ALL Other SINs - Proposal'!A582)," ",'ALL Other SINs - Proposal'!A582)</f>
        <v xml:space="preserve"> </v>
      </c>
      <c r="B582" s="137" t="str">
        <f>IF(ISBLANK('ALL Other SINs - Proposal'!B582)," ",'ALL Other SINs - Proposal'!B582)</f>
        <v xml:space="preserve"> </v>
      </c>
      <c r="C582" s="137" t="str">
        <f>IF(ISBLANK('ALL Other SINs - Proposal'!C582)," ",'ALL Other SINs - Proposal'!C582)</f>
        <v xml:space="preserve"> </v>
      </c>
      <c r="D582" s="138" t="str">
        <f>IF(ISBLANK('ALL Other SINs - Proposal'!D582)," ",'ALL Other SINs - Proposal'!D582)</f>
        <v xml:space="preserve"> </v>
      </c>
      <c r="E582" s="69" t="str">
        <f>IF(ISBLANK('ALL Other SINs - Proposal'!R582)," ",'ALL Other SINs - Proposal'!R582)</f>
        <v xml:space="preserve"> </v>
      </c>
      <c r="F582" s="73" t="str">
        <f>IF(ISBLANK('ALL Other SINs - Proposal'!S582)," ",'ALL Other SINs - Proposal'!S582)</f>
        <v xml:space="preserve"> </v>
      </c>
      <c r="G582" s="173" t="str">
        <f>IF(ISBLANK('ALL Other SINs - Proposal'!T582)," ",'ALL Other SINs - Proposal'!T582)</f>
        <v xml:space="preserve"> </v>
      </c>
      <c r="H582" s="275" t="str">
        <f>IF(ISBLANK('ALL Other SINs - Proposal'!V582)," ",'ALL Other SINs - Proposal'!V582)</f>
        <v xml:space="preserve"> </v>
      </c>
      <c r="I582" s="271" t="str">
        <f>IF(ISBLANK('ALL Other SINs - Proposal'!W582)," ",'ALL Other SINs - Proposal'!W582)</f>
        <v xml:space="preserve"> </v>
      </c>
      <c r="J582" s="71" t="str">
        <f>IF(ISBLANK('ALL Other SINs - Proposal'!X582)," ",'ALL Other SINs - Proposal'!X582)</f>
        <v xml:space="preserve"> </v>
      </c>
      <c r="K582" s="165" t="str">
        <f>IF(ISBLANK('ALL Other SINs - Proposal'!AA582)," ",'ALL Other SINs - Proposal'!AA582)</f>
        <v xml:space="preserve"> </v>
      </c>
      <c r="L582" s="178" t="str">
        <f>IF(ISBLANK('ALL Other SINs - Proposal'!AB582)," ",'ALL Other SINs - Proposal'!AB582)</f>
        <v xml:space="preserve"> </v>
      </c>
      <c r="M582" s="72" t="str">
        <f t="shared" si="18"/>
        <v xml:space="preserve"> </v>
      </c>
      <c r="N582" s="167" t="str">
        <f t="shared" si="19"/>
        <v xml:space="preserve"> </v>
      </c>
    </row>
    <row r="583" spans="1:14" ht="15" x14ac:dyDescent="0.25">
      <c r="A583" s="131" t="str">
        <f>IF(ISBLANK('ALL Other SINs - Proposal'!A583)," ",'ALL Other SINs - Proposal'!A583)</f>
        <v xml:space="preserve"> </v>
      </c>
      <c r="B583" s="137" t="str">
        <f>IF(ISBLANK('ALL Other SINs - Proposal'!B583)," ",'ALL Other SINs - Proposal'!B583)</f>
        <v xml:space="preserve"> </v>
      </c>
      <c r="C583" s="137" t="str">
        <f>IF(ISBLANK('ALL Other SINs - Proposal'!C583)," ",'ALL Other SINs - Proposal'!C583)</f>
        <v xml:space="preserve"> </v>
      </c>
      <c r="D583" s="138" t="str">
        <f>IF(ISBLANK('ALL Other SINs - Proposal'!D583)," ",'ALL Other SINs - Proposal'!D583)</f>
        <v xml:space="preserve"> </v>
      </c>
      <c r="E583" s="69" t="str">
        <f>IF(ISBLANK('ALL Other SINs - Proposal'!R583)," ",'ALL Other SINs - Proposal'!R583)</f>
        <v xml:space="preserve"> </v>
      </c>
      <c r="F583" s="73" t="str">
        <f>IF(ISBLANK('ALL Other SINs - Proposal'!S583)," ",'ALL Other SINs - Proposal'!S583)</f>
        <v xml:space="preserve"> </v>
      </c>
      <c r="G583" s="173" t="str">
        <f>IF(ISBLANK('ALL Other SINs - Proposal'!T583)," ",'ALL Other SINs - Proposal'!T583)</f>
        <v xml:space="preserve"> </v>
      </c>
      <c r="H583" s="275" t="str">
        <f>IF(ISBLANK('ALL Other SINs - Proposal'!V583)," ",'ALL Other SINs - Proposal'!V583)</f>
        <v xml:space="preserve"> </v>
      </c>
      <c r="I583" s="271" t="str">
        <f>IF(ISBLANK('ALL Other SINs - Proposal'!W583)," ",'ALL Other SINs - Proposal'!W583)</f>
        <v xml:space="preserve"> </v>
      </c>
      <c r="J583" s="71" t="str">
        <f>IF(ISBLANK('ALL Other SINs - Proposal'!X583)," ",'ALL Other SINs - Proposal'!X583)</f>
        <v xml:space="preserve"> </v>
      </c>
      <c r="K583" s="165" t="str">
        <f>IF(ISBLANK('ALL Other SINs - Proposal'!AA583)," ",'ALL Other SINs - Proposal'!AA583)</f>
        <v xml:space="preserve"> </v>
      </c>
      <c r="L583" s="178" t="str">
        <f>IF(ISBLANK('ALL Other SINs - Proposal'!AB583)," ",'ALL Other SINs - Proposal'!AB583)</f>
        <v xml:space="preserve"> </v>
      </c>
      <c r="M583" s="72" t="str">
        <f t="shared" si="18"/>
        <v xml:space="preserve"> </v>
      </c>
      <c r="N583" s="167" t="str">
        <f t="shared" si="19"/>
        <v xml:space="preserve"> </v>
      </c>
    </row>
    <row r="584" spans="1:14" ht="15" x14ac:dyDescent="0.25">
      <c r="A584" s="131" t="str">
        <f>IF(ISBLANK('ALL Other SINs - Proposal'!A584)," ",'ALL Other SINs - Proposal'!A584)</f>
        <v xml:space="preserve"> </v>
      </c>
      <c r="B584" s="137" t="str">
        <f>IF(ISBLANK('ALL Other SINs - Proposal'!B584)," ",'ALL Other SINs - Proposal'!B584)</f>
        <v xml:space="preserve"> </v>
      </c>
      <c r="C584" s="137" t="str">
        <f>IF(ISBLANK('ALL Other SINs - Proposal'!C584)," ",'ALL Other SINs - Proposal'!C584)</f>
        <v xml:space="preserve"> </v>
      </c>
      <c r="D584" s="138" t="str">
        <f>IF(ISBLANK('ALL Other SINs - Proposal'!D584)," ",'ALL Other SINs - Proposal'!D584)</f>
        <v xml:space="preserve"> </v>
      </c>
      <c r="E584" s="69" t="str">
        <f>IF(ISBLANK('ALL Other SINs - Proposal'!R584)," ",'ALL Other SINs - Proposal'!R584)</f>
        <v xml:space="preserve"> </v>
      </c>
      <c r="F584" s="73" t="str">
        <f>IF(ISBLANK('ALL Other SINs - Proposal'!S584)," ",'ALL Other SINs - Proposal'!S584)</f>
        <v xml:space="preserve"> </v>
      </c>
      <c r="G584" s="173" t="str">
        <f>IF(ISBLANK('ALL Other SINs - Proposal'!T584)," ",'ALL Other SINs - Proposal'!T584)</f>
        <v xml:space="preserve"> </v>
      </c>
      <c r="H584" s="275" t="str">
        <f>IF(ISBLANK('ALL Other SINs - Proposal'!V584)," ",'ALL Other SINs - Proposal'!V584)</f>
        <v xml:space="preserve"> </v>
      </c>
      <c r="I584" s="271" t="str">
        <f>IF(ISBLANK('ALL Other SINs - Proposal'!W584)," ",'ALL Other SINs - Proposal'!W584)</f>
        <v xml:space="preserve"> </v>
      </c>
      <c r="J584" s="71" t="str">
        <f>IF(ISBLANK('ALL Other SINs - Proposal'!X584)," ",'ALL Other SINs - Proposal'!X584)</f>
        <v xml:space="preserve"> </v>
      </c>
      <c r="K584" s="165" t="str">
        <f>IF(ISBLANK('ALL Other SINs - Proposal'!AA584)," ",'ALL Other SINs - Proposal'!AA584)</f>
        <v xml:space="preserve"> </v>
      </c>
      <c r="L584" s="178" t="str">
        <f>IF(ISBLANK('ALL Other SINs - Proposal'!AB584)," ",'ALL Other SINs - Proposal'!AB584)</f>
        <v xml:space="preserve"> </v>
      </c>
      <c r="M584" s="72" t="str">
        <f t="shared" si="18"/>
        <v xml:space="preserve"> </v>
      </c>
      <c r="N584" s="167" t="str">
        <f t="shared" si="19"/>
        <v xml:space="preserve"> </v>
      </c>
    </row>
    <row r="585" spans="1:14" ht="15" x14ac:dyDescent="0.25">
      <c r="A585" s="131" t="str">
        <f>IF(ISBLANK('ALL Other SINs - Proposal'!A585)," ",'ALL Other SINs - Proposal'!A585)</f>
        <v xml:space="preserve"> </v>
      </c>
      <c r="B585" s="137" t="str">
        <f>IF(ISBLANK('ALL Other SINs - Proposal'!B585)," ",'ALL Other SINs - Proposal'!B585)</f>
        <v xml:space="preserve"> </v>
      </c>
      <c r="C585" s="137" t="str">
        <f>IF(ISBLANK('ALL Other SINs - Proposal'!C585)," ",'ALL Other SINs - Proposal'!C585)</f>
        <v xml:space="preserve"> </v>
      </c>
      <c r="D585" s="138" t="str">
        <f>IF(ISBLANK('ALL Other SINs - Proposal'!D585)," ",'ALL Other SINs - Proposal'!D585)</f>
        <v xml:space="preserve"> </v>
      </c>
      <c r="E585" s="69" t="str">
        <f>IF(ISBLANK('ALL Other SINs - Proposal'!R585)," ",'ALL Other SINs - Proposal'!R585)</f>
        <v xml:space="preserve"> </v>
      </c>
      <c r="F585" s="73" t="str">
        <f>IF(ISBLANK('ALL Other SINs - Proposal'!S585)," ",'ALL Other SINs - Proposal'!S585)</f>
        <v xml:space="preserve"> </v>
      </c>
      <c r="G585" s="173" t="str">
        <f>IF(ISBLANK('ALL Other SINs - Proposal'!T585)," ",'ALL Other SINs - Proposal'!T585)</f>
        <v xml:space="preserve"> </v>
      </c>
      <c r="H585" s="275" t="str">
        <f>IF(ISBLANK('ALL Other SINs - Proposal'!V585)," ",'ALL Other SINs - Proposal'!V585)</f>
        <v xml:space="preserve"> </v>
      </c>
      <c r="I585" s="271" t="str">
        <f>IF(ISBLANK('ALL Other SINs - Proposal'!W585)," ",'ALL Other SINs - Proposal'!W585)</f>
        <v xml:space="preserve"> </v>
      </c>
      <c r="J585" s="71" t="str">
        <f>IF(ISBLANK('ALL Other SINs - Proposal'!X585)," ",'ALL Other SINs - Proposal'!X585)</f>
        <v xml:space="preserve"> </v>
      </c>
      <c r="K585" s="165" t="str">
        <f>IF(ISBLANK('ALL Other SINs - Proposal'!AA585)," ",'ALL Other SINs - Proposal'!AA585)</f>
        <v xml:space="preserve"> </v>
      </c>
      <c r="L585" s="178" t="str">
        <f>IF(ISBLANK('ALL Other SINs - Proposal'!AB585)," ",'ALL Other SINs - Proposal'!AB585)</f>
        <v xml:space="preserve"> </v>
      </c>
      <c r="M585" s="72" t="str">
        <f t="shared" si="18"/>
        <v xml:space="preserve"> </v>
      </c>
      <c r="N585" s="167" t="str">
        <f t="shared" si="19"/>
        <v xml:space="preserve"> </v>
      </c>
    </row>
    <row r="586" spans="1:14" ht="15" x14ac:dyDescent="0.25">
      <c r="A586" s="131" t="str">
        <f>IF(ISBLANK('ALL Other SINs - Proposal'!A586)," ",'ALL Other SINs - Proposal'!A586)</f>
        <v xml:space="preserve"> </v>
      </c>
      <c r="B586" s="137" t="str">
        <f>IF(ISBLANK('ALL Other SINs - Proposal'!B586)," ",'ALL Other SINs - Proposal'!B586)</f>
        <v xml:space="preserve"> </v>
      </c>
      <c r="C586" s="137" t="str">
        <f>IF(ISBLANK('ALL Other SINs - Proposal'!C586)," ",'ALL Other SINs - Proposal'!C586)</f>
        <v xml:space="preserve"> </v>
      </c>
      <c r="D586" s="138" t="str">
        <f>IF(ISBLANK('ALL Other SINs - Proposal'!D586)," ",'ALL Other SINs - Proposal'!D586)</f>
        <v xml:space="preserve"> </v>
      </c>
      <c r="E586" s="69" t="str">
        <f>IF(ISBLANK('ALL Other SINs - Proposal'!R586)," ",'ALL Other SINs - Proposal'!R586)</f>
        <v xml:space="preserve"> </v>
      </c>
      <c r="F586" s="73" t="str">
        <f>IF(ISBLANK('ALL Other SINs - Proposal'!S586)," ",'ALL Other SINs - Proposal'!S586)</f>
        <v xml:space="preserve"> </v>
      </c>
      <c r="G586" s="173" t="str">
        <f>IF(ISBLANK('ALL Other SINs - Proposal'!T586)," ",'ALL Other SINs - Proposal'!T586)</f>
        <v xml:space="preserve"> </v>
      </c>
      <c r="H586" s="275" t="str">
        <f>IF(ISBLANK('ALL Other SINs - Proposal'!V586)," ",'ALL Other SINs - Proposal'!V586)</f>
        <v xml:space="preserve"> </v>
      </c>
      <c r="I586" s="271" t="str">
        <f>IF(ISBLANK('ALL Other SINs - Proposal'!W586)," ",'ALL Other SINs - Proposal'!W586)</f>
        <v xml:space="preserve"> </v>
      </c>
      <c r="J586" s="71" t="str">
        <f>IF(ISBLANK('ALL Other SINs - Proposal'!X586)," ",'ALL Other SINs - Proposal'!X586)</f>
        <v xml:space="preserve"> </v>
      </c>
      <c r="K586" s="165" t="str">
        <f>IF(ISBLANK('ALL Other SINs - Proposal'!AA586)," ",'ALL Other SINs - Proposal'!AA586)</f>
        <v xml:space="preserve"> </v>
      </c>
      <c r="L586" s="178" t="str">
        <f>IF(ISBLANK('ALL Other SINs - Proposal'!AB586)," ",'ALL Other SINs - Proposal'!AB586)</f>
        <v xml:space="preserve"> </v>
      </c>
      <c r="M586" s="72" t="str">
        <f t="shared" si="18"/>
        <v xml:space="preserve"> </v>
      </c>
      <c r="N586" s="167" t="str">
        <f t="shared" si="19"/>
        <v xml:space="preserve"> </v>
      </c>
    </row>
    <row r="587" spans="1:14" ht="15" x14ac:dyDescent="0.25">
      <c r="A587" s="131" t="str">
        <f>IF(ISBLANK('ALL Other SINs - Proposal'!A587)," ",'ALL Other SINs - Proposal'!A587)</f>
        <v xml:space="preserve"> </v>
      </c>
      <c r="B587" s="137" t="str">
        <f>IF(ISBLANK('ALL Other SINs - Proposal'!B587)," ",'ALL Other SINs - Proposal'!B587)</f>
        <v xml:space="preserve"> </v>
      </c>
      <c r="C587" s="137" t="str">
        <f>IF(ISBLANK('ALL Other SINs - Proposal'!C587)," ",'ALL Other SINs - Proposal'!C587)</f>
        <v xml:space="preserve"> </v>
      </c>
      <c r="D587" s="138" t="str">
        <f>IF(ISBLANK('ALL Other SINs - Proposal'!D587)," ",'ALL Other SINs - Proposal'!D587)</f>
        <v xml:space="preserve"> </v>
      </c>
      <c r="E587" s="69" t="str">
        <f>IF(ISBLANK('ALL Other SINs - Proposal'!R587)," ",'ALL Other SINs - Proposal'!R587)</f>
        <v xml:space="preserve"> </v>
      </c>
      <c r="F587" s="73" t="str">
        <f>IF(ISBLANK('ALL Other SINs - Proposal'!S587)," ",'ALL Other SINs - Proposal'!S587)</f>
        <v xml:space="preserve"> </v>
      </c>
      <c r="G587" s="173" t="str">
        <f>IF(ISBLANK('ALL Other SINs - Proposal'!T587)," ",'ALL Other SINs - Proposal'!T587)</f>
        <v xml:space="preserve"> </v>
      </c>
      <c r="H587" s="275" t="str">
        <f>IF(ISBLANK('ALL Other SINs - Proposal'!V587)," ",'ALL Other SINs - Proposal'!V587)</f>
        <v xml:space="preserve"> </v>
      </c>
      <c r="I587" s="271" t="str">
        <f>IF(ISBLANK('ALL Other SINs - Proposal'!W587)," ",'ALL Other SINs - Proposal'!W587)</f>
        <v xml:space="preserve"> </v>
      </c>
      <c r="J587" s="71" t="str">
        <f>IF(ISBLANK('ALL Other SINs - Proposal'!X587)," ",'ALL Other SINs - Proposal'!X587)</f>
        <v xml:space="preserve"> </v>
      </c>
      <c r="K587" s="165" t="str">
        <f>IF(ISBLANK('ALL Other SINs - Proposal'!AA587)," ",'ALL Other SINs - Proposal'!AA587)</f>
        <v xml:space="preserve"> </v>
      </c>
      <c r="L587" s="178" t="str">
        <f>IF(ISBLANK('ALL Other SINs - Proposal'!AB587)," ",'ALL Other SINs - Proposal'!AB587)</f>
        <v xml:space="preserve"> </v>
      </c>
      <c r="M587" s="72" t="str">
        <f t="shared" si="18"/>
        <v xml:space="preserve"> </v>
      </c>
      <c r="N587" s="167" t="str">
        <f t="shared" si="19"/>
        <v xml:space="preserve"> </v>
      </c>
    </row>
    <row r="588" spans="1:14" ht="15" x14ac:dyDescent="0.25">
      <c r="A588" s="131" t="str">
        <f>IF(ISBLANK('ALL Other SINs - Proposal'!A588)," ",'ALL Other SINs - Proposal'!A588)</f>
        <v xml:space="preserve"> </v>
      </c>
      <c r="B588" s="137" t="str">
        <f>IF(ISBLANK('ALL Other SINs - Proposal'!B588)," ",'ALL Other SINs - Proposal'!B588)</f>
        <v xml:space="preserve"> </v>
      </c>
      <c r="C588" s="137" t="str">
        <f>IF(ISBLANK('ALL Other SINs - Proposal'!C588)," ",'ALL Other SINs - Proposal'!C588)</f>
        <v xml:space="preserve"> </v>
      </c>
      <c r="D588" s="138" t="str">
        <f>IF(ISBLANK('ALL Other SINs - Proposal'!D588)," ",'ALL Other SINs - Proposal'!D588)</f>
        <v xml:space="preserve"> </v>
      </c>
      <c r="E588" s="69" t="str">
        <f>IF(ISBLANK('ALL Other SINs - Proposal'!R588)," ",'ALL Other SINs - Proposal'!R588)</f>
        <v xml:space="preserve"> </v>
      </c>
      <c r="F588" s="73" t="str">
        <f>IF(ISBLANK('ALL Other SINs - Proposal'!S588)," ",'ALL Other SINs - Proposal'!S588)</f>
        <v xml:space="preserve"> </v>
      </c>
      <c r="G588" s="173" t="str">
        <f>IF(ISBLANK('ALL Other SINs - Proposal'!T588)," ",'ALL Other SINs - Proposal'!T588)</f>
        <v xml:space="preserve"> </v>
      </c>
      <c r="H588" s="275" t="str">
        <f>IF(ISBLANK('ALL Other SINs - Proposal'!V588)," ",'ALL Other SINs - Proposal'!V588)</f>
        <v xml:space="preserve"> </v>
      </c>
      <c r="I588" s="271" t="str">
        <f>IF(ISBLANK('ALL Other SINs - Proposal'!W588)," ",'ALL Other SINs - Proposal'!W588)</f>
        <v xml:space="preserve"> </v>
      </c>
      <c r="J588" s="71" t="str">
        <f>IF(ISBLANK('ALL Other SINs - Proposal'!X588)," ",'ALL Other SINs - Proposal'!X588)</f>
        <v xml:space="preserve"> </v>
      </c>
      <c r="K588" s="165" t="str">
        <f>IF(ISBLANK('ALL Other SINs - Proposal'!AA588)," ",'ALL Other SINs - Proposal'!AA588)</f>
        <v xml:space="preserve"> </v>
      </c>
      <c r="L588" s="178" t="str">
        <f>IF(ISBLANK('ALL Other SINs - Proposal'!AB588)," ",'ALL Other SINs - Proposal'!AB588)</f>
        <v xml:space="preserve"> </v>
      </c>
      <c r="M588" s="72" t="str">
        <f t="shared" si="18"/>
        <v xml:space="preserve"> </v>
      </c>
      <c r="N588" s="167" t="str">
        <f t="shared" si="19"/>
        <v xml:space="preserve"> </v>
      </c>
    </row>
    <row r="589" spans="1:14" ht="15" x14ac:dyDescent="0.25">
      <c r="A589" s="131" t="str">
        <f>IF(ISBLANK('ALL Other SINs - Proposal'!A589)," ",'ALL Other SINs - Proposal'!A589)</f>
        <v xml:space="preserve"> </v>
      </c>
      <c r="B589" s="137" t="str">
        <f>IF(ISBLANK('ALL Other SINs - Proposal'!B589)," ",'ALL Other SINs - Proposal'!B589)</f>
        <v xml:space="preserve"> </v>
      </c>
      <c r="C589" s="137" t="str">
        <f>IF(ISBLANK('ALL Other SINs - Proposal'!C589)," ",'ALL Other SINs - Proposal'!C589)</f>
        <v xml:space="preserve"> </v>
      </c>
      <c r="D589" s="138" t="str">
        <f>IF(ISBLANK('ALL Other SINs - Proposal'!D589)," ",'ALL Other SINs - Proposal'!D589)</f>
        <v xml:space="preserve"> </v>
      </c>
      <c r="E589" s="69" t="str">
        <f>IF(ISBLANK('ALL Other SINs - Proposal'!R589)," ",'ALL Other SINs - Proposal'!R589)</f>
        <v xml:space="preserve"> </v>
      </c>
      <c r="F589" s="73" t="str">
        <f>IF(ISBLANK('ALL Other SINs - Proposal'!S589)," ",'ALL Other SINs - Proposal'!S589)</f>
        <v xml:space="preserve"> </v>
      </c>
      <c r="G589" s="173" t="str">
        <f>IF(ISBLANK('ALL Other SINs - Proposal'!T589)," ",'ALL Other SINs - Proposal'!T589)</f>
        <v xml:space="preserve"> </v>
      </c>
      <c r="H589" s="275" t="str">
        <f>IF(ISBLANK('ALL Other SINs - Proposal'!V589)," ",'ALL Other SINs - Proposal'!V589)</f>
        <v xml:space="preserve"> </v>
      </c>
      <c r="I589" s="271" t="str">
        <f>IF(ISBLANK('ALL Other SINs - Proposal'!W589)," ",'ALL Other SINs - Proposal'!W589)</f>
        <v xml:space="preserve"> </v>
      </c>
      <c r="J589" s="71" t="str">
        <f>IF(ISBLANK('ALL Other SINs - Proposal'!X589)," ",'ALL Other SINs - Proposal'!X589)</f>
        <v xml:space="preserve"> </v>
      </c>
      <c r="K589" s="165" t="str">
        <f>IF(ISBLANK('ALL Other SINs - Proposal'!AA589)," ",'ALL Other SINs - Proposal'!AA589)</f>
        <v xml:space="preserve"> </v>
      </c>
      <c r="L589" s="178" t="str">
        <f>IF(ISBLANK('ALL Other SINs - Proposal'!AB589)," ",'ALL Other SINs - Proposal'!AB589)</f>
        <v xml:space="preserve"> </v>
      </c>
      <c r="M589" s="72" t="str">
        <f t="shared" si="18"/>
        <v xml:space="preserve"> </v>
      </c>
      <c r="N589" s="167" t="str">
        <f t="shared" si="19"/>
        <v xml:space="preserve"> </v>
      </c>
    </row>
    <row r="590" spans="1:14" ht="15" x14ac:dyDescent="0.25">
      <c r="A590" s="131" t="str">
        <f>IF(ISBLANK('ALL Other SINs - Proposal'!A590)," ",'ALL Other SINs - Proposal'!A590)</f>
        <v xml:space="preserve"> </v>
      </c>
      <c r="B590" s="137" t="str">
        <f>IF(ISBLANK('ALL Other SINs - Proposal'!B590)," ",'ALL Other SINs - Proposal'!B590)</f>
        <v xml:space="preserve"> </v>
      </c>
      <c r="C590" s="137" t="str">
        <f>IF(ISBLANK('ALL Other SINs - Proposal'!C590)," ",'ALL Other SINs - Proposal'!C590)</f>
        <v xml:space="preserve"> </v>
      </c>
      <c r="D590" s="138" t="str">
        <f>IF(ISBLANK('ALL Other SINs - Proposal'!D590)," ",'ALL Other SINs - Proposal'!D590)</f>
        <v xml:space="preserve"> </v>
      </c>
      <c r="E590" s="69" t="str">
        <f>IF(ISBLANK('ALL Other SINs - Proposal'!R590)," ",'ALL Other SINs - Proposal'!R590)</f>
        <v xml:space="preserve"> </v>
      </c>
      <c r="F590" s="73" t="str">
        <f>IF(ISBLANK('ALL Other SINs - Proposal'!S590)," ",'ALL Other SINs - Proposal'!S590)</f>
        <v xml:space="preserve"> </v>
      </c>
      <c r="G590" s="173" t="str">
        <f>IF(ISBLANK('ALL Other SINs - Proposal'!T590)," ",'ALL Other SINs - Proposal'!T590)</f>
        <v xml:space="preserve"> </v>
      </c>
      <c r="H590" s="275" t="str">
        <f>IF(ISBLANK('ALL Other SINs - Proposal'!V590)," ",'ALL Other SINs - Proposal'!V590)</f>
        <v xml:space="preserve"> </v>
      </c>
      <c r="I590" s="271" t="str">
        <f>IF(ISBLANK('ALL Other SINs - Proposal'!W590)," ",'ALL Other SINs - Proposal'!W590)</f>
        <v xml:space="preserve"> </v>
      </c>
      <c r="J590" s="71" t="str">
        <f>IF(ISBLANK('ALL Other SINs - Proposal'!X590)," ",'ALL Other SINs - Proposal'!X590)</f>
        <v xml:space="preserve"> </v>
      </c>
      <c r="K590" s="165" t="str">
        <f>IF(ISBLANK('ALL Other SINs - Proposal'!AA590)," ",'ALL Other SINs - Proposal'!AA590)</f>
        <v xml:space="preserve"> </v>
      </c>
      <c r="L590" s="178" t="str">
        <f>IF(ISBLANK('ALL Other SINs - Proposal'!AB590)," ",'ALL Other SINs - Proposal'!AB590)</f>
        <v xml:space="preserve"> </v>
      </c>
      <c r="M590" s="72" t="str">
        <f t="shared" si="18"/>
        <v xml:space="preserve"> </v>
      </c>
      <c r="N590" s="167" t="str">
        <f t="shared" si="19"/>
        <v xml:space="preserve"> </v>
      </c>
    </row>
    <row r="591" spans="1:14" ht="15" x14ac:dyDescent="0.25">
      <c r="A591" s="131" t="str">
        <f>IF(ISBLANK('ALL Other SINs - Proposal'!A591)," ",'ALL Other SINs - Proposal'!A591)</f>
        <v xml:space="preserve"> </v>
      </c>
      <c r="B591" s="137" t="str">
        <f>IF(ISBLANK('ALL Other SINs - Proposal'!B591)," ",'ALL Other SINs - Proposal'!B591)</f>
        <v xml:space="preserve"> </v>
      </c>
      <c r="C591" s="137" t="str">
        <f>IF(ISBLANK('ALL Other SINs - Proposal'!C591)," ",'ALL Other SINs - Proposal'!C591)</f>
        <v xml:space="preserve"> </v>
      </c>
      <c r="D591" s="138" t="str">
        <f>IF(ISBLANK('ALL Other SINs - Proposal'!D591)," ",'ALL Other SINs - Proposal'!D591)</f>
        <v xml:space="preserve"> </v>
      </c>
      <c r="E591" s="69" t="str">
        <f>IF(ISBLANK('ALL Other SINs - Proposal'!R591)," ",'ALL Other SINs - Proposal'!R591)</f>
        <v xml:space="preserve"> </v>
      </c>
      <c r="F591" s="73" t="str">
        <f>IF(ISBLANK('ALL Other SINs - Proposal'!S591)," ",'ALL Other SINs - Proposal'!S591)</f>
        <v xml:space="preserve"> </v>
      </c>
      <c r="G591" s="173" t="str">
        <f>IF(ISBLANK('ALL Other SINs - Proposal'!T591)," ",'ALL Other SINs - Proposal'!T591)</f>
        <v xml:space="preserve"> </v>
      </c>
      <c r="H591" s="275" t="str">
        <f>IF(ISBLANK('ALL Other SINs - Proposal'!V591)," ",'ALL Other SINs - Proposal'!V591)</f>
        <v xml:space="preserve"> </v>
      </c>
      <c r="I591" s="271" t="str">
        <f>IF(ISBLANK('ALL Other SINs - Proposal'!W591)," ",'ALL Other SINs - Proposal'!W591)</f>
        <v xml:space="preserve"> </v>
      </c>
      <c r="J591" s="71" t="str">
        <f>IF(ISBLANK('ALL Other SINs - Proposal'!X591)," ",'ALL Other SINs - Proposal'!X591)</f>
        <v xml:space="preserve"> </v>
      </c>
      <c r="K591" s="165" t="str">
        <f>IF(ISBLANK('ALL Other SINs - Proposal'!AA591)," ",'ALL Other SINs - Proposal'!AA591)</f>
        <v xml:space="preserve"> </v>
      </c>
      <c r="L591" s="178" t="str">
        <f>IF(ISBLANK('ALL Other SINs - Proposal'!AB591)," ",'ALL Other SINs - Proposal'!AB591)</f>
        <v xml:space="preserve"> </v>
      </c>
      <c r="M591" s="72" t="str">
        <f t="shared" si="18"/>
        <v xml:space="preserve"> </v>
      </c>
      <c r="N591" s="167" t="str">
        <f t="shared" si="19"/>
        <v xml:space="preserve"> </v>
      </c>
    </row>
    <row r="592" spans="1:14" ht="15" x14ac:dyDescent="0.25">
      <c r="A592" s="131" t="str">
        <f>IF(ISBLANK('ALL Other SINs - Proposal'!A592)," ",'ALL Other SINs - Proposal'!A592)</f>
        <v xml:space="preserve"> </v>
      </c>
      <c r="B592" s="137" t="str">
        <f>IF(ISBLANK('ALL Other SINs - Proposal'!B592)," ",'ALL Other SINs - Proposal'!B592)</f>
        <v xml:space="preserve"> </v>
      </c>
      <c r="C592" s="137" t="str">
        <f>IF(ISBLANK('ALL Other SINs - Proposal'!C592)," ",'ALL Other SINs - Proposal'!C592)</f>
        <v xml:space="preserve"> </v>
      </c>
      <c r="D592" s="138" t="str">
        <f>IF(ISBLANK('ALL Other SINs - Proposal'!D592)," ",'ALL Other SINs - Proposal'!D592)</f>
        <v xml:space="preserve"> </v>
      </c>
      <c r="E592" s="69" t="str">
        <f>IF(ISBLANK('ALL Other SINs - Proposal'!R592)," ",'ALL Other SINs - Proposal'!R592)</f>
        <v xml:space="preserve"> </v>
      </c>
      <c r="F592" s="73" t="str">
        <f>IF(ISBLANK('ALL Other SINs - Proposal'!S592)," ",'ALL Other SINs - Proposal'!S592)</f>
        <v xml:space="preserve"> </v>
      </c>
      <c r="G592" s="173" t="str">
        <f>IF(ISBLANK('ALL Other SINs - Proposal'!T592)," ",'ALL Other SINs - Proposal'!T592)</f>
        <v xml:space="preserve"> </v>
      </c>
      <c r="H592" s="275" t="str">
        <f>IF(ISBLANK('ALL Other SINs - Proposal'!V592)," ",'ALL Other SINs - Proposal'!V592)</f>
        <v xml:space="preserve"> </v>
      </c>
      <c r="I592" s="271" t="str">
        <f>IF(ISBLANK('ALL Other SINs - Proposal'!W592)," ",'ALL Other SINs - Proposal'!W592)</f>
        <v xml:space="preserve"> </v>
      </c>
      <c r="J592" s="71" t="str">
        <f>IF(ISBLANK('ALL Other SINs - Proposal'!X592)," ",'ALL Other SINs - Proposal'!X592)</f>
        <v xml:space="preserve"> </v>
      </c>
      <c r="K592" s="165" t="str">
        <f>IF(ISBLANK('ALL Other SINs - Proposal'!AA592)," ",'ALL Other SINs - Proposal'!AA592)</f>
        <v xml:space="preserve"> </v>
      </c>
      <c r="L592" s="178" t="str">
        <f>IF(ISBLANK('ALL Other SINs - Proposal'!AB592)," ",'ALL Other SINs - Proposal'!AB592)</f>
        <v xml:space="preserve"> </v>
      </c>
      <c r="M592" s="72" t="str">
        <f t="shared" si="18"/>
        <v xml:space="preserve"> </v>
      </c>
      <c r="N592" s="167" t="str">
        <f t="shared" si="19"/>
        <v xml:space="preserve"> </v>
      </c>
    </row>
    <row r="593" spans="1:14" ht="15" x14ac:dyDescent="0.25">
      <c r="A593" s="131" t="str">
        <f>IF(ISBLANK('ALL Other SINs - Proposal'!A593)," ",'ALL Other SINs - Proposal'!A593)</f>
        <v xml:space="preserve"> </v>
      </c>
      <c r="B593" s="137" t="str">
        <f>IF(ISBLANK('ALL Other SINs - Proposal'!B593)," ",'ALL Other SINs - Proposal'!B593)</f>
        <v xml:space="preserve"> </v>
      </c>
      <c r="C593" s="137" t="str">
        <f>IF(ISBLANK('ALL Other SINs - Proposal'!C593)," ",'ALL Other SINs - Proposal'!C593)</f>
        <v xml:space="preserve"> </v>
      </c>
      <c r="D593" s="138" t="str">
        <f>IF(ISBLANK('ALL Other SINs - Proposal'!D593)," ",'ALL Other SINs - Proposal'!D593)</f>
        <v xml:space="preserve"> </v>
      </c>
      <c r="E593" s="69" t="str">
        <f>IF(ISBLANK('ALL Other SINs - Proposal'!R593)," ",'ALL Other SINs - Proposal'!R593)</f>
        <v xml:space="preserve"> </v>
      </c>
      <c r="F593" s="73" t="str">
        <f>IF(ISBLANK('ALL Other SINs - Proposal'!S593)," ",'ALL Other SINs - Proposal'!S593)</f>
        <v xml:space="preserve"> </v>
      </c>
      <c r="G593" s="173" t="str">
        <f>IF(ISBLANK('ALL Other SINs - Proposal'!T593)," ",'ALL Other SINs - Proposal'!T593)</f>
        <v xml:space="preserve"> </v>
      </c>
      <c r="H593" s="275" t="str">
        <f>IF(ISBLANK('ALL Other SINs - Proposal'!V593)," ",'ALL Other SINs - Proposal'!V593)</f>
        <v xml:space="preserve"> </v>
      </c>
      <c r="I593" s="271" t="str">
        <f>IF(ISBLANK('ALL Other SINs - Proposal'!W593)," ",'ALL Other SINs - Proposal'!W593)</f>
        <v xml:space="preserve"> </v>
      </c>
      <c r="J593" s="71" t="str">
        <f>IF(ISBLANK('ALL Other SINs - Proposal'!X593)," ",'ALL Other SINs - Proposal'!X593)</f>
        <v xml:space="preserve"> </v>
      </c>
      <c r="K593" s="165" t="str">
        <f>IF(ISBLANK('ALL Other SINs - Proposal'!AA593)," ",'ALL Other SINs - Proposal'!AA593)</f>
        <v xml:space="preserve"> </v>
      </c>
      <c r="L593" s="178" t="str">
        <f>IF(ISBLANK('ALL Other SINs - Proposal'!AB593)," ",'ALL Other SINs - Proposal'!AB593)</f>
        <v xml:space="preserve"> </v>
      </c>
      <c r="M593" s="72" t="str">
        <f t="shared" si="18"/>
        <v xml:space="preserve"> </v>
      </c>
      <c r="N593" s="167" t="str">
        <f t="shared" si="19"/>
        <v xml:space="preserve"> </v>
      </c>
    </row>
    <row r="594" spans="1:14" ht="15" x14ac:dyDescent="0.25">
      <c r="A594" s="131" t="str">
        <f>IF(ISBLANK('ALL Other SINs - Proposal'!A594)," ",'ALL Other SINs - Proposal'!A594)</f>
        <v xml:space="preserve"> </v>
      </c>
      <c r="B594" s="137" t="str">
        <f>IF(ISBLANK('ALL Other SINs - Proposal'!B594)," ",'ALL Other SINs - Proposal'!B594)</f>
        <v xml:space="preserve"> </v>
      </c>
      <c r="C594" s="137" t="str">
        <f>IF(ISBLANK('ALL Other SINs - Proposal'!C594)," ",'ALL Other SINs - Proposal'!C594)</f>
        <v xml:space="preserve"> </v>
      </c>
      <c r="D594" s="138" t="str">
        <f>IF(ISBLANK('ALL Other SINs - Proposal'!D594)," ",'ALL Other SINs - Proposal'!D594)</f>
        <v xml:space="preserve"> </v>
      </c>
      <c r="E594" s="69" t="str">
        <f>IF(ISBLANK('ALL Other SINs - Proposal'!R594)," ",'ALL Other SINs - Proposal'!R594)</f>
        <v xml:space="preserve"> </v>
      </c>
      <c r="F594" s="73" t="str">
        <f>IF(ISBLANK('ALL Other SINs - Proposal'!S594)," ",'ALL Other SINs - Proposal'!S594)</f>
        <v xml:space="preserve"> </v>
      </c>
      <c r="G594" s="173" t="str">
        <f>IF(ISBLANK('ALL Other SINs - Proposal'!T594)," ",'ALL Other SINs - Proposal'!T594)</f>
        <v xml:space="preserve"> </v>
      </c>
      <c r="H594" s="275" t="str">
        <f>IF(ISBLANK('ALL Other SINs - Proposal'!V594)," ",'ALL Other SINs - Proposal'!V594)</f>
        <v xml:space="preserve"> </v>
      </c>
      <c r="I594" s="271" t="str">
        <f>IF(ISBLANK('ALL Other SINs - Proposal'!W594)," ",'ALL Other SINs - Proposal'!W594)</f>
        <v xml:space="preserve"> </v>
      </c>
      <c r="J594" s="71" t="str">
        <f>IF(ISBLANK('ALL Other SINs - Proposal'!X594)," ",'ALL Other SINs - Proposal'!X594)</f>
        <v xml:space="preserve"> </v>
      </c>
      <c r="K594" s="165" t="str">
        <f>IF(ISBLANK('ALL Other SINs - Proposal'!AA594)," ",'ALL Other SINs - Proposal'!AA594)</f>
        <v xml:space="preserve"> </v>
      </c>
      <c r="L594" s="178" t="str">
        <f>IF(ISBLANK('ALL Other SINs - Proposal'!AB594)," ",'ALL Other SINs - Proposal'!AB594)</f>
        <v xml:space="preserve"> </v>
      </c>
      <c r="M594" s="72" t="str">
        <f t="shared" si="18"/>
        <v xml:space="preserve"> </v>
      </c>
      <c r="N594" s="167" t="str">
        <f t="shared" si="19"/>
        <v xml:space="preserve"> </v>
      </c>
    </row>
    <row r="595" spans="1:14" ht="15" x14ac:dyDescent="0.25">
      <c r="A595" s="131" t="str">
        <f>IF(ISBLANK('ALL Other SINs - Proposal'!A595)," ",'ALL Other SINs - Proposal'!A595)</f>
        <v xml:space="preserve"> </v>
      </c>
      <c r="B595" s="137" t="str">
        <f>IF(ISBLANK('ALL Other SINs - Proposal'!B595)," ",'ALL Other SINs - Proposal'!B595)</f>
        <v xml:space="preserve"> </v>
      </c>
      <c r="C595" s="137" t="str">
        <f>IF(ISBLANK('ALL Other SINs - Proposal'!C595)," ",'ALL Other SINs - Proposal'!C595)</f>
        <v xml:space="preserve"> </v>
      </c>
      <c r="D595" s="138" t="str">
        <f>IF(ISBLANK('ALL Other SINs - Proposal'!D595)," ",'ALL Other SINs - Proposal'!D595)</f>
        <v xml:space="preserve"> </v>
      </c>
      <c r="E595" s="69" t="str">
        <f>IF(ISBLANK('ALL Other SINs - Proposal'!R595)," ",'ALL Other SINs - Proposal'!R595)</f>
        <v xml:space="preserve"> </v>
      </c>
      <c r="F595" s="73" t="str">
        <f>IF(ISBLANK('ALL Other SINs - Proposal'!S595)," ",'ALL Other SINs - Proposal'!S595)</f>
        <v xml:space="preserve"> </v>
      </c>
      <c r="G595" s="173" t="str">
        <f>IF(ISBLANK('ALL Other SINs - Proposal'!T595)," ",'ALL Other SINs - Proposal'!T595)</f>
        <v xml:space="preserve"> </v>
      </c>
      <c r="H595" s="275" t="str">
        <f>IF(ISBLANK('ALL Other SINs - Proposal'!V595)," ",'ALL Other SINs - Proposal'!V595)</f>
        <v xml:space="preserve"> </v>
      </c>
      <c r="I595" s="271" t="str">
        <f>IF(ISBLANK('ALL Other SINs - Proposal'!W595)," ",'ALL Other SINs - Proposal'!W595)</f>
        <v xml:space="preserve"> </v>
      </c>
      <c r="J595" s="71" t="str">
        <f>IF(ISBLANK('ALL Other SINs - Proposal'!X595)," ",'ALL Other SINs - Proposal'!X595)</f>
        <v xml:space="preserve"> </v>
      </c>
      <c r="K595" s="165" t="str">
        <f>IF(ISBLANK('ALL Other SINs - Proposal'!AA595)," ",'ALL Other SINs - Proposal'!AA595)</f>
        <v xml:space="preserve"> </v>
      </c>
      <c r="L595" s="178" t="str">
        <f>IF(ISBLANK('ALL Other SINs - Proposal'!AB595)," ",'ALL Other SINs - Proposal'!AB595)</f>
        <v xml:space="preserve"> </v>
      </c>
      <c r="M595" s="72" t="str">
        <f t="shared" si="18"/>
        <v xml:space="preserve"> </v>
      </c>
      <c r="N595" s="167" t="str">
        <f t="shared" si="19"/>
        <v xml:space="preserve"> </v>
      </c>
    </row>
    <row r="596" spans="1:14" ht="15" x14ac:dyDescent="0.25">
      <c r="A596" s="131" t="str">
        <f>IF(ISBLANK('ALL Other SINs - Proposal'!A596)," ",'ALL Other SINs - Proposal'!A596)</f>
        <v xml:space="preserve"> </v>
      </c>
      <c r="B596" s="137" t="str">
        <f>IF(ISBLANK('ALL Other SINs - Proposal'!B596)," ",'ALL Other SINs - Proposal'!B596)</f>
        <v xml:space="preserve"> </v>
      </c>
      <c r="C596" s="137" t="str">
        <f>IF(ISBLANK('ALL Other SINs - Proposal'!C596)," ",'ALL Other SINs - Proposal'!C596)</f>
        <v xml:space="preserve"> </v>
      </c>
      <c r="D596" s="138" t="str">
        <f>IF(ISBLANK('ALL Other SINs - Proposal'!D596)," ",'ALL Other SINs - Proposal'!D596)</f>
        <v xml:space="preserve"> </v>
      </c>
      <c r="E596" s="69" t="str">
        <f>IF(ISBLANK('ALL Other SINs - Proposal'!R596)," ",'ALL Other SINs - Proposal'!R596)</f>
        <v xml:space="preserve"> </v>
      </c>
      <c r="F596" s="73" t="str">
        <f>IF(ISBLANK('ALL Other SINs - Proposal'!S596)," ",'ALL Other SINs - Proposal'!S596)</f>
        <v xml:space="preserve"> </v>
      </c>
      <c r="G596" s="173" t="str">
        <f>IF(ISBLANK('ALL Other SINs - Proposal'!T596)," ",'ALL Other SINs - Proposal'!T596)</f>
        <v xml:space="preserve"> </v>
      </c>
      <c r="H596" s="275" t="str">
        <f>IF(ISBLANK('ALL Other SINs - Proposal'!V596)," ",'ALL Other SINs - Proposal'!V596)</f>
        <v xml:space="preserve"> </v>
      </c>
      <c r="I596" s="271" t="str">
        <f>IF(ISBLANK('ALL Other SINs - Proposal'!W596)," ",'ALL Other SINs - Proposal'!W596)</f>
        <v xml:space="preserve"> </v>
      </c>
      <c r="J596" s="71" t="str">
        <f>IF(ISBLANK('ALL Other SINs - Proposal'!X596)," ",'ALL Other SINs - Proposal'!X596)</f>
        <v xml:space="preserve"> </v>
      </c>
      <c r="K596" s="165" t="str">
        <f>IF(ISBLANK('ALL Other SINs - Proposal'!AA596)," ",'ALL Other SINs - Proposal'!AA596)</f>
        <v xml:space="preserve"> </v>
      </c>
      <c r="L596" s="178" t="str">
        <f>IF(ISBLANK('ALL Other SINs - Proposal'!AB596)," ",'ALL Other SINs - Proposal'!AB596)</f>
        <v xml:space="preserve"> </v>
      </c>
      <c r="M596" s="72" t="str">
        <f t="shared" si="18"/>
        <v xml:space="preserve"> </v>
      </c>
      <c r="N596" s="167" t="str">
        <f t="shared" si="19"/>
        <v xml:space="preserve"> </v>
      </c>
    </row>
    <row r="597" spans="1:14" ht="15" x14ac:dyDescent="0.25">
      <c r="A597" s="131" t="str">
        <f>IF(ISBLANK('ALL Other SINs - Proposal'!A597)," ",'ALL Other SINs - Proposal'!A597)</f>
        <v xml:space="preserve"> </v>
      </c>
      <c r="B597" s="137" t="str">
        <f>IF(ISBLANK('ALL Other SINs - Proposal'!B597)," ",'ALL Other SINs - Proposal'!B597)</f>
        <v xml:space="preserve"> </v>
      </c>
      <c r="C597" s="137" t="str">
        <f>IF(ISBLANK('ALL Other SINs - Proposal'!C597)," ",'ALL Other SINs - Proposal'!C597)</f>
        <v xml:space="preserve"> </v>
      </c>
      <c r="D597" s="138" t="str">
        <f>IF(ISBLANK('ALL Other SINs - Proposal'!D597)," ",'ALL Other SINs - Proposal'!D597)</f>
        <v xml:space="preserve"> </v>
      </c>
      <c r="E597" s="69" t="str">
        <f>IF(ISBLANK('ALL Other SINs - Proposal'!R597)," ",'ALL Other SINs - Proposal'!R597)</f>
        <v xml:space="preserve"> </v>
      </c>
      <c r="F597" s="73" t="str">
        <f>IF(ISBLANK('ALL Other SINs - Proposal'!S597)," ",'ALL Other SINs - Proposal'!S597)</f>
        <v xml:space="preserve"> </v>
      </c>
      <c r="G597" s="173" t="str">
        <f>IF(ISBLANK('ALL Other SINs - Proposal'!T597)," ",'ALL Other SINs - Proposal'!T597)</f>
        <v xml:space="preserve"> </v>
      </c>
      <c r="H597" s="275" t="str">
        <f>IF(ISBLANK('ALL Other SINs - Proposal'!V597)," ",'ALL Other SINs - Proposal'!V597)</f>
        <v xml:space="preserve"> </v>
      </c>
      <c r="I597" s="271" t="str">
        <f>IF(ISBLANK('ALL Other SINs - Proposal'!W597)," ",'ALL Other SINs - Proposal'!W597)</f>
        <v xml:space="preserve"> </v>
      </c>
      <c r="J597" s="71" t="str">
        <f>IF(ISBLANK('ALL Other SINs - Proposal'!X597)," ",'ALL Other SINs - Proposal'!X597)</f>
        <v xml:space="preserve"> </v>
      </c>
      <c r="K597" s="165" t="str">
        <f>IF(ISBLANK('ALL Other SINs - Proposal'!AA597)," ",'ALL Other SINs - Proposal'!AA597)</f>
        <v xml:space="preserve"> </v>
      </c>
      <c r="L597" s="178" t="str">
        <f>IF(ISBLANK('ALL Other SINs - Proposal'!AB597)," ",'ALL Other SINs - Proposal'!AB597)</f>
        <v xml:space="preserve"> </v>
      </c>
      <c r="M597" s="72" t="str">
        <f t="shared" si="18"/>
        <v xml:space="preserve"> </v>
      </c>
      <c r="N597" s="167" t="str">
        <f t="shared" si="19"/>
        <v xml:space="preserve"> </v>
      </c>
    </row>
    <row r="598" spans="1:14" ht="15" x14ac:dyDescent="0.25">
      <c r="A598" s="131" t="str">
        <f>IF(ISBLANK('ALL Other SINs - Proposal'!A598)," ",'ALL Other SINs - Proposal'!A598)</f>
        <v xml:space="preserve"> </v>
      </c>
      <c r="B598" s="137" t="str">
        <f>IF(ISBLANK('ALL Other SINs - Proposal'!B598)," ",'ALL Other SINs - Proposal'!B598)</f>
        <v xml:space="preserve"> </v>
      </c>
      <c r="C598" s="137" t="str">
        <f>IF(ISBLANK('ALL Other SINs - Proposal'!C598)," ",'ALL Other SINs - Proposal'!C598)</f>
        <v xml:space="preserve"> </v>
      </c>
      <c r="D598" s="138" t="str">
        <f>IF(ISBLANK('ALL Other SINs - Proposal'!D598)," ",'ALL Other SINs - Proposal'!D598)</f>
        <v xml:space="preserve"> </v>
      </c>
      <c r="E598" s="69" t="str">
        <f>IF(ISBLANK('ALL Other SINs - Proposal'!R598)," ",'ALL Other SINs - Proposal'!R598)</f>
        <v xml:space="preserve"> </v>
      </c>
      <c r="F598" s="73" t="str">
        <f>IF(ISBLANK('ALL Other SINs - Proposal'!S598)," ",'ALL Other SINs - Proposal'!S598)</f>
        <v xml:space="preserve"> </v>
      </c>
      <c r="G598" s="173" t="str">
        <f>IF(ISBLANK('ALL Other SINs - Proposal'!T598)," ",'ALL Other SINs - Proposal'!T598)</f>
        <v xml:space="preserve"> </v>
      </c>
      <c r="H598" s="275" t="str">
        <f>IF(ISBLANK('ALL Other SINs - Proposal'!V598)," ",'ALL Other SINs - Proposal'!V598)</f>
        <v xml:space="preserve"> </v>
      </c>
      <c r="I598" s="271" t="str">
        <f>IF(ISBLANK('ALL Other SINs - Proposal'!W598)," ",'ALL Other SINs - Proposal'!W598)</f>
        <v xml:space="preserve"> </v>
      </c>
      <c r="J598" s="71" t="str">
        <f>IF(ISBLANK('ALL Other SINs - Proposal'!X598)," ",'ALL Other SINs - Proposal'!X598)</f>
        <v xml:space="preserve"> </v>
      </c>
      <c r="K598" s="165" t="str">
        <f>IF(ISBLANK('ALL Other SINs - Proposal'!AA598)," ",'ALL Other SINs - Proposal'!AA598)</f>
        <v xml:space="preserve"> </v>
      </c>
      <c r="L598" s="178" t="str">
        <f>IF(ISBLANK('ALL Other SINs - Proposal'!AB598)," ",'ALL Other SINs - Proposal'!AB598)</f>
        <v xml:space="preserve"> </v>
      </c>
      <c r="M598" s="72" t="str">
        <f t="shared" si="18"/>
        <v xml:space="preserve"> </v>
      </c>
      <c r="N598" s="167" t="str">
        <f t="shared" si="19"/>
        <v xml:space="preserve"> </v>
      </c>
    </row>
    <row r="599" spans="1:14" ht="15" x14ac:dyDescent="0.25">
      <c r="A599" s="131" t="str">
        <f>IF(ISBLANK('ALL Other SINs - Proposal'!A599)," ",'ALL Other SINs - Proposal'!A599)</f>
        <v xml:space="preserve"> </v>
      </c>
      <c r="B599" s="137" t="str">
        <f>IF(ISBLANK('ALL Other SINs - Proposal'!B599)," ",'ALL Other SINs - Proposal'!B599)</f>
        <v xml:space="preserve"> </v>
      </c>
      <c r="C599" s="137" t="str">
        <f>IF(ISBLANK('ALL Other SINs - Proposal'!C599)," ",'ALL Other SINs - Proposal'!C599)</f>
        <v xml:space="preserve"> </v>
      </c>
      <c r="D599" s="138" t="str">
        <f>IF(ISBLANK('ALL Other SINs - Proposal'!D599)," ",'ALL Other SINs - Proposal'!D599)</f>
        <v xml:space="preserve"> </v>
      </c>
      <c r="E599" s="69" t="str">
        <f>IF(ISBLANK('ALL Other SINs - Proposal'!R599)," ",'ALL Other SINs - Proposal'!R599)</f>
        <v xml:space="preserve"> </v>
      </c>
      <c r="F599" s="73" t="str">
        <f>IF(ISBLANK('ALL Other SINs - Proposal'!S599)," ",'ALL Other SINs - Proposal'!S599)</f>
        <v xml:space="preserve"> </v>
      </c>
      <c r="G599" s="173" t="str">
        <f>IF(ISBLANK('ALL Other SINs - Proposal'!T599)," ",'ALL Other SINs - Proposal'!T599)</f>
        <v xml:space="preserve"> </v>
      </c>
      <c r="H599" s="275" t="str">
        <f>IF(ISBLANK('ALL Other SINs - Proposal'!V599)," ",'ALL Other SINs - Proposal'!V599)</f>
        <v xml:space="preserve"> </v>
      </c>
      <c r="I599" s="271" t="str">
        <f>IF(ISBLANK('ALL Other SINs - Proposal'!W599)," ",'ALL Other SINs - Proposal'!W599)</f>
        <v xml:space="preserve"> </v>
      </c>
      <c r="J599" s="71" t="str">
        <f>IF(ISBLANK('ALL Other SINs - Proposal'!X599)," ",'ALL Other SINs - Proposal'!X599)</f>
        <v xml:space="preserve"> </v>
      </c>
      <c r="K599" s="165" t="str">
        <f>IF(ISBLANK('ALL Other SINs - Proposal'!AA599)," ",'ALL Other SINs - Proposal'!AA599)</f>
        <v xml:space="preserve"> </v>
      </c>
      <c r="L599" s="178" t="str">
        <f>IF(ISBLANK('ALL Other SINs - Proposal'!AB599)," ",'ALL Other SINs - Proposal'!AB599)</f>
        <v xml:space="preserve"> </v>
      </c>
      <c r="M599" s="72" t="str">
        <f t="shared" si="18"/>
        <v xml:space="preserve"> </v>
      </c>
      <c r="N599" s="167" t="str">
        <f t="shared" si="19"/>
        <v xml:space="preserve"> </v>
      </c>
    </row>
    <row r="600" spans="1:14" ht="15" x14ac:dyDescent="0.25">
      <c r="A600" s="131" t="str">
        <f>IF(ISBLANK('ALL Other SINs - Proposal'!A600)," ",'ALL Other SINs - Proposal'!A600)</f>
        <v xml:space="preserve"> </v>
      </c>
      <c r="B600" s="137" t="str">
        <f>IF(ISBLANK('ALL Other SINs - Proposal'!B600)," ",'ALL Other SINs - Proposal'!B600)</f>
        <v xml:space="preserve"> </v>
      </c>
      <c r="C600" s="137" t="str">
        <f>IF(ISBLANK('ALL Other SINs - Proposal'!C600)," ",'ALL Other SINs - Proposal'!C600)</f>
        <v xml:space="preserve"> </v>
      </c>
      <c r="D600" s="138" t="str">
        <f>IF(ISBLANK('ALL Other SINs - Proposal'!D600)," ",'ALL Other SINs - Proposal'!D600)</f>
        <v xml:space="preserve"> </v>
      </c>
      <c r="E600" s="69" t="str">
        <f>IF(ISBLANK('ALL Other SINs - Proposal'!R600)," ",'ALL Other SINs - Proposal'!R600)</f>
        <v xml:space="preserve"> </v>
      </c>
      <c r="F600" s="73" t="str">
        <f>IF(ISBLANK('ALL Other SINs - Proposal'!S600)," ",'ALL Other SINs - Proposal'!S600)</f>
        <v xml:space="preserve"> </v>
      </c>
      <c r="G600" s="173" t="str">
        <f>IF(ISBLANK('ALL Other SINs - Proposal'!T600)," ",'ALL Other SINs - Proposal'!T600)</f>
        <v xml:space="preserve"> </v>
      </c>
      <c r="H600" s="275" t="str">
        <f>IF(ISBLANK('ALL Other SINs - Proposal'!V600)," ",'ALL Other SINs - Proposal'!V600)</f>
        <v xml:space="preserve"> </v>
      </c>
      <c r="I600" s="271" t="str">
        <f>IF(ISBLANK('ALL Other SINs - Proposal'!W600)," ",'ALL Other SINs - Proposal'!W600)</f>
        <v xml:space="preserve"> </v>
      </c>
      <c r="J600" s="71" t="str">
        <f>IF(ISBLANK('ALL Other SINs - Proposal'!X600)," ",'ALL Other SINs - Proposal'!X600)</f>
        <v xml:space="preserve"> </v>
      </c>
      <c r="K600" s="165" t="str">
        <f>IF(ISBLANK('ALL Other SINs - Proposal'!AA600)," ",'ALL Other SINs - Proposal'!AA600)</f>
        <v xml:space="preserve"> </v>
      </c>
      <c r="L600" s="178" t="str">
        <f>IF(ISBLANK('ALL Other SINs - Proposal'!AB600)," ",'ALL Other SINs - Proposal'!AB600)</f>
        <v xml:space="preserve"> </v>
      </c>
      <c r="M600" s="72" t="str">
        <f t="shared" si="18"/>
        <v xml:space="preserve"> </v>
      </c>
      <c r="N600" s="167" t="str">
        <f t="shared" si="19"/>
        <v xml:space="preserve"> </v>
      </c>
    </row>
    <row r="601" spans="1:14" ht="15" x14ac:dyDescent="0.25">
      <c r="A601" s="131" t="str">
        <f>IF(ISBLANK('ALL Other SINs - Proposal'!A601)," ",'ALL Other SINs - Proposal'!A601)</f>
        <v xml:space="preserve"> </v>
      </c>
      <c r="B601" s="137" t="str">
        <f>IF(ISBLANK('ALL Other SINs - Proposal'!B601)," ",'ALL Other SINs - Proposal'!B601)</f>
        <v xml:space="preserve"> </v>
      </c>
      <c r="C601" s="137" t="str">
        <f>IF(ISBLANK('ALL Other SINs - Proposal'!C601)," ",'ALL Other SINs - Proposal'!C601)</f>
        <v xml:space="preserve"> </v>
      </c>
      <c r="D601" s="138" t="str">
        <f>IF(ISBLANK('ALL Other SINs - Proposal'!D601)," ",'ALL Other SINs - Proposal'!D601)</f>
        <v xml:space="preserve"> </v>
      </c>
      <c r="E601" s="69" t="str">
        <f>IF(ISBLANK('ALL Other SINs - Proposal'!R601)," ",'ALL Other SINs - Proposal'!R601)</f>
        <v xml:space="preserve"> </v>
      </c>
      <c r="F601" s="73" t="str">
        <f>IF(ISBLANK('ALL Other SINs - Proposal'!S601)," ",'ALL Other SINs - Proposal'!S601)</f>
        <v xml:space="preserve"> </v>
      </c>
      <c r="G601" s="173" t="str">
        <f>IF(ISBLANK('ALL Other SINs - Proposal'!T601)," ",'ALL Other SINs - Proposal'!T601)</f>
        <v xml:space="preserve"> </v>
      </c>
      <c r="H601" s="275" t="str">
        <f>IF(ISBLANK('ALL Other SINs - Proposal'!V601)," ",'ALL Other SINs - Proposal'!V601)</f>
        <v xml:space="preserve"> </v>
      </c>
      <c r="I601" s="271" t="str">
        <f>IF(ISBLANK('ALL Other SINs - Proposal'!W601)," ",'ALL Other SINs - Proposal'!W601)</f>
        <v xml:space="preserve"> </v>
      </c>
      <c r="J601" s="71" t="str">
        <f>IF(ISBLANK('ALL Other SINs - Proposal'!X601)," ",'ALL Other SINs - Proposal'!X601)</f>
        <v xml:space="preserve"> </v>
      </c>
      <c r="K601" s="165" t="str">
        <f>IF(ISBLANK('ALL Other SINs - Proposal'!AA601)," ",'ALL Other SINs - Proposal'!AA601)</f>
        <v xml:space="preserve"> </v>
      </c>
      <c r="L601" s="178" t="str">
        <f>IF(ISBLANK('ALL Other SINs - Proposal'!AB601)," ",'ALL Other SINs - Proposal'!AB601)</f>
        <v xml:space="preserve"> </v>
      </c>
      <c r="M601" s="72" t="str">
        <f t="shared" si="18"/>
        <v xml:space="preserve"> </v>
      </c>
      <c r="N601" s="167" t="str">
        <f t="shared" si="19"/>
        <v xml:space="preserve"> </v>
      </c>
    </row>
    <row r="602" spans="1:14" ht="15" x14ac:dyDescent="0.25">
      <c r="A602" s="131" t="str">
        <f>IF(ISBLANK('ALL Other SINs - Proposal'!A602)," ",'ALL Other SINs - Proposal'!A602)</f>
        <v xml:space="preserve"> </v>
      </c>
      <c r="B602" s="137" t="str">
        <f>IF(ISBLANK('ALL Other SINs - Proposal'!B602)," ",'ALL Other SINs - Proposal'!B602)</f>
        <v xml:space="preserve"> </v>
      </c>
      <c r="C602" s="137" t="str">
        <f>IF(ISBLANK('ALL Other SINs - Proposal'!C602)," ",'ALL Other SINs - Proposal'!C602)</f>
        <v xml:space="preserve"> </v>
      </c>
      <c r="D602" s="138" t="str">
        <f>IF(ISBLANK('ALL Other SINs - Proposal'!D602)," ",'ALL Other SINs - Proposal'!D602)</f>
        <v xml:space="preserve"> </v>
      </c>
      <c r="E602" s="69" t="str">
        <f>IF(ISBLANK('ALL Other SINs - Proposal'!R602)," ",'ALL Other SINs - Proposal'!R602)</f>
        <v xml:space="preserve"> </v>
      </c>
      <c r="F602" s="73" t="str">
        <f>IF(ISBLANK('ALL Other SINs - Proposal'!S602)," ",'ALL Other SINs - Proposal'!S602)</f>
        <v xml:space="preserve"> </v>
      </c>
      <c r="G602" s="173" t="str">
        <f>IF(ISBLANK('ALL Other SINs - Proposal'!T602)," ",'ALL Other SINs - Proposal'!T602)</f>
        <v xml:space="preserve"> </v>
      </c>
      <c r="H602" s="275" t="str">
        <f>IF(ISBLANK('ALL Other SINs - Proposal'!V602)," ",'ALL Other SINs - Proposal'!V602)</f>
        <v xml:space="preserve"> </v>
      </c>
      <c r="I602" s="271" t="str">
        <f>IF(ISBLANK('ALL Other SINs - Proposal'!W602)," ",'ALL Other SINs - Proposal'!W602)</f>
        <v xml:space="preserve"> </v>
      </c>
      <c r="J602" s="71" t="str">
        <f>IF(ISBLANK('ALL Other SINs - Proposal'!X602)," ",'ALL Other SINs - Proposal'!X602)</f>
        <v xml:space="preserve"> </v>
      </c>
      <c r="K602" s="165" t="str">
        <f>IF(ISBLANK('ALL Other SINs - Proposal'!AA602)," ",'ALL Other SINs - Proposal'!AA602)</f>
        <v xml:space="preserve"> </v>
      </c>
      <c r="L602" s="178" t="str">
        <f>IF(ISBLANK('ALL Other SINs - Proposal'!AB602)," ",'ALL Other SINs - Proposal'!AB602)</f>
        <v xml:space="preserve"> </v>
      </c>
      <c r="M602" s="72" t="str">
        <f t="shared" si="18"/>
        <v xml:space="preserve"> </v>
      </c>
      <c r="N602" s="167" t="str">
        <f t="shared" si="19"/>
        <v xml:space="preserve"> </v>
      </c>
    </row>
    <row r="603" spans="1:14" ht="15" x14ac:dyDescent="0.25">
      <c r="A603" s="131" t="str">
        <f>IF(ISBLANK('ALL Other SINs - Proposal'!A603)," ",'ALL Other SINs - Proposal'!A603)</f>
        <v xml:space="preserve"> </v>
      </c>
      <c r="B603" s="137" t="str">
        <f>IF(ISBLANK('ALL Other SINs - Proposal'!B603)," ",'ALL Other SINs - Proposal'!B603)</f>
        <v xml:space="preserve"> </v>
      </c>
      <c r="C603" s="137" t="str">
        <f>IF(ISBLANK('ALL Other SINs - Proposal'!C603)," ",'ALL Other SINs - Proposal'!C603)</f>
        <v xml:space="preserve"> </v>
      </c>
      <c r="D603" s="138" t="str">
        <f>IF(ISBLANK('ALL Other SINs - Proposal'!D603)," ",'ALL Other SINs - Proposal'!D603)</f>
        <v xml:space="preserve"> </v>
      </c>
      <c r="E603" s="69" t="str">
        <f>IF(ISBLANK('ALL Other SINs - Proposal'!R603)," ",'ALL Other SINs - Proposal'!R603)</f>
        <v xml:space="preserve"> </v>
      </c>
      <c r="F603" s="73" t="str">
        <f>IF(ISBLANK('ALL Other SINs - Proposal'!S603)," ",'ALL Other SINs - Proposal'!S603)</f>
        <v xml:space="preserve"> </v>
      </c>
      <c r="G603" s="173" t="str">
        <f>IF(ISBLANK('ALL Other SINs - Proposal'!T603)," ",'ALL Other SINs - Proposal'!T603)</f>
        <v xml:space="preserve"> </v>
      </c>
      <c r="H603" s="275" t="str">
        <f>IF(ISBLANK('ALL Other SINs - Proposal'!V603)," ",'ALL Other SINs - Proposal'!V603)</f>
        <v xml:space="preserve"> </v>
      </c>
      <c r="I603" s="271" t="str">
        <f>IF(ISBLANK('ALL Other SINs - Proposal'!W603)," ",'ALL Other SINs - Proposal'!W603)</f>
        <v xml:space="preserve"> </v>
      </c>
      <c r="J603" s="71" t="str">
        <f>IF(ISBLANK('ALL Other SINs - Proposal'!X603)," ",'ALL Other SINs - Proposal'!X603)</f>
        <v xml:space="preserve"> </v>
      </c>
      <c r="K603" s="165" t="str">
        <f>IF(ISBLANK('ALL Other SINs - Proposal'!AA603)," ",'ALL Other SINs - Proposal'!AA603)</f>
        <v xml:space="preserve"> </v>
      </c>
      <c r="L603" s="178" t="str">
        <f>IF(ISBLANK('ALL Other SINs - Proposal'!AB603)," ",'ALL Other SINs - Proposal'!AB603)</f>
        <v xml:space="preserve"> </v>
      </c>
      <c r="M603" s="72" t="str">
        <f t="shared" si="18"/>
        <v xml:space="preserve"> </v>
      </c>
      <c r="N603" s="167" t="str">
        <f t="shared" si="19"/>
        <v xml:space="preserve"> </v>
      </c>
    </row>
    <row r="604" spans="1:14" ht="15" x14ac:dyDescent="0.25">
      <c r="A604" s="131" t="str">
        <f>IF(ISBLANK('ALL Other SINs - Proposal'!A604)," ",'ALL Other SINs - Proposal'!A604)</f>
        <v xml:space="preserve"> </v>
      </c>
      <c r="B604" s="137" t="str">
        <f>IF(ISBLANK('ALL Other SINs - Proposal'!B604)," ",'ALL Other SINs - Proposal'!B604)</f>
        <v xml:space="preserve"> </v>
      </c>
      <c r="C604" s="137" t="str">
        <f>IF(ISBLANK('ALL Other SINs - Proposal'!C604)," ",'ALL Other SINs - Proposal'!C604)</f>
        <v xml:space="preserve"> </v>
      </c>
      <c r="D604" s="138" t="str">
        <f>IF(ISBLANK('ALL Other SINs - Proposal'!D604)," ",'ALL Other SINs - Proposal'!D604)</f>
        <v xml:space="preserve"> </v>
      </c>
      <c r="E604" s="69" t="str">
        <f>IF(ISBLANK('ALL Other SINs - Proposal'!R604)," ",'ALL Other SINs - Proposal'!R604)</f>
        <v xml:space="preserve"> </v>
      </c>
      <c r="F604" s="73" t="str">
        <f>IF(ISBLANK('ALL Other SINs - Proposal'!S604)," ",'ALL Other SINs - Proposal'!S604)</f>
        <v xml:space="preserve"> </v>
      </c>
      <c r="G604" s="173" t="str">
        <f>IF(ISBLANK('ALL Other SINs - Proposal'!T604)," ",'ALL Other SINs - Proposal'!T604)</f>
        <v xml:space="preserve"> </v>
      </c>
      <c r="H604" s="275" t="str">
        <f>IF(ISBLANK('ALL Other SINs - Proposal'!V604)," ",'ALL Other SINs - Proposal'!V604)</f>
        <v xml:space="preserve"> </v>
      </c>
      <c r="I604" s="271" t="str">
        <f>IF(ISBLANK('ALL Other SINs - Proposal'!W604)," ",'ALL Other SINs - Proposal'!W604)</f>
        <v xml:space="preserve"> </v>
      </c>
      <c r="J604" s="71" t="str">
        <f>IF(ISBLANK('ALL Other SINs - Proposal'!X604)," ",'ALL Other SINs - Proposal'!X604)</f>
        <v xml:space="preserve"> </v>
      </c>
      <c r="K604" s="165" t="str">
        <f>IF(ISBLANK('ALL Other SINs - Proposal'!AA604)," ",'ALL Other SINs - Proposal'!AA604)</f>
        <v xml:space="preserve"> </v>
      </c>
      <c r="L604" s="178" t="str">
        <f>IF(ISBLANK('ALL Other SINs - Proposal'!AB604)," ",'ALL Other SINs - Proposal'!AB604)</f>
        <v xml:space="preserve"> </v>
      </c>
      <c r="M604" s="72" t="str">
        <f t="shared" si="18"/>
        <v xml:space="preserve"> </v>
      </c>
      <c r="N604" s="167" t="str">
        <f t="shared" si="19"/>
        <v xml:space="preserve"> </v>
      </c>
    </row>
    <row r="605" spans="1:14" ht="15" x14ac:dyDescent="0.25">
      <c r="A605" s="131" t="str">
        <f>IF(ISBLANK('ALL Other SINs - Proposal'!A605)," ",'ALL Other SINs - Proposal'!A605)</f>
        <v xml:space="preserve"> </v>
      </c>
      <c r="B605" s="137" t="str">
        <f>IF(ISBLANK('ALL Other SINs - Proposal'!B605)," ",'ALL Other SINs - Proposal'!B605)</f>
        <v xml:space="preserve"> </v>
      </c>
      <c r="C605" s="137" t="str">
        <f>IF(ISBLANK('ALL Other SINs - Proposal'!C605)," ",'ALL Other SINs - Proposal'!C605)</f>
        <v xml:space="preserve"> </v>
      </c>
      <c r="D605" s="138" t="str">
        <f>IF(ISBLANK('ALL Other SINs - Proposal'!D605)," ",'ALL Other SINs - Proposal'!D605)</f>
        <v xml:space="preserve"> </v>
      </c>
      <c r="E605" s="69" t="str">
        <f>IF(ISBLANK('ALL Other SINs - Proposal'!R605)," ",'ALL Other SINs - Proposal'!R605)</f>
        <v xml:space="preserve"> </v>
      </c>
      <c r="F605" s="73" t="str">
        <f>IF(ISBLANK('ALL Other SINs - Proposal'!S605)," ",'ALL Other SINs - Proposal'!S605)</f>
        <v xml:space="preserve"> </v>
      </c>
      <c r="G605" s="173" t="str">
        <f>IF(ISBLANK('ALL Other SINs - Proposal'!T605)," ",'ALL Other SINs - Proposal'!T605)</f>
        <v xml:space="preserve"> </v>
      </c>
      <c r="H605" s="275" t="str">
        <f>IF(ISBLANK('ALL Other SINs - Proposal'!V605)," ",'ALL Other SINs - Proposal'!V605)</f>
        <v xml:space="preserve"> </v>
      </c>
      <c r="I605" s="271" t="str">
        <f>IF(ISBLANK('ALL Other SINs - Proposal'!W605)," ",'ALL Other SINs - Proposal'!W605)</f>
        <v xml:space="preserve"> </v>
      </c>
      <c r="J605" s="71" t="str">
        <f>IF(ISBLANK('ALL Other SINs - Proposal'!X605)," ",'ALL Other SINs - Proposal'!X605)</f>
        <v xml:space="preserve"> </v>
      </c>
      <c r="K605" s="165" t="str">
        <f>IF(ISBLANK('ALL Other SINs - Proposal'!AA605)," ",'ALL Other SINs - Proposal'!AA605)</f>
        <v xml:space="preserve"> </v>
      </c>
      <c r="L605" s="178" t="str">
        <f>IF(ISBLANK('ALL Other SINs - Proposal'!AB605)," ",'ALL Other SINs - Proposal'!AB605)</f>
        <v xml:space="preserve"> </v>
      </c>
      <c r="M605" s="72" t="str">
        <f t="shared" si="18"/>
        <v xml:space="preserve"> </v>
      </c>
      <c r="N605" s="167" t="str">
        <f t="shared" si="19"/>
        <v xml:space="preserve"> </v>
      </c>
    </row>
    <row r="606" spans="1:14" ht="15" x14ac:dyDescent="0.25">
      <c r="A606" s="131" t="str">
        <f>IF(ISBLANK('ALL Other SINs - Proposal'!A606)," ",'ALL Other SINs - Proposal'!A606)</f>
        <v xml:space="preserve"> </v>
      </c>
      <c r="B606" s="137" t="str">
        <f>IF(ISBLANK('ALL Other SINs - Proposal'!B606)," ",'ALL Other SINs - Proposal'!B606)</f>
        <v xml:space="preserve"> </v>
      </c>
      <c r="C606" s="137" t="str">
        <f>IF(ISBLANK('ALL Other SINs - Proposal'!C606)," ",'ALL Other SINs - Proposal'!C606)</f>
        <v xml:space="preserve"> </v>
      </c>
      <c r="D606" s="138" t="str">
        <f>IF(ISBLANK('ALL Other SINs - Proposal'!D606)," ",'ALL Other SINs - Proposal'!D606)</f>
        <v xml:space="preserve"> </v>
      </c>
      <c r="E606" s="69" t="str">
        <f>IF(ISBLANK('ALL Other SINs - Proposal'!R606)," ",'ALL Other SINs - Proposal'!R606)</f>
        <v xml:space="preserve"> </v>
      </c>
      <c r="F606" s="73" t="str">
        <f>IF(ISBLANK('ALL Other SINs - Proposal'!S606)," ",'ALL Other SINs - Proposal'!S606)</f>
        <v xml:space="preserve"> </v>
      </c>
      <c r="G606" s="173" t="str">
        <f>IF(ISBLANK('ALL Other SINs - Proposal'!T606)," ",'ALL Other SINs - Proposal'!T606)</f>
        <v xml:space="preserve"> </v>
      </c>
      <c r="H606" s="275" t="str">
        <f>IF(ISBLANK('ALL Other SINs - Proposal'!V606)," ",'ALL Other SINs - Proposal'!V606)</f>
        <v xml:space="preserve"> </v>
      </c>
      <c r="I606" s="271" t="str">
        <f>IF(ISBLANK('ALL Other SINs - Proposal'!W606)," ",'ALL Other SINs - Proposal'!W606)</f>
        <v xml:space="preserve"> </v>
      </c>
      <c r="J606" s="71" t="str">
        <f>IF(ISBLANK('ALL Other SINs - Proposal'!X606)," ",'ALL Other SINs - Proposal'!X606)</f>
        <v xml:space="preserve"> </v>
      </c>
      <c r="K606" s="165" t="str">
        <f>IF(ISBLANK('ALL Other SINs - Proposal'!AA606)," ",'ALL Other SINs - Proposal'!AA606)</f>
        <v xml:space="preserve"> </v>
      </c>
      <c r="L606" s="178" t="str">
        <f>IF(ISBLANK('ALL Other SINs - Proposal'!AB606)," ",'ALL Other SINs - Proposal'!AB606)</f>
        <v xml:space="preserve"> </v>
      </c>
      <c r="M606" s="72" t="str">
        <f t="shared" si="18"/>
        <v xml:space="preserve"> </v>
      </c>
      <c r="N606" s="167" t="str">
        <f t="shared" si="19"/>
        <v xml:space="preserve"> </v>
      </c>
    </row>
    <row r="607" spans="1:14" ht="15" x14ac:dyDescent="0.25">
      <c r="A607" s="131" t="str">
        <f>IF(ISBLANK('ALL Other SINs - Proposal'!A607)," ",'ALL Other SINs - Proposal'!A607)</f>
        <v xml:space="preserve"> </v>
      </c>
      <c r="B607" s="137" t="str">
        <f>IF(ISBLANK('ALL Other SINs - Proposal'!B607)," ",'ALL Other SINs - Proposal'!B607)</f>
        <v xml:space="preserve"> </v>
      </c>
      <c r="C607" s="137" t="str">
        <f>IF(ISBLANK('ALL Other SINs - Proposal'!C607)," ",'ALL Other SINs - Proposal'!C607)</f>
        <v xml:space="preserve"> </v>
      </c>
      <c r="D607" s="138" t="str">
        <f>IF(ISBLANK('ALL Other SINs - Proposal'!D607)," ",'ALL Other SINs - Proposal'!D607)</f>
        <v xml:space="preserve"> </v>
      </c>
      <c r="E607" s="69" t="str">
        <f>IF(ISBLANK('ALL Other SINs - Proposal'!R607)," ",'ALL Other SINs - Proposal'!R607)</f>
        <v xml:space="preserve"> </v>
      </c>
      <c r="F607" s="73" t="str">
        <f>IF(ISBLANK('ALL Other SINs - Proposal'!S607)," ",'ALL Other SINs - Proposal'!S607)</f>
        <v xml:space="preserve"> </v>
      </c>
      <c r="G607" s="173" t="str">
        <f>IF(ISBLANK('ALL Other SINs - Proposal'!T607)," ",'ALL Other SINs - Proposal'!T607)</f>
        <v xml:space="preserve"> </v>
      </c>
      <c r="H607" s="275" t="str">
        <f>IF(ISBLANK('ALL Other SINs - Proposal'!V607)," ",'ALL Other SINs - Proposal'!V607)</f>
        <v xml:space="preserve"> </v>
      </c>
      <c r="I607" s="271" t="str">
        <f>IF(ISBLANK('ALL Other SINs - Proposal'!W607)," ",'ALL Other SINs - Proposal'!W607)</f>
        <v xml:space="preserve"> </v>
      </c>
      <c r="J607" s="71" t="str">
        <f>IF(ISBLANK('ALL Other SINs - Proposal'!X607)," ",'ALL Other SINs - Proposal'!X607)</f>
        <v xml:space="preserve"> </v>
      </c>
      <c r="K607" s="165" t="str">
        <f>IF(ISBLANK('ALL Other SINs - Proposal'!AA607)," ",'ALL Other SINs - Proposal'!AA607)</f>
        <v xml:space="preserve"> </v>
      </c>
      <c r="L607" s="178" t="str">
        <f>IF(ISBLANK('ALL Other SINs - Proposal'!AB607)," ",'ALL Other SINs - Proposal'!AB607)</f>
        <v xml:space="preserve"> </v>
      </c>
      <c r="M607" s="72" t="str">
        <f t="shared" si="18"/>
        <v xml:space="preserve"> </v>
      </c>
      <c r="N607" s="167" t="str">
        <f t="shared" si="19"/>
        <v xml:space="preserve"> </v>
      </c>
    </row>
    <row r="608" spans="1:14" ht="15" x14ac:dyDescent="0.25">
      <c r="A608" s="131" t="str">
        <f>IF(ISBLANK('ALL Other SINs - Proposal'!A608)," ",'ALL Other SINs - Proposal'!A608)</f>
        <v xml:space="preserve"> </v>
      </c>
      <c r="B608" s="137" t="str">
        <f>IF(ISBLANK('ALL Other SINs - Proposal'!B608)," ",'ALL Other SINs - Proposal'!B608)</f>
        <v xml:space="preserve"> </v>
      </c>
      <c r="C608" s="137" t="str">
        <f>IF(ISBLANK('ALL Other SINs - Proposal'!C608)," ",'ALL Other SINs - Proposal'!C608)</f>
        <v xml:space="preserve"> </v>
      </c>
      <c r="D608" s="138" t="str">
        <f>IF(ISBLANK('ALL Other SINs - Proposal'!D608)," ",'ALL Other SINs - Proposal'!D608)</f>
        <v xml:space="preserve"> </v>
      </c>
      <c r="E608" s="69" t="str">
        <f>IF(ISBLANK('ALL Other SINs - Proposal'!R608)," ",'ALL Other SINs - Proposal'!R608)</f>
        <v xml:space="preserve"> </v>
      </c>
      <c r="F608" s="73" t="str">
        <f>IF(ISBLANK('ALL Other SINs - Proposal'!S608)," ",'ALL Other SINs - Proposal'!S608)</f>
        <v xml:space="preserve"> </v>
      </c>
      <c r="G608" s="173" t="str">
        <f>IF(ISBLANK('ALL Other SINs - Proposal'!T608)," ",'ALL Other SINs - Proposal'!T608)</f>
        <v xml:space="preserve"> </v>
      </c>
      <c r="H608" s="275" t="str">
        <f>IF(ISBLANK('ALL Other SINs - Proposal'!V608)," ",'ALL Other SINs - Proposal'!V608)</f>
        <v xml:space="preserve"> </v>
      </c>
      <c r="I608" s="271" t="str">
        <f>IF(ISBLANK('ALL Other SINs - Proposal'!W608)," ",'ALL Other SINs - Proposal'!W608)</f>
        <v xml:space="preserve"> </v>
      </c>
      <c r="J608" s="71" t="str">
        <f>IF(ISBLANK('ALL Other SINs - Proposal'!X608)," ",'ALL Other SINs - Proposal'!X608)</f>
        <v xml:space="preserve"> </v>
      </c>
      <c r="K608" s="165" t="str">
        <f>IF(ISBLANK('ALL Other SINs - Proposal'!AA608)," ",'ALL Other SINs - Proposal'!AA608)</f>
        <v xml:space="preserve"> </v>
      </c>
      <c r="L608" s="178" t="str">
        <f>IF(ISBLANK('ALL Other SINs - Proposal'!AB608)," ",'ALL Other SINs - Proposal'!AB608)</f>
        <v xml:space="preserve"> </v>
      </c>
      <c r="M608" s="72" t="str">
        <f t="shared" si="18"/>
        <v xml:space="preserve"> </v>
      </c>
      <c r="N608" s="167" t="str">
        <f t="shared" si="19"/>
        <v xml:space="preserve"> </v>
      </c>
    </row>
    <row r="609" spans="1:14" ht="15" x14ac:dyDescent="0.25">
      <c r="A609" s="131" t="str">
        <f>IF(ISBLANK('ALL Other SINs - Proposal'!A609)," ",'ALL Other SINs - Proposal'!A609)</f>
        <v xml:space="preserve"> </v>
      </c>
      <c r="B609" s="137" t="str">
        <f>IF(ISBLANK('ALL Other SINs - Proposal'!B609)," ",'ALL Other SINs - Proposal'!B609)</f>
        <v xml:space="preserve"> </v>
      </c>
      <c r="C609" s="137" t="str">
        <f>IF(ISBLANK('ALL Other SINs - Proposal'!C609)," ",'ALL Other SINs - Proposal'!C609)</f>
        <v xml:space="preserve"> </v>
      </c>
      <c r="D609" s="138" t="str">
        <f>IF(ISBLANK('ALL Other SINs - Proposal'!D609)," ",'ALL Other SINs - Proposal'!D609)</f>
        <v xml:space="preserve"> </v>
      </c>
      <c r="E609" s="69" t="str">
        <f>IF(ISBLANK('ALL Other SINs - Proposal'!R609)," ",'ALL Other SINs - Proposal'!R609)</f>
        <v xml:space="preserve"> </v>
      </c>
      <c r="F609" s="73" t="str">
        <f>IF(ISBLANK('ALL Other SINs - Proposal'!S609)," ",'ALL Other SINs - Proposal'!S609)</f>
        <v xml:space="preserve"> </v>
      </c>
      <c r="G609" s="173" t="str">
        <f>IF(ISBLANK('ALL Other SINs - Proposal'!T609)," ",'ALL Other SINs - Proposal'!T609)</f>
        <v xml:space="preserve"> </v>
      </c>
      <c r="H609" s="275" t="str">
        <f>IF(ISBLANK('ALL Other SINs - Proposal'!V609)," ",'ALL Other SINs - Proposal'!V609)</f>
        <v xml:space="preserve"> </v>
      </c>
      <c r="I609" s="271" t="str">
        <f>IF(ISBLANK('ALL Other SINs - Proposal'!W609)," ",'ALL Other SINs - Proposal'!W609)</f>
        <v xml:space="preserve"> </v>
      </c>
      <c r="J609" s="71" t="str">
        <f>IF(ISBLANK('ALL Other SINs - Proposal'!X609)," ",'ALL Other SINs - Proposal'!X609)</f>
        <v xml:space="preserve"> </v>
      </c>
      <c r="K609" s="165" t="str">
        <f>IF(ISBLANK('ALL Other SINs - Proposal'!AA609)," ",'ALL Other SINs - Proposal'!AA609)</f>
        <v xml:space="preserve"> </v>
      </c>
      <c r="L609" s="178" t="str">
        <f>IF(ISBLANK('ALL Other SINs - Proposal'!AB609)," ",'ALL Other SINs - Proposal'!AB609)</f>
        <v xml:space="preserve"> </v>
      </c>
      <c r="M609" s="72" t="str">
        <f t="shared" si="18"/>
        <v xml:space="preserve"> </v>
      </c>
      <c r="N609" s="167" t="str">
        <f t="shared" si="19"/>
        <v xml:space="preserve"> </v>
      </c>
    </row>
    <row r="610" spans="1:14" ht="15" x14ac:dyDescent="0.25">
      <c r="A610" s="131" t="str">
        <f>IF(ISBLANK('ALL Other SINs - Proposal'!A610)," ",'ALL Other SINs - Proposal'!A610)</f>
        <v xml:space="preserve"> </v>
      </c>
      <c r="B610" s="137" t="str">
        <f>IF(ISBLANK('ALL Other SINs - Proposal'!B610)," ",'ALL Other SINs - Proposal'!B610)</f>
        <v xml:space="preserve"> </v>
      </c>
      <c r="C610" s="137" t="str">
        <f>IF(ISBLANK('ALL Other SINs - Proposal'!C610)," ",'ALL Other SINs - Proposal'!C610)</f>
        <v xml:space="preserve"> </v>
      </c>
      <c r="D610" s="138" t="str">
        <f>IF(ISBLANK('ALL Other SINs - Proposal'!D610)," ",'ALL Other SINs - Proposal'!D610)</f>
        <v xml:space="preserve"> </v>
      </c>
      <c r="E610" s="69" t="str">
        <f>IF(ISBLANK('ALL Other SINs - Proposal'!R610)," ",'ALL Other SINs - Proposal'!R610)</f>
        <v xml:space="preserve"> </v>
      </c>
      <c r="F610" s="73" t="str">
        <f>IF(ISBLANK('ALL Other SINs - Proposal'!S610)," ",'ALL Other SINs - Proposal'!S610)</f>
        <v xml:space="preserve"> </v>
      </c>
      <c r="G610" s="173" t="str">
        <f>IF(ISBLANK('ALL Other SINs - Proposal'!T610)," ",'ALL Other SINs - Proposal'!T610)</f>
        <v xml:space="preserve"> </v>
      </c>
      <c r="H610" s="275" t="str">
        <f>IF(ISBLANK('ALL Other SINs - Proposal'!V610)," ",'ALL Other SINs - Proposal'!V610)</f>
        <v xml:space="preserve"> </v>
      </c>
      <c r="I610" s="271" t="str">
        <f>IF(ISBLANK('ALL Other SINs - Proposal'!W610)," ",'ALL Other SINs - Proposal'!W610)</f>
        <v xml:space="preserve"> </v>
      </c>
      <c r="J610" s="71" t="str">
        <f>IF(ISBLANK('ALL Other SINs - Proposal'!X610)," ",'ALL Other SINs - Proposal'!X610)</f>
        <v xml:space="preserve"> </v>
      </c>
      <c r="K610" s="165" t="str">
        <f>IF(ISBLANK('ALL Other SINs - Proposal'!AA610)," ",'ALL Other SINs - Proposal'!AA610)</f>
        <v xml:space="preserve"> </v>
      </c>
      <c r="L610" s="178" t="str">
        <f>IF(ISBLANK('ALL Other SINs - Proposal'!AB610)," ",'ALL Other SINs - Proposal'!AB610)</f>
        <v xml:space="preserve"> </v>
      </c>
      <c r="M610" s="72" t="str">
        <f t="shared" si="18"/>
        <v xml:space="preserve"> </v>
      </c>
      <c r="N610" s="167" t="str">
        <f t="shared" si="19"/>
        <v xml:space="preserve"> </v>
      </c>
    </row>
    <row r="611" spans="1:14" ht="15" x14ac:dyDescent="0.25">
      <c r="A611" s="131" t="str">
        <f>IF(ISBLANK('ALL Other SINs - Proposal'!A611)," ",'ALL Other SINs - Proposal'!A611)</f>
        <v xml:space="preserve"> </v>
      </c>
      <c r="B611" s="137" t="str">
        <f>IF(ISBLANK('ALL Other SINs - Proposal'!B611)," ",'ALL Other SINs - Proposal'!B611)</f>
        <v xml:space="preserve"> </v>
      </c>
      <c r="C611" s="137" t="str">
        <f>IF(ISBLANK('ALL Other SINs - Proposal'!C611)," ",'ALL Other SINs - Proposal'!C611)</f>
        <v xml:space="preserve"> </v>
      </c>
      <c r="D611" s="138" t="str">
        <f>IF(ISBLANK('ALL Other SINs - Proposal'!D611)," ",'ALL Other SINs - Proposal'!D611)</f>
        <v xml:space="preserve"> </v>
      </c>
      <c r="E611" s="69" t="str">
        <f>IF(ISBLANK('ALL Other SINs - Proposal'!R611)," ",'ALL Other SINs - Proposal'!R611)</f>
        <v xml:space="preserve"> </v>
      </c>
      <c r="F611" s="73" t="str">
        <f>IF(ISBLANK('ALL Other SINs - Proposal'!S611)," ",'ALL Other SINs - Proposal'!S611)</f>
        <v xml:space="preserve"> </v>
      </c>
      <c r="G611" s="173" t="str">
        <f>IF(ISBLANK('ALL Other SINs - Proposal'!T611)," ",'ALL Other SINs - Proposal'!T611)</f>
        <v xml:space="preserve"> </v>
      </c>
      <c r="H611" s="275" t="str">
        <f>IF(ISBLANK('ALL Other SINs - Proposal'!V611)," ",'ALL Other SINs - Proposal'!V611)</f>
        <v xml:space="preserve"> </v>
      </c>
      <c r="I611" s="271" t="str">
        <f>IF(ISBLANK('ALL Other SINs - Proposal'!W611)," ",'ALL Other SINs - Proposal'!W611)</f>
        <v xml:space="preserve"> </v>
      </c>
      <c r="J611" s="71" t="str">
        <f>IF(ISBLANK('ALL Other SINs - Proposal'!X611)," ",'ALL Other SINs - Proposal'!X611)</f>
        <v xml:space="preserve"> </v>
      </c>
      <c r="K611" s="165" t="str">
        <f>IF(ISBLANK('ALL Other SINs - Proposal'!AA611)," ",'ALL Other SINs - Proposal'!AA611)</f>
        <v xml:space="preserve"> </v>
      </c>
      <c r="L611" s="178" t="str">
        <f>IF(ISBLANK('ALL Other SINs - Proposal'!AB611)," ",'ALL Other SINs - Proposal'!AB611)</f>
        <v xml:space="preserve"> </v>
      </c>
      <c r="M611" s="72" t="str">
        <f t="shared" si="18"/>
        <v xml:space="preserve"> </v>
      </c>
      <c r="N611" s="167" t="str">
        <f t="shared" si="19"/>
        <v xml:space="preserve"> </v>
      </c>
    </row>
    <row r="612" spans="1:14" ht="15" x14ac:dyDescent="0.25">
      <c r="A612" s="131" t="str">
        <f>IF(ISBLANK('ALL Other SINs - Proposal'!A612)," ",'ALL Other SINs - Proposal'!A612)</f>
        <v xml:space="preserve"> </v>
      </c>
      <c r="B612" s="137" t="str">
        <f>IF(ISBLANK('ALL Other SINs - Proposal'!B612)," ",'ALL Other SINs - Proposal'!B612)</f>
        <v xml:space="preserve"> </v>
      </c>
      <c r="C612" s="137" t="str">
        <f>IF(ISBLANK('ALL Other SINs - Proposal'!C612)," ",'ALL Other SINs - Proposal'!C612)</f>
        <v xml:space="preserve"> </v>
      </c>
      <c r="D612" s="138" t="str">
        <f>IF(ISBLANK('ALL Other SINs - Proposal'!D612)," ",'ALL Other SINs - Proposal'!D612)</f>
        <v xml:space="preserve"> </v>
      </c>
      <c r="E612" s="69" t="str">
        <f>IF(ISBLANK('ALL Other SINs - Proposal'!R612)," ",'ALL Other SINs - Proposal'!R612)</f>
        <v xml:space="preserve"> </v>
      </c>
      <c r="F612" s="73" t="str">
        <f>IF(ISBLANK('ALL Other SINs - Proposal'!S612)," ",'ALL Other SINs - Proposal'!S612)</f>
        <v xml:space="preserve"> </v>
      </c>
      <c r="G612" s="173" t="str">
        <f>IF(ISBLANK('ALL Other SINs - Proposal'!T612)," ",'ALL Other SINs - Proposal'!T612)</f>
        <v xml:space="preserve"> </v>
      </c>
      <c r="H612" s="275" t="str">
        <f>IF(ISBLANK('ALL Other SINs - Proposal'!V612)," ",'ALL Other SINs - Proposal'!V612)</f>
        <v xml:space="preserve"> </v>
      </c>
      <c r="I612" s="271" t="str">
        <f>IF(ISBLANK('ALL Other SINs - Proposal'!W612)," ",'ALL Other SINs - Proposal'!W612)</f>
        <v xml:space="preserve"> </v>
      </c>
      <c r="J612" s="71" t="str">
        <f>IF(ISBLANK('ALL Other SINs - Proposal'!X612)," ",'ALL Other SINs - Proposal'!X612)</f>
        <v xml:space="preserve"> </v>
      </c>
      <c r="K612" s="165" t="str">
        <f>IF(ISBLANK('ALL Other SINs - Proposal'!AA612)," ",'ALL Other SINs - Proposal'!AA612)</f>
        <v xml:space="preserve"> </v>
      </c>
      <c r="L612" s="178" t="str">
        <f>IF(ISBLANK('ALL Other SINs - Proposal'!AB612)," ",'ALL Other SINs - Proposal'!AB612)</f>
        <v xml:space="preserve"> </v>
      </c>
      <c r="M612" s="72" t="str">
        <f t="shared" si="18"/>
        <v xml:space="preserve"> </v>
      </c>
      <c r="N612" s="167" t="str">
        <f t="shared" si="19"/>
        <v xml:space="preserve"> </v>
      </c>
    </row>
    <row r="613" spans="1:14" ht="15" x14ac:dyDescent="0.25">
      <c r="A613" s="131" t="str">
        <f>IF(ISBLANK('ALL Other SINs - Proposal'!A613)," ",'ALL Other SINs - Proposal'!A613)</f>
        <v xml:space="preserve"> </v>
      </c>
      <c r="B613" s="137" t="str">
        <f>IF(ISBLANK('ALL Other SINs - Proposal'!B613)," ",'ALL Other SINs - Proposal'!B613)</f>
        <v xml:space="preserve"> </v>
      </c>
      <c r="C613" s="137" t="str">
        <f>IF(ISBLANK('ALL Other SINs - Proposal'!C613)," ",'ALL Other SINs - Proposal'!C613)</f>
        <v xml:space="preserve"> </v>
      </c>
      <c r="D613" s="138" t="str">
        <f>IF(ISBLANK('ALL Other SINs - Proposal'!D613)," ",'ALL Other SINs - Proposal'!D613)</f>
        <v xml:space="preserve"> </v>
      </c>
      <c r="E613" s="69" t="str">
        <f>IF(ISBLANK('ALL Other SINs - Proposal'!R613)," ",'ALL Other SINs - Proposal'!R613)</f>
        <v xml:space="preserve"> </v>
      </c>
      <c r="F613" s="73" t="str">
        <f>IF(ISBLANK('ALL Other SINs - Proposal'!S613)," ",'ALL Other SINs - Proposal'!S613)</f>
        <v xml:space="preserve"> </v>
      </c>
      <c r="G613" s="173" t="str">
        <f>IF(ISBLANK('ALL Other SINs - Proposal'!T613)," ",'ALL Other SINs - Proposal'!T613)</f>
        <v xml:space="preserve"> </v>
      </c>
      <c r="H613" s="275" t="str">
        <f>IF(ISBLANK('ALL Other SINs - Proposal'!V613)," ",'ALL Other SINs - Proposal'!V613)</f>
        <v xml:space="preserve"> </v>
      </c>
      <c r="I613" s="271" t="str">
        <f>IF(ISBLANK('ALL Other SINs - Proposal'!W613)," ",'ALL Other SINs - Proposal'!W613)</f>
        <v xml:space="preserve"> </v>
      </c>
      <c r="J613" s="71" t="str">
        <f>IF(ISBLANK('ALL Other SINs - Proposal'!X613)," ",'ALL Other SINs - Proposal'!X613)</f>
        <v xml:space="preserve"> </v>
      </c>
      <c r="K613" s="165" t="str">
        <f>IF(ISBLANK('ALL Other SINs - Proposal'!AA613)," ",'ALL Other SINs - Proposal'!AA613)</f>
        <v xml:space="preserve"> </v>
      </c>
      <c r="L613" s="178" t="str">
        <f>IF(ISBLANK('ALL Other SINs - Proposal'!AB613)," ",'ALL Other SINs - Proposal'!AB613)</f>
        <v xml:space="preserve"> </v>
      </c>
      <c r="M613" s="72" t="str">
        <f t="shared" si="18"/>
        <v xml:space="preserve"> </v>
      </c>
      <c r="N613" s="167" t="str">
        <f t="shared" si="19"/>
        <v xml:space="preserve"> </v>
      </c>
    </row>
    <row r="614" spans="1:14" ht="15" x14ac:dyDescent="0.25">
      <c r="A614" s="131" t="str">
        <f>IF(ISBLANK('ALL Other SINs - Proposal'!A614)," ",'ALL Other SINs - Proposal'!A614)</f>
        <v xml:space="preserve"> </v>
      </c>
      <c r="B614" s="137" t="str">
        <f>IF(ISBLANK('ALL Other SINs - Proposal'!B614)," ",'ALL Other SINs - Proposal'!B614)</f>
        <v xml:space="preserve"> </v>
      </c>
      <c r="C614" s="137" t="str">
        <f>IF(ISBLANK('ALL Other SINs - Proposal'!C614)," ",'ALL Other SINs - Proposal'!C614)</f>
        <v xml:space="preserve"> </v>
      </c>
      <c r="D614" s="138" t="str">
        <f>IF(ISBLANK('ALL Other SINs - Proposal'!D614)," ",'ALL Other SINs - Proposal'!D614)</f>
        <v xml:space="preserve"> </v>
      </c>
      <c r="E614" s="69" t="str">
        <f>IF(ISBLANK('ALL Other SINs - Proposal'!R614)," ",'ALL Other SINs - Proposal'!R614)</f>
        <v xml:space="preserve"> </v>
      </c>
      <c r="F614" s="73" t="str">
        <f>IF(ISBLANK('ALL Other SINs - Proposal'!S614)," ",'ALL Other SINs - Proposal'!S614)</f>
        <v xml:space="preserve"> </v>
      </c>
      <c r="G614" s="173" t="str">
        <f>IF(ISBLANK('ALL Other SINs - Proposal'!T614)," ",'ALL Other SINs - Proposal'!T614)</f>
        <v xml:space="preserve"> </v>
      </c>
      <c r="H614" s="275" t="str">
        <f>IF(ISBLANK('ALL Other SINs - Proposal'!V614)," ",'ALL Other SINs - Proposal'!V614)</f>
        <v xml:space="preserve"> </v>
      </c>
      <c r="I614" s="271" t="str">
        <f>IF(ISBLANK('ALL Other SINs - Proposal'!W614)," ",'ALL Other SINs - Proposal'!W614)</f>
        <v xml:space="preserve"> </v>
      </c>
      <c r="J614" s="71" t="str">
        <f>IF(ISBLANK('ALL Other SINs - Proposal'!X614)," ",'ALL Other SINs - Proposal'!X614)</f>
        <v xml:space="preserve"> </v>
      </c>
      <c r="K614" s="165" t="str">
        <f>IF(ISBLANK('ALL Other SINs - Proposal'!AA614)," ",'ALL Other SINs - Proposal'!AA614)</f>
        <v xml:space="preserve"> </v>
      </c>
      <c r="L614" s="178" t="str">
        <f>IF(ISBLANK('ALL Other SINs - Proposal'!AB614)," ",'ALL Other SINs - Proposal'!AB614)</f>
        <v xml:space="preserve"> </v>
      </c>
      <c r="M614" s="72" t="str">
        <f t="shared" si="18"/>
        <v xml:space="preserve"> </v>
      </c>
      <c r="N614" s="167" t="str">
        <f t="shared" si="19"/>
        <v xml:space="preserve"> </v>
      </c>
    </row>
    <row r="615" spans="1:14" ht="15" x14ac:dyDescent="0.25">
      <c r="A615" s="131" t="str">
        <f>IF(ISBLANK('ALL Other SINs - Proposal'!A615)," ",'ALL Other SINs - Proposal'!A615)</f>
        <v xml:space="preserve"> </v>
      </c>
      <c r="B615" s="137" t="str">
        <f>IF(ISBLANK('ALL Other SINs - Proposal'!B615)," ",'ALL Other SINs - Proposal'!B615)</f>
        <v xml:space="preserve"> </v>
      </c>
      <c r="C615" s="137" t="str">
        <f>IF(ISBLANK('ALL Other SINs - Proposal'!C615)," ",'ALL Other SINs - Proposal'!C615)</f>
        <v xml:space="preserve"> </v>
      </c>
      <c r="D615" s="138" t="str">
        <f>IF(ISBLANK('ALL Other SINs - Proposal'!D615)," ",'ALL Other SINs - Proposal'!D615)</f>
        <v xml:space="preserve"> </v>
      </c>
      <c r="E615" s="69" t="str">
        <f>IF(ISBLANK('ALL Other SINs - Proposal'!R615)," ",'ALL Other SINs - Proposal'!R615)</f>
        <v xml:space="preserve"> </v>
      </c>
      <c r="F615" s="73" t="str">
        <f>IF(ISBLANK('ALL Other SINs - Proposal'!S615)," ",'ALL Other SINs - Proposal'!S615)</f>
        <v xml:space="preserve"> </v>
      </c>
      <c r="G615" s="173" t="str">
        <f>IF(ISBLANK('ALL Other SINs - Proposal'!T615)," ",'ALL Other SINs - Proposal'!T615)</f>
        <v xml:space="preserve"> </v>
      </c>
      <c r="H615" s="275" t="str">
        <f>IF(ISBLANK('ALL Other SINs - Proposal'!V615)," ",'ALL Other SINs - Proposal'!V615)</f>
        <v xml:space="preserve"> </v>
      </c>
      <c r="I615" s="271" t="str">
        <f>IF(ISBLANK('ALL Other SINs - Proposal'!W615)," ",'ALL Other SINs - Proposal'!W615)</f>
        <v xml:space="preserve"> </v>
      </c>
      <c r="J615" s="71" t="str">
        <f>IF(ISBLANK('ALL Other SINs - Proposal'!X615)," ",'ALL Other SINs - Proposal'!X615)</f>
        <v xml:space="preserve"> </v>
      </c>
      <c r="K615" s="165" t="str">
        <f>IF(ISBLANK('ALL Other SINs - Proposal'!AA615)," ",'ALL Other SINs - Proposal'!AA615)</f>
        <v xml:space="preserve"> </v>
      </c>
      <c r="L615" s="178" t="str">
        <f>IF(ISBLANK('ALL Other SINs - Proposal'!AB615)," ",'ALL Other SINs - Proposal'!AB615)</f>
        <v xml:space="preserve"> </v>
      </c>
      <c r="M615" s="72" t="str">
        <f t="shared" si="18"/>
        <v xml:space="preserve"> </v>
      </c>
      <c r="N615" s="167" t="str">
        <f t="shared" si="19"/>
        <v xml:space="preserve"> </v>
      </c>
    </row>
    <row r="616" spans="1:14" ht="15" x14ac:dyDescent="0.25">
      <c r="A616" s="131" t="str">
        <f>IF(ISBLANK('ALL Other SINs - Proposal'!A616)," ",'ALL Other SINs - Proposal'!A616)</f>
        <v xml:space="preserve"> </v>
      </c>
      <c r="B616" s="137" t="str">
        <f>IF(ISBLANK('ALL Other SINs - Proposal'!B616)," ",'ALL Other SINs - Proposal'!B616)</f>
        <v xml:space="preserve"> </v>
      </c>
      <c r="C616" s="137" t="str">
        <f>IF(ISBLANK('ALL Other SINs - Proposal'!C616)," ",'ALL Other SINs - Proposal'!C616)</f>
        <v xml:space="preserve"> </v>
      </c>
      <c r="D616" s="138" t="str">
        <f>IF(ISBLANK('ALL Other SINs - Proposal'!D616)," ",'ALL Other SINs - Proposal'!D616)</f>
        <v xml:space="preserve"> </v>
      </c>
      <c r="E616" s="69" t="str">
        <f>IF(ISBLANK('ALL Other SINs - Proposal'!R616)," ",'ALL Other SINs - Proposal'!R616)</f>
        <v xml:space="preserve"> </v>
      </c>
      <c r="F616" s="73" t="str">
        <f>IF(ISBLANK('ALL Other SINs - Proposal'!S616)," ",'ALL Other SINs - Proposal'!S616)</f>
        <v xml:space="preserve"> </v>
      </c>
      <c r="G616" s="173" t="str">
        <f>IF(ISBLANK('ALL Other SINs - Proposal'!T616)," ",'ALL Other SINs - Proposal'!T616)</f>
        <v xml:space="preserve"> </v>
      </c>
      <c r="H616" s="275" t="str">
        <f>IF(ISBLANK('ALL Other SINs - Proposal'!V616)," ",'ALL Other SINs - Proposal'!V616)</f>
        <v xml:space="preserve"> </v>
      </c>
      <c r="I616" s="271" t="str">
        <f>IF(ISBLANK('ALL Other SINs - Proposal'!W616)," ",'ALL Other SINs - Proposal'!W616)</f>
        <v xml:space="preserve"> </v>
      </c>
      <c r="J616" s="71" t="str">
        <f>IF(ISBLANK('ALL Other SINs - Proposal'!X616)," ",'ALL Other SINs - Proposal'!X616)</f>
        <v xml:space="preserve"> </v>
      </c>
      <c r="K616" s="165" t="str">
        <f>IF(ISBLANK('ALL Other SINs - Proposal'!AA616)," ",'ALL Other SINs - Proposal'!AA616)</f>
        <v xml:space="preserve"> </v>
      </c>
      <c r="L616" s="178" t="str">
        <f>IF(ISBLANK('ALL Other SINs - Proposal'!AB616)," ",'ALL Other SINs - Proposal'!AB616)</f>
        <v xml:space="preserve"> </v>
      </c>
      <c r="M616" s="72" t="str">
        <f t="shared" si="18"/>
        <v xml:space="preserve"> </v>
      </c>
      <c r="N616" s="167" t="str">
        <f t="shared" si="19"/>
        <v xml:space="preserve"> </v>
      </c>
    </row>
    <row r="617" spans="1:14" ht="15" x14ac:dyDescent="0.25">
      <c r="A617" s="131" t="str">
        <f>IF(ISBLANK('ALL Other SINs - Proposal'!A617)," ",'ALL Other SINs - Proposal'!A617)</f>
        <v xml:space="preserve"> </v>
      </c>
      <c r="B617" s="137" t="str">
        <f>IF(ISBLANK('ALL Other SINs - Proposal'!B617)," ",'ALL Other SINs - Proposal'!B617)</f>
        <v xml:space="preserve"> </v>
      </c>
      <c r="C617" s="137" t="str">
        <f>IF(ISBLANK('ALL Other SINs - Proposal'!C617)," ",'ALL Other SINs - Proposal'!C617)</f>
        <v xml:space="preserve"> </v>
      </c>
      <c r="D617" s="138" t="str">
        <f>IF(ISBLANK('ALL Other SINs - Proposal'!D617)," ",'ALL Other SINs - Proposal'!D617)</f>
        <v xml:space="preserve"> </v>
      </c>
      <c r="E617" s="69" t="str">
        <f>IF(ISBLANK('ALL Other SINs - Proposal'!R617)," ",'ALL Other SINs - Proposal'!R617)</f>
        <v xml:space="preserve"> </v>
      </c>
      <c r="F617" s="73" t="str">
        <f>IF(ISBLANK('ALL Other SINs - Proposal'!S617)," ",'ALL Other SINs - Proposal'!S617)</f>
        <v xml:space="preserve"> </v>
      </c>
      <c r="G617" s="173" t="str">
        <f>IF(ISBLANK('ALL Other SINs - Proposal'!T617)," ",'ALL Other SINs - Proposal'!T617)</f>
        <v xml:space="preserve"> </v>
      </c>
      <c r="H617" s="275" t="str">
        <f>IF(ISBLANK('ALL Other SINs - Proposal'!V617)," ",'ALL Other SINs - Proposal'!V617)</f>
        <v xml:space="preserve"> </v>
      </c>
      <c r="I617" s="271" t="str">
        <f>IF(ISBLANK('ALL Other SINs - Proposal'!W617)," ",'ALL Other SINs - Proposal'!W617)</f>
        <v xml:space="preserve"> </v>
      </c>
      <c r="J617" s="71" t="str">
        <f>IF(ISBLANK('ALL Other SINs - Proposal'!X617)," ",'ALL Other SINs - Proposal'!X617)</f>
        <v xml:space="preserve"> </v>
      </c>
      <c r="K617" s="165" t="str">
        <f>IF(ISBLANK('ALL Other SINs - Proposal'!AA617)," ",'ALL Other SINs - Proposal'!AA617)</f>
        <v xml:space="preserve"> </v>
      </c>
      <c r="L617" s="178" t="str">
        <f>IF(ISBLANK('ALL Other SINs - Proposal'!AB617)," ",'ALL Other SINs - Proposal'!AB617)</f>
        <v xml:space="preserve"> </v>
      </c>
      <c r="M617" s="72" t="str">
        <f t="shared" si="18"/>
        <v xml:space="preserve"> </v>
      </c>
      <c r="N617" s="167" t="str">
        <f t="shared" si="19"/>
        <v xml:space="preserve"> </v>
      </c>
    </row>
    <row r="618" spans="1:14" ht="15" x14ac:dyDescent="0.25">
      <c r="A618" s="131" t="str">
        <f>IF(ISBLANK('ALL Other SINs - Proposal'!A618)," ",'ALL Other SINs - Proposal'!A618)</f>
        <v xml:space="preserve"> </v>
      </c>
      <c r="B618" s="137" t="str">
        <f>IF(ISBLANK('ALL Other SINs - Proposal'!B618)," ",'ALL Other SINs - Proposal'!B618)</f>
        <v xml:space="preserve"> </v>
      </c>
      <c r="C618" s="137" t="str">
        <f>IF(ISBLANK('ALL Other SINs - Proposal'!C618)," ",'ALL Other SINs - Proposal'!C618)</f>
        <v xml:space="preserve"> </v>
      </c>
      <c r="D618" s="138" t="str">
        <f>IF(ISBLANK('ALL Other SINs - Proposal'!D618)," ",'ALL Other SINs - Proposal'!D618)</f>
        <v xml:space="preserve"> </v>
      </c>
      <c r="E618" s="69" t="str">
        <f>IF(ISBLANK('ALL Other SINs - Proposal'!R618)," ",'ALL Other SINs - Proposal'!R618)</f>
        <v xml:space="preserve"> </v>
      </c>
      <c r="F618" s="73" t="str">
        <f>IF(ISBLANK('ALL Other SINs - Proposal'!S618)," ",'ALL Other SINs - Proposal'!S618)</f>
        <v xml:space="preserve"> </v>
      </c>
      <c r="G618" s="173" t="str">
        <f>IF(ISBLANK('ALL Other SINs - Proposal'!T618)," ",'ALL Other SINs - Proposal'!T618)</f>
        <v xml:space="preserve"> </v>
      </c>
      <c r="H618" s="275" t="str">
        <f>IF(ISBLANK('ALL Other SINs - Proposal'!V618)," ",'ALL Other SINs - Proposal'!V618)</f>
        <v xml:space="preserve"> </v>
      </c>
      <c r="I618" s="271" t="str">
        <f>IF(ISBLANK('ALL Other SINs - Proposal'!W618)," ",'ALL Other SINs - Proposal'!W618)</f>
        <v xml:space="preserve"> </v>
      </c>
      <c r="J618" s="71" t="str">
        <f>IF(ISBLANK('ALL Other SINs - Proposal'!X618)," ",'ALL Other SINs - Proposal'!X618)</f>
        <v xml:space="preserve"> </v>
      </c>
      <c r="K618" s="165" t="str">
        <f>IF(ISBLANK('ALL Other SINs - Proposal'!AA618)," ",'ALL Other SINs - Proposal'!AA618)</f>
        <v xml:space="preserve"> </v>
      </c>
      <c r="L618" s="178" t="str">
        <f>IF(ISBLANK('ALL Other SINs - Proposal'!AB618)," ",'ALL Other SINs - Proposal'!AB618)</f>
        <v xml:space="preserve"> </v>
      </c>
      <c r="M618" s="72" t="str">
        <f t="shared" si="18"/>
        <v xml:space="preserve"> </v>
      </c>
      <c r="N618" s="167" t="str">
        <f t="shared" si="19"/>
        <v xml:space="preserve"> </v>
      </c>
    </row>
    <row r="619" spans="1:14" ht="15" x14ac:dyDescent="0.25">
      <c r="A619" s="131" t="str">
        <f>IF(ISBLANK('ALL Other SINs - Proposal'!A619)," ",'ALL Other SINs - Proposal'!A619)</f>
        <v xml:space="preserve"> </v>
      </c>
      <c r="B619" s="137" t="str">
        <f>IF(ISBLANK('ALL Other SINs - Proposal'!B619)," ",'ALL Other SINs - Proposal'!B619)</f>
        <v xml:space="preserve"> </v>
      </c>
      <c r="C619" s="137" t="str">
        <f>IF(ISBLANK('ALL Other SINs - Proposal'!C619)," ",'ALL Other SINs - Proposal'!C619)</f>
        <v xml:space="preserve"> </v>
      </c>
      <c r="D619" s="138" t="str">
        <f>IF(ISBLANK('ALL Other SINs - Proposal'!D619)," ",'ALL Other SINs - Proposal'!D619)</f>
        <v xml:space="preserve"> </v>
      </c>
      <c r="E619" s="69" t="str">
        <f>IF(ISBLANK('ALL Other SINs - Proposal'!R619)," ",'ALL Other SINs - Proposal'!R619)</f>
        <v xml:space="preserve"> </v>
      </c>
      <c r="F619" s="73" t="str">
        <f>IF(ISBLANK('ALL Other SINs - Proposal'!S619)," ",'ALL Other SINs - Proposal'!S619)</f>
        <v xml:space="preserve"> </v>
      </c>
      <c r="G619" s="173" t="str">
        <f>IF(ISBLANK('ALL Other SINs - Proposal'!T619)," ",'ALL Other SINs - Proposal'!T619)</f>
        <v xml:space="preserve"> </v>
      </c>
      <c r="H619" s="275" t="str">
        <f>IF(ISBLANK('ALL Other SINs - Proposal'!V619)," ",'ALL Other SINs - Proposal'!V619)</f>
        <v xml:space="preserve"> </v>
      </c>
      <c r="I619" s="271" t="str">
        <f>IF(ISBLANK('ALL Other SINs - Proposal'!W619)," ",'ALL Other SINs - Proposal'!W619)</f>
        <v xml:space="preserve"> </v>
      </c>
      <c r="J619" s="71" t="str">
        <f>IF(ISBLANK('ALL Other SINs - Proposal'!X619)," ",'ALL Other SINs - Proposal'!X619)</f>
        <v xml:space="preserve"> </v>
      </c>
      <c r="K619" s="165" t="str">
        <f>IF(ISBLANK('ALL Other SINs - Proposal'!AA619)," ",'ALL Other SINs - Proposal'!AA619)</f>
        <v xml:space="preserve"> </v>
      </c>
      <c r="L619" s="178" t="str">
        <f>IF(ISBLANK('ALL Other SINs - Proposal'!AB619)," ",'ALL Other SINs - Proposal'!AB619)</f>
        <v xml:space="preserve"> </v>
      </c>
      <c r="M619" s="72" t="str">
        <f t="shared" si="18"/>
        <v xml:space="preserve"> </v>
      </c>
      <c r="N619" s="167" t="str">
        <f t="shared" si="19"/>
        <v xml:space="preserve"> </v>
      </c>
    </row>
    <row r="620" spans="1:14" ht="15" x14ac:dyDescent="0.25">
      <c r="A620" s="131" t="str">
        <f>IF(ISBLANK('ALL Other SINs - Proposal'!A620)," ",'ALL Other SINs - Proposal'!A620)</f>
        <v xml:space="preserve"> </v>
      </c>
      <c r="B620" s="137" t="str">
        <f>IF(ISBLANK('ALL Other SINs - Proposal'!B620)," ",'ALL Other SINs - Proposal'!B620)</f>
        <v xml:space="preserve"> </v>
      </c>
      <c r="C620" s="137" t="str">
        <f>IF(ISBLANK('ALL Other SINs - Proposal'!C620)," ",'ALL Other SINs - Proposal'!C620)</f>
        <v xml:space="preserve"> </v>
      </c>
      <c r="D620" s="138" t="str">
        <f>IF(ISBLANK('ALL Other SINs - Proposal'!D620)," ",'ALL Other SINs - Proposal'!D620)</f>
        <v xml:space="preserve"> </v>
      </c>
      <c r="E620" s="69" t="str">
        <f>IF(ISBLANK('ALL Other SINs - Proposal'!R620)," ",'ALL Other SINs - Proposal'!R620)</f>
        <v xml:space="preserve"> </v>
      </c>
      <c r="F620" s="73" t="str">
        <f>IF(ISBLANK('ALL Other SINs - Proposal'!S620)," ",'ALL Other SINs - Proposal'!S620)</f>
        <v xml:space="preserve"> </v>
      </c>
      <c r="G620" s="173" t="str">
        <f>IF(ISBLANK('ALL Other SINs - Proposal'!T620)," ",'ALL Other SINs - Proposal'!T620)</f>
        <v xml:space="preserve"> </v>
      </c>
      <c r="H620" s="275" t="str">
        <f>IF(ISBLANK('ALL Other SINs - Proposal'!V620)," ",'ALL Other SINs - Proposal'!V620)</f>
        <v xml:space="preserve"> </v>
      </c>
      <c r="I620" s="271" t="str">
        <f>IF(ISBLANK('ALL Other SINs - Proposal'!W620)," ",'ALL Other SINs - Proposal'!W620)</f>
        <v xml:space="preserve"> </v>
      </c>
      <c r="J620" s="71" t="str">
        <f>IF(ISBLANK('ALL Other SINs - Proposal'!X620)," ",'ALL Other SINs - Proposal'!X620)</f>
        <v xml:space="preserve"> </v>
      </c>
      <c r="K620" s="165" t="str">
        <f>IF(ISBLANK('ALL Other SINs - Proposal'!AA620)," ",'ALL Other SINs - Proposal'!AA620)</f>
        <v xml:space="preserve"> </v>
      </c>
      <c r="L620" s="178" t="str">
        <f>IF(ISBLANK('ALL Other SINs - Proposal'!AB620)," ",'ALL Other SINs - Proposal'!AB620)</f>
        <v xml:space="preserve"> </v>
      </c>
      <c r="M620" s="72" t="str">
        <f t="shared" si="18"/>
        <v xml:space="preserve"> </v>
      </c>
      <c r="N620" s="167" t="str">
        <f t="shared" si="19"/>
        <v xml:space="preserve"> </v>
      </c>
    </row>
    <row r="621" spans="1:14" ht="15" x14ac:dyDescent="0.25">
      <c r="A621" s="131" t="str">
        <f>IF(ISBLANK('ALL Other SINs - Proposal'!A621)," ",'ALL Other SINs - Proposal'!A621)</f>
        <v xml:space="preserve"> </v>
      </c>
      <c r="B621" s="137" t="str">
        <f>IF(ISBLANK('ALL Other SINs - Proposal'!B621)," ",'ALL Other SINs - Proposal'!B621)</f>
        <v xml:space="preserve"> </v>
      </c>
      <c r="C621" s="137" t="str">
        <f>IF(ISBLANK('ALL Other SINs - Proposal'!C621)," ",'ALL Other SINs - Proposal'!C621)</f>
        <v xml:space="preserve"> </v>
      </c>
      <c r="D621" s="138" t="str">
        <f>IF(ISBLANK('ALL Other SINs - Proposal'!D621)," ",'ALL Other SINs - Proposal'!D621)</f>
        <v xml:space="preserve"> </v>
      </c>
      <c r="E621" s="69" t="str">
        <f>IF(ISBLANK('ALL Other SINs - Proposal'!R621)," ",'ALL Other SINs - Proposal'!R621)</f>
        <v xml:space="preserve"> </v>
      </c>
      <c r="F621" s="73" t="str">
        <f>IF(ISBLANK('ALL Other SINs - Proposal'!S621)," ",'ALL Other SINs - Proposal'!S621)</f>
        <v xml:space="preserve"> </v>
      </c>
      <c r="G621" s="173" t="str">
        <f>IF(ISBLANK('ALL Other SINs - Proposal'!T621)," ",'ALL Other SINs - Proposal'!T621)</f>
        <v xml:space="preserve"> </v>
      </c>
      <c r="H621" s="275" t="str">
        <f>IF(ISBLANK('ALL Other SINs - Proposal'!V621)," ",'ALL Other SINs - Proposal'!V621)</f>
        <v xml:space="preserve"> </v>
      </c>
      <c r="I621" s="271" t="str">
        <f>IF(ISBLANK('ALL Other SINs - Proposal'!W621)," ",'ALL Other SINs - Proposal'!W621)</f>
        <v xml:space="preserve"> </v>
      </c>
      <c r="J621" s="71" t="str">
        <f>IF(ISBLANK('ALL Other SINs - Proposal'!X621)," ",'ALL Other SINs - Proposal'!X621)</f>
        <v xml:space="preserve"> </v>
      </c>
      <c r="K621" s="165" t="str">
        <f>IF(ISBLANK('ALL Other SINs - Proposal'!AA621)," ",'ALL Other SINs - Proposal'!AA621)</f>
        <v xml:space="preserve"> </v>
      </c>
      <c r="L621" s="178" t="str">
        <f>IF(ISBLANK('ALL Other SINs - Proposal'!AB621)," ",'ALL Other SINs - Proposal'!AB621)</f>
        <v xml:space="preserve"> </v>
      </c>
      <c r="M621" s="72" t="str">
        <f t="shared" si="18"/>
        <v xml:space="preserve"> </v>
      </c>
      <c r="N621" s="167" t="str">
        <f t="shared" si="19"/>
        <v xml:space="preserve"> </v>
      </c>
    </row>
    <row r="622" spans="1:14" ht="15" x14ac:dyDescent="0.25">
      <c r="A622" s="131" t="str">
        <f>IF(ISBLANK('ALL Other SINs - Proposal'!A622)," ",'ALL Other SINs - Proposal'!A622)</f>
        <v xml:space="preserve"> </v>
      </c>
      <c r="B622" s="137" t="str">
        <f>IF(ISBLANK('ALL Other SINs - Proposal'!B622)," ",'ALL Other SINs - Proposal'!B622)</f>
        <v xml:space="preserve"> </v>
      </c>
      <c r="C622" s="137" t="str">
        <f>IF(ISBLANK('ALL Other SINs - Proposal'!C622)," ",'ALL Other SINs - Proposal'!C622)</f>
        <v xml:space="preserve"> </v>
      </c>
      <c r="D622" s="138" t="str">
        <f>IF(ISBLANK('ALL Other SINs - Proposal'!D622)," ",'ALL Other SINs - Proposal'!D622)</f>
        <v xml:space="preserve"> </v>
      </c>
      <c r="E622" s="69" t="str">
        <f>IF(ISBLANK('ALL Other SINs - Proposal'!R622)," ",'ALL Other SINs - Proposal'!R622)</f>
        <v xml:space="preserve"> </v>
      </c>
      <c r="F622" s="73" t="str">
        <f>IF(ISBLANK('ALL Other SINs - Proposal'!S622)," ",'ALL Other SINs - Proposal'!S622)</f>
        <v xml:space="preserve"> </v>
      </c>
      <c r="G622" s="173" t="str">
        <f>IF(ISBLANK('ALL Other SINs - Proposal'!T622)," ",'ALL Other SINs - Proposal'!T622)</f>
        <v xml:space="preserve"> </v>
      </c>
      <c r="H622" s="275" t="str">
        <f>IF(ISBLANK('ALL Other SINs - Proposal'!V622)," ",'ALL Other SINs - Proposal'!V622)</f>
        <v xml:space="preserve"> </v>
      </c>
      <c r="I622" s="271" t="str">
        <f>IF(ISBLANK('ALL Other SINs - Proposal'!W622)," ",'ALL Other SINs - Proposal'!W622)</f>
        <v xml:space="preserve"> </v>
      </c>
      <c r="J622" s="71" t="str">
        <f>IF(ISBLANK('ALL Other SINs - Proposal'!X622)," ",'ALL Other SINs - Proposal'!X622)</f>
        <v xml:space="preserve"> </v>
      </c>
      <c r="K622" s="165" t="str">
        <f>IF(ISBLANK('ALL Other SINs - Proposal'!AA622)," ",'ALL Other SINs - Proposal'!AA622)</f>
        <v xml:space="preserve"> </v>
      </c>
      <c r="L622" s="178" t="str">
        <f>IF(ISBLANK('ALL Other SINs - Proposal'!AB622)," ",'ALL Other SINs - Proposal'!AB622)</f>
        <v xml:space="preserve"> </v>
      </c>
      <c r="M622" s="72" t="str">
        <f t="shared" si="18"/>
        <v xml:space="preserve"> </v>
      </c>
      <c r="N622" s="167" t="str">
        <f t="shared" si="19"/>
        <v xml:space="preserve"> </v>
      </c>
    </row>
    <row r="623" spans="1:14" ht="15" x14ac:dyDescent="0.25">
      <c r="A623" s="131" t="str">
        <f>IF(ISBLANK('ALL Other SINs - Proposal'!A623)," ",'ALL Other SINs - Proposal'!A623)</f>
        <v xml:space="preserve"> </v>
      </c>
      <c r="B623" s="137" t="str">
        <f>IF(ISBLANK('ALL Other SINs - Proposal'!B623)," ",'ALL Other SINs - Proposal'!B623)</f>
        <v xml:space="preserve"> </v>
      </c>
      <c r="C623" s="137" t="str">
        <f>IF(ISBLANK('ALL Other SINs - Proposal'!C623)," ",'ALL Other SINs - Proposal'!C623)</f>
        <v xml:space="preserve"> </v>
      </c>
      <c r="D623" s="138" t="str">
        <f>IF(ISBLANK('ALL Other SINs - Proposal'!D623)," ",'ALL Other SINs - Proposal'!D623)</f>
        <v xml:space="preserve"> </v>
      </c>
      <c r="E623" s="69" t="str">
        <f>IF(ISBLANK('ALL Other SINs - Proposal'!R623)," ",'ALL Other SINs - Proposal'!R623)</f>
        <v xml:space="preserve"> </v>
      </c>
      <c r="F623" s="73" t="str">
        <f>IF(ISBLANK('ALL Other SINs - Proposal'!S623)," ",'ALL Other SINs - Proposal'!S623)</f>
        <v xml:space="preserve"> </v>
      </c>
      <c r="G623" s="173" t="str">
        <f>IF(ISBLANK('ALL Other SINs - Proposal'!T623)," ",'ALL Other SINs - Proposal'!T623)</f>
        <v xml:space="preserve"> </v>
      </c>
      <c r="H623" s="275" t="str">
        <f>IF(ISBLANK('ALL Other SINs - Proposal'!V623)," ",'ALL Other SINs - Proposal'!V623)</f>
        <v xml:space="preserve"> </v>
      </c>
      <c r="I623" s="271" t="str">
        <f>IF(ISBLANK('ALL Other SINs - Proposal'!W623)," ",'ALL Other SINs - Proposal'!W623)</f>
        <v xml:space="preserve"> </v>
      </c>
      <c r="J623" s="71" t="str">
        <f>IF(ISBLANK('ALL Other SINs - Proposal'!X623)," ",'ALL Other SINs - Proposal'!X623)</f>
        <v xml:space="preserve"> </v>
      </c>
      <c r="K623" s="165" t="str">
        <f>IF(ISBLANK('ALL Other SINs - Proposal'!AA623)," ",'ALL Other SINs - Proposal'!AA623)</f>
        <v xml:space="preserve"> </v>
      </c>
      <c r="L623" s="178" t="str">
        <f>IF(ISBLANK('ALL Other SINs - Proposal'!AB623)," ",'ALL Other SINs - Proposal'!AB623)</f>
        <v xml:space="preserve"> </v>
      </c>
      <c r="M623" s="72" t="str">
        <f t="shared" si="18"/>
        <v xml:space="preserve"> </v>
      </c>
      <c r="N623" s="167" t="str">
        <f t="shared" si="19"/>
        <v xml:space="preserve"> </v>
      </c>
    </row>
    <row r="624" spans="1:14" ht="15" x14ac:dyDescent="0.25">
      <c r="A624" s="131" t="str">
        <f>IF(ISBLANK('ALL Other SINs - Proposal'!A624)," ",'ALL Other SINs - Proposal'!A624)</f>
        <v xml:space="preserve"> </v>
      </c>
      <c r="B624" s="137" t="str">
        <f>IF(ISBLANK('ALL Other SINs - Proposal'!B624)," ",'ALL Other SINs - Proposal'!B624)</f>
        <v xml:space="preserve"> </v>
      </c>
      <c r="C624" s="137" t="str">
        <f>IF(ISBLANK('ALL Other SINs - Proposal'!C624)," ",'ALL Other SINs - Proposal'!C624)</f>
        <v xml:space="preserve"> </v>
      </c>
      <c r="D624" s="138" t="str">
        <f>IF(ISBLANK('ALL Other SINs - Proposal'!D624)," ",'ALL Other SINs - Proposal'!D624)</f>
        <v xml:space="preserve"> </v>
      </c>
      <c r="E624" s="69" t="str">
        <f>IF(ISBLANK('ALL Other SINs - Proposal'!R624)," ",'ALL Other SINs - Proposal'!R624)</f>
        <v xml:space="preserve"> </v>
      </c>
      <c r="F624" s="73" t="str">
        <f>IF(ISBLANK('ALL Other SINs - Proposal'!S624)," ",'ALL Other SINs - Proposal'!S624)</f>
        <v xml:space="preserve"> </v>
      </c>
      <c r="G624" s="173" t="str">
        <f>IF(ISBLANK('ALL Other SINs - Proposal'!T624)," ",'ALL Other SINs - Proposal'!T624)</f>
        <v xml:space="preserve"> </v>
      </c>
      <c r="H624" s="275" t="str">
        <f>IF(ISBLANK('ALL Other SINs - Proposal'!V624)," ",'ALL Other SINs - Proposal'!V624)</f>
        <v xml:space="preserve"> </v>
      </c>
      <c r="I624" s="271" t="str">
        <f>IF(ISBLANK('ALL Other SINs - Proposal'!W624)," ",'ALL Other SINs - Proposal'!W624)</f>
        <v xml:space="preserve"> </v>
      </c>
      <c r="J624" s="71" t="str">
        <f>IF(ISBLANK('ALL Other SINs - Proposal'!X624)," ",'ALL Other SINs - Proposal'!X624)</f>
        <v xml:space="preserve"> </v>
      </c>
      <c r="K624" s="165" t="str">
        <f>IF(ISBLANK('ALL Other SINs - Proposal'!AA624)," ",'ALL Other SINs - Proposal'!AA624)</f>
        <v xml:space="preserve"> </v>
      </c>
      <c r="L624" s="178" t="str">
        <f>IF(ISBLANK('ALL Other SINs - Proposal'!AB624)," ",'ALL Other SINs - Proposal'!AB624)</f>
        <v xml:space="preserve"> </v>
      </c>
      <c r="M624" s="72" t="str">
        <f t="shared" si="18"/>
        <v xml:space="preserve"> </v>
      </c>
      <c r="N624" s="167" t="str">
        <f t="shared" si="19"/>
        <v xml:space="preserve"> </v>
      </c>
    </row>
    <row r="625" spans="1:14" ht="15" x14ac:dyDescent="0.25">
      <c r="A625" s="131" t="str">
        <f>IF(ISBLANK('ALL Other SINs - Proposal'!A625)," ",'ALL Other SINs - Proposal'!A625)</f>
        <v xml:space="preserve"> </v>
      </c>
      <c r="B625" s="137" t="str">
        <f>IF(ISBLANK('ALL Other SINs - Proposal'!B625)," ",'ALL Other SINs - Proposal'!B625)</f>
        <v xml:space="preserve"> </v>
      </c>
      <c r="C625" s="137" t="str">
        <f>IF(ISBLANK('ALL Other SINs - Proposal'!C625)," ",'ALL Other SINs - Proposal'!C625)</f>
        <v xml:space="preserve"> </v>
      </c>
      <c r="D625" s="138" t="str">
        <f>IF(ISBLANK('ALL Other SINs - Proposal'!D625)," ",'ALL Other SINs - Proposal'!D625)</f>
        <v xml:space="preserve"> </v>
      </c>
      <c r="E625" s="69" t="str">
        <f>IF(ISBLANK('ALL Other SINs - Proposal'!R625)," ",'ALL Other SINs - Proposal'!R625)</f>
        <v xml:space="preserve"> </v>
      </c>
      <c r="F625" s="73" t="str">
        <f>IF(ISBLANK('ALL Other SINs - Proposal'!S625)," ",'ALL Other SINs - Proposal'!S625)</f>
        <v xml:space="preserve"> </v>
      </c>
      <c r="G625" s="173" t="str">
        <f>IF(ISBLANK('ALL Other SINs - Proposal'!T625)," ",'ALL Other SINs - Proposal'!T625)</f>
        <v xml:space="preserve"> </v>
      </c>
      <c r="H625" s="275" t="str">
        <f>IF(ISBLANK('ALL Other SINs - Proposal'!V625)," ",'ALL Other SINs - Proposal'!V625)</f>
        <v xml:space="preserve"> </v>
      </c>
      <c r="I625" s="271" t="str">
        <f>IF(ISBLANK('ALL Other SINs - Proposal'!W625)," ",'ALL Other SINs - Proposal'!W625)</f>
        <v xml:space="preserve"> </v>
      </c>
      <c r="J625" s="71" t="str">
        <f>IF(ISBLANK('ALL Other SINs - Proposal'!X625)," ",'ALL Other SINs - Proposal'!X625)</f>
        <v xml:space="preserve"> </v>
      </c>
      <c r="K625" s="165" t="str">
        <f>IF(ISBLANK('ALL Other SINs - Proposal'!AA625)," ",'ALL Other SINs - Proposal'!AA625)</f>
        <v xml:space="preserve"> </v>
      </c>
      <c r="L625" s="178" t="str">
        <f>IF(ISBLANK('ALL Other SINs - Proposal'!AB625)," ",'ALL Other SINs - Proposal'!AB625)</f>
        <v xml:space="preserve"> </v>
      </c>
      <c r="M625" s="72" t="str">
        <f t="shared" si="18"/>
        <v xml:space="preserve"> </v>
      </c>
      <c r="N625" s="167" t="str">
        <f t="shared" si="19"/>
        <v xml:space="preserve"> </v>
      </c>
    </row>
    <row r="626" spans="1:14" ht="15" x14ac:dyDescent="0.25">
      <c r="A626" s="131" t="str">
        <f>IF(ISBLANK('ALL Other SINs - Proposal'!A626)," ",'ALL Other SINs - Proposal'!A626)</f>
        <v xml:space="preserve"> </v>
      </c>
      <c r="B626" s="137" t="str">
        <f>IF(ISBLANK('ALL Other SINs - Proposal'!B626)," ",'ALL Other SINs - Proposal'!B626)</f>
        <v xml:space="preserve"> </v>
      </c>
      <c r="C626" s="137" t="str">
        <f>IF(ISBLANK('ALL Other SINs - Proposal'!C626)," ",'ALL Other SINs - Proposal'!C626)</f>
        <v xml:space="preserve"> </v>
      </c>
      <c r="D626" s="138" t="str">
        <f>IF(ISBLANK('ALL Other SINs - Proposal'!D626)," ",'ALL Other SINs - Proposal'!D626)</f>
        <v xml:space="preserve"> </v>
      </c>
      <c r="E626" s="69" t="str">
        <f>IF(ISBLANK('ALL Other SINs - Proposal'!R626)," ",'ALL Other SINs - Proposal'!R626)</f>
        <v xml:space="preserve"> </v>
      </c>
      <c r="F626" s="73" t="str">
        <f>IF(ISBLANK('ALL Other SINs - Proposal'!S626)," ",'ALL Other SINs - Proposal'!S626)</f>
        <v xml:space="preserve"> </v>
      </c>
      <c r="G626" s="173" t="str">
        <f>IF(ISBLANK('ALL Other SINs - Proposal'!T626)," ",'ALL Other SINs - Proposal'!T626)</f>
        <v xml:space="preserve"> </v>
      </c>
      <c r="H626" s="275" t="str">
        <f>IF(ISBLANK('ALL Other SINs - Proposal'!V626)," ",'ALL Other SINs - Proposal'!V626)</f>
        <v xml:space="preserve"> </v>
      </c>
      <c r="I626" s="271" t="str">
        <f>IF(ISBLANK('ALL Other SINs - Proposal'!W626)," ",'ALL Other SINs - Proposal'!W626)</f>
        <v xml:space="preserve"> </v>
      </c>
      <c r="J626" s="71" t="str">
        <f>IF(ISBLANK('ALL Other SINs - Proposal'!X626)," ",'ALL Other SINs - Proposal'!X626)</f>
        <v xml:space="preserve"> </v>
      </c>
      <c r="K626" s="165" t="str">
        <f>IF(ISBLANK('ALL Other SINs - Proposal'!AA626)," ",'ALL Other SINs - Proposal'!AA626)</f>
        <v xml:space="preserve"> </v>
      </c>
      <c r="L626" s="178" t="str">
        <f>IF(ISBLANK('ALL Other SINs - Proposal'!AB626)," ",'ALL Other SINs - Proposal'!AB626)</f>
        <v xml:space="preserve"> </v>
      </c>
      <c r="M626" s="72" t="str">
        <f t="shared" si="18"/>
        <v xml:space="preserve"> </v>
      </c>
      <c r="N626" s="167" t="str">
        <f t="shared" si="19"/>
        <v xml:space="preserve"> </v>
      </c>
    </row>
    <row r="627" spans="1:14" ht="15" x14ac:dyDescent="0.25">
      <c r="A627" s="131" t="str">
        <f>IF(ISBLANK('ALL Other SINs - Proposal'!A627)," ",'ALL Other SINs - Proposal'!A627)</f>
        <v xml:space="preserve"> </v>
      </c>
      <c r="B627" s="137" t="str">
        <f>IF(ISBLANK('ALL Other SINs - Proposal'!B627)," ",'ALL Other SINs - Proposal'!B627)</f>
        <v xml:space="preserve"> </v>
      </c>
      <c r="C627" s="137" t="str">
        <f>IF(ISBLANK('ALL Other SINs - Proposal'!C627)," ",'ALL Other SINs - Proposal'!C627)</f>
        <v xml:space="preserve"> </v>
      </c>
      <c r="D627" s="138" t="str">
        <f>IF(ISBLANK('ALL Other SINs - Proposal'!D627)," ",'ALL Other SINs - Proposal'!D627)</f>
        <v xml:space="preserve"> </v>
      </c>
      <c r="E627" s="69" t="str">
        <f>IF(ISBLANK('ALL Other SINs - Proposal'!R627)," ",'ALL Other SINs - Proposal'!R627)</f>
        <v xml:space="preserve"> </v>
      </c>
      <c r="F627" s="73" t="str">
        <f>IF(ISBLANK('ALL Other SINs - Proposal'!S627)," ",'ALL Other SINs - Proposal'!S627)</f>
        <v xml:space="preserve"> </v>
      </c>
      <c r="G627" s="173" t="str">
        <f>IF(ISBLANK('ALL Other SINs - Proposal'!T627)," ",'ALL Other SINs - Proposal'!T627)</f>
        <v xml:space="preserve"> </v>
      </c>
      <c r="H627" s="275" t="str">
        <f>IF(ISBLANK('ALL Other SINs - Proposal'!V627)," ",'ALL Other SINs - Proposal'!V627)</f>
        <v xml:space="preserve"> </v>
      </c>
      <c r="I627" s="271" t="str">
        <f>IF(ISBLANK('ALL Other SINs - Proposal'!W627)," ",'ALL Other SINs - Proposal'!W627)</f>
        <v xml:space="preserve"> </v>
      </c>
      <c r="J627" s="71" t="str">
        <f>IF(ISBLANK('ALL Other SINs - Proposal'!X627)," ",'ALL Other SINs - Proposal'!X627)</f>
        <v xml:space="preserve"> </v>
      </c>
      <c r="K627" s="165" t="str">
        <f>IF(ISBLANK('ALL Other SINs - Proposal'!AA627)," ",'ALL Other SINs - Proposal'!AA627)</f>
        <v xml:space="preserve"> </v>
      </c>
      <c r="L627" s="178" t="str">
        <f>IF(ISBLANK('ALL Other SINs - Proposal'!AB627)," ",'ALL Other SINs - Proposal'!AB627)</f>
        <v xml:space="preserve"> </v>
      </c>
      <c r="M627" s="72" t="str">
        <f t="shared" si="18"/>
        <v xml:space="preserve"> </v>
      </c>
      <c r="N627" s="167" t="str">
        <f t="shared" si="19"/>
        <v xml:space="preserve"> </v>
      </c>
    </row>
    <row r="628" spans="1:14" ht="15" x14ac:dyDescent="0.25">
      <c r="A628" s="131" t="str">
        <f>IF(ISBLANK('ALL Other SINs - Proposal'!A628)," ",'ALL Other SINs - Proposal'!A628)</f>
        <v xml:space="preserve"> </v>
      </c>
      <c r="B628" s="137" t="str">
        <f>IF(ISBLANK('ALL Other SINs - Proposal'!B628)," ",'ALL Other SINs - Proposal'!B628)</f>
        <v xml:space="preserve"> </v>
      </c>
      <c r="C628" s="137" t="str">
        <f>IF(ISBLANK('ALL Other SINs - Proposal'!C628)," ",'ALL Other SINs - Proposal'!C628)</f>
        <v xml:space="preserve"> </v>
      </c>
      <c r="D628" s="138" t="str">
        <f>IF(ISBLANK('ALL Other SINs - Proposal'!D628)," ",'ALL Other SINs - Proposal'!D628)</f>
        <v xml:space="preserve"> </v>
      </c>
      <c r="E628" s="69" t="str">
        <f>IF(ISBLANK('ALL Other SINs - Proposal'!R628)," ",'ALL Other SINs - Proposal'!R628)</f>
        <v xml:space="preserve"> </v>
      </c>
      <c r="F628" s="73" t="str">
        <f>IF(ISBLANK('ALL Other SINs - Proposal'!S628)," ",'ALL Other SINs - Proposal'!S628)</f>
        <v xml:space="preserve"> </v>
      </c>
      <c r="G628" s="173" t="str">
        <f>IF(ISBLANK('ALL Other SINs - Proposal'!T628)," ",'ALL Other SINs - Proposal'!T628)</f>
        <v xml:space="preserve"> </v>
      </c>
      <c r="H628" s="275" t="str">
        <f>IF(ISBLANK('ALL Other SINs - Proposal'!V628)," ",'ALL Other SINs - Proposal'!V628)</f>
        <v xml:space="preserve"> </v>
      </c>
      <c r="I628" s="271" t="str">
        <f>IF(ISBLANK('ALL Other SINs - Proposal'!W628)," ",'ALL Other SINs - Proposal'!W628)</f>
        <v xml:space="preserve"> </v>
      </c>
      <c r="J628" s="71" t="str">
        <f>IF(ISBLANK('ALL Other SINs - Proposal'!X628)," ",'ALL Other SINs - Proposal'!X628)</f>
        <v xml:space="preserve"> </v>
      </c>
      <c r="K628" s="165" t="str">
        <f>IF(ISBLANK('ALL Other SINs - Proposal'!AA628)," ",'ALL Other SINs - Proposal'!AA628)</f>
        <v xml:space="preserve"> </v>
      </c>
      <c r="L628" s="178" t="str">
        <f>IF(ISBLANK('ALL Other SINs - Proposal'!AB628)," ",'ALL Other SINs - Proposal'!AB628)</f>
        <v xml:space="preserve"> </v>
      </c>
      <c r="M628" s="72" t="str">
        <f t="shared" si="18"/>
        <v xml:space="preserve"> </v>
      </c>
      <c r="N628" s="167" t="str">
        <f t="shared" si="19"/>
        <v xml:space="preserve"> </v>
      </c>
    </row>
    <row r="629" spans="1:14" ht="15" x14ac:dyDescent="0.25">
      <c r="A629" s="131" t="str">
        <f>IF(ISBLANK('ALL Other SINs - Proposal'!A629)," ",'ALL Other SINs - Proposal'!A629)</f>
        <v xml:space="preserve"> </v>
      </c>
      <c r="B629" s="137" t="str">
        <f>IF(ISBLANK('ALL Other SINs - Proposal'!B629)," ",'ALL Other SINs - Proposal'!B629)</f>
        <v xml:space="preserve"> </v>
      </c>
      <c r="C629" s="137" t="str">
        <f>IF(ISBLANK('ALL Other SINs - Proposal'!C629)," ",'ALL Other SINs - Proposal'!C629)</f>
        <v xml:space="preserve"> </v>
      </c>
      <c r="D629" s="138" t="str">
        <f>IF(ISBLANK('ALL Other SINs - Proposal'!D629)," ",'ALL Other SINs - Proposal'!D629)</f>
        <v xml:space="preserve"> </v>
      </c>
      <c r="E629" s="69" t="str">
        <f>IF(ISBLANK('ALL Other SINs - Proposal'!R629)," ",'ALL Other SINs - Proposal'!R629)</f>
        <v xml:space="preserve"> </v>
      </c>
      <c r="F629" s="73" t="str">
        <f>IF(ISBLANK('ALL Other SINs - Proposal'!S629)," ",'ALL Other SINs - Proposal'!S629)</f>
        <v xml:space="preserve"> </v>
      </c>
      <c r="G629" s="173" t="str">
        <f>IF(ISBLANK('ALL Other SINs - Proposal'!T629)," ",'ALL Other SINs - Proposal'!T629)</f>
        <v xml:space="preserve"> </v>
      </c>
      <c r="H629" s="275" t="str">
        <f>IF(ISBLANK('ALL Other SINs - Proposal'!V629)," ",'ALL Other SINs - Proposal'!V629)</f>
        <v xml:space="preserve"> </v>
      </c>
      <c r="I629" s="271" t="str">
        <f>IF(ISBLANK('ALL Other SINs - Proposal'!W629)," ",'ALL Other SINs - Proposal'!W629)</f>
        <v xml:space="preserve"> </v>
      </c>
      <c r="J629" s="71" t="str">
        <f>IF(ISBLANK('ALL Other SINs - Proposal'!X629)," ",'ALL Other SINs - Proposal'!X629)</f>
        <v xml:space="preserve"> </v>
      </c>
      <c r="K629" s="165" t="str">
        <f>IF(ISBLANK('ALL Other SINs - Proposal'!AA629)," ",'ALL Other SINs - Proposal'!AA629)</f>
        <v xml:space="preserve"> </v>
      </c>
      <c r="L629" s="178" t="str">
        <f>IF(ISBLANK('ALL Other SINs - Proposal'!AB629)," ",'ALL Other SINs - Proposal'!AB629)</f>
        <v xml:space="preserve"> </v>
      </c>
      <c r="M629" s="72" t="str">
        <f t="shared" si="18"/>
        <v xml:space="preserve"> </v>
      </c>
      <c r="N629" s="167" t="str">
        <f t="shared" si="19"/>
        <v xml:space="preserve"> </v>
      </c>
    </row>
    <row r="630" spans="1:14" ht="15" x14ac:dyDescent="0.25">
      <c r="A630" s="131" t="str">
        <f>IF(ISBLANK('ALL Other SINs - Proposal'!A630)," ",'ALL Other SINs - Proposal'!A630)</f>
        <v xml:space="preserve"> </v>
      </c>
      <c r="B630" s="137" t="str">
        <f>IF(ISBLANK('ALL Other SINs - Proposal'!B630)," ",'ALL Other SINs - Proposal'!B630)</f>
        <v xml:space="preserve"> </v>
      </c>
      <c r="C630" s="137" t="str">
        <f>IF(ISBLANK('ALL Other SINs - Proposal'!C630)," ",'ALL Other SINs - Proposal'!C630)</f>
        <v xml:space="preserve"> </v>
      </c>
      <c r="D630" s="138" t="str">
        <f>IF(ISBLANK('ALL Other SINs - Proposal'!D630)," ",'ALL Other SINs - Proposal'!D630)</f>
        <v xml:space="preserve"> </v>
      </c>
      <c r="E630" s="69" t="str">
        <f>IF(ISBLANK('ALL Other SINs - Proposal'!R630)," ",'ALL Other SINs - Proposal'!R630)</f>
        <v xml:space="preserve"> </v>
      </c>
      <c r="F630" s="73" t="str">
        <f>IF(ISBLANK('ALL Other SINs - Proposal'!S630)," ",'ALL Other SINs - Proposal'!S630)</f>
        <v xml:space="preserve"> </v>
      </c>
      <c r="G630" s="173" t="str">
        <f>IF(ISBLANK('ALL Other SINs - Proposal'!T630)," ",'ALL Other SINs - Proposal'!T630)</f>
        <v xml:space="preserve"> </v>
      </c>
      <c r="H630" s="275" t="str">
        <f>IF(ISBLANK('ALL Other SINs - Proposal'!V630)," ",'ALL Other SINs - Proposal'!V630)</f>
        <v xml:space="preserve"> </v>
      </c>
      <c r="I630" s="271" t="str">
        <f>IF(ISBLANK('ALL Other SINs - Proposal'!W630)," ",'ALL Other SINs - Proposal'!W630)</f>
        <v xml:space="preserve"> </v>
      </c>
      <c r="J630" s="71" t="str">
        <f>IF(ISBLANK('ALL Other SINs - Proposal'!X630)," ",'ALL Other SINs - Proposal'!X630)</f>
        <v xml:space="preserve"> </v>
      </c>
      <c r="K630" s="165" t="str">
        <f>IF(ISBLANK('ALL Other SINs - Proposal'!AA630)," ",'ALL Other SINs - Proposal'!AA630)</f>
        <v xml:space="preserve"> </v>
      </c>
      <c r="L630" s="178" t="str">
        <f>IF(ISBLANK('ALL Other SINs - Proposal'!AB630)," ",'ALL Other SINs - Proposal'!AB630)</f>
        <v xml:space="preserve"> </v>
      </c>
      <c r="M630" s="72" t="str">
        <f t="shared" si="18"/>
        <v xml:space="preserve"> </v>
      </c>
      <c r="N630" s="167" t="str">
        <f t="shared" si="19"/>
        <v xml:space="preserve"> </v>
      </c>
    </row>
    <row r="631" spans="1:14" ht="15" x14ac:dyDescent="0.25">
      <c r="A631" s="131" t="str">
        <f>IF(ISBLANK('ALL Other SINs - Proposal'!A631)," ",'ALL Other SINs - Proposal'!A631)</f>
        <v xml:space="preserve"> </v>
      </c>
      <c r="B631" s="137" t="str">
        <f>IF(ISBLANK('ALL Other SINs - Proposal'!B631)," ",'ALL Other SINs - Proposal'!B631)</f>
        <v xml:space="preserve"> </v>
      </c>
      <c r="C631" s="137" t="str">
        <f>IF(ISBLANK('ALL Other SINs - Proposal'!C631)," ",'ALL Other SINs - Proposal'!C631)</f>
        <v xml:space="preserve"> </v>
      </c>
      <c r="D631" s="138" t="str">
        <f>IF(ISBLANK('ALL Other SINs - Proposal'!D631)," ",'ALL Other SINs - Proposal'!D631)</f>
        <v xml:space="preserve"> </v>
      </c>
      <c r="E631" s="69" t="str">
        <f>IF(ISBLANK('ALL Other SINs - Proposal'!R631)," ",'ALL Other SINs - Proposal'!R631)</f>
        <v xml:space="preserve"> </v>
      </c>
      <c r="F631" s="73" t="str">
        <f>IF(ISBLANK('ALL Other SINs - Proposal'!S631)," ",'ALL Other SINs - Proposal'!S631)</f>
        <v xml:space="preserve"> </v>
      </c>
      <c r="G631" s="173" t="str">
        <f>IF(ISBLANK('ALL Other SINs - Proposal'!T631)," ",'ALL Other SINs - Proposal'!T631)</f>
        <v xml:space="preserve"> </v>
      </c>
      <c r="H631" s="275" t="str">
        <f>IF(ISBLANK('ALL Other SINs - Proposal'!V631)," ",'ALL Other SINs - Proposal'!V631)</f>
        <v xml:space="preserve"> </v>
      </c>
      <c r="I631" s="271" t="str">
        <f>IF(ISBLANK('ALL Other SINs - Proposal'!W631)," ",'ALL Other SINs - Proposal'!W631)</f>
        <v xml:space="preserve"> </v>
      </c>
      <c r="J631" s="71" t="str">
        <f>IF(ISBLANK('ALL Other SINs - Proposal'!X631)," ",'ALL Other SINs - Proposal'!X631)</f>
        <v xml:space="preserve"> </v>
      </c>
      <c r="K631" s="165" t="str">
        <f>IF(ISBLANK('ALL Other SINs - Proposal'!AA631)," ",'ALL Other SINs - Proposal'!AA631)</f>
        <v xml:space="preserve"> </v>
      </c>
      <c r="L631" s="178" t="str">
        <f>IF(ISBLANK('ALL Other SINs - Proposal'!AB631)," ",'ALL Other SINs - Proposal'!AB631)</f>
        <v xml:space="preserve"> </v>
      </c>
      <c r="M631" s="72" t="str">
        <f t="shared" si="18"/>
        <v xml:space="preserve"> </v>
      </c>
      <c r="N631" s="167" t="str">
        <f t="shared" si="19"/>
        <v xml:space="preserve"> </v>
      </c>
    </row>
    <row r="632" spans="1:14" ht="15" x14ac:dyDescent="0.25">
      <c r="A632" s="131" t="str">
        <f>IF(ISBLANK('ALL Other SINs - Proposal'!A632)," ",'ALL Other SINs - Proposal'!A632)</f>
        <v xml:space="preserve"> </v>
      </c>
      <c r="B632" s="137" t="str">
        <f>IF(ISBLANK('ALL Other SINs - Proposal'!B632)," ",'ALL Other SINs - Proposal'!B632)</f>
        <v xml:space="preserve"> </v>
      </c>
      <c r="C632" s="137" t="str">
        <f>IF(ISBLANK('ALL Other SINs - Proposal'!C632)," ",'ALL Other SINs - Proposal'!C632)</f>
        <v xml:space="preserve"> </v>
      </c>
      <c r="D632" s="138" t="str">
        <f>IF(ISBLANK('ALL Other SINs - Proposal'!D632)," ",'ALL Other SINs - Proposal'!D632)</f>
        <v xml:space="preserve"> </v>
      </c>
      <c r="E632" s="69" t="str">
        <f>IF(ISBLANK('ALL Other SINs - Proposal'!R632)," ",'ALL Other SINs - Proposal'!R632)</f>
        <v xml:space="preserve"> </v>
      </c>
      <c r="F632" s="73" t="str">
        <f>IF(ISBLANK('ALL Other SINs - Proposal'!S632)," ",'ALL Other SINs - Proposal'!S632)</f>
        <v xml:space="preserve"> </v>
      </c>
      <c r="G632" s="173" t="str">
        <f>IF(ISBLANK('ALL Other SINs - Proposal'!T632)," ",'ALL Other SINs - Proposal'!T632)</f>
        <v xml:space="preserve"> </v>
      </c>
      <c r="H632" s="275" t="str">
        <f>IF(ISBLANK('ALL Other SINs - Proposal'!V632)," ",'ALL Other SINs - Proposal'!V632)</f>
        <v xml:space="preserve"> </v>
      </c>
      <c r="I632" s="271" t="str">
        <f>IF(ISBLANK('ALL Other SINs - Proposal'!W632)," ",'ALL Other SINs - Proposal'!W632)</f>
        <v xml:space="preserve"> </v>
      </c>
      <c r="J632" s="71" t="str">
        <f>IF(ISBLANK('ALL Other SINs - Proposal'!X632)," ",'ALL Other SINs - Proposal'!X632)</f>
        <v xml:space="preserve"> </v>
      </c>
      <c r="K632" s="165" t="str">
        <f>IF(ISBLANK('ALL Other SINs - Proposal'!AA632)," ",'ALL Other SINs - Proposal'!AA632)</f>
        <v xml:space="preserve"> </v>
      </c>
      <c r="L632" s="178" t="str">
        <f>IF(ISBLANK('ALL Other SINs - Proposal'!AB632)," ",'ALL Other SINs - Proposal'!AB632)</f>
        <v xml:space="preserve"> </v>
      </c>
      <c r="M632" s="72" t="str">
        <f t="shared" si="18"/>
        <v xml:space="preserve"> </v>
      </c>
      <c r="N632" s="167" t="str">
        <f t="shared" si="19"/>
        <v xml:space="preserve"> </v>
      </c>
    </row>
    <row r="633" spans="1:14" ht="15" x14ac:dyDescent="0.25">
      <c r="A633" s="131" t="str">
        <f>IF(ISBLANK('ALL Other SINs - Proposal'!A633)," ",'ALL Other SINs - Proposal'!A633)</f>
        <v xml:space="preserve"> </v>
      </c>
      <c r="B633" s="137" t="str">
        <f>IF(ISBLANK('ALL Other SINs - Proposal'!B633)," ",'ALL Other SINs - Proposal'!B633)</f>
        <v xml:space="preserve"> </v>
      </c>
      <c r="C633" s="137" t="str">
        <f>IF(ISBLANK('ALL Other SINs - Proposal'!C633)," ",'ALL Other SINs - Proposal'!C633)</f>
        <v xml:space="preserve"> </v>
      </c>
      <c r="D633" s="138" t="str">
        <f>IF(ISBLANK('ALL Other SINs - Proposal'!D633)," ",'ALL Other SINs - Proposal'!D633)</f>
        <v xml:space="preserve"> </v>
      </c>
      <c r="E633" s="69" t="str">
        <f>IF(ISBLANK('ALL Other SINs - Proposal'!R633)," ",'ALL Other SINs - Proposal'!R633)</f>
        <v xml:space="preserve"> </v>
      </c>
      <c r="F633" s="73" t="str">
        <f>IF(ISBLANK('ALL Other SINs - Proposal'!S633)," ",'ALL Other SINs - Proposal'!S633)</f>
        <v xml:space="preserve"> </v>
      </c>
      <c r="G633" s="173" t="str">
        <f>IF(ISBLANK('ALL Other SINs - Proposal'!T633)," ",'ALL Other SINs - Proposal'!T633)</f>
        <v xml:space="preserve"> </v>
      </c>
      <c r="H633" s="275" t="str">
        <f>IF(ISBLANK('ALL Other SINs - Proposal'!V633)," ",'ALL Other SINs - Proposal'!V633)</f>
        <v xml:space="preserve"> </v>
      </c>
      <c r="I633" s="271" t="str">
        <f>IF(ISBLANK('ALL Other SINs - Proposal'!W633)," ",'ALL Other SINs - Proposal'!W633)</f>
        <v xml:space="preserve"> </v>
      </c>
      <c r="J633" s="71" t="str">
        <f>IF(ISBLANK('ALL Other SINs - Proposal'!X633)," ",'ALL Other SINs - Proposal'!X633)</f>
        <v xml:space="preserve"> </v>
      </c>
      <c r="K633" s="165" t="str">
        <f>IF(ISBLANK('ALL Other SINs - Proposal'!AA633)," ",'ALL Other SINs - Proposal'!AA633)</f>
        <v xml:space="preserve"> </v>
      </c>
      <c r="L633" s="178" t="str">
        <f>IF(ISBLANK('ALL Other SINs - Proposal'!AB633)," ",'ALL Other SINs - Proposal'!AB633)</f>
        <v xml:space="preserve"> </v>
      </c>
      <c r="M633" s="72" t="str">
        <f t="shared" si="18"/>
        <v xml:space="preserve"> </v>
      </c>
      <c r="N633" s="167" t="str">
        <f t="shared" si="19"/>
        <v xml:space="preserve"> </v>
      </c>
    </row>
    <row r="634" spans="1:14" ht="15" x14ac:dyDescent="0.25">
      <c r="A634" s="131" t="str">
        <f>IF(ISBLANK('ALL Other SINs - Proposal'!A634)," ",'ALL Other SINs - Proposal'!A634)</f>
        <v xml:space="preserve"> </v>
      </c>
      <c r="B634" s="137" t="str">
        <f>IF(ISBLANK('ALL Other SINs - Proposal'!B634)," ",'ALL Other SINs - Proposal'!B634)</f>
        <v xml:space="preserve"> </v>
      </c>
      <c r="C634" s="137" t="str">
        <f>IF(ISBLANK('ALL Other SINs - Proposal'!C634)," ",'ALL Other SINs - Proposal'!C634)</f>
        <v xml:space="preserve"> </v>
      </c>
      <c r="D634" s="138" t="str">
        <f>IF(ISBLANK('ALL Other SINs - Proposal'!D634)," ",'ALL Other SINs - Proposal'!D634)</f>
        <v xml:space="preserve"> </v>
      </c>
      <c r="E634" s="69" t="str">
        <f>IF(ISBLANK('ALL Other SINs - Proposal'!R634)," ",'ALL Other SINs - Proposal'!R634)</f>
        <v xml:space="preserve"> </v>
      </c>
      <c r="F634" s="73" t="str">
        <f>IF(ISBLANK('ALL Other SINs - Proposal'!S634)," ",'ALL Other SINs - Proposal'!S634)</f>
        <v xml:space="preserve"> </v>
      </c>
      <c r="G634" s="173" t="str">
        <f>IF(ISBLANK('ALL Other SINs - Proposal'!T634)," ",'ALL Other SINs - Proposal'!T634)</f>
        <v xml:space="preserve"> </v>
      </c>
      <c r="H634" s="275" t="str">
        <f>IF(ISBLANK('ALL Other SINs - Proposal'!V634)," ",'ALL Other SINs - Proposal'!V634)</f>
        <v xml:space="preserve"> </v>
      </c>
      <c r="I634" s="271" t="str">
        <f>IF(ISBLANK('ALL Other SINs - Proposal'!W634)," ",'ALL Other SINs - Proposal'!W634)</f>
        <v xml:space="preserve"> </v>
      </c>
      <c r="J634" s="71" t="str">
        <f>IF(ISBLANK('ALL Other SINs - Proposal'!X634)," ",'ALL Other SINs - Proposal'!X634)</f>
        <v xml:space="preserve"> </v>
      </c>
      <c r="K634" s="165" t="str">
        <f>IF(ISBLANK('ALL Other SINs - Proposal'!AA634)," ",'ALL Other SINs - Proposal'!AA634)</f>
        <v xml:space="preserve"> </v>
      </c>
      <c r="L634" s="178" t="str">
        <f>IF(ISBLANK('ALL Other SINs - Proposal'!AB634)," ",'ALL Other SINs - Proposal'!AB634)</f>
        <v xml:space="preserve"> </v>
      </c>
      <c r="M634" s="72" t="str">
        <f t="shared" si="18"/>
        <v xml:space="preserve"> </v>
      </c>
      <c r="N634" s="167" t="str">
        <f t="shared" si="19"/>
        <v xml:space="preserve"> </v>
      </c>
    </row>
    <row r="635" spans="1:14" ht="15" x14ac:dyDescent="0.25">
      <c r="A635" s="131" t="str">
        <f>IF(ISBLANK('ALL Other SINs - Proposal'!A635)," ",'ALL Other SINs - Proposal'!A635)</f>
        <v xml:space="preserve"> </v>
      </c>
      <c r="B635" s="137" t="str">
        <f>IF(ISBLANK('ALL Other SINs - Proposal'!B635)," ",'ALL Other SINs - Proposal'!B635)</f>
        <v xml:space="preserve"> </v>
      </c>
      <c r="C635" s="137" t="str">
        <f>IF(ISBLANK('ALL Other SINs - Proposal'!C635)," ",'ALL Other SINs - Proposal'!C635)</f>
        <v xml:space="preserve"> </v>
      </c>
      <c r="D635" s="138" t="str">
        <f>IF(ISBLANK('ALL Other SINs - Proposal'!D635)," ",'ALL Other SINs - Proposal'!D635)</f>
        <v xml:space="preserve"> </v>
      </c>
      <c r="E635" s="69" t="str">
        <f>IF(ISBLANK('ALL Other SINs - Proposal'!R635)," ",'ALL Other SINs - Proposal'!R635)</f>
        <v xml:space="preserve"> </v>
      </c>
      <c r="F635" s="73" t="str">
        <f>IF(ISBLANK('ALL Other SINs - Proposal'!S635)," ",'ALL Other SINs - Proposal'!S635)</f>
        <v xml:space="preserve"> </v>
      </c>
      <c r="G635" s="173" t="str">
        <f>IF(ISBLANK('ALL Other SINs - Proposal'!T635)," ",'ALL Other SINs - Proposal'!T635)</f>
        <v xml:space="preserve"> </v>
      </c>
      <c r="H635" s="275" t="str">
        <f>IF(ISBLANK('ALL Other SINs - Proposal'!V635)," ",'ALL Other SINs - Proposal'!V635)</f>
        <v xml:space="preserve"> </v>
      </c>
      <c r="I635" s="271" t="str">
        <f>IF(ISBLANK('ALL Other SINs - Proposal'!W635)," ",'ALL Other SINs - Proposal'!W635)</f>
        <v xml:space="preserve"> </v>
      </c>
      <c r="J635" s="71" t="str">
        <f>IF(ISBLANK('ALL Other SINs - Proposal'!X635)," ",'ALL Other SINs - Proposal'!X635)</f>
        <v xml:space="preserve"> </v>
      </c>
      <c r="K635" s="165" t="str">
        <f>IF(ISBLANK('ALL Other SINs - Proposal'!AA635)," ",'ALL Other SINs - Proposal'!AA635)</f>
        <v xml:space="preserve"> </v>
      </c>
      <c r="L635" s="178" t="str">
        <f>IF(ISBLANK('ALL Other SINs - Proposal'!AB635)," ",'ALL Other SINs - Proposal'!AB635)</f>
        <v xml:space="preserve"> </v>
      </c>
      <c r="M635" s="72" t="str">
        <f t="shared" si="18"/>
        <v xml:space="preserve"> </v>
      </c>
      <c r="N635" s="167" t="str">
        <f t="shared" si="19"/>
        <v xml:space="preserve"> </v>
      </c>
    </row>
    <row r="636" spans="1:14" ht="15" x14ac:dyDescent="0.25">
      <c r="A636" s="131" t="str">
        <f>IF(ISBLANK('ALL Other SINs - Proposal'!A636)," ",'ALL Other SINs - Proposal'!A636)</f>
        <v xml:space="preserve"> </v>
      </c>
      <c r="B636" s="137" t="str">
        <f>IF(ISBLANK('ALL Other SINs - Proposal'!B636)," ",'ALL Other SINs - Proposal'!B636)</f>
        <v xml:space="preserve"> </v>
      </c>
      <c r="C636" s="137" t="str">
        <f>IF(ISBLANK('ALL Other SINs - Proposal'!C636)," ",'ALL Other SINs - Proposal'!C636)</f>
        <v xml:space="preserve"> </v>
      </c>
      <c r="D636" s="138" t="str">
        <f>IF(ISBLANK('ALL Other SINs - Proposal'!D636)," ",'ALL Other SINs - Proposal'!D636)</f>
        <v xml:space="preserve"> </v>
      </c>
      <c r="E636" s="69" t="str">
        <f>IF(ISBLANK('ALL Other SINs - Proposal'!R636)," ",'ALL Other SINs - Proposal'!R636)</f>
        <v xml:space="preserve"> </v>
      </c>
      <c r="F636" s="73" t="str">
        <f>IF(ISBLANK('ALL Other SINs - Proposal'!S636)," ",'ALL Other SINs - Proposal'!S636)</f>
        <v xml:space="preserve"> </v>
      </c>
      <c r="G636" s="173" t="str">
        <f>IF(ISBLANK('ALL Other SINs - Proposal'!T636)," ",'ALL Other SINs - Proposal'!T636)</f>
        <v xml:space="preserve"> </v>
      </c>
      <c r="H636" s="275" t="str">
        <f>IF(ISBLANK('ALL Other SINs - Proposal'!V636)," ",'ALL Other SINs - Proposal'!V636)</f>
        <v xml:space="preserve"> </v>
      </c>
      <c r="I636" s="271" t="str">
        <f>IF(ISBLANK('ALL Other SINs - Proposal'!W636)," ",'ALL Other SINs - Proposal'!W636)</f>
        <v xml:space="preserve"> </v>
      </c>
      <c r="J636" s="71" t="str">
        <f>IF(ISBLANK('ALL Other SINs - Proposal'!X636)," ",'ALL Other SINs - Proposal'!X636)</f>
        <v xml:space="preserve"> </v>
      </c>
      <c r="K636" s="165" t="str">
        <f>IF(ISBLANK('ALL Other SINs - Proposal'!AA636)," ",'ALL Other SINs - Proposal'!AA636)</f>
        <v xml:space="preserve"> </v>
      </c>
      <c r="L636" s="178" t="str">
        <f>IF(ISBLANK('ALL Other SINs - Proposal'!AB636)," ",'ALL Other SINs - Proposal'!AB636)</f>
        <v xml:space="preserve"> </v>
      </c>
      <c r="M636" s="72" t="str">
        <f t="shared" si="18"/>
        <v xml:space="preserve"> </v>
      </c>
      <c r="N636" s="167" t="str">
        <f t="shared" si="19"/>
        <v xml:space="preserve"> </v>
      </c>
    </row>
    <row r="637" spans="1:14" ht="15" x14ac:dyDescent="0.25">
      <c r="A637" s="131" t="str">
        <f>IF(ISBLANK('ALL Other SINs - Proposal'!A637)," ",'ALL Other SINs - Proposal'!A637)</f>
        <v xml:space="preserve"> </v>
      </c>
      <c r="B637" s="137" t="str">
        <f>IF(ISBLANK('ALL Other SINs - Proposal'!B637)," ",'ALL Other SINs - Proposal'!B637)</f>
        <v xml:space="preserve"> </v>
      </c>
      <c r="C637" s="137" t="str">
        <f>IF(ISBLANK('ALL Other SINs - Proposal'!C637)," ",'ALL Other SINs - Proposal'!C637)</f>
        <v xml:space="preserve"> </v>
      </c>
      <c r="D637" s="138" t="str">
        <f>IF(ISBLANK('ALL Other SINs - Proposal'!D637)," ",'ALL Other SINs - Proposal'!D637)</f>
        <v xml:space="preserve"> </v>
      </c>
      <c r="E637" s="69" t="str">
        <f>IF(ISBLANK('ALL Other SINs - Proposal'!R637)," ",'ALL Other SINs - Proposal'!R637)</f>
        <v xml:space="preserve"> </v>
      </c>
      <c r="F637" s="73" t="str">
        <f>IF(ISBLANK('ALL Other SINs - Proposal'!S637)," ",'ALL Other SINs - Proposal'!S637)</f>
        <v xml:space="preserve"> </v>
      </c>
      <c r="G637" s="173" t="str">
        <f>IF(ISBLANK('ALL Other SINs - Proposal'!T637)," ",'ALL Other SINs - Proposal'!T637)</f>
        <v xml:space="preserve"> </v>
      </c>
      <c r="H637" s="275" t="str">
        <f>IF(ISBLANK('ALL Other SINs - Proposal'!V637)," ",'ALL Other SINs - Proposal'!V637)</f>
        <v xml:space="preserve"> </v>
      </c>
      <c r="I637" s="271" t="str">
        <f>IF(ISBLANK('ALL Other SINs - Proposal'!W637)," ",'ALL Other SINs - Proposal'!W637)</f>
        <v xml:space="preserve"> </v>
      </c>
      <c r="J637" s="71" t="str">
        <f>IF(ISBLANK('ALL Other SINs - Proposal'!X637)," ",'ALL Other SINs - Proposal'!X637)</f>
        <v xml:space="preserve"> </v>
      </c>
      <c r="K637" s="165" t="str">
        <f>IF(ISBLANK('ALL Other SINs - Proposal'!AA637)," ",'ALL Other SINs - Proposal'!AA637)</f>
        <v xml:space="preserve"> </v>
      </c>
      <c r="L637" s="178" t="str">
        <f>IF(ISBLANK('ALL Other SINs - Proposal'!AB637)," ",'ALL Other SINs - Proposal'!AB637)</f>
        <v xml:space="preserve"> </v>
      </c>
      <c r="M637" s="72" t="str">
        <f t="shared" si="18"/>
        <v xml:space="preserve"> </v>
      </c>
      <c r="N637" s="167" t="str">
        <f t="shared" si="19"/>
        <v xml:space="preserve"> </v>
      </c>
    </row>
    <row r="638" spans="1:14" ht="15" x14ac:dyDescent="0.25">
      <c r="A638" s="131" t="str">
        <f>IF(ISBLANK('ALL Other SINs - Proposal'!A638)," ",'ALL Other SINs - Proposal'!A638)</f>
        <v xml:space="preserve"> </v>
      </c>
      <c r="B638" s="137" t="str">
        <f>IF(ISBLANK('ALL Other SINs - Proposal'!B638)," ",'ALL Other SINs - Proposal'!B638)</f>
        <v xml:space="preserve"> </v>
      </c>
      <c r="C638" s="137" t="str">
        <f>IF(ISBLANK('ALL Other SINs - Proposal'!C638)," ",'ALL Other SINs - Proposal'!C638)</f>
        <v xml:space="preserve"> </v>
      </c>
      <c r="D638" s="138" t="str">
        <f>IF(ISBLANK('ALL Other SINs - Proposal'!D638)," ",'ALL Other SINs - Proposal'!D638)</f>
        <v xml:space="preserve"> </v>
      </c>
      <c r="E638" s="69" t="str">
        <f>IF(ISBLANK('ALL Other SINs - Proposal'!R638)," ",'ALL Other SINs - Proposal'!R638)</f>
        <v xml:space="preserve"> </v>
      </c>
      <c r="F638" s="73" t="str">
        <f>IF(ISBLANK('ALL Other SINs - Proposal'!S638)," ",'ALL Other SINs - Proposal'!S638)</f>
        <v xml:space="preserve"> </v>
      </c>
      <c r="G638" s="173" t="str">
        <f>IF(ISBLANK('ALL Other SINs - Proposal'!T638)," ",'ALL Other SINs - Proposal'!T638)</f>
        <v xml:space="preserve"> </v>
      </c>
      <c r="H638" s="275" t="str">
        <f>IF(ISBLANK('ALL Other SINs - Proposal'!V638)," ",'ALL Other SINs - Proposal'!V638)</f>
        <v xml:space="preserve"> </v>
      </c>
      <c r="I638" s="271" t="str">
        <f>IF(ISBLANK('ALL Other SINs - Proposal'!W638)," ",'ALL Other SINs - Proposal'!W638)</f>
        <v xml:space="preserve"> </v>
      </c>
      <c r="J638" s="71" t="str">
        <f>IF(ISBLANK('ALL Other SINs - Proposal'!X638)," ",'ALL Other SINs - Proposal'!X638)</f>
        <v xml:space="preserve"> </v>
      </c>
      <c r="K638" s="165" t="str">
        <f>IF(ISBLANK('ALL Other SINs - Proposal'!AA638)," ",'ALL Other SINs - Proposal'!AA638)</f>
        <v xml:space="preserve"> </v>
      </c>
      <c r="L638" s="178" t="str">
        <f>IF(ISBLANK('ALL Other SINs - Proposal'!AB638)," ",'ALL Other SINs - Proposal'!AB638)</f>
        <v xml:space="preserve"> </v>
      </c>
      <c r="M638" s="72" t="str">
        <f t="shared" si="18"/>
        <v xml:space="preserve"> </v>
      </c>
      <c r="N638" s="167" t="str">
        <f t="shared" si="19"/>
        <v xml:space="preserve"> </v>
      </c>
    </row>
    <row r="639" spans="1:14" ht="15" x14ac:dyDescent="0.25">
      <c r="A639" s="131" t="str">
        <f>IF(ISBLANK('ALL Other SINs - Proposal'!A639)," ",'ALL Other SINs - Proposal'!A639)</f>
        <v xml:space="preserve"> </v>
      </c>
      <c r="B639" s="137" t="str">
        <f>IF(ISBLANK('ALL Other SINs - Proposal'!B639)," ",'ALL Other SINs - Proposal'!B639)</f>
        <v xml:space="preserve"> </v>
      </c>
      <c r="C639" s="137" t="str">
        <f>IF(ISBLANK('ALL Other SINs - Proposal'!C639)," ",'ALL Other SINs - Proposal'!C639)</f>
        <v xml:space="preserve"> </v>
      </c>
      <c r="D639" s="138" t="str">
        <f>IF(ISBLANK('ALL Other SINs - Proposal'!D639)," ",'ALL Other SINs - Proposal'!D639)</f>
        <v xml:space="preserve"> </v>
      </c>
      <c r="E639" s="69" t="str">
        <f>IF(ISBLANK('ALL Other SINs - Proposal'!R639)," ",'ALL Other SINs - Proposal'!R639)</f>
        <v xml:space="preserve"> </v>
      </c>
      <c r="F639" s="73" t="str">
        <f>IF(ISBLANK('ALL Other SINs - Proposal'!S639)," ",'ALL Other SINs - Proposal'!S639)</f>
        <v xml:space="preserve"> </v>
      </c>
      <c r="G639" s="173" t="str">
        <f>IF(ISBLANK('ALL Other SINs - Proposal'!T639)," ",'ALL Other SINs - Proposal'!T639)</f>
        <v xml:space="preserve"> </v>
      </c>
      <c r="H639" s="275" t="str">
        <f>IF(ISBLANK('ALL Other SINs - Proposal'!V639)," ",'ALL Other SINs - Proposal'!V639)</f>
        <v xml:space="preserve"> </v>
      </c>
      <c r="I639" s="271" t="str">
        <f>IF(ISBLANK('ALL Other SINs - Proposal'!W639)," ",'ALL Other SINs - Proposal'!W639)</f>
        <v xml:space="preserve"> </v>
      </c>
      <c r="J639" s="71" t="str">
        <f>IF(ISBLANK('ALL Other SINs - Proposal'!X639)," ",'ALL Other SINs - Proposal'!X639)</f>
        <v xml:space="preserve"> </v>
      </c>
      <c r="K639" s="165" t="str">
        <f>IF(ISBLANK('ALL Other SINs - Proposal'!AA639)," ",'ALL Other SINs - Proposal'!AA639)</f>
        <v xml:space="preserve"> </v>
      </c>
      <c r="L639" s="178" t="str">
        <f>IF(ISBLANK('ALL Other SINs - Proposal'!AB639)," ",'ALL Other SINs - Proposal'!AB639)</f>
        <v xml:space="preserve"> </v>
      </c>
      <c r="M639" s="72" t="str">
        <f t="shared" si="18"/>
        <v xml:space="preserve"> </v>
      </c>
      <c r="N639" s="167" t="str">
        <f t="shared" si="19"/>
        <v xml:space="preserve"> </v>
      </c>
    </row>
    <row r="640" spans="1:14" ht="15" x14ac:dyDescent="0.25">
      <c r="A640" s="131" t="str">
        <f>IF(ISBLANK('ALL Other SINs - Proposal'!A640)," ",'ALL Other SINs - Proposal'!A640)</f>
        <v xml:space="preserve"> </v>
      </c>
      <c r="B640" s="137" t="str">
        <f>IF(ISBLANK('ALL Other SINs - Proposal'!B640)," ",'ALL Other SINs - Proposal'!B640)</f>
        <v xml:space="preserve"> </v>
      </c>
      <c r="C640" s="137" t="str">
        <f>IF(ISBLANK('ALL Other SINs - Proposal'!C640)," ",'ALL Other SINs - Proposal'!C640)</f>
        <v xml:space="preserve"> </v>
      </c>
      <c r="D640" s="138" t="str">
        <f>IF(ISBLANK('ALL Other SINs - Proposal'!D640)," ",'ALL Other SINs - Proposal'!D640)</f>
        <v xml:space="preserve"> </v>
      </c>
      <c r="E640" s="69" t="str">
        <f>IF(ISBLANK('ALL Other SINs - Proposal'!R640)," ",'ALL Other SINs - Proposal'!R640)</f>
        <v xml:space="preserve"> </v>
      </c>
      <c r="F640" s="73" t="str">
        <f>IF(ISBLANK('ALL Other SINs - Proposal'!S640)," ",'ALL Other SINs - Proposal'!S640)</f>
        <v xml:space="preserve"> </v>
      </c>
      <c r="G640" s="173" t="str">
        <f>IF(ISBLANK('ALL Other SINs - Proposal'!T640)," ",'ALL Other SINs - Proposal'!T640)</f>
        <v xml:space="preserve"> </v>
      </c>
      <c r="H640" s="275" t="str">
        <f>IF(ISBLANK('ALL Other SINs - Proposal'!V640)," ",'ALL Other SINs - Proposal'!V640)</f>
        <v xml:space="preserve"> </v>
      </c>
      <c r="I640" s="271" t="str">
        <f>IF(ISBLANK('ALL Other SINs - Proposal'!W640)," ",'ALL Other SINs - Proposal'!W640)</f>
        <v xml:space="preserve"> </v>
      </c>
      <c r="J640" s="71" t="str">
        <f>IF(ISBLANK('ALL Other SINs - Proposal'!X640)," ",'ALL Other SINs - Proposal'!X640)</f>
        <v xml:space="preserve"> </v>
      </c>
      <c r="K640" s="165" t="str">
        <f>IF(ISBLANK('ALL Other SINs - Proposal'!AA640)," ",'ALL Other SINs - Proposal'!AA640)</f>
        <v xml:space="preserve"> </v>
      </c>
      <c r="L640" s="178" t="str">
        <f>IF(ISBLANK('ALL Other SINs - Proposal'!AB640)," ",'ALL Other SINs - Proposal'!AB640)</f>
        <v xml:space="preserve"> </v>
      </c>
      <c r="M640" s="72" t="str">
        <f t="shared" si="18"/>
        <v xml:space="preserve"> </v>
      </c>
      <c r="N640" s="167" t="str">
        <f t="shared" si="19"/>
        <v xml:space="preserve"> </v>
      </c>
    </row>
    <row r="641" spans="1:14" ht="15" x14ac:dyDescent="0.25">
      <c r="A641" s="131" t="str">
        <f>IF(ISBLANK('ALL Other SINs - Proposal'!A641)," ",'ALL Other SINs - Proposal'!A641)</f>
        <v xml:space="preserve"> </v>
      </c>
      <c r="B641" s="137" t="str">
        <f>IF(ISBLANK('ALL Other SINs - Proposal'!B641)," ",'ALL Other SINs - Proposal'!B641)</f>
        <v xml:space="preserve"> </v>
      </c>
      <c r="C641" s="137" t="str">
        <f>IF(ISBLANK('ALL Other SINs - Proposal'!C641)," ",'ALL Other SINs - Proposal'!C641)</f>
        <v xml:space="preserve"> </v>
      </c>
      <c r="D641" s="138" t="str">
        <f>IF(ISBLANK('ALL Other SINs - Proposal'!D641)," ",'ALL Other SINs - Proposal'!D641)</f>
        <v xml:space="preserve"> </v>
      </c>
      <c r="E641" s="69" t="str">
        <f>IF(ISBLANK('ALL Other SINs - Proposal'!R641)," ",'ALL Other SINs - Proposal'!R641)</f>
        <v xml:space="preserve"> </v>
      </c>
      <c r="F641" s="73" t="str">
        <f>IF(ISBLANK('ALL Other SINs - Proposal'!S641)," ",'ALL Other SINs - Proposal'!S641)</f>
        <v xml:space="preserve"> </v>
      </c>
      <c r="G641" s="173" t="str">
        <f>IF(ISBLANK('ALL Other SINs - Proposal'!T641)," ",'ALL Other SINs - Proposal'!T641)</f>
        <v xml:space="preserve"> </v>
      </c>
      <c r="H641" s="275" t="str">
        <f>IF(ISBLANK('ALL Other SINs - Proposal'!V641)," ",'ALL Other SINs - Proposal'!V641)</f>
        <v xml:space="preserve"> </v>
      </c>
      <c r="I641" s="271" t="str">
        <f>IF(ISBLANK('ALL Other SINs - Proposal'!W641)," ",'ALL Other SINs - Proposal'!W641)</f>
        <v xml:space="preserve"> </v>
      </c>
      <c r="J641" s="71" t="str">
        <f>IF(ISBLANK('ALL Other SINs - Proposal'!X641)," ",'ALL Other SINs - Proposal'!X641)</f>
        <v xml:space="preserve"> </v>
      </c>
      <c r="K641" s="165" t="str">
        <f>IF(ISBLANK('ALL Other SINs - Proposal'!AA641)," ",'ALL Other SINs - Proposal'!AA641)</f>
        <v xml:space="preserve"> </v>
      </c>
      <c r="L641" s="178" t="str">
        <f>IF(ISBLANK('ALL Other SINs - Proposal'!AB641)," ",'ALL Other SINs - Proposal'!AB641)</f>
        <v xml:space="preserve"> </v>
      </c>
      <c r="M641" s="72" t="str">
        <f t="shared" si="18"/>
        <v xml:space="preserve"> </v>
      </c>
      <c r="N641" s="167" t="str">
        <f t="shared" si="19"/>
        <v xml:space="preserve"> </v>
      </c>
    </row>
    <row r="642" spans="1:14" ht="15" x14ac:dyDescent="0.25">
      <c r="A642" s="131" t="str">
        <f>IF(ISBLANK('ALL Other SINs - Proposal'!A642)," ",'ALL Other SINs - Proposal'!A642)</f>
        <v xml:space="preserve"> </v>
      </c>
      <c r="B642" s="137" t="str">
        <f>IF(ISBLANK('ALL Other SINs - Proposal'!B642)," ",'ALL Other SINs - Proposal'!B642)</f>
        <v xml:space="preserve"> </v>
      </c>
      <c r="C642" s="137" t="str">
        <f>IF(ISBLANK('ALL Other SINs - Proposal'!C642)," ",'ALL Other SINs - Proposal'!C642)</f>
        <v xml:space="preserve"> </v>
      </c>
      <c r="D642" s="138" t="str">
        <f>IF(ISBLANK('ALL Other SINs - Proposal'!D642)," ",'ALL Other SINs - Proposal'!D642)</f>
        <v xml:space="preserve"> </v>
      </c>
      <c r="E642" s="69" t="str">
        <f>IF(ISBLANK('ALL Other SINs - Proposal'!R642)," ",'ALL Other SINs - Proposal'!R642)</f>
        <v xml:space="preserve"> </v>
      </c>
      <c r="F642" s="73" t="str">
        <f>IF(ISBLANK('ALL Other SINs - Proposal'!S642)," ",'ALL Other SINs - Proposal'!S642)</f>
        <v xml:space="preserve"> </v>
      </c>
      <c r="G642" s="173" t="str">
        <f>IF(ISBLANK('ALL Other SINs - Proposal'!T642)," ",'ALL Other SINs - Proposal'!T642)</f>
        <v xml:space="preserve"> </v>
      </c>
      <c r="H642" s="275" t="str">
        <f>IF(ISBLANK('ALL Other SINs - Proposal'!V642)," ",'ALL Other SINs - Proposal'!V642)</f>
        <v xml:space="preserve"> </v>
      </c>
      <c r="I642" s="271" t="str">
        <f>IF(ISBLANK('ALL Other SINs - Proposal'!W642)," ",'ALL Other SINs - Proposal'!W642)</f>
        <v xml:space="preserve"> </v>
      </c>
      <c r="J642" s="71" t="str">
        <f>IF(ISBLANK('ALL Other SINs - Proposal'!X642)," ",'ALL Other SINs - Proposal'!X642)</f>
        <v xml:space="preserve"> </v>
      </c>
      <c r="K642" s="165" t="str">
        <f>IF(ISBLANK('ALL Other SINs - Proposal'!AA642)," ",'ALL Other SINs - Proposal'!AA642)</f>
        <v xml:space="preserve"> </v>
      </c>
      <c r="L642" s="178" t="str">
        <f>IF(ISBLANK('ALL Other SINs - Proposal'!AB642)," ",'ALL Other SINs - Proposal'!AB642)</f>
        <v xml:space="preserve"> </v>
      </c>
      <c r="M642" s="72" t="str">
        <f t="shared" si="18"/>
        <v xml:space="preserve"> </v>
      </c>
      <c r="N642" s="167" t="str">
        <f t="shared" si="19"/>
        <v xml:space="preserve"> </v>
      </c>
    </row>
    <row r="643" spans="1:14" ht="15" x14ac:dyDescent="0.25">
      <c r="A643" s="131" t="str">
        <f>IF(ISBLANK('ALL Other SINs - Proposal'!A643)," ",'ALL Other SINs - Proposal'!A643)</f>
        <v xml:space="preserve"> </v>
      </c>
      <c r="B643" s="137" t="str">
        <f>IF(ISBLANK('ALL Other SINs - Proposal'!B643)," ",'ALL Other SINs - Proposal'!B643)</f>
        <v xml:space="preserve"> </v>
      </c>
      <c r="C643" s="137" t="str">
        <f>IF(ISBLANK('ALL Other SINs - Proposal'!C643)," ",'ALL Other SINs - Proposal'!C643)</f>
        <v xml:space="preserve"> </v>
      </c>
      <c r="D643" s="138" t="str">
        <f>IF(ISBLANK('ALL Other SINs - Proposal'!D643)," ",'ALL Other SINs - Proposal'!D643)</f>
        <v xml:space="preserve"> </v>
      </c>
      <c r="E643" s="69" t="str">
        <f>IF(ISBLANK('ALL Other SINs - Proposal'!R643)," ",'ALL Other SINs - Proposal'!R643)</f>
        <v xml:space="preserve"> </v>
      </c>
      <c r="F643" s="73" t="str">
        <f>IF(ISBLANK('ALL Other SINs - Proposal'!S643)," ",'ALL Other SINs - Proposal'!S643)</f>
        <v xml:space="preserve"> </v>
      </c>
      <c r="G643" s="173" t="str">
        <f>IF(ISBLANK('ALL Other SINs - Proposal'!T643)," ",'ALL Other SINs - Proposal'!T643)</f>
        <v xml:space="preserve"> </v>
      </c>
      <c r="H643" s="275" t="str">
        <f>IF(ISBLANK('ALL Other SINs - Proposal'!V643)," ",'ALL Other SINs - Proposal'!V643)</f>
        <v xml:space="preserve"> </v>
      </c>
      <c r="I643" s="271" t="str">
        <f>IF(ISBLANK('ALL Other SINs - Proposal'!W643)," ",'ALL Other SINs - Proposal'!W643)</f>
        <v xml:space="preserve"> </v>
      </c>
      <c r="J643" s="71" t="str">
        <f>IF(ISBLANK('ALL Other SINs - Proposal'!X643)," ",'ALL Other SINs - Proposal'!X643)</f>
        <v xml:space="preserve"> </v>
      </c>
      <c r="K643" s="165" t="str">
        <f>IF(ISBLANK('ALL Other SINs - Proposal'!AA643)," ",'ALL Other SINs - Proposal'!AA643)</f>
        <v xml:space="preserve"> </v>
      </c>
      <c r="L643" s="178" t="str">
        <f>IF(ISBLANK('ALL Other SINs - Proposal'!AB643)," ",'ALL Other SINs - Proposal'!AB643)</f>
        <v xml:space="preserve"> </v>
      </c>
      <c r="M643" s="72" t="str">
        <f t="shared" ref="M643:M706" si="20">IFERROR(IF((ROUND(K643,2))&lt;=(ROUND(F643,2)),"YES","NO")," ")</f>
        <v xml:space="preserve"> </v>
      </c>
      <c r="N643" s="167" t="str">
        <f t="shared" ref="N643:N706" si="21">IFERROR(IF(ISBLANK(K643)," ",(ROUND(K643,2))/(ROUND(I643,2)))," ")</f>
        <v xml:space="preserve"> </v>
      </c>
    </row>
    <row r="644" spans="1:14" ht="15" x14ac:dyDescent="0.25">
      <c r="A644" s="131" t="str">
        <f>IF(ISBLANK('ALL Other SINs - Proposal'!A644)," ",'ALL Other SINs - Proposal'!A644)</f>
        <v xml:space="preserve"> </v>
      </c>
      <c r="B644" s="137" t="str">
        <f>IF(ISBLANK('ALL Other SINs - Proposal'!B644)," ",'ALL Other SINs - Proposal'!B644)</f>
        <v xml:space="preserve"> </v>
      </c>
      <c r="C644" s="137" t="str">
        <f>IF(ISBLANK('ALL Other SINs - Proposal'!C644)," ",'ALL Other SINs - Proposal'!C644)</f>
        <v xml:space="preserve"> </v>
      </c>
      <c r="D644" s="138" t="str">
        <f>IF(ISBLANK('ALL Other SINs - Proposal'!D644)," ",'ALL Other SINs - Proposal'!D644)</f>
        <v xml:space="preserve"> </v>
      </c>
      <c r="E644" s="69" t="str">
        <f>IF(ISBLANK('ALL Other SINs - Proposal'!R644)," ",'ALL Other SINs - Proposal'!R644)</f>
        <v xml:space="preserve"> </v>
      </c>
      <c r="F644" s="73" t="str">
        <f>IF(ISBLANK('ALL Other SINs - Proposal'!S644)," ",'ALL Other SINs - Proposal'!S644)</f>
        <v xml:space="preserve"> </v>
      </c>
      <c r="G644" s="173" t="str">
        <f>IF(ISBLANK('ALL Other SINs - Proposal'!T644)," ",'ALL Other SINs - Proposal'!T644)</f>
        <v xml:space="preserve"> </v>
      </c>
      <c r="H644" s="275" t="str">
        <f>IF(ISBLANK('ALL Other SINs - Proposal'!V644)," ",'ALL Other SINs - Proposal'!V644)</f>
        <v xml:space="preserve"> </v>
      </c>
      <c r="I644" s="271" t="str">
        <f>IF(ISBLANK('ALL Other SINs - Proposal'!W644)," ",'ALL Other SINs - Proposal'!W644)</f>
        <v xml:space="preserve"> </v>
      </c>
      <c r="J644" s="71" t="str">
        <f>IF(ISBLANK('ALL Other SINs - Proposal'!X644)," ",'ALL Other SINs - Proposal'!X644)</f>
        <v xml:space="preserve"> </v>
      </c>
      <c r="K644" s="165" t="str">
        <f>IF(ISBLANK('ALL Other SINs - Proposal'!AA644)," ",'ALL Other SINs - Proposal'!AA644)</f>
        <v xml:space="preserve"> </v>
      </c>
      <c r="L644" s="178" t="str">
        <f>IF(ISBLANK('ALL Other SINs - Proposal'!AB644)," ",'ALL Other SINs - Proposal'!AB644)</f>
        <v xml:space="preserve"> </v>
      </c>
      <c r="M644" s="72" t="str">
        <f t="shared" si="20"/>
        <v xml:space="preserve"> </v>
      </c>
      <c r="N644" s="167" t="str">
        <f t="shared" si="21"/>
        <v xml:space="preserve"> </v>
      </c>
    </row>
    <row r="645" spans="1:14" ht="15" x14ac:dyDescent="0.25">
      <c r="A645" s="131" t="str">
        <f>IF(ISBLANK('ALL Other SINs - Proposal'!A645)," ",'ALL Other SINs - Proposal'!A645)</f>
        <v xml:space="preserve"> </v>
      </c>
      <c r="B645" s="137" t="str">
        <f>IF(ISBLANK('ALL Other SINs - Proposal'!B645)," ",'ALL Other SINs - Proposal'!B645)</f>
        <v xml:space="preserve"> </v>
      </c>
      <c r="C645" s="137" t="str">
        <f>IF(ISBLANK('ALL Other SINs - Proposal'!C645)," ",'ALL Other SINs - Proposal'!C645)</f>
        <v xml:space="preserve"> </v>
      </c>
      <c r="D645" s="138" t="str">
        <f>IF(ISBLANK('ALL Other SINs - Proposal'!D645)," ",'ALL Other SINs - Proposal'!D645)</f>
        <v xml:space="preserve"> </v>
      </c>
      <c r="E645" s="69" t="str">
        <f>IF(ISBLANK('ALL Other SINs - Proposal'!R645)," ",'ALL Other SINs - Proposal'!R645)</f>
        <v xml:space="preserve"> </v>
      </c>
      <c r="F645" s="73" t="str">
        <f>IF(ISBLANK('ALL Other SINs - Proposal'!S645)," ",'ALL Other SINs - Proposal'!S645)</f>
        <v xml:space="preserve"> </v>
      </c>
      <c r="G645" s="173" t="str">
        <f>IF(ISBLANK('ALL Other SINs - Proposal'!T645)," ",'ALL Other SINs - Proposal'!T645)</f>
        <v xml:space="preserve"> </v>
      </c>
      <c r="H645" s="275" t="str">
        <f>IF(ISBLANK('ALL Other SINs - Proposal'!V645)," ",'ALL Other SINs - Proposal'!V645)</f>
        <v xml:space="preserve"> </v>
      </c>
      <c r="I645" s="271" t="str">
        <f>IF(ISBLANK('ALL Other SINs - Proposal'!W645)," ",'ALL Other SINs - Proposal'!W645)</f>
        <v xml:space="preserve"> </v>
      </c>
      <c r="J645" s="71" t="str">
        <f>IF(ISBLANK('ALL Other SINs - Proposal'!X645)," ",'ALL Other SINs - Proposal'!X645)</f>
        <v xml:space="preserve"> </v>
      </c>
      <c r="K645" s="165" t="str">
        <f>IF(ISBLANK('ALL Other SINs - Proposal'!AA645)," ",'ALL Other SINs - Proposal'!AA645)</f>
        <v xml:space="preserve"> </v>
      </c>
      <c r="L645" s="178" t="str">
        <f>IF(ISBLANK('ALL Other SINs - Proposal'!AB645)," ",'ALL Other SINs - Proposal'!AB645)</f>
        <v xml:space="preserve"> </v>
      </c>
      <c r="M645" s="72" t="str">
        <f t="shared" si="20"/>
        <v xml:space="preserve"> </v>
      </c>
      <c r="N645" s="167" t="str">
        <f t="shared" si="21"/>
        <v xml:space="preserve"> </v>
      </c>
    </row>
    <row r="646" spans="1:14" ht="15" x14ac:dyDescent="0.25">
      <c r="A646" s="131" t="str">
        <f>IF(ISBLANK('ALL Other SINs - Proposal'!A646)," ",'ALL Other SINs - Proposal'!A646)</f>
        <v xml:space="preserve"> </v>
      </c>
      <c r="B646" s="137" t="str">
        <f>IF(ISBLANK('ALL Other SINs - Proposal'!B646)," ",'ALL Other SINs - Proposal'!B646)</f>
        <v xml:space="preserve"> </v>
      </c>
      <c r="C646" s="137" t="str">
        <f>IF(ISBLANK('ALL Other SINs - Proposal'!C646)," ",'ALL Other SINs - Proposal'!C646)</f>
        <v xml:space="preserve"> </v>
      </c>
      <c r="D646" s="138" t="str">
        <f>IF(ISBLANK('ALL Other SINs - Proposal'!D646)," ",'ALL Other SINs - Proposal'!D646)</f>
        <v xml:space="preserve"> </v>
      </c>
      <c r="E646" s="69" t="str">
        <f>IF(ISBLANK('ALL Other SINs - Proposal'!R646)," ",'ALL Other SINs - Proposal'!R646)</f>
        <v xml:space="preserve"> </v>
      </c>
      <c r="F646" s="73" t="str">
        <f>IF(ISBLANK('ALL Other SINs - Proposal'!S646)," ",'ALL Other SINs - Proposal'!S646)</f>
        <v xml:space="preserve"> </v>
      </c>
      <c r="G646" s="173" t="str">
        <f>IF(ISBLANK('ALL Other SINs - Proposal'!T646)," ",'ALL Other SINs - Proposal'!T646)</f>
        <v xml:space="preserve"> </v>
      </c>
      <c r="H646" s="275" t="str">
        <f>IF(ISBLANK('ALL Other SINs - Proposal'!V646)," ",'ALL Other SINs - Proposal'!V646)</f>
        <v xml:space="preserve"> </v>
      </c>
      <c r="I646" s="271" t="str">
        <f>IF(ISBLANK('ALL Other SINs - Proposal'!W646)," ",'ALL Other SINs - Proposal'!W646)</f>
        <v xml:space="preserve"> </v>
      </c>
      <c r="J646" s="71" t="str">
        <f>IF(ISBLANK('ALL Other SINs - Proposal'!X646)," ",'ALL Other SINs - Proposal'!X646)</f>
        <v xml:space="preserve"> </v>
      </c>
      <c r="K646" s="165" t="str">
        <f>IF(ISBLANK('ALL Other SINs - Proposal'!AA646)," ",'ALL Other SINs - Proposal'!AA646)</f>
        <v xml:space="preserve"> </v>
      </c>
      <c r="L646" s="178" t="str">
        <f>IF(ISBLANK('ALL Other SINs - Proposal'!AB646)," ",'ALL Other SINs - Proposal'!AB646)</f>
        <v xml:space="preserve"> </v>
      </c>
      <c r="M646" s="72" t="str">
        <f t="shared" si="20"/>
        <v xml:space="preserve"> </v>
      </c>
      <c r="N646" s="167" t="str">
        <f t="shared" si="21"/>
        <v xml:space="preserve"> </v>
      </c>
    </row>
    <row r="647" spans="1:14" ht="15" x14ac:dyDescent="0.25">
      <c r="A647" s="131" t="str">
        <f>IF(ISBLANK('ALL Other SINs - Proposal'!A647)," ",'ALL Other SINs - Proposal'!A647)</f>
        <v xml:space="preserve"> </v>
      </c>
      <c r="B647" s="137" t="str">
        <f>IF(ISBLANK('ALL Other SINs - Proposal'!B647)," ",'ALL Other SINs - Proposal'!B647)</f>
        <v xml:space="preserve"> </v>
      </c>
      <c r="C647" s="137" t="str">
        <f>IF(ISBLANK('ALL Other SINs - Proposal'!C647)," ",'ALL Other SINs - Proposal'!C647)</f>
        <v xml:space="preserve"> </v>
      </c>
      <c r="D647" s="138" t="str">
        <f>IF(ISBLANK('ALL Other SINs - Proposal'!D647)," ",'ALL Other SINs - Proposal'!D647)</f>
        <v xml:space="preserve"> </v>
      </c>
      <c r="E647" s="69" t="str">
        <f>IF(ISBLANK('ALL Other SINs - Proposal'!R647)," ",'ALL Other SINs - Proposal'!R647)</f>
        <v xml:space="preserve"> </v>
      </c>
      <c r="F647" s="73" t="str">
        <f>IF(ISBLANK('ALL Other SINs - Proposal'!S647)," ",'ALL Other SINs - Proposal'!S647)</f>
        <v xml:space="preserve"> </v>
      </c>
      <c r="G647" s="173" t="str">
        <f>IF(ISBLANK('ALL Other SINs - Proposal'!T647)," ",'ALL Other SINs - Proposal'!T647)</f>
        <v xml:space="preserve"> </v>
      </c>
      <c r="H647" s="275" t="str">
        <f>IF(ISBLANK('ALL Other SINs - Proposal'!V647)," ",'ALL Other SINs - Proposal'!V647)</f>
        <v xml:space="preserve"> </v>
      </c>
      <c r="I647" s="271" t="str">
        <f>IF(ISBLANK('ALL Other SINs - Proposal'!W647)," ",'ALL Other SINs - Proposal'!W647)</f>
        <v xml:space="preserve"> </v>
      </c>
      <c r="J647" s="71" t="str">
        <f>IF(ISBLANK('ALL Other SINs - Proposal'!X647)," ",'ALL Other SINs - Proposal'!X647)</f>
        <v xml:space="preserve"> </v>
      </c>
      <c r="K647" s="165" t="str">
        <f>IF(ISBLANK('ALL Other SINs - Proposal'!AA647)," ",'ALL Other SINs - Proposal'!AA647)</f>
        <v xml:space="preserve"> </v>
      </c>
      <c r="L647" s="178" t="str">
        <f>IF(ISBLANK('ALL Other SINs - Proposal'!AB647)," ",'ALL Other SINs - Proposal'!AB647)</f>
        <v xml:space="preserve"> </v>
      </c>
      <c r="M647" s="72" t="str">
        <f t="shared" si="20"/>
        <v xml:space="preserve"> </v>
      </c>
      <c r="N647" s="167" t="str">
        <f t="shared" si="21"/>
        <v xml:space="preserve"> </v>
      </c>
    </row>
    <row r="648" spans="1:14" ht="15" x14ac:dyDescent="0.25">
      <c r="A648" s="131" t="str">
        <f>IF(ISBLANK('ALL Other SINs - Proposal'!A648)," ",'ALL Other SINs - Proposal'!A648)</f>
        <v xml:space="preserve"> </v>
      </c>
      <c r="B648" s="137" t="str">
        <f>IF(ISBLANK('ALL Other SINs - Proposal'!B648)," ",'ALL Other SINs - Proposal'!B648)</f>
        <v xml:space="preserve"> </v>
      </c>
      <c r="C648" s="137" t="str">
        <f>IF(ISBLANK('ALL Other SINs - Proposal'!C648)," ",'ALL Other SINs - Proposal'!C648)</f>
        <v xml:space="preserve"> </v>
      </c>
      <c r="D648" s="138" t="str">
        <f>IF(ISBLANK('ALL Other SINs - Proposal'!D648)," ",'ALL Other SINs - Proposal'!D648)</f>
        <v xml:space="preserve"> </v>
      </c>
      <c r="E648" s="69" t="str">
        <f>IF(ISBLANK('ALL Other SINs - Proposal'!R648)," ",'ALL Other SINs - Proposal'!R648)</f>
        <v xml:space="preserve"> </v>
      </c>
      <c r="F648" s="73" t="str">
        <f>IF(ISBLANK('ALL Other SINs - Proposal'!S648)," ",'ALL Other SINs - Proposal'!S648)</f>
        <v xml:space="preserve"> </v>
      </c>
      <c r="G648" s="173" t="str">
        <f>IF(ISBLANK('ALL Other SINs - Proposal'!T648)," ",'ALL Other SINs - Proposal'!T648)</f>
        <v xml:space="preserve"> </v>
      </c>
      <c r="H648" s="275" t="str">
        <f>IF(ISBLANK('ALL Other SINs - Proposal'!V648)," ",'ALL Other SINs - Proposal'!V648)</f>
        <v xml:space="preserve"> </v>
      </c>
      <c r="I648" s="271" t="str">
        <f>IF(ISBLANK('ALL Other SINs - Proposal'!W648)," ",'ALL Other SINs - Proposal'!W648)</f>
        <v xml:space="preserve"> </v>
      </c>
      <c r="J648" s="71" t="str">
        <f>IF(ISBLANK('ALL Other SINs - Proposal'!X648)," ",'ALL Other SINs - Proposal'!X648)</f>
        <v xml:space="preserve"> </v>
      </c>
      <c r="K648" s="165" t="str">
        <f>IF(ISBLANK('ALL Other SINs - Proposal'!AA648)," ",'ALL Other SINs - Proposal'!AA648)</f>
        <v xml:space="preserve"> </v>
      </c>
      <c r="L648" s="178" t="str">
        <f>IF(ISBLANK('ALL Other SINs - Proposal'!AB648)," ",'ALL Other SINs - Proposal'!AB648)</f>
        <v xml:space="preserve"> </v>
      </c>
      <c r="M648" s="72" t="str">
        <f t="shared" si="20"/>
        <v xml:space="preserve"> </v>
      </c>
      <c r="N648" s="167" t="str">
        <f t="shared" si="21"/>
        <v xml:space="preserve"> </v>
      </c>
    </row>
    <row r="649" spans="1:14" ht="15" x14ac:dyDescent="0.25">
      <c r="A649" s="131" t="str">
        <f>IF(ISBLANK('ALL Other SINs - Proposal'!A649)," ",'ALL Other SINs - Proposal'!A649)</f>
        <v xml:space="preserve"> </v>
      </c>
      <c r="B649" s="137" t="str">
        <f>IF(ISBLANK('ALL Other SINs - Proposal'!B649)," ",'ALL Other SINs - Proposal'!B649)</f>
        <v xml:space="preserve"> </v>
      </c>
      <c r="C649" s="137" t="str">
        <f>IF(ISBLANK('ALL Other SINs - Proposal'!C649)," ",'ALL Other SINs - Proposal'!C649)</f>
        <v xml:space="preserve"> </v>
      </c>
      <c r="D649" s="138" t="str">
        <f>IF(ISBLANK('ALL Other SINs - Proposal'!D649)," ",'ALL Other SINs - Proposal'!D649)</f>
        <v xml:space="preserve"> </v>
      </c>
      <c r="E649" s="69" t="str">
        <f>IF(ISBLANK('ALL Other SINs - Proposal'!R649)," ",'ALL Other SINs - Proposal'!R649)</f>
        <v xml:space="preserve"> </v>
      </c>
      <c r="F649" s="73" t="str">
        <f>IF(ISBLANK('ALL Other SINs - Proposal'!S649)," ",'ALL Other SINs - Proposal'!S649)</f>
        <v xml:space="preserve"> </v>
      </c>
      <c r="G649" s="173" t="str">
        <f>IF(ISBLANK('ALL Other SINs - Proposal'!T649)," ",'ALL Other SINs - Proposal'!T649)</f>
        <v xml:space="preserve"> </v>
      </c>
      <c r="H649" s="275" t="str">
        <f>IF(ISBLANK('ALL Other SINs - Proposal'!V649)," ",'ALL Other SINs - Proposal'!V649)</f>
        <v xml:space="preserve"> </v>
      </c>
      <c r="I649" s="271" t="str">
        <f>IF(ISBLANK('ALL Other SINs - Proposal'!W649)," ",'ALL Other SINs - Proposal'!W649)</f>
        <v xml:space="preserve"> </v>
      </c>
      <c r="J649" s="71" t="str">
        <f>IF(ISBLANK('ALL Other SINs - Proposal'!X649)," ",'ALL Other SINs - Proposal'!X649)</f>
        <v xml:space="preserve"> </v>
      </c>
      <c r="K649" s="165" t="str">
        <f>IF(ISBLANK('ALL Other SINs - Proposal'!AA649)," ",'ALL Other SINs - Proposal'!AA649)</f>
        <v xml:space="preserve"> </v>
      </c>
      <c r="L649" s="178" t="str">
        <f>IF(ISBLANK('ALL Other SINs - Proposal'!AB649)," ",'ALL Other SINs - Proposal'!AB649)</f>
        <v xml:space="preserve"> </v>
      </c>
      <c r="M649" s="72" t="str">
        <f t="shared" si="20"/>
        <v xml:space="preserve"> </v>
      </c>
      <c r="N649" s="167" t="str">
        <f t="shared" si="21"/>
        <v xml:space="preserve"> </v>
      </c>
    </row>
    <row r="650" spans="1:14" ht="15" x14ac:dyDescent="0.25">
      <c r="A650" s="131" t="str">
        <f>IF(ISBLANK('ALL Other SINs - Proposal'!A650)," ",'ALL Other SINs - Proposal'!A650)</f>
        <v xml:space="preserve"> </v>
      </c>
      <c r="B650" s="137" t="str">
        <f>IF(ISBLANK('ALL Other SINs - Proposal'!B650)," ",'ALL Other SINs - Proposal'!B650)</f>
        <v xml:space="preserve"> </v>
      </c>
      <c r="C650" s="137" t="str">
        <f>IF(ISBLANK('ALL Other SINs - Proposal'!C650)," ",'ALL Other SINs - Proposal'!C650)</f>
        <v xml:space="preserve"> </v>
      </c>
      <c r="D650" s="138" t="str">
        <f>IF(ISBLANK('ALL Other SINs - Proposal'!D650)," ",'ALL Other SINs - Proposal'!D650)</f>
        <v xml:space="preserve"> </v>
      </c>
      <c r="E650" s="69" t="str">
        <f>IF(ISBLANK('ALL Other SINs - Proposal'!R650)," ",'ALL Other SINs - Proposal'!R650)</f>
        <v xml:space="preserve"> </v>
      </c>
      <c r="F650" s="73" t="str">
        <f>IF(ISBLANK('ALL Other SINs - Proposal'!S650)," ",'ALL Other SINs - Proposal'!S650)</f>
        <v xml:space="preserve"> </v>
      </c>
      <c r="G650" s="173" t="str">
        <f>IF(ISBLANK('ALL Other SINs - Proposal'!T650)," ",'ALL Other SINs - Proposal'!T650)</f>
        <v xml:space="preserve"> </v>
      </c>
      <c r="H650" s="275" t="str">
        <f>IF(ISBLANK('ALL Other SINs - Proposal'!V650)," ",'ALL Other SINs - Proposal'!V650)</f>
        <v xml:space="preserve"> </v>
      </c>
      <c r="I650" s="271" t="str">
        <f>IF(ISBLANK('ALL Other SINs - Proposal'!W650)," ",'ALL Other SINs - Proposal'!W650)</f>
        <v xml:space="preserve"> </v>
      </c>
      <c r="J650" s="71" t="str">
        <f>IF(ISBLANK('ALL Other SINs - Proposal'!X650)," ",'ALL Other SINs - Proposal'!X650)</f>
        <v xml:space="preserve"> </v>
      </c>
      <c r="K650" s="165" t="str">
        <f>IF(ISBLANK('ALL Other SINs - Proposal'!AA650)," ",'ALL Other SINs - Proposal'!AA650)</f>
        <v xml:space="preserve"> </v>
      </c>
      <c r="L650" s="178" t="str">
        <f>IF(ISBLANK('ALL Other SINs - Proposal'!AB650)," ",'ALL Other SINs - Proposal'!AB650)</f>
        <v xml:space="preserve"> </v>
      </c>
      <c r="M650" s="72" t="str">
        <f t="shared" si="20"/>
        <v xml:space="preserve"> </v>
      </c>
      <c r="N650" s="167" t="str">
        <f t="shared" si="21"/>
        <v xml:space="preserve"> </v>
      </c>
    </row>
    <row r="651" spans="1:14" ht="15" x14ac:dyDescent="0.25">
      <c r="A651" s="131" t="str">
        <f>IF(ISBLANK('ALL Other SINs - Proposal'!A651)," ",'ALL Other SINs - Proposal'!A651)</f>
        <v xml:space="preserve"> </v>
      </c>
      <c r="B651" s="137" t="str">
        <f>IF(ISBLANK('ALL Other SINs - Proposal'!B651)," ",'ALL Other SINs - Proposal'!B651)</f>
        <v xml:space="preserve"> </v>
      </c>
      <c r="C651" s="137" t="str">
        <f>IF(ISBLANK('ALL Other SINs - Proposal'!C651)," ",'ALL Other SINs - Proposal'!C651)</f>
        <v xml:space="preserve"> </v>
      </c>
      <c r="D651" s="138" t="str">
        <f>IF(ISBLANK('ALL Other SINs - Proposal'!D651)," ",'ALL Other SINs - Proposal'!D651)</f>
        <v xml:space="preserve"> </v>
      </c>
      <c r="E651" s="69" t="str">
        <f>IF(ISBLANK('ALL Other SINs - Proposal'!R651)," ",'ALL Other SINs - Proposal'!R651)</f>
        <v xml:space="preserve"> </v>
      </c>
      <c r="F651" s="73" t="str">
        <f>IF(ISBLANK('ALL Other SINs - Proposal'!S651)," ",'ALL Other SINs - Proposal'!S651)</f>
        <v xml:space="preserve"> </v>
      </c>
      <c r="G651" s="173" t="str">
        <f>IF(ISBLANK('ALL Other SINs - Proposal'!T651)," ",'ALL Other SINs - Proposal'!T651)</f>
        <v xml:space="preserve"> </v>
      </c>
      <c r="H651" s="275" t="str">
        <f>IF(ISBLANK('ALL Other SINs - Proposal'!V651)," ",'ALL Other SINs - Proposal'!V651)</f>
        <v xml:space="preserve"> </v>
      </c>
      <c r="I651" s="271" t="str">
        <f>IF(ISBLANK('ALL Other SINs - Proposal'!W651)," ",'ALL Other SINs - Proposal'!W651)</f>
        <v xml:space="preserve"> </v>
      </c>
      <c r="J651" s="71" t="str">
        <f>IF(ISBLANK('ALL Other SINs - Proposal'!X651)," ",'ALL Other SINs - Proposal'!X651)</f>
        <v xml:space="preserve"> </v>
      </c>
      <c r="K651" s="165" t="str">
        <f>IF(ISBLANK('ALL Other SINs - Proposal'!AA651)," ",'ALL Other SINs - Proposal'!AA651)</f>
        <v xml:space="preserve"> </v>
      </c>
      <c r="L651" s="178" t="str">
        <f>IF(ISBLANK('ALL Other SINs - Proposal'!AB651)," ",'ALL Other SINs - Proposal'!AB651)</f>
        <v xml:space="preserve"> </v>
      </c>
      <c r="M651" s="72" t="str">
        <f t="shared" si="20"/>
        <v xml:space="preserve"> </v>
      </c>
      <c r="N651" s="167" t="str">
        <f t="shared" si="21"/>
        <v xml:space="preserve"> </v>
      </c>
    </row>
    <row r="652" spans="1:14" ht="15" x14ac:dyDescent="0.25">
      <c r="A652" s="131" t="str">
        <f>IF(ISBLANK('ALL Other SINs - Proposal'!A652)," ",'ALL Other SINs - Proposal'!A652)</f>
        <v xml:space="preserve"> </v>
      </c>
      <c r="B652" s="137" t="str">
        <f>IF(ISBLANK('ALL Other SINs - Proposal'!B652)," ",'ALL Other SINs - Proposal'!B652)</f>
        <v xml:space="preserve"> </v>
      </c>
      <c r="C652" s="137" t="str">
        <f>IF(ISBLANK('ALL Other SINs - Proposal'!C652)," ",'ALL Other SINs - Proposal'!C652)</f>
        <v xml:space="preserve"> </v>
      </c>
      <c r="D652" s="138" t="str">
        <f>IF(ISBLANK('ALL Other SINs - Proposal'!D652)," ",'ALL Other SINs - Proposal'!D652)</f>
        <v xml:space="preserve"> </v>
      </c>
      <c r="E652" s="69" t="str">
        <f>IF(ISBLANK('ALL Other SINs - Proposal'!R652)," ",'ALL Other SINs - Proposal'!R652)</f>
        <v xml:space="preserve"> </v>
      </c>
      <c r="F652" s="73" t="str">
        <f>IF(ISBLANK('ALL Other SINs - Proposal'!S652)," ",'ALL Other SINs - Proposal'!S652)</f>
        <v xml:space="preserve"> </v>
      </c>
      <c r="G652" s="173" t="str">
        <f>IF(ISBLANK('ALL Other SINs - Proposal'!T652)," ",'ALL Other SINs - Proposal'!T652)</f>
        <v xml:space="preserve"> </v>
      </c>
      <c r="H652" s="275" t="str">
        <f>IF(ISBLANK('ALL Other SINs - Proposal'!V652)," ",'ALL Other SINs - Proposal'!V652)</f>
        <v xml:space="preserve"> </v>
      </c>
      <c r="I652" s="271" t="str">
        <f>IF(ISBLANK('ALL Other SINs - Proposal'!W652)," ",'ALL Other SINs - Proposal'!W652)</f>
        <v xml:space="preserve"> </v>
      </c>
      <c r="J652" s="71" t="str">
        <f>IF(ISBLANK('ALL Other SINs - Proposal'!X652)," ",'ALL Other SINs - Proposal'!X652)</f>
        <v xml:space="preserve"> </v>
      </c>
      <c r="K652" s="165" t="str">
        <f>IF(ISBLANK('ALL Other SINs - Proposal'!AA652)," ",'ALL Other SINs - Proposal'!AA652)</f>
        <v xml:space="preserve"> </v>
      </c>
      <c r="L652" s="178" t="str">
        <f>IF(ISBLANK('ALL Other SINs - Proposal'!AB652)," ",'ALL Other SINs - Proposal'!AB652)</f>
        <v xml:space="preserve"> </v>
      </c>
      <c r="M652" s="72" t="str">
        <f t="shared" si="20"/>
        <v xml:space="preserve"> </v>
      </c>
      <c r="N652" s="167" t="str">
        <f t="shared" si="21"/>
        <v xml:space="preserve"> </v>
      </c>
    </row>
    <row r="653" spans="1:14" ht="15" x14ac:dyDescent="0.25">
      <c r="A653" s="131" t="str">
        <f>IF(ISBLANK('ALL Other SINs - Proposal'!A653)," ",'ALL Other SINs - Proposal'!A653)</f>
        <v xml:space="preserve"> </v>
      </c>
      <c r="B653" s="137" t="str">
        <f>IF(ISBLANK('ALL Other SINs - Proposal'!B653)," ",'ALL Other SINs - Proposal'!B653)</f>
        <v xml:space="preserve"> </v>
      </c>
      <c r="C653" s="137" t="str">
        <f>IF(ISBLANK('ALL Other SINs - Proposal'!C653)," ",'ALL Other SINs - Proposal'!C653)</f>
        <v xml:space="preserve"> </v>
      </c>
      <c r="D653" s="138" t="str">
        <f>IF(ISBLANK('ALL Other SINs - Proposal'!D653)," ",'ALL Other SINs - Proposal'!D653)</f>
        <v xml:space="preserve"> </v>
      </c>
      <c r="E653" s="69" t="str">
        <f>IF(ISBLANK('ALL Other SINs - Proposal'!R653)," ",'ALL Other SINs - Proposal'!R653)</f>
        <v xml:space="preserve"> </v>
      </c>
      <c r="F653" s="73" t="str">
        <f>IF(ISBLANK('ALL Other SINs - Proposal'!S653)," ",'ALL Other SINs - Proposal'!S653)</f>
        <v xml:space="preserve"> </v>
      </c>
      <c r="G653" s="173" t="str">
        <f>IF(ISBLANK('ALL Other SINs - Proposal'!T653)," ",'ALL Other SINs - Proposal'!T653)</f>
        <v xml:space="preserve"> </v>
      </c>
      <c r="H653" s="275" t="str">
        <f>IF(ISBLANK('ALL Other SINs - Proposal'!V653)," ",'ALL Other SINs - Proposal'!V653)</f>
        <v xml:space="preserve"> </v>
      </c>
      <c r="I653" s="271" t="str">
        <f>IF(ISBLANK('ALL Other SINs - Proposal'!W653)," ",'ALL Other SINs - Proposal'!W653)</f>
        <v xml:space="preserve"> </v>
      </c>
      <c r="J653" s="71" t="str">
        <f>IF(ISBLANK('ALL Other SINs - Proposal'!X653)," ",'ALL Other SINs - Proposal'!X653)</f>
        <v xml:space="preserve"> </v>
      </c>
      <c r="K653" s="165" t="str">
        <f>IF(ISBLANK('ALL Other SINs - Proposal'!AA653)," ",'ALL Other SINs - Proposal'!AA653)</f>
        <v xml:space="preserve"> </v>
      </c>
      <c r="L653" s="178" t="str">
        <f>IF(ISBLANK('ALL Other SINs - Proposal'!AB653)," ",'ALL Other SINs - Proposal'!AB653)</f>
        <v xml:space="preserve"> </v>
      </c>
      <c r="M653" s="72" t="str">
        <f t="shared" si="20"/>
        <v xml:space="preserve"> </v>
      </c>
      <c r="N653" s="167" t="str">
        <f t="shared" si="21"/>
        <v xml:space="preserve"> </v>
      </c>
    </row>
    <row r="654" spans="1:14" ht="15" x14ac:dyDescent="0.25">
      <c r="A654" s="131" t="str">
        <f>IF(ISBLANK('ALL Other SINs - Proposal'!A654)," ",'ALL Other SINs - Proposal'!A654)</f>
        <v xml:space="preserve"> </v>
      </c>
      <c r="B654" s="137" t="str">
        <f>IF(ISBLANK('ALL Other SINs - Proposal'!B654)," ",'ALL Other SINs - Proposal'!B654)</f>
        <v xml:space="preserve"> </v>
      </c>
      <c r="C654" s="137" t="str">
        <f>IF(ISBLANK('ALL Other SINs - Proposal'!C654)," ",'ALL Other SINs - Proposal'!C654)</f>
        <v xml:space="preserve"> </v>
      </c>
      <c r="D654" s="138" t="str">
        <f>IF(ISBLANK('ALL Other SINs - Proposal'!D654)," ",'ALL Other SINs - Proposal'!D654)</f>
        <v xml:space="preserve"> </v>
      </c>
      <c r="E654" s="69" t="str">
        <f>IF(ISBLANK('ALL Other SINs - Proposal'!R654)," ",'ALL Other SINs - Proposal'!R654)</f>
        <v xml:space="preserve"> </v>
      </c>
      <c r="F654" s="73" t="str">
        <f>IF(ISBLANK('ALL Other SINs - Proposal'!S654)," ",'ALL Other SINs - Proposal'!S654)</f>
        <v xml:space="preserve"> </v>
      </c>
      <c r="G654" s="173" t="str">
        <f>IF(ISBLANK('ALL Other SINs - Proposal'!T654)," ",'ALL Other SINs - Proposal'!T654)</f>
        <v xml:space="preserve"> </v>
      </c>
      <c r="H654" s="275" t="str">
        <f>IF(ISBLANK('ALL Other SINs - Proposal'!V654)," ",'ALL Other SINs - Proposal'!V654)</f>
        <v xml:space="preserve"> </v>
      </c>
      <c r="I654" s="271" t="str">
        <f>IF(ISBLANK('ALL Other SINs - Proposal'!W654)," ",'ALL Other SINs - Proposal'!W654)</f>
        <v xml:space="preserve"> </v>
      </c>
      <c r="J654" s="71" t="str">
        <f>IF(ISBLANK('ALL Other SINs - Proposal'!X654)," ",'ALL Other SINs - Proposal'!X654)</f>
        <v xml:space="preserve"> </v>
      </c>
      <c r="K654" s="165" t="str">
        <f>IF(ISBLANK('ALL Other SINs - Proposal'!AA654)," ",'ALL Other SINs - Proposal'!AA654)</f>
        <v xml:space="preserve"> </v>
      </c>
      <c r="L654" s="178" t="str">
        <f>IF(ISBLANK('ALL Other SINs - Proposal'!AB654)," ",'ALL Other SINs - Proposal'!AB654)</f>
        <v xml:space="preserve"> </v>
      </c>
      <c r="M654" s="72" t="str">
        <f t="shared" si="20"/>
        <v xml:space="preserve"> </v>
      </c>
      <c r="N654" s="167" t="str">
        <f t="shared" si="21"/>
        <v xml:space="preserve"> </v>
      </c>
    </row>
    <row r="655" spans="1:14" ht="15" x14ac:dyDescent="0.25">
      <c r="A655" s="131" t="str">
        <f>IF(ISBLANK('ALL Other SINs - Proposal'!A655)," ",'ALL Other SINs - Proposal'!A655)</f>
        <v xml:space="preserve"> </v>
      </c>
      <c r="B655" s="137" t="str">
        <f>IF(ISBLANK('ALL Other SINs - Proposal'!B655)," ",'ALL Other SINs - Proposal'!B655)</f>
        <v xml:space="preserve"> </v>
      </c>
      <c r="C655" s="137" t="str">
        <f>IF(ISBLANK('ALL Other SINs - Proposal'!C655)," ",'ALL Other SINs - Proposal'!C655)</f>
        <v xml:space="preserve"> </v>
      </c>
      <c r="D655" s="138" t="str">
        <f>IF(ISBLANK('ALL Other SINs - Proposal'!D655)," ",'ALL Other SINs - Proposal'!D655)</f>
        <v xml:space="preserve"> </v>
      </c>
      <c r="E655" s="69" t="str">
        <f>IF(ISBLANK('ALL Other SINs - Proposal'!R655)," ",'ALL Other SINs - Proposal'!R655)</f>
        <v xml:space="preserve"> </v>
      </c>
      <c r="F655" s="73" t="str">
        <f>IF(ISBLANK('ALL Other SINs - Proposal'!S655)," ",'ALL Other SINs - Proposal'!S655)</f>
        <v xml:space="preserve"> </v>
      </c>
      <c r="G655" s="173" t="str">
        <f>IF(ISBLANK('ALL Other SINs - Proposal'!T655)," ",'ALL Other SINs - Proposal'!T655)</f>
        <v xml:space="preserve"> </v>
      </c>
      <c r="H655" s="275" t="str">
        <f>IF(ISBLANK('ALL Other SINs - Proposal'!V655)," ",'ALL Other SINs - Proposal'!V655)</f>
        <v xml:space="preserve"> </v>
      </c>
      <c r="I655" s="271" t="str">
        <f>IF(ISBLANK('ALL Other SINs - Proposal'!W655)," ",'ALL Other SINs - Proposal'!W655)</f>
        <v xml:space="preserve"> </v>
      </c>
      <c r="J655" s="71" t="str">
        <f>IF(ISBLANK('ALL Other SINs - Proposal'!X655)," ",'ALL Other SINs - Proposal'!X655)</f>
        <v xml:space="preserve"> </v>
      </c>
      <c r="K655" s="165" t="str">
        <f>IF(ISBLANK('ALL Other SINs - Proposal'!AA655)," ",'ALL Other SINs - Proposal'!AA655)</f>
        <v xml:space="preserve"> </v>
      </c>
      <c r="L655" s="178" t="str">
        <f>IF(ISBLANK('ALL Other SINs - Proposal'!AB655)," ",'ALL Other SINs - Proposal'!AB655)</f>
        <v xml:space="preserve"> </v>
      </c>
      <c r="M655" s="72" t="str">
        <f t="shared" si="20"/>
        <v xml:space="preserve"> </v>
      </c>
      <c r="N655" s="167" t="str">
        <f t="shared" si="21"/>
        <v xml:space="preserve"> </v>
      </c>
    </row>
    <row r="656" spans="1:14" ht="15" x14ac:dyDescent="0.25">
      <c r="A656" s="131" t="str">
        <f>IF(ISBLANK('ALL Other SINs - Proposal'!A656)," ",'ALL Other SINs - Proposal'!A656)</f>
        <v xml:space="preserve"> </v>
      </c>
      <c r="B656" s="137" t="str">
        <f>IF(ISBLANK('ALL Other SINs - Proposal'!B656)," ",'ALL Other SINs - Proposal'!B656)</f>
        <v xml:space="preserve"> </v>
      </c>
      <c r="C656" s="137" t="str">
        <f>IF(ISBLANK('ALL Other SINs - Proposal'!C656)," ",'ALL Other SINs - Proposal'!C656)</f>
        <v xml:space="preserve"> </v>
      </c>
      <c r="D656" s="138" t="str">
        <f>IF(ISBLANK('ALL Other SINs - Proposal'!D656)," ",'ALL Other SINs - Proposal'!D656)</f>
        <v xml:space="preserve"> </v>
      </c>
      <c r="E656" s="69" t="str">
        <f>IF(ISBLANK('ALL Other SINs - Proposal'!R656)," ",'ALL Other SINs - Proposal'!R656)</f>
        <v xml:space="preserve"> </v>
      </c>
      <c r="F656" s="73" t="str">
        <f>IF(ISBLANK('ALL Other SINs - Proposal'!S656)," ",'ALL Other SINs - Proposal'!S656)</f>
        <v xml:space="preserve"> </v>
      </c>
      <c r="G656" s="173" t="str">
        <f>IF(ISBLANK('ALL Other SINs - Proposal'!T656)," ",'ALL Other SINs - Proposal'!T656)</f>
        <v xml:space="preserve"> </v>
      </c>
      <c r="H656" s="275" t="str">
        <f>IF(ISBLANK('ALL Other SINs - Proposal'!V656)," ",'ALL Other SINs - Proposal'!V656)</f>
        <v xml:space="preserve"> </v>
      </c>
      <c r="I656" s="271" t="str">
        <f>IF(ISBLANK('ALL Other SINs - Proposal'!W656)," ",'ALL Other SINs - Proposal'!W656)</f>
        <v xml:space="preserve"> </v>
      </c>
      <c r="J656" s="71" t="str">
        <f>IF(ISBLANK('ALL Other SINs - Proposal'!X656)," ",'ALL Other SINs - Proposal'!X656)</f>
        <v xml:space="preserve"> </v>
      </c>
      <c r="K656" s="165" t="str">
        <f>IF(ISBLANK('ALL Other SINs - Proposal'!AA656)," ",'ALL Other SINs - Proposal'!AA656)</f>
        <v xml:space="preserve"> </v>
      </c>
      <c r="L656" s="178" t="str">
        <f>IF(ISBLANK('ALL Other SINs - Proposal'!AB656)," ",'ALL Other SINs - Proposal'!AB656)</f>
        <v xml:space="preserve"> </v>
      </c>
      <c r="M656" s="72" t="str">
        <f t="shared" si="20"/>
        <v xml:space="preserve"> </v>
      </c>
      <c r="N656" s="167" t="str">
        <f t="shared" si="21"/>
        <v xml:space="preserve"> </v>
      </c>
    </row>
    <row r="657" spans="1:14" ht="15" x14ac:dyDescent="0.25">
      <c r="A657" s="131" t="str">
        <f>IF(ISBLANK('ALL Other SINs - Proposal'!A657)," ",'ALL Other SINs - Proposal'!A657)</f>
        <v xml:space="preserve"> </v>
      </c>
      <c r="B657" s="137" t="str">
        <f>IF(ISBLANK('ALL Other SINs - Proposal'!B657)," ",'ALL Other SINs - Proposal'!B657)</f>
        <v xml:space="preserve"> </v>
      </c>
      <c r="C657" s="137" t="str">
        <f>IF(ISBLANK('ALL Other SINs - Proposal'!C657)," ",'ALL Other SINs - Proposal'!C657)</f>
        <v xml:space="preserve"> </v>
      </c>
      <c r="D657" s="138" t="str">
        <f>IF(ISBLANK('ALL Other SINs - Proposal'!D657)," ",'ALL Other SINs - Proposal'!D657)</f>
        <v xml:space="preserve"> </v>
      </c>
      <c r="E657" s="69" t="str">
        <f>IF(ISBLANK('ALL Other SINs - Proposal'!R657)," ",'ALL Other SINs - Proposal'!R657)</f>
        <v xml:space="preserve"> </v>
      </c>
      <c r="F657" s="73" t="str">
        <f>IF(ISBLANK('ALL Other SINs - Proposal'!S657)," ",'ALL Other SINs - Proposal'!S657)</f>
        <v xml:space="preserve"> </v>
      </c>
      <c r="G657" s="173" t="str">
        <f>IF(ISBLANK('ALL Other SINs - Proposal'!T657)," ",'ALL Other SINs - Proposal'!T657)</f>
        <v xml:space="preserve"> </v>
      </c>
      <c r="H657" s="275" t="str">
        <f>IF(ISBLANK('ALL Other SINs - Proposal'!V657)," ",'ALL Other SINs - Proposal'!V657)</f>
        <v xml:space="preserve"> </v>
      </c>
      <c r="I657" s="271" t="str">
        <f>IF(ISBLANK('ALL Other SINs - Proposal'!W657)," ",'ALL Other SINs - Proposal'!W657)</f>
        <v xml:space="preserve"> </v>
      </c>
      <c r="J657" s="71" t="str">
        <f>IF(ISBLANK('ALL Other SINs - Proposal'!X657)," ",'ALL Other SINs - Proposal'!X657)</f>
        <v xml:space="preserve"> </v>
      </c>
      <c r="K657" s="165" t="str">
        <f>IF(ISBLANK('ALL Other SINs - Proposal'!AA657)," ",'ALL Other SINs - Proposal'!AA657)</f>
        <v xml:space="preserve"> </v>
      </c>
      <c r="L657" s="178" t="str">
        <f>IF(ISBLANK('ALL Other SINs - Proposal'!AB657)," ",'ALL Other SINs - Proposal'!AB657)</f>
        <v xml:space="preserve"> </v>
      </c>
      <c r="M657" s="72" t="str">
        <f t="shared" si="20"/>
        <v xml:space="preserve"> </v>
      </c>
      <c r="N657" s="167" t="str">
        <f t="shared" si="21"/>
        <v xml:space="preserve"> </v>
      </c>
    </row>
    <row r="658" spans="1:14" ht="15" x14ac:dyDescent="0.25">
      <c r="A658" s="131" t="str">
        <f>IF(ISBLANK('ALL Other SINs - Proposal'!A658)," ",'ALL Other SINs - Proposal'!A658)</f>
        <v xml:space="preserve"> </v>
      </c>
      <c r="B658" s="137" t="str">
        <f>IF(ISBLANK('ALL Other SINs - Proposal'!B658)," ",'ALL Other SINs - Proposal'!B658)</f>
        <v xml:space="preserve"> </v>
      </c>
      <c r="C658" s="137" t="str">
        <f>IF(ISBLANK('ALL Other SINs - Proposal'!C658)," ",'ALL Other SINs - Proposal'!C658)</f>
        <v xml:space="preserve"> </v>
      </c>
      <c r="D658" s="138" t="str">
        <f>IF(ISBLANK('ALL Other SINs - Proposal'!D658)," ",'ALL Other SINs - Proposal'!D658)</f>
        <v xml:space="preserve"> </v>
      </c>
      <c r="E658" s="69" t="str">
        <f>IF(ISBLANK('ALL Other SINs - Proposal'!R658)," ",'ALL Other SINs - Proposal'!R658)</f>
        <v xml:space="preserve"> </v>
      </c>
      <c r="F658" s="73" t="str">
        <f>IF(ISBLANK('ALL Other SINs - Proposal'!S658)," ",'ALL Other SINs - Proposal'!S658)</f>
        <v xml:space="preserve"> </v>
      </c>
      <c r="G658" s="173" t="str">
        <f>IF(ISBLANK('ALL Other SINs - Proposal'!T658)," ",'ALL Other SINs - Proposal'!T658)</f>
        <v xml:space="preserve"> </v>
      </c>
      <c r="H658" s="275" t="str">
        <f>IF(ISBLANK('ALL Other SINs - Proposal'!V658)," ",'ALL Other SINs - Proposal'!V658)</f>
        <v xml:space="preserve"> </v>
      </c>
      <c r="I658" s="271" t="str">
        <f>IF(ISBLANK('ALL Other SINs - Proposal'!W658)," ",'ALL Other SINs - Proposal'!W658)</f>
        <v xml:space="preserve"> </v>
      </c>
      <c r="J658" s="71" t="str">
        <f>IF(ISBLANK('ALL Other SINs - Proposal'!X658)," ",'ALL Other SINs - Proposal'!X658)</f>
        <v xml:space="preserve"> </v>
      </c>
      <c r="K658" s="165" t="str">
        <f>IF(ISBLANK('ALL Other SINs - Proposal'!AA658)," ",'ALL Other SINs - Proposal'!AA658)</f>
        <v xml:space="preserve"> </v>
      </c>
      <c r="L658" s="178" t="str">
        <f>IF(ISBLANK('ALL Other SINs - Proposal'!AB658)," ",'ALL Other SINs - Proposal'!AB658)</f>
        <v xml:space="preserve"> </v>
      </c>
      <c r="M658" s="72" t="str">
        <f t="shared" si="20"/>
        <v xml:space="preserve"> </v>
      </c>
      <c r="N658" s="167" t="str">
        <f t="shared" si="21"/>
        <v xml:space="preserve"> </v>
      </c>
    </row>
    <row r="659" spans="1:14" ht="15" x14ac:dyDescent="0.25">
      <c r="A659" s="131" t="str">
        <f>IF(ISBLANK('ALL Other SINs - Proposal'!A659)," ",'ALL Other SINs - Proposal'!A659)</f>
        <v xml:space="preserve"> </v>
      </c>
      <c r="B659" s="137" t="str">
        <f>IF(ISBLANK('ALL Other SINs - Proposal'!B659)," ",'ALL Other SINs - Proposal'!B659)</f>
        <v xml:space="preserve"> </v>
      </c>
      <c r="C659" s="137" t="str">
        <f>IF(ISBLANK('ALL Other SINs - Proposal'!C659)," ",'ALL Other SINs - Proposal'!C659)</f>
        <v xml:space="preserve"> </v>
      </c>
      <c r="D659" s="138" t="str">
        <f>IF(ISBLANK('ALL Other SINs - Proposal'!D659)," ",'ALL Other SINs - Proposal'!D659)</f>
        <v xml:space="preserve"> </v>
      </c>
      <c r="E659" s="69" t="str">
        <f>IF(ISBLANK('ALL Other SINs - Proposal'!R659)," ",'ALL Other SINs - Proposal'!R659)</f>
        <v xml:space="preserve"> </v>
      </c>
      <c r="F659" s="73" t="str">
        <f>IF(ISBLANK('ALL Other SINs - Proposal'!S659)," ",'ALL Other SINs - Proposal'!S659)</f>
        <v xml:space="preserve"> </v>
      </c>
      <c r="G659" s="173" t="str">
        <f>IF(ISBLANK('ALL Other SINs - Proposal'!T659)," ",'ALL Other SINs - Proposal'!T659)</f>
        <v xml:space="preserve"> </v>
      </c>
      <c r="H659" s="275" t="str">
        <f>IF(ISBLANK('ALL Other SINs - Proposal'!V659)," ",'ALL Other SINs - Proposal'!V659)</f>
        <v xml:space="preserve"> </v>
      </c>
      <c r="I659" s="271" t="str">
        <f>IF(ISBLANK('ALL Other SINs - Proposal'!W659)," ",'ALL Other SINs - Proposal'!W659)</f>
        <v xml:space="preserve"> </v>
      </c>
      <c r="J659" s="71" t="str">
        <f>IF(ISBLANK('ALL Other SINs - Proposal'!X659)," ",'ALL Other SINs - Proposal'!X659)</f>
        <v xml:space="preserve"> </v>
      </c>
      <c r="K659" s="165" t="str">
        <f>IF(ISBLANK('ALL Other SINs - Proposal'!AA659)," ",'ALL Other SINs - Proposal'!AA659)</f>
        <v xml:space="preserve"> </v>
      </c>
      <c r="L659" s="178" t="str">
        <f>IF(ISBLANK('ALL Other SINs - Proposal'!AB659)," ",'ALL Other SINs - Proposal'!AB659)</f>
        <v xml:space="preserve"> </v>
      </c>
      <c r="M659" s="72" t="str">
        <f t="shared" si="20"/>
        <v xml:space="preserve"> </v>
      </c>
      <c r="N659" s="167" t="str">
        <f t="shared" si="21"/>
        <v xml:space="preserve"> </v>
      </c>
    </row>
    <row r="660" spans="1:14" ht="15" x14ac:dyDescent="0.25">
      <c r="A660" s="131" t="str">
        <f>IF(ISBLANK('ALL Other SINs - Proposal'!A660)," ",'ALL Other SINs - Proposal'!A660)</f>
        <v xml:space="preserve"> </v>
      </c>
      <c r="B660" s="137" t="str">
        <f>IF(ISBLANK('ALL Other SINs - Proposal'!B660)," ",'ALL Other SINs - Proposal'!B660)</f>
        <v xml:space="preserve"> </v>
      </c>
      <c r="C660" s="137" t="str">
        <f>IF(ISBLANK('ALL Other SINs - Proposal'!C660)," ",'ALL Other SINs - Proposal'!C660)</f>
        <v xml:space="preserve"> </v>
      </c>
      <c r="D660" s="138" t="str">
        <f>IF(ISBLANK('ALL Other SINs - Proposal'!D660)," ",'ALL Other SINs - Proposal'!D660)</f>
        <v xml:space="preserve"> </v>
      </c>
      <c r="E660" s="69" t="str">
        <f>IF(ISBLANK('ALL Other SINs - Proposal'!R660)," ",'ALL Other SINs - Proposal'!R660)</f>
        <v xml:space="preserve"> </v>
      </c>
      <c r="F660" s="73" t="str">
        <f>IF(ISBLANK('ALL Other SINs - Proposal'!S660)," ",'ALL Other SINs - Proposal'!S660)</f>
        <v xml:space="preserve"> </v>
      </c>
      <c r="G660" s="173" t="str">
        <f>IF(ISBLANK('ALL Other SINs - Proposal'!T660)," ",'ALL Other SINs - Proposal'!T660)</f>
        <v xml:space="preserve"> </v>
      </c>
      <c r="H660" s="275" t="str">
        <f>IF(ISBLANK('ALL Other SINs - Proposal'!V660)," ",'ALL Other SINs - Proposal'!V660)</f>
        <v xml:space="preserve"> </v>
      </c>
      <c r="I660" s="271" t="str">
        <f>IF(ISBLANK('ALL Other SINs - Proposal'!W660)," ",'ALL Other SINs - Proposal'!W660)</f>
        <v xml:space="preserve"> </v>
      </c>
      <c r="J660" s="71" t="str">
        <f>IF(ISBLANK('ALL Other SINs - Proposal'!X660)," ",'ALL Other SINs - Proposal'!X660)</f>
        <v xml:space="preserve"> </v>
      </c>
      <c r="K660" s="165" t="str">
        <f>IF(ISBLANK('ALL Other SINs - Proposal'!AA660)," ",'ALL Other SINs - Proposal'!AA660)</f>
        <v xml:space="preserve"> </v>
      </c>
      <c r="L660" s="178" t="str">
        <f>IF(ISBLANK('ALL Other SINs - Proposal'!AB660)," ",'ALL Other SINs - Proposal'!AB660)</f>
        <v xml:space="preserve"> </v>
      </c>
      <c r="M660" s="72" t="str">
        <f t="shared" si="20"/>
        <v xml:space="preserve"> </v>
      </c>
      <c r="N660" s="167" t="str">
        <f t="shared" si="21"/>
        <v xml:space="preserve"> </v>
      </c>
    </row>
    <row r="661" spans="1:14" ht="15" x14ac:dyDescent="0.25">
      <c r="A661" s="131" t="str">
        <f>IF(ISBLANK('ALL Other SINs - Proposal'!A661)," ",'ALL Other SINs - Proposal'!A661)</f>
        <v xml:space="preserve"> </v>
      </c>
      <c r="B661" s="137" t="str">
        <f>IF(ISBLANK('ALL Other SINs - Proposal'!B661)," ",'ALL Other SINs - Proposal'!B661)</f>
        <v xml:space="preserve"> </v>
      </c>
      <c r="C661" s="137" t="str">
        <f>IF(ISBLANK('ALL Other SINs - Proposal'!C661)," ",'ALL Other SINs - Proposal'!C661)</f>
        <v xml:space="preserve"> </v>
      </c>
      <c r="D661" s="138" t="str">
        <f>IF(ISBLANK('ALL Other SINs - Proposal'!D661)," ",'ALL Other SINs - Proposal'!D661)</f>
        <v xml:space="preserve"> </v>
      </c>
      <c r="E661" s="69" t="str">
        <f>IF(ISBLANK('ALL Other SINs - Proposal'!R661)," ",'ALL Other SINs - Proposal'!R661)</f>
        <v xml:space="preserve"> </v>
      </c>
      <c r="F661" s="73" t="str">
        <f>IF(ISBLANK('ALL Other SINs - Proposal'!S661)," ",'ALL Other SINs - Proposal'!S661)</f>
        <v xml:space="preserve"> </v>
      </c>
      <c r="G661" s="173" t="str">
        <f>IF(ISBLANK('ALL Other SINs - Proposal'!T661)," ",'ALL Other SINs - Proposal'!T661)</f>
        <v xml:space="preserve"> </v>
      </c>
      <c r="H661" s="275" t="str">
        <f>IF(ISBLANK('ALL Other SINs - Proposal'!V661)," ",'ALL Other SINs - Proposal'!V661)</f>
        <v xml:space="preserve"> </v>
      </c>
      <c r="I661" s="271" t="str">
        <f>IF(ISBLANK('ALL Other SINs - Proposal'!W661)," ",'ALL Other SINs - Proposal'!W661)</f>
        <v xml:space="preserve"> </v>
      </c>
      <c r="J661" s="71" t="str">
        <f>IF(ISBLANK('ALL Other SINs - Proposal'!X661)," ",'ALL Other SINs - Proposal'!X661)</f>
        <v xml:space="preserve"> </v>
      </c>
      <c r="K661" s="165" t="str">
        <f>IF(ISBLANK('ALL Other SINs - Proposal'!AA661)," ",'ALL Other SINs - Proposal'!AA661)</f>
        <v xml:space="preserve"> </v>
      </c>
      <c r="L661" s="178" t="str">
        <f>IF(ISBLANK('ALL Other SINs - Proposal'!AB661)," ",'ALL Other SINs - Proposal'!AB661)</f>
        <v xml:space="preserve"> </v>
      </c>
      <c r="M661" s="72" t="str">
        <f t="shared" si="20"/>
        <v xml:space="preserve"> </v>
      </c>
      <c r="N661" s="167" t="str">
        <f t="shared" si="21"/>
        <v xml:space="preserve"> </v>
      </c>
    </row>
    <row r="662" spans="1:14" ht="15" x14ac:dyDescent="0.25">
      <c r="A662" s="131" t="str">
        <f>IF(ISBLANK('ALL Other SINs - Proposal'!A662)," ",'ALL Other SINs - Proposal'!A662)</f>
        <v xml:space="preserve"> </v>
      </c>
      <c r="B662" s="137" t="str">
        <f>IF(ISBLANK('ALL Other SINs - Proposal'!B662)," ",'ALL Other SINs - Proposal'!B662)</f>
        <v xml:space="preserve"> </v>
      </c>
      <c r="C662" s="137" t="str">
        <f>IF(ISBLANK('ALL Other SINs - Proposal'!C662)," ",'ALL Other SINs - Proposal'!C662)</f>
        <v xml:space="preserve"> </v>
      </c>
      <c r="D662" s="138" t="str">
        <f>IF(ISBLANK('ALL Other SINs - Proposal'!D662)," ",'ALL Other SINs - Proposal'!D662)</f>
        <v xml:space="preserve"> </v>
      </c>
      <c r="E662" s="69" t="str">
        <f>IF(ISBLANK('ALL Other SINs - Proposal'!R662)," ",'ALL Other SINs - Proposal'!R662)</f>
        <v xml:space="preserve"> </v>
      </c>
      <c r="F662" s="73" t="str">
        <f>IF(ISBLANK('ALL Other SINs - Proposal'!S662)," ",'ALL Other SINs - Proposal'!S662)</f>
        <v xml:space="preserve"> </v>
      </c>
      <c r="G662" s="173" t="str">
        <f>IF(ISBLANK('ALL Other SINs - Proposal'!T662)," ",'ALL Other SINs - Proposal'!T662)</f>
        <v xml:space="preserve"> </v>
      </c>
      <c r="H662" s="275" t="str">
        <f>IF(ISBLANK('ALL Other SINs - Proposal'!V662)," ",'ALL Other SINs - Proposal'!V662)</f>
        <v xml:space="preserve"> </v>
      </c>
      <c r="I662" s="271" t="str">
        <f>IF(ISBLANK('ALL Other SINs - Proposal'!W662)," ",'ALL Other SINs - Proposal'!W662)</f>
        <v xml:space="preserve"> </v>
      </c>
      <c r="J662" s="71" t="str">
        <f>IF(ISBLANK('ALL Other SINs - Proposal'!X662)," ",'ALL Other SINs - Proposal'!X662)</f>
        <v xml:space="preserve"> </v>
      </c>
      <c r="K662" s="165" t="str">
        <f>IF(ISBLANK('ALL Other SINs - Proposal'!AA662)," ",'ALL Other SINs - Proposal'!AA662)</f>
        <v xml:space="preserve"> </v>
      </c>
      <c r="L662" s="178" t="str">
        <f>IF(ISBLANK('ALL Other SINs - Proposal'!AB662)," ",'ALL Other SINs - Proposal'!AB662)</f>
        <v xml:space="preserve"> </v>
      </c>
      <c r="M662" s="72" t="str">
        <f t="shared" si="20"/>
        <v xml:space="preserve"> </v>
      </c>
      <c r="N662" s="167" t="str">
        <f t="shared" si="21"/>
        <v xml:space="preserve"> </v>
      </c>
    </row>
    <row r="663" spans="1:14" ht="15" x14ac:dyDescent="0.25">
      <c r="A663" s="131" t="str">
        <f>IF(ISBLANK('ALL Other SINs - Proposal'!A663)," ",'ALL Other SINs - Proposal'!A663)</f>
        <v xml:space="preserve"> </v>
      </c>
      <c r="B663" s="137" t="str">
        <f>IF(ISBLANK('ALL Other SINs - Proposal'!B663)," ",'ALL Other SINs - Proposal'!B663)</f>
        <v xml:space="preserve"> </v>
      </c>
      <c r="C663" s="137" t="str">
        <f>IF(ISBLANK('ALL Other SINs - Proposal'!C663)," ",'ALL Other SINs - Proposal'!C663)</f>
        <v xml:space="preserve"> </v>
      </c>
      <c r="D663" s="138" t="str">
        <f>IF(ISBLANK('ALL Other SINs - Proposal'!D663)," ",'ALL Other SINs - Proposal'!D663)</f>
        <v xml:space="preserve"> </v>
      </c>
      <c r="E663" s="69" t="str">
        <f>IF(ISBLANK('ALL Other SINs - Proposal'!R663)," ",'ALL Other SINs - Proposal'!R663)</f>
        <v xml:space="preserve"> </v>
      </c>
      <c r="F663" s="73" t="str">
        <f>IF(ISBLANK('ALL Other SINs - Proposal'!S663)," ",'ALL Other SINs - Proposal'!S663)</f>
        <v xml:space="preserve"> </v>
      </c>
      <c r="G663" s="173" t="str">
        <f>IF(ISBLANK('ALL Other SINs - Proposal'!T663)," ",'ALL Other SINs - Proposal'!T663)</f>
        <v xml:space="preserve"> </v>
      </c>
      <c r="H663" s="275" t="str">
        <f>IF(ISBLANK('ALL Other SINs - Proposal'!V663)," ",'ALL Other SINs - Proposal'!V663)</f>
        <v xml:space="preserve"> </v>
      </c>
      <c r="I663" s="271" t="str">
        <f>IF(ISBLANK('ALL Other SINs - Proposal'!W663)," ",'ALL Other SINs - Proposal'!W663)</f>
        <v xml:space="preserve"> </v>
      </c>
      <c r="J663" s="71" t="str">
        <f>IF(ISBLANK('ALL Other SINs - Proposal'!X663)," ",'ALL Other SINs - Proposal'!X663)</f>
        <v xml:space="preserve"> </v>
      </c>
      <c r="K663" s="165" t="str">
        <f>IF(ISBLANK('ALL Other SINs - Proposal'!AA663)," ",'ALL Other SINs - Proposal'!AA663)</f>
        <v xml:space="preserve"> </v>
      </c>
      <c r="L663" s="178" t="str">
        <f>IF(ISBLANK('ALL Other SINs - Proposal'!AB663)," ",'ALL Other SINs - Proposal'!AB663)</f>
        <v xml:space="preserve"> </v>
      </c>
      <c r="M663" s="72" t="str">
        <f t="shared" si="20"/>
        <v xml:space="preserve"> </v>
      </c>
      <c r="N663" s="167" t="str">
        <f t="shared" si="21"/>
        <v xml:space="preserve"> </v>
      </c>
    </row>
    <row r="664" spans="1:14" ht="15" x14ac:dyDescent="0.25">
      <c r="A664" s="131" t="str">
        <f>IF(ISBLANK('ALL Other SINs - Proposal'!A664)," ",'ALL Other SINs - Proposal'!A664)</f>
        <v xml:space="preserve"> </v>
      </c>
      <c r="B664" s="137" t="str">
        <f>IF(ISBLANK('ALL Other SINs - Proposal'!B664)," ",'ALL Other SINs - Proposal'!B664)</f>
        <v xml:space="preserve"> </v>
      </c>
      <c r="C664" s="137" t="str">
        <f>IF(ISBLANK('ALL Other SINs - Proposal'!C664)," ",'ALL Other SINs - Proposal'!C664)</f>
        <v xml:space="preserve"> </v>
      </c>
      <c r="D664" s="138" t="str">
        <f>IF(ISBLANK('ALL Other SINs - Proposal'!D664)," ",'ALL Other SINs - Proposal'!D664)</f>
        <v xml:space="preserve"> </v>
      </c>
      <c r="E664" s="69" t="str">
        <f>IF(ISBLANK('ALL Other SINs - Proposal'!R664)," ",'ALL Other SINs - Proposal'!R664)</f>
        <v xml:space="preserve"> </v>
      </c>
      <c r="F664" s="73" t="str">
        <f>IF(ISBLANK('ALL Other SINs - Proposal'!S664)," ",'ALL Other SINs - Proposal'!S664)</f>
        <v xml:space="preserve"> </v>
      </c>
      <c r="G664" s="173" t="str">
        <f>IF(ISBLANK('ALL Other SINs - Proposal'!T664)," ",'ALL Other SINs - Proposal'!T664)</f>
        <v xml:space="preserve"> </v>
      </c>
      <c r="H664" s="275" t="str">
        <f>IF(ISBLANK('ALL Other SINs - Proposal'!V664)," ",'ALL Other SINs - Proposal'!V664)</f>
        <v xml:space="preserve"> </v>
      </c>
      <c r="I664" s="271" t="str">
        <f>IF(ISBLANK('ALL Other SINs - Proposal'!W664)," ",'ALL Other SINs - Proposal'!W664)</f>
        <v xml:space="preserve"> </v>
      </c>
      <c r="J664" s="71" t="str">
        <f>IF(ISBLANK('ALL Other SINs - Proposal'!X664)," ",'ALL Other SINs - Proposal'!X664)</f>
        <v xml:space="preserve"> </v>
      </c>
      <c r="K664" s="165" t="str">
        <f>IF(ISBLANK('ALL Other SINs - Proposal'!AA664)," ",'ALL Other SINs - Proposal'!AA664)</f>
        <v xml:space="preserve"> </v>
      </c>
      <c r="L664" s="178" t="str">
        <f>IF(ISBLANK('ALL Other SINs - Proposal'!AB664)," ",'ALL Other SINs - Proposal'!AB664)</f>
        <v xml:space="preserve"> </v>
      </c>
      <c r="M664" s="72" t="str">
        <f t="shared" si="20"/>
        <v xml:space="preserve"> </v>
      </c>
      <c r="N664" s="167" t="str">
        <f t="shared" si="21"/>
        <v xml:space="preserve"> </v>
      </c>
    </row>
    <row r="665" spans="1:14" ht="15" x14ac:dyDescent="0.25">
      <c r="A665" s="131" t="str">
        <f>IF(ISBLANK('ALL Other SINs - Proposal'!A665)," ",'ALL Other SINs - Proposal'!A665)</f>
        <v xml:space="preserve"> </v>
      </c>
      <c r="B665" s="137" t="str">
        <f>IF(ISBLANK('ALL Other SINs - Proposal'!B665)," ",'ALL Other SINs - Proposal'!B665)</f>
        <v xml:space="preserve"> </v>
      </c>
      <c r="C665" s="137" t="str">
        <f>IF(ISBLANK('ALL Other SINs - Proposal'!C665)," ",'ALL Other SINs - Proposal'!C665)</f>
        <v xml:space="preserve"> </v>
      </c>
      <c r="D665" s="138" t="str">
        <f>IF(ISBLANK('ALL Other SINs - Proposal'!D665)," ",'ALL Other SINs - Proposal'!D665)</f>
        <v xml:space="preserve"> </v>
      </c>
      <c r="E665" s="69" t="str">
        <f>IF(ISBLANK('ALL Other SINs - Proposal'!R665)," ",'ALL Other SINs - Proposal'!R665)</f>
        <v xml:space="preserve"> </v>
      </c>
      <c r="F665" s="73" t="str">
        <f>IF(ISBLANK('ALL Other SINs - Proposal'!S665)," ",'ALL Other SINs - Proposal'!S665)</f>
        <v xml:space="preserve"> </v>
      </c>
      <c r="G665" s="173" t="str">
        <f>IF(ISBLANK('ALL Other SINs - Proposal'!T665)," ",'ALL Other SINs - Proposal'!T665)</f>
        <v xml:space="preserve"> </v>
      </c>
      <c r="H665" s="275" t="str">
        <f>IF(ISBLANK('ALL Other SINs - Proposal'!V665)," ",'ALL Other SINs - Proposal'!V665)</f>
        <v xml:space="preserve"> </v>
      </c>
      <c r="I665" s="271" t="str">
        <f>IF(ISBLANK('ALL Other SINs - Proposal'!W665)," ",'ALL Other SINs - Proposal'!W665)</f>
        <v xml:space="preserve"> </v>
      </c>
      <c r="J665" s="71" t="str">
        <f>IF(ISBLANK('ALL Other SINs - Proposal'!X665)," ",'ALL Other SINs - Proposal'!X665)</f>
        <v xml:space="preserve"> </v>
      </c>
      <c r="K665" s="165" t="str">
        <f>IF(ISBLANK('ALL Other SINs - Proposal'!AA665)," ",'ALL Other SINs - Proposal'!AA665)</f>
        <v xml:space="preserve"> </v>
      </c>
      <c r="L665" s="178" t="str">
        <f>IF(ISBLANK('ALL Other SINs - Proposal'!AB665)," ",'ALL Other SINs - Proposal'!AB665)</f>
        <v xml:space="preserve"> </v>
      </c>
      <c r="M665" s="72" t="str">
        <f t="shared" si="20"/>
        <v xml:space="preserve"> </v>
      </c>
      <c r="N665" s="167" t="str">
        <f t="shared" si="21"/>
        <v xml:space="preserve"> </v>
      </c>
    </row>
    <row r="666" spans="1:14" ht="15" x14ac:dyDescent="0.25">
      <c r="A666" s="131" t="str">
        <f>IF(ISBLANK('ALL Other SINs - Proposal'!A666)," ",'ALL Other SINs - Proposal'!A666)</f>
        <v xml:space="preserve"> </v>
      </c>
      <c r="B666" s="137" t="str">
        <f>IF(ISBLANK('ALL Other SINs - Proposal'!B666)," ",'ALL Other SINs - Proposal'!B666)</f>
        <v xml:space="preserve"> </v>
      </c>
      <c r="C666" s="137" t="str">
        <f>IF(ISBLANK('ALL Other SINs - Proposal'!C666)," ",'ALL Other SINs - Proposal'!C666)</f>
        <v xml:space="preserve"> </v>
      </c>
      <c r="D666" s="138" t="str">
        <f>IF(ISBLANK('ALL Other SINs - Proposal'!D666)," ",'ALL Other SINs - Proposal'!D666)</f>
        <v xml:space="preserve"> </v>
      </c>
      <c r="E666" s="69" t="str">
        <f>IF(ISBLANK('ALL Other SINs - Proposal'!R666)," ",'ALL Other SINs - Proposal'!R666)</f>
        <v xml:space="preserve"> </v>
      </c>
      <c r="F666" s="73" t="str">
        <f>IF(ISBLANK('ALL Other SINs - Proposal'!S666)," ",'ALL Other SINs - Proposal'!S666)</f>
        <v xml:space="preserve"> </v>
      </c>
      <c r="G666" s="173" t="str">
        <f>IF(ISBLANK('ALL Other SINs - Proposal'!T666)," ",'ALL Other SINs - Proposal'!T666)</f>
        <v xml:space="preserve"> </v>
      </c>
      <c r="H666" s="275" t="str">
        <f>IF(ISBLANK('ALL Other SINs - Proposal'!V666)," ",'ALL Other SINs - Proposal'!V666)</f>
        <v xml:space="preserve"> </v>
      </c>
      <c r="I666" s="271" t="str">
        <f>IF(ISBLANK('ALL Other SINs - Proposal'!W666)," ",'ALL Other SINs - Proposal'!W666)</f>
        <v xml:space="preserve"> </v>
      </c>
      <c r="J666" s="71" t="str">
        <f>IF(ISBLANK('ALL Other SINs - Proposal'!X666)," ",'ALL Other SINs - Proposal'!X666)</f>
        <v xml:space="preserve"> </v>
      </c>
      <c r="K666" s="165" t="str">
        <f>IF(ISBLANK('ALL Other SINs - Proposal'!AA666)," ",'ALL Other SINs - Proposal'!AA666)</f>
        <v xml:space="preserve"> </v>
      </c>
      <c r="L666" s="178" t="str">
        <f>IF(ISBLANK('ALL Other SINs - Proposal'!AB666)," ",'ALL Other SINs - Proposal'!AB666)</f>
        <v xml:space="preserve"> </v>
      </c>
      <c r="M666" s="72" t="str">
        <f t="shared" si="20"/>
        <v xml:space="preserve"> </v>
      </c>
      <c r="N666" s="167" t="str">
        <f t="shared" si="21"/>
        <v xml:space="preserve"> </v>
      </c>
    </row>
    <row r="667" spans="1:14" ht="15" x14ac:dyDescent="0.25">
      <c r="A667" s="131" t="str">
        <f>IF(ISBLANK('ALL Other SINs - Proposal'!A667)," ",'ALL Other SINs - Proposal'!A667)</f>
        <v xml:space="preserve"> </v>
      </c>
      <c r="B667" s="137" t="str">
        <f>IF(ISBLANK('ALL Other SINs - Proposal'!B667)," ",'ALL Other SINs - Proposal'!B667)</f>
        <v xml:space="preserve"> </v>
      </c>
      <c r="C667" s="137" t="str">
        <f>IF(ISBLANK('ALL Other SINs - Proposal'!C667)," ",'ALL Other SINs - Proposal'!C667)</f>
        <v xml:space="preserve"> </v>
      </c>
      <c r="D667" s="138" t="str">
        <f>IF(ISBLANK('ALL Other SINs - Proposal'!D667)," ",'ALL Other SINs - Proposal'!D667)</f>
        <v xml:space="preserve"> </v>
      </c>
      <c r="E667" s="69" t="str">
        <f>IF(ISBLANK('ALL Other SINs - Proposal'!R667)," ",'ALL Other SINs - Proposal'!R667)</f>
        <v xml:space="preserve"> </v>
      </c>
      <c r="F667" s="73" t="str">
        <f>IF(ISBLANK('ALL Other SINs - Proposal'!S667)," ",'ALL Other SINs - Proposal'!S667)</f>
        <v xml:space="preserve"> </v>
      </c>
      <c r="G667" s="173" t="str">
        <f>IF(ISBLANK('ALL Other SINs - Proposal'!T667)," ",'ALL Other SINs - Proposal'!T667)</f>
        <v xml:space="preserve"> </v>
      </c>
      <c r="H667" s="275" t="str">
        <f>IF(ISBLANK('ALL Other SINs - Proposal'!V667)," ",'ALL Other SINs - Proposal'!V667)</f>
        <v xml:space="preserve"> </v>
      </c>
      <c r="I667" s="271" t="str">
        <f>IF(ISBLANK('ALL Other SINs - Proposal'!W667)," ",'ALL Other SINs - Proposal'!W667)</f>
        <v xml:space="preserve"> </v>
      </c>
      <c r="J667" s="71" t="str">
        <f>IF(ISBLANK('ALL Other SINs - Proposal'!X667)," ",'ALL Other SINs - Proposal'!X667)</f>
        <v xml:space="preserve"> </v>
      </c>
      <c r="K667" s="165" t="str">
        <f>IF(ISBLANK('ALL Other SINs - Proposal'!AA667)," ",'ALL Other SINs - Proposal'!AA667)</f>
        <v xml:space="preserve"> </v>
      </c>
      <c r="L667" s="178" t="str">
        <f>IF(ISBLANK('ALL Other SINs - Proposal'!AB667)," ",'ALL Other SINs - Proposal'!AB667)</f>
        <v xml:space="preserve"> </v>
      </c>
      <c r="M667" s="72" t="str">
        <f t="shared" si="20"/>
        <v xml:space="preserve"> </v>
      </c>
      <c r="N667" s="167" t="str">
        <f t="shared" si="21"/>
        <v xml:space="preserve"> </v>
      </c>
    </row>
    <row r="668" spans="1:14" ht="15" x14ac:dyDescent="0.25">
      <c r="A668" s="131" t="str">
        <f>IF(ISBLANK('ALL Other SINs - Proposal'!A668)," ",'ALL Other SINs - Proposal'!A668)</f>
        <v xml:space="preserve"> </v>
      </c>
      <c r="B668" s="137" t="str">
        <f>IF(ISBLANK('ALL Other SINs - Proposal'!B668)," ",'ALL Other SINs - Proposal'!B668)</f>
        <v xml:space="preserve"> </v>
      </c>
      <c r="C668" s="137" t="str">
        <f>IF(ISBLANK('ALL Other SINs - Proposal'!C668)," ",'ALL Other SINs - Proposal'!C668)</f>
        <v xml:space="preserve"> </v>
      </c>
      <c r="D668" s="138" t="str">
        <f>IF(ISBLANK('ALL Other SINs - Proposal'!D668)," ",'ALL Other SINs - Proposal'!D668)</f>
        <v xml:space="preserve"> </v>
      </c>
      <c r="E668" s="69" t="str">
        <f>IF(ISBLANK('ALL Other SINs - Proposal'!R668)," ",'ALL Other SINs - Proposal'!R668)</f>
        <v xml:space="preserve"> </v>
      </c>
      <c r="F668" s="73" t="str">
        <f>IF(ISBLANK('ALL Other SINs - Proposal'!S668)," ",'ALL Other SINs - Proposal'!S668)</f>
        <v xml:space="preserve"> </v>
      </c>
      <c r="G668" s="173" t="str">
        <f>IF(ISBLANK('ALL Other SINs - Proposal'!T668)," ",'ALL Other SINs - Proposal'!T668)</f>
        <v xml:space="preserve"> </v>
      </c>
      <c r="H668" s="275" t="str">
        <f>IF(ISBLANK('ALL Other SINs - Proposal'!V668)," ",'ALL Other SINs - Proposal'!V668)</f>
        <v xml:space="preserve"> </v>
      </c>
      <c r="I668" s="271" t="str">
        <f>IF(ISBLANK('ALL Other SINs - Proposal'!W668)," ",'ALL Other SINs - Proposal'!W668)</f>
        <v xml:space="preserve"> </v>
      </c>
      <c r="J668" s="71" t="str">
        <f>IF(ISBLANK('ALL Other SINs - Proposal'!X668)," ",'ALL Other SINs - Proposal'!X668)</f>
        <v xml:space="preserve"> </v>
      </c>
      <c r="K668" s="165" t="str">
        <f>IF(ISBLANK('ALL Other SINs - Proposal'!AA668)," ",'ALL Other SINs - Proposal'!AA668)</f>
        <v xml:space="preserve"> </v>
      </c>
      <c r="L668" s="178" t="str">
        <f>IF(ISBLANK('ALL Other SINs - Proposal'!AB668)," ",'ALL Other SINs - Proposal'!AB668)</f>
        <v xml:space="preserve"> </v>
      </c>
      <c r="M668" s="72" t="str">
        <f t="shared" si="20"/>
        <v xml:space="preserve"> </v>
      </c>
      <c r="N668" s="167" t="str">
        <f t="shared" si="21"/>
        <v xml:space="preserve"> </v>
      </c>
    </row>
    <row r="669" spans="1:14" ht="15" x14ac:dyDescent="0.25">
      <c r="A669" s="131" t="str">
        <f>IF(ISBLANK('ALL Other SINs - Proposal'!A669)," ",'ALL Other SINs - Proposal'!A669)</f>
        <v xml:space="preserve"> </v>
      </c>
      <c r="B669" s="137" t="str">
        <f>IF(ISBLANK('ALL Other SINs - Proposal'!B669)," ",'ALL Other SINs - Proposal'!B669)</f>
        <v xml:space="preserve"> </v>
      </c>
      <c r="C669" s="137" t="str">
        <f>IF(ISBLANK('ALL Other SINs - Proposal'!C669)," ",'ALL Other SINs - Proposal'!C669)</f>
        <v xml:space="preserve"> </v>
      </c>
      <c r="D669" s="138" t="str">
        <f>IF(ISBLANK('ALL Other SINs - Proposal'!D669)," ",'ALL Other SINs - Proposal'!D669)</f>
        <v xml:space="preserve"> </v>
      </c>
      <c r="E669" s="69" t="str">
        <f>IF(ISBLANK('ALL Other SINs - Proposal'!R669)," ",'ALL Other SINs - Proposal'!R669)</f>
        <v xml:space="preserve"> </v>
      </c>
      <c r="F669" s="73" t="str">
        <f>IF(ISBLANK('ALL Other SINs - Proposal'!S669)," ",'ALL Other SINs - Proposal'!S669)</f>
        <v xml:space="preserve"> </v>
      </c>
      <c r="G669" s="173" t="str">
        <f>IF(ISBLANK('ALL Other SINs - Proposal'!T669)," ",'ALL Other SINs - Proposal'!T669)</f>
        <v xml:space="preserve"> </v>
      </c>
      <c r="H669" s="275" t="str">
        <f>IF(ISBLANK('ALL Other SINs - Proposal'!V669)," ",'ALL Other SINs - Proposal'!V669)</f>
        <v xml:space="preserve"> </v>
      </c>
      <c r="I669" s="271" t="str">
        <f>IF(ISBLANK('ALL Other SINs - Proposal'!W669)," ",'ALL Other SINs - Proposal'!W669)</f>
        <v xml:space="preserve"> </v>
      </c>
      <c r="J669" s="71" t="str">
        <f>IF(ISBLANK('ALL Other SINs - Proposal'!X669)," ",'ALL Other SINs - Proposal'!X669)</f>
        <v xml:space="preserve"> </v>
      </c>
      <c r="K669" s="165" t="str">
        <f>IF(ISBLANK('ALL Other SINs - Proposal'!AA669)," ",'ALL Other SINs - Proposal'!AA669)</f>
        <v xml:space="preserve"> </v>
      </c>
      <c r="L669" s="178" t="str">
        <f>IF(ISBLANK('ALL Other SINs - Proposal'!AB669)," ",'ALL Other SINs - Proposal'!AB669)</f>
        <v xml:space="preserve"> </v>
      </c>
      <c r="M669" s="72" t="str">
        <f t="shared" si="20"/>
        <v xml:space="preserve"> </v>
      </c>
      <c r="N669" s="167" t="str">
        <f t="shared" si="21"/>
        <v xml:space="preserve"> </v>
      </c>
    </row>
    <row r="670" spans="1:14" ht="15" x14ac:dyDescent="0.25">
      <c r="A670" s="131" t="str">
        <f>IF(ISBLANK('ALL Other SINs - Proposal'!A670)," ",'ALL Other SINs - Proposal'!A670)</f>
        <v xml:space="preserve"> </v>
      </c>
      <c r="B670" s="137" t="str">
        <f>IF(ISBLANK('ALL Other SINs - Proposal'!B670)," ",'ALL Other SINs - Proposal'!B670)</f>
        <v xml:space="preserve"> </v>
      </c>
      <c r="C670" s="137" t="str">
        <f>IF(ISBLANK('ALL Other SINs - Proposal'!C670)," ",'ALL Other SINs - Proposal'!C670)</f>
        <v xml:space="preserve"> </v>
      </c>
      <c r="D670" s="138" t="str">
        <f>IF(ISBLANK('ALL Other SINs - Proposal'!D670)," ",'ALL Other SINs - Proposal'!D670)</f>
        <v xml:space="preserve"> </v>
      </c>
      <c r="E670" s="69" t="str">
        <f>IF(ISBLANK('ALL Other SINs - Proposal'!R670)," ",'ALL Other SINs - Proposal'!R670)</f>
        <v xml:space="preserve"> </v>
      </c>
      <c r="F670" s="73" t="str">
        <f>IF(ISBLANK('ALL Other SINs - Proposal'!S670)," ",'ALL Other SINs - Proposal'!S670)</f>
        <v xml:space="preserve"> </v>
      </c>
      <c r="G670" s="173" t="str">
        <f>IF(ISBLANK('ALL Other SINs - Proposal'!T670)," ",'ALL Other SINs - Proposal'!T670)</f>
        <v xml:space="preserve"> </v>
      </c>
      <c r="H670" s="275" t="str">
        <f>IF(ISBLANK('ALL Other SINs - Proposal'!V670)," ",'ALL Other SINs - Proposal'!V670)</f>
        <v xml:space="preserve"> </v>
      </c>
      <c r="I670" s="271" t="str">
        <f>IF(ISBLANK('ALL Other SINs - Proposal'!W670)," ",'ALL Other SINs - Proposal'!W670)</f>
        <v xml:space="preserve"> </v>
      </c>
      <c r="J670" s="71" t="str">
        <f>IF(ISBLANK('ALL Other SINs - Proposal'!X670)," ",'ALL Other SINs - Proposal'!X670)</f>
        <v xml:space="preserve"> </v>
      </c>
      <c r="K670" s="165" t="str">
        <f>IF(ISBLANK('ALL Other SINs - Proposal'!AA670)," ",'ALL Other SINs - Proposal'!AA670)</f>
        <v xml:space="preserve"> </v>
      </c>
      <c r="L670" s="178" t="str">
        <f>IF(ISBLANK('ALL Other SINs - Proposal'!AB670)," ",'ALL Other SINs - Proposal'!AB670)</f>
        <v xml:space="preserve"> </v>
      </c>
      <c r="M670" s="72" t="str">
        <f t="shared" si="20"/>
        <v xml:space="preserve"> </v>
      </c>
      <c r="N670" s="167" t="str">
        <f t="shared" si="21"/>
        <v xml:space="preserve"> </v>
      </c>
    </row>
    <row r="671" spans="1:14" ht="15" x14ac:dyDescent="0.25">
      <c r="A671" s="131" t="str">
        <f>IF(ISBLANK('ALL Other SINs - Proposal'!A671)," ",'ALL Other SINs - Proposal'!A671)</f>
        <v xml:space="preserve"> </v>
      </c>
      <c r="B671" s="137" t="str">
        <f>IF(ISBLANK('ALL Other SINs - Proposal'!B671)," ",'ALL Other SINs - Proposal'!B671)</f>
        <v xml:space="preserve"> </v>
      </c>
      <c r="C671" s="137" t="str">
        <f>IF(ISBLANK('ALL Other SINs - Proposal'!C671)," ",'ALL Other SINs - Proposal'!C671)</f>
        <v xml:space="preserve"> </v>
      </c>
      <c r="D671" s="138" t="str">
        <f>IF(ISBLANK('ALL Other SINs - Proposal'!D671)," ",'ALL Other SINs - Proposal'!D671)</f>
        <v xml:space="preserve"> </v>
      </c>
      <c r="E671" s="69" t="str">
        <f>IF(ISBLANK('ALL Other SINs - Proposal'!R671)," ",'ALL Other SINs - Proposal'!R671)</f>
        <v xml:space="preserve"> </v>
      </c>
      <c r="F671" s="73" t="str">
        <f>IF(ISBLANK('ALL Other SINs - Proposal'!S671)," ",'ALL Other SINs - Proposal'!S671)</f>
        <v xml:space="preserve"> </v>
      </c>
      <c r="G671" s="173" t="str">
        <f>IF(ISBLANK('ALL Other SINs - Proposal'!T671)," ",'ALL Other SINs - Proposal'!T671)</f>
        <v xml:space="preserve"> </v>
      </c>
      <c r="H671" s="275" t="str">
        <f>IF(ISBLANK('ALL Other SINs - Proposal'!V671)," ",'ALL Other SINs - Proposal'!V671)</f>
        <v xml:space="preserve"> </v>
      </c>
      <c r="I671" s="271" t="str">
        <f>IF(ISBLANK('ALL Other SINs - Proposal'!W671)," ",'ALL Other SINs - Proposal'!W671)</f>
        <v xml:space="preserve"> </v>
      </c>
      <c r="J671" s="71" t="str">
        <f>IF(ISBLANK('ALL Other SINs - Proposal'!X671)," ",'ALL Other SINs - Proposal'!X671)</f>
        <v xml:space="preserve"> </v>
      </c>
      <c r="K671" s="165" t="str">
        <f>IF(ISBLANK('ALL Other SINs - Proposal'!AA671)," ",'ALL Other SINs - Proposal'!AA671)</f>
        <v xml:space="preserve"> </v>
      </c>
      <c r="L671" s="178" t="str">
        <f>IF(ISBLANK('ALL Other SINs - Proposal'!AB671)," ",'ALL Other SINs - Proposal'!AB671)</f>
        <v xml:space="preserve"> </v>
      </c>
      <c r="M671" s="72" t="str">
        <f t="shared" si="20"/>
        <v xml:space="preserve"> </v>
      </c>
      <c r="N671" s="167" t="str">
        <f t="shared" si="21"/>
        <v xml:space="preserve"> </v>
      </c>
    </row>
    <row r="672" spans="1:14" ht="15" x14ac:dyDescent="0.25">
      <c r="A672" s="131" t="str">
        <f>IF(ISBLANK('ALL Other SINs - Proposal'!A672)," ",'ALL Other SINs - Proposal'!A672)</f>
        <v xml:space="preserve"> </v>
      </c>
      <c r="B672" s="137" t="str">
        <f>IF(ISBLANK('ALL Other SINs - Proposal'!B672)," ",'ALL Other SINs - Proposal'!B672)</f>
        <v xml:space="preserve"> </v>
      </c>
      <c r="C672" s="137" t="str">
        <f>IF(ISBLANK('ALL Other SINs - Proposal'!C672)," ",'ALL Other SINs - Proposal'!C672)</f>
        <v xml:space="preserve"> </v>
      </c>
      <c r="D672" s="138" t="str">
        <f>IF(ISBLANK('ALL Other SINs - Proposal'!D672)," ",'ALL Other SINs - Proposal'!D672)</f>
        <v xml:space="preserve"> </v>
      </c>
      <c r="E672" s="69" t="str">
        <f>IF(ISBLANK('ALL Other SINs - Proposal'!R672)," ",'ALL Other SINs - Proposal'!R672)</f>
        <v xml:space="preserve"> </v>
      </c>
      <c r="F672" s="73" t="str">
        <f>IF(ISBLANK('ALL Other SINs - Proposal'!S672)," ",'ALL Other SINs - Proposal'!S672)</f>
        <v xml:space="preserve"> </v>
      </c>
      <c r="G672" s="173" t="str">
        <f>IF(ISBLANK('ALL Other SINs - Proposal'!T672)," ",'ALL Other SINs - Proposal'!T672)</f>
        <v xml:space="preserve"> </v>
      </c>
      <c r="H672" s="275" t="str">
        <f>IF(ISBLANK('ALL Other SINs - Proposal'!V672)," ",'ALL Other SINs - Proposal'!V672)</f>
        <v xml:space="preserve"> </v>
      </c>
      <c r="I672" s="271" t="str">
        <f>IF(ISBLANK('ALL Other SINs - Proposal'!W672)," ",'ALL Other SINs - Proposal'!W672)</f>
        <v xml:space="preserve"> </v>
      </c>
      <c r="J672" s="71" t="str">
        <f>IF(ISBLANK('ALL Other SINs - Proposal'!X672)," ",'ALL Other SINs - Proposal'!X672)</f>
        <v xml:space="preserve"> </v>
      </c>
      <c r="K672" s="165" t="str">
        <f>IF(ISBLANK('ALL Other SINs - Proposal'!AA672)," ",'ALL Other SINs - Proposal'!AA672)</f>
        <v xml:space="preserve"> </v>
      </c>
      <c r="L672" s="178" t="str">
        <f>IF(ISBLANK('ALL Other SINs - Proposal'!AB672)," ",'ALL Other SINs - Proposal'!AB672)</f>
        <v xml:space="preserve"> </v>
      </c>
      <c r="M672" s="72" t="str">
        <f t="shared" si="20"/>
        <v xml:space="preserve"> </v>
      </c>
      <c r="N672" s="167" t="str">
        <f t="shared" si="21"/>
        <v xml:space="preserve"> </v>
      </c>
    </row>
    <row r="673" spans="1:14" ht="15" x14ac:dyDescent="0.25">
      <c r="A673" s="131" t="str">
        <f>IF(ISBLANK('ALL Other SINs - Proposal'!A673)," ",'ALL Other SINs - Proposal'!A673)</f>
        <v xml:space="preserve"> </v>
      </c>
      <c r="B673" s="137" t="str">
        <f>IF(ISBLANK('ALL Other SINs - Proposal'!B673)," ",'ALL Other SINs - Proposal'!B673)</f>
        <v xml:space="preserve"> </v>
      </c>
      <c r="C673" s="137" t="str">
        <f>IF(ISBLANK('ALL Other SINs - Proposal'!C673)," ",'ALL Other SINs - Proposal'!C673)</f>
        <v xml:space="preserve"> </v>
      </c>
      <c r="D673" s="138" t="str">
        <f>IF(ISBLANK('ALL Other SINs - Proposal'!D673)," ",'ALL Other SINs - Proposal'!D673)</f>
        <v xml:space="preserve"> </v>
      </c>
      <c r="E673" s="69" t="str">
        <f>IF(ISBLANK('ALL Other SINs - Proposal'!R673)," ",'ALL Other SINs - Proposal'!R673)</f>
        <v xml:space="preserve"> </v>
      </c>
      <c r="F673" s="73" t="str">
        <f>IF(ISBLANK('ALL Other SINs - Proposal'!S673)," ",'ALL Other SINs - Proposal'!S673)</f>
        <v xml:space="preserve"> </v>
      </c>
      <c r="G673" s="173" t="str">
        <f>IF(ISBLANK('ALL Other SINs - Proposal'!T673)," ",'ALL Other SINs - Proposal'!T673)</f>
        <v xml:space="preserve"> </v>
      </c>
      <c r="H673" s="275" t="str">
        <f>IF(ISBLANK('ALL Other SINs - Proposal'!V673)," ",'ALL Other SINs - Proposal'!V673)</f>
        <v xml:space="preserve"> </v>
      </c>
      <c r="I673" s="271" t="str">
        <f>IF(ISBLANK('ALL Other SINs - Proposal'!W673)," ",'ALL Other SINs - Proposal'!W673)</f>
        <v xml:space="preserve"> </v>
      </c>
      <c r="J673" s="71" t="str">
        <f>IF(ISBLANK('ALL Other SINs - Proposal'!X673)," ",'ALL Other SINs - Proposal'!X673)</f>
        <v xml:space="preserve"> </v>
      </c>
      <c r="K673" s="165" t="str">
        <f>IF(ISBLANK('ALL Other SINs - Proposal'!AA673)," ",'ALL Other SINs - Proposal'!AA673)</f>
        <v xml:space="preserve"> </v>
      </c>
      <c r="L673" s="178" t="str">
        <f>IF(ISBLANK('ALL Other SINs - Proposal'!AB673)," ",'ALL Other SINs - Proposal'!AB673)</f>
        <v xml:space="preserve"> </v>
      </c>
      <c r="M673" s="72" t="str">
        <f t="shared" si="20"/>
        <v xml:space="preserve"> </v>
      </c>
      <c r="N673" s="167" t="str">
        <f t="shared" si="21"/>
        <v xml:space="preserve"> </v>
      </c>
    </row>
    <row r="674" spans="1:14" ht="15" x14ac:dyDescent="0.25">
      <c r="A674" s="131" t="str">
        <f>IF(ISBLANK('ALL Other SINs - Proposal'!A674)," ",'ALL Other SINs - Proposal'!A674)</f>
        <v xml:space="preserve"> </v>
      </c>
      <c r="B674" s="137" t="str">
        <f>IF(ISBLANK('ALL Other SINs - Proposal'!B674)," ",'ALL Other SINs - Proposal'!B674)</f>
        <v xml:space="preserve"> </v>
      </c>
      <c r="C674" s="137" t="str">
        <f>IF(ISBLANK('ALL Other SINs - Proposal'!C674)," ",'ALL Other SINs - Proposal'!C674)</f>
        <v xml:space="preserve"> </v>
      </c>
      <c r="D674" s="138" t="str">
        <f>IF(ISBLANK('ALL Other SINs - Proposal'!D674)," ",'ALL Other SINs - Proposal'!D674)</f>
        <v xml:space="preserve"> </v>
      </c>
      <c r="E674" s="69" t="str">
        <f>IF(ISBLANK('ALL Other SINs - Proposal'!R674)," ",'ALL Other SINs - Proposal'!R674)</f>
        <v xml:space="preserve"> </v>
      </c>
      <c r="F674" s="73" t="str">
        <f>IF(ISBLANK('ALL Other SINs - Proposal'!S674)," ",'ALL Other SINs - Proposal'!S674)</f>
        <v xml:space="preserve"> </v>
      </c>
      <c r="G674" s="173" t="str">
        <f>IF(ISBLANK('ALL Other SINs - Proposal'!T674)," ",'ALL Other SINs - Proposal'!T674)</f>
        <v xml:space="preserve"> </v>
      </c>
      <c r="H674" s="275" t="str">
        <f>IF(ISBLANK('ALL Other SINs - Proposal'!V674)," ",'ALL Other SINs - Proposal'!V674)</f>
        <v xml:space="preserve"> </v>
      </c>
      <c r="I674" s="271" t="str">
        <f>IF(ISBLANK('ALL Other SINs - Proposal'!W674)," ",'ALL Other SINs - Proposal'!W674)</f>
        <v xml:space="preserve"> </v>
      </c>
      <c r="J674" s="71" t="str">
        <f>IF(ISBLANK('ALL Other SINs - Proposal'!X674)," ",'ALL Other SINs - Proposal'!X674)</f>
        <v xml:space="preserve"> </v>
      </c>
      <c r="K674" s="165" t="str">
        <f>IF(ISBLANK('ALL Other SINs - Proposal'!AA674)," ",'ALL Other SINs - Proposal'!AA674)</f>
        <v xml:space="preserve"> </v>
      </c>
      <c r="L674" s="178" t="str">
        <f>IF(ISBLANK('ALL Other SINs - Proposal'!AB674)," ",'ALL Other SINs - Proposal'!AB674)</f>
        <v xml:space="preserve"> </v>
      </c>
      <c r="M674" s="72" t="str">
        <f t="shared" si="20"/>
        <v xml:space="preserve"> </v>
      </c>
      <c r="N674" s="167" t="str">
        <f t="shared" si="21"/>
        <v xml:space="preserve"> </v>
      </c>
    </row>
    <row r="675" spans="1:14" ht="15" x14ac:dyDescent="0.25">
      <c r="A675" s="131" t="str">
        <f>IF(ISBLANK('ALL Other SINs - Proposal'!A675)," ",'ALL Other SINs - Proposal'!A675)</f>
        <v xml:space="preserve"> </v>
      </c>
      <c r="B675" s="137" t="str">
        <f>IF(ISBLANK('ALL Other SINs - Proposal'!B675)," ",'ALL Other SINs - Proposal'!B675)</f>
        <v xml:space="preserve"> </v>
      </c>
      <c r="C675" s="137" t="str">
        <f>IF(ISBLANK('ALL Other SINs - Proposal'!C675)," ",'ALL Other SINs - Proposal'!C675)</f>
        <v xml:space="preserve"> </v>
      </c>
      <c r="D675" s="138" t="str">
        <f>IF(ISBLANK('ALL Other SINs - Proposal'!D675)," ",'ALL Other SINs - Proposal'!D675)</f>
        <v xml:space="preserve"> </v>
      </c>
      <c r="E675" s="69" t="str">
        <f>IF(ISBLANK('ALL Other SINs - Proposal'!R675)," ",'ALL Other SINs - Proposal'!R675)</f>
        <v xml:space="preserve"> </v>
      </c>
      <c r="F675" s="73" t="str">
        <f>IF(ISBLANK('ALL Other SINs - Proposal'!S675)," ",'ALL Other SINs - Proposal'!S675)</f>
        <v xml:space="preserve"> </v>
      </c>
      <c r="G675" s="173" t="str">
        <f>IF(ISBLANK('ALL Other SINs - Proposal'!T675)," ",'ALL Other SINs - Proposal'!T675)</f>
        <v xml:space="preserve"> </v>
      </c>
      <c r="H675" s="275" t="str">
        <f>IF(ISBLANK('ALL Other SINs - Proposal'!V675)," ",'ALL Other SINs - Proposal'!V675)</f>
        <v xml:space="preserve"> </v>
      </c>
      <c r="I675" s="271" t="str">
        <f>IF(ISBLANK('ALL Other SINs - Proposal'!W675)," ",'ALL Other SINs - Proposal'!W675)</f>
        <v xml:space="preserve"> </v>
      </c>
      <c r="J675" s="71" t="str">
        <f>IF(ISBLANK('ALL Other SINs - Proposal'!X675)," ",'ALL Other SINs - Proposal'!X675)</f>
        <v xml:space="preserve"> </v>
      </c>
      <c r="K675" s="165" t="str">
        <f>IF(ISBLANK('ALL Other SINs - Proposal'!AA675)," ",'ALL Other SINs - Proposal'!AA675)</f>
        <v xml:space="preserve"> </v>
      </c>
      <c r="L675" s="178" t="str">
        <f>IF(ISBLANK('ALL Other SINs - Proposal'!AB675)," ",'ALL Other SINs - Proposal'!AB675)</f>
        <v xml:space="preserve"> </v>
      </c>
      <c r="M675" s="72" t="str">
        <f t="shared" si="20"/>
        <v xml:space="preserve"> </v>
      </c>
      <c r="N675" s="167" t="str">
        <f t="shared" si="21"/>
        <v xml:space="preserve"> </v>
      </c>
    </row>
    <row r="676" spans="1:14" ht="15" x14ac:dyDescent="0.25">
      <c r="A676" s="131" t="str">
        <f>IF(ISBLANK('ALL Other SINs - Proposal'!A676)," ",'ALL Other SINs - Proposal'!A676)</f>
        <v xml:space="preserve"> </v>
      </c>
      <c r="B676" s="137" t="str">
        <f>IF(ISBLANK('ALL Other SINs - Proposal'!B676)," ",'ALL Other SINs - Proposal'!B676)</f>
        <v xml:space="preserve"> </v>
      </c>
      <c r="C676" s="137" t="str">
        <f>IF(ISBLANK('ALL Other SINs - Proposal'!C676)," ",'ALL Other SINs - Proposal'!C676)</f>
        <v xml:space="preserve"> </v>
      </c>
      <c r="D676" s="138" t="str">
        <f>IF(ISBLANK('ALL Other SINs - Proposal'!D676)," ",'ALL Other SINs - Proposal'!D676)</f>
        <v xml:space="preserve"> </v>
      </c>
      <c r="E676" s="69" t="str">
        <f>IF(ISBLANK('ALL Other SINs - Proposal'!R676)," ",'ALL Other SINs - Proposal'!R676)</f>
        <v xml:space="preserve"> </v>
      </c>
      <c r="F676" s="73" t="str">
        <f>IF(ISBLANK('ALL Other SINs - Proposal'!S676)," ",'ALL Other SINs - Proposal'!S676)</f>
        <v xml:space="preserve"> </v>
      </c>
      <c r="G676" s="173" t="str">
        <f>IF(ISBLANK('ALL Other SINs - Proposal'!T676)," ",'ALL Other SINs - Proposal'!T676)</f>
        <v xml:space="preserve"> </v>
      </c>
      <c r="H676" s="275" t="str">
        <f>IF(ISBLANK('ALL Other SINs - Proposal'!V676)," ",'ALL Other SINs - Proposal'!V676)</f>
        <v xml:space="preserve"> </v>
      </c>
      <c r="I676" s="271" t="str">
        <f>IF(ISBLANK('ALL Other SINs - Proposal'!W676)," ",'ALL Other SINs - Proposal'!W676)</f>
        <v xml:space="preserve"> </v>
      </c>
      <c r="J676" s="71" t="str">
        <f>IF(ISBLANK('ALL Other SINs - Proposal'!X676)," ",'ALL Other SINs - Proposal'!X676)</f>
        <v xml:space="preserve"> </v>
      </c>
      <c r="K676" s="165" t="str">
        <f>IF(ISBLANK('ALL Other SINs - Proposal'!AA676)," ",'ALL Other SINs - Proposal'!AA676)</f>
        <v xml:space="preserve"> </v>
      </c>
      <c r="L676" s="178" t="str">
        <f>IF(ISBLANK('ALL Other SINs - Proposal'!AB676)," ",'ALL Other SINs - Proposal'!AB676)</f>
        <v xml:space="preserve"> </v>
      </c>
      <c r="M676" s="72" t="str">
        <f t="shared" si="20"/>
        <v xml:space="preserve"> </v>
      </c>
      <c r="N676" s="167" t="str">
        <f t="shared" si="21"/>
        <v xml:space="preserve"> </v>
      </c>
    </row>
    <row r="677" spans="1:14" ht="15" x14ac:dyDescent="0.25">
      <c r="A677" s="131" t="str">
        <f>IF(ISBLANK('ALL Other SINs - Proposal'!A677)," ",'ALL Other SINs - Proposal'!A677)</f>
        <v xml:space="preserve"> </v>
      </c>
      <c r="B677" s="137" t="str">
        <f>IF(ISBLANK('ALL Other SINs - Proposal'!B677)," ",'ALL Other SINs - Proposal'!B677)</f>
        <v xml:space="preserve"> </v>
      </c>
      <c r="C677" s="137" t="str">
        <f>IF(ISBLANK('ALL Other SINs - Proposal'!C677)," ",'ALL Other SINs - Proposal'!C677)</f>
        <v xml:space="preserve"> </v>
      </c>
      <c r="D677" s="138" t="str">
        <f>IF(ISBLANK('ALL Other SINs - Proposal'!D677)," ",'ALL Other SINs - Proposal'!D677)</f>
        <v xml:space="preserve"> </v>
      </c>
      <c r="E677" s="69" t="str">
        <f>IF(ISBLANK('ALL Other SINs - Proposal'!R677)," ",'ALL Other SINs - Proposal'!R677)</f>
        <v xml:space="preserve"> </v>
      </c>
      <c r="F677" s="73" t="str">
        <f>IF(ISBLANK('ALL Other SINs - Proposal'!S677)," ",'ALL Other SINs - Proposal'!S677)</f>
        <v xml:space="preserve"> </v>
      </c>
      <c r="G677" s="173" t="str">
        <f>IF(ISBLANK('ALL Other SINs - Proposal'!T677)," ",'ALL Other SINs - Proposal'!T677)</f>
        <v xml:space="preserve"> </v>
      </c>
      <c r="H677" s="275" t="str">
        <f>IF(ISBLANK('ALL Other SINs - Proposal'!V677)," ",'ALL Other SINs - Proposal'!V677)</f>
        <v xml:space="preserve"> </v>
      </c>
      <c r="I677" s="271" t="str">
        <f>IF(ISBLANK('ALL Other SINs - Proposal'!W677)," ",'ALL Other SINs - Proposal'!W677)</f>
        <v xml:space="preserve"> </v>
      </c>
      <c r="J677" s="71" t="str">
        <f>IF(ISBLANK('ALL Other SINs - Proposal'!X677)," ",'ALL Other SINs - Proposal'!X677)</f>
        <v xml:space="preserve"> </v>
      </c>
      <c r="K677" s="165" t="str">
        <f>IF(ISBLANK('ALL Other SINs - Proposal'!AA677)," ",'ALL Other SINs - Proposal'!AA677)</f>
        <v xml:space="preserve"> </v>
      </c>
      <c r="L677" s="178" t="str">
        <f>IF(ISBLANK('ALL Other SINs - Proposal'!AB677)," ",'ALL Other SINs - Proposal'!AB677)</f>
        <v xml:space="preserve"> </v>
      </c>
      <c r="M677" s="72" t="str">
        <f t="shared" si="20"/>
        <v xml:space="preserve"> </v>
      </c>
      <c r="N677" s="167" t="str">
        <f t="shared" si="21"/>
        <v xml:space="preserve"> </v>
      </c>
    </row>
    <row r="678" spans="1:14" ht="15" x14ac:dyDescent="0.25">
      <c r="A678" s="131" t="str">
        <f>IF(ISBLANK('ALL Other SINs - Proposal'!A678)," ",'ALL Other SINs - Proposal'!A678)</f>
        <v xml:space="preserve"> </v>
      </c>
      <c r="B678" s="137" t="str">
        <f>IF(ISBLANK('ALL Other SINs - Proposal'!B678)," ",'ALL Other SINs - Proposal'!B678)</f>
        <v xml:space="preserve"> </v>
      </c>
      <c r="C678" s="137" t="str">
        <f>IF(ISBLANK('ALL Other SINs - Proposal'!C678)," ",'ALL Other SINs - Proposal'!C678)</f>
        <v xml:space="preserve"> </v>
      </c>
      <c r="D678" s="138" t="str">
        <f>IF(ISBLANK('ALL Other SINs - Proposal'!D678)," ",'ALL Other SINs - Proposal'!D678)</f>
        <v xml:space="preserve"> </v>
      </c>
      <c r="E678" s="69" t="str">
        <f>IF(ISBLANK('ALL Other SINs - Proposal'!R678)," ",'ALL Other SINs - Proposal'!R678)</f>
        <v xml:space="preserve"> </v>
      </c>
      <c r="F678" s="73" t="str">
        <f>IF(ISBLANK('ALL Other SINs - Proposal'!S678)," ",'ALL Other SINs - Proposal'!S678)</f>
        <v xml:space="preserve"> </v>
      </c>
      <c r="G678" s="173" t="str">
        <f>IF(ISBLANK('ALL Other SINs - Proposal'!T678)," ",'ALL Other SINs - Proposal'!T678)</f>
        <v xml:space="preserve"> </v>
      </c>
      <c r="H678" s="275" t="str">
        <f>IF(ISBLANK('ALL Other SINs - Proposal'!V678)," ",'ALL Other SINs - Proposal'!V678)</f>
        <v xml:space="preserve"> </v>
      </c>
      <c r="I678" s="271" t="str">
        <f>IF(ISBLANK('ALL Other SINs - Proposal'!W678)," ",'ALL Other SINs - Proposal'!W678)</f>
        <v xml:space="preserve"> </v>
      </c>
      <c r="J678" s="71" t="str">
        <f>IF(ISBLANK('ALL Other SINs - Proposal'!X678)," ",'ALL Other SINs - Proposal'!X678)</f>
        <v xml:space="preserve"> </v>
      </c>
      <c r="K678" s="165" t="str">
        <f>IF(ISBLANK('ALL Other SINs - Proposal'!AA678)," ",'ALL Other SINs - Proposal'!AA678)</f>
        <v xml:space="preserve"> </v>
      </c>
      <c r="L678" s="178" t="str">
        <f>IF(ISBLANK('ALL Other SINs - Proposal'!AB678)," ",'ALL Other SINs - Proposal'!AB678)</f>
        <v xml:space="preserve"> </v>
      </c>
      <c r="M678" s="72" t="str">
        <f t="shared" si="20"/>
        <v xml:space="preserve"> </v>
      </c>
      <c r="N678" s="167" t="str">
        <f t="shared" si="21"/>
        <v xml:space="preserve"> </v>
      </c>
    </row>
    <row r="679" spans="1:14" ht="15" x14ac:dyDescent="0.25">
      <c r="A679" s="131" t="str">
        <f>IF(ISBLANK('ALL Other SINs - Proposal'!A679)," ",'ALL Other SINs - Proposal'!A679)</f>
        <v xml:space="preserve"> </v>
      </c>
      <c r="B679" s="137" t="str">
        <f>IF(ISBLANK('ALL Other SINs - Proposal'!B679)," ",'ALL Other SINs - Proposal'!B679)</f>
        <v xml:space="preserve"> </v>
      </c>
      <c r="C679" s="137" t="str">
        <f>IF(ISBLANK('ALL Other SINs - Proposal'!C679)," ",'ALL Other SINs - Proposal'!C679)</f>
        <v xml:space="preserve"> </v>
      </c>
      <c r="D679" s="138" t="str">
        <f>IF(ISBLANK('ALL Other SINs - Proposal'!D679)," ",'ALL Other SINs - Proposal'!D679)</f>
        <v xml:space="preserve"> </v>
      </c>
      <c r="E679" s="69" t="str">
        <f>IF(ISBLANK('ALL Other SINs - Proposal'!R679)," ",'ALL Other SINs - Proposal'!R679)</f>
        <v xml:space="preserve"> </v>
      </c>
      <c r="F679" s="73" t="str">
        <f>IF(ISBLANK('ALL Other SINs - Proposal'!S679)," ",'ALL Other SINs - Proposal'!S679)</f>
        <v xml:space="preserve"> </v>
      </c>
      <c r="G679" s="173" t="str">
        <f>IF(ISBLANK('ALL Other SINs - Proposal'!T679)," ",'ALL Other SINs - Proposal'!T679)</f>
        <v xml:space="preserve"> </v>
      </c>
      <c r="H679" s="275" t="str">
        <f>IF(ISBLANK('ALL Other SINs - Proposal'!V679)," ",'ALL Other SINs - Proposal'!V679)</f>
        <v xml:space="preserve"> </v>
      </c>
      <c r="I679" s="271" t="str">
        <f>IF(ISBLANK('ALL Other SINs - Proposal'!W679)," ",'ALL Other SINs - Proposal'!W679)</f>
        <v xml:space="preserve"> </v>
      </c>
      <c r="J679" s="71" t="str">
        <f>IF(ISBLANK('ALL Other SINs - Proposal'!X679)," ",'ALL Other SINs - Proposal'!X679)</f>
        <v xml:space="preserve"> </v>
      </c>
      <c r="K679" s="165" t="str">
        <f>IF(ISBLANK('ALL Other SINs - Proposal'!AA679)," ",'ALL Other SINs - Proposal'!AA679)</f>
        <v xml:space="preserve"> </v>
      </c>
      <c r="L679" s="178" t="str">
        <f>IF(ISBLANK('ALL Other SINs - Proposal'!AB679)," ",'ALL Other SINs - Proposal'!AB679)</f>
        <v xml:space="preserve"> </v>
      </c>
      <c r="M679" s="72" t="str">
        <f t="shared" si="20"/>
        <v xml:space="preserve"> </v>
      </c>
      <c r="N679" s="167" t="str">
        <f t="shared" si="21"/>
        <v xml:space="preserve"> </v>
      </c>
    </row>
    <row r="680" spans="1:14" ht="15" x14ac:dyDescent="0.25">
      <c r="A680" s="131" t="str">
        <f>IF(ISBLANK('ALL Other SINs - Proposal'!A680)," ",'ALL Other SINs - Proposal'!A680)</f>
        <v xml:space="preserve"> </v>
      </c>
      <c r="B680" s="137" t="str">
        <f>IF(ISBLANK('ALL Other SINs - Proposal'!B680)," ",'ALL Other SINs - Proposal'!B680)</f>
        <v xml:space="preserve"> </v>
      </c>
      <c r="C680" s="137" t="str">
        <f>IF(ISBLANK('ALL Other SINs - Proposal'!C680)," ",'ALL Other SINs - Proposal'!C680)</f>
        <v xml:space="preserve"> </v>
      </c>
      <c r="D680" s="138" t="str">
        <f>IF(ISBLANK('ALL Other SINs - Proposal'!D680)," ",'ALL Other SINs - Proposal'!D680)</f>
        <v xml:space="preserve"> </v>
      </c>
      <c r="E680" s="69" t="str">
        <f>IF(ISBLANK('ALL Other SINs - Proposal'!R680)," ",'ALL Other SINs - Proposal'!R680)</f>
        <v xml:space="preserve"> </v>
      </c>
      <c r="F680" s="73" t="str">
        <f>IF(ISBLANK('ALL Other SINs - Proposal'!S680)," ",'ALL Other SINs - Proposal'!S680)</f>
        <v xml:space="preserve"> </v>
      </c>
      <c r="G680" s="173" t="str">
        <f>IF(ISBLANK('ALL Other SINs - Proposal'!T680)," ",'ALL Other SINs - Proposal'!T680)</f>
        <v xml:space="preserve"> </v>
      </c>
      <c r="H680" s="275" t="str">
        <f>IF(ISBLANK('ALL Other SINs - Proposal'!V680)," ",'ALL Other SINs - Proposal'!V680)</f>
        <v xml:space="preserve"> </v>
      </c>
      <c r="I680" s="271" t="str">
        <f>IF(ISBLANK('ALL Other SINs - Proposal'!W680)," ",'ALL Other SINs - Proposal'!W680)</f>
        <v xml:space="preserve"> </v>
      </c>
      <c r="J680" s="71" t="str">
        <f>IF(ISBLANK('ALL Other SINs - Proposal'!X680)," ",'ALL Other SINs - Proposal'!X680)</f>
        <v xml:space="preserve"> </v>
      </c>
      <c r="K680" s="165" t="str">
        <f>IF(ISBLANK('ALL Other SINs - Proposal'!AA680)," ",'ALL Other SINs - Proposal'!AA680)</f>
        <v xml:space="preserve"> </v>
      </c>
      <c r="L680" s="178" t="str">
        <f>IF(ISBLANK('ALL Other SINs - Proposal'!AB680)," ",'ALL Other SINs - Proposal'!AB680)</f>
        <v xml:space="preserve"> </v>
      </c>
      <c r="M680" s="72" t="str">
        <f t="shared" si="20"/>
        <v xml:space="preserve"> </v>
      </c>
      <c r="N680" s="167" t="str">
        <f t="shared" si="21"/>
        <v xml:space="preserve"> </v>
      </c>
    </row>
    <row r="681" spans="1:14" ht="15" x14ac:dyDescent="0.25">
      <c r="A681" s="131" t="str">
        <f>IF(ISBLANK('ALL Other SINs - Proposal'!A681)," ",'ALL Other SINs - Proposal'!A681)</f>
        <v xml:space="preserve"> </v>
      </c>
      <c r="B681" s="137" t="str">
        <f>IF(ISBLANK('ALL Other SINs - Proposal'!B681)," ",'ALL Other SINs - Proposal'!B681)</f>
        <v xml:space="preserve"> </v>
      </c>
      <c r="C681" s="137" t="str">
        <f>IF(ISBLANK('ALL Other SINs - Proposal'!C681)," ",'ALL Other SINs - Proposal'!C681)</f>
        <v xml:space="preserve"> </v>
      </c>
      <c r="D681" s="138" t="str">
        <f>IF(ISBLANK('ALL Other SINs - Proposal'!D681)," ",'ALL Other SINs - Proposal'!D681)</f>
        <v xml:space="preserve"> </v>
      </c>
      <c r="E681" s="69" t="str">
        <f>IF(ISBLANK('ALL Other SINs - Proposal'!R681)," ",'ALL Other SINs - Proposal'!R681)</f>
        <v xml:space="preserve"> </v>
      </c>
      <c r="F681" s="73" t="str">
        <f>IF(ISBLANK('ALL Other SINs - Proposal'!S681)," ",'ALL Other SINs - Proposal'!S681)</f>
        <v xml:space="preserve"> </v>
      </c>
      <c r="G681" s="173" t="str">
        <f>IF(ISBLANK('ALL Other SINs - Proposal'!T681)," ",'ALL Other SINs - Proposal'!T681)</f>
        <v xml:space="preserve"> </v>
      </c>
      <c r="H681" s="275" t="str">
        <f>IF(ISBLANK('ALL Other SINs - Proposal'!V681)," ",'ALL Other SINs - Proposal'!V681)</f>
        <v xml:space="preserve"> </v>
      </c>
      <c r="I681" s="271" t="str">
        <f>IF(ISBLANK('ALL Other SINs - Proposal'!W681)," ",'ALL Other SINs - Proposal'!W681)</f>
        <v xml:space="preserve"> </v>
      </c>
      <c r="J681" s="71" t="str">
        <f>IF(ISBLANK('ALL Other SINs - Proposal'!X681)," ",'ALL Other SINs - Proposal'!X681)</f>
        <v xml:space="preserve"> </v>
      </c>
      <c r="K681" s="165" t="str">
        <f>IF(ISBLANK('ALL Other SINs - Proposal'!AA681)," ",'ALL Other SINs - Proposal'!AA681)</f>
        <v xml:space="preserve"> </v>
      </c>
      <c r="L681" s="178" t="str">
        <f>IF(ISBLANK('ALL Other SINs - Proposal'!AB681)," ",'ALL Other SINs - Proposal'!AB681)</f>
        <v xml:space="preserve"> </v>
      </c>
      <c r="M681" s="72" t="str">
        <f t="shared" si="20"/>
        <v xml:space="preserve"> </v>
      </c>
      <c r="N681" s="167" t="str">
        <f t="shared" si="21"/>
        <v xml:space="preserve"> </v>
      </c>
    </row>
    <row r="682" spans="1:14" ht="15" x14ac:dyDescent="0.25">
      <c r="A682" s="131" t="str">
        <f>IF(ISBLANK('ALL Other SINs - Proposal'!A682)," ",'ALL Other SINs - Proposal'!A682)</f>
        <v xml:space="preserve"> </v>
      </c>
      <c r="B682" s="137" t="str">
        <f>IF(ISBLANK('ALL Other SINs - Proposal'!B682)," ",'ALL Other SINs - Proposal'!B682)</f>
        <v xml:space="preserve"> </v>
      </c>
      <c r="C682" s="137" t="str">
        <f>IF(ISBLANK('ALL Other SINs - Proposal'!C682)," ",'ALL Other SINs - Proposal'!C682)</f>
        <v xml:space="preserve"> </v>
      </c>
      <c r="D682" s="138" t="str">
        <f>IF(ISBLANK('ALL Other SINs - Proposal'!D682)," ",'ALL Other SINs - Proposal'!D682)</f>
        <v xml:space="preserve"> </v>
      </c>
      <c r="E682" s="69" t="str">
        <f>IF(ISBLANK('ALL Other SINs - Proposal'!R682)," ",'ALL Other SINs - Proposal'!R682)</f>
        <v xml:space="preserve"> </v>
      </c>
      <c r="F682" s="73" t="str">
        <f>IF(ISBLANK('ALL Other SINs - Proposal'!S682)," ",'ALL Other SINs - Proposal'!S682)</f>
        <v xml:space="preserve"> </v>
      </c>
      <c r="G682" s="173" t="str">
        <f>IF(ISBLANK('ALL Other SINs - Proposal'!T682)," ",'ALL Other SINs - Proposal'!T682)</f>
        <v xml:space="preserve"> </v>
      </c>
      <c r="H682" s="275" t="str">
        <f>IF(ISBLANK('ALL Other SINs - Proposal'!V682)," ",'ALL Other SINs - Proposal'!V682)</f>
        <v xml:space="preserve"> </v>
      </c>
      <c r="I682" s="271" t="str">
        <f>IF(ISBLANK('ALL Other SINs - Proposal'!W682)," ",'ALL Other SINs - Proposal'!W682)</f>
        <v xml:space="preserve"> </v>
      </c>
      <c r="J682" s="71" t="str">
        <f>IF(ISBLANK('ALL Other SINs - Proposal'!X682)," ",'ALL Other SINs - Proposal'!X682)</f>
        <v xml:space="preserve"> </v>
      </c>
      <c r="K682" s="165" t="str">
        <f>IF(ISBLANK('ALL Other SINs - Proposal'!AA682)," ",'ALL Other SINs - Proposal'!AA682)</f>
        <v xml:space="preserve"> </v>
      </c>
      <c r="L682" s="178" t="str">
        <f>IF(ISBLANK('ALL Other SINs - Proposal'!AB682)," ",'ALL Other SINs - Proposal'!AB682)</f>
        <v xml:space="preserve"> </v>
      </c>
      <c r="M682" s="72" t="str">
        <f t="shared" si="20"/>
        <v xml:space="preserve"> </v>
      </c>
      <c r="N682" s="167" t="str">
        <f t="shared" si="21"/>
        <v xml:space="preserve"> </v>
      </c>
    </row>
    <row r="683" spans="1:14" ht="15" x14ac:dyDescent="0.25">
      <c r="A683" s="131" t="str">
        <f>IF(ISBLANK('ALL Other SINs - Proposal'!A683)," ",'ALL Other SINs - Proposal'!A683)</f>
        <v xml:space="preserve"> </v>
      </c>
      <c r="B683" s="137" t="str">
        <f>IF(ISBLANK('ALL Other SINs - Proposal'!B683)," ",'ALL Other SINs - Proposal'!B683)</f>
        <v xml:space="preserve"> </v>
      </c>
      <c r="C683" s="137" t="str">
        <f>IF(ISBLANK('ALL Other SINs - Proposal'!C683)," ",'ALL Other SINs - Proposal'!C683)</f>
        <v xml:space="preserve"> </v>
      </c>
      <c r="D683" s="138" t="str">
        <f>IF(ISBLANK('ALL Other SINs - Proposal'!D683)," ",'ALL Other SINs - Proposal'!D683)</f>
        <v xml:space="preserve"> </v>
      </c>
      <c r="E683" s="69" t="str">
        <f>IF(ISBLANK('ALL Other SINs - Proposal'!R683)," ",'ALL Other SINs - Proposal'!R683)</f>
        <v xml:space="preserve"> </v>
      </c>
      <c r="F683" s="73" t="str">
        <f>IF(ISBLANK('ALL Other SINs - Proposal'!S683)," ",'ALL Other SINs - Proposal'!S683)</f>
        <v xml:space="preserve"> </v>
      </c>
      <c r="G683" s="173" t="str">
        <f>IF(ISBLANK('ALL Other SINs - Proposal'!T683)," ",'ALL Other SINs - Proposal'!T683)</f>
        <v xml:space="preserve"> </v>
      </c>
      <c r="H683" s="275" t="str">
        <f>IF(ISBLANK('ALL Other SINs - Proposal'!V683)," ",'ALL Other SINs - Proposal'!V683)</f>
        <v xml:space="preserve"> </v>
      </c>
      <c r="I683" s="271" t="str">
        <f>IF(ISBLANK('ALL Other SINs - Proposal'!W683)," ",'ALL Other SINs - Proposal'!W683)</f>
        <v xml:space="preserve"> </v>
      </c>
      <c r="J683" s="71" t="str">
        <f>IF(ISBLANK('ALL Other SINs - Proposal'!X683)," ",'ALL Other SINs - Proposal'!X683)</f>
        <v xml:space="preserve"> </v>
      </c>
      <c r="K683" s="165" t="str">
        <f>IF(ISBLANK('ALL Other SINs - Proposal'!AA683)," ",'ALL Other SINs - Proposal'!AA683)</f>
        <v xml:space="preserve"> </v>
      </c>
      <c r="L683" s="178" t="str">
        <f>IF(ISBLANK('ALL Other SINs - Proposal'!AB683)," ",'ALL Other SINs - Proposal'!AB683)</f>
        <v xml:space="preserve"> </v>
      </c>
      <c r="M683" s="72" t="str">
        <f t="shared" si="20"/>
        <v xml:space="preserve"> </v>
      </c>
      <c r="N683" s="167" t="str">
        <f t="shared" si="21"/>
        <v xml:space="preserve"> </v>
      </c>
    </row>
    <row r="684" spans="1:14" ht="15" x14ac:dyDescent="0.25">
      <c r="A684" s="131" t="str">
        <f>IF(ISBLANK('ALL Other SINs - Proposal'!A684)," ",'ALL Other SINs - Proposal'!A684)</f>
        <v xml:space="preserve"> </v>
      </c>
      <c r="B684" s="137" t="str">
        <f>IF(ISBLANK('ALL Other SINs - Proposal'!B684)," ",'ALL Other SINs - Proposal'!B684)</f>
        <v xml:space="preserve"> </v>
      </c>
      <c r="C684" s="137" t="str">
        <f>IF(ISBLANK('ALL Other SINs - Proposal'!C684)," ",'ALL Other SINs - Proposal'!C684)</f>
        <v xml:space="preserve"> </v>
      </c>
      <c r="D684" s="138" t="str">
        <f>IF(ISBLANK('ALL Other SINs - Proposal'!D684)," ",'ALL Other SINs - Proposal'!D684)</f>
        <v xml:space="preserve"> </v>
      </c>
      <c r="E684" s="69" t="str">
        <f>IF(ISBLANK('ALL Other SINs - Proposal'!R684)," ",'ALL Other SINs - Proposal'!R684)</f>
        <v xml:space="preserve"> </v>
      </c>
      <c r="F684" s="73" t="str">
        <f>IF(ISBLANK('ALL Other SINs - Proposal'!S684)," ",'ALL Other SINs - Proposal'!S684)</f>
        <v xml:space="preserve"> </v>
      </c>
      <c r="G684" s="173" t="str">
        <f>IF(ISBLANK('ALL Other SINs - Proposal'!T684)," ",'ALL Other SINs - Proposal'!T684)</f>
        <v xml:space="preserve"> </v>
      </c>
      <c r="H684" s="275" t="str">
        <f>IF(ISBLANK('ALL Other SINs - Proposal'!V684)," ",'ALL Other SINs - Proposal'!V684)</f>
        <v xml:space="preserve"> </v>
      </c>
      <c r="I684" s="271" t="str">
        <f>IF(ISBLANK('ALL Other SINs - Proposal'!W684)," ",'ALL Other SINs - Proposal'!W684)</f>
        <v xml:space="preserve"> </v>
      </c>
      <c r="J684" s="71" t="str">
        <f>IF(ISBLANK('ALL Other SINs - Proposal'!X684)," ",'ALL Other SINs - Proposal'!X684)</f>
        <v xml:space="preserve"> </v>
      </c>
      <c r="K684" s="165" t="str">
        <f>IF(ISBLANK('ALL Other SINs - Proposal'!AA684)," ",'ALL Other SINs - Proposal'!AA684)</f>
        <v xml:space="preserve"> </v>
      </c>
      <c r="L684" s="178" t="str">
        <f>IF(ISBLANK('ALL Other SINs - Proposal'!AB684)," ",'ALL Other SINs - Proposal'!AB684)</f>
        <v xml:space="preserve"> </v>
      </c>
      <c r="M684" s="72" t="str">
        <f t="shared" si="20"/>
        <v xml:space="preserve"> </v>
      </c>
      <c r="N684" s="167" t="str">
        <f t="shared" si="21"/>
        <v xml:space="preserve"> </v>
      </c>
    </row>
    <row r="685" spans="1:14" ht="15" x14ac:dyDescent="0.25">
      <c r="A685" s="131" t="str">
        <f>IF(ISBLANK('ALL Other SINs - Proposal'!A685)," ",'ALL Other SINs - Proposal'!A685)</f>
        <v xml:space="preserve"> </v>
      </c>
      <c r="B685" s="137" t="str">
        <f>IF(ISBLANK('ALL Other SINs - Proposal'!B685)," ",'ALL Other SINs - Proposal'!B685)</f>
        <v xml:space="preserve"> </v>
      </c>
      <c r="C685" s="137" t="str">
        <f>IF(ISBLANK('ALL Other SINs - Proposal'!C685)," ",'ALL Other SINs - Proposal'!C685)</f>
        <v xml:space="preserve"> </v>
      </c>
      <c r="D685" s="138" t="str">
        <f>IF(ISBLANK('ALL Other SINs - Proposal'!D685)," ",'ALL Other SINs - Proposal'!D685)</f>
        <v xml:space="preserve"> </v>
      </c>
      <c r="E685" s="69" t="str">
        <f>IF(ISBLANK('ALL Other SINs - Proposal'!R685)," ",'ALL Other SINs - Proposal'!R685)</f>
        <v xml:space="preserve"> </v>
      </c>
      <c r="F685" s="73" t="str">
        <f>IF(ISBLANK('ALL Other SINs - Proposal'!S685)," ",'ALL Other SINs - Proposal'!S685)</f>
        <v xml:space="preserve"> </v>
      </c>
      <c r="G685" s="173" t="str">
        <f>IF(ISBLANK('ALL Other SINs - Proposal'!T685)," ",'ALL Other SINs - Proposal'!T685)</f>
        <v xml:space="preserve"> </v>
      </c>
      <c r="H685" s="275" t="str">
        <f>IF(ISBLANK('ALL Other SINs - Proposal'!V685)," ",'ALL Other SINs - Proposal'!V685)</f>
        <v xml:space="preserve"> </v>
      </c>
      <c r="I685" s="271" t="str">
        <f>IF(ISBLANK('ALL Other SINs - Proposal'!W685)," ",'ALL Other SINs - Proposal'!W685)</f>
        <v xml:space="preserve"> </v>
      </c>
      <c r="J685" s="71" t="str">
        <f>IF(ISBLANK('ALL Other SINs - Proposal'!X685)," ",'ALL Other SINs - Proposal'!X685)</f>
        <v xml:space="preserve"> </v>
      </c>
      <c r="K685" s="165" t="str">
        <f>IF(ISBLANK('ALL Other SINs - Proposal'!AA685)," ",'ALL Other SINs - Proposal'!AA685)</f>
        <v xml:space="preserve"> </v>
      </c>
      <c r="L685" s="178" t="str">
        <f>IF(ISBLANK('ALL Other SINs - Proposal'!AB685)," ",'ALL Other SINs - Proposal'!AB685)</f>
        <v xml:space="preserve"> </v>
      </c>
      <c r="M685" s="72" t="str">
        <f t="shared" si="20"/>
        <v xml:space="preserve"> </v>
      </c>
      <c r="N685" s="167" t="str">
        <f t="shared" si="21"/>
        <v xml:space="preserve"> </v>
      </c>
    </row>
    <row r="686" spans="1:14" ht="15" x14ac:dyDescent="0.25">
      <c r="A686" s="131" t="str">
        <f>IF(ISBLANK('ALL Other SINs - Proposal'!A686)," ",'ALL Other SINs - Proposal'!A686)</f>
        <v xml:space="preserve"> </v>
      </c>
      <c r="B686" s="137" t="str">
        <f>IF(ISBLANK('ALL Other SINs - Proposal'!B686)," ",'ALL Other SINs - Proposal'!B686)</f>
        <v xml:space="preserve"> </v>
      </c>
      <c r="C686" s="137" t="str">
        <f>IF(ISBLANK('ALL Other SINs - Proposal'!C686)," ",'ALL Other SINs - Proposal'!C686)</f>
        <v xml:space="preserve"> </v>
      </c>
      <c r="D686" s="138" t="str">
        <f>IF(ISBLANK('ALL Other SINs - Proposal'!D686)," ",'ALL Other SINs - Proposal'!D686)</f>
        <v xml:space="preserve"> </v>
      </c>
      <c r="E686" s="69" t="str">
        <f>IF(ISBLANK('ALL Other SINs - Proposal'!R686)," ",'ALL Other SINs - Proposal'!R686)</f>
        <v xml:space="preserve"> </v>
      </c>
      <c r="F686" s="73" t="str">
        <f>IF(ISBLANK('ALL Other SINs - Proposal'!S686)," ",'ALL Other SINs - Proposal'!S686)</f>
        <v xml:space="preserve"> </v>
      </c>
      <c r="G686" s="173" t="str">
        <f>IF(ISBLANK('ALL Other SINs - Proposal'!T686)," ",'ALL Other SINs - Proposal'!T686)</f>
        <v xml:space="preserve"> </v>
      </c>
      <c r="H686" s="275" t="str">
        <f>IF(ISBLANK('ALL Other SINs - Proposal'!V686)," ",'ALL Other SINs - Proposal'!V686)</f>
        <v xml:space="preserve"> </v>
      </c>
      <c r="I686" s="271" t="str">
        <f>IF(ISBLANK('ALL Other SINs - Proposal'!W686)," ",'ALL Other SINs - Proposal'!W686)</f>
        <v xml:space="preserve"> </v>
      </c>
      <c r="J686" s="71" t="str">
        <f>IF(ISBLANK('ALL Other SINs - Proposal'!X686)," ",'ALL Other SINs - Proposal'!X686)</f>
        <v xml:space="preserve"> </v>
      </c>
      <c r="K686" s="165" t="str">
        <f>IF(ISBLANK('ALL Other SINs - Proposal'!AA686)," ",'ALL Other SINs - Proposal'!AA686)</f>
        <v xml:space="preserve"> </v>
      </c>
      <c r="L686" s="178" t="str">
        <f>IF(ISBLANK('ALL Other SINs - Proposal'!AB686)," ",'ALL Other SINs - Proposal'!AB686)</f>
        <v xml:space="preserve"> </v>
      </c>
      <c r="M686" s="72" t="str">
        <f t="shared" si="20"/>
        <v xml:space="preserve"> </v>
      </c>
      <c r="N686" s="167" t="str">
        <f t="shared" si="21"/>
        <v xml:space="preserve"> </v>
      </c>
    </row>
    <row r="687" spans="1:14" ht="15" x14ac:dyDescent="0.25">
      <c r="A687" s="131" t="str">
        <f>IF(ISBLANK('ALL Other SINs - Proposal'!A687)," ",'ALL Other SINs - Proposal'!A687)</f>
        <v xml:space="preserve"> </v>
      </c>
      <c r="B687" s="137" t="str">
        <f>IF(ISBLANK('ALL Other SINs - Proposal'!B687)," ",'ALL Other SINs - Proposal'!B687)</f>
        <v xml:space="preserve"> </v>
      </c>
      <c r="C687" s="137" t="str">
        <f>IF(ISBLANK('ALL Other SINs - Proposal'!C687)," ",'ALL Other SINs - Proposal'!C687)</f>
        <v xml:space="preserve"> </v>
      </c>
      <c r="D687" s="138" t="str">
        <f>IF(ISBLANK('ALL Other SINs - Proposal'!D687)," ",'ALL Other SINs - Proposal'!D687)</f>
        <v xml:space="preserve"> </v>
      </c>
      <c r="E687" s="69" t="str">
        <f>IF(ISBLANK('ALL Other SINs - Proposal'!R687)," ",'ALL Other SINs - Proposal'!R687)</f>
        <v xml:space="preserve"> </v>
      </c>
      <c r="F687" s="73" t="str">
        <f>IF(ISBLANK('ALL Other SINs - Proposal'!S687)," ",'ALL Other SINs - Proposal'!S687)</f>
        <v xml:space="preserve"> </v>
      </c>
      <c r="G687" s="173" t="str">
        <f>IF(ISBLANK('ALL Other SINs - Proposal'!T687)," ",'ALL Other SINs - Proposal'!T687)</f>
        <v xml:space="preserve"> </v>
      </c>
      <c r="H687" s="275" t="str">
        <f>IF(ISBLANK('ALL Other SINs - Proposal'!V687)," ",'ALL Other SINs - Proposal'!V687)</f>
        <v xml:space="preserve"> </v>
      </c>
      <c r="I687" s="271" t="str">
        <f>IF(ISBLANK('ALL Other SINs - Proposal'!W687)," ",'ALL Other SINs - Proposal'!W687)</f>
        <v xml:space="preserve"> </v>
      </c>
      <c r="J687" s="71" t="str">
        <f>IF(ISBLANK('ALL Other SINs - Proposal'!X687)," ",'ALL Other SINs - Proposal'!X687)</f>
        <v xml:space="preserve"> </v>
      </c>
      <c r="K687" s="165" t="str">
        <f>IF(ISBLANK('ALL Other SINs - Proposal'!AA687)," ",'ALL Other SINs - Proposal'!AA687)</f>
        <v xml:space="preserve"> </v>
      </c>
      <c r="L687" s="178" t="str">
        <f>IF(ISBLANK('ALL Other SINs - Proposal'!AB687)," ",'ALL Other SINs - Proposal'!AB687)</f>
        <v xml:space="preserve"> </v>
      </c>
      <c r="M687" s="72" t="str">
        <f t="shared" si="20"/>
        <v xml:space="preserve"> </v>
      </c>
      <c r="N687" s="167" t="str">
        <f t="shared" si="21"/>
        <v xml:space="preserve"> </v>
      </c>
    </row>
    <row r="688" spans="1:14" ht="15" x14ac:dyDescent="0.25">
      <c r="A688" s="131" t="str">
        <f>IF(ISBLANK('ALL Other SINs - Proposal'!A688)," ",'ALL Other SINs - Proposal'!A688)</f>
        <v xml:space="preserve"> </v>
      </c>
      <c r="B688" s="137" t="str">
        <f>IF(ISBLANK('ALL Other SINs - Proposal'!B688)," ",'ALL Other SINs - Proposal'!B688)</f>
        <v xml:space="preserve"> </v>
      </c>
      <c r="C688" s="137" t="str">
        <f>IF(ISBLANK('ALL Other SINs - Proposal'!C688)," ",'ALL Other SINs - Proposal'!C688)</f>
        <v xml:space="preserve"> </v>
      </c>
      <c r="D688" s="138" t="str">
        <f>IF(ISBLANK('ALL Other SINs - Proposal'!D688)," ",'ALL Other SINs - Proposal'!D688)</f>
        <v xml:space="preserve"> </v>
      </c>
      <c r="E688" s="69" t="str">
        <f>IF(ISBLANK('ALL Other SINs - Proposal'!R688)," ",'ALL Other SINs - Proposal'!R688)</f>
        <v xml:space="preserve"> </v>
      </c>
      <c r="F688" s="73" t="str">
        <f>IF(ISBLANK('ALL Other SINs - Proposal'!S688)," ",'ALL Other SINs - Proposal'!S688)</f>
        <v xml:space="preserve"> </v>
      </c>
      <c r="G688" s="173" t="str">
        <f>IF(ISBLANK('ALL Other SINs - Proposal'!T688)," ",'ALL Other SINs - Proposal'!T688)</f>
        <v xml:space="preserve"> </v>
      </c>
      <c r="H688" s="275" t="str">
        <f>IF(ISBLANK('ALL Other SINs - Proposal'!V688)," ",'ALL Other SINs - Proposal'!V688)</f>
        <v xml:space="preserve"> </v>
      </c>
      <c r="I688" s="271" t="str">
        <f>IF(ISBLANK('ALL Other SINs - Proposal'!W688)," ",'ALL Other SINs - Proposal'!W688)</f>
        <v xml:space="preserve"> </v>
      </c>
      <c r="J688" s="71" t="str">
        <f>IF(ISBLANK('ALL Other SINs - Proposal'!X688)," ",'ALL Other SINs - Proposal'!X688)</f>
        <v xml:space="preserve"> </v>
      </c>
      <c r="K688" s="165" t="str">
        <f>IF(ISBLANK('ALL Other SINs - Proposal'!AA688)," ",'ALL Other SINs - Proposal'!AA688)</f>
        <v xml:space="preserve"> </v>
      </c>
      <c r="L688" s="178" t="str">
        <f>IF(ISBLANK('ALL Other SINs - Proposal'!AB688)," ",'ALL Other SINs - Proposal'!AB688)</f>
        <v xml:space="preserve"> </v>
      </c>
      <c r="M688" s="72" t="str">
        <f t="shared" si="20"/>
        <v xml:space="preserve"> </v>
      </c>
      <c r="N688" s="167" t="str">
        <f t="shared" si="21"/>
        <v xml:space="preserve"> </v>
      </c>
    </row>
    <row r="689" spans="1:14" ht="15" x14ac:dyDescent="0.25">
      <c r="A689" s="131" t="str">
        <f>IF(ISBLANK('ALL Other SINs - Proposal'!A689)," ",'ALL Other SINs - Proposal'!A689)</f>
        <v xml:space="preserve"> </v>
      </c>
      <c r="B689" s="137" t="str">
        <f>IF(ISBLANK('ALL Other SINs - Proposal'!B689)," ",'ALL Other SINs - Proposal'!B689)</f>
        <v xml:space="preserve"> </v>
      </c>
      <c r="C689" s="137" t="str">
        <f>IF(ISBLANK('ALL Other SINs - Proposal'!C689)," ",'ALL Other SINs - Proposal'!C689)</f>
        <v xml:space="preserve"> </v>
      </c>
      <c r="D689" s="138" t="str">
        <f>IF(ISBLANK('ALL Other SINs - Proposal'!D689)," ",'ALL Other SINs - Proposal'!D689)</f>
        <v xml:space="preserve"> </v>
      </c>
      <c r="E689" s="69" t="str">
        <f>IF(ISBLANK('ALL Other SINs - Proposal'!R689)," ",'ALL Other SINs - Proposal'!R689)</f>
        <v xml:space="preserve"> </v>
      </c>
      <c r="F689" s="73" t="str">
        <f>IF(ISBLANK('ALL Other SINs - Proposal'!S689)," ",'ALL Other SINs - Proposal'!S689)</f>
        <v xml:space="preserve"> </v>
      </c>
      <c r="G689" s="173" t="str">
        <f>IF(ISBLANK('ALL Other SINs - Proposal'!T689)," ",'ALL Other SINs - Proposal'!T689)</f>
        <v xml:space="preserve"> </v>
      </c>
      <c r="H689" s="275" t="str">
        <f>IF(ISBLANK('ALL Other SINs - Proposal'!V689)," ",'ALL Other SINs - Proposal'!V689)</f>
        <v xml:space="preserve"> </v>
      </c>
      <c r="I689" s="271" t="str">
        <f>IF(ISBLANK('ALL Other SINs - Proposal'!W689)," ",'ALL Other SINs - Proposal'!W689)</f>
        <v xml:space="preserve"> </v>
      </c>
      <c r="J689" s="71" t="str">
        <f>IF(ISBLANK('ALL Other SINs - Proposal'!X689)," ",'ALL Other SINs - Proposal'!X689)</f>
        <v xml:space="preserve"> </v>
      </c>
      <c r="K689" s="165" t="str">
        <f>IF(ISBLANK('ALL Other SINs - Proposal'!AA689)," ",'ALL Other SINs - Proposal'!AA689)</f>
        <v xml:space="preserve"> </v>
      </c>
      <c r="L689" s="178" t="str">
        <f>IF(ISBLANK('ALL Other SINs - Proposal'!AB689)," ",'ALL Other SINs - Proposal'!AB689)</f>
        <v xml:space="preserve"> </v>
      </c>
      <c r="M689" s="72" t="str">
        <f t="shared" si="20"/>
        <v xml:space="preserve"> </v>
      </c>
      <c r="N689" s="167" t="str">
        <f t="shared" si="21"/>
        <v xml:space="preserve"> </v>
      </c>
    </row>
    <row r="690" spans="1:14" ht="15" x14ac:dyDescent="0.25">
      <c r="A690" s="131" t="str">
        <f>IF(ISBLANK('ALL Other SINs - Proposal'!A690)," ",'ALL Other SINs - Proposal'!A690)</f>
        <v xml:space="preserve"> </v>
      </c>
      <c r="B690" s="137" t="str">
        <f>IF(ISBLANK('ALL Other SINs - Proposal'!B690)," ",'ALL Other SINs - Proposal'!B690)</f>
        <v xml:space="preserve"> </v>
      </c>
      <c r="C690" s="137" t="str">
        <f>IF(ISBLANK('ALL Other SINs - Proposal'!C690)," ",'ALL Other SINs - Proposal'!C690)</f>
        <v xml:space="preserve"> </v>
      </c>
      <c r="D690" s="138" t="str">
        <f>IF(ISBLANK('ALL Other SINs - Proposal'!D690)," ",'ALL Other SINs - Proposal'!D690)</f>
        <v xml:space="preserve"> </v>
      </c>
      <c r="E690" s="69" t="str">
        <f>IF(ISBLANK('ALL Other SINs - Proposal'!R690)," ",'ALL Other SINs - Proposal'!R690)</f>
        <v xml:space="preserve"> </v>
      </c>
      <c r="F690" s="73" t="str">
        <f>IF(ISBLANK('ALL Other SINs - Proposal'!S690)," ",'ALL Other SINs - Proposal'!S690)</f>
        <v xml:space="preserve"> </v>
      </c>
      <c r="G690" s="173" t="str">
        <f>IF(ISBLANK('ALL Other SINs - Proposal'!T690)," ",'ALL Other SINs - Proposal'!T690)</f>
        <v xml:space="preserve"> </v>
      </c>
      <c r="H690" s="275" t="str">
        <f>IF(ISBLANK('ALL Other SINs - Proposal'!V690)," ",'ALL Other SINs - Proposal'!V690)</f>
        <v xml:space="preserve"> </v>
      </c>
      <c r="I690" s="271" t="str">
        <f>IF(ISBLANK('ALL Other SINs - Proposal'!W690)," ",'ALL Other SINs - Proposal'!W690)</f>
        <v xml:space="preserve"> </v>
      </c>
      <c r="J690" s="71" t="str">
        <f>IF(ISBLANK('ALL Other SINs - Proposal'!X690)," ",'ALL Other SINs - Proposal'!X690)</f>
        <v xml:space="preserve"> </v>
      </c>
      <c r="K690" s="165" t="str">
        <f>IF(ISBLANK('ALL Other SINs - Proposal'!AA690)," ",'ALL Other SINs - Proposal'!AA690)</f>
        <v xml:space="preserve"> </v>
      </c>
      <c r="L690" s="178" t="str">
        <f>IF(ISBLANK('ALL Other SINs - Proposal'!AB690)," ",'ALL Other SINs - Proposal'!AB690)</f>
        <v xml:space="preserve"> </v>
      </c>
      <c r="M690" s="72" t="str">
        <f t="shared" si="20"/>
        <v xml:space="preserve"> </v>
      </c>
      <c r="N690" s="167" t="str">
        <f t="shared" si="21"/>
        <v xml:space="preserve"> </v>
      </c>
    </row>
    <row r="691" spans="1:14" ht="15" x14ac:dyDescent="0.25">
      <c r="A691" s="131" t="str">
        <f>IF(ISBLANK('ALL Other SINs - Proposal'!A691)," ",'ALL Other SINs - Proposal'!A691)</f>
        <v xml:space="preserve"> </v>
      </c>
      <c r="B691" s="137" t="str">
        <f>IF(ISBLANK('ALL Other SINs - Proposal'!B691)," ",'ALL Other SINs - Proposal'!B691)</f>
        <v xml:space="preserve"> </v>
      </c>
      <c r="C691" s="137" t="str">
        <f>IF(ISBLANK('ALL Other SINs - Proposal'!C691)," ",'ALL Other SINs - Proposal'!C691)</f>
        <v xml:space="preserve"> </v>
      </c>
      <c r="D691" s="138" t="str">
        <f>IF(ISBLANK('ALL Other SINs - Proposal'!D691)," ",'ALL Other SINs - Proposal'!D691)</f>
        <v xml:space="preserve"> </v>
      </c>
      <c r="E691" s="69" t="str">
        <f>IF(ISBLANK('ALL Other SINs - Proposal'!R691)," ",'ALL Other SINs - Proposal'!R691)</f>
        <v xml:space="preserve"> </v>
      </c>
      <c r="F691" s="73" t="str">
        <f>IF(ISBLANK('ALL Other SINs - Proposal'!S691)," ",'ALL Other SINs - Proposal'!S691)</f>
        <v xml:space="preserve"> </v>
      </c>
      <c r="G691" s="173" t="str">
        <f>IF(ISBLANK('ALL Other SINs - Proposal'!T691)," ",'ALL Other SINs - Proposal'!T691)</f>
        <v xml:space="preserve"> </v>
      </c>
      <c r="H691" s="275" t="str">
        <f>IF(ISBLANK('ALL Other SINs - Proposal'!V691)," ",'ALL Other SINs - Proposal'!V691)</f>
        <v xml:space="preserve"> </v>
      </c>
      <c r="I691" s="271" t="str">
        <f>IF(ISBLANK('ALL Other SINs - Proposal'!W691)," ",'ALL Other SINs - Proposal'!W691)</f>
        <v xml:space="preserve"> </v>
      </c>
      <c r="J691" s="71" t="str">
        <f>IF(ISBLANK('ALL Other SINs - Proposal'!X691)," ",'ALL Other SINs - Proposal'!X691)</f>
        <v xml:space="preserve"> </v>
      </c>
      <c r="K691" s="165" t="str">
        <f>IF(ISBLANK('ALL Other SINs - Proposal'!AA691)," ",'ALL Other SINs - Proposal'!AA691)</f>
        <v xml:space="preserve"> </v>
      </c>
      <c r="L691" s="178" t="str">
        <f>IF(ISBLANK('ALL Other SINs - Proposal'!AB691)," ",'ALL Other SINs - Proposal'!AB691)</f>
        <v xml:space="preserve"> </v>
      </c>
      <c r="M691" s="72" t="str">
        <f t="shared" si="20"/>
        <v xml:space="preserve"> </v>
      </c>
      <c r="N691" s="167" t="str">
        <f t="shared" si="21"/>
        <v xml:space="preserve"> </v>
      </c>
    </row>
    <row r="692" spans="1:14" ht="15" x14ac:dyDescent="0.25">
      <c r="A692" s="131" t="str">
        <f>IF(ISBLANK('ALL Other SINs - Proposal'!A692)," ",'ALL Other SINs - Proposal'!A692)</f>
        <v xml:space="preserve"> </v>
      </c>
      <c r="B692" s="137" t="str">
        <f>IF(ISBLANK('ALL Other SINs - Proposal'!B692)," ",'ALL Other SINs - Proposal'!B692)</f>
        <v xml:space="preserve"> </v>
      </c>
      <c r="C692" s="137" t="str">
        <f>IF(ISBLANK('ALL Other SINs - Proposal'!C692)," ",'ALL Other SINs - Proposal'!C692)</f>
        <v xml:space="preserve"> </v>
      </c>
      <c r="D692" s="138" t="str">
        <f>IF(ISBLANK('ALL Other SINs - Proposal'!D692)," ",'ALL Other SINs - Proposal'!D692)</f>
        <v xml:space="preserve"> </v>
      </c>
      <c r="E692" s="69" t="str">
        <f>IF(ISBLANK('ALL Other SINs - Proposal'!R692)," ",'ALL Other SINs - Proposal'!R692)</f>
        <v xml:space="preserve"> </v>
      </c>
      <c r="F692" s="73" t="str">
        <f>IF(ISBLANK('ALL Other SINs - Proposal'!S692)," ",'ALL Other SINs - Proposal'!S692)</f>
        <v xml:space="preserve"> </v>
      </c>
      <c r="G692" s="173" t="str">
        <f>IF(ISBLANK('ALL Other SINs - Proposal'!T692)," ",'ALL Other SINs - Proposal'!T692)</f>
        <v xml:space="preserve"> </v>
      </c>
      <c r="H692" s="275" t="str">
        <f>IF(ISBLANK('ALL Other SINs - Proposal'!V692)," ",'ALL Other SINs - Proposal'!V692)</f>
        <v xml:space="preserve"> </v>
      </c>
      <c r="I692" s="271" t="str">
        <f>IF(ISBLANK('ALL Other SINs - Proposal'!W692)," ",'ALL Other SINs - Proposal'!W692)</f>
        <v xml:space="preserve"> </v>
      </c>
      <c r="J692" s="71" t="str">
        <f>IF(ISBLANK('ALL Other SINs - Proposal'!X692)," ",'ALL Other SINs - Proposal'!X692)</f>
        <v xml:space="preserve"> </v>
      </c>
      <c r="K692" s="165" t="str">
        <f>IF(ISBLANK('ALL Other SINs - Proposal'!AA692)," ",'ALL Other SINs - Proposal'!AA692)</f>
        <v xml:space="preserve"> </v>
      </c>
      <c r="L692" s="178" t="str">
        <f>IF(ISBLANK('ALL Other SINs - Proposal'!AB692)," ",'ALL Other SINs - Proposal'!AB692)</f>
        <v xml:space="preserve"> </v>
      </c>
      <c r="M692" s="72" t="str">
        <f t="shared" si="20"/>
        <v xml:space="preserve"> </v>
      </c>
      <c r="N692" s="167" t="str">
        <f t="shared" si="21"/>
        <v xml:space="preserve"> </v>
      </c>
    </row>
    <row r="693" spans="1:14" ht="15" x14ac:dyDescent="0.25">
      <c r="A693" s="131" t="str">
        <f>IF(ISBLANK('ALL Other SINs - Proposal'!A693)," ",'ALL Other SINs - Proposal'!A693)</f>
        <v xml:space="preserve"> </v>
      </c>
      <c r="B693" s="137" t="str">
        <f>IF(ISBLANK('ALL Other SINs - Proposal'!B693)," ",'ALL Other SINs - Proposal'!B693)</f>
        <v xml:space="preserve"> </v>
      </c>
      <c r="C693" s="137" t="str">
        <f>IF(ISBLANK('ALL Other SINs - Proposal'!C693)," ",'ALL Other SINs - Proposal'!C693)</f>
        <v xml:space="preserve"> </v>
      </c>
      <c r="D693" s="138" t="str">
        <f>IF(ISBLANK('ALL Other SINs - Proposal'!D693)," ",'ALL Other SINs - Proposal'!D693)</f>
        <v xml:space="preserve"> </v>
      </c>
      <c r="E693" s="69" t="str">
        <f>IF(ISBLANK('ALL Other SINs - Proposal'!R693)," ",'ALL Other SINs - Proposal'!R693)</f>
        <v xml:space="preserve"> </v>
      </c>
      <c r="F693" s="73" t="str">
        <f>IF(ISBLANK('ALL Other SINs - Proposal'!S693)," ",'ALL Other SINs - Proposal'!S693)</f>
        <v xml:space="preserve"> </v>
      </c>
      <c r="G693" s="173" t="str">
        <f>IF(ISBLANK('ALL Other SINs - Proposal'!T693)," ",'ALL Other SINs - Proposal'!T693)</f>
        <v xml:space="preserve"> </v>
      </c>
      <c r="H693" s="275" t="str">
        <f>IF(ISBLANK('ALL Other SINs - Proposal'!V693)," ",'ALL Other SINs - Proposal'!V693)</f>
        <v xml:space="preserve"> </v>
      </c>
      <c r="I693" s="271" t="str">
        <f>IF(ISBLANK('ALL Other SINs - Proposal'!W693)," ",'ALL Other SINs - Proposal'!W693)</f>
        <v xml:space="preserve"> </v>
      </c>
      <c r="J693" s="71" t="str">
        <f>IF(ISBLANK('ALL Other SINs - Proposal'!X693)," ",'ALL Other SINs - Proposal'!X693)</f>
        <v xml:space="preserve"> </v>
      </c>
      <c r="K693" s="165" t="str">
        <f>IF(ISBLANK('ALL Other SINs - Proposal'!AA693)," ",'ALL Other SINs - Proposal'!AA693)</f>
        <v xml:space="preserve"> </v>
      </c>
      <c r="L693" s="178" t="str">
        <f>IF(ISBLANK('ALL Other SINs - Proposal'!AB693)," ",'ALL Other SINs - Proposal'!AB693)</f>
        <v xml:space="preserve"> </v>
      </c>
      <c r="M693" s="72" t="str">
        <f t="shared" si="20"/>
        <v xml:space="preserve"> </v>
      </c>
      <c r="N693" s="167" t="str">
        <f t="shared" si="21"/>
        <v xml:space="preserve"> </v>
      </c>
    </row>
    <row r="694" spans="1:14" ht="15" x14ac:dyDescent="0.25">
      <c r="A694" s="131" t="str">
        <f>IF(ISBLANK('ALL Other SINs - Proposal'!A694)," ",'ALL Other SINs - Proposal'!A694)</f>
        <v xml:space="preserve"> </v>
      </c>
      <c r="B694" s="137" t="str">
        <f>IF(ISBLANK('ALL Other SINs - Proposal'!B694)," ",'ALL Other SINs - Proposal'!B694)</f>
        <v xml:space="preserve"> </v>
      </c>
      <c r="C694" s="137" t="str">
        <f>IF(ISBLANK('ALL Other SINs - Proposal'!C694)," ",'ALL Other SINs - Proposal'!C694)</f>
        <v xml:space="preserve"> </v>
      </c>
      <c r="D694" s="138" t="str">
        <f>IF(ISBLANK('ALL Other SINs - Proposal'!D694)," ",'ALL Other SINs - Proposal'!D694)</f>
        <v xml:space="preserve"> </v>
      </c>
      <c r="E694" s="69" t="str">
        <f>IF(ISBLANK('ALL Other SINs - Proposal'!R694)," ",'ALL Other SINs - Proposal'!R694)</f>
        <v xml:space="preserve"> </v>
      </c>
      <c r="F694" s="73" t="str">
        <f>IF(ISBLANK('ALL Other SINs - Proposal'!S694)," ",'ALL Other SINs - Proposal'!S694)</f>
        <v xml:space="preserve"> </v>
      </c>
      <c r="G694" s="173" t="str">
        <f>IF(ISBLANK('ALL Other SINs - Proposal'!T694)," ",'ALL Other SINs - Proposal'!T694)</f>
        <v xml:space="preserve"> </v>
      </c>
      <c r="H694" s="275" t="str">
        <f>IF(ISBLANK('ALL Other SINs - Proposal'!V694)," ",'ALL Other SINs - Proposal'!V694)</f>
        <v xml:space="preserve"> </v>
      </c>
      <c r="I694" s="271" t="str">
        <f>IF(ISBLANK('ALL Other SINs - Proposal'!W694)," ",'ALL Other SINs - Proposal'!W694)</f>
        <v xml:space="preserve"> </v>
      </c>
      <c r="J694" s="71" t="str">
        <f>IF(ISBLANK('ALL Other SINs - Proposal'!X694)," ",'ALL Other SINs - Proposal'!X694)</f>
        <v xml:space="preserve"> </v>
      </c>
      <c r="K694" s="165" t="str">
        <f>IF(ISBLANK('ALL Other SINs - Proposal'!AA694)," ",'ALL Other SINs - Proposal'!AA694)</f>
        <v xml:space="preserve"> </v>
      </c>
      <c r="L694" s="178" t="str">
        <f>IF(ISBLANK('ALL Other SINs - Proposal'!AB694)," ",'ALL Other SINs - Proposal'!AB694)</f>
        <v xml:space="preserve"> </v>
      </c>
      <c r="M694" s="72" t="str">
        <f t="shared" si="20"/>
        <v xml:space="preserve"> </v>
      </c>
      <c r="N694" s="167" t="str">
        <f t="shared" si="21"/>
        <v xml:space="preserve"> </v>
      </c>
    </row>
    <row r="695" spans="1:14" ht="15" x14ac:dyDescent="0.25">
      <c r="A695" s="131" t="str">
        <f>IF(ISBLANK('ALL Other SINs - Proposal'!A695)," ",'ALL Other SINs - Proposal'!A695)</f>
        <v xml:space="preserve"> </v>
      </c>
      <c r="B695" s="137" t="str">
        <f>IF(ISBLANK('ALL Other SINs - Proposal'!B695)," ",'ALL Other SINs - Proposal'!B695)</f>
        <v xml:space="preserve"> </v>
      </c>
      <c r="C695" s="137" t="str">
        <f>IF(ISBLANK('ALL Other SINs - Proposal'!C695)," ",'ALL Other SINs - Proposal'!C695)</f>
        <v xml:space="preserve"> </v>
      </c>
      <c r="D695" s="138" t="str">
        <f>IF(ISBLANK('ALL Other SINs - Proposal'!D695)," ",'ALL Other SINs - Proposal'!D695)</f>
        <v xml:space="preserve"> </v>
      </c>
      <c r="E695" s="69" t="str">
        <f>IF(ISBLANK('ALL Other SINs - Proposal'!R695)," ",'ALL Other SINs - Proposal'!R695)</f>
        <v xml:space="preserve"> </v>
      </c>
      <c r="F695" s="73" t="str">
        <f>IF(ISBLANK('ALL Other SINs - Proposal'!S695)," ",'ALL Other SINs - Proposal'!S695)</f>
        <v xml:space="preserve"> </v>
      </c>
      <c r="G695" s="173" t="str">
        <f>IF(ISBLANK('ALL Other SINs - Proposal'!T695)," ",'ALL Other SINs - Proposal'!T695)</f>
        <v xml:space="preserve"> </v>
      </c>
      <c r="H695" s="275" t="str">
        <f>IF(ISBLANK('ALL Other SINs - Proposal'!V695)," ",'ALL Other SINs - Proposal'!V695)</f>
        <v xml:space="preserve"> </v>
      </c>
      <c r="I695" s="271" t="str">
        <f>IF(ISBLANK('ALL Other SINs - Proposal'!W695)," ",'ALL Other SINs - Proposal'!W695)</f>
        <v xml:space="preserve"> </v>
      </c>
      <c r="J695" s="71" t="str">
        <f>IF(ISBLANK('ALL Other SINs - Proposal'!X695)," ",'ALL Other SINs - Proposal'!X695)</f>
        <v xml:space="preserve"> </v>
      </c>
      <c r="K695" s="165" t="str">
        <f>IF(ISBLANK('ALL Other SINs - Proposal'!AA695)," ",'ALL Other SINs - Proposal'!AA695)</f>
        <v xml:space="preserve"> </v>
      </c>
      <c r="L695" s="178" t="str">
        <f>IF(ISBLANK('ALL Other SINs - Proposal'!AB695)," ",'ALL Other SINs - Proposal'!AB695)</f>
        <v xml:space="preserve"> </v>
      </c>
      <c r="M695" s="72" t="str">
        <f t="shared" si="20"/>
        <v xml:space="preserve"> </v>
      </c>
      <c r="N695" s="167" t="str">
        <f t="shared" si="21"/>
        <v xml:space="preserve"> </v>
      </c>
    </row>
    <row r="696" spans="1:14" ht="15" x14ac:dyDescent="0.25">
      <c r="A696" s="131" t="str">
        <f>IF(ISBLANK('ALL Other SINs - Proposal'!A696)," ",'ALL Other SINs - Proposal'!A696)</f>
        <v xml:space="preserve"> </v>
      </c>
      <c r="B696" s="137" t="str">
        <f>IF(ISBLANK('ALL Other SINs - Proposal'!B696)," ",'ALL Other SINs - Proposal'!B696)</f>
        <v xml:space="preserve"> </v>
      </c>
      <c r="C696" s="137" t="str">
        <f>IF(ISBLANK('ALL Other SINs - Proposal'!C696)," ",'ALL Other SINs - Proposal'!C696)</f>
        <v xml:space="preserve"> </v>
      </c>
      <c r="D696" s="138" t="str">
        <f>IF(ISBLANK('ALL Other SINs - Proposal'!D696)," ",'ALL Other SINs - Proposal'!D696)</f>
        <v xml:space="preserve"> </v>
      </c>
      <c r="E696" s="69" t="str">
        <f>IF(ISBLANK('ALL Other SINs - Proposal'!R696)," ",'ALL Other SINs - Proposal'!R696)</f>
        <v xml:space="preserve"> </v>
      </c>
      <c r="F696" s="73" t="str">
        <f>IF(ISBLANK('ALL Other SINs - Proposal'!S696)," ",'ALL Other SINs - Proposal'!S696)</f>
        <v xml:space="preserve"> </v>
      </c>
      <c r="G696" s="173" t="str">
        <f>IF(ISBLANK('ALL Other SINs - Proposal'!T696)," ",'ALL Other SINs - Proposal'!T696)</f>
        <v xml:space="preserve"> </v>
      </c>
      <c r="H696" s="275" t="str">
        <f>IF(ISBLANK('ALL Other SINs - Proposal'!V696)," ",'ALL Other SINs - Proposal'!V696)</f>
        <v xml:space="preserve"> </v>
      </c>
      <c r="I696" s="271" t="str">
        <f>IF(ISBLANK('ALL Other SINs - Proposal'!W696)," ",'ALL Other SINs - Proposal'!W696)</f>
        <v xml:space="preserve"> </v>
      </c>
      <c r="J696" s="71" t="str">
        <f>IF(ISBLANK('ALL Other SINs - Proposal'!X696)," ",'ALL Other SINs - Proposal'!X696)</f>
        <v xml:space="preserve"> </v>
      </c>
      <c r="K696" s="165" t="str">
        <f>IF(ISBLANK('ALL Other SINs - Proposal'!AA696)," ",'ALL Other SINs - Proposal'!AA696)</f>
        <v xml:space="preserve"> </v>
      </c>
      <c r="L696" s="178" t="str">
        <f>IF(ISBLANK('ALL Other SINs - Proposal'!AB696)," ",'ALL Other SINs - Proposal'!AB696)</f>
        <v xml:space="preserve"> </v>
      </c>
      <c r="M696" s="72" t="str">
        <f t="shared" si="20"/>
        <v xml:space="preserve"> </v>
      </c>
      <c r="N696" s="167" t="str">
        <f t="shared" si="21"/>
        <v xml:space="preserve"> </v>
      </c>
    </row>
    <row r="697" spans="1:14" ht="15" x14ac:dyDescent="0.25">
      <c r="A697" s="131" t="str">
        <f>IF(ISBLANK('ALL Other SINs - Proposal'!A697)," ",'ALL Other SINs - Proposal'!A697)</f>
        <v xml:space="preserve"> </v>
      </c>
      <c r="B697" s="137" t="str">
        <f>IF(ISBLANK('ALL Other SINs - Proposal'!B697)," ",'ALL Other SINs - Proposal'!B697)</f>
        <v xml:space="preserve"> </v>
      </c>
      <c r="C697" s="137" t="str">
        <f>IF(ISBLANK('ALL Other SINs - Proposal'!C697)," ",'ALL Other SINs - Proposal'!C697)</f>
        <v xml:space="preserve"> </v>
      </c>
      <c r="D697" s="138" t="str">
        <f>IF(ISBLANK('ALL Other SINs - Proposal'!D697)," ",'ALL Other SINs - Proposal'!D697)</f>
        <v xml:space="preserve"> </v>
      </c>
      <c r="E697" s="69" t="str">
        <f>IF(ISBLANK('ALL Other SINs - Proposal'!R697)," ",'ALL Other SINs - Proposal'!R697)</f>
        <v xml:space="preserve"> </v>
      </c>
      <c r="F697" s="73" t="str">
        <f>IF(ISBLANK('ALL Other SINs - Proposal'!S697)," ",'ALL Other SINs - Proposal'!S697)</f>
        <v xml:space="preserve"> </v>
      </c>
      <c r="G697" s="173" t="str">
        <f>IF(ISBLANK('ALL Other SINs - Proposal'!T697)," ",'ALL Other SINs - Proposal'!T697)</f>
        <v xml:space="preserve"> </v>
      </c>
      <c r="H697" s="275" t="str">
        <f>IF(ISBLANK('ALL Other SINs - Proposal'!V697)," ",'ALL Other SINs - Proposal'!V697)</f>
        <v xml:space="preserve"> </v>
      </c>
      <c r="I697" s="271" t="str">
        <f>IF(ISBLANK('ALL Other SINs - Proposal'!W697)," ",'ALL Other SINs - Proposal'!W697)</f>
        <v xml:space="preserve"> </v>
      </c>
      <c r="J697" s="71" t="str">
        <f>IF(ISBLANK('ALL Other SINs - Proposal'!X697)," ",'ALL Other SINs - Proposal'!X697)</f>
        <v xml:space="preserve"> </v>
      </c>
      <c r="K697" s="165" t="str">
        <f>IF(ISBLANK('ALL Other SINs - Proposal'!AA697)," ",'ALL Other SINs - Proposal'!AA697)</f>
        <v xml:space="preserve"> </v>
      </c>
      <c r="L697" s="178" t="str">
        <f>IF(ISBLANK('ALL Other SINs - Proposal'!AB697)," ",'ALL Other SINs - Proposal'!AB697)</f>
        <v xml:space="preserve"> </v>
      </c>
      <c r="M697" s="72" t="str">
        <f t="shared" si="20"/>
        <v xml:space="preserve"> </v>
      </c>
      <c r="N697" s="167" t="str">
        <f t="shared" si="21"/>
        <v xml:space="preserve"> </v>
      </c>
    </row>
    <row r="698" spans="1:14" ht="15" x14ac:dyDescent="0.25">
      <c r="A698" s="131" t="str">
        <f>IF(ISBLANK('ALL Other SINs - Proposal'!A698)," ",'ALL Other SINs - Proposal'!A698)</f>
        <v xml:space="preserve"> </v>
      </c>
      <c r="B698" s="137" t="str">
        <f>IF(ISBLANK('ALL Other SINs - Proposal'!B698)," ",'ALL Other SINs - Proposal'!B698)</f>
        <v xml:space="preserve"> </v>
      </c>
      <c r="C698" s="137" t="str">
        <f>IF(ISBLANK('ALL Other SINs - Proposal'!C698)," ",'ALL Other SINs - Proposal'!C698)</f>
        <v xml:space="preserve"> </v>
      </c>
      <c r="D698" s="138" t="str">
        <f>IF(ISBLANK('ALL Other SINs - Proposal'!D698)," ",'ALL Other SINs - Proposal'!D698)</f>
        <v xml:space="preserve"> </v>
      </c>
      <c r="E698" s="69" t="str">
        <f>IF(ISBLANK('ALL Other SINs - Proposal'!R698)," ",'ALL Other SINs - Proposal'!R698)</f>
        <v xml:space="preserve"> </v>
      </c>
      <c r="F698" s="73" t="str">
        <f>IF(ISBLANK('ALL Other SINs - Proposal'!S698)," ",'ALL Other SINs - Proposal'!S698)</f>
        <v xml:space="preserve"> </v>
      </c>
      <c r="G698" s="173" t="str">
        <f>IF(ISBLANK('ALL Other SINs - Proposal'!T698)," ",'ALL Other SINs - Proposal'!T698)</f>
        <v xml:space="preserve"> </v>
      </c>
      <c r="H698" s="275" t="str">
        <f>IF(ISBLANK('ALL Other SINs - Proposal'!V698)," ",'ALL Other SINs - Proposal'!V698)</f>
        <v xml:space="preserve"> </v>
      </c>
      <c r="I698" s="271" t="str">
        <f>IF(ISBLANK('ALL Other SINs - Proposal'!W698)," ",'ALL Other SINs - Proposal'!W698)</f>
        <v xml:space="preserve"> </v>
      </c>
      <c r="J698" s="71" t="str">
        <f>IF(ISBLANK('ALL Other SINs - Proposal'!X698)," ",'ALL Other SINs - Proposal'!X698)</f>
        <v xml:space="preserve"> </v>
      </c>
      <c r="K698" s="165" t="str">
        <f>IF(ISBLANK('ALL Other SINs - Proposal'!AA698)," ",'ALL Other SINs - Proposal'!AA698)</f>
        <v xml:space="preserve"> </v>
      </c>
      <c r="L698" s="178" t="str">
        <f>IF(ISBLANK('ALL Other SINs - Proposal'!AB698)," ",'ALL Other SINs - Proposal'!AB698)</f>
        <v xml:space="preserve"> </v>
      </c>
      <c r="M698" s="72" t="str">
        <f t="shared" si="20"/>
        <v xml:space="preserve"> </v>
      </c>
      <c r="N698" s="167" t="str">
        <f t="shared" si="21"/>
        <v xml:space="preserve"> </v>
      </c>
    </row>
    <row r="699" spans="1:14" ht="15" x14ac:dyDescent="0.25">
      <c r="A699" s="131" t="str">
        <f>IF(ISBLANK('ALL Other SINs - Proposal'!A699)," ",'ALL Other SINs - Proposal'!A699)</f>
        <v xml:space="preserve"> </v>
      </c>
      <c r="B699" s="137" t="str">
        <f>IF(ISBLANK('ALL Other SINs - Proposal'!B699)," ",'ALL Other SINs - Proposal'!B699)</f>
        <v xml:space="preserve"> </v>
      </c>
      <c r="C699" s="137" t="str">
        <f>IF(ISBLANK('ALL Other SINs - Proposal'!C699)," ",'ALL Other SINs - Proposal'!C699)</f>
        <v xml:space="preserve"> </v>
      </c>
      <c r="D699" s="138" t="str">
        <f>IF(ISBLANK('ALL Other SINs - Proposal'!D699)," ",'ALL Other SINs - Proposal'!D699)</f>
        <v xml:space="preserve"> </v>
      </c>
      <c r="E699" s="69" t="str">
        <f>IF(ISBLANK('ALL Other SINs - Proposal'!R699)," ",'ALL Other SINs - Proposal'!R699)</f>
        <v xml:space="preserve"> </v>
      </c>
      <c r="F699" s="73" t="str">
        <f>IF(ISBLANK('ALL Other SINs - Proposal'!S699)," ",'ALL Other SINs - Proposal'!S699)</f>
        <v xml:space="preserve"> </v>
      </c>
      <c r="G699" s="173" t="str">
        <f>IF(ISBLANK('ALL Other SINs - Proposal'!T699)," ",'ALL Other SINs - Proposal'!T699)</f>
        <v xml:space="preserve"> </v>
      </c>
      <c r="H699" s="275" t="str">
        <f>IF(ISBLANK('ALL Other SINs - Proposal'!V699)," ",'ALL Other SINs - Proposal'!V699)</f>
        <v xml:space="preserve"> </v>
      </c>
      <c r="I699" s="271" t="str">
        <f>IF(ISBLANK('ALL Other SINs - Proposal'!W699)," ",'ALL Other SINs - Proposal'!W699)</f>
        <v xml:space="preserve"> </v>
      </c>
      <c r="J699" s="71" t="str">
        <f>IF(ISBLANK('ALL Other SINs - Proposal'!X699)," ",'ALL Other SINs - Proposal'!X699)</f>
        <v xml:space="preserve"> </v>
      </c>
      <c r="K699" s="165" t="str">
        <f>IF(ISBLANK('ALL Other SINs - Proposal'!AA699)," ",'ALL Other SINs - Proposal'!AA699)</f>
        <v xml:space="preserve"> </v>
      </c>
      <c r="L699" s="178" t="str">
        <f>IF(ISBLANK('ALL Other SINs - Proposal'!AB699)," ",'ALL Other SINs - Proposal'!AB699)</f>
        <v xml:space="preserve"> </v>
      </c>
      <c r="M699" s="72" t="str">
        <f t="shared" si="20"/>
        <v xml:space="preserve"> </v>
      </c>
      <c r="N699" s="167" t="str">
        <f t="shared" si="21"/>
        <v xml:space="preserve"> </v>
      </c>
    </row>
    <row r="700" spans="1:14" ht="15" x14ac:dyDescent="0.25">
      <c r="A700" s="131" t="str">
        <f>IF(ISBLANK('ALL Other SINs - Proposal'!A700)," ",'ALL Other SINs - Proposal'!A700)</f>
        <v xml:space="preserve"> </v>
      </c>
      <c r="B700" s="137" t="str">
        <f>IF(ISBLANK('ALL Other SINs - Proposal'!B700)," ",'ALL Other SINs - Proposal'!B700)</f>
        <v xml:space="preserve"> </v>
      </c>
      <c r="C700" s="137" t="str">
        <f>IF(ISBLANK('ALL Other SINs - Proposal'!C700)," ",'ALL Other SINs - Proposal'!C700)</f>
        <v xml:space="preserve"> </v>
      </c>
      <c r="D700" s="138" t="str">
        <f>IF(ISBLANK('ALL Other SINs - Proposal'!D700)," ",'ALL Other SINs - Proposal'!D700)</f>
        <v xml:space="preserve"> </v>
      </c>
      <c r="E700" s="69" t="str">
        <f>IF(ISBLANK('ALL Other SINs - Proposal'!R700)," ",'ALL Other SINs - Proposal'!R700)</f>
        <v xml:space="preserve"> </v>
      </c>
      <c r="F700" s="73" t="str">
        <f>IF(ISBLANK('ALL Other SINs - Proposal'!S700)," ",'ALL Other SINs - Proposal'!S700)</f>
        <v xml:space="preserve"> </v>
      </c>
      <c r="G700" s="173" t="str">
        <f>IF(ISBLANK('ALL Other SINs - Proposal'!T700)," ",'ALL Other SINs - Proposal'!T700)</f>
        <v xml:space="preserve"> </v>
      </c>
      <c r="H700" s="275" t="str">
        <f>IF(ISBLANK('ALL Other SINs - Proposal'!V700)," ",'ALL Other SINs - Proposal'!V700)</f>
        <v xml:space="preserve"> </v>
      </c>
      <c r="I700" s="271" t="str">
        <f>IF(ISBLANK('ALL Other SINs - Proposal'!W700)," ",'ALL Other SINs - Proposal'!W700)</f>
        <v xml:space="preserve"> </v>
      </c>
      <c r="J700" s="71" t="str">
        <f>IF(ISBLANK('ALL Other SINs - Proposal'!X700)," ",'ALL Other SINs - Proposal'!X700)</f>
        <v xml:space="preserve"> </v>
      </c>
      <c r="K700" s="165" t="str">
        <f>IF(ISBLANK('ALL Other SINs - Proposal'!AA700)," ",'ALL Other SINs - Proposal'!AA700)</f>
        <v xml:space="preserve"> </v>
      </c>
      <c r="L700" s="178" t="str">
        <f>IF(ISBLANK('ALL Other SINs - Proposal'!AB700)," ",'ALL Other SINs - Proposal'!AB700)</f>
        <v xml:space="preserve"> </v>
      </c>
      <c r="M700" s="72" t="str">
        <f t="shared" si="20"/>
        <v xml:space="preserve"> </v>
      </c>
      <c r="N700" s="167" t="str">
        <f t="shared" si="21"/>
        <v xml:space="preserve"> </v>
      </c>
    </row>
    <row r="701" spans="1:14" ht="15" x14ac:dyDescent="0.25">
      <c r="A701" s="131" t="str">
        <f>IF(ISBLANK('ALL Other SINs - Proposal'!A701)," ",'ALL Other SINs - Proposal'!A701)</f>
        <v xml:space="preserve"> </v>
      </c>
      <c r="B701" s="137" t="str">
        <f>IF(ISBLANK('ALL Other SINs - Proposal'!B701)," ",'ALL Other SINs - Proposal'!B701)</f>
        <v xml:space="preserve"> </v>
      </c>
      <c r="C701" s="137" t="str">
        <f>IF(ISBLANK('ALL Other SINs - Proposal'!C701)," ",'ALL Other SINs - Proposal'!C701)</f>
        <v xml:space="preserve"> </v>
      </c>
      <c r="D701" s="138" t="str">
        <f>IF(ISBLANK('ALL Other SINs - Proposal'!D701)," ",'ALL Other SINs - Proposal'!D701)</f>
        <v xml:space="preserve"> </v>
      </c>
      <c r="E701" s="69" t="str">
        <f>IF(ISBLANK('ALL Other SINs - Proposal'!R701)," ",'ALL Other SINs - Proposal'!R701)</f>
        <v xml:space="preserve"> </v>
      </c>
      <c r="F701" s="73" t="str">
        <f>IF(ISBLANK('ALL Other SINs - Proposal'!S701)," ",'ALL Other SINs - Proposal'!S701)</f>
        <v xml:space="preserve"> </v>
      </c>
      <c r="G701" s="173" t="str">
        <f>IF(ISBLANK('ALL Other SINs - Proposal'!T701)," ",'ALL Other SINs - Proposal'!T701)</f>
        <v xml:space="preserve"> </v>
      </c>
      <c r="H701" s="275" t="str">
        <f>IF(ISBLANK('ALL Other SINs - Proposal'!V701)," ",'ALL Other SINs - Proposal'!V701)</f>
        <v xml:space="preserve"> </v>
      </c>
      <c r="I701" s="271" t="str">
        <f>IF(ISBLANK('ALL Other SINs - Proposal'!W701)," ",'ALL Other SINs - Proposal'!W701)</f>
        <v xml:space="preserve"> </v>
      </c>
      <c r="J701" s="71" t="str">
        <f>IF(ISBLANK('ALL Other SINs - Proposal'!X701)," ",'ALL Other SINs - Proposal'!X701)</f>
        <v xml:space="preserve"> </v>
      </c>
      <c r="K701" s="165" t="str">
        <f>IF(ISBLANK('ALL Other SINs - Proposal'!AA701)," ",'ALL Other SINs - Proposal'!AA701)</f>
        <v xml:space="preserve"> </v>
      </c>
      <c r="L701" s="178" t="str">
        <f>IF(ISBLANK('ALL Other SINs - Proposal'!AB701)," ",'ALL Other SINs - Proposal'!AB701)</f>
        <v xml:space="preserve"> </v>
      </c>
      <c r="M701" s="72" t="str">
        <f t="shared" si="20"/>
        <v xml:space="preserve"> </v>
      </c>
      <c r="N701" s="167" t="str">
        <f t="shared" si="21"/>
        <v xml:space="preserve"> </v>
      </c>
    </row>
    <row r="702" spans="1:14" ht="15" x14ac:dyDescent="0.25">
      <c r="A702" s="131" t="str">
        <f>IF(ISBLANK('ALL Other SINs - Proposal'!A702)," ",'ALL Other SINs - Proposal'!A702)</f>
        <v xml:space="preserve"> </v>
      </c>
      <c r="B702" s="137" t="str">
        <f>IF(ISBLANK('ALL Other SINs - Proposal'!B702)," ",'ALL Other SINs - Proposal'!B702)</f>
        <v xml:space="preserve"> </v>
      </c>
      <c r="C702" s="137" t="str">
        <f>IF(ISBLANK('ALL Other SINs - Proposal'!C702)," ",'ALL Other SINs - Proposal'!C702)</f>
        <v xml:space="preserve"> </v>
      </c>
      <c r="D702" s="138" t="str">
        <f>IF(ISBLANK('ALL Other SINs - Proposal'!D702)," ",'ALL Other SINs - Proposal'!D702)</f>
        <v xml:space="preserve"> </v>
      </c>
      <c r="E702" s="69" t="str">
        <f>IF(ISBLANK('ALL Other SINs - Proposal'!R702)," ",'ALL Other SINs - Proposal'!R702)</f>
        <v xml:space="preserve"> </v>
      </c>
      <c r="F702" s="73" t="str">
        <f>IF(ISBLANK('ALL Other SINs - Proposal'!S702)," ",'ALL Other SINs - Proposal'!S702)</f>
        <v xml:space="preserve"> </v>
      </c>
      <c r="G702" s="173" t="str">
        <f>IF(ISBLANK('ALL Other SINs - Proposal'!T702)," ",'ALL Other SINs - Proposal'!T702)</f>
        <v xml:space="preserve"> </v>
      </c>
      <c r="H702" s="275" t="str">
        <f>IF(ISBLANK('ALL Other SINs - Proposal'!V702)," ",'ALL Other SINs - Proposal'!V702)</f>
        <v xml:space="preserve"> </v>
      </c>
      <c r="I702" s="271" t="str">
        <f>IF(ISBLANK('ALL Other SINs - Proposal'!W702)," ",'ALL Other SINs - Proposal'!W702)</f>
        <v xml:space="preserve"> </v>
      </c>
      <c r="J702" s="71" t="str">
        <f>IF(ISBLANK('ALL Other SINs - Proposal'!X702)," ",'ALL Other SINs - Proposal'!X702)</f>
        <v xml:space="preserve"> </v>
      </c>
      <c r="K702" s="165" t="str">
        <f>IF(ISBLANK('ALL Other SINs - Proposal'!AA702)," ",'ALL Other SINs - Proposal'!AA702)</f>
        <v xml:space="preserve"> </v>
      </c>
      <c r="L702" s="178" t="str">
        <f>IF(ISBLANK('ALL Other SINs - Proposal'!AB702)," ",'ALL Other SINs - Proposal'!AB702)</f>
        <v xml:space="preserve"> </v>
      </c>
      <c r="M702" s="72" t="str">
        <f t="shared" si="20"/>
        <v xml:space="preserve"> </v>
      </c>
      <c r="N702" s="167" t="str">
        <f t="shared" si="21"/>
        <v xml:space="preserve"> </v>
      </c>
    </row>
    <row r="703" spans="1:14" ht="15" x14ac:dyDescent="0.25">
      <c r="A703" s="131" t="str">
        <f>IF(ISBLANK('ALL Other SINs - Proposal'!A703)," ",'ALL Other SINs - Proposal'!A703)</f>
        <v xml:space="preserve"> </v>
      </c>
      <c r="B703" s="137" t="str">
        <f>IF(ISBLANK('ALL Other SINs - Proposal'!B703)," ",'ALL Other SINs - Proposal'!B703)</f>
        <v xml:space="preserve"> </v>
      </c>
      <c r="C703" s="137" t="str">
        <f>IF(ISBLANK('ALL Other SINs - Proposal'!C703)," ",'ALL Other SINs - Proposal'!C703)</f>
        <v xml:space="preserve"> </v>
      </c>
      <c r="D703" s="138" t="str">
        <f>IF(ISBLANK('ALL Other SINs - Proposal'!D703)," ",'ALL Other SINs - Proposal'!D703)</f>
        <v xml:space="preserve"> </v>
      </c>
      <c r="E703" s="69" t="str">
        <f>IF(ISBLANK('ALL Other SINs - Proposal'!R703)," ",'ALL Other SINs - Proposal'!R703)</f>
        <v xml:space="preserve"> </v>
      </c>
      <c r="F703" s="73" t="str">
        <f>IF(ISBLANK('ALL Other SINs - Proposal'!S703)," ",'ALL Other SINs - Proposal'!S703)</f>
        <v xml:space="preserve"> </v>
      </c>
      <c r="G703" s="173" t="str">
        <f>IF(ISBLANK('ALL Other SINs - Proposal'!T703)," ",'ALL Other SINs - Proposal'!T703)</f>
        <v xml:space="preserve"> </v>
      </c>
      <c r="H703" s="275" t="str">
        <f>IF(ISBLANK('ALL Other SINs - Proposal'!V703)," ",'ALL Other SINs - Proposal'!V703)</f>
        <v xml:space="preserve"> </v>
      </c>
      <c r="I703" s="271" t="str">
        <f>IF(ISBLANK('ALL Other SINs - Proposal'!W703)," ",'ALL Other SINs - Proposal'!W703)</f>
        <v xml:space="preserve"> </v>
      </c>
      <c r="J703" s="71" t="str">
        <f>IF(ISBLANK('ALL Other SINs - Proposal'!X703)," ",'ALL Other SINs - Proposal'!X703)</f>
        <v xml:space="preserve"> </v>
      </c>
      <c r="K703" s="165" t="str">
        <f>IF(ISBLANK('ALL Other SINs - Proposal'!AA703)," ",'ALL Other SINs - Proposal'!AA703)</f>
        <v xml:space="preserve"> </v>
      </c>
      <c r="L703" s="178" t="str">
        <f>IF(ISBLANK('ALL Other SINs - Proposal'!AB703)," ",'ALL Other SINs - Proposal'!AB703)</f>
        <v xml:space="preserve"> </v>
      </c>
      <c r="M703" s="72" t="str">
        <f t="shared" si="20"/>
        <v xml:space="preserve"> </v>
      </c>
      <c r="N703" s="167" t="str">
        <f t="shared" si="21"/>
        <v xml:space="preserve"> </v>
      </c>
    </row>
    <row r="704" spans="1:14" ht="15" x14ac:dyDescent="0.25">
      <c r="A704" s="131" t="str">
        <f>IF(ISBLANK('ALL Other SINs - Proposal'!A704)," ",'ALL Other SINs - Proposal'!A704)</f>
        <v xml:space="preserve"> </v>
      </c>
      <c r="B704" s="137" t="str">
        <f>IF(ISBLANK('ALL Other SINs - Proposal'!B704)," ",'ALL Other SINs - Proposal'!B704)</f>
        <v xml:space="preserve"> </v>
      </c>
      <c r="C704" s="137" t="str">
        <f>IF(ISBLANK('ALL Other SINs - Proposal'!C704)," ",'ALL Other SINs - Proposal'!C704)</f>
        <v xml:space="preserve"> </v>
      </c>
      <c r="D704" s="138" t="str">
        <f>IF(ISBLANK('ALL Other SINs - Proposal'!D704)," ",'ALL Other SINs - Proposal'!D704)</f>
        <v xml:space="preserve"> </v>
      </c>
      <c r="E704" s="69" t="str">
        <f>IF(ISBLANK('ALL Other SINs - Proposal'!R704)," ",'ALL Other SINs - Proposal'!R704)</f>
        <v xml:space="preserve"> </v>
      </c>
      <c r="F704" s="73" t="str">
        <f>IF(ISBLANK('ALL Other SINs - Proposal'!S704)," ",'ALL Other SINs - Proposal'!S704)</f>
        <v xml:space="preserve"> </v>
      </c>
      <c r="G704" s="173" t="str">
        <f>IF(ISBLANK('ALL Other SINs - Proposal'!T704)," ",'ALL Other SINs - Proposal'!T704)</f>
        <v xml:space="preserve"> </v>
      </c>
      <c r="H704" s="275" t="str">
        <f>IF(ISBLANK('ALL Other SINs - Proposal'!V704)," ",'ALL Other SINs - Proposal'!V704)</f>
        <v xml:space="preserve"> </v>
      </c>
      <c r="I704" s="271" t="str">
        <f>IF(ISBLANK('ALL Other SINs - Proposal'!W704)," ",'ALL Other SINs - Proposal'!W704)</f>
        <v xml:space="preserve"> </v>
      </c>
      <c r="J704" s="71" t="str">
        <f>IF(ISBLANK('ALL Other SINs - Proposal'!X704)," ",'ALL Other SINs - Proposal'!X704)</f>
        <v xml:space="preserve"> </v>
      </c>
      <c r="K704" s="165" t="str">
        <f>IF(ISBLANK('ALL Other SINs - Proposal'!AA704)," ",'ALL Other SINs - Proposal'!AA704)</f>
        <v xml:space="preserve"> </v>
      </c>
      <c r="L704" s="178" t="str">
        <f>IF(ISBLANK('ALL Other SINs - Proposal'!AB704)," ",'ALL Other SINs - Proposal'!AB704)</f>
        <v xml:space="preserve"> </v>
      </c>
      <c r="M704" s="72" t="str">
        <f t="shared" si="20"/>
        <v xml:space="preserve"> </v>
      </c>
      <c r="N704" s="167" t="str">
        <f t="shared" si="21"/>
        <v xml:space="preserve"> </v>
      </c>
    </row>
    <row r="705" spans="1:14" ht="15" x14ac:dyDescent="0.25">
      <c r="A705" s="131" t="str">
        <f>IF(ISBLANK('ALL Other SINs - Proposal'!A705)," ",'ALL Other SINs - Proposal'!A705)</f>
        <v xml:space="preserve"> </v>
      </c>
      <c r="B705" s="137" t="str">
        <f>IF(ISBLANK('ALL Other SINs - Proposal'!B705)," ",'ALL Other SINs - Proposal'!B705)</f>
        <v xml:space="preserve"> </v>
      </c>
      <c r="C705" s="137" t="str">
        <f>IF(ISBLANK('ALL Other SINs - Proposal'!C705)," ",'ALL Other SINs - Proposal'!C705)</f>
        <v xml:space="preserve"> </v>
      </c>
      <c r="D705" s="138" t="str">
        <f>IF(ISBLANK('ALL Other SINs - Proposal'!D705)," ",'ALL Other SINs - Proposal'!D705)</f>
        <v xml:space="preserve"> </v>
      </c>
      <c r="E705" s="69" t="str">
        <f>IF(ISBLANK('ALL Other SINs - Proposal'!R705)," ",'ALL Other SINs - Proposal'!R705)</f>
        <v xml:space="preserve"> </v>
      </c>
      <c r="F705" s="73" t="str">
        <f>IF(ISBLANK('ALL Other SINs - Proposal'!S705)," ",'ALL Other SINs - Proposal'!S705)</f>
        <v xml:space="preserve"> </v>
      </c>
      <c r="G705" s="173" t="str">
        <f>IF(ISBLANK('ALL Other SINs - Proposal'!T705)," ",'ALL Other SINs - Proposal'!T705)</f>
        <v xml:space="preserve"> </v>
      </c>
      <c r="H705" s="275" t="str">
        <f>IF(ISBLANK('ALL Other SINs - Proposal'!V705)," ",'ALL Other SINs - Proposal'!V705)</f>
        <v xml:space="preserve"> </v>
      </c>
      <c r="I705" s="271" t="str">
        <f>IF(ISBLANK('ALL Other SINs - Proposal'!W705)," ",'ALL Other SINs - Proposal'!W705)</f>
        <v xml:space="preserve"> </v>
      </c>
      <c r="J705" s="71" t="str">
        <f>IF(ISBLANK('ALL Other SINs - Proposal'!X705)," ",'ALL Other SINs - Proposal'!X705)</f>
        <v xml:space="preserve"> </v>
      </c>
      <c r="K705" s="165" t="str">
        <f>IF(ISBLANK('ALL Other SINs - Proposal'!AA705)," ",'ALL Other SINs - Proposal'!AA705)</f>
        <v xml:space="preserve"> </v>
      </c>
      <c r="L705" s="178" t="str">
        <f>IF(ISBLANK('ALL Other SINs - Proposal'!AB705)," ",'ALL Other SINs - Proposal'!AB705)</f>
        <v xml:space="preserve"> </v>
      </c>
      <c r="M705" s="72" t="str">
        <f t="shared" si="20"/>
        <v xml:space="preserve"> </v>
      </c>
      <c r="N705" s="167" t="str">
        <f t="shared" si="21"/>
        <v xml:space="preserve"> </v>
      </c>
    </row>
    <row r="706" spans="1:14" ht="15" x14ac:dyDescent="0.25">
      <c r="A706" s="131" t="str">
        <f>IF(ISBLANK('ALL Other SINs - Proposal'!A706)," ",'ALL Other SINs - Proposal'!A706)</f>
        <v xml:space="preserve"> </v>
      </c>
      <c r="B706" s="137" t="str">
        <f>IF(ISBLANK('ALL Other SINs - Proposal'!B706)," ",'ALL Other SINs - Proposal'!B706)</f>
        <v xml:space="preserve"> </v>
      </c>
      <c r="C706" s="137" t="str">
        <f>IF(ISBLANK('ALL Other SINs - Proposal'!C706)," ",'ALL Other SINs - Proposal'!C706)</f>
        <v xml:space="preserve"> </v>
      </c>
      <c r="D706" s="138" t="str">
        <f>IF(ISBLANK('ALL Other SINs - Proposal'!D706)," ",'ALL Other SINs - Proposal'!D706)</f>
        <v xml:space="preserve"> </v>
      </c>
      <c r="E706" s="69" t="str">
        <f>IF(ISBLANK('ALL Other SINs - Proposal'!R706)," ",'ALL Other SINs - Proposal'!R706)</f>
        <v xml:space="preserve"> </v>
      </c>
      <c r="F706" s="73" t="str">
        <f>IF(ISBLANK('ALL Other SINs - Proposal'!S706)," ",'ALL Other SINs - Proposal'!S706)</f>
        <v xml:space="preserve"> </v>
      </c>
      <c r="G706" s="173" t="str">
        <f>IF(ISBLANK('ALL Other SINs - Proposal'!T706)," ",'ALL Other SINs - Proposal'!T706)</f>
        <v xml:space="preserve"> </v>
      </c>
      <c r="H706" s="275" t="str">
        <f>IF(ISBLANK('ALL Other SINs - Proposal'!V706)," ",'ALL Other SINs - Proposal'!V706)</f>
        <v xml:space="preserve"> </v>
      </c>
      <c r="I706" s="271" t="str">
        <f>IF(ISBLANK('ALL Other SINs - Proposal'!W706)," ",'ALL Other SINs - Proposal'!W706)</f>
        <v xml:space="preserve"> </v>
      </c>
      <c r="J706" s="71" t="str">
        <f>IF(ISBLANK('ALL Other SINs - Proposal'!X706)," ",'ALL Other SINs - Proposal'!X706)</f>
        <v xml:space="preserve"> </v>
      </c>
      <c r="K706" s="165" t="str">
        <f>IF(ISBLANK('ALL Other SINs - Proposal'!AA706)," ",'ALL Other SINs - Proposal'!AA706)</f>
        <v xml:space="preserve"> </v>
      </c>
      <c r="L706" s="178" t="str">
        <f>IF(ISBLANK('ALL Other SINs - Proposal'!AB706)," ",'ALL Other SINs - Proposal'!AB706)</f>
        <v xml:space="preserve"> </v>
      </c>
      <c r="M706" s="72" t="str">
        <f t="shared" si="20"/>
        <v xml:space="preserve"> </v>
      </c>
      <c r="N706" s="167" t="str">
        <f t="shared" si="21"/>
        <v xml:space="preserve"> </v>
      </c>
    </row>
    <row r="707" spans="1:14" ht="15" x14ac:dyDescent="0.25">
      <c r="A707" s="131" t="str">
        <f>IF(ISBLANK('ALL Other SINs - Proposal'!A707)," ",'ALL Other SINs - Proposal'!A707)</f>
        <v xml:space="preserve"> </v>
      </c>
      <c r="B707" s="137" t="str">
        <f>IF(ISBLANK('ALL Other SINs - Proposal'!B707)," ",'ALL Other SINs - Proposal'!B707)</f>
        <v xml:space="preserve"> </v>
      </c>
      <c r="C707" s="137" t="str">
        <f>IF(ISBLANK('ALL Other SINs - Proposal'!C707)," ",'ALL Other SINs - Proposal'!C707)</f>
        <v xml:space="preserve"> </v>
      </c>
      <c r="D707" s="138" t="str">
        <f>IF(ISBLANK('ALL Other SINs - Proposal'!D707)," ",'ALL Other SINs - Proposal'!D707)</f>
        <v xml:space="preserve"> </v>
      </c>
      <c r="E707" s="69" t="str">
        <f>IF(ISBLANK('ALL Other SINs - Proposal'!R707)," ",'ALL Other SINs - Proposal'!R707)</f>
        <v xml:space="preserve"> </v>
      </c>
      <c r="F707" s="73" t="str">
        <f>IF(ISBLANK('ALL Other SINs - Proposal'!S707)," ",'ALL Other SINs - Proposal'!S707)</f>
        <v xml:space="preserve"> </v>
      </c>
      <c r="G707" s="173" t="str">
        <f>IF(ISBLANK('ALL Other SINs - Proposal'!T707)," ",'ALL Other SINs - Proposal'!T707)</f>
        <v xml:space="preserve"> </v>
      </c>
      <c r="H707" s="275" t="str">
        <f>IF(ISBLANK('ALL Other SINs - Proposal'!V707)," ",'ALL Other SINs - Proposal'!V707)</f>
        <v xml:space="preserve"> </v>
      </c>
      <c r="I707" s="271" t="str">
        <f>IF(ISBLANK('ALL Other SINs - Proposal'!W707)," ",'ALL Other SINs - Proposal'!W707)</f>
        <v xml:space="preserve"> </v>
      </c>
      <c r="J707" s="71" t="str">
        <f>IF(ISBLANK('ALL Other SINs - Proposal'!X707)," ",'ALL Other SINs - Proposal'!X707)</f>
        <v xml:space="preserve"> </v>
      </c>
      <c r="K707" s="165" t="str">
        <f>IF(ISBLANK('ALL Other SINs - Proposal'!AA707)," ",'ALL Other SINs - Proposal'!AA707)</f>
        <v xml:space="preserve"> </v>
      </c>
      <c r="L707" s="178" t="str">
        <f>IF(ISBLANK('ALL Other SINs - Proposal'!AB707)," ",'ALL Other SINs - Proposal'!AB707)</f>
        <v xml:space="preserve"> </v>
      </c>
      <c r="M707" s="72" t="str">
        <f t="shared" ref="M707:M770" si="22">IFERROR(IF((ROUND(K707,2))&lt;=(ROUND(F707,2)),"YES","NO")," ")</f>
        <v xml:space="preserve"> </v>
      </c>
      <c r="N707" s="167" t="str">
        <f t="shared" ref="N707:N770" si="23">IFERROR(IF(ISBLANK(K707)," ",(ROUND(K707,2))/(ROUND(I707,2)))," ")</f>
        <v xml:space="preserve"> </v>
      </c>
    </row>
    <row r="708" spans="1:14" ht="15" x14ac:dyDescent="0.25">
      <c r="A708" s="131" t="str">
        <f>IF(ISBLANK('ALL Other SINs - Proposal'!A708)," ",'ALL Other SINs - Proposal'!A708)</f>
        <v xml:space="preserve"> </v>
      </c>
      <c r="B708" s="137" t="str">
        <f>IF(ISBLANK('ALL Other SINs - Proposal'!B708)," ",'ALL Other SINs - Proposal'!B708)</f>
        <v xml:space="preserve"> </v>
      </c>
      <c r="C708" s="137" t="str">
        <f>IF(ISBLANK('ALL Other SINs - Proposal'!C708)," ",'ALL Other SINs - Proposal'!C708)</f>
        <v xml:space="preserve"> </v>
      </c>
      <c r="D708" s="138" t="str">
        <f>IF(ISBLANK('ALL Other SINs - Proposal'!D708)," ",'ALL Other SINs - Proposal'!D708)</f>
        <v xml:space="preserve"> </v>
      </c>
      <c r="E708" s="69" t="str">
        <f>IF(ISBLANK('ALL Other SINs - Proposal'!R708)," ",'ALL Other SINs - Proposal'!R708)</f>
        <v xml:space="preserve"> </v>
      </c>
      <c r="F708" s="73" t="str">
        <f>IF(ISBLANK('ALL Other SINs - Proposal'!S708)," ",'ALL Other SINs - Proposal'!S708)</f>
        <v xml:space="preserve"> </v>
      </c>
      <c r="G708" s="173" t="str">
        <f>IF(ISBLANK('ALL Other SINs - Proposal'!T708)," ",'ALL Other SINs - Proposal'!T708)</f>
        <v xml:space="preserve"> </v>
      </c>
      <c r="H708" s="275" t="str">
        <f>IF(ISBLANK('ALL Other SINs - Proposal'!V708)," ",'ALL Other SINs - Proposal'!V708)</f>
        <v xml:space="preserve"> </v>
      </c>
      <c r="I708" s="271" t="str">
        <f>IF(ISBLANK('ALL Other SINs - Proposal'!W708)," ",'ALL Other SINs - Proposal'!W708)</f>
        <v xml:space="preserve"> </v>
      </c>
      <c r="J708" s="71" t="str">
        <f>IF(ISBLANK('ALL Other SINs - Proposal'!X708)," ",'ALL Other SINs - Proposal'!X708)</f>
        <v xml:space="preserve"> </v>
      </c>
      <c r="K708" s="165" t="str">
        <f>IF(ISBLANK('ALL Other SINs - Proposal'!AA708)," ",'ALL Other SINs - Proposal'!AA708)</f>
        <v xml:space="preserve"> </v>
      </c>
      <c r="L708" s="178" t="str">
        <f>IF(ISBLANK('ALL Other SINs - Proposal'!AB708)," ",'ALL Other SINs - Proposal'!AB708)</f>
        <v xml:space="preserve"> </v>
      </c>
      <c r="M708" s="72" t="str">
        <f t="shared" si="22"/>
        <v xml:space="preserve"> </v>
      </c>
      <c r="N708" s="167" t="str">
        <f t="shared" si="23"/>
        <v xml:space="preserve"> </v>
      </c>
    </row>
    <row r="709" spans="1:14" ht="15" x14ac:dyDescent="0.25">
      <c r="A709" s="131" t="str">
        <f>IF(ISBLANK('ALL Other SINs - Proposal'!A709)," ",'ALL Other SINs - Proposal'!A709)</f>
        <v xml:space="preserve"> </v>
      </c>
      <c r="B709" s="137" t="str">
        <f>IF(ISBLANK('ALL Other SINs - Proposal'!B709)," ",'ALL Other SINs - Proposal'!B709)</f>
        <v xml:space="preserve"> </v>
      </c>
      <c r="C709" s="137" t="str">
        <f>IF(ISBLANK('ALL Other SINs - Proposal'!C709)," ",'ALL Other SINs - Proposal'!C709)</f>
        <v xml:space="preserve"> </v>
      </c>
      <c r="D709" s="138" t="str">
        <f>IF(ISBLANK('ALL Other SINs - Proposal'!D709)," ",'ALL Other SINs - Proposal'!D709)</f>
        <v xml:space="preserve"> </v>
      </c>
      <c r="E709" s="69" t="str">
        <f>IF(ISBLANK('ALL Other SINs - Proposal'!R709)," ",'ALL Other SINs - Proposal'!R709)</f>
        <v xml:space="preserve"> </v>
      </c>
      <c r="F709" s="73" t="str">
        <f>IF(ISBLANK('ALL Other SINs - Proposal'!S709)," ",'ALL Other SINs - Proposal'!S709)</f>
        <v xml:space="preserve"> </v>
      </c>
      <c r="G709" s="173" t="str">
        <f>IF(ISBLANK('ALL Other SINs - Proposal'!T709)," ",'ALL Other SINs - Proposal'!T709)</f>
        <v xml:space="preserve"> </v>
      </c>
      <c r="H709" s="275" t="str">
        <f>IF(ISBLANK('ALL Other SINs - Proposal'!V709)," ",'ALL Other SINs - Proposal'!V709)</f>
        <v xml:space="preserve"> </v>
      </c>
      <c r="I709" s="271" t="str">
        <f>IF(ISBLANK('ALL Other SINs - Proposal'!W709)," ",'ALL Other SINs - Proposal'!W709)</f>
        <v xml:space="preserve"> </v>
      </c>
      <c r="J709" s="71" t="str">
        <f>IF(ISBLANK('ALL Other SINs - Proposal'!X709)," ",'ALL Other SINs - Proposal'!X709)</f>
        <v xml:space="preserve"> </v>
      </c>
      <c r="K709" s="165" t="str">
        <f>IF(ISBLANK('ALL Other SINs - Proposal'!AA709)," ",'ALL Other SINs - Proposal'!AA709)</f>
        <v xml:space="preserve"> </v>
      </c>
      <c r="L709" s="178" t="str">
        <f>IF(ISBLANK('ALL Other SINs - Proposal'!AB709)," ",'ALL Other SINs - Proposal'!AB709)</f>
        <v xml:space="preserve"> </v>
      </c>
      <c r="M709" s="72" t="str">
        <f t="shared" si="22"/>
        <v xml:space="preserve"> </v>
      </c>
      <c r="N709" s="167" t="str">
        <f t="shared" si="23"/>
        <v xml:space="preserve"> </v>
      </c>
    </row>
    <row r="710" spans="1:14" ht="15" x14ac:dyDescent="0.25">
      <c r="A710" s="131" t="str">
        <f>IF(ISBLANK('ALL Other SINs - Proposal'!A710)," ",'ALL Other SINs - Proposal'!A710)</f>
        <v xml:space="preserve"> </v>
      </c>
      <c r="B710" s="137" t="str">
        <f>IF(ISBLANK('ALL Other SINs - Proposal'!B710)," ",'ALL Other SINs - Proposal'!B710)</f>
        <v xml:space="preserve"> </v>
      </c>
      <c r="C710" s="137" t="str">
        <f>IF(ISBLANK('ALL Other SINs - Proposal'!C710)," ",'ALL Other SINs - Proposal'!C710)</f>
        <v xml:space="preserve"> </v>
      </c>
      <c r="D710" s="138" t="str">
        <f>IF(ISBLANK('ALL Other SINs - Proposal'!D710)," ",'ALL Other SINs - Proposal'!D710)</f>
        <v xml:space="preserve"> </v>
      </c>
      <c r="E710" s="69" t="str">
        <f>IF(ISBLANK('ALL Other SINs - Proposal'!R710)," ",'ALL Other SINs - Proposal'!R710)</f>
        <v xml:space="preserve"> </v>
      </c>
      <c r="F710" s="73" t="str">
        <f>IF(ISBLANK('ALL Other SINs - Proposal'!S710)," ",'ALL Other SINs - Proposal'!S710)</f>
        <v xml:space="preserve"> </v>
      </c>
      <c r="G710" s="173" t="str">
        <f>IF(ISBLANK('ALL Other SINs - Proposal'!T710)," ",'ALL Other SINs - Proposal'!T710)</f>
        <v xml:space="preserve"> </v>
      </c>
      <c r="H710" s="275" t="str">
        <f>IF(ISBLANK('ALL Other SINs - Proposal'!V710)," ",'ALL Other SINs - Proposal'!V710)</f>
        <v xml:space="preserve"> </v>
      </c>
      <c r="I710" s="271" t="str">
        <f>IF(ISBLANK('ALL Other SINs - Proposal'!W710)," ",'ALL Other SINs - Proposal'!W710)</f>
        <v xml:space="preserve"> </v>
      </c>
      <c r="J710" s="71" t="str">
        <f>IF(ISBLANK('ALL Other SINs - Proposal'!X710)," ",'ALL Other SINs - Proposal'!X710)</f>
        <v xml:space="preserve"> </v>
      </c>
      <c r="K710" s="165" t="str">
        <f>IF(ISBLANK('ALL Other SINs - Proposal'!AA710)," ",'ALL Other SINs - Proposal'!AA710)</f>
        <v xml:space="preserve"> </v>
      </c>
      <c r="L710" s="178" t="str">
        <f>IF(ISBLANK('ALL Other SINs - Proposal'!AB710)," ",'ALL Other SINs - Proposal'!AB710)</f>
        <v xml:space="preserve"> </v>
      </c>
      <c r="M710" s="72" t="str">
        <f t="shared" si="22"/>
        <v xml:space="preserve"> </v>
      </c>
      <c r="N710" s="167" t="str">
        <f t="shared" si="23"/>
        <v xml:space="preserve"> </v>
      </c>
    </row>
    <row r="711" spans="1:14" ht="15" x14ac:dyDescent="0.25">
      <c r="A711" s="131" t="str">
        <f>IF(ISBLANK('ALL Other SINs - Proposal'!A711)," ",'ALL Other SINs - Proposal'!A711)</f>
        <v xml:space="preserve"> </v>
      </c>
      <c r="B711" s="137" t="str">
        <f>IF(ISBLANK('ALL Other SINs - Proposal'!B711)," ",'ALL Other SINs - Proposal'!B711)</f>
        <v xml:space="preserve"> </v>
      </c>
      <c r="C711" s="137" t="str">
        <f>IF(ISBLANK('ALL Other SINs - Proposal'!C711)," ",'ALL Other SINs - Proposal'!C711)</f>
        <v xml:space="preserve"> </v>
      </c>
      <c r="D711" s="138" t="str">
        <f>IF(ISBLANK('ALL Other SINs - Proposal'!D711)," ",'ALL Other SINs - Proposal'!D711)</f>
        <v xml:space="preserve"> </v>
      </c>
      <c r="E711" s="69" t="str">
        <f>IF(ISBLANK('ALL Other SINs - Proposal'!R711)," ",'ALL Other SINs - Proposal'!R711)</f>
        <v xml:space="preserve"> </v>
      </c>
      <c r="F711" s="73" t="str">
        <f>IF(ISBLANK('ALL Other SINs - Proposal'!S711)," ",'ALL Other SINs - Proposal'!S711)</f>
        <v xml:space="preserve"> </v>
      </c>
      <c r="G711" s="173" t="str">
        <f>IF(ISBLANK('ALL Other SINs - Proposal'!T711)," ",'ALL Other SINs - Proposal'!T711)</f>
        <v xml:space="preserve"> </v>
      </c>
      <c r="H711" s="275" t="str">
        <f>IF(ISBLANK('ALL Other SINs - Proposal'!V711)," ",'ALL Other SINs - Proposal'!V711)</f>
        <v xml:space="preserve"> </v>
      </c>
      <c r="I711" s="271" t="str">
        <f>IF(ISBLANK('ALL Other SINs - Proposal'!W711)," ",'ALL Other SINs - Proposal'!W711)</f>
        <v xml:space="preserve"> </v>
      </c>
      <c r="J711" s="71" t="str">
        <f>IF(ISBLANK('ALL Other SINs - Proposal'!X711)," ",'ALL Other SINs - Proposal'!X711)</f>
        <v xml:space="preserve"> </v>
      </c>
      <c r="K711" s="165" t="str">
        <f>IF(ISBLANK('ALL Other SINs - Proposal'!AA711)," ",'ALL Other SINs - Proposal'!AA711)</f>
        <v xml:space="preserve"> </v>
      </c>
      <c r="L711" s="178" t="str">
        <f>IF(ISBLANK('ALL Other SINs - Proposal'!AB711)," ",'ALL Other SINs - Proposal'!AB711)</f>
        <v xml:space="preserve"> </v>
      </c>
      <c r="M711" s="72" t="str">
        <f t="shared" si="22"/>
        <v xml:space="preserve"> </v>
      </c>
      <c r="N711" s="167" t="str">
        <f t="shared" si="23"/>
        <v xml:space="preserve"> </v>
      </c>
    </row>
    <row r="712" spans="1:14" ht="15" x14ac:dyDescent="0.25">
      <c r="A712" s="131" t="str">
        <f>IF(ISBLANK('ALL Other SINs - Proposal'!A712)," ",'ALL Other SINs - Proposal'!A712)</f>
        <v xml:space="preserve"> </v>
      </c>
      <c r="B712" s="137" t="str">
        <f>IF(ISBLANK('ALL Other SINs - Proposal'!B712)," ",'ALL Other SINs - Proposal'!B712)</f>
        <v xml:space="preserve"> </v>
      </c>
      <c r="C712" s="137" t="str">
        <f>IF(ISBLANK('ALL Other SINs - Proposal'!C712)," ",'ALL Other SINs - Proposal'!C712)</f>
        <v xml:space="preserve"> </v>
      </c>
      <c r="D712" s="138" t="str">
        <f>IF(ISBLANK('ALL Other SINs - Proposal'!D712)," ",'ALL Other SINs - Proposal'!D712)</f>
        <v xml:space="preserve"> </v>
      </c>
      <c r="E712" s="69" t="str">
        <f>IF(ISBLANK('ALL Other SINs - Proposal'!R712)," ",'ALL Other SINs - Proposal'!R712)</f>
        <v xml:space="preserve"> </v>
      </c>
      <c r="F712" s="73" t="str">
        <f>IF(ISBLANK('ALL Other SINs - Proposal'!S712)," ",'ALL Other SINs - Proposal'!S712)</f>
        <v xml:space="preserve"> </v>
      </c>
      <c r="G712" s="173" t="str">
        <f>IF(ISBLANK('ALL Other SINs - Proposal'!T712)," ",'ALL Other SINs - Proposal'!T712)</f>
        <v xml:space="preserve"> </v>
      </c>
      <c r="H712" s="275" t="str">
        <f>IF(ISBLANK('ALL Other SINs - Proposal'!V712)," ",'ALL Other SINs - Proposal'!V712)</f>
        <v xml:space="preserve"> </v>
      </c>
      <c r="I712" s="271" t="str">
        <f>IF(ISBLANK('ALL Other SINs - Proposal'!W712)," ",'ALL Other SINs - Proposal'!W712)</f>
        <v xml:space="preserve"> </v>
      </c>
      <c r="J712" s="71" t="str">
        <f>IF(ISBLANK('ALL Other SINs - Proposal'!X712)," ",'ALL Other SINs - Proposal'!X712)</f>
        <v xml:space="preserve"> </v>
      </c>
      <c r="K712" s="165" t="str">
        <f>IF(ISBLANK('ALL Other SINs - Proposal'!AA712)," ",'ALL Other SINs - Proposal'!AA712)</f>
        <v xml:space="preserve"> </v>
      </c>
      <c r="L712" s="178" t="str">
        <f>IF(ISBLANK('ALL Other SINs - Proposal'!AB712)," ",'ALL Other SINs - Proposal'!AB712)</f>
        <v xml:space="preserve"> </v>
      </c>
      <c r="M712" s="72" t="str">
        <f t="shared" si="22"/>
        <v xml:space="preserve"> </v>
      </c>
      <c r="N712" s="167" t="str">
        <f t="shared" si="23"/>
        <v xml:space="preserve"> </v>
      </c>
    </row>
    <row r="713" spans="1:14" ht="15" x14ac:dyDescent="0.25">
      <c r="A713" s="131" t="str">
        <f>IF(ISBLANK('ALL Other SINs - Proposal'!A713)," ",'ALL Other SINs - Proposal'!A713)</f>
        <v xml:space="preserve"> </v>
      </c>
      <c r="B713" s="137" t="str">
        <f>IF(ISBLANK('ALL Other SINs - Proposal'!B713)," ",'ALL Other SINs - Proposal'!B713)</f>
        <v xml:space="preserve"> </v>
      </c>
      <c r="C713" s="137" t="str">
        <f>IF(ISBLANK('ALL Other SINs - Proposal'!C713)," ",'ALL Other SINs - Proposal'!C713)</f>
        <v xml:space="preserve"> </v>
      </c>
      <c r="D713" s="138" t="str">
        <f>IF(ISBLANK('ALL Other SINs - Proposal'!D713)," ",'ALL Other SINs - Proposal'!D713)</f>
        <v xml:space="preserve"> </v>
      </c>
      <c r="E713" s="69" t="str">
        <f>IF(ISBLANK('ALL Other SINs - Proposal'!R713)," ",'ALL Other SINs - Proposal'!R713)</f>
        <v xml:space="preserve"> </v>
      </c>
      <c r="F713" s="73" t="str">
        <f>IF(ISBLANK('ALL Other SINs - Proposal'!S713)," ",'ALL Other SINs - Proposal'!S713)</f>
        <v xml:space="preserve"> </v>
      </c>
      <c r="G713" s="173" t="str">
        <f>IF(ISBLANK('ALL Other SINs - Proposal'!T713)," ",'ALL Other SINs - Proposal'!T713)</f>
        <v xml:space="preserve"> </v>
      </c>
      <c r="H713" s="275" t="str">
        <f>IF(ISBLANK('ALL Other SINs - Proposal'!V713)," ",'ALL Other SINs - Proposal'!V713)</f>
        <v xml:space="preserve"> </v>
      </c>
      <c r="I713" s="271" t="str">
        <f>IF(ISBLANK('ALL Other SINs - Proposal'!W713)," ",'ALL Other SINs - Proposal'!W713)</f>
        <v xml:space="preserve"> </v>
      </c>
      <c r="J713" s="71" t="str">
        <f>IF(ISBLANK('ALL Other SINs - Proposal'!X713)," ",'ALL Other SINs - Proposal'!X713)</f>
        <v xml:space="preserve"> </v>
      </c>
      <c r="K713" s="165" t="str">
        <f>IF(ISBLANK('ALL Other SINs - Proposal'!AA713)," ",'ALL Other SINs - Proposal'!AA713)</f>
        <v xml:space="preserve"> </v>
      </c>
      <c r="L713" s="178" t="str">
        <f>IF(ISBLANK('ALL Other SINs - Proposal'!AB713)," ",'ALL Other SINs - Proposal'!AB713)</f>
        <v xml:space="preserve"> </v>
      </c>
      <c r="M713" s="72" t="str">
        <f t="shared" si="22"/>
        <v xml:space="preserve"> </v>
      </c>
      <c r="N713" s="167" t="str">
        <f t="shared" si="23"/>
        <v xml:space="preserve"> </v>
      </c>
    </row>
    <row r="714" spans="1:14" ht="15" x14ac:dyDescent="0.25">
      <c r="A714" s="131" t="str">
        <f>IF(ISBLANK('ALL Other SINs - Proposal'!A714)," ",'ALL Other SINs - Proposal'!A714)</f>
        <v xml:space="preserve"> </v>
      </c>
      <c r="B714" s="137" t="str">
        <f>IF(ISBLANK('ALL Other SINs - Proposal'!B714)," ",'ALL Other SINs - Proposal'!B714)</f>
        <v xml:space="preserve"> </v>
      </c>
      <c r="C714" s="137" t="str">
        <f>IF(ISBLANK('ALL Other SINs - Proposal'!C714)," ",'ALL Other SINs - Proposal'!C714)</f>
        <v xml:space="preserve"> </v>
      </c>
      <c r="D714" s="138" t="str">
        <f>IF(ISBLANK('ALL Other SINs - Proposal'!D714)," ",'ALL Other SINs - Proposal'!D714)</f>
        <v xml:space="preserve"> </v>
      </c>
      <c r="E714" s="69" t="str">
        <f>IF(ISBLANK('ALL Other SINs - Proposal'!R714)," ",'ALL Other SINs - Proposal'!R714)</f>
        <v xml:space="preserve"> </v>
      </c>
      <c r="F714" s="73" t="str">
        <f>IF(ISBLANK('ALL Other SINs - Proposal'!S714)," ",'ALL Other SINs - Proposal'!S714)</f>
        <v xml:space="preserve"> </v>
      </c>
      <c r="G714" s="173" t="str">
        <f>IF(ISBLANK('ALL Other SINs - Proposal'!T714)," ",'ALL Other SINs - Proposal'!T714)</f>
        <v xml:space="preserve"> </v>
      </c>
      <c r="H714" s="275" t="str">
        <f>IF(ISBLANK('ALL Other SINs - Proposal'!V714)," ",'ALL Other SINs - Proposal'!V714)</f>
        <v xml:space="preserve"> </v>
      </c>
      <c r="I714" s="271" t="str">
        <f>IF(ISBLANK('ALL Other SINs - Proposal'!W714)," ",'ALL Other SINs - Proposal'!W714)</f>
        <v xml:space="preserve"> </v>
      </c>
      <c r="J714" s="71" t="str">
        <f>IF(ISBLANK('ALL Other SINs - Proposal'!X714)," ",'ALL Other SINs - Proposal'!X714)</f>
        <v xml:space="preserve"> </v>
      </c>
      <c r="K714" s="165" t="str">
        <f>IF(ISBLANK('ALL Other SINs - Proposal'!AA714)," ",'ALL Other SINs - Proposal'!AA714)</f>
        <v xml:space="preserve"> </v>
      </c>
      <c r="L714" s="178" t="str">
        <f>IF(ISBLANK('ALL Other SINs - Proposal'!AB714)," ",'ALL Other SINs - Proposal'!AB714)</f>
        <v xml:space="preserve"> </v>
      </c>
      <c r="M714" s="72" t="str">
        <f t="shared" si="22"/>
        <v xml:space="preserve"> </v>
      </c>
      <c r="N714" s="167" t="str">
        <f t="shared" si="23"/>
        <v xml:space="preserve"> </v>
      </c>
    </row>
    <row r="715" spans="1:14" ht="15" x14ac:dyDescent="0.25">
      <c r="A715" s="131" t="str">
        <f>IF(ISBLANK('ALL Other SINs - Proposal'!A715)," ",'ALL Other SINs - Proposal'!A715)</f>
        <v xml:space="preserve"> </v>
      </c>
      <c r="B715" s="137" t="str">
        <f>IF(ISBLANK('ALL Other SINs - Proposal'!B715)," ",'ALL Other SINs - Proposal'!B715)</f>
        <v xml:space="preserve"> </v>
      </c>
      <c r="C715" s="137" t="str">
        <f>IF(ISBLANK('ALL Other SINs - Proposal'!C715)," ",'ALL Other SINs - Proposal'!C715)</f>
        <v xml:space="preserve"> </v>
      </c>
      <c r="D715" s="138" t="str">
        <f>IF(ISBLANK('ALL Other SINs - Proposal'!D715)," ",'ALL Other SINs - Proposal'!D715)</f>
        <v xml:space="preserve"> </v>
      </c>
      <c r="E715" s="69" t="str">
        <f>IF(ISBLANK('ALL Other SINs - Proposal'!R715)," ",'ALL Other SINs - Proposal'!R715)</f>
        <v xml:space="preserve"> </v>
      </c>
      <c r="F715" s="73" t="str">
        <f>IF(ISBLANK('ALL Other SINs - Proposal'!S715)," ",'ALL Other SINs - Proposal'!S715)</f>
        <v xml:space="preserve"> </v>
      </c>
      <c r="G715" s="173" t="str">
        <f>IF(ISBLANK('ALL Other SINs - Proposal'!T715)," ",'ALL Other SINs - Proposal'!T715)</f>
        <v xml:space="preserve"> </v>
      </c>
      <c r="H715" s="275" t="str">
        <f>IF(ISBLANK('ALL Other SINs - Proposal'!V715)," ",'ALL Other SINs - Proposal'!V715)</f>
        <v xml:space="preserve"> </v>
      </c>
      <c r="I715" s="271" t="str">
        <f>IF(ISBLANK('ALL Other SINs - Proposal'!W715)," ",'ALL Other SINs - Proposal'!W715)</f>
        <v xml:space="preserve"> </v>
      </c>
      <c r="J715" s="71" t="str">
        <f>IF(ISBLANK('ALL Other SINs - Proposal'!X715)," ",'ALL Other SINs - Proposal'!X715)</f>
        <v xml:space="preserve"> </v>
      </c>
      <c r="K715" s="165" t="str">
        <f>IF(ISBLANK('ALL Other SINs - Proposal'!AA715)," ",'ALL Other SINs - Proposal'!AA715)</f>
        <v xml:space="preserve"> </v>
      </c>
      <c r="L715" s="178" t="str">
        <f>IF(ISBLANK('ALL Other SINs - Proposal'!AB715)," ",'ALL Other SINs - Proposal'!AB715)</f>
        <v xml:space="preserve"> </v>
      </c>
      <c r="M715" s="72" t="str">
        <f t="shared" si="22"/>
        <v xml:space="preserve"> </v>
      </c>
      <c r="N715" s="167" t="str">
        <f t="shared" si="23"/>
        <v xml:space="preserve"> </v>
      </c>
    </row>
    <row r="716" spans="1:14" ht="15" x14ac:dyDescent="0.25">
      <c r="A716" s="131" t="str">
        <f>IF(ISBLANK('ALL Other SINs - Proposal'!A716)," ",'ALL Other SINs - Proposal'!A716)</f>
        <v xml:space="preserve"> </v>
      </c>
      <c r="B716" s="137" t="str">
        <f>IF(ISBLANK('ALL Other SINs - Proposal'!B716)," ",'ALL Other SINs - Proposal'!B716)</f>
        <v xml:space="preserve"> </v>
      </c>
      <c r="C716" s="137" t="str">
        <f>IF(ISBLANK('ALL Other SINs - Proposal'!C716)," ",'ALL Other SINs - Proposal'!C716)</f>
        <v xml:space="preserve"> </v>
      </c>
      <c r="D716" s="138" t="str">
        <f>IF(ISBLANK('ALL Other SINs - Proposal'!D716)," ",'ALL Other SINs - Proposal'!D716)</f>
        <v xml:space="preserve"> </v>
      </c>
      <c r="E716" s="69" t="str">
        <f>IF(ISBLANK('ALL Other SINs - Proposal'!R716)," ",'ALL Other SINs - Proposal'!R716)</f>
        <v xml:space="preserve"> </v>
      </c>
      <c r="F716" s="73" t="str">
        <f>IF(ISBLANK('ALL Other SINs - Proposal'!S716)," ",'ALL Other SINs - Proposal'!S716)</f>
        <v xml:space="preserve"> </v>
      </c>
      <c r="G716" s="173" t="str">
        <f>IF(ISBLANK('ALL Other SINs - Proposal'!T716)," ",'ALL Other SINs - Proposal'!T716)</f>
        <v xml:space="preserve"> </v>
      </c>
      <c r="H716" s="275" t="str">
        <f>IF(ISBLANK('ALL Other SINs - Proposal'!V716)," ",'ALL Other SINs - Proposal'!V716)</f>
        <v xml:space="preserve"> </v>
      </c>
      <c r="I716" s="271" t="str">
        <f>IF(ISBLANK('ALL Other SINs - Proposal'!W716)," ",'ALL Other SINs - Proposal'!W716)</f>
        <v xml:space="preserve"> </v>
      </c>
      <c r="J716" s="71" t="str">
        <f>IF(ISBLANK('ALL Other SINs - Proposal'!X716)," ",'ALL Other SINs - Proposal'!X716)</f>
        <v xml:space="preserve"> </v>
      </c>
      <c r="K716" s="165" t="str">
        <f>IF(ISBLANK('ALL Other SINs - Proposal'!AA716)," ",'ALL Other SINs - Proposal'!AA716)</f>
        <v xml:space="preserve"> </v>
      </c>
      <c r="L716" s="178" t="str">
        <f>IF(ISBLANK('ALL Other SINs - Proposal'!AB716)," ",'ALL Other SINs - Proposal'!AB716)</f>
        <v xml:space="preserve"> </v>
      </c>
      <c r="M716" s="72" t="str">
        <f t="shared" si="22"/>
        <v xml:space="preserve"> </v>
      </c>
      <c r="N716" s="167" t="str">
        <f t="shared" si="23"/>
        <v xml:space="preserve"> </v>
      </c>
    </row>
    <row r="717" spans="1:14" ht="15" x14ac:dyDescent="0.25">
      <c r="A717" s="131" t="str">
        <f>IF(ISBLANK('ALL Other SINs - Proposal'!A717)," ",'ALL Other SINs - Proposal'!A717)</f>
        <v xml:space="preserve"> </v>
      </c>
      <c r="B717" s="137" t="str">
        <f>IF(ISBLANK('ALL Other SINs - Proposal'!B717)," ",'ALL Other SINs - Proposal'!B717)</f>
        <v xml:space="preserve"> </v>
      </c>
      <c r="C717" s="137" t="str">
        <f>IF(ISBLANK('ALL Other SINs - Proposal'!C717)," ",'ALL Other SINs - Proposal'!C717)</f>
        <v xml:space="preserve"> </v>
      </c>
      <c r="D717" s="138" t="str">
        <f>IF(ISBLANK('ALL Other SINs - Proposal'!D717)," ",'ALL Other SINs - Proposal'!D717)</f>
        <v xml:space="preserve"> </v>
      </c>
      <c r="E717" s="69" t="str">
        <f>IF(ISBLANK('ALL Other SINs - Proposal'!R717)," ",'ALL Other SINs - Proposal'!R717)</f>
        <v xml:space="preserve"> </v>
      </c>
      <c r="F717" s="73" t="str">
        <f>IF(ISBLANK('ALL Other SINs - Proposal'!S717)," ",'ALL Other SINs - Proposal'!S717)</f>
        <v xml:space="preserve"> </v>
      </c>
      <c r="G717" s="173" t="str">
        <f>IF(ISBLANK('ALL Other SINs - Proposal'!T717)," ",'ALL Other SINs - Proposal'!T717)</f>
        <v xml:space="preserve"> </v>
      </c>
      <c r="H717" s="275" t="str">
        <f>IF(ISBLANK('ALL Other SINs - Proposal'!V717)," ",'ALL Other SINs - Proposal'!V717)</f>
        <v xml:space="preserve"> </v>
      </c>
      <c r="I717" s="271" t="str">
        <f>IF(ISBLANK('ALL Other SINs - Proposal'!W717)," ",'ALL Other SINs - Proposal'!W717)</f>
        <v xml:space="preserve"> </v>
      </c>
      <c r="J717" s="71" t="str">
        <f>IF(ISBLANK('ALL Other SINs - Proposal'!X717)," ",'ALL Other SINs - Proposal'!X717)</f>
        <v xml:space="preserve"> </v>
      </c>
      <c r="K717" s="165" t="str">
        <f>IF(ISBLANK('ALL Other SINs - Proposal'!AA717)," ",'ALL Other SINs - Proposal'!AA717)</f>
        <v xml:space="preserve"> </v>
      </c>
      <c r="L717" s="178" t="str">
        <f>IF(ISBLANK('ALL Other SINs - Proposal'!AB717)," ",'ALL Other SINs - Proposal'!AB717)</f>
        <v xml:space="preserve"> </v>
      </c>
      <c r="M717" s="72" t="str">
        <f t="shared" si="22"/>
        <v xml:space="preserve"> </v>
      </c>
      <c r="N717" s="167" t="str">
        <f t="shared" si="23"/>
        <v xml:space="preserve"> </v>
      </c>
    </row>
    <row r="718" spans="1:14" ht="15" x14ac:dyDescent="0.25">
      <c r="A718" s="131" t="str">
        <f>IF(ISBLANK('ALL Other SINs - Proposal'!A718)," ",'ALL Other SINs - Proposal'!A718)</f>
        <v xml:space="preserve"> </v>
      </c>
      <c r="B718" s="137" t="str">
        <f>IF(ISBLANK('ALL Other SINs - Proposal'!B718)," ",'ALL Other SINs - Proposal'!B718)</f>
        <v xml:space="preserve"> </v>
      </c>
      <c r="C718" s="137" t="str">
        <f>IF(ISBLANK('ALL Other SINs - Proposal'!C718)," ",'ALL Other SINs - Proposal'!C718)</f>
        <v xml:space="preserve"> </v>
      </c>
      <c r="D718" s="138" t="str">
        <f>IF(ISBLANK('ALL Other SINs - Proposal'!D718)," ",'ALL Other SINs - Proposal'!D718)</f>
        <v xml:space="preserve"> </v>
      </c>
      <c r="E718" s="69" t="str">
        <f>IF(ISBLANK('ALL Other SINs - Proposal'!R718)," ",'ALL Other SINs - Proposal'!R718)</f>
        <v xml:space="preserve"> </v>
      </c>
      <c r="F718" s="73" t="str">
        <f>IF(ISBLANK('ALL Other SINs - Proposal'!S718)," ",'ALL Other SINs - Proposal'!S718)</f>
        <v xml:space="preserve"> </v>
      </c>
      <c r="G718" s="173" t="str">
        <f>IF(ISBLANK('ALL Other SINs - Proposal'!T718)," ",'ALL Other SINs - Proposal'!T718)</f>
        <v xml:space="preserve"> </v>
      </c>
      <c r="H718" s="275" t="str">
        <f>IF(ISBLANK('ALL Other SINs - Proposal'!V718)," ",'ALL Other SINs - Proposal'!V718)</f>
        <v xml:space="preserve"> </v>
      </c>
      <c r="I718" s="271" t="str">
        <f>IF(ISBLANK('ALL Other SINs - Proposal'!W718)," ",'ALL Other SINs - Proposal'!W718)</f>
        <v xml:space="preserve"> </v>
      </c>
      <c r="J718" s="71" t="str">
        <f>IF(ISBLANK('ALL Other SINs - Proposal'!X718)," ",'ALL Other SINs - Proposal'!X718)</f>
        <v xml:space="preserve"> </v>
      </c>
      <c r="K718" s="165" t="str">
        <f>IF(ISBLANK('ALL Other SINs - Proposal'!AA718)," ",'ALL Other SINs - Proposal'!AA718)</f>
        <v xml:space="preserve"> </v>
      </c>
      <c r="L718" s="178" t="str">
        <f>IF(ISBLANK('ALL Other SINs - Proposal'!AB718)," ",'ALL Other SINs - Proposal'!AB718)</f>
        <v xml:space="preserve"> </v>
      </c>
      <c r="M718" s="72" t="str">
        <f t="shared" si="22"/>
        <v xml:space="preserve"> </v>
      </c>
      <c r="N718" s="167" t="str">
        <f t="shared" si="23"/>
        <v xml:space="preserve"> </v>
      </c>
    </row>
    <row r="719" spans="1:14" ht="15" x14ac:dyDescent="0.25">
      <c r="A719" s="131" t="str">
        <f>IF(ISBLANK('ALL Other SINs - Proposal'!A719)," ",'ALL Other SINs - Proposal'!A719)</f>
        <v xml:space="preserve"> </v>
      </c>
      <c r="B719" s="137" t="str">
        <f>IF(ISBLANK('ALL Other SINs - Proposal'!B719)," ",'ALL Other SINs - Proposal'!B719)</f>
        <v xml:space="preserve"> </v>
      </c>
      <c r="C719" s="137" t="str">
        <f>IF(ISBLANK('ALL Other SINs - Proposal'!C719)," ",'ALL Other SINs - Proposal'!C719)</f>
        <v xml:space="preserve"> </v>
      </c>
      <c r="D719" s="138" t="str">
        <f>IF(ISBLANK('ALL Other SINs - Proposal'!D719)," ",'ALL Other SINs - Proposal'!D719)</f>
        <v xml:space="preserve"> </v>
      </c>
      <c r="E719" s="69" t="str">
        <f>IF(ISBLANK('ALL Other SINs - Proposal'!R719)," ",'ALL Other SINs - Proposal'!R719)</f>
        <v xml:space="preserve"> </v>
      </c>
      <c r="F719" s="73" t="str">
        <f>IF(ISBLANK('ALL Other SINs - Proposal'!S719)," ",'ALL Other SINs - Proposal'!S719)</f>
        <v xml:space="preserve"> </v>
      </c>
      <c r="G719" s="173" t="str">
        <f>IF(ISBLANK('ALL Other SINs - Proposal'!T719)," ",'ALL Other SINs - Proposal'!T719)</f>
        <v xml:space="preserve"> </v>
      </c>
      <c r="H719" s="275" t="str">
        <f>IF(ISBLANK('ALL Other SINs - Proposal'!V719)," ",'ALL Other SINs - Proposal'!V719)</f>
        <v xml:space="preserve"> </v>
      </c>
      <c r="I719" s="271" t="str">
        <f>IF(ISBLANK('ALL Other SINs - Proposal'!W719)," ",'ALL Other SINs - Proposal'!W719)</f>
        <v xml:space="preserve"> </v>
      </c>
      <c r="J719" s="71" t="str">
        <f>IF(ISBLANK('ALL Other SINs - Proposal'!X719)," ",'ALL Other SINs - Proposal'!X719)</f>
        <v xml:space="preserve"> </v>
      </c>
      <c r="K719" s="165" t="str">
        <f>IF(ISBLANK('ALL Other SINs - Proposal'!AA719)," ",'ALL Other SINs - Proposal'!AA719)</f>
        <v xml:space="preserve"> </v>
      </c>
      <c r="L719" s="178" t="str">
        <f>IF(ISBLANK('ALL Other SINs - Proposal'!AB719)," ",'ALL Other SINs - Proposal'!AB719)</f>
        <v xml:space="preserve"> </v>
      </c>
      <c r="M719" s="72" t="str">
        <f t="shared" si="22"/>
        <v xml:space="preserve"> </v>
      </c>
      <c r="N719" s="167" t="str">
        <f t="shared" si="23"/>
        <v xml:space="preserve"> </v>
      </c>
    </row>
    <row r="720" spans="1:14" ht="15" x14ac:dyDescent="0.25">
      <c r="A720" s="131" t="str">
        <f>IF(ISBLANK('ALL Other SINs - Proposal'!A720)," ",'ALL Other SINs - Proposal'!A720)</f>
        <v xml:space="preserve"> </v>
      </c>
      <c r="B720" s="137" t="str">
        <f>IF(ISBLANK('ALL Other SINs - Proposal'!B720)," ",'ALL Other SINs - Proposal'!B720)</f>
        <v xml:space="preserve"> </v>
      </c>
      <c r="C720" s="137" t="str">
        <f>IF(ISBLANK('ALL Other SINs - Proposal'!C720)," ",'ALL Other SINs - Proposal'!C720)</f>
        <v xml:space="preserve"> </v>
      </c>
      <c r="D720" s="138" t="str">
        <f>IF(ISBLANK('ALL Other SINs - Proposal'!D720)," ",'ALL Other SINs - Proposal'!D720)</f>
        <v xml:space="preserve"> </v>
      </c>
      <c r="E720" s="69" t="str">
        <f>IF(ISBLANK('ALL Other SINs - Proposal'!R720)," ",'ALL Other SINs - Proposal'!R720)</f>
        <v xml:space="preserve"> </v>
      </c>
      <c r="F720" s="73" t="str">
        <f>IF(ISBLANK('ALL Other SINs - Proposal'!S720)," ",'ALL Other SINs - Proposal'!S720)</f>
        <v xml:space="preserve"> </v>
      </c>
      <c r="G720" s="173" t="str">
        <f>IF(ISBLANK('ALL Other SINs - Proposal'!T720)," ",'ALL Other SINs - Proposal'!T720)</f>
        <v xml:space="preserve"> </v>
      </c>
      <c r="H720" s="275" t="str">
        <f>IF(ISBLANK('ALL Other SINs - Proposal'!V720)," ",'ALL Other SINs - Proposal'!V720)</f>
        <v xml:space="preserve"> </v>
      </c>
      <c r="I720" s="271" t="str">
        <f>IF(ISBLANK('ALL Other SINs - Proposal'!W720)," ",'ALL Other SINs - Proposal'!W720)</f>
        <v xml:space="preserve"> </v>
      </c>
      <c r="J720" s="71" t="str">
        <f>IF(ISBLANK('ALL Other SINs - Proposal'!X720)," ",'ALL Other SINs - Proposal'!X720)</f>
        <v xml:space="preserve"> </v>
      </c>
      <c r="K720" s="165" t="str">
        <f>IF(ISBLANK('ALL Other SINs - Proposal'!AA720)," ",'ALL Other SINs - Proposal'!AA720)</f>
        <v xml:space="preserve"> </v>
      </c>
      <c r="L720" s="178" t="str">
        <f>IF(ISBLANK('ALL Other SINs - Proposal'!AB720)," ",'ALL Other SINs - Proposal'!AB720)</f>
        <v xml:space="preserve"> </v>
      </c>
      <c r="M720" s="72" t="str">
        <f t="shared" si="22"/>
        <v xml:space="preserve"> </v>
      </c>
      <c r="N720" s="167" t="str">
        <f t="shared" si="23"/>
        <v xml:space="preserve"> </v>
      </c>
    </row>
    <row r="721" spans="1:14" ht="15" x14ac:dyDescent="0.25">
      <c r="A721" s="131" t="str">
        <f>IF(ISBLANK('ALL Other SINs - Proposal'!A721)," ",'ALL Other SINs - Proposal'!A721)</f>
        <v xml:space="preserve"> </v>
      </c>
      <c r="B721" s="137" t="str">
        <f>IF(ISBLANK('ALL Other SINs - Proposal'!B721)," ",'ALL Other SINs - Proposal'!B721)</f>
        <v xml:space="preserve"> </v>
      </c>
      <c r="C721" s="137" t="str">
        <f>IF(ISBLANK('ALL Other SINs - Proposal'!C721)," ",'ALL Other SINs - Proposal'!C721)</f>
        <v xml:space="preserve"> </v>
      </c>
      <c r="D721" s="138" t="str">
        <f>IF(ISBLANK('ALL Other SINs - Proposal'!D721)," ",'ALL Other SINs - Proposal'!D721)</f>
        <v xml:space="preserve"> </v>
      </c>
      <c r="E721" s="69" t="str">
        <f>IF(ISBLANK('ALL Other SINs - Proposal'!R721)," ",'ALL Other SINs - Proposal'!R721)</f>
        <v xml:space="preserve"> </v>
      </c>
      <c r="F721" s="73" t="str">
        <f>IF(ISBLANK('ALL Other SINs - Proposal'!S721)," ",'ALL Other SINs - Proposal'!S721)</f>
        <v xml:space="preserve"> </v>
      </c>
      <c r="G721" s="173" t="str">
        <f>IF(ISBLANK('ALL Other SINs - Proposal'!T721)," ",'ALL Other SINs - Proposal'!T721)</f>
        <v xml:space="preserve"> </v>
      </c>
      <c r="H721" s="275" t="str">
        <f>IF(ISBLANK('ALL Other SINs - Proposal'!V721)," ",'ALL Other SINs - Proposal'!V721)</f>
        <v xml:space="preserve"> </v>
      </c>
      <c r="I721" s="271" t="str">
        <f>IF(ISBLANK('ALL Other SINs - Proposal'!W721)," ",'ALL Other SINs - Proposal'!W721)</f>
        <v xml:space="preserve"> </v>
      </c>
      <c r="J721" s="71" t="str">
        <f>IF(ISBLANK('ALL Other SINs - Proposal'!X721)," ",'ALL Other SINs - Proposal'!X721)</f>
        <v xml:space="preserve"> </v>
      </c>
      <c r="K721" s="165" t="str">
        <f>IF(ISBLANK('ALL Other SINs - Proposal'!AA721)," ",'ALL Other SINs - Proposal'!AA721)</f>
        <v xml:space="preserve"> </v>
      </c>
      <c r="L721" s="178" t="str">
        <f>IF(ISBLANK('ALL Other SINs - Proposal'!AB721)," ",'ALL Other SINs - Proposal'!AB721)</f>
        <v xml:space="preserve"> </v>
      </c>
      <c r="M721" s="72" t="str">
        <f t="shared" si="22"/>
        <v xml:space="preserve"> </v>
      </c>
      <c r="N721" s="167" t="str">
        <f t="shared" si="23"/>
        <v xml:space="preserve"> </v>
      </c>
    </row>
    <row r="722" spans="1:14" ht="15" x14ac:dyDescent="0.25">
      <c r="A722" s="131" t="str">
        <f>IF(ISBLANK('ALL Other SINs - Proposal'!A722)," ",'ALL Other SINs - Proposal'!A722)</f>
        <v xml:space="preserve"> </v>
      </c>
      <c r="B722" s="137" t="str">
        <f>IF(ISBLANK('ALL Other SINs - Proposal'!B722)," ",'ALL Other SINs - Proposal'!B722)</f>
        <v xml:space="preserve"> </v>
      </c>
      <c r="C722" s="137" t="str">
        <f>IF(ISBLANK('ALL Other SINs - Proposal'!C722)," ",'ALL Other SINs - Proposal'!C722)</f>
        <v xml:space="preserve"> </v>
      </c>
      <c r="D722" s="138" t="str">
        <f>IF(ISBLANK('ALL Other SINs - Proposal'!D722)," ",'ALL Other SINs - Proposal'!D722)</f>
        <v xml:space="preserve"> </v>
      </c>
      <c r="E722" s="69" t="str">
        <f>IF(ISBLANK('ALL Other SINs - Proposal'!R722)," ",'ALL Other SINs - Proposal'!R722)</f>
        <v xml:space="preserve"> </v>
      </c>
      <c r="F722" s="73" t="str">
        <f>IF(ISBLANK('ALL Other SINs - Proposal'!S722)," ",'ALL Other SINs - Proposal'!S722)</f>
        <v xml:space="preserve"> </v>
      </c>
      <c r="G722" s="173" t="str">
        <f>IF(ISBLANK('ALL Other SINs - Proposal'!T722)," ",'ALL Other SINs - Proposal'!T722)</f>
        <v xml:space="preserve"> </v>
      </c>
      <c r="H722" s="275" t="str">
        <f>IF(ISBLANK('ALL Other SINs - Proposal'!V722)," ",'ALL Other SINs - Proposal'!V722)</f>
        <v xml:space="preserve"> </v>
      </c>
      <c r="I722" s="271" t="str">
        <f>IF(ISBLANK('ALL Other SINs - Proposal'!W722)," ",'ALL Other SINs - Proposal'!W722)</f>
        <v xml:space="preserve"> </v>
      </c>
      <c r="J722" s="71" t="str">
        <f>IF(ISBLANK('ALL Other SINs - Proposal'!X722)," ",'ALL Other SINs - Proposal'!X722)</f>
        <v xml:space="preserve"> </v>
      </c>
      <c r="K722" s="165" t="str">
        <f>IF(ISBLANK('ALL Other SINs - Proposal'!AA722)," ",'ALL Other SINs - Proposal'!AA722)</f>
        <v xml:space="preserve"> </v>
      </c>
      <c r="L722" s="178" t="str">
        <f>IF(ISBLANK('ALL Other SINs - Proposal'!AB722)," ",'ALL Other SINs - Proposal'!AB722)</f>
        <v xml:space="preserve"> </v>
      </c>
      <c r="M722" s="72" t="str">
        <f t="shared" si="22"/>
        <v xml:space="preserve"> </v>
      </c>
      <c r="N722" s="167" t="str">
        <f t="shared" si="23"/>
        <v xml:space="preserve"> </v>
      </c>
    </row>
    <row r="723" spans="1:14" ht="15" x14ac:dyDescent="0.25">
      <c r="A723" s="131" t="str">
        <f>IF(ISBLANK('ALL Other SINs - Proposal'!A723)," ",'ALL Other SINs - Proposal'!A723)</f>
        <v xml:space="preserve"> </v>
      </c>
      <c r="B723" s="137" t="str">
        <f>IF(ISBLANK('ALL Other SINs - Proposal'!B723)," ",'ALL Other SINs - Proposal'!B723)</f>
        <v xml:space="preserve"> </v>
      </c>
      <c r="C723" s="137" t="str">
        <f>IF(ISBLANK('ALL Other SINs - Proposal'!C723)," ",'ALL Other SINs - Proposal'!C723)</f>
        <v xml:space="preserve"> </v>
      </c>
      <c r="D723" s="138" t="str">
        <f>IF(ISBLANK('ALL Other SINs - Proposal'!D723)," ",'ALL Other SINs - Proposal'!D723)</f>
        <v xml:space="preserve"> </v>
      </c>
      <c r="E723" s="69" t="str">
        <f>IF(ISBLANK('ALL Other SINs - Proposal'!R723)," ",'ALL Other SINs - Proposal'!R723)</f>
        <v xml:space="preserve"> </v>
      </c>
      <c r="F723" s="73" t="str">
        <f>IF(ISBLANK('ALL Other SINs - Proposal'!S723)," ",'ALL Other SINs - Proposal'!S723)</f>
        <v xml:space="preserve"> </v>
      </c>
      <c r="G723" s="173" t="str">
        <f>IF(ISBLANK('ALL Other SINs - Proposal'!T723)," ",'ALL Other SINs - Proposal'!T723)</f>
        <v xml:space="preserve"> </v>
      </c>
      <c r="H723" s="275" t="str">
        <f>IF(ISBLANK('ALL Other SINs - Proposal'!V723)," ",'ALL Other SINs - Proposal'!V723)</f>
        <v xml:space="preserve"> </v>
      </c>
      <c r="I723" s="271" t="str">
        <f>IF(ISBLANK('ALL Other SINs - Proposal'!W723)," ",'ALL Other SINs - Proposal'!W723)</f>
        <v xml:space="preserve"> </v>
      </c>
      <c r="J723" s="71" t="str">
        <f>IF(ISBLANK('ALL Other SINs - Proposal'!X723)," ",'ALL Other SINs - Proposal'!X723)</f>
        <v xml:space="preserve"> </v>
      </c>
      <c r="K723" s="165" t="str">
        <f>IF(ISBLANK('ALL Other SINs - Proposal'!AA723)," ",'ALL Other SINs - Proposal'!AA723)</f>
        <v xml:space="preserve"> </v>
      </c>
      <c r="L723" s="178" t="str">
        <f>IF(ISBLANK('ALL Other SINs - Proposal'!AB723)," ",'ALL Other SINs - Proposal'!AB723)</f>
        <v xml:space="preserve"> </v>
      </c>
      <c r="M723" s="72" t="str">
        <f t="shared" si="22"/>
        <v xml:space="preserve"> </v>
      </c>
      <c r="N723" s="167" t="str">
        <f t="shared" si="23"/>
        <v xml:space="preserve"> </v>
      </c>
    </row>
    <row r="724" spans="1:14" ht="15" x14ac:dyDescent="0.25">
      <c r="A724" s="131" t="str">
        <f>IF(ISBLANK('ALL Other SINs - Proposal'!A724)," ",'ALL Other SINs - Proposal'!A724)</f>
        <v xml:space="preserve"> </v>
      </c>
      <c r="B724" s="137" t="str">
        <f>IF(ISBLANK('ALL Other SINs - Proposal'!B724)," ",'ALL Other SINs - Proposal'!B724)</f>
        <v xml:space="preserve"> </v>
      </c>
      <c r="C724" s="137" t="str">
        <f>IF(ISBLANK('ALL Other SINs - Proposal'!C724)," ",'ALL Other SINs - Proposal'!C724)</f>
        <v xml:space="preserve"> </v>
      </c>
      <c r="D724" s="138" t="str">
        <f>IF(ISBLANK('ALL Other SINs - Proposal'!D724)," ",'ALL Other SINs - Proposal'!D724)</f>
        <v xml:space="preserve"> </v>
      </c>
      <c r="E724" s="69" t="str">
        <f>IF(ISBLANK('ALL Other SINs - Proposal'!R724)," ",'ALL Other SINs - Proposal'!R724)</f>
        <v xml:space="preserve"> </v>
      </c>
      <c r="F724" s="73" t="str">
        <f>IF(ISBLANK('ALL Other SINs - Proposal'!S724)," ",'ALL Other SINs - Proposal'!S724)</f>
        <v xml:space="preserve"> </v>
      </c>
      <c r="G724" s="173" t="str">
        <f>IF(ISBLANK('ALL Other SINs - Proposal'!T724)," ",'ALL Other SINs - Proposal'!T724)</f>
        <v xml:space="preserve"> </v>
      </c>
      <c r="H724" s="275" t="str">
        <f>IF(ISBLANK('ALL Other SINs - Proposal'!V724)," ",'ALL Other SINs - Proposal'!V724)</f>
        <v xml:space="preserve"> </v>
      </c>
      <c r="I724" s="271" t="str">
        <f>IF(ISBLANK('ALL Other SINs - Proposal'!W724)," ",'ALL Other SINs - Proposal'!W724)</f>
        <v xml:space="preserve"> </v>
      </c>
      <c r="J724" s="71" t="str">
        <f>IF(ISBLANK('ALL Other SINs - Proposal'!X724)," ",'ALL Other SINs - Proposal'!X724)</f>
        <v xml:space="preserve"> </v>
      </c>
      <c r="K724" s="165" t="str">
        <f>IF(ISBLANK('ALL Other SINs - Proposal'!AA724)," ",'ALL Other SINs - Proposal'!AA724)</f>
        <v xml:space="preserve"> </v>
      </c>
      <c r="L724" s="178" t="str">
        <f>IF(ISBLANK('ALL Other SINs - Proposal'!AB724)," ",'ALL Other SINs - Proposal'!AB724)</f>
        <v xml:space="preserve"> </v>
      </c>
      <c r="M724" s="72" t="str">
        <f t="shared" si="22"/>
        <v xml:space="preserve"> </v>
      </c>
      <c r="N724" s="167" t="str">
        <f t="shared" si="23"/>
        <v xml:space="preserve"> </v>
      </c>
    </row>
    <row r="725" spans="1:14" ht="15" x14ac:dyDescent="0.25">
      <c r="A725" s="131" t="str">
        <f>IF(ISBLANK('ALL Other SINs - Proposal'!A725)," ",'ALL Other SINs - Proposal'!A725)</f>
        <v xml:space="preserve"> </v>
      </c>
      <c r="B725" s="137" t="str">
        <f>IF(ISBLANK('ALL Other SINs - Proposal'!B725)," ",'ALL Other SINs - Proposal'!B725)</f>
        <v xml:space="preserve"> </v>
      </c>
      <c r="C725" s="137" t="str">
        <f>IF(ISBLANK('ALL Other SINs - Proposal'!C725)," ",'ALL Other SINs - Proposal'!C725)</f>
        <v xml:space="preserve"> </v>
      </c>
      <c r="D725" s="138" t="str">
        <f>IF(ISBLANK('ALL Other SINs - Proposal'!D725)," ",'ALL Other SINs - Proposal'!D725)</f>
        <v xml:space="preserve"> </v>
      </c>
      <c r="E725" s="69" t="str">
        <f>IF(ISBLANK('ALL Other SINs - Proposal'!R725)," ",'ALL Other SINs - Proposal'!R725)</f>
        <v xml:space="preserve"> </v>
      </c>
      <c r="F725" s="73" t="str">
        <f>IF(ISBLANK('ALL Other SINs - Proposal'!S725)," ",'ALL Other SINs - Proposal'!S725)</f>
        <v xml:space="preserve"> </v>
      </c>
      <c r="G725" s="173" t="str">
        <f>IF(ISBLANK('ALL Other SINs - Proposal'!T725)," ",'ALL Other SINs - Proposal'!T725)</f>
        <v xml:space="preserve"> </v>
      </c>
      <c r="H725" s="275" t="str">
        <f>IF(ISBLANK('ALL Other SINs - Proposal'!V725)," ",'ALL Other SINs - Proposal'!V725)</f>
        <v xml:space="preserve"> </v>
      </c>
      <c r="I725" s="271" t="str">
        <f>IF(ISBLANK('ALL Other SINs - Proposal'!W725)," ",'ALL Other SINs - Proposal'!W725)</f>
        <v xml:space="preserve"> </v>
      </c>
      <c r="J725" s="71" t="str">
        <f>IF(ISBLANK('ALL Other SINs - Proposal'!X725)," ",'ALL Other SINs - Proposal'!X725)</f>
        <v xml:space="preserve"> </v>
      </c>
      <c r="K725" s="165" t="str">
        <f>IF(ISBLANK('ALL Other SINs - Proposal'!AA725)," ",'ALL Other SINs - Proposal'!AA725)</f>
        <v xml:space="preserve"> </v>
      </c>
      <c r="L725" s="178" t="str">
        <f>IF(ISBLANK('ALL Other SINs - Proposal'!AB725)," ",'ALL Other SINs - Proposal'!AB725)</f>
        <v xml:space="preserve"> </v>
      </c>
      <c r="M725" s="72" t="str">
        <f t="shared" si="22"/>
        <v xml:space="preserve"> </v>
      </c>
      <c r="N725" s="167" t="str">
        <f t="shared" si="23"/>
        <v xml:space="preserve"> </v>
      </c>
    </row>
    <row r="726" spans="1:14" ht="15" x14ac:dyDescent="0.25">
      <c r="A726" s="131" t="str">
        <f>IF(ISBLANK('ALL Other SINs - Proposal'!A726)," ",'ALL Other SINs - Proposal'!A726)</f>
        <v xml:space="preserve"> </v>
      </c>
      <c r="B726" s="137" t="str">
        <f>IF(ISBLANK('ALL Other SINs - Proposal'!B726)," ",'ALL Other SINs - Proposal'!B726)</f>
        <v xml:space="preserve"> </v>
      </c>
      <c r="C726" s="137" t="str">
        <f>IF(ISBLANK('ALL Other SINs - Proposal'!C726)," ",'ALL Other SINs - Proposal'!C726)</f>
        <v xml:space="preserve"> </v>
      </c>
      <c r="D726" s="138" t="str">
        <f>IF(ISBLANK('ALL Other SINs - Proposal'!D726)," ",'ALL Other SINs - Proposal'!D726)</f>
        <v xml:space="preserve"> </v>
      </c>
      <c r="E726" s="69" t="str">
        <f>IF(ISBLANK('ALL Other SINs - Proposal'!R726)," ",'ALL Other SINs - Proposal'!R726)</f>
        <v xml:space="preserve"> </v>
      </c>
      <c r="F726" s="73" t="str">
        <f>IF(ISBLANK('ALL Other SINs - Proposal'!S726)," ",'ALL Other SINs - Proposal'!S726)</f>
        <v xml:space="preserve"> </v>
      </c>
      <c r="G726" s="173" t="str">
        <f>IF(ISBLANK('ALL Other SINs - Proposal'!T726)," ",'ALL Other SINs - Proposal'!T726)</f>
        <v xml:space="preserve"> </v>
      </c>
      <c r="H726" s="275" t="str">
        <f>IF(ISBLANK('ALL Other SINs - Proposal'!V726)," ",'ALL Other SINs - Proposal'!V726)</f>
        <v xml:space="preserve"> </v>
      </c>
      <c r="I726" s="271" t="str">
        <f>IF(ISBLANK('ALL Other SINs - Proposal'!W726)," ",'ALL Other SINs - Proposal'!W726)</f>
        <v xml:space="preserve"> </v>
      </c>
      <c r="J726" s="71" t="str">
        <f>IF(ISBLANK('ALL Other SINs - Proposal'!X726)," ",'ALL Other SINs - Proposal'!X726)</f>
        <v xml:space="preserve"> </v>
      </c>
      <c r="K726" s="165" t="str">
        <f>IF(ISBLANK('ALL Other SINs - Proposal'!AA726)," ",'ALL Other SINs - Proposal'!AA726)</f>
        <v xml:space="preserve"> </v>
      </c>
      <c r="L726" s="178" t="str">
        <f>IF(ISBLANK('ALL Other SINs - Proposal'!AB726)," ",'ALL Other SINs - Proposal'!AB726)</f>
        <v xml:space="preserve"> </v>
      </c>
      <c r="M726" s="72" t="str">
        <f t="shared" si="22"/>
        <v xml:space="preserve"> </v>
      </c>
      <c r="N726" s="167" t="str">
        <f t="shared" si="23"/>
        <v xml:space="preserve"> </v>
      </c>
    </row>
    <row r="727" spans="1:14" ht="15" x14ac:dyDescent="0.25">
      <c r="A727" s="131" t="str">
        <f>IF(ISBLANK('ALL Other SINs - Proposal'!A727)," ",'ALL Other SINs - Proposal'!A727)</f>
        <v xml:space="preserve"> </v>
      </c>
      <c r="B727" s="137" t="str">
        <f>IF(ISBLANK('ALL Other SINs - Proposal'!B727)," ",'ALL Other SINs - Proposal'!B727)</f>
        <v xml:space="preserve"> </v>
      </c>
      <c r="C727" s="137" t="str">
        <f>IF(ISBLANK('ALL Other SINs - Proposal'!C727)," ",'ALL Other SINs - Proposal'!C727)</f>
        <v xml:space="preserve"> </v>
      </c>
      <c r="D727" s="138" t="str">
        <f>IF(ISBLANK('ALL Other SINs - Proposal'!D727)," ",'ALL Other SINs - Proposal'!D727)</f>
        <v xml:space="preserve"> </v>
      </c>
      <c r="E727" s="69" t="str">
        <f>IF(ISBLANK('ALL Other SINs - Proposal'!R727)," ",'ALL Other SINs - Proposal'!R727)</f>
        <v xml:space="preserve"> </v>
      </c>
      <c r="F727" s="73" t="str">
        <f>IF(ISBLANK('ALL Other SINs - Proposal'!S727)," ",'ALL Other SINs - Proposal'!S727)</f>
        <v xml:space="preserve"> </v>
      </c>
      <c r="G727" s="173" t="str">
        <f>IF(ISBLANK('ALL Other SINs - Proposal'!T727)," ",'ALL Other SINs - Proposal'!T727)</f>
        <v xml:space="preserve"> </v>
      </c>
      <c r="H727" s="275" t="str">
        <f>IF(ISBLANK('ALL Other SINs - Proposal'!V727)," ",'ALL Other SINs - Proposal'!V727)</f>
        <v xml:space="preserve"> </v>
      </c>
      <c r="I727" s="271" t="str">
        <f>IF(ISBLANK('ALL Other SINs - Proposal'!W727)," ",'ALL Other SINs - Proposal'!W727)</f>
        <v xml:space="preserve"> </v>
      </c>
      <c r="J727" s="71" t="str">
        <f>IF(ISBLANK('ALL Other SINs - Proposal'!X727)," ",'ALL Other SINs - Proposal'!X727)</f>
        <v xml:space="preserve"> </v>
      </c>
      <c r="K727" s="165" t="str">
        <f>IF(ISBLANK('ALL Other SINs - Proposal'!AA727)," ",'ALL Other SINs - Proposal'!AA727)</f>
        <v xml:space="preserve"> </v>
      </c>
      <c r="L727" s="178" t="str">
        <f>IF(ISBLANK('ALL Other SINs - Proposal'!AB727)," ",'ALL Other SINs - Proposal'!AB727)</f>
        <v xml:space="preserve"> </v>
      </c>
      <c r="M727" s="72" t="str">
        <f t="shared" si="22"/>
        <v xml:space="preserve"> </v>
      </c>
      <c r="N727" s="167" t="str">
        <f t="shared" si="23"/>
        <v xml:space="preserve"> </v>
      </c>
    </row>
    <row r="728" spans="1:14" ht="15" x14ac:dyDescent="0.25">
      <c r="A728" s="131" t="str">
        <f>IF(ISBLANK('ALL Other SINs - Proposal'!A728)," ",'ALL Other SINs - Proposal'!A728)</f>
        <v xml:space="preserve"> </v>
      </c>
      <c r="B728" s="137" t="str">
        <f>IF(ISBLANK('ALL Other SINs - Proposal'!B728)," ",'ALL Other SINs - Proposal'!B728)</f>
        <v xml:space="preserve"> </v>
      </c>
      <c r="C728" s="137" t="str">
        <f>IF(ISBLANK('ALL Other SINs - Proposal'!C728)," ",'ALL Other SINs - Proposal'!C728)</f>
        <v xml:space="preserve"> </v>
      </c>
      <c r="D728" s="138" t="str">
        <f>IF(ISBLANK('ALL Other SINs - Proposal'!D728)," ",'ALL Other SINs - Proposal'!D728)</f>
        <v xml:space="preserve"> </v>
      </c>
      <c r="E728" s="69" t="str">
        <f>IF(ISBLANK('ALL Other SINs - Proposal'!R728)," ",'ALL Other SINs - Proposal'!R728)</f>
        <v xml:space="preserve"> </v>
      </c>
      <c r="F728" s="73" t="str">
        <f>IF(ISBLANK('ALL Other SINs - Proposal'!S728)," ",'ALL Other SINs - Proposal'!S728)</f>
        <v xml:space="preserve"> </v>
      </c>
      <c r="G728" s="173" t="str">
        <f>IF(ISBLANK('ALL Other SINs - Proposal'!T728)," ",'ALL Other SINs - Proposal'!T728)</f>
        <v xml:space="preserve"> </v>
      </c>
      <c r="H728" s="275" t="str">
        <f>IF(ISBLANK('ALL Other SINs - Proposal'!V728)," ",'ALL Other SINs - Proposal'!V728)</f>
        <v xml:space="preserve"> </v>
      </c>
      <c r="I728" s="271" t="str">
        <f>IF(ISBLANK('ALL Other SINs - Proposal'!W728)," ",'ALL Other SINs - Proposal'!W728)</f>
        <v xml:space="preserve"> </v>
      </c>
      <c r="J728" s="71" t="str">
        <f>IF(ISBLANK('ALL Other SINs - Proposal'!X728)," ",'ALL Other SINs - Proposal'!X728)</f>
        <v xml:space="preserve"> </v>
      </c>
      <c r="K728" s="165" t="str">
        <f>IF(ISBLANK('ALL Other SINs - Proposal'!AA728)," ",'ALL Other SINs - Proposal'!AA728)</f>
        <v xml:space="preserve"> </v>
      </c>
      <c r="L728" s="178" t="str">
        <f>IF(ISBLANK('ALL Other SINs - Proposal'!AB728)," ",'ALL Other SINs - Proposal'!AB728)</f>
        <v xml:space="preserve"> </v>
      </c>
      <c r="M728" s="72" t="str">
        <f t="shared" si="22"/>
        <v xml:space="preserve"> </v>
      </c>
      <c r="N728" s="167" t="str">
        <f t="shared" si="23"/>
        <v xml:space="preserve"> </v>
      </c>
    </row>
    <row r="729" spans="1:14" ht="15" x14ac:dyDescent="0.25">
      <c r="A729" s="131" t="str">
        <f>IF(ISBLANK('ALL Other SINs - Proposal'!A729)," ",'ALL Other SINs - Proposal'!A729)</f>
        <v xml:space="preserve"> </v>
      </c>
      <c r="B729" s="137" t="str">
        <f>IF(ISBLANK('ALL Other SINs - Proposal'!B729)," ",'ALL Other SINs - Proposal'!B729)</f>
        <v xml:space="preserve"> </v>
      </c>
      <c r="C729" s="137" t="str">
        <f>IF(ISBLANK('ALL Other SINs - Proposal'!C729)," ",'ALL Other SINs - Proposal'!C729)</f>
        <v xml:space="preserve"> </v>
      </c>
      <c r="D729" s="138" t="str">
        <f>IF(ISBLANK('ALL Other SINs - Proposal'!D729)," ",'ALL Other SINs - Proposal'!D729)</f>
        <v xml:space="preserve"> </v>
      </c>
      <c r="E729" s="69" t="str">
        <f>IF(ISBLANK('ALL Other SINs - Proposal'!R729)," ",'ALL Other SINs - Proposal'!R729)</f>
        <v xml:space="preserve"> </v>
      </c>
      <c r="F729" s="73" t="str">
        <f>IF(ISBLANK('ALL Other SINs - Proposal'!S729)," ",'ALL Other SINs - Proposal'!S729)</f>
        <v xml:space="preserve"> </v>
      </c>
      <c r="G729" s="173" t="str">
        <f>IF(ISBLANK('ALL Other SINs - Proposal'!T729)," ",'ALL Other SINs - Proposal'!T729)</f>
        <v xml:space="preserve"> </v>
      </c>
      <c r="H729" s="275" t="str">
        <f>IF(ISBLANK('ALL Other SINs - Proposal'!V729)," ",'ALL Other SINs - Proposal'!V729)</f>
        <v xml:space="preserve"> </v>
      </c>
      <c r="I729" s="271" t="str">
        <f>IF(ISBLANK('ALL Other SINs - Proposal'!W729)," ",'ALL Other SINs - Proposal'!W729)</f>
        <v xml:space="preserve"> </v>
      </c>
      <c r="J729" s="71" t="str">
        <f>IF(ISBLANK('ALL Other SINs - Proposal'!X729)," ",'ALL Other SINs - Proposal'!X729)</f>
        <v xml:space="preserve"> </v>
      </c>
      <c r="K729" s="165" t="str">
        <f>IF(ISBLANK('ALL Other SINs - Proposal'!AA729)," ",'ALL Other SINs - Proposal'!AA729)</f>
        <v xml:space="preserve"> </v>
      </c>
      <c r="L729" s="178" t="str">
        <f>IF(ISBLANK('ALL Other SINs - Proposal'!AB729)," ",'ALL Other SINs - Proposal'!AB729)</f>
        <v xml:space="preserve"> </v>
      </c>
      <c r="M729" s="72" t="str">
        <f t="shared" si="22"/>
        <v xml:space="preserve"> </v>
      </c>
      <c r="N729" s="167" t="str">
        <f t="shared" si="23"/>
        <v xml:space="preserve"> </v>
      </c>
    </row>
    <row r="730" spans="1:14" ht="15" x14ac:dyDescent="0.25">
      <c r="A730" s="131" t="str">
        <f>IF(ISBLANK('ALL Other SINs - Proposal'!A730)," ",'ALL Other SINs - Proposal'!A730)</f>
        <v xml:space="preserve"> </v>
      </c>
      <c r="B730" s="137" t="str">
        <f>IF(ISBLANK('ALL Other SINs - Proposal'!B730)," ",'ALL Other SINs - Proposal'!B730)</f>
        <v xml:space="preserve"> </v>
      </c>
      <c r="C730" s="137" t="str">
        <f>IF(ISBLANK('ALL Other SINs - Proposal'!C730)," ",'ALL Other SINs - Proposal'!C730)</f>
        <v xml:space="preserve"> </v>
      </c>
      <c r="D730" s="138" t="str">
        <f>IF(ISBLANK('ALL Other SINs - Proposal'!D730)," ",'ALL Other SINs - Proposal'!D730)</f>
        <v xml:space="preserve"> </v>
      </c>
      <c r="E730" s="69" t="str">
        <f>IF(ISBLANK('ALL Other SINs - Proposal'!R730)," ",'ALL Other SINs - Proposal'!R730)</f>
        <v xml:space="preserve"> </v>
      </c>
      <c r="F730" s="73" t="str">
        <f>IF(ISBLANK('ALL Other SINs - Proposal'!S730)," ",'ALL Other SINs - Proposal'!S730)</f>
        <v xml:space="preserve"> </v>
      </c>
      <c r="G730" s="173" t="str">
        <f>IF(ISBLANK('ALL Other SINs - Proposal'!T730)," ",'ALL Other SINs - Proposal'!T730)</f>
        <v xml:space="preserve"> </v>
      </c>
      <c r="H730" s="275" t="str">
        <f>IF(ISBLANK('ALL Other SINs - Proposal'!V730)," ",'ALL Other SINs - Proposal'!V730)</f>
        <v xml:space="preserve"> </v>
      </c>
      <c r="I730" s="271" t="str">
        <f>IF(ISBLANK('ALL Other SINs - Proposal'!W730)," ",'ALL Other SINs - Proposal'!W730)</f>
        <v xml:space="preserve"> </v>
      </c>
      <c r="J730" s="71" t="str">
        <f>IF(ISBLANK('ALL Other SINs - Proposal'!X730)," ",'ALL Other SINs - Proposal'!X730)</f>
        <v xml:space="preserve"> </v>
      </c>
      <c r="K730" s="165" t="str">
        <f>IF(ISBLANK('ALL Other SINs - Proposal'!AA730)," ",'ALL Other SINs - Proposal'!AA730)</f>
        <v xml:space="preserve"> </v>
      </c>
      <c r="L730" s="178" t="str">
        <f>IF(ISBLANK('ALL Other SINs - Proposal'!AB730)," ",'ALL Other SINs - Proposal'!AB730)</f>
        <v xml:space="preserve"> </v>
      </c>
      <c r="M730" s="72" t="str">
        <f t="shared" si="22"/>
        <v xml:space="preserve"> </v>
      </c>
      <c r="N730" s="167" t="str">
        <f t="shared" si="23"/>
        <v xml:space="preserve"> </v>
      </c>
    </row>
    <row r="731" spans="1:14" ht="15" x14ac:dyDescent="0.25">
      <c r="A731" s="131" t="str">
        <f>IF(ISBLANK('ALL Other SINs - Proposal'!A731)," ",'ALL Other SINs - Proposal'!A731)</f>
        <v xml:space="preserve"> </v>
      </c>
      <c r="B731" s="137" t="str">
        <f>IF(ISBLANK('ALL Other SINs - Proposal'!B731)," ",'ALL Other SINs - Proposal'!B731)</f>
        <v xml:space="preserve"> </v>
      </c>
      <c r="C731" s="137" t="str">
        <f>IF(ISBLANK('ALL Other SINs - Proposal'!C731)," ",'ALL Other SINs - Proposal'!C731)</f>
        <v xml:space="preserve"> </v>
      </c>
      <c r="D731" s="138" t="str">
        <f>IF(ISBLANK('ALL Other SINs - Proposal'!D731)," ",'ALL Other SINs - Proposal'!D731)</f>
        <v xml:space="preserve"> </v>
      </c>
      <c r="E731" s="69" t="str">
        <f>IF(ISBLANK('ALL Other SINs - Proposal'!R731)," ",'ALL Other SINs - Proposal'!R731)</f>
        <v xml:space="preserve"> </v>
      </c>
      <c r="F731" s="73" t="str">
        <f>IF(ISBLANK('ALL Other SINs - Proposal'!S731)," ",'ALL Other SINs - Proposal'!S731)</f>
        <v xml:space="preserve"> </v>
      </c>
      <c r="G731" s="173" t="str">
        <f>IF(ISBLANK('ALL Other SINs - Proposal'!T731)," ",'ALL Other SINs - Proposal'!T731)</f>
        <v xml:space="preserve"> </v>
      </c>
      <c r="H731" s="275" t="str">
        <f>IF(ISBLANK('ALL Other SINs - Proposal'!V731)," ",'ALL Other SINs - Proposal'!V731)</f>
        <v xml:space="preserve"> </v>
      </c>
      <c r="I731" s="271" t="str">
        <f>IF(ISBLANK('ALL Other SINs - Proposal'!W731)," ",'ALL Other SINs - Proposal'!W731)</f>
        <v xml:space="preserve"> </v>
      </c>
      <c r="J731" s="71" t="str">
        <f>IF(ISBLANK('ALL Other SINs - Proposal'!X731)," ",'ALL Other SINs - Proposal'!X731)</f>
        <v xml:space="preserve"> </v>
      </c>
      <c r="K731" s="165" t="str">
        <f>IF(ISBLANK('ALL Other SINs - Proposal'!AA731)," ",'ALL Other SINs - Proposal'!AA731)</f>
        <v xml:space="preserve"> </v>
      </c>
      <c r="L731" s="178" t="str">
        <f>IF(ISBLANK('ALL Other SINs - Proposal'!AB731)," ",'ALL Other SINs - Proposal'!AB731)</f>
        <v xml:space="preserve"> </v>
      </c>
      <c r="M731" s="72" t="str">
        <f t="shared" si="22"/>
        <v xml:space="preserve"> </v>
      </c>
      <c r="N731" s="167" t="str">
        <f t="shared" si="23"/>
        <v xml:space="preserve"> </v>
      </c>
    </row>
    <row r="732" spans="1:14" ht="15" x14ac:dyDescent="0.25">
      <c r="A732" s="131" t="str">
        <f>IF(ISBLANK('ALL Other SINs - Proposal'!A732)," ",'ALL Other SINs - Proposal'!A732)</f>
        <v xml:space="preserve"> </v>
      </c>
      <c r="B732" s="137" t="str">
        <f>IF(ISBLANK('ALL Other SINs - Proposal'!B732)," ",'ALL Other SINs - Proposal'!B732)</f>
        <v xml:space="preserve"> </v>
      </c>
      <c r="C732" s="137" t="str">
        <f>IF(ISBLANK('ALL Other SINs - Proposal'!C732)," ",'ALL Other SINs - Proposal'!C732)</f>
        <v xml:space="preserve"> </v>
      </c>
      <c r="D732" s="138" t="str">
        <f>IF(ISBLANK('ALL Other SINs - Proposal'!D732)," ",'ALL Other SINs - Proposal'!D732)</f>
        <v xml:space="preserve"> </v>
      </c>
      <c r="E732" s="69" t="str">
        <f>IF(ISBLANK('ALL Other SINs - Proposal'!R732)," ",'ALL Other SINs - Proposal'!R732)</f>
        <v xml:space="preserve"> </v>
      </c>
      <c r="F732" s="73" t="str">
        <f>IF(ISBLANK('ALL Other SINs - Proposal'!S732)," ",'ALL Other SINs - Proposal'!S732)</f>
        <v xml:space="preserve"> </v>
      </c>
      <c r="G732" s="173" t="str">
        <f>IF(ISBLANK('ALL Other SINs - Proposal'!T732)," ",'ALL Other SINs - Proposal'!T732)</f>
        <v xml:space="preserve"> </v>
      </c>
      <c r="H732" s="275" t="str">
        <f>IF(ISBLANK('ALL Other SINs - Proposal'!V732)," ",'ALL Other SINs - Proposal'!V732)</f>
        <v xml:space="preserve"> </v>
      </c>
      <c r="I732" s="271" t="str">
        <f>IF(ISBLANK('ALL Other SINs - Proposal'!W732)," ",'ALL Other SINs - Proposal'!W732)</f>
        <v xml:space="preserve"> </v>
      </c>
      <c r="J732" s="71" t="str">
        <f>IF(ISBLANK('ALL Other SINs - Proposal'!X732)," ",'ALL Other SINs - Proposal'!X732)</f>
        <v xml:space="preserve"> </v>
      </c>
      <c r="K732" s="165" t="str">
        <f>IF(ISBLANK('ALL Other SINs - Proposal'!AA732)," ",'ALL Other SINs - Proposal'!AA732)</f>
        <v xml:space="preserve"> </v>
      </c>
      <c r="L732" s="178" t="str">
        <f>IF(ISBLANK('ALL Other SINs - Proposal'!AB732)," ",'ALL Other SINs - Proposal'!AB732)</f>
        <v xml:space="preserve"> </v>
      </c>
      <c r="M732" s="72" t="str">
        <f t="shared" si="22"/>
        <v xml:space="preserve"> </v>
      </c>
      <c r="N732" s="167" t="str">
        <f t="shared" si="23"/>
        <v xml:space="preserve"> </v>
      </c>
    </row>
    <row r="733" spans="1:14" ht="15" x14ac:dyDescent="0.25">
      <c r="A733" s="131" t="str">
        <f>IF(ISBLANK('ALL Other SINs - Proposal'!A733)," ",'ALL Other SINs - Proposal'!A733)</f>
        <v xml:space="preserve"> </v>
      </c>
      <c r="B733" s="137" t="str">
        <f>IF(ISBLANK('ALL Other SINs - Proposal'!B733)," ",'ALL Other SINs - Proposal'!B733)</f>
        <v xml:space="preserve"> </v>
      </c>
      <c r="C733" s="137" t="str">
        <f>IF(ISBLANK('ALL Other SINs - Proposal'!C733)," ",'ALL Other SINs - Proposal'!C733)</f>
        <v xml:space="preserve"> </v>
      </c>
      <c r="D733" s="138" t="str">
        <f>IF(ISBLANK('ALL Other SINs - Proposal'!D733)," ",'ALL Other SINs - Proposal'!D733)</f>
        <v xml:space="preserve"> </v>
      </c>
      <c r="E733" s="69" t="str">
        <f>IF(ISBLANK('ALL Other SINs - Proposal'!R733)," ",'ALL Other SINs - Proposal'!R733)</f>
        <v xml:space="preserve"> </v>
      </c>
      <c r="F733" s="73" t="str">
        <f>IF(ISBLANK('ALL Other SINs - Proposal'!S733)," ",'ALL Other SINs - Proposal'!S733)</f>
        <v xml:space="preserve"> </v>
      </c>
      <c r="G733" s="173" t="str">
        <f>IF(ISBLANK('ALL Other SINs - Proposal'!T733)," ",'ALL Other SINs - Proposal'!T733)</f>
        <v xml:space="preserve"> </v>
      </c>
      <c r="H733" s="275" t="str">
        <f>IF(ISBLANK('ALL Other SINs - Proposal'!V733)," ",'ALL Other SINs - Proposal'!V733)</f>
        <v xml:space="preserve"> </v>
      </c>
      <c r="I733" s="271" t="str">
        <f>IF(ISBLANK('ALL Other SINs - Proposal'!W733)," ",'ALL Other SINs - Proposal'!W733)</f>
        <v xml:space="preserve"> </v>
      </c>
      <c r="J733" s="71" t="str">
        <f>IF(ISBLANK('ALL Other SINs - Proposal'!X733)," ",'ALL Other SINs - Proposal'!X733)</f>
        <v xml:space="preserve"> </v>
      </c>
      <c r="K733" s="165" t="str">
        <f>IF(ISBLANK('ALL Other SINs - Proposal'!AA733)," ",'ALL Other SINs - Proposal'!AA733)</f>
        <v xml:space="preserve"> </v>
      </c>
      <c r="L733" s="178" t="str">
        <f>IF(ISBLANK('ALL Other SINs - Proposal'!AB733)," ",'ALL Other SINs - Proposal'!AB733)</f>
        <v xml:space="preserve"> </v>
      </c>
      <c r="M733" s="72" t="str">
        <f t="shared" si="22"/>
        <v xml:space="preserve"> </v>
      </c>
      <c r="N733" s="167" t="str">
        <f t="shared" si="23"/>
        <v xml:space="preserve"> </v>
      </c>
    </row>
    <row r="734" spans="1:14" ht="15" x14ac:dyDescent="0.25">
      <c r="A734" s="131" t="str">
        <f>IF(ISBLANK('ALL Other SINs - Proposal'!A734)," ",'ALL Other SINs - Proposal'!A734)</f>
        <v xml:space="preserve"> </v>
      </c>
      <c r="B734" s="137" t="str">
        <f>IF(ISBLANK('ALL Other SINs - Proposal'!B734)," ",'ALL Other SINs - Proposal'!B734)</f>
        <v xml:space="preserve"> </v>
      </c>
      <c r="C734" s="137" t="str">
        <f>IF(ISBLANK('ALL Other SINs - Proposal'!C734)," ",'ALL Other SINs - Proposal'!C734)</f>
        <v xml:space="preserve"> </v>
      </c>
      <c r="D734" s="138" t="str">
        <f>IF(ISBLANK('ALL Other SINs - Proposal'!D734)," ",'ALL Other SINs - Proposal'!D734)</f>
        <v xml:space="preserve"> </v>
      </c>
      <c r="E734" s="69" t="str">
        <f>IF(ISBLANK('ALL Other SINs - Proposal'!R734)," ",'ALL Other SINs - Proposal'!R734)</f>
        <v xml:space="preserve"> </v>
      </c>
      <c r="F734" s="73" t="str">
        <f>IF(ISBLANK('ALL Other SINs - Proposal'!S734)," ",'ALL Other SINs - Proposal'!S734)</f>
        <v xml:space="preserve"> </v>
      </c>
      <c r="G734" s="173" t="str">
        <f>IF(ISBLANK('ALL Other SINs - Proposal'!T734)," ",'ALL Other SINs - Proposal'!T734)</f>
        <v xml:space="preserve"> </v>
      </c>
      <c r="H734" s="275" t="str">
        <f>IF(ISBLANK('ALL Other SINs - Proposal'!V734)," ",'ALL Other SINs - Proposal'!V734)</f>
        <v xml:space="preserve"> </v>
      </c>
      <c r="I734" s="271" t="str">
        <f>IF(ISBLANK('ALL Other SINs - Proposal'!W734)," ",'ALL Other SINs - Proposal'!W734)</f>
        <v xml:space="preserve"> </v>
      </c>
      <c r="J734" s="71" t="str">
        <f>IF(ISBLANK('ALL Other SINs - Proposal'!X734)," ",'ALL Other SINs - Proposal'!X734)</f>
        <v xml:space="preserve"> </v>
      </c>
      <c r="K734" s="165" t="str">
        <f>IF(ISBLANK('ALL Other SINs - Proposal'!AA734)," ",'ALL Other SINs - Proposal'!AA734)</f>
        <v xml:space="preserve"> </v>
      </c>
      <c r="L734" s="178" t="str">
        <f>IF(ISBLANK('ALL Other SINs - Proposal'!AB734)," ",'ALL Other SINs - Proposal'!AB734)</f>
        <v xml:space="preserve"> </v>
      </c>
      <c r="M734" s="72" t="str">
        <f t="shared" si="22"/>
        <v xml:space="preserve"> </v>
      </c>
      <c r="N734" s="167" t="str">
        <f t="shared" si="23"/>
        <v xml:space="preserve"> </v>
      </c>
    </row>
    <row r="735" spans="1:14" ht="15" x14ac:dyDescent="0.25">
      <c r="A735" s="131" t="str">
        <f>IF(ISBLANK('ALL Other SINs - Proposal'!A735)," ",'ALL Other SINs - Proposal'!A735)</f>
        <v xml:space="preserve"> </v>
      </c>
      <c r="B735" s="137" t="str">
        <f>IF(ISBLANK('ALL Other SINs - Proposal'!B735)," ",'ALL Other SINs - Proposal'!B735)</f>
        <v xml:space="preserve"> </v>
      </c>
      <c r="C735" s="137" t="str">
        <f>IF(ISBLANK('ALL Other SINs - Proposal'!C735)," ",'ALL Other SINs - Proposal'!C735)</f>
        <v xml:space="preserve"> </v>
      </c>
      <c r="D735" s="138" t="str">
        <f>IF(ISBLANK('ALL Other SINs - Proposal'!D735)," ",'ALL Other SINs - Proposal'!D735)</f>
        <v xml:space="preserve"> </v>
      </c>
      <c r="E735" s="69" t="str">
        <f>IF(ISBLANK('ALL Other SINs - Proposal'!R735)," ",'ALL Other SINs - Proposal'!R735)</f>
        <v xml:space="preserve"> </v>
      </c>
      <c r="F735" s="73" t="str">
        <f>IF(ISBLANK('ALL Other SINs - Proposal'!S735)," ",'ALL Other SINs - Proposal'!S735)</f>
        <v xml:space="preserve"> </v>
      </c>
      <c r="G735" s="173" t="str">
        <f>IF(ISBLANK('ALL Other SINs - Proposal'!T735)," ",'ALL Other SINs - Proposal'!T735)</f>
        <v xml:space="preserve"> </v>
      </c>
      <c r="H735" s="275" t="str">
        <f>IF(ISBLANK('ALL Other SINs - Proposal'!V735)," ",'ALL Other SINs - Proposal'!V735)</f>
        <v xml:space="preserve"> </v>
      </c>
      <c r="I735" s="271" t="str">
        <f>IF(ISBLANK('ALL Other SINs - Proposal'!W735)," ",'ALL Other SINs - Proposal'!W735)</f>
        <v xml:space="preserve"> </v>
      </c>
      <c r="J735" s="71" t="str">
        <f>IF(ISBLANK('ALL Other SINs - Proposal'!X735)," ",'ALL Other SINs - Proposal'!X735)</f>
        <v xml:space="preserve"> </v>
      </c>
      <c r="K735" s="165" t="str">
        <f>IF(ISBLANK('ALL Other SINs - Proposal'!AA735)," ",'ALL Other SINs - Proposal'!AA735)</f>
        <v xml:space="preserve"> </v>
      </c>
      <c r="L735" s="178" t="str">
        <f>IF(ISBLANK('ALL Other SINs - Proposal'!AB735)," ",'ALL Other SINs - Proposal'!AB735)</f>
        <v xml:space="preserve"> </v>
      </c>
      <c r="M735" s="72" t="str">
        <f t="shared" si="22"/>
        <v xml:space="preserve"> </v>
      </c>
      <c r="N735" s="167" t="str">
        <f t="shared" si="23"/>
        <v xml:space="preserve"> </v>
      </c>
    </row>
    <row r="736" spans="1:14" ht="15" x14ac:dyDescent="0.25">
      <c r="A736" s="131" t="str">
        <f>IF(ISBLANK('ALL Other SINs - Proposal'!A736)," ",'ALL Other SINs - Proposal'!A736)</f>
        <v xml:space="preserve"> </v>
      </c>
      <c r="B736" s="137" t="str">
        <f>IF(ISBLANK('ALL Other SINs - Proposal'!B736)," ",'ALL Other SINs - Proposal'!B736)</f>
        <v xml:space="preserve"> </v>
      </c>
      <c r="C736" s="137" t="str">
        <f>IF(ISBLANK('ALL Other SINs - Proposal'!C736)," ",'ALL Other SINs - Proposal'!C736)</f>
        <v xml:space="preserve"> </v>
      </c>
      <c r="D736" s="138" t="str">
        <f>IF(ISBLANK('ALL Other SINs - Proposal'!D736)," ",'ALL Other SINs - Proposal'!D736)</f>
        <v xml:space="preserve"> </v>
      </c>
      <c r="E736" s="69" t="str">
        <f>IF(ISBLANK('ALL Other SINs - Proposal'!R736)," ",'ALL Other SINs - Proposal'!R736)</f>
        <v xml:space="preserve"> </v>
      </c>
      <c r="F736" s="73" t="str">
        <f>IF(ISBLANK('ALL Other SINs - Proposal'!S736)," ",'ALL Other SINs - Proposal'!S736)</f>
        <v xml:space="preserve"> </v>
      </c>
      <c r="G736" s="173" t="str">
        <f>IF(ISBLANK('ALL Other SINs - Proposal'!T736)," ",'ALL Other SINs - Proposal'!T736)</f>
        <v xml:space="preserve"> </v>
      </c>
      <c r="H736" s="275" t="str">
        <f>IF(ISBLANK('ALL Other SINs - Proposal'!V736)," ",'ALL Other SINs - Proposal'!V736)</f>
        <v xml:space="preserve"> </v>
      </c>
      <c r="I736" s="271" t="str">
        <f>IF(ISBLANK('ALL Other SINs - Proposal'!W736)," ",'ALL Other SINs - Proposal'!W736)</f>
        <v xml:space="preserve"> </v>
      </c>
      <c r="J736" s="71" t="str">
        <f>IF(ISBLANK('ALL Other SINs - Proposal'!X736)," ",'ALL Other SINs - Proposal'!X736)</f>
        <v xml:space="preserve"> </v>
      </c>
      <c r="K736" s="165" t="str">
        <f>IF(ISBLANK('ALL Other SINs - Proposal'!AA736)," ",'ALL Other SINs - Proposal'!AA736)</f>
        <v xml:space="preserve"> </v>
      </c>
      <c r="L736" s="178" t="str">
        <f>IF(ISBLANK('ALL Other SINs - Proposal'!AB736)," ",'ALL Other SINs - Proposal'!AB736)</f>
        <v xml:space="preserve"> </v>
      </c>
      <c r="M736" s="72" t="str">
        <f t="shared" si="22"/>
        <v xml:space="preserve"> </v>
      </c>
      <c r="N736" s="167" t="str">
        <f t="shared" si="23"/>
        <v xml:space="preserve"> </v>
      </c>
    </row>
    <row r="737" spans="1:14" ht="15" x14ac:dyDescent="0.25">
      <c r="A737" s="131" t="str">
        <f>IF(ISBLANK('ALL Other SINs - Proposal'!A737)," ",'ALL Other SINs - Proposal'!A737)</f>
        <v xml:space="preserve"> </v>
      </c>
      <c r="B737" s="137" t="str">
        <f>IF(ISBLANK('ALL Other SINs - Proposal'!B737)," ",'ALL Other SINs - Proposal'!B737)</f>
        <v xml:space="preserve"> </v>
      </c>
      <c r="C737" s="137" t="str">
        <f>IF(ISBLANK('ALL Other SINs - Proposal'!C737)," ",'ALL Other SINs - Proposal'!C737)</f>
        <v xml:space="preserve"> </v>
      </c>
      <c r="D737" s="138" t="str">
        <f>IF(ISBLANK('ALL Other SINs - Proposal'!D737)," ",'ALL Other SINs - Proposal'!D737)</f>
        <v xml:space="preserve"> </v>
      </c>
      <c r="E737" s="69" t="str">
        <f>IF(ISBLANK('ALL Other SINs - Proposal'!R737)," ",'ALL Other SINs - Proposal'!R737)</f>
        <v xml:space="preserve"> </v>
      </c>
      <c r="F737" s="73" t="str">
        <f>IF(ISBLANK('ALL Other SINs - Proposal'!S737)," ",'ALL Other SINs - Proposal'!S737)</f>
        <v xml:space="preserve"> </v>
      </c>
      <c r="G737" s="173" t="str">
        <f>IF(ISBLANK('ALL Other SINs - Proposal'!T737)," ",'ALL Other SINs - Proposal'!T737)</f>
        <v xml:space="preserve"> </v>
      </c>
      <c r="H737" s="275" t="str">
        <f>IF(ISBLANK('ALL Other SINs - Proposal'!V737)," ",'ALL Other SINs - Proposal'!V737)</f>
        <v xml:space="preserve"> </v>
      </c>
      <c r="I737" s="271" t="str">
        <f>IF(ISBLANK('ALL Other SINs - Proposal'!W737)," ",'ALL Other SINs - Proposal'!W737)</f>
        <v xml:space="preserve"> </v>
      </c>
      <c r="J737" s="71" t="str">
        <f>IF(ISBLANK('ALL Other SINs - Proposal'!X737)," ",'ALL Other SINs - Proposal'!X737)</f>
        <v xml:space="preserve"> </v>
      </c>
      <c r="K737" s="165" t="str">
        <f>IF(ISBLANK('ALL Other SINs - Proposal'!AA737)," ",'ALL Other SINs - Proposal'!AA737)</f>
        <v xml:space="preserve"> </v>
      </c>
      <c r="L737" s="178" t="str">
        <f>IF(ISBLANK('ALL Other SINs - Proposal'!AB737)," ",'ALL Other SINs - Proposal'!AB737)</f>
        <v xml:space="preserve"> </v>
      </c>
      <c r="M737" s="72" t="str">
        <f t="shared" si="22"/>
        <v xml:space="preserve"> </v>
      </c>
      <c r="N737" s="167" t="str">
        <f t="shared" si="23"/>
        <v xml:space="preserve"> </v>
      </c>
    </row>
    <row r="738" spans="1:14" ht="15" x14ac:dyDescent="0.25">
      <c r="A738" s="131" t="str">
        <f>IF(ISBLANK('ALL Other SINs - Proposal'!A738)," ",'ALL Other SINs - Proposal'!A738)</f>
        <v xml:space="preserve"> </v>
      </c>
      <c r="B738" s="137" t="str">
        <f>IF(ISBLANK('ALL Other SINs - Proposal'!B738)," ",'ALL Other SINs - Proposal'!B738)</f>
        <v xml:space="preserve"> </v>
      </c>
      <c r="C738" s="137" t="str">
        <f>IF(ISBLANK('ALL Other SINs - Proposal'!C738)," ",'ALL Other SINs - Proposal'!C738)</f>
        <v xml:space="preserve"> </v>
      </c>
      <c r="D738" s="138" t="str">
        <f>IF(ISBLANK('ALL Other SINs - Proposal'!D738)," ",'ALL Other SINs - Proposal'!D738)</f>
        <v xml:space="preserve"> </v>
      </c>
      <c r="E738" s="69" t="str">
        <f>IF(ISBLANK('ALL Other SINs - Proposal'!R738)," ",'ALL Other SINs - Proposal'!R738)</f>
        <v xml:space="preserve"> </v>
      </c>
      <c r="F738" s="73" t="str">
        <f>IF(ISBLANK('ALL Other SINs - Proposal'!S738)," ",'ALL Other SINs - Proposal'!S738)</f>
        <v xml:space="preserve"> </v>
      </c>
      <c r="G738" s="173" t="str">
        <f>IF(ISBLANK('ALL Other SINs - Proposal'!T738)," ",'ALL Other SINs - Proposal'!T738)</f>
        <v xml:space="preserve"> </v>
      </c>
      <c r="H738" s="275" t="str">
        <f>IF(ISBLANK('ALL Other SINs - Proposal'!V738)," ",'ALL Other SINs - Proposal'!V738)</f>
        <v xml:space="preserve"> </v>
      </c>
      <c r="I738" s="271" t="str">
        <f>IF(ISBLANK('ALL Other SINs - Proposal'!W738)," ",'ALL Other SINs - Proposal'!W738)</f>
        <v xml:space="preserve"> </v>
      </c>
      <c r="J738" s="71" t="str">
        <f>IF(ISBLANK('ALL Other SINs - Proposal'!X738)," ",'ALL Other SINs - Proposal'!X738)</f>
        <v xml:space="preserve"> </v>
      </c>
      <c r="K738" s="165" t="str">
        <f>IF(ISBLANK('ALL Other SINs - Proposal'!AA738)," ",'ALL Other SINs - Proposal'!AA738)</f>
        <v xml:space="preserve"> </v>
      </c>
      <c r="L738" s="178" t="str">
        <f>IF(ISBLANK('ALL Other SINs - Proposal'!AB738)," ",'ALL Other SINs - Proposal'!AB738)</f>
        <v xml:space="preserve"> </v>
      </c>
      <c r="M738" s="72" t="str">
        <f t="shared" si="22"/>
        <v xml:space="preserve"> </v>
      </c>
      <c r="N738" s="167" t="str">
        <f t="shared" si="23"/>
        <v xml:space="preserve"> </v>
      </c>
    </row>
    <row r="739" spans="1:14" ht="15" x14ac:dyDescent="0.25">
      <c r="A739" s="131" t="str">
        <f>IF(ISBLANK('ALL Other SINs - Proposal'!A739)," ",'ALL Other SINs - Proposal'!A739)</f>
        <v xml:space="preserve"> </v>
      </c>
      <c r="B739" s="137" t="str">
        <f>IF(ISBLANK('ALL Other SINs - Proposal'!B739)," ",'ALL Other SINs - Proposal'!B739)</f>
        <v xml:space="preserve"> </v>
      </c>
      <c r="C739" s="137" t="str">
        <f>IF(ISBLANK('ALL Other SINs - Proposal'!C739)," ",'ALL Other SINs - Proposal'!C739)</f>
        <v xml:space="preserve"> </v>
      </c>
      <c r="D739" s="138" t="str">
        <f>IF(ISBLANK('ALL Other SINs - Proposal'!D739)," ",'ALL Other SINs - Proposal'!D739)</f>
        <v xml:space="preserve"> </v>
      </c>
      <c r="E739" s="69" t="str">
        <f>IF(ISBLANK('ALL Other SINs - Proposal'!R739)," ",'ALL Other SINs - Proposal'!R739)</f>
        <v xml:space="preserve"> </v>
      </c>
      <c r="F739" s="73" t="str">
        <f>IF(ISBLANK('ALL Other SINs - Proposal'!S739)," ",'ALL Other SINs - Proposal'!S739)</f>
        <v xml:space="preserve"> </v>
      </c>
      <c r="G739" s="173" t="str">
        <f>IF(ISBLANK('ALL Other SINs - Proposal'!T739)," ",'ALL Other SINs - Proposal'!T739)</f>
        <v xml:space="preserve"> </v>
      </c>
      <c r="H739" s="275" t="str">
        <f>IF(ISBLANK('ALL Other SINs - Proposal'!V739)," ",'ALL Other SINs - Proposal'!V739)</f>
        <v xml:space="preserve"> </v>
      </c>
      <c r="I739" s="271" t="str">
        <f>IF(ISBLANK('ALL Other SINs - Proposal'!W739)," ",'ALL Other SINs - Proposal'!W739)</f>
        <v xml:space="preserve"> </v>
      </c>
      <c r="J739" s="71" t="str">
        <f>IF(ISBLANK('ALL Other SINs - Proposal'!X739)," ",'ALL Other SINs - Proposal'!X739)</f>
        <v xml:space="preserve"> </v>
      </c>
      <c r="K739" s="165" t="str">
        <f>IF(ISBLANK('ALL Other SINs - Proposal'!AA739)," ",'ALL Other SINs - Proposal'!AA739)</f>
        <v xml:space="preserve"> </v>
      </c>
      <c r="L739" s="178" t="str">
        <f>IF(ISBLANK('ALL Other SINs - Proposal'!AB739)," ",'ALL Other SINs - Proposal'!AB739)</f>
        <v xml:space="preserve"> </v>
      </c>
      <c r="M739" s="72" t="str">
        <f t="shared" si="22"/>
        <v xml:space="preserve"> </v>
      </c>
      <c r="N739" s="167" t="str">
        <f t="shared" si="23"/>
        <v xml:space="preserve"> </v>
      </c>
    </row>
    <row r="740" spans="1:14" ht="15" x14ac:dyDescent="0.25">
      <c r="A740" s="131" t="str">
        <f>IF(ISBLANK('ALL Other SINs - Proposal'!A740)," ",'ALL Other SINs - Proposal'!A740)</f>
        <v xml:space="preserve"> </v>
      </c>
      <c r="B740" s="137" t="str">
        <f>IF(ISBLANK('ALL Other SINs - Proposal'!B740)," ",'ALL Other SINs - Proposal'!B740)</f>
        <v xml:space="preserve"> </v>
      </c>
      <c r="C740" s="137" t="str">
        <f>IF(ISBLANK('ALL Other SINs - Proposal'!C740)," ",'ALL Other SINs - Proposal'!C740)</f>
        <v xml:space="preserve"> </v>
      </c>
      <c r="D740" s="138" t="str">
        <f>IF(ISBLANK('ALL Other SINs - Proposal'!D740)," ",'ALL Other SINs - Proposal'!D740)</f>
        <v xml:space="preserve"> </v>
      </c>
      <c r="E740" s="69" t="str">
        <f>IF(ISBLANK('ALL Other SINs - Proposal'!R740)," ",'ALL Other SINs - Proposal'!R740)</f>
        <v xml:space="preserve"> </v>
      </c>
      <c r="F740" s="73" t="str">
        <f>IF(ISBLANK('ALL Other SINs - Proposal'!S740)," ",'ALL Other SINs - Proposal'!S740)</f>
        <v xml:space="preserve"> </v>
      </c>
      <c r="G740" s="173" t="str">
        <f>IF(ISBLANK('ALL Other SINs - Proposal'!T740)," ",'ALL Other SINs - Proposal'!T740)</f>
        <v xml:space="preserve"> </v>
      </c>
      <c r="H740" s="275" t="str">
        <f>IF(ISBLANK('ALL Other SINs - Proposal'!V740)," ",'ALL Other SINs - Proposal'!V740)</f>
        <v xml:space="preserve"> </v>
      </c>
      <c r="I740" s="271" t="str">
        <f>IF(ISBLANK('ALL Other SINs - Proposal'!W740)," ",'ALL Other SINs - Proposal'!W740)</f>
        <v xml:space="preserve"> </v>
      </c>
      <c r="J740" s="71" t="str">
        <f>IF(ISBLANK('ALL Other SINs - Proposal'!X740)," ",'ALL Other SINs - Proposal'!X740)</f>
        <v xml:space="preserve"> </v>
      </c>
      <c r="K740" s="165" t="str">
        <f>IF(ISBLANK('ALL Other SINs - Proposal'!AA740)," ",'ALL Other SINs - Proposal'!AA740)</f>
        <v xml:space="preserve"> </v>
      </c>
      <c r="L740" s="178" t="str">
        <f>IF(ISBLANK('ALL Other SINs - Proposal'!AB740)," ",'ALL Other SINs - Proposal'!AB740)</f>
        <v xml:space="preserve"> </v>
      </c>
      <c r="M740" s="72" t="str">
        <f t="shared" si="22"/>
        <v xml:space="preserve"> </v>
      </c>
      <c r="N740" s="167" t="str">
        <f t="shared" si="23"/>
        <v xml:space="preserve"> </v>
      </c>
    </row>
    <row r="741" spans="1:14" ht="15" x14ac:dyDescent="0.25">
      <c r="A741" s="131" t="str">
        <f>IF(ISBLANK('ALL Other SINs - Proposal'!A741)," ",'ALL Other SINs - Proposal'!A741)</f>
        <v xml:space="preserve"> </v>
      </c>
      <c r="B741" s="137" t="str">
        <f>IF(ISBLANK('ALL Other SINs - Proposal'!B741)," ",'ALL Other SINs - Proposal'!B741)</f>
        <v xml:space="preserve"> </v>
      </c>
      <c r="C741" s="137" t="str">
        <f>IF(ISBLANK('ALL Other SINs - Proposal'!C741)," ",'ALL Other SINs - Proposal'!C741)</f>
        <v xml:space="preserve"> </v>
      </c>
      <c r="D741" s="138" t="str">
        <f>IF(ISBLANK('ALL Other SINs - Proposal'!D741)," ",'ALL Other SINs - Proposal'!D741)</f>
        <v xml:space="preserve"> </v>
      </c>
      <c r="E741" s="69" t="str">
        <f>IF(ISBLANK('ALL Other SINs - Proposal'!R741)," ",'ALL Other SINs - Proposal'!R741)</f>
        <v xml:space="preserve"> </v>
      </c>
      <c r="F741" s="73" t="str">
        <f>IF(ISBLANK('ALL Other SINs - Proposal'!S741)," ",'ALL Other SINs - Proposal'!S741)</f>
        <v xml:space="preserve"> </v>
      </c>
      <c r="G741" s="173" t="str">
        <f>IF(ISBLANK('ALL Other SINs - Proposal'!T741)," ",'ALL Other SINs - Proposal'!T741)</f>
        <v xml:space="preserve"> </v>
      </c>
      <c r="H741" s="275" t="str">
        <f>IF(ISBLANK('ALL Other SINs - Proposal'!V741)," ",'ALL Other SINs - Proposal'!V741)</f>
        <v xml:space="preserve"> </v>
      </c>
      <c r="I741" s="271" t="str">
        <f>IF(ISBLANK('ALL Other SINs - Proposal'!W741)," ",'ALL Other SINs - Proposal'!W741)</f>
        <v xml:space="preserve"> </v>
      </c>
      <c r="J741" s="71" t="str">
        <f>IF(ISBLANK('ALL Other SINs - Proposal'!X741)," ",'ALL Other SINs - Proposal'!X741)</f>
        <v xml:space="preserve"> </v>
      </c>
      <c r="K741" s="165" t="str">
        <f>IF(ISBLANK('ALL Other SINs - Proposal'!AA741)," ",'ALL Other SINs - Proposal'!AA741)</f>
        <v xml:space="preserve"> </v>
      </c>
      <c r="L741" s="178" t="str">
        <f>IF(ISBLANK('ALL Other SINs - Proposal'!AB741)," ",'ALL Other SINs - Proposal'!AB741)</f>
        <v xml:space="preserve"> </v>
      </c>
      <c r="M741" s="72" t="str">
        <f t="shared" si="22"/>
        <v xml:space="preserve"> </v>
      </c>
      <c r="N741" s="167" t="str">
        <f t="shared" si="23"/>
        <v xml:space="preserve"> </v>
      </c>
    </row>
    <row r="742" spans="1:14" ht="15" x14ac:dyDescent="0.25">
      <c r="A742" s="131" t="str">
        <f>IF(ISBLANK('ALL Other SINs - Proposal'!A742)," ",'ALL Other SINs - Proposal'!A742)</f>
        <v xml:space="preserve"> </v>
      </c>
      <c r="B742" s="137" t="str">
        <f>IF(ISBLANK('ALL Other SINs - Proposal'!B742)," ",'ALL Other SINs - Proposal'!B742)</f>
        <v xml:space="preserve"> </v>
      </c>
      <c r="C742" s="137" t="str">
        <f>IF(ISBLANK('ALL Other SINs - Proposal'!C742)," ",'ALL Other SINs - Proposal'!C742)</f>
        <v xml:space="preserve"> </v>
      </c>
      <c r="D742" s="138" t="str">
        <f>IF(ISBLANK('ALL Other SINs - Proposal'!D742)," ",'ALL Other SINs - Proposal'!D742)</f>
        <v xml:space="preserve"> </v>
      </c>
      <c r="E742" s="69" t="str">
        <f>IF(ISBLANK('ALL Other SINs - Proposal'!R742)," ",'ALL Other SINs - Proposal'!R742)</f>
        <v xml:space="preserve"> </v>
      </c>
      <c r="F742" s="73" t="str">
        <f>IF(ISBLANK('ALL Other SINs - Proposal'!S742)," ",'ALL Other SINs - Proposal'!S742)</f>
        <v xml:space="preserve"> </v>
      </c>
      <c r="G742" s="173" t="str">
        <f>IF(ISBLANK('ALL Other SINs - Proposal'!T742)," ",'ALL Other SINs - Proposal'!T742)</f>
        <v xml:space="preserve"> </v>
      </c>
      <c r="H742" s="275" t="str">
        <f>IF(ISBLANK('ALL Other SINs - Proposal'!V742)," ",'ALL Other SINs - Proposal'!V742)</f>
        <v xml:space="preserve"> </v>
      </c>
      <c r="I742" s="271" t="str">
        <f>IF(ISBLANK('ALL Other SINs - Proposal'!W742)," ",'ALL Other SINs - Proposal'!W742)</f>
        <v xml:space="preserve"> </v>
      </c>
      <c r="J742" s="71" t="str">
        <f>IF(ISBLANK('ALL Other SINs - Proposal'!X742)," ",'ALL Other SINs - Proposal'!X742)</f>
        <v xml:space="preserve"> </v>
      </c>
      <c r="K742" s="165" t="str">
        <f>IF(ISBLANK('ALL Other SINs - Proposal'!AA742)," ",'ALL Other SINs - Proposal'!AA742)</f>
        <v xml:space="preserve"> </v>
      </c>
      <c r="L742" s="178" t="str">
        <f>IF(ISBLANK('ALL Other SINs - Proposal'!AB742)," ",'ALL Other SINs - Proposal'!AB742)</f>
        <v xml:space="preserve"> </v>
      </c>
      <c r="M742" s="72" t="str">
        <f t="shared" si="22"/>
        <v xml:space="preserve"> </v>
      </c>
      <c r="N742" s="167" t="str">
        <f t="shared" si="23"/>
        <v xml:space="preserve"> </v>
      </c>
    </row>
    <row r="743" spans="1:14" ht="15" x14ac:dyDescent="0.25">
      <c r="A743" s="131" t="str">
        <f>IF(ISBLANK('ALL Other SINs - Proposal'!A743)," ",'ALL Other SINs - Proposal'!A743)</f>
        <v xml:space="preserve"> </v>
      </c>
      <c r="B743" s="137" t="str">
        <f>IF(ISBLANK('ALL Other SINs - Proposal'!B743)," ",'ALL Other SINs - Proposal'!B743)</f>
        <v xml:space="preserve"> </v>
      </c>
      <c r="C743" s="137" t="str">
        <f>IF(ISBLANK('ALL Other SINs - Proposal'!C743)," ",'ALL Other SINs - Proposal'!C743)</f>
        <v xml:space="preserve"> </v>
      </c>
      <c r="D743" s="138" t="str">
        <f>IF(ISBLANK('ALL Other SINs - Proposal'!D743)," ",'ALL Other SINs - Proposal'!D743)</f>
        <v xml:space="preserve"> </v>
      </c>
      <c r="E743" s="69" t="str">
        <f>IF(ISBLANK('ALL Other SINs - Proposal'!R743)," ",'ALL Other SINs - Proposal'!R743)</f>
        <v xml:space="preserve"> </v>
      </c>
      <c r="F743" s="73" t="str">
        <f>IF(ISBLANK('ALL Other SINs - Proposal'!S743)," ",'ALL Other SINs - Proposal'!S743)</f>
        <v xml:space="preserve"> </v>
      </c>
      <c r="G743" s="173" t="str">
        <f>IF(ISBLANK('ALL Other SINs - Proposal'!T743)," ",'ALL Other SINs - Proposal'!T743)</f>
        <v xml:space="preserve"> </v>
      </c>
      <c r="H743" s="275" t="str">
        <f>IF(ISBLANK('ALL Other SINs - Proposal'!V743)," ",'ALL Other SINs - Proposal'!V743)</f>
        <v xml:space="preserve"> </v>
      </c>
      <c r="I743" s="271" t="str">
        <f>IF(ISBLANK('ALL Other SINs - Proposal'!W743)," ",'ALL Other SINs - Proposal'!W743)</f>
        <v xml:space="preserve"> </v>
      </c>
      <c r="J743" s="71" t="str">
        <f>IF(ISBLANK('ALL Other SINs - Proposal'!X743)," ",'ALL Other SINs - Proposal'!X743)</f>
        <v xml:space="preserve"> </v>
      </c>
      <c r="K743" s="165" t="str">
        <f>IF(ISBLANK('ALL Other SINs - Proposal'!AA743)," ",'ALL Other SINs - Proposal'!AA743)</f>
        <v xml:space="preserve"> </v>
      </c>
      <c r="L743" s="178" t="str">
        <f>IF(ISBLANK('ALL Other SINs - Proposal'!AB743)," ",'ALL Other SINs - Proposal'!AB743)</f>
        <v xml:space="preserve"> </v>
      </c>
      <c r="M743" s="72" t="str">
        <f t="shared" si="22"/>
        <v xml:space="preserve"> </v>
      </c>
      <c r="N743" s="167" t="str">
        <f t="shared" si="23"/>
        <v xml:space="preserve"> </v>
      </c>
    </row>
    <row r="744" spans="1:14" ht="15" x14ac:dyDescent="0.25">
      <c r="A744" s="131" t="str">
        <f>IF(ISBLANK('ALL Other SINs - Proposal'!A744)," ",'ALL Other SINs - Proposal'!A744)</f>
        <v xml:space="preserve"> </v>
      </c>
      <c r="B744" s="137" t="str">
        <f>IF(ISBLANK('ALL Other SINs - Proposal'!B744)," ",'ALL Other SINs - Proposal'!B744)</f>
        <v xml:space="preserve"> </v>
      </c>
      <c r="C744" s="137" t="str">
        <f>IF(ISBLANK('ALL Other SINs - Proposal'!C744)," ",'ALL Other SINs - Proposal'!C744)</f>
        <v xml:space="preserve"> </v>
      </c>
      <c r="D744" s="138" t="str">
        <f>IF(ISBLANK('ALL Other SINs - Proposal'!D744)," ",'ALL Other SINs - Proposal'!D744)</f>
        <v xml:space="preserve"> </v>
      </c>
      <c r="E744" s="69" t="str">
        <f>IF(ISBLANK('ALL Other SINs - Proposal'!R744)," ",'ALL Other SINs - Proposal'!R744)</f>
        <v xml:space="preserve"> </v>
      </c>
      <c r="F744" s="73" t="str">
        <f>IF(ISBLANK('ALL Other SINs - Proposal'!S744)," ",'ALL Other SINs - Proposal'!S744)</f>
        <v xml:space="preserve"> </v>
      </c>
      <c r="G744" s="173" t="str">
        <f>IF(ISBLANK('ALL Other SINs - Proposal'!T744)," ",'ALL Other SINs - Proposal'!T744)</f>
        <v xml:space="preserve"> </v>
      </c>
      <c r="H744" s="275" t="str">
        <f>IF(ISBLANK('ALL Other SINs - Proposal'!V744)," ",'ALL Other SINs - Proposal'!V744)</f>
        <v xml:space="preserve"> </v>
      </c>
      <c r="I744" s="271" t="str">
        <f>IF(ISBLANK('ALL Other SINs - Proposal'!W744)," ",'ALL Other SINs - Proposal'!W744)</f>
        <v xml:space="preserve"> </v>
      </c>
      <c r="J744" s="71" t="str">
        <f>IF(ISBLANK('ALL Other SINs - Proposal'!X744)," ",'ALL Other SINs - Proposal'!X744)</f>
        <v xml:space="preserve"> </v>
      </c>
      <c r="K744" s="165" t="str">
        <f>IF(ISBLANK('ALL Other SINs - Proposal'!AA744)," ",'ALL Other SINs - Proposal'!AA744)</f>
        <v xml:space="preserve"> </v>
      </c>
      <c r="L744" s="178" t="str">
        <f>IF(ISBLANK('ALL Other SINs - Proposal'!AB744)," ",'ALL Other SINs - Proposal'!AB744)</f>
        <v xml:space="preserve"> </v>
      </c>
      <c r="M744" s="72" t="str">
        <f t="shared" si="22"/>
        <v xml:space="preserve"> </v>
      </c>
      <c r="N744" s="167" t="str">
        <f t="shared" si="23"/>
        <v xml:space="preserve"> </v>
      </c>
    </row>
    <row r="745" spans="1:14" ht="15" x14ac:dyDescent="0.25">
      <c r="A745" s="131" t="str">
        <f>IF(ISBLANK('ALL Other SINs - Proposal'!A745)," ",'ALL Other SINs - Proposal'!A745)</f>
        <v xml:space="preserve"> </v>
      </c>
      <c r="B745" s="137" t="str">
        <f>IF(ISBLANK('ALL Other SINs - Proposal'!B745)," ",'ALL Other SINs - Proposal'!B745)</f>
        <v xml:space="preserve"> </v>
      </c>
      <c r="C745" s="137" t="str">
        <f>IF(ISBLANK('ALL Other SINs - Proposal'!C745)," ",'ALL Other SINs - Proposal'!C745)</f>
        <v xml:space="preserve"> </v>
      </c>
      <c r="D745" s="138" t="str">
        <f>IF(ISBLANK('ALL Other SINs - Proposal'!D745)," ",'ALL Other SINs - Proposal'!D745)</f>
        <v xml:space="preserve"> </v>
      </c>
      <c r="E745" s="69" t="str">
        <f>IF(ISBLANK('ALL Other SINs - Proposal'!R745)," ",'ALL Other SINs - Proposal'!R745)</f>
        <v xml:space="preserve"> </v>
      </c>
      <c r="F745" s="73" t="str">
        <f>IF(ISBLANK('ALL Other SINs - Proposal'!S745)," ",'ALL Other SINs - Proposal'!S745)</f>
        <v xml:space="preserve"> </v>
      </c>
      <c r="G745" s="173" t="str">
        <f>IF(ISBLANK('ALL Other SINs - Proposal'!T745)," ",'ALL Other SINs - Proposal'!T745)</f>
        <v xml:space="preserve"> </v>
      </c>
      <c r="H745" s="275" t="str">
        <f>IF(ISBLANK('ALL Other SINs - Proposal'!V745)," ",'ALL Other SINs - Proposal'!V745)</f>
        <v xml:space="preserve"> </v>
      </c>
      <c r="I745" s="271" t="str">
        <f>IF(ISBLANK('ALL Other SINs - Proposal'!W745)," ",'ALL Other SINs - Proposal'!W745)</f>
        <v xml:space="preserve"> </v>
      </c>
      <c r="J745" s="71" t="str">
        <f>IF(ISBLANK('ALL Other SINs - Proposal'!X745)," ",'ALL Other SINs - Proposal'!X745)</f>
        <v xml:space="preserve"> </v>
      </c>
      <c r="K745" s="165" t="str">
        <f>IF(ISBLANK('ALL Other SINs - Proposal'!AA745)," ",'ALL Other SINs - Proposal'!AA745)</f>
        <v xml:space="preserve"> </v>
      </c>
      <c r="L745" s="178" t="str">
        <f>IF(ISBLANK('ALL Other SINs - Proposal'!AB745)," ",'ALL Other SINs - Proposal'!AB745)</f>
        <v xml:space="preserve"> </v>
      </c>
      <c r="M745" s="72" t="str">
        <f t="shared" si="22"/>
        <v xml:space="preserve"> </v>
      </c>
      <c r="N745" s="167" t="str">
        <f t="shared" si="23"/>
        <v xml:space="preserve"> </v>
      </c>
    </row>
    <row r="746" spans="1:14" ht="15" x14ac:dyDescent="0.25">
      <c r="A746" s="131" t="str">
        <f>IF(ISBLANK('ALL Other SINs - Proposal'!A746)," ",'ALL Other SINs - Proposal'!A746)</f>
        <v xml:space="preserve"> </v>
      </c>
      <c r="B746" s="137" t="str">
        <f>IF(ISBLANK('ALL Other SINs - Proposal'!B746)," ",'ALL Other SINs - Proposal'!B746)</f>
        <v xml:space="preserve"> </v>
      </c>
      <c r="C746" s="137" t="str">
        <f>IF(ISBLANK('ALL Other SINs - Proposal'!C746)," ",'ALL Other SINs - Proposal'!C746)</f>
        <v xml:space="preserve"> </v>
      </c>
      <c r="D746" s="138" t="str">
        <f>IF(ISBLANK('ALL Other SINs - Proposal'!D746)," ",'ALL Other SINs - Proposal'!D746)</f>
        <v xml:space="preserve"> </v>
      </c>
      <c r="E746" s="69" t="str">
        <f>IF(ISBLANK('ALL Other SINs - Proposal'!R746)," ",'ALL Other SINs - Proposal'!R746)</f>
        <v xml:space="preserve"> </v>
      </c>
      <c r="F746" s="73" t="str">
        <f>IF(ISBLANK('ALL Other SINs - Proposal'!S746)," ",'ALL Other SINs - Proposal'!S746)</f>
        <v xml:space="preserve"> </v>
      </c>
      <c r="G746" s="173" t="str">
        <f>IF(ISBLANK('ALL Other SINs - Proposal'!T746)," ",'ALL Other SINs - Proposal'!T746)</f>
        <v xml:space="preserve"> </v>
      </c>
      <c r="H746" s="275" t="str">
        <f>IF(ISBLANK('ALL Other SINs - Proposal'!V746)," ",'ALL Other SINs - Proposal'!V746)</f>
        <v xml:space="preserve"> </v>
      </c>
      <c r="I746" s="271" t="str">
        <f>IF(ISBLANK('ALL Other SINs - Proposal'!W746)," ",'ALL Other SINs - Proposal'!W746)</f>
        <v xml:space="preserve"> </v>
      </c>
      <c r="J746" s="71" t="str">
        <f>IF(ISBLANK('ALL Other SINs - Proposal'!X746)," ",'ALL Other SINs - Proposal'!X746)</f>
        <v xml:space="preserve"> </v>
      </c>
      <c r="K746" s="165" t="str">
        <f>IF(ISBLANK('ALL Other SINs - Proposal'!AA746)," ",'ALL Other SINs - Proposal'!AA746)</f>
        <v xml:space="preserve"> </v>
      </c>
      <c r="L746" s="178" t="str">
        <f>IF(ISBLANK('ALL Other SINs - Proposal'!AB746)," ",'ALL Other SINs - Proposal'!AB746)</f>
        <v xml:space="preserve"> </v>
      </c>
      <c r="M746" s="72" t="str">
        <f t="shared" si="22"/>
        <v xml:space="preserve"> </v>
      </c>
      <c r="N746" s="167" t="str">
        <f t="shared" si="23"/>
        <v xml:space="preserve"> </v>
      </c>
    </row>
    <row r="747" spans="1:14" ht="15" x14ac:dyDescent="0.25">
      <c r="A747" s="131" t="str">
        <f>IF(ISBLANK('ALL Other SINs - Proposal'!A747)," ",'ALL Other SINs - Proposal'!A747)</f>
        <v xml:space="preserve"> </v>
      </c>
      <c r="B747" s="137" t="str">
        <f>IF(ISBLANK('ALL Other SINs - Proposal'!B747)," ",'ALL Other SINs - Proposal'!B747)</f>
        <v xml:space="preserve"> </v>
      </c>
      <c r="C747" s="137" t="str">
        <f>IF(ISBLANK('ALL Other SINs - Proposal'!C747)," ",'ALL Other SINs - Proposal'!C747)</f>
        <v xml:space="preserve"> </v>
      </c>
      <c r="D747" s="138" t="str">
        <f>IF(ISBLANK('ALL Other SINs - Proposal'!D747)," ",'ALL Other SINs - Proposal'!D747)</f>
        <v xml:space="preserve"> </v>
      </c>
      <c r="E747" s="69" t="str">
        <f>IF(ISBLANK('ALL Other SINs - Proposal'!R747)," ",'ALL Other SINs - Proposal'!R747)</f>
        <v xml:space="preserve"> </v>
      </c>
      <c r="F747" s="73" t="str">
        <f>IF(ISBLANK('ALL Other SINs - Proposal'!S747)," ",'ALL Other SINs - Proposal'!S747)</f>
        <v xml:space="preserve"> </v>
      </c>
      <c r="G747" s="173" t="str">
        <f>IF(ISBLANK('ALL Other SINs - Proposal'!T747)," ",'ALL Other SINs - Proposal'!T747)</f>
        <v xml:space="preserve"> </v>
      </c>
      <c r="H747" s="275" t="str">
        <f>IF(ISBLANK('ALL Other SINs - Proposal'!V747)," ",'ALL Other SINs - Proposal'!V747)</f>
        <v xml:space="preserve"> </v>
      </c>
      <c r="I747" s="271" t="str">
        <f>IF(ISBLANK('ALL Other SINs - Proposal'!W747)," ",'ALL Other SINs - Proposal'!W747)</f>
        <v xml:space="preserve"> </v>
      </c>
      <c r="J747" s="71" t="str">
        <f>IF(ISBLANK('ALL Other SINs - Proposal'!X747)," ",'ALL Other SINs - Proposal'!X747)</f>
        <v xml:space="preserve"> </v>
      </c>
      <c r="K747" s="165" t="str">
        <f>IF(ISBLANK('ALL Other SINs - Proposal'!AA747)," ",'ALL Other SINs - Proposal'!AA747)</f>
        <v xml:space="preserve"> </v>
      </c>
      <c r="L747" s="178" t="str">
        <f>IF(ISBLANK('ALL Other SINs - Proposal'!AB747)," ",'ALL Other SINs - Proposal'!AB747)</f>
        <v xml:space="preserve"> </v>
      </c>
      <c r="M747" s="72" t="str">
        <f t="shared" si="22"/>
        <v xml:space="preserve"> </v>
      </c>
      <c r="N747" s="167" t="str">
        <f t="shared" si="23"/>
        <v xml:space="preserve"> </v>
      </c>
    </row>
    <row r="748" spans="1:14" ht="15" x14ac:dyDescent="0.25">
      <c r="A748" s="131" t="str">
        <f>IF(ISBLANK('ALL Other SINs - Proposal'!A748)," ",'ALL Other SINs - Proposal'!A748)</f>
        <v xml:space="preserve"> </v>
      </c>
      <c r="B748" s="137" t="str">
        <f>IF(ISBLANK('ALL Other SINs - Proposal'!B748)," ",'ALL Other SINs - Proposal'!B748)</f>
        <v xml:space="preserve"> </v>
      </c>
      <c r="C748" s="137" t="str">
        <f>IF(ISBLANK('ALL Other SINs - Proposal'!C748)," ",'ALL Other SINs - Proposal'!C748)</f>
        <v xml:space="preserve"> </v>
      </c>
      <c r="D748" s="138" t="str">
        <f>IF(ISBLANK('ALL Other SINs - Proposal'!D748)," ",'ALL Other SINs - Proposal'!D748)</f>
        <v xml:space="preserve"> </v>
      </c>
      <c r="E748" s="69" t="str">
        <f>IF(ISBLANK('ALL Other SINs - Proposal'!R748)," ",'ALL Other SINs - Proposal'!R748)</f>
        <v xml:space="preserve"> </v>
      </c>
      <c r="F748" s="73" t="str">
        <f>IF(ISBLANK('ALL Other SINs - Proposal'!S748)," ",'ALL Other SINs - Proposal'!S748)</f>
        <v xml:space="preserve"> </v>
      </c>
      <c r="G748" s="173" t="str">
        <f>IF(ISBLANK('ALL Other SINs - Proposal'!T748)," ",'ALL Other SINs - Proposal'!T748)</f>
        <v xml:space="preserve"> </v>
      </c>
      <c r="H748" s="275" t="str">
        <f>IF(ISBLANK('ALL Other SINs - Proposal'!V748)," ",'ALL Other SINs - Proposal'!V748)</f>
        <v xml:space="preserve"> </v>
      </c>
      <c r="I748" s="271" t="str">
        <f>IF(ISBLANK('ALL Other SINs - Proposal'!W748)," ",'ALL Other SINs - Proposal'!W748)</f>
        <v xml:space="preserve"> </v>
      </c>
      <c r="J748" s="71" t="str">
        <f>IF(ISBLANK('ALL Other SINs - Proposal'!X748)," ",'ALL Other SINs - Proposal'!X748)</f>
        <v xml:space="preserve"> </v>
      </c>
      <c r="K748" s="165" t="str">
        <f>IF(ISBLANK('ALL Other SINs - Proposal'!AA748)," ",'ALL Other SINs - Proposal'!AA748)</f>
        <v xml:space="preserve"> </v>
      </c>
      <c r="L748" s="178" t="str">
        <f>IF(ISBLANK('ALL Other SINs - Proposal'!AB748)," ",'ALL Other SINs - Proposal'!AB748)</f>
        <v xml:space="preserve"> </v>
      </c>
      <c r="M748" s="72" t="str">
        <f t="shared" si="22"/>
        <v xml:space="preserve"> </v>
      </c>
      <c r="N748" s="167" t="str">
        <f t="shared" si="23"/>
        <v xml:space="preserve"> </v>
      </c>
    </row>
    <row r="749" spans="1:14" ht="15" x14ac:dyDescent="0.25">
      <c r="A749" s="131" t="str">
        <f>IF(ISBLANK('ALL Other SINs - Proposal'!A749)," ",'ALL Other SINs - Proposal'!A749)</f>
        <v xml:space="preserve"> </v>
      </c>
      <c r="B749" s="137" t="str">
        <f>IF(ISBLANK('ALL Other SINs - Proposal'!B749)," ",'ALL Other SINs - Proposal'!B749)</f>
        <v xml:space="preserve"> </v>
      </c>
      <c r="C749" s="137" t="str">
        <f>IF(ISBLANK('ALL Other SINs - Proposal'!C749)," ",'ALL Other SINs - Proposal'!C749)</f>
        <v xml:space="preserve"> </v>
      </c>
      <c r="D749" s="138" t="str">
        <f>IF(ISBLANK('ALL Other SINs - Proposal'!D749)," ",'ALL Other SINs - Proposal'!D749)</f>
        <v xml:space="preserve"> </v>
      </c>
      <c r="E749" s="69" t="str">
        <f>IF(ISBLANK('ALL Other SINs - Proposal'!R749)," ",'ALL Other SINs - Proposal'!R749)</f>
        <v xml:space="preserve"> </v>
      </c>
      <c r="F749" s="73" t="str">
        <f>IF(ISBLANK('ALL Other SINs - Proposal'!S749)," ",'ALL Other SINs - Proposal'!S749)</f>
        <v xml:space="preserve"> </v>
      </c>
      <c r="G749" s="173" t="str">
        <f>IF(ISBLANK('ALL Other SINs - Proposal'!T749)," ",'ALL Other SINs - Proposal'!T749)</f>
        <v xml:space="preserve"> </v>
      </c>
      <c r="H749" s="275" t="str">
        <f>IF(ISBLANK('ALL Other SINs - Proposal'!V749)," ",'ALL Other SINs - Proposal'!V749)</f>
        <v xml:space="preserve"> </v>
      </c>
      <c r="I749" s="271" t="str">
        <f>IF(ISBLANK('ALL Other SINs - Proposal'!W749)," ",'ALL Other SINs - Proposal'!W749)</f>
        <v xml:space="preserve"> </v>
      </c>
      <c r="J749" s="71" t="str">
        <f>IF(ISBLANK('ALL Other SINs - Proposal'!X749)," ",'ALL Other SINs - Proposal'!X749)</f>
        <v xml:space="preserve"> </v>
      </c>
      <c r="K749" s="165" t="str">
        <f>IF(ISBLANK('ALL Other SINs - Proposal'!AA749)," ",'ALL Other SINs - Proposal'!AA749)</f>
        <v xml:space="preserve"> </v>
      </c>
      <c r="L749" s="178" t="str">
        <f>IF(ISBLANK('ALL Other SINs - Proposal'!AB749)," ",'ALL Other SINs - Proposal'!AB749)</f>
        <v xml:space="preserve"> </v>
      </c>
      <c r="M749" s="72" t="str">
        <f t="shared" si="22"/>
        <v xml:space="preserve"> </v>
      </c>
      <c r="N749" s="167" t="str">
        <f t="shared" si="23"/>
        <v xml:space="preserve"> </v>
      </c>
    </row>
    <row r="750" spans="1:14" ht="15" x14ac:dyDescent="0.25">
      <c r="A750" s="131" t="str">
        <f>IF(ISBLANK('ALL Other SINs - Proposal'!A750)," ",'ALL Other SINs - Proposal'!A750)</f>
        <v xml:space="preserve"> </v>
      </c>
      <c r="B750" s="137" t="str">
        <f>IF(ISBLANK('ALL Other SINs - Proposal'!B750)," ",'ALL Other SINs - Proposal'!B750)</f>
        <v xml:space="preserve"> </v>
      </c>
      <c r="C750" s="137" t="str">
        <f>IF(ISBLANK('ALL Other SINs - Proposal'!C750)," ",'ALL Other SINs - Proposal'!C750)</f>
        <v xml:space="preserve"> </v>
      </c>
      <c r="D750" s="138" t="str">
        <f>IF(ISBLANK('ALL Other SINs - Proposal'!D750)," ",'ALL Other SINs - Proposal'!D750)</f>
        <v xml:space="preserve"> </v>
      </c>
      <c r="E750" s="69" t="str">
        <f>IF(ISBLANK('ALL Other SINs - Proposal'!R750)," ",'ALL Other SINs - Proposal'!R750)</f>
        <v xml:space="preserve"> </v>
      </c>
      <c r="F750" s="73" t="str">
        <f>IF(ISBLANK('ALL Other SINs - Proposal'!S750)," ",'ALL Other SINs - Proposal'!S750)</f>
        <v xml:space="preserve"> </v>
      </c>
      <c r="G750" s="173" t="str">
        <f>IF(ISBLANK('ALL Other SINs - Proposal'!T750)," ",'ALL Other SINs - Proposal'!T750)</f>
        <v xml:space="preserve"> </v>
      </c>
      <c r="H750" s="275" t="str">
        <f>IF(ISBLANK('ALL Other SINs - Proposal'!V750)," ",'ALL Other SINs - Proposal'!V750)</f>
        <v xml:space="preserve"> </v>
      </c>
      <c r="I750" s="271" t="str">
        <f>IF(ISBLANK('ALL Other SINs - Proposal'!W750)," ",'ALL Other SINs - Proposal'!W750)</f>
        <v xml:space="preserve"> </v>
      </c>
      <c r="J750" s="71" t="str">
        <f>IF(ISBLANK('ALL Other SINs - Proposal'!X750)," ",'ALL Other SINs - Proposal'!X750)</f>
        <v xml:space="preserve"> </v>
      </c>
      <c r="K750" s="165" t="str">
        <f>IF(ISBLANK('ALL Other SINs - Proposal'!AA750)," ",'ALL Other SINs - Proposal'!AA750)</f>
        <v xml:space="preserve"> </v>
      </c>
      <c r="L750" s="178" t="str">
        <f>IF(ISBLANK('ALL Other SINs - Proposal'!AB750)," ",'ALL Other SINs - Proposal'!AB750)</f>
        <v xml:space="preserve"> </v>
      </c>
      <c r="M750" s="72" t="str">
        <f t="shared" si="22"/>
        <v xml:space="preserve"> </v>
      </c>
      <c r="N750" s="167" t="str">
        <f t="shared" si="23"/>
        <v xml:space="preserve"> </v>
      </c>
    </row>
    <row r="751" spans="1:14" ht="15" x14ac:dyDescent="0.25">
      <c r="A751" s="131" t="str">
        <f>IF(ISBLANK('ALL Other SINs - Proposal'!A751)," ",'ALL Other SINs - Proposal'!A751)</f>
        <v xml:space="preserve"> </v>
      </c>
      <c r="B751" s="137" t="str">
        <f>IF(ISBLANK('ALL Other SINs - Proposal'!B751)," ",'ALL Other SINs - Proposal'!B751)</f>
        <v xml:space="preserve"> </v>
      </c>
      <c r="C751" s="137" t="str">
        <f>IF(ISBLANK('ALL Other SINs - Proposal'!C751)," ",'ALL Other SINs - Proposal'!C751)</f>
        <v xml:space="preserve"> </v>
      </c>
      <c r="D751" s="138" t="str">
        <f>IF(ISBLANK('ALL Other SINs - Proposal'!D751)," ",'ALL Other SINs - Proposal'!D751)</f>
        <v xml:space="preserve"> </v>
      </c>
      <c r="E751" s="69" t="str">
        <f>IF(ISBLANK('ALL Other SINs - Proposal'!R751)," ",'ALL Other SINs - Proposal'!R751)</f>
        <v xml:space="preserve"> </v>
      </c>
      <c r="F751" s="73" t="str">
        <f>IF(ISBLANK('ALL Other SINs - Proposal'!S751)," ",'ALL Other SINs - Proposal'!S751)</f>
        <v xml:space="preserve"> </v>
      </c>
      <c r="G751" s="173" t="str">
        <f>IF(ISBLANK('ALL Other SINs - Proposal'!T751)," ",'ALL Other SINs - Proposal'!T751)</f>
        <v xml:space="preserve"> </v>
      </c>
      <c r="H751" s="275" t="str">
        <f>IF(ISBLANK('ALL Other SINs - Proposal'!V751)," ",'ALL Other SINs - Proposal'!V751)</f>
        <v xml:space="preserve"> </v>
      </c>
      <c r="I751" s="271" t="str">
        <f>IF(ISBLANK('ALL Other SINs - Proposal'!W751)," ",'ALL Other SINs - Proposal'!W751)</f>
        <v xml:space="preserve"> </v>
      </c>
      <c r="J751" s="71" t="str">
        <f>IF(ISBLANK('ALL Other SINs - Proposal'!X751)," ",'ALL Other SINs - Proposal'!X751)</f>
        <v xml:space="preserve"> </v>
      </c>
      <c r="K751" s="165" t="str">
        <f>IF(ISBLANK('ALL Other SINs - Proposal'!AA751)," ",'ALL Other SINs - Proposal'!AA751)</f>
        <v xml:space="preserve"> </v>
      </c>
      <c r="L751" s="178" t="str">
        <f>IF(ISBLANK('ALL Other SINs - Proposal'!AB751)," ",'ALL Other SINs - Proposal'!AB751)</f>
        <v xml:space="preserve"> </v>
      </c>
      <c r="M751" s="72" t="str">
        <f t="shared" si="22"/>
        <v xml:space="preserve"> </v>
      </c>
      <c r="N751" s="167" t="str">
        <f t="shared" si="23"/>
        <v xml:space="preserve"> </v>
      </c>
    </row>
    <row r="752" spans="1:14" ht="15" x14ac:dyDescent="0.25">
      <c r="A752" s="131" t="str">
        <f>IF(ISBLANK('ALL Other SINs - Proposal'!A752)," ",'ALL Other SINs - Proposal'!A752)</f>
        <v xml:space="preserve"> </v>
      </c>
      <c r="B752" s="137" t="str">
        <f>IF(ISBLANK('ALL Other SINs - Proposal'!B752)," ",'ALL Other SINs - Proposal'!B752)</f>
        <v xml:space="preserve"> </v>
      </c>
      <c r="C752" s="137" t="str">
        <f>IF(ISBLANK('ALL Other SINs - Proposal'!C752)," ",'ALL Other SINs - Proposal'!C752)</f>
        <v xml:space="preserve"> </v>
      </c>
      <c r="D752" s="138" t="str">
        <f>IF(ISBLANK('ALL Other SINs - Proposal'!D752)," ",'ALL Other SINs - Proposal'!D752)</f>
        <v xml:space="preserve"> </v>
      </c>
      <c r="E752" s="69" t="str">
        <f>IF(ISBLANK('ALL Other SINs - Proposal'!R752)," ",'ALL Other SINs - Proposal'!R752)</f>
        <v xml:space="preserve"> </v>
      </c>
      <c r="F752" s="73" t="str">
        <f>IF(ISBLANK('ALL Other SINs - Proposal'!S752)," ",'ALL Other SINs - Proposal'!S752)</f>
        <v xml:space="preserve"> </v>
      </c>
      <c r="G752" s="173" t="str">
        <f>IF(ISBLANK('ALL Other SINs - Proposal'!T752)," ",'ALL Other SINs - Proposal'!T752)</f>
        <v xml:space="preserve"> </v>
      </c>
      <c r="H752" s="275" t="str">
        <f>IF(ISBLANK('ALL Other SINs - Proposal'!V752)," ",'ALL Other SINs - Proposal'!V752)</f>
        <v xml:space="preserve"> </v>
      </c>
      <c r="I752" s="271" t="str">
        <f>IF(ISBLANK('ALL Other SINs - Proposal'!W752)," ",'ALL Other SINs - Proposal'!W752)</f>
        <v xml:space="preserve"> </v>
      </c>
      <c r="J752" s="71" t="str">
        <f>IF(ISBLANK('ALL Other SINs - Proposal'!X752)," ",'ALL Other SINs - Proposal'!X752)</f>
        <v xml:space="preserve"> </v>
      </c>
      <c r="K752" s="165" t="str">
        <f>IF(ISBLANK('ALL Other SINs - Proposal'!AA752)," ",'ALL Other SINs - Proposal'!AA752)</f>
        <v xml:space="preserve"> </v>
      </c>
      <c r="L752" s="178" t="str">
        <f>IF(ISBLANK('ALL Other SINs - Proposal'!AB752)," ",'ALL Other SINs - Proposal'!AB752)</f>
        <v xml:space="preserve"> </v>
      </c>
      <c r="M752" s="72" t="str">
        <f t="shared" si="22"/>
        <v xml:space="preserve"> </v>
      </c>
      <c r="N752" s="167" t="str">
        <f t="shared" si="23"/>
        <v xml:space="preserve"> </v>
      </c>
    </row>
    <row r="753" spans="1:14" ht="15" x14ac:dyDescent="0.25">
      <c r="A753" s="131" t="str">
        <f>IF(ISBLANK('ALL Other SINs - Proposal'!A753)," ",'ALL Other SINs - Proposal'!A753)</f>
        <v xml:space="preserve"> </v>
      </c>
      <c r="B753" s="137" t="str">
        <f>IF(ISBLANK('ALL Other SINs - Proposal'!B753)," ",'ALL Other SINs - Proposal'!B753)</f>
        <v xml:space="preserve"> </v>
      </c>
      <c r="C753" s="137" t="str">
        <f>IF(ISBLANK('ALL Other SINs - Proposal'!C753)," ",'ALL Other SINs - Proposal'!C753)</f>
        <v xml:space="preserve"> </v>
      </c>
      <c r="D753" s="138" t="str">
        <f>IF(ISBLANK('ALL Other SINs - Proposal'!D753)," ",'ALL Other SINs - Proposal'!D753)</f>
        <v xml:space="preserve"> </v>
      </c>
      <c r="E753" s="69" t="str">
        <f>IF(ISBLANK('ALL Other SINs - Proposal'!R753)," ",'ALL Other SINs - Proposal'!R753)</f>
        <v xml:space="preserve"> </v>
      </c>
      <c r="F753" s="73" t="str">
        <f>IF(ISBLANK('ALL Other SINs - Proposal'!S753)," ",'ALL Other SINs - Proposal'!S753)</f>
        <v xml:space="preserve"> </v>
      </c>
      <c r="G753" s="173" t="str">
        <f>IF(ISBLANK('ALL Other SINs - Proposal'!T753)," ",'ALL Other SINs - Proposal'!T753)</f>
        <v xml:space="preserve"> </v>
      </c>
      <c r="H753" s="275" t="str">
        <f>IF(ISBLANK('ALL Other SINs - Proposal'!V753)," ",'ALL Other SINs - Proposal'!V753)</f>
        <v xml:space="preserve"> </v>
      </c>
      <c r="I753" s="271" t="str">
        <f>IF(ISBLANK('ALL Other SINs - Proposal'!W753)," ",'ALL Other SINs - Proposal'!W753)</f>
        <v xml:space="preserve"> </v>
      </c>
      <c r="J753" s="71" t="str">
        <f>IF(ISBLANK('ALL Other SINs - Proposal'!X753)," ",'ALL Other SINs - Proposal'!X753)</f>
        <v xml:space="preserve"> </v>
      </c>
      <c r="K753" s="165" t="str">
        <f>IF(ISBLANK('ALL Other SINs - Proposal'!AA753)," ",'ALL Other SINs - Proposal'!AA753)</f>
        <v xml:space="preserve"> </v>
      </c>
      <c r="L753" s="178" t="str">
        <f>IF(ISBLANK('ALL Other SINs - Proposal'!AB753)," ",'ALL Other SINs - Proposal'!AB753)</f>
        <v xml:space="preserve"> </v>
      </c>
      <c r="M753" s="72" t="str">
        <f t="shared" si="22"/>
        <v xml:space="preserve"> </v>
      </c>
      <c r="N753" s="167" t="str">
        <f t="shared" si="23"/>
        <v xml:space="preserve"> </v>
      </c>
    </row>
    <row r="754" spans="1:14" ht="15" x14ac:dyDescent="0.25">
      <c r="A754" s="131" t="str">
        <f>IF(ISBLANK('ALL Other SINs - Proposal'!A754)," ",'ALL Other SINs - Proposal'!A754)</f>
        <v xml:space="preserve"> </v>
      </c>
      <c r="B754" s="137" t="str">
        <f>IF(ISBLANK('ALL Other SINs - Proposal'!B754)," ",'ALL Other SINs - Proposal'!B754)</f>
        <v xml:space="preserve"> </v>
      </c>
      <c r="C754" s="137" t="str">
        <f>IF(ISBLANK('ALL Other SINs - Proposal'!C754)," ",'ALL Other SINs - Proposal'!C754)</f>
        <v xml:space="preserve"> </v>
      </c>
      <c r="D754" s="138" t="str">
        <f>IF(ISBLANK('ALL Other SINs - Proposal'!D754)," ",'ALL Other SINs - Proposal'!D754)</f>
        <v xml:space="preserve"> </v>
      </c>
      <c r="E754" s="69" t="str">
        <f>IF(ISBLANK('ALL Other SINs - Proposal'!R754)," ",'ALL Other SINs - Proposal'!R754)</f>
        <v xml:space="preserve"> </v>
      </c>
      <c r="F754" s="73" t="str">
        <f>IF(ISBLANK('ALL Other SINs - Proposal'!S754)," ",'ALL Other SINs - Proposal'!S754)</f>
        <v xml:space="preserve"> </v>
      </c>
      <c r="G754" s="173" t="str">
        <f>IF(ISBLANK('ALL Other SINs - Proposal'!T754)," ",'ALL Other SINs - Proposal'!T754)</f>
        <v xml:space="preserve"> </v>
      </c>
      <c r="H754" s="275" t="str">
        <f>IF(ISBLANK('ALL Other SINs - Proposal'!V754)," ",'ALL Other SINs - Proposal'!V754)</f>
        <v xml:space="preserve"> </v>
      </c>
      <c r="I754" s="271" t="str">
        <f>IF(ISBLANK('ALL Other SINs - Proposal'!W754)," ",'ALL Other SINs - Proposal'!W754)</f>
        <v xml:space="preserve"> </v>
      </c>
      <c r="J754" s="71" t="str">
        <f>IF(ISBLANK('ALL Other SINs - Proposal'!X754)," ",'ALL Other SINs - Proposal'!X754)</f>
        <v xml:space="preserve"> </v>
      </c>
      <c r="K754" s="165" t="str">
        <f>IF(ISBLANK('ALL Other SINs - Proposal'!AA754)," ",'ALL Other SINs - Proposal'!AA754)</f>
        <v xml:space="preserve"> </v>
      </c>
      <c r="L754" s="178" t="str">
        <f>IF(ISBLANK('ALL Other SINs - Proposal'!AB754)," ",'ALL Other SINs - Proposal'!AB754)</f>
        <v xml:space="preserve"> </v>
      </c>
      <c r="M754" s="72" t="str">
        <f t="shared" si="22"/>
        <v xml:space="preserve"> </v>
      </c>
      <c r="N754" s="167" t="str">
        <f t="shared" si="23"/>
        <v xml:space="preserve"> </v>
      </c>
    </row>
    <row r="755" spans="1:14" ht="15" x14ac:dyDescent="0.25">
      <c r="A755" s="131" t="str">
        <f>IF(ISBLANK('ALL Other SINs - Proposal'!A755)," ",'ALL Other SINs - Proposal'!A755)</f>
        <v xml:space="preserve"> </v>
      </c>
      <c r="B755" s="137" t="str">
        <f>IF(ISBLANK('ALL Other SINs - Proposal'!B755)," ",'ALL Other SINs - Proposal'!B755)</f>
        <v xml:space="preserve"> </v>
      </c>
      <c r="C755" s="137" t="str">
        <f>IF(ISBLANK('ALL Other SINs - Proposal'!C755)," ",'ALL Other SINs - Proposal'!C755)</f>
        <v xml:space="preserve"> </v>
      </c>
      <c r="D755" s="138" t="str">
        <f>IF(ISBLANK('ALL Other SINs - Proposal'!D755)," ",'ALL Other SINs - Proposal'!D755)</f>
        <v xml:space="preserve"> </v>
      </c>
      <c r="E755" s="69" t="str">
        <f>IF(ISBLANK('ALL Other SINs - Proposal'!R755)," ",'ALL Other SINs - Proposal'!R755)</f>
        <v xml:space="preserve"> </v>
      </c>
      <c r="F755" s="73" t="str">
        <f>IF(ISBLANK('ALL Other SINs - Proposal'!S755)," ",'ALL Other SINs - Proposal'!S755)</f>
        <v xml:space="preserve"> </v>
      </c>
      <c r="G755" s="173" t="str">
        <f>IF(ISBLANK('ALL Other SINs - Proposal'!T755)," ",'ALL Other SINs - Proposal'!T755)</f>
        <v xml:space="preserve"> </v>
      </c>
      <c r="H755" s="275" t="str">
        <f>IF(ISBLANK('ALL Other SINs - Proposal'!V755)," ",'ALL Other SINs - Proposal'!V755)</f>
        <v xml:space="preserve"> </v>
      </c>
      <c r="I755" s="271" t="str">
        <f>IF(ISBLANK('ALL Other SINs - Proposal'!W755)," ",'ALL Other SINs - Proposal'!W755)</f>
        <v xml:space="preserve"> </v>
      </c>
      <c r="J755" s="71" t="str">
        <f>IF(ISBLANK('ALL Other SINs - Proposal'!X755)," ",'ALL Other SINs - Proposal'!X755)</f>
        <v xml:space="preserve"> </v>
      </c>
      <c r="K755" s="165" t="str">
        <f>IF(ISBLANK('ALL Other SINs - Proposal'!AA755)," ",'ALL Other SINs - Proposal'!AA755)</f>
        <v xml:space="preserve"> </v>
      </c>
      <c r="L755" s="178" t="str">
        <f>IF(ISBLANK('ALL Other SINs - Proposal'!AB755)," ",'ALL Other SINs - Proposal'!AB755)</f>
        <v xml:space="preserve"> </v>
      </c>
      <c r="M755" s="72" t="str">
        <f t="shared" si="22"/>
        <v xml:space="preserve"> </v>
      </c>
      <c r="N755" s="167" t="str">
        <f t="shared" si="23"/>
        <v xml:space="preserve"> </v>
      </c>
    </row>
    <row r="756" spans="1:14" ht="15" x14ac:dyDescent="0.25">
      <c r="A756" s="131" t="str">
        <f>IF(ISBLANK('ALL Other SINs - Proposal'!A756)," ",'ALL Other SINs - Proposal'!A756)</f>
        <v xml:space="preserve"> </v>
      </c>
      <c r="B756" s="137" t="str">
        <f>IF(ISBLANK('ALL Other SINs - Proposal'!B756)," ",'ALL Other SINs - Proposal'!B756)</f>
        <v xml:space="preserve"> </v>
      </c>
      <c r="C756" s="137" t="str">
        <f>IF(ISBLANK('ALL Other SINs - Proposal'!C756)," ",'ALL Other SINs - Proposal'!C756)</f>
        <v xml:space="preserve"> </v>
      </c>
      <c r="D756" s="138" t="str">
        <f>IF(ISBLANK('ALL Other SINs - Proposal'!D756)," ",'ALL Other SINs - Proposal'!D756)</f>
        <v xml:space="preserve"> </v>
      </c>
      <c r="E756" s="69" t="str">
        <f>IF(ISBLANK('ALL Other SINs - Proposal'!R756)," ",'ALL Other SINs - Proposal'!R756)</f>
        <v xml:space="preserve"> </v>
      </c>
      <c r="F756" s="73" t="str">
        <f>IF(ISBLANK('ALL Other SINs - Proposal'!S756)," ",'ALL Other SINs - Proposal'!S756)</f>
        <v xml:space="preserve"> </v>
      </c>
      <c r="G756" s="173" t="str">
        <f>IF(ISBLANK('ALL Other SINs - Proposal'!T756)," ",'ALL Other SINs - Proposal'!T756)</f>
        <v xml:space="preserve"> </v>
      </c>
      <c r="H756" s="275" t="str">
        <f>IF(ISBLANK('ALL Other SINs - Proposal'!V756)," ",'ALL Other SINs - Proposal'!V756)</f>
        <v xml:space="preserve"> </v>
      </c>
      <c r="I756" s="271" t="str">
        <f>IF(ISBLANK('ALL Other SINs - Proposal'!W756)," ",'ALL Other SINs - Proposal'!W756)</f>
        <v xml:space="preserve"> </v>
      </c>
      <c r="J756" s="71" t="str">
        <f>IF(ISBLANK('ALL Other SINs - Proposal'!X756)," ",'ALL Other SINs - Proposal'!X756)</f>
        <v xml:space="preserve"> </v>
      </c>
      <c r="K756" s="165" t="str">
        <f>IF(ISBLANK('ALL Other SINs - Proposal'!AA756)," ",'ALL Other SINs - Proposal'!AA756)</f>
        <v xml:space="preserve"> </v>
      </c>
      <c r="L756" s="178" t="str">
        <f>IF(ISBLANK('ALL Other SINs - Proposal'!AB756)," ",'ALL Other SINs - Proposal'!AB756)</f>
        <v xml:space="preserve"> </v>
      </c>
      <c r="M756" s="72" t="str">
        <f t="shared" si="22"/>
        <v xml:space="preserve"> </v>
      </c>
      <c r="N756" s="167" t="str">
        <f t="shared" si="23"/>
        <v xml:space="preserve"> </v>
      </c>
    </row>
    <row r="757" spans="1:14" ht="15" x14ac:dyDescent="0.25">
      <c r="A757" s="131" t="str">
        <f>IF(ISBLANK('ALL Other SINs - Proposal'!A757)," ",'ALL Other SINs - Proposal'!A757)</f>
        <v xml:space="preserve"> </v>
      </c>
      <c r="B757" s="137" t="str">
        <f>IF(ISBLANK('ALL Other SINs - Proposal'!B757)," ",'ALL Other SINs - Proposal'!B757)</f>
        <v xml:space="preserve"> </v>
      </c>
      <c r="C757" s="137" t="str">
        <f>IF(ISBLANK('ALL Other SINs - Proposal'!C757)," ",'ALL Other SINs - Proposal'!C757)</f>
        <v xml:space="preserve"> </v>
      </c>
      <c r="D757" s="138" t="str">
        <f>IF(ISBLANK('ALL Other SINs - Proposal'!D757)," ",'ALL Other SINs - Proposal'!D757)</f>
        <v xml:space="preserve"> </v>
      </c>
      <c r="E757" s="69" t="str">
        <f>IF(ISBLANK('ALL Other SINs - Proposal'!R757)," ",'ALL Other SINs - Proposal'!R757)</f>
        <v xml:space="preserve"> </v>
      </c>
      <c r="F757" s="73" t="str">
        <f>IF(ISBLANK('ALL Other SINs - Proposal'!S757)," ",'ALL Other SINs - Proposal'!S757)</f>
        <v xml:space="preserve"> </v>
      </c>
      <c r="G757" s="173" t="str">
        <f>IF(ISBLANK('ALL Other SINs - Proposal'!T757)," ",'ALL Other SINs - Proposal'!T757)</f>
        <v xml:space="preserve"> </v>
      </c>
      <c r="H757" s="275" t="str">
        <f>IF(ISBLANK('ALL Other SINs - Proposal'!V757)," ",'ALL Other SINs - Proposal'!V757)</f>
        <v xml:space="preserve"> </v>
      </c>
      <c r="I757" s="271" t="str">
        <f>IF(ISBLANK('ALL Other SINs - Proposal'!W757)," ",'ALL Other SINs - Proposal'!W757)</f>
        <v xml:space="preserve"> </v>
      </c>
      <c r="J757" s="71" t="str">
        <f>IF(ISBLANK('ALL Other SINs - Proposal'!X757)," ",'ALL Other SINs - Proposal'!X757)</f>
        <v xml:space="preserve"> </v>
      </c>
      <c r="K757" s="165" t="str">
        <f>IF(ISBLANK('ALL Other SINs - Proposal'!AA757)," ",'ALL Other SINs - Proposal'!AA757)</f>
        <v xml:space="preserve"> </v>
      </c>
      <c r="L757" s="178" t="str">
        <f>IF(ISBLANK('ALL Other SINs - Proposal'!AB757)," ",'ALL Other SINs - Proposal'!AB757)</f>
        <v xml:space="preserve"> </v>
      </c>
      <c r="M757" s="72" t="str">
        <f t="shared" si="22"/>
        <v xml:space="preserve"> </v>
      </c>
      <c r="N757" s="167" t="str">
        <f t="shared" si="23"/>
        <v xml:space="preserve"> </v>
      </c>
    </row>
    <row r="758" spans="1:14" ht="15" x14ac:dyDescent="0.25">
      <c r="A758" s="131" t="str">
        <f>IF(ISBLANK('ALL Other SINs - Proposal'!A758)," ",'ALL Other SINs - Proposal'!A758)</f>
        <v xml:space="preserve"> </v>
      </c>
      <c r="B758" s="137" t="str">
        <f>IF(ISBLANK('ALL Other SINs - Proposal'!B758)," ",'ALL Other SINs - Proposal'!B758)</f>
        <v xml:space="preserve"> </v>
      </c>
      <c r="C758" s="137" t="str">
        <f>IF(ISBLANK('ALL Other SINs - Proposal'!C758)," ",'ALL Other SINs - Proposal'!C758)</f>
        <v xml:space="preserve"> </v>
      </c>
      <c r="D758" s="138" t="str">
        <f>IF(ISBLANK('ALL Other SINs - Proposal'!D758)," ",'ALL Other SINs - Proposal'!D758)</f>
        <v xml:space="preserve"> </v>
      </c>
      <c r="E758" s="69" t="str">
        <f>IF(ISBLANK('ALL Other SINs - Proposal'!R758)," ",'ALL Other SINs - Proposal'!R758)</f>
        <v xml:space="preserve"> </v>
      </c>
      <c r="F758" s="73" t="str">
        <f>IF(ISBLANK('ALL Other SINs - Proposal'!S758)," ",'ALL Other SINs - Proposal'!S758)</f>
        <v xml:space="preserve"> </v>
      </c>
      <c r="G758" s="173" t="str">
        <f>IF(ISBLANK('ALL Other SINs - Proposal'!T758)," ",'ALL Other SINs - Proposal'!T758)</f>
        <v xml:space="preserve"> </v>
      </c>
      <c r="H758" s="275" t="str">
        <f>IF(ISBLANK('ALL Other SINs - Proposal'!V758)," ",'ALL Other SINs - Proposal'!V758)</f>
        <v xml:space="preserve"> </v>
      </c>
      <c r="I758" s="271" t="str">
        <f>IF(ISBLANK('ALL Other SINs - Proposal'!W758)," ",'ALL Other SINs - Proposal'!W758)</f>
        <v xml:space="preserve"> </v>
      </c>
      <c r="J758" s="71" t="str">
        <f>IF(ISBLANK('ALL Other SINs - Proposal'!X758)," ",'ALL Other SINs - Proposal'!X758)</f>
        <v xml:space="preserve"> </v>
      </c>
      <c r="K758" s="165" t="str">
        <f>IF(ISBLANK('ALL Other SINs - Proposal'!AA758)," ",'ALL Other SINs - Proposal'!AA758)</f>
        <v xml:space="preserve"> </v>
      </c>
      <c r="L758" s="178" t="str">
        <f>IF(ISBLANK('ALL Other SINs - Proposal'!AB758)," ",'ALL Other SINs - Proposal'!AB758)</f>
        <v xml:space="preserve"> </v>
      </c>
      <c r="M758" s="72" t="str">
        <f t="shared" si="22"/>
        <v xml:space="preserve"> </v>
      </c>
      <c r="N758" s="167" t="str">
        <f t="shared" si="23"/>
        <v xml:space="preserve"> </v>
      </c>
    </row>
    <row r="759" spans="1:14" ht="15" x14ac:dyDescent="0.25">
      <c r="A759" s="131" t="str">
        <f>IF(ISBLANK('ALL Other SINs - Proposal'!A759)," ",'ALL Other SINs - Proposal'!A759)</f>
        <v xml:space="preserve"> </v>
      </c>
      <c r="B759" s="137" t="str">
        <f>IF(ISBLANK('ALL Other SINs - Proposal'!B759)," ",'ALL Other SINs - Proposal'!B759)</f>
        <v xml:space="preserve"> </v>
      </c>
      <c r="C759" s="137" t="str">
        <f>IF(ISBLANK('ALL Other SINs - Proposal'!C759)," ",'ALL Other SINs - Proposal'!C759)</f>
        <v xml:space="preserve"> </v>
      </c>
      <c r="D759" s="138" t="str">
        <f>IF(ISBLANK('ALL Other SINs - Proposal'!D759)," ",'ALL Other SINs - Proposal'!D759)</f>
        <v xml:space="preserve"> </v>
      </c>
      <c r="E759" s="69" t="str">
        <f>IF(ISBLANK('ALL Other SINs - Proposal'!R759)," ",'ALL Other SINs - Proposal'!R759)</f>
        <v xml:space="preserve"> </v>
      </c>
      <c r="F759" s="73" t="str">
        <f>IF(ISBLANK('ALL Other SINs - Proposal'!S759)," ",'ALL Other SINs - Proposal'!S759)</f>
        <v xml:space="preserve"> </v>
      </c>
      <c r="G759" s="173" t="str">
        <f>IF(ISBLANK('ALL Other SINs - Proposal'!T759)," ",'ALL Other SINs - Proposal'!T759)</f>
        <v xml:space="preserve"> </v>
      </c>
      <c r="H759" s="275" t="str">
        <f>IF(ISBLANK('ALL Other SINs - Proposal'!V759)," ",'ALL Other SINs - Proposal'!V759)</f>
        <v xml:space="preserve"> </v>
      </c>
      <c r="I759" s="271" t="str">
        <f>IF(ISBLANK('ALL Other SINs - Proposal'!W759)," ",'ALL Other SINs - Proposal'!W759)</f>
        <v xml:space="preserve"> </v>
      </c>
      <c r="J759" s="71" t="str">
        <f>IF(ISBLANK('ALL Other SINs - Proposal'!X759)," ",'ALL Other SINs - Proposal'!X759)</f>
        <v xml:space="preserve"> </v>
      </c>
      <c r="K759" s="165" t="str">
        <f>IF(ISBLANK('ALL Other SINs - Proposal'!AA759)," ",'ALL Other SINs - Proposal'!AA759)</f>
        <v xml:space="preserve"> </v>
      </c>
      <c r="L759" s="178" t="str">
        <f>IF(ISBLANK('ALL Other SINs - Proposal'!AB759)," ",'ALL Other SINs - Proposal'!AB759)</f>
        <v xml:space="preserve"> </v>
      </c>
      <c r="M759" s="72" t="str">
        <f t="shared" si="22"/>
        <v xml:space="preserve"> </v>
      </c>
      <c r="N759" s="167" t="str">
        <f t="shared" si="23"/>
        <v xml:space="preserve"> </v>
      </c>
    </row>
    <row r="760" spans="1:14" ht="15" x14ac:dyDescent="0.25">
      <c r="A760" s="131" t="str">
        <f>IF(ISBLANK('ALL Other SINs - Proposal'!A760)," ",'ALL Other SINs - Proposal'!A760)</f>
        <v xml:space="preserve"> </v>
      </c>
      <c r="B760" s="137" t="str">
        <f>IF(ISBLANK('ALL Other SINs - Proposal'!B760)," ",'ALL Other SINs - Proposal'!B760)</f>
        <v xml:space="preserve"> </v>
      </c>
      <c r="C760" s="137" t="str">
        <f>IF(ISBLANK('ALL Other SINs - Proposal'!C760)," ",'ALL Other SINs - Proposal'!C760)</f>
        <v xml:space="preserve"> </v>
      </c>
      <c r="D760" s="138" t="str">
        <f>IF(ISBLANK('ALL Other SINs - Proposal'!D760)," ",'ALL Other SINs - Proposal'!D760)</f>
        <v xml:space="preserve"> </v>
      </c>
      <c r="E760" s="69" t="str">
        <f>IF(ISBLANK('ALL Other SINs - Proposal'!R760)," ",'ALL Other SINs - Proposal'!R760)</f>
        <v xml:space="preserve"> </v>
      </c>
      <c r="F760" s="73" t="str">
        <f>IF(ISBLANK('ALL Other SINs - Proposal'!S760)," ",'ALL Other SINs - Proposal'!S760)</f>
        <v xml:space="preserve"> </v>
      </c>
      <c r="G760" s="173" t="str">
        <f>IF(ISBLANK('ALL Other SINs - Proposal'!T760)," ",'ALL Other SINs - Proposal'!T760)</f>
        <v xml:space="preserve"> </v>
      </c>
      <c r="H760" s="275" t="str">
        <f>IF(ISBLANK('ALL Other SINs - Proposal'!V760)," ",'ALL Other SINs - Proposal'!V760)</f>
        <v xml:space="preserve"> </v>
      </c>
      <c r="I760" s="271" t="str">
        <f>IF(ISBLANK('ALL Other SINs - Proposal'!W760)," ",'ALL Other SINs - Proposal'!W760)</f>
        <v xml:space="preserve"> </v>
      </c>
      <c r="J760" s="71" t="str">
        <f>IF(ISBLANK('ALL Other SINs - Proposal'!X760)," ",'ALL Other SINs - Proposal'!X760)</f>
        <v xml:space="preserve"> </v>
      </c>
      <c r="K760" s="165" t="str">
        <f>IF(ISBLANK('ALL Other SINs - Proposal'!AA760)," ",'ALL Other SINs - Proposal'!AA760)</f>
        <v xml:space="preserve"> </v>
      </c>
      <c r="L760" s="178" t="str">
        <f>IF(ISBLANK('ALL Other SINs - Proposal'!AB760)," ",'ALL Other SINs - Proposal'!AB760)</f>
        <v xml:space="preserve"> </v>
      </c>
      <c r="M760" s="72" t="str">
        <f t="shared" si="22"/>
        <v xml:space="preserve"> </v>
      </c>
      <c r="N760" s="167" t="str">
        <f t="shared" si="23"/>
        <v xml:space="preserve"> </v>
      </c>
    </row>
    <row r="761" spans="1:14" ht="15" x14ac:dyDescent="0.25">
      <c r="A761" s="131" t="str">
        <f>IF(ISBLANK('ALL Other SINs - Proposal'!A761)," ",'ALL Other SINs - Proposal'!A761)</f>
        <v xml:space="preserve"> </v>
      </c>
      <c r="B761" s="137" t="str">
        <f>IF(ISBLANK('ALL Other SINs - Proposal'!B761)," ",'ALL Other SINs - Proposal'!B761)</f>
        <v xml:space="preserve"> </v>
      </c>
      <c r="C761" s="137" t="str">
        <f>IF(ISBLANK('ALL Other SINs - Proposal'!C761)," ",'ALL Other SINs - Proposal'!C761)</f>
        <v xml:space="preserve"> </v>
      </c>
      <c r="D761" s="138" t="str">
        <f>IF(ISBLANK('ALL Other SINs - Proposal'!D761)," ",'ALL Other SINs - Proposal'!D761)</f>
        <v xml:space="preserve"> </v>
      </c>
      <c r="E761" s="69" t="str">
        <f>IF(ISBLANK('ALL Other SINs - Proposal'!R761)," ",'ALL Other SINs - Proposal'!R761)</f>
        <v xml:space="preserve"> </v>
      </c>
      <c r="F761" s="73" t="str">
        <f>IF(ISBLANK('ALL Other SINs - Proposal'!S761)," ",'ALL Other SINs - Proposal'!S761)</f>
        <v xml:space="preserve"> </v>
      </c>
      <c r="G761" s="173" t="str">
        <f>IF(ISBLANK('ALL Other SINs - Proposal'!T761)," ",'ALL Other SINs - Proposal'!T761)</f>
        <v xml:space="preserve"> </v>
      </c>
      <c r="H761" s="275" t="str">
        <f>IF(ISBLANK('ALL Other SINs - Proposal'!V761)," ",'ALL Other SINs - Proposal'!V761)</f>
        <v xml:space="preserve"> </v>
      </c>
      <c r="I761" s="271" t="str">
        <f>IF(ISBLANK('ALL Other SINs - Proposal'!W761)," ",'ALL Other SINs - Proposal'!W761)</f>
        <v xml:space="preserve"> </v>
      </c>
      <c r="J761" s="71" t="str">
        <f>IF(ISBLANK('ALL Other SINs - Proposal'!X761)," ",'ALL Other SINs - Proposal'!X761)</f>
        <v xml:space="preserve"> </v>
      </c>
      <c r="K761" s="165" t="str">
        <f>IF(ISBLANK('ALL Other SINs - Proposal'!AA761)," ",'ALL Other SINs - Proposal'!AA761)</f>
        <v xml:space="preserve"> </v>
      </c>
      <c r="L761" s="178" t="str">
        <f>IF(ISBLANK('ALL Other SINs - Proposal'!AB761)," ",'ALL Other SINs - Proposal'!AB761)</f>
        <v xml:space="preserve"> </v>
      </c>
      <c r="M761" s="72" t="str">
        <f t="shared" si="22"/>
        <v xml:space="preserve"> </v>
      </c>
      <c r="N761" s="167" t="str">
        <f t="shared" si="23"/>
        <v xml:space="preserve"> </v>
      </c>
    </row>
    <row r="762" spans="1:14" ht="15" x14ac:dyDescent="0.25">
      <c r="A762" s="131" t="str">
        <f>IF(ISBLANK('ALL Other SINs - Proposal'!A762)," ",'ALL Other SINs - Proposal'!A762)</f>
        <v xml:space="preserve"> </v>
      </c>
      <c r="B762" s="137" t="str">
        <f>IF(ISBLANK('ALL Other SINs - Proposal'!B762)," ",'ALL Other SINs - Proposal'!B762)</f>
        <v xml:space="preserve"> </v>
      </c>
      <c r="C762" s="137" t="str">
        <f>IF(ISBLANK('ALL Other SINs - Proposal'!C762)," ",'ALL Other SINs - Proposal'!C762)</f>
        <v xml:space="preserve"> </v>
      </c>
      <c r="D762" s="138" t="str">
        <f>IF(ISBLANK('ALL Other SINs - Proposal'!D762)," ",'ALL Other SINs - Proposal'!D762)</f>
        <v xml:space="preserve"> </v>
      </c>
      <c r="E762" s="69" t="str">
        <f>IF(ISBLANK('ALL Other SINs - Proposal'!R762)," ",'ALL Other SINs - Proposal'!R762)</f>
        <v xml:space="preserve"> </v>
      </c>
      <c r="F762" s="73" t="str">
        <f>IF(ISBLANK('ALL Other SINs - Proposal'!S762)," ",'ALL Other SINs - Proposal'!S762)</f>
        <v xml:space="preserve"> </v>
      </c>
      <c r="G762" s="173" t="str">
        <f>IF(ISBLANK('ALL Other SINs - Proposal'!T762)," ",'ALL Other SINs - Proposal'!T762)</f>
        <v xml:space="preserve"> </v>
      </c>
      <c r="H762" s="275" t="str">
        <f>IF(ISBLANK('ALL Other SINs - Proposal'!V762)," ",'ALL Other SINs - Proposal'!V762)</f>
        <v xml:space="preserve"> </v>
      </c>
      <c r="I762" s="271" t="str">
        <f>IF(ISBLANK('ALL Other SINs - Proposal'!W762)," ",'ALL Other SINs - Proposal'!W762)</f>
        <v xml:space="preserve"> </v>
      </c>
      <c r="J762" s="71" t="str">
        <f>IF(ISBLANK('ALL Other SINs - Proposal'!X762)," ",'ALL Other SINs - Proposal'!X762)</f>
        <v xml:space="preserve"> </v>
      </c>
      <c r="K762" s="165" t="str">
        <f>IF(ISBLANK('ALL Other SINs - Proposal'!AA762)," ",'ALL Other SINs - Proposal'!AA762)</f>
        <v xml:space="preserve"> </v>
      </c>
      <c r="L762" s="178" t="str">
        <f>IF(ISBLANK('ALL Other SINs - Proposal'!AB762)," ",'ALL Other SINs - Proposal'!AB762)</f>
        <v xml:space="preserve"> </v>
      </c>
      <c r="M762" s="72" t="str">
        <f t="shared" si="22"/>
        <v xml:space="preserve"> </v>
      </c>
      <c r="N762" s="167" t="str">
        <f t="shared" si="23"/>
        <v xml:space="preserve"> </v>
      </c>
    </row>
    <row r="763" spans="1:14" ht="15" x14ac:dyDescent="0.25">
      <c r="A763" s="131" t="str">
        <f>IF(ISBLANK('ALL Other SINs - Proposal'!A763)," ",'ALL Other SINs - Proposal'!A763)</f>
        <v xml:space="preserve"> </v>
      </c>
      <c r="B763" s="137" t="str">
        <f>IF(ISBLANK('ALL Other SINs - Proposal'!B763)," ",'ALL Other SINs - Proposal'!B763)</f>
        <v xml:space="preserve"> </v>
      </c>
      <c r="C763" s="137" t="str">
        <f>IF(ISBLANK('ALL Other SINs - Proposal'!C763)," ",'ALL Other SINs - Proposal'!C763)</f>
        <v xml:space="preserve"> </v>
      </c>
      <c r="D763" s="138" t="str">
        <f>IF(ISBLANK('ALL Other SINs - Proposal'!D763)," ",'ALL Other SINs - Proposal'!D763)</f>
        <v xml:space="preserve"> </v>
      </c>
      <c r="E763" s="69" t="str">
        <f>IF(ISBLANK('ALL Other SINs - Proposal'!R763)," ",'ALL Other SINs - Proposal'!R763)</f>
        <v xml:space="preserve"> </v>
      </c>
      <c r="F763" s="73" t="str">
        <f>IF(ISBLANK('ALL Other SINs - Proposal'!S763)," ",'ALL Other SINs - Proposal'!S763)</f>
        <v xml:space="preserve"> </v>
      </c>
      <c r="G763" s="173" t="str">
        <f>IF(ISBLANK('ALL Other SINs - Proposal'!T763)," ",'ALL Other SINs - Proposal'!T763)</f>
        <v xml:space="preserve"> </v>
      </c>
      <c r="H763" s="275" t="str">
        <f>IF(ISBLANK('ALL Other SINs - Proposal'!V763)," ",'ALL Other SINs - Proposal'!V763)</f>
        <v xml:space="preserve"> </v>
      </c>
      <c r="I763" s="271" t="str">
        <f>IF(ISBLANK('ALL Other SINs - Proposal'!W763)," ",'ALL Other SINs - Proposal'!W763)</f>
        <v xml:space="preserve"> </v>
      </c>
      <c r="J763" s="71" t="str">
        <f>IF(ISBLANK('ALL Other SINs - Proposal'!X763)," ",'ALL Other SINs - Proposal'!X763)</f>
        <v xml:space="preserve"> </v>
      </c>
      <c r="K763" s="165" t="str">
        <f>IF(ISBLANK('ALL Other SINs - Proposal'!AA763)," ",'ALL Other SINs - Proposal'!AA763)</f>
        <v xml:space="preserve"> </v>
      </c>
      <c r="L763" s="178" t="str">
        <f>IF(ISBLANK('ALL Other SINs - Proposal'!AB763)," ",'ALL Other SINs - Proposal'!AB763)</f>
        <v xml:space="preserve"> </v>
      </c>
      <c r="M763" s="72" t="str">
        <f t="shared" si="22"/>
        <v xml:space="preserve"> </v>
      </c>
      <c r="N763" s="167" t="str">
        <f t="shared" si="23"/>
        <v xml:space="preserve"> </v>
      </c>
    </row>
    <row r="764" spans="1:14" ht="15" x14ac:dyDescent="0.25">
      <c r="A764" s="131" t="str">
        <f>IF(ISBLANK('ALL Other SINs - Proposal'!A764)," ",'ALL Other SINs - Proposal'!A764)</f>
        <v xml:space="preserve"> </v>
      </c>
      <c r="B764" s="137" t="str">
        <f>IF(ISBLANK('ALL Other SINs - Proposal'!B764)," ",'ALL Other SINs - Proposal'!B764)</f>
        <v xml:space="preserve"> </v>
      </c>
      <c r="C764" s="137" t="str">
        <f>IF(ISBLANK('ALL Other SINs - Proposal'!C764)," ",'ALL Other SINs - Proposal'!C764)</f>
        <v xml:space="preserve"> </v>
      </c>
      <c r="D764" s="138" t="str">
        <f>IF(ISBLANK('ALL Other SINs - Proposal'!D764)," ",'ALL Other SINs - Proposal'!D764)</f>
        <v xml:space="preserve"> </v>
      </c>
      <c r="E764" s="69" t="str">
        <f>IF(ISBLANK('ALL Other SINs - Proposal'!R764)," ",'ALL Other SINs - Proposal'!R764)</f>
        <v xml:space="preserve"> </v>
      </c>
      <c r="F764" s="73" t="str">
        <f>IF(ISBLANK('ALL Other SINs - Proposal'!S764)," ",'ALL Other SINs - Proposal'!S764)</f>
        <v xml:space="preserve"> </v>
      </c>
      <c r="G764" s="173" t="str">
        <f>IF(ISBLANK('ALL Other SINs - Proposal'!T764)," ",'ALL Other SINs - Proposal'!T764)</f>
        <v xml:space="preserve"> </v>
      </c>
      <c r="H764" s="275" t="str">
        <f>IF(ISBLANK('ALL Other SINs - Proposal'!V764)," ",'ALL Other SINs - Proposal'!V764)</f>
        <v xml:space="preserve"> </v>
      </c>
      <c r="I764" s="271" t="str">
        <f>IF(ISBLANK('ALL Other SINs - Proposal'!W764)," ",'ALL Other SINs - Proposal'!W764)</f>
        <v xml:space="preserve"> </v>
      </c>
      <c r="J764" s="71" t="str">
        <f>IF(ISBLANK('ALL Other SINs - Proposal'!X764)," ",'ALL Other SINs - Proposal'!X764)</f>
        <v xml:space="preserve"> </v>
      </c>
      <c r="K764" s="165" t="str">
        <f>IF(ISBLANK('ALL Other SINs - Proposal'!AA764)," ",'ALL Other SINs - Proposal'!AA764)</f>
        <v xml:space="preserve"> </v>
      </c>
      <c r="L764" s="178" t="str">
        <f>IF(ISBLANK('ALL Other SINs - Proposal'!AB764)," ",'ALL Other SINs - Proposal'!AB764)</f>
        <v xml:space="preserve"> </v>
      </c>
      <c r="M764" s="72" t="str">
        <f t="shared" si="22"/>
        <v xml:space="preserve"> </v>
      </c>
      <c r="N764" s="167" t="str">
        <f t="shared" si="23"/>
        <v xml:space="preserve"> </v>
      </c>
    </row>
    <row r="765" spans="1:14" ht="15" x14ac:dyDescent="0.25">
      <c r="A765" s="131" t="str">
        <f>IF(ISBLANK('ALL Other SINs - Proposal'!A765)," ",'ALL Other SINs - Proposal'!A765)</f>
        <v xml:space="preserve"> </v>
      </c>
      <c r="B765" s="137" t="str">
        <f>IF(ISBLANK('ALL Other SINs - Proposal'!B765)," ",'ALL Other SINs - Proposal'!B765)</f>
        <v xml:space="preserve"> </v>
      </c>
      <c r="C765" s="137" t="str">
        <f>IF(ISBLANK('ALL Other SINs - Proposal'!C765)," ",'ALL Other SINs - Proposal'!C765)</f>
        <v xml:space="preserve"> </v>
      </c>
      <c r="D765" s="138" t="str">
        <f>IF(ISBLANK('ALL Other SINs - Proposal'!D765)," ",'ALL Other SINs - Proposal'!D765)</f>
        <v xml:space="preserve"> </v>
      </c>
      <c r="E765" s="69" t="str">
        <f>IF(ISBLANK('ALL Other SINs - Proposal'!R765)," ",'ALL Other SINs - Proposal'!R765)</f>
        <v xml:space="preserve"> </v>
      </c>
      <c r="F765" s="73" t="str">
        <f>IF(ISBLANK('ALL Other SINs - Proposal'!S765)," ",'ALL Other SINs - Proposal'!S765)</f>
        <v xml:space="preserve"> </v>
      </c>
      <c r="G765" s="173" t="str">
        <f>IF(ISBLANK('ALL Other SINs - Proposal'!T765)," ",'ALL Other SINs - Proposal'!T765)</f>
        <v xml:space="preserve"> </v>
      </c>
      <c r="H765" s="275" t="str">
        <f>IF(ISBLANK('ALL Other SINs - Proposal'!V765)," ",'ALL Other SINs - Proposal'!V765)</f>
        <v xml:space="preserve"> </v>
      </c>
      <c r="I765" s="271" t="str">
        <f>IF(ISBLANK('ALL Other SINs - Proposal'!W765)," ",'ALL Other SINs - Proposal'!W765)</f>
        <v xml:space="preserve"> </v>
      </c>
      <c r="J765" s="71" t="str">
        <f>IF(ISBLANK('ALL Other SINs - Proposal'!X765)," ",'ALL Other SINs - Proposal'!X765)</f>
        <v xml:space="preserve"> </v>
      </c>
      <c r="K765" s="165" t="str">
        <f>IF(ISBLANK('ALL Other SINs - Proposal'!AA765)," ",'ALL Other SINs - Proposal'!AA765)</f>
        <v xml:space="preserve"> </v>
      </c>
      <c r="L765" s="178" t="str">
        <f>IF(ISBLANK('ALL Other SINs - Proposal'!AB765)," ",'ALL Other SINs - Proposal'!AB765)</f>
        <v xml:space="preserve"> </v>
      </c>
      <c r="M765" s="72" t="str">
        <f t="shared" si="22"/>
        <v xml:space="preserve"> </v>
      </c>
      <c r="N765" s="167" t="str">
        <f t="shared" si="23"/>
        <v xml:space="preserve"> </v>
      </c>
    </row>
    <row r="766" spans="1:14" ht="15" x14ac:dyDescent="0.25">
      <c r="A766" s="131" t="str">
        <f>IF(ISBLANK('ALL Other SINs - Proposal'!A766)," ",'ALL Other SINs - Proposal'!A766)</f>
        <v xml:space="preserve"> </v>
      </c>
      <c r="B766" s="137" t="str">
        <f>IF(ISBLANK('ALL Other SINs - Proposal'!B766)," ",'ALL Other SINs - Proposal'!B766)</f>
        <v xml:space="preserve"> </v>
      </c>
      <c r="C766" s="137" t="str">
        <f>IF(ISBLANK('ALL Other SINs - Proposal'!C766)," ",'ALL Other SINs - Proposal'!C766)</f>
        <v xml:space="preserve"> </v>
      </c>
      <c r="D766" s="138" t="str">
        <f>IF(ISBLANK('ALL Other SINs - Proposal'!D766)," ",'ALL Other SINs - Proposal'!D766)</f>
        <v xml:space="preserve"> </v>
      </c>
      <c r="E766" s="69" t="str">
        <f>IF(ISBLANK('ALL Other SINs - Proposal'!R766)," ",'ALL Other SINs - Proposal'!R766)</f>
        <v xml:space="preserve"> </v>
      </c>
      <c r="F766" s="73" t="str">
        <f>IF(ISBLANK('ALL Other SINs - Proposal'!S766)," ",'ALL Other SINs - Proposal'!S766)</f>
        <v xml:space="preserve"> </v>
      </c>
      <c r="G766" s="173" t="str">
        <f>IF(ISBLANK('ALL Other SINs - Proposal'!T766)," ",'ALL Other SINs - Proposal'!T766)</f>
        <v xml:space="preserve"> </v>
      </c>
      <c r="H766" s="275" t="str">
        <f>IF(ISBLANK('ALL Other SINs - Proposal'!V766)," ",'ALL Other SINs - Proposal'!V766)</f>
        <v xml:space="preserve"> </v>
      </c>
      <c r="I766" s="271" t="str">
        <f>IF(ISBLANK('ALL Other SINs - Proposal'!W766)," ",'ALL Other SINs - Proposal'!W766)</f>
        <v xml:space="preserve"> </v>
      </c>
      <c r="J766" s="71" t="str">
        <f>IF(ISBLANK('ALL Other SINs - Proposal'!X766)," ",'ALL Other SINs - Proposal'!X766)</f>
        <v xml:space="preserve"> </v>
      </c>
      <c r="K766" s="165" t="str">
        <f>IF(ISBLANK('ALL Other SINs - Proposal'!AA766)," ",'ALL Other SINs - Proposal'!AA766)</f>
        <v xml:space="preserve"> </v>
      </c>
      <c r="L766" s="178" t="str">
        <f>IF(ISBLANK('ALL Other SINs - Proposal'!AB766)," ",'ALL Other SINs - Proposal'!AB766)</f>
        <v xml:space="preserve"> </v>
      </c>
      <c r="M766" s="72" t="str">
        <f t="shared" si="22"/>
        <v xml:space="preserve"> </v>
      </c>
      <c r="N766" s="167" t="str">
        <f t="shared" si="23"/>
        <v xml:space="preserve"> </v>
      </c>
    </row>
    <row r="767" spans="1:14" ht="15" x14ac:dyDescent="0.25">
      <c r="A767" s="131" t="str">
        <f>IF(ISBLANK('ALL Other SINs - Proposal'!A767)," ",'ALL Other SINs - Proposal'!A767)</f>
        <v xml:space="preserve"> </v>
      </c>
      <c r="B767" s="137" t="str">
        <f>IF(ISBLANK('ALL Other SINs - Proposal'!B767)," ",'ALL Other SINs - Proposal'!B767)</f>
        <v xml:space="preserve"> </v>
      </c>
      <c r="C767" s="137" t="str">
        <f>IF(ISBLANK('ALL Other SINs - Proposal'!C767)," ",'ALL Other SINs - Proposal'!C767)</f>
        <v xml:space="preserve"> </v>
      </c>
      <c r="D767" s="138" t="str">
        <f>IF(ISBLANK('ALL Other SINs - Proposal'!D767)," ",'ALL Other SINs - Proposal'!D767)</f>
        <v xml:space="preserve"> </v>
      </c>
      <c r="E767" s="69" t="str">
        <f>IF(ISBLANK('ALL Other SINs - Proposal'!R767)," ",'ALL Other SINs - Proposal'!R767)</f>
        <v xml:space="preserve"> </v>
      </c>
      <c r="F767" s="73" t="str">
        <f>IF(ISBLANK('ALL Other SINs - Proposal'!S767)," ",'ALL Other SINs - Proposal'!S767)</f>
        <v xml:space="preserve"> </v>
      </c>
      <c r="G767" s="173" t="str">
        <f>IF(ISBLANK('ALL Other SINs - Proposal'!T767)," ",'ALL Other SINs - Proposal'!T767)</f>
        <v xml:space="preserve"> </v>
      </c>
      <c r="H767" s="275" t="str">
        <f>IF(ISBLANK('ALL Other SINs - Proposal'!V767)," ",'ALL Other SINs - Proposal'!V767)</f>
        <v xml:space="preserve"> </v>
      </c>
      <c r="I767" s="271" t="str">
        <f>IF(ISBLANK('ALL Other SINs - Proposal'!W767)," ",'ALL Other SINs - Proposal'!W767)</f>
        <v xml:space="preserve"> </v>
      </c>
      <c r="J767" s="71" t="str">
        <f>IF(ISBLANK('ALL Other SINs - Proposal'!X767)," ",'ALL Other SINs - Proposal'!X767)</f>
        <v xml:space="preserve"> </v>
      </c>
      <c r="K767" s="165" t="str">
        <f>IF(ISBLANK('ALL Other SINs - Proposal'!AA767)," ",'ALL Other SINs - Proposal'!AA767)</f>
        <v xml:space="preserve"> </v>
      </c>
      <c r="L767" s="178" t="str">
        <f>IF(ISBLANK('ALL Other SINs - Proposal'!AB767)," ",'ALL Other SINs - Proposal'!AB767)</f>
        <v xml:space="preserve"> </v>
      </c>
      <c r="M767" s="72" t="str">
        <f t="shared" si="22"/>
        <v xml:space="preserve"> </v>
      </c>
      <c r="N767" s="167" t="str">
        <f t="shared" si="23"/>
        <v xml:space="preserve"> </v>
      </c>
    </row>
    <row r="768" spans="1:14" ht="15" x14ac:dyDescent="0.25">
      <c r="A768" s="131" t="str">
        <f>IF(ISBLANK('ALL Other SINs - Proposal'!A768)," ",'ALL Other SINs - Proposal'!A768)</f>
        <v xml:space="preserve"> </v>
      </c>
      <c r="B768" s="137" t="str">
        <f>IF(ISBLANK('ALL Other SINs - Proposal'!B768)," ",'ALL Other SINs - Proposal'!B768)</f>
        <v xml:space="preserve"> </v>
      </c>
      <c r="C768" s="137" t="str">
        <f>IF(ISBLANK('ALL Other SINs - Proposal'!C768)," ",'ALL Other SINs - Proposal'!C768)</f>
        <v xml:space="preserve"> </v>
      </c>
      <c r="D768" s="138" t="str">
        <f>IF(ISBLANK('ALL Other SINs - Proposal'!D768)," ",'ALL Other SINs - Proposal'!D768)</f>
        <v xml:space="preserve"> </v>
      </c>
      <c r="E768" s="69" t="str">
        <f>IF(ISBLANK('ALL Other SINs - Proposal'!R768)," ",'ALL Other SINs - Proposal'!R768)</f>
        <v xml:space="preserve"> </v>
      </c>
      <c r="F768" s="73" t="str">
        <f>IF(ISBLANK('ALL Other SINs - Proposal'!S768)," ",'ALL Other SINs - Proposal'!S768)</f>
        <v xml:space="preserve"> </v>
      </c>
      <c r="G768" s="173" t="str">
        <f>IF(ISBLANK('ALL Other SINs - Proposal'!T768)," ",'ALL Other SINs - Proposal'!T768)</f>
        <v xml:space="preserve"> </v>
      </c>
      <c r="H768" s="275" t="str">
        <f>IF(ISBLANK('ALL Other SINs - Proposal'!V768)," ",'ALL Other SINs - Proposal'!V768)</f>
        <v xml:space="preserve"> </v>
      </c>
      <c r="I768" s="271" t="str">
        <f>IF(ISBLANK('ALL Other SINs - Proposal'!W768)," ",'ALL Other SINs - Proposal'!W768)</f>
        <v xml:space="preserve"> </v>
      </c>
      <c r="J768" s="71" t="str">
        <f>IF(ISBLANK('ALL Other SINs - Proposal'!X768)," ",'ALL Other SINs - Proposal'!X768)</f>
        <v xml:space="preserve"> </v>
      </c>
      <c r="K768" s="165" t="str">
        <f>IF(ISBLANK('ALL Other SINs - Proposal'!AA768)," ",'ALL Other SINs - Proposal'!AA768)</f>
        <v xml:space="preserve"> </v>
      </c>
      <c r="L768" s="178" t="str">
        <f>IF(ISBLANK('ALL Other SINs - Proposal'!AB768)," ",'ALL Other SINs - Proposal'!AB768)</f>
        <v xml:space="preserve"> </v>
      </c>
      <c r="M768" s="72" t="str">
        <f t="shared" si="22"/>
        <v xml:space="preserve"> </v>
      </c>
      <c r="N768" s="167" t="str">
        <f t="shared" si="23"/>
        <v xml:space="preserve"> </v>
      </c>
    </row>
    <row r="769" spans="1:14" ht="15" x14ac:dyDescent="0.25">
      <c r="A769" s="131" t="str">
        <f>IF(ISBLANK('ALL Other SINs - Proposal'!A769)," ",'ALL Other SINs - Proposal'!A769)</f>
        <v xml:space="preserve"> </v>
      </c>
      <c r="B769" s="137" t="str">
        <f>IF(ISBLANK('ALL Other SINs - Proposal'!B769)," ",'ALL Other SINs - Proposal'!B769)</f>
        <v xml:space="preserve"> </v>
      </c>
      <c r="C769" s="137" t="str">
        <f>IF(ISBLANK('ALL Other SINs - Proposal'!C769)," ",'ALL Other SINs - Proposal'!C769)</f>
        <v xml:space="preserve"> </v>
      </c>
      <c r="D769" s="138" t="str">
        <f>IF(ISBLANK('ALL Other SINs - Proposal'!D769)," ",'ALL Other SINs - Proposal'!D769)</f>
        <v xml:space="preserve"> </v>
      </c>
      <c r="E769" s="69" t="str">
        <f>IF(ISBLANK('ALL Other SINs - Proposal'!R769)," ",'ALL Other SINs - Proposal'!R769)</f>
        <v xml:space="preserve"> </v>
      </c>
      <c r="F769" s="73" t="str">
        <f>IF(ISBLANK('ALL Other SINs - Proposal'!S769)," ",'ALL Other SINs - Proposal'!S769)</f>
        <v xml:space="preserve"> </v>
      </c>
      <c r="G769" s="173" t="str">
        <f>IF(ISBLANK('ALL Other SINs - Proposal'!T769)," ",'ALL Other SINs - Proposal'!T769)</f>
        <v xml:space="preserve"> </v>
      </c>
      <c r="H769" s="275" t="str">
        <f>IF(ISBLANK('ALL Other SINs - Proposal'!V769)," ",'ALL Other SINs - Proposal'!V769)</f>
        <v xml:space="preserve"> </v>
      </c>
      <c r="I769" s="271" t="str">
        <f>IF(ISBLANK('ALL Other SINs - Proposal'!W769)," ",'ALL Other SINs - Proposal'!W769)</f>
        <v xml:space="preserve"> </v>
      </c>
      <c r="J769" s="71" t="str">
        <f>IF(ISBLANK('ALL Other SINs - Proposal'!X769)," ",'ALL Other SINs - Proposal'!X769)</f>
        <v xml:space="preserve"> </v>
      </c>
      <c r="K769" s="165" t="str">
        <f>IF(ISBLANK('ALL Other SINs - Proposal'!AA769)," ",'ALL Other SINs - Proposal'!AA769)</f>
        <v xml:space="preserve"> </v>
      </c>
      <c r="L769" s="178" t="str">
        <f>IF(ISBLANK('ALL Other SINs - Proposal'!AB769)," ",'ALL Other SINs - Proposal'!AB769)</f>
        <v xml:space="preserve"> </v>
      </c>
      <c r="M769" s="72" t="str">
        <f t="shared" si="22"/>
        <v xml:space="preserve"> </v>
      </c>
      <c r="N769" s="167" t="str">
        <f t="shared" si="23"/>
        <v xml:space="preserve"> </v>
      </c>
    </row>
    <row r="770" spans="1:14" ht="15" x14ac:dyDescent="0.25">
      <c r="A770" s="131" t="str">
        <f>IF(ISBLANK('ALL Other SINs - Proposal'!A770)," ",'ALL Other SINs - Proposal'!A770)</f>
        <v xml:space="preserve"> </v>
      </c>
      <c r="B770" s="137" t="str">
        <f>IF(ISBLANK('ALL Other SINs - Proposal'!B770)," ",'ALL Other SINs - Proposal'!B770)</f>
        <v xml:space="preserve"> </v>
      </c>
      <c r="C770" s="137" t="str">
        <f>IF(ISBLANK('ALL Other SINs - Proposal'!C770)," ",'ALL Other SINs - Proposal'!C770)</f>
        <v xml:space="preserve"> </v>
      </c>
      <c r="D770" s="138" t="str">
        <f>IF(ISBLANK('ALL Other SINs - Proposal'!D770)," ",'ALL Other SINs - Proposal'!D770)</f>
        <v xml:space="preserve"> </v>
      </c>
      <c r="E770" s="69" t="str">
        <f>IF(ISBLANK('ALL Other SINs - Proposal'!R770)," ",'ALL Other SINs - Proposal'!R770)</f>
        <v xml:space="preserve"> </v>
      </c>
      <c r="F770" s="73" t="str">
        <f>IF(ISBLANK('ALL Other SINs - Proposal'!S770)," ",'ALL Other SINs - Proposal'!S770)</f>
        <v xml:space="preserve"> </v>
      </c>
      <c r="G770" s="173" t="str">
        <f>IF(ISBLANK('ALL Other SINs - Proposal'!T770)," ",'ALL Other SINs - Proposal'!T770)</f>
        <v xml:space="preserve"> </v>
      </c>
      <c r="H770" s="275" t="str">
        <f>IF(ISBLANK('ALL Other SINs - Proposal'!V770)," ",'ALL Other SINs - Proposal'!V770)</f>
        <v xml:space="preserve"> </v>
      </c>
      <c r="I770" s="271" t="str">
        <f>IF(ISBLANK('ALL Other SINs - Proposal'!W770)," ",'ALL Other SINs - Proposal'!W770)</f>
        <v xml:space="preserve"> </v>
      </c>
      <c r="J770" s="71" t="str">
        <f>IF(ISBLANK('ALL Other SINs - Proposal'!X770)," ",'ALL Other SINs - Proposal'!X770)</f>
        <v xml:space="preserve"> </v>
      </c>
      <c r="K770" s="165" t="str">
        <f>IF(ISBLANK('ALL Other SINs - Proposal'!AA770)," ",'ALL Other SINs - Proposal'!AA770)</f>
        <v xml:space="preserve"> </v>
      </c>
      <c r="L770" s="178" t="str">
        <f>IF(ISBLANK('ALL Other SINs - Proposal'!AB770)," ",'ALL Other SINs - Proposal'!AB770)</f>
        <v xml:space="preserve"> </v>
      </c>
      <c r="M770" s="72" t="str">
        <f t="shared" si="22"/>
        <v xml:space="preserve"> </v>
      </c>
      <c r="N770" s="167" t="str">
        <f t="shared" si="23"/>
        <v xml:space="preserve"> </v>
      </c>
    </row>
    <row r="771" spans="1:14" ht="15" x14ac:dyDescent="0.25">
      <c r="A771" s="131" t="str">
        <f>IF(ISBLANK('ALL Other SINs - Proposal'!A771)," ",'ALL Other SINs - Proposal'!A771)</f>
        <v xml:space="preserve"> </v>
      </c>
      <c r="B771" s="137" t="str">
        <f>IF(ISBLANK('ALL Other SINs - Proposal'!B771)," ",'ALL Other SINs - Proposal'!B771)</f>
        <v xml:space="preserve"> </v>
      </c>
      <c r="C771" s="137" t="str">
        <f>IF(ISBLANK('ALL Other SINs - Proposal'!C771)," ",'ALL Other SINs - Proposal'!C771)</f>
        <v xml:space="preserve"> </v>
      </c>
      <c r="D771" s="138" t="str">
        <f>IF(ISBLANK('ALL Other SINs - Proposal'!D771)," ",'ALL Other SINs - Proposal'!D771)</f>
        <v xml:space="preserve"> </v>
      </c>
      <c r="E771" s="69" t="str">
        <f>IF(ISBLANK('ALL Other SINs - Proposal'!R771)," ",'ALL Other SINs - Proposal'!R771)</f>
        <v xml:space="preserve"> </v>
      </c>
      <c r="F771" s="73" t="str">
        <f>IF(ISBLANK('ALL Other SINs - Proposal'!S771)," ",'ALL Other SINs - Proposal'!S771)</f>
        <v xml:space="preserve"> </v>
      </c>
      <c r="G771" s="173" t="str">
        <f>IF(ISBLANK('ALL Other SINs - Proposal'!T771)," ",'ALL Other SINs - Proposal'!T771)</f>
        <v xml:space="preserve"> </v>
      </c>
      <c r="H771" s="275" t="str">
        <f>IF(ISBLANK('ALL Other SINs - Proposal'!V771)," ",'ALL Other SINs - Proposal'!V771)</f>
        <v xml:space="preserve"> </v>
      </c>
      <c r="I771" s="271" t="str">
        <f>IF(ISBLANK('ALL Other SINs - Proposal'!W771)," ",'ALL Other SINs - Proposal'!W771)</f>
        <v xml:space="preserve"> </v>
      </c>
      <c r="J771" s="71" t="str">
        <f>IF(ISBLANK('ALL Other SINs - Proposal'!X771)," ",'ALL Other SINs - Proposal'!X771)</f>
        <v xml:space="preserve"> </v>
      </c>
      <c r="K771" s="165" t="str">
        <f>IF(ISBLANK('ALL Other SINs - Proposal'!AA771)," ",'ALL Other SINs - Proposal'!AA771)</f>
        <v xml:space="preserve"> </v>
      </c>
      <c r="L771" s="178" t="str">
        <f>IF(ISBLANK('ALL Other SINs - Proposal'!AB771)," ",'ALL Other SINs - Proposal'!AB771)</f>
        <v xml:space="preserve"> </v>
      </c>
      <c r="M771" s="72" t="str">
        <f t="shared" ref="M771:M834" si="24">IFERROR(IF((ROUND(K771,2))&lt;=(ROUND(F771,2)),"YES","NO")," ")</f>
        <v xml:space="preserve"> </v>
      </c>
      <c r="N771" s="167" t="str">
        <f t="shared" ref="N771:N834" si="25">IFERROR(IF(ISBLANK(K771)," ",(ROUND(K771,2))/(ROUND(I771,2)))," ")</f>
        <v xml:space="preserve"> </v>
      </c>
    </row>
    <row r="772" spans="1:14" ht="15" x14ac:dyDescent="0.25">
      <c r="A772" s="131" t="str">
        <f>IF(ISBLANK('ALL Other SINs - Proposal'!A772)," ",'ALL Other SINs - Proposal'!A772)</f>
        <v xml:space="preserve"> </v>
      </c>
      <c r="B772" s="137" t="str">
        <f>IF(ISBLANK('ALL Other SINs - Proposal'!B772)," ",'ALL Other SINs - Proposal'!B772)</f>
        <v xml:space="preserve"> </v>
      </c>
      <c r="C772" s="137" t="str">
        <f>IF(ISBLANK('ALL Other SINs - Proposal'!C772)," ",'ALL Other SINs - Proposal'!C772)</f>
        <v xml:space="preserve"> </v>
      </c>
      <c r="D772" s="138" t="str">
        <f>IF(ISBLANK('ALL Other SINs - Proposal'!D772)," ",'ALL Other SINs - Proposal'!D772)</f>
        <v xml:space="preserve"> </v>
      </c>
      <c r="E772" s="69" t="str">
        <f>IF(ISBLANK('ALL Other SINs - Proposal'!R772)," ",'ALL Other SINs - Proposal'!R772)</f>
        <v xml:space="preserve"> </v>
      </c>
      <c r="F772" s="73" t="str">
        <f>IF(ISBLANK('ALL Other SINs - Proposal'!S772)," ",'ALL Other SINs - Proposal'!S772)</f>
        <v xml:space="preserve"> </v>
      </c>
      <c r="G772" s="173" t="str">
        <f>IF(ISBLANK('ALL Other SINs - Proposal'!T772)," ",'ALL Other SINs - Proposal'!T772)</f>
        <v xml:space="preserve"> </v>
      </c>
      <c r="H772" s="275" t="str">
        <f>IF(ISBLANK('ALL Other SINs - Proposal'!V772)," ",'ALL Other SINs - Proposal'!V772)</f>
        <v xml:space="preserve"> </v>
      </c>
      <c r="I772" s="271" t="str">
        <f>IF(ISBLANK('ALL Other SINs - Proposal'!W772)," ",'ALL Other SINs - Proposal'!W772)</f>
        <v xml:space="preserve"> </v>
      </c>
      <c r="J772" s="71" t="str">
        <f>IF(ISBLANK('ALL Other SINs - Proposal'!X772)," ",'ALL Other SINs - Proposal'!X772)</f>
        <v xml:space="preserve"> </v>
      </c>
      <c r="K772" s="165" t="str">
        <f>IF(ISBLANK('ALL Other SINs - Proposal'!AA772)," ",'ALL Other SINs - Proposal'!AA772)</f>
        <v xml:space="preserve"> </v>
      </c>
      <c r="L772" s="178" t="str">
        <f>IF(ISBLANK('ALL Other SINs - Proposal'!AB772)," ",'ALL Other SINs - Proposal'!AB772)</f>
        <v xml:space="preserve"> </v>
      </c>
      <c r="M772" s="72" t="str">
        <f t="shared" si="24"/>
        <v xml:space="preserve"> </v>
      </c>
      <c r="N772" s="167" t="str">
        <f t="shared" si="25"/>
        <v xml:space="preserve"> </v>
      </c>
    </row>
    <row r="773" spans="1:14" ht="15" x14ac:dyDescent="0.25">
      <c r="A773" s="131" t="str">
        <f>IF(ISBLANK('ALL Other SINs - Proposal'!A773)," ",'ALL Other SINs - Proposal'!A773)</f>
        <v xml:space="preserve"> </v>
      </c>
      <c r="B773" s="137" t="str">
        <f>IF(ISBLANK('ALL Other SINs - Proposal'!B773)," ",'ALL Other SINs - Proposal'!B773)</f>
        <v xml:space="preserve"> </v>
      </c>
      <c r="C773" s="137" t="str">
        <f>IF(ISBLANK('ALL Other SINs - Proposal'!C773)," ",'ALL Other SINs - Proposal'!C773)</f>
        <v xml:space="preserve"> </v>
      </c>
      <c r="D773" s="138" t="str">
        <f>IF(ISBLANK('ALL Other SINs - Proposal'!D773)," ",'ALL Other SINs - Proposal'!D773)</f>
        <v xml:space="preserve"> </v>
      </c>
      <c r="E773" s="69" t="str">
        <f>IF(ISBLANK('ALL Other SINs - Proposal'!R773)," ",'ALL Other SINs - Proposal'!R773)</f>
        <v xml:space="preserve"> </v>
      </c>
      <c r="F773" s="73" t="str">
        <f>IF(ISBLANK('ALL Other SINs - Proposal'!S773)," ",'ALL Other SINs - Proposal'!S773)</f>
        <v xml:space="preserve"> </v>
      </c>
      <c r="G773" s="173" t="str">
        <f>IF(ISBLANK('ALL Other SINs - Proposal'!T773)," ",'ALL Other SINs - Proposal'!T773)</f>
        <v xml:space="preserve"> </v>
      </c>
      <c r="H773" s="275" t="str">
        <f>IF(ISBLANK('ALL Other SINs - Proposal'!V773)," ",'ALL Other SINs - Proposal'!V773)</f>
        <v xml:space="preserve"> </v>
      </c>
      <c r="I773" s="271" t="str">
        <f>IF(ISBLANK('ALL Other SINs - Proposal'!W773)," ",'ALL Other SINs - Proposal'!W773)</f>
        <v xml:space="preserve"> </v>
      </c>
      <c r="J773" s="71" t="str">
        <f>IF(ISBLANK('ALL Other SINs - Proposal'!X773)," ",'ALL Other SINs - Proposal'!X773)</f>
        <v xml:space="preserve"> </v>
      </c>
      <c r="K773" s="165" t="str">
        <f>IF(ISBLANK('ALL Other SINs - Proposal'!AA773)," ",'ALL Other SINs - Proposal'!AA773)</f>
        <v xml:space="preserve"> </v>
      </c>
      <c r="L773" s="178" t="str">
        <f>IF(ISBLANK('ALL Other SINs - Proposal'!AB773)," ",'ALL Other SINs - Proposal'!AB773)</f>
        <v xml:space="preserve"> </v>
      </c>
      <c r="M773" s="72" t="str">
        <f t="shared" si="24"/>
        <v xml:space="preserve"> </v>
      </c>
      <c r="N773" s="167" t="str">
        <f t="shared" si="25"/>
        <v xml:space="preserve"> </v>
      </c>
    </row>
    <row r="774" spans="1:14" ht="15" x14ac:dyDescent="0.25">
      <c r="A774" s="131" t="str">
        <f>IF(ISBLANK('ALL Other SINs - Proposal'!A774)," ",'ALL Other SINs - Proposal'!A774)</f>
        <v xml:space="preserve"> </v>
      </c>
      <c r="B774" s="137" t="str">
        <f>IF(ISBLANK('ALL Other SINs - Proposal'!B774)," ",'ALL Other SINs - Proposal'!B774)</f>
        <v xml:space="preserve"> </v>
      </c>
      <c r="C774" s="137" t="str">
        <f>IF(ISBLANK('ALL Other SINs - Proposal'!C774)," ",'ALL Other SINs - Proposal'!C774)</f>
        <v xml:space="preserve"> </v>
      </c>
      <c r="D774" s="138" t="str">
        <f>IF(ISBLANK('ALL Other SINs - Proposal'!D774)," ",'ALL Other SINs - Proposal'!D774)</f>
        <v xml:space="preserve"> </v>
      </c>
      <c r="E774" s="69" t="str">
        <f>IF(ISBLANK('ALL Other SINs - Proposal'!R774)," ",'ALL Other SINs - Proposal'!R774)</f>
        <v xml:space="preserve"> </v>
      </c>
      <c r="F774" s="73" t="str">
        <f>IF(ISBLANK('ALL Other SINs - Proposal'!S774)," ",'ALL Other SINs - Proposal'!S774)</f>
        <v xml:space="preserve"> </v>
      </c>
      <c r="G774" s="173" t="str">
        <f>IF(ISBLANK('ALL Other SINs - Proposal'!T774)," ",'ALL Other SINs - Proposal'!T774)</f>
        <v xml:space="preserve"> </v>
      </c>
      <c r="H774" s="275" t="str">
        <f>IF(ISBLANK('ALL Other SINs - Proposal'!V774)," ",'ALL Other SINs - Proposal'!V774)</f>
        <v xml:space="preserve"> </v>
      </c>
      <c r="I774" s="271" t="str">
        <f>IF(ISBLANK('ALL Other SINs - Proposal'!W774)," ",'ALL Other SINs - Proposal'!W774)</f>
        <v xml:space="preserve"> </v>
      </c>
      <c r="J774" s="71" t="str">
        <f>IF(ISBLANK('ALL Other SINs - Proposal'!X774)," ",'ALL Other SINs - Proposal'!X774)</f>
        <v xml:space="preserve"> </v>
      </c>
      <c r="K774" s="165" t="str">
        <f>IF(ISBLANK('ALL Other SINs - Proposal'!AA774)," ",'ALL Other SINs - Proposal'!AA774)</f>
        <v xml:space="preserve"> </v>
      </c>
      <c r="L774" s="178" t="str">
        <f>IF(ISBLANK('ALL Other SINs - Proposal'!AB774)," ",'ALL Other SINs - Proposal'!AB774)</f>
        <v xml:space="preserve"> </v>
      </c>
      <c r="M774" s="72" t="str">
        <f t="shared" si="24"/>
        <v xml:space="preserve"> </v>
      </c>
      <c r="N774" s="167" t="str">
        <f t="shared" si="25"/>
        <v xml:space="preserve"> </v>
      </c>
    </row>
    <row r="775" spans="1:14" ht="15" x14ac:dyDescent="0.25">
      <c r="A775" s="131" t="str">
        <f>IF(ISBLANK('ALL Other SINs - Proposal'!A775)," ",'ALL Other SINs - Proposal'!A775)</f>
        <v xml:space="preserve"> </v>
      </c>
      <c r="B775" s="137" t="str">
        <f>IF(ISBLANK('ALL Other SINs - Proposal'!B775)," ",'ALL Other SINs - Proposal'!B775)</f>
        <v xml:space="preserve"> </v>
      </c>
      <c r="C775" s="137" t="str">
        <f>IF(ISBLANK('ALL Other SINs - Proposal'!C775)," ",'ALL Other SINs - Proposal'!C775)</f>
        <v xml:space="preserve"> </v>
      </c>
      <c r="D775" s="138" t="str">
        <f>IF(ISBLANK('ALL Other SINs - Proposal'!D775)," ",'ALL Other SINs - Proposal'!D775)</f>
        <v xml:space="preserve"> </v>
      </c>
      <c r="E775" s="69" t="str">
        <f>IF(ISBLANK('ALL Other SINs - Proposal'!R775)," ",'ALL Other SINs - Proposal'!R775)</f>
        <v xml:space="preserve"> </v>
      </c>
      <c r="F775" s="73" t="str">
        <f>IF(ISBLANK('ALL Other SINs - Proposal'!S775)," ",'ALL Other SINs - Proposal'!S775)</f>
        <v xml:space="preserve"> </v>
      </c>
      <c r="G775" s="173" t="str">
        <f>IF(ISBLANK('ALL Other SINs - Proposal'!T775)," ",'ALL Other SINs - Proposal'!T775)</f>
        <v xml:space="preserve"> </v>
      </c>
      <c r="H775" s="275" t="str">
        <f>IF(ISBLANK('ALL Other SINs - Proposal'!V775)," ",'ALL Other SINs - Proposal'!V775)</f>
        <v xml:space="preserve"> </v>
      </c>
      <c r="I775" s="271" t="str">
        <f>IF(ISBLANK('ALL Other SINs - Proposal'!W775)," ",'ALL Other SINs - Proposal'!W775)</f>
        <v xml:space="preserve"> </v>
      </c>
      <c r="J775" s="71" t="str">
        <f>IF(ISBLANK('ALL Other SINs - Proposal'!X775)," ",'ALL Other SINs - Proposal'!X775)</f>
        <v xml:space="preserve"> </v>
      </c>
      <c r="K775" s="165" t="str">
        <f>IF(ISBLANK('ALL Other SINs - Proposal'!AA775)," ",'ALL Other SINs - Proposal'!AA775)</f>
        <v xml:space="preserve"> </v>
      </c>
      <c r="L775" s="178" t="str">
        <f>IF(ISBLANK('ALL Other SINs - Proposal'!AB775)," ",'ALL Other SINs - Proposal'!AB775)</f>
        <v xml:space="preserve"> </v>
      </c>
      <c r="M775" s="72" t="str">
        <f t="shared" si="24"/>
        <v xml:space="preserve"> </v>
      </c>
      <c r="N775" s="167" t="str">
        <f t="shared" si="25"/>
        <v xml:space="preserve"> </v>
      </c>
    </row>
    <row r="776" spans="1:14" ht="15" x14ac:dyDescent="0.25">
      <c r="A776" s="131" t="str">
        <f>IF(ISBLANK('ALL Other SINs - Proposal'!A776)," ",'ALL Other SINs - Proposal'!A776)</f>
        <v xml:space="preserve"> </v>
      </c>
      <c r="B776" s="137" t="str">
        <f>IF(ISBLANK('ALL Other SINs - Proposal'!B776)," ",'ALL Other SINs - Proposal'!B776)</f>
        <v xml:space="preserve"> </v>
      </c>
      <c r="C776" s="137" t="str">
        <f>IF(ISBLANK('ALL Other SINs - Proposal'!C776)," ",'ALL Other SINs - Proposal'!C776)</f>
        <v xml:space="preserve"> </v>
      </c>
      <c r="D776" s="138" t="str">
        <f>IF(ISBLANK('ALL Other SINs - Proposal'!D776)," ",'ALL Other SINs - Proposal'!D776)</f>
        <v xml:space="preserve"> </v>
      </c>
      <c r="E776" s="69" t="str">
        <f>IF(ISBLANK('ALL Other SINs - Proposal'!R776)," ",'ALL Other SINs - Proposal'!R776)</f>
        <v xml:space="preserve"> </v>
      </c>
      <c r="F776" s="73" t="str">
        <f>IF(ISBLANK('ALL Other SINs - Proposal'!S776)," ",'ALL Other SINs - Proposal'!S776)</f>
        <v xml:space="preserve"> </v>
      </c>
      <c r="G776" s="173" t="str">
        <f>IF(ISBLANK('ALL Other SINs - Proposal'!T776)," ",'ALL Other SINs - Proposal'!T776)</f>
        <v xml:space="preserve"> </v>
      </c>
      <c r="H776" s="275" t="str">
        <f>IF(ISBLANK('ALL Other SINs - Proposal'!V776)," ",'ALL Other SINs - Proposal'!V776)</f>
        <v xml:space="preserve"> </v>
      </c>
      <c r="I776" s="271" t="str">
        <f>IF(ISBLANK('ALL Other SINs - Proposal'!W776)," ",'ALL Other SINs - Proposal'!W776)</f>
        <v xml:space="preserve"> </v>
      </c>
      <c r="J776" s="71" t="str">
        <f>IF(ISBLANK('ALL Other SINs - Proposal'!X776)," ",'ALL Other SINs - Proposal'!X776)</f>
        <v xml:space="preserve"> </v>
      </c>
      <c r="K776" s="165" t="str">
        <f>IF(ISBLANK('ALL Other SINs - Proposal'!AA776)," ",'ALL Other SINs - Proposal'!AA776)</f>
        <v xml:space="preserve"> </v>
      </c>
      <c r="L776" s="178" t="str">
        <f>IF(ISBLANK('ALL Other SINs - Proposal'!AB776)," ",'ALL Other SINs - Proposal'!AB776)</f>
        <v xml:space="preserve"> </v>
      </c>
      <c r="M776" s="72" t="str">
        <f t="shared" si="24"/>
        <v xml:space="preserve"> </v>
      </c>
      <c r="N776" s="167" t="str">
        <f t="shared" si="25"/>
        <v xml:space="preserve"> </v>
      </c>
    </row>
    <row r="777" spans="1:14" ht="15" x14ac:dyDescent="0.25">
      <c r="A777" s="131" t="str">
        <f>IF(ISBLANK('ALL Other SINs - Proposal'!A777)," ",'ALL Other SINs - Proposal'!A777)</f>
        <v xml:space="preserve"> </v>
      </c>
      <c r="B777" s="137" t="str">
        <f>IF(ISBLANK('ALL Other SINs - Proposal'!B777)," ",'ALL Other SINs - Proposal'!B777)</f>
        <v xml:space="preserve"> </v>
      </c>
      <c r="C777" s="137" t="str">
        <f>IF(ISBLANK('ALL Other SINs - Proposal'!C777)," ",'ALL Other SINs - Proposal'!C777)</f>
        <v xml:space="preserve"> </v>
      </c>
      <c r="D777" s="138" t="str">
        <f>IF(ISBLANK('ALL Other SINs - Proposal'!D777)," ",'ALL Other SINs - Proposal'!D777)</f>
        <v xml:space="preserve"> </v>
      </c>
      <c r="E777" s="69" t="str">
        <f>IF(ISBLANK('ALL Other SINs - Proposal'!R777)," ",'ALL Other SINs - Proposal'!R777)</f>
        <v xml:space="preserve"> </v>
      </c>
      <c r="F777" s="73" t="str">
        <f>IF(ISBLANK('ALL Other SINs - Proposal'!S777)," ",'ALL Other SINs - Proposal'!S777)</f>
        <v xml:space="preserve"> </v>
      </c>
      <c r="G777" s="173" t="str">
        <f>IF(ISBLANK('ALL Other SINs - Proposal'!T777)," ",'ALL Other SINs - Proposal'!T777)</f>
        <v xml:space="preserve"> </v>
      </c>
      <c r="H777" s="275" t="str">
        <f>IF(ISBLANK('ALL Other SINs - Proposal'!V777)," ",'ALL Other SINs - Proposal'!V777)</f>
        <v xml:space="preserve"> </v>
      </c>
      <c r="I777" s="271" t="str">
        <f>IF(ISBLANK('ALL Other SINs - Proposal'!W777)," ",'ALL Other SINs - Proposal'!W777)</f>
        <v xml:space="preserve"> </v>
      </c>
      <c r="J777" s="71" t="str">
        <f>IF(ISBLANK('ALL Other SINs - Proposal'!X777)," ",'ALL Other SINs - Proposal'!X777)</f>
        <v xml:space="preserve"> </v>
      </c>
      <c r="K777" s="165" t="str">
        <f>IF(ISBLANK('ALL Other SINs - Proposal'!AA777)," ",'ALL Other SINs - Proposal'!AA777)</f>
        <v xml:space="preserve"> </v>
      </c>
      <c r="L777" s="178" t="str">
        <f>IF(ISBLANK('ALL Other SINs - Proposal'!AB777)," ",'ALL Other SINs - Proposal'!AB777)</f>
        <v xml:space="preserve"> </v>
      </c>
      <c r="M777" s="72" t="str">
        <f t="shared" si="24"/>
        <v xml:space="preserve"> </v>
      </c>
      <c r="N777" s="167" t="str">
        <f t="shared" si="25"/>
        <v xml:space="preserve"> </v>
      </c>
    </row>
    <row r="778" spans="1:14" ht="15" x14ac:dyDescent="0.25">
      <c r="A778" s="131" t="str">
        <f>IF(ISBLANK('ALL Other SINs - Proposal'!A778)," ",'ALL Other SINs - Proposal'!A778)</f>
        <v xml:space="preserve"> </v>
      </c>
      <c r="B778" s="137" t="str">
        <f>IF(ISBLANK('ALL Other SINs - Proposal'!B778)," ",'ALL Other SINs - Proposal'!B778)</f>
        <v xml:space="preserve"> </v>
      </c>
      <c r="C778" s="137" t="str">
        <f>IF(ISBLANK('ALL Other SINs - Proposal'!C778)," ",'ALL Other SINs - Proposal'!C778)</f>
        <v xml:space="preserve"> </v>
      </c>
      <c r="D778" s="138" t="str">
        <f>IF(ISBLANK('ALL Other SINs - Proposal'!D778)," ",'ALL Other SINs - Proposal'!D778)</f>
        <v xml:space="preserve"> </v>
      </c>
      <c r="E778" s="69" t="str">
        <f>IF(ISBLANK('ALL Other SINs - Proposal'!R778)," ",'ALL Other SINs - Proposal'!R778)</f>
        <v xml:space="preserve"> </v>
      </c>
      <c r="F778" s="73" t="str">
        <f>IF(ISBLANK('ALL Other SINs - Proposal'!S778)," ",'ALL Other SINs - Proposal'!S778)</f>
        <v xml:space="preserve"> </v>
      </c>
      <c r="G778" s="173" t="str">
        <f>IF(ISBLANK('ALL Other SINs - Proposal'!T778)," ",'ALL Other SINs - Proposal'!T778)</f>
        <v xml:space="preserve"> </v>
      </c>
      <c r="H778" s="275" t="str">
        <f>IF(ISBLANK('ALL Other SINs - Proposal'!V778)," ",'ALL Other SINs - Proposal'!V778)</f>
        <v xml:space="preserve"> </v>
      </c>
      <c r="I778" s="271" t="str">
        <f>IF(ISBLANK('ALL Other SINs - Proposal'!W778)," ",'ALL Other SINs - Proposal'!W778)</f>
        <v xml:space="preserve"> </v>
      </c>
      <c r="J778" s="71" t="str">
        <f>IF(ISBLANK('ALL Other SINs - Proposal'!X778)," ",'ALL Other SINs - Proposal'!X778)</f>
        <v xml:space="preserve"> </v>
      </c>
      <c r="K778" s="165" t="str">
        <f>IF(ISBLANK('ALL Other SINs - Proposal'!AA778)," ",'ALL Other SINs - Proposal'!AA778)</f>
        <v xml:space="preserve"> </v>
      </c>
      <c r="L778" s="178" t="str">
        <f>IF(ISBLANK('ALL Other SINs - Proposal'!AB778)," ",'ALL Other SINs - Proposal'!AB778)</f>
        <v xml:space="preserve"> </v>
      </c>
      <c r="M778" s="72" t="str">
        <f t="shared" si="24"/>
        <v xml:space="preserve"> </v>
      </c>
      <c r="N778" s="167" t="str">
        <f t="shared" si="25"/>
        <v xml:space="preserve"> </v>
      </c>
    </row>
    <row r="779" spans="1:14" ht="15" x14ac:dyDescent="0.25">
      <c r="A779" s="131" t="str">
        <f>IF(ISBLANK('ALL Other SINs - Proposal'!A779)," ",'ALL Other SINs - Proposal'!A779)</f>
        <v xml:space="preserve"> </v>
      </c>
      <c r="B779" s="137" t="str">
        <f>IF(ISBLANK('ALL Other SINs - Proposal'!B779)," ",'ALL Other SINs - Proposal'!B779)</f>
        <v xml:space="preserve"> </v>
      </c>
      <c r="C779" s="137" t="str">
        <f>IF(ISBLANK('ALL Other SINs - Proposal'!C779)," ",'ALL Other SINs - Proposal'!C779)</f>
        <v xml:space="preserve"> </v>
      </c>
      <c r="D779" s="138" t="str">
        <f>IF(ISBLANK('ALL Other SINs - Proposal'!D779)," ",'ALL Other SINs - Proposal'!D779)</f>
        <v xml:space="preserve"> </v>
      </c>
      <c r="E779" s="69" t="str">
        <f>IF(ISBLANK('ALL Other SINs - Proposal'!R779)," ",'ALL Other SINs - Proposal'!R779)</f>
        <v xml:space="preserve"> </v>
      </c>
      <c r="F779" s="73" t="str">
        <f>IF(ISBLANK('ALL Other SINs - Proposal'!S779)," ",'ALL Other SINs - Proposal'!S779)</f>
        <v xml:space="preserve"> </v>
      </c>
      <c r="G779" s="173" t="str">
        <f>IF(ISBLANK('ALL Other SINs - Proposal'!T779)," ",'ALL Other SINs - Proposal'!T779)</f>
        <v xml:space="preserve"> </v>
      </c>
      <c r="H779" s="275" t="str">
        <f>IF(ISBLANK('ALL Other SINs - Proposal'!V779)," ",'ALL Other SINs - Proposal'!V779)</f>
        <v xml:space="preserve"> </v>
      </c>
      <c r="I779" s="271" t="str">
        <f>IF(ISBLANK('ALL Other SINs - Proposal'!W779)," ",'ALL Other SINs - Proposal'!W779)</f>
        <v xml:space="preserve"> </v>
      </c>
      <c r="J779" s="71" t="str">
        <f>IF(ISBLANK('ALL Other SINs - Proposal'!X779)," ",'ALL Other SINs - Proposal'!X779)</f>
        <v xml:space="preserve"> </v>
      </c>
      <c r="K779" s="165" t="str">
        <f>IF(ISBLANK('ALL Other SINs - Proposal'!AA779)," ",'ALL Other SINs - Proposal'!AA779)</f>
        <v xml:space="preserve"> </v>
      </c>
      <c r="L779" s="178" t="str">
        <f>IF(ISBLANK('ALL Other SINs - Proposal'!AB779)," ",'ALL Other SINs - Proposal'!AB779)</f>
        <v xml:space="preserve"> </v>
      </c>
      <c r="M779" s="72" t="str">
        <f t="shared" si="24"/>
        <v xml:space="preserve"> </v>
      </c>
      <c r="N779" s="167" t="str">
        <f t="shared" si="25"/>
        <v xml:space="preserve"> </v>
      </c>
    </row>
    <row r="780" spans="1:14" ht="15" x14ac:dyDescent="0.25">
      <c r="A780" s="131" t="str">
        <f>IF(ISBLANK('ALL Other SINs - Proposal'!A780)," ",'ALL Other SINs - Proposal'!A780)</f>
        <v xml:space="preserve"> </v>
      </c>
      <c r="B780" s="137" t="str">
        <f>IF(ISBLANK('ALL Other SINs - Proposal'!B780)," ",'ALL Other SINs - Proposal'!B780)</f>
        <v xml:space="preserve"> </v>
      </c>
      <c r="C780" s="137" t="str">
        <f>IF(ISBLANK('ALL Other SINs - Proposal'!C780)," ",'ALL Other SINs - Proposal'!C780)</f>
        <v xml:space="preserve"> </v>
      </c>
      <c r="D780" s="138" t="str">
        <f>IF(ISBLANK('ALL Other SINs - Proposal'!D780)," ",'ALL Other SINs - Proposal'!D780)</f>
        <v xml:space="preserve"> </v>
      </c>
      <c r="E780" s="69" t="str">
        <f>IF(ISBLANK('ALL Other SINs - Proposal'!R780)," ",'ALL Other SINs - Proposal'!R780)</f>
        <v xml:space="preserve"> </v>
      </c>
      <c r="F780" s="73" t="str">
        <f>IF(ISBLANK('ALL Other SINs - Proposal'!S780)," ",'ALL Other SINs - Proposal'!S780)</f>
        <v xml:space="preserve"> </v>
      </c>
      <c r="G780" s="173" t="str">
        <f>IF(ISBLANK('ALL Other SINs - Proposal'!T780)," ",'ALL Other SINs - Proposal'!T780)</f>
        <v xml:space="preserve"> </v>
      </c>
      <c r="H780" s="275" t="str">
        <f>IF(ISBLANK('ALL Other SINs - Proposal'!V780)," ",'ALL Other SINs - Proposal'!V780)</f>
        <v xml:space="preserve"> </v>
      </c>
      <c r="I780" s="271" t="str">
        <f>IF(ISBLANK('ALL Other SINs - Proposal'!W780)," ",'ALL Other SINs - Proposal'!W780)</f>
        <v xml:space="preserve"> </v>
      </c>
      <c r="J780" s="71" t="str">
        <f>IF(ISBLANK('ALL Other SINs - Proposal'!X780)," ",'ALL Other SINs - Proposal'!X780)</f>
        <v xml:space="preserve"> </v>
      </c>
      <c r="K780" s="165" t="str">
        <f>IF(ISBLANK('ALL Other SINs - Proposal'!AA780)," ",'ALL Other SINs - Proposal'!AA780)</f>
        <v xml:space="preserve"> </v>
      </c>
      <c r="L780" s="178" t="str">
        <f>IF(ISBLANK('ALL Other SINs - Proposal'!AB780)," ",'ALL Other SINs - Proposal'!AB780)</f>
        <v xml:space="preserve"> </v>
      </c>
      <c r="M780" s="72" t="str">
        <f t="shared" si="24"/>
        <v xml:space="preserve"> </v>
      </c>
      <c r="N780" s="167" t="str">
        <f t="shared" si="25"/>
        <v xml:space="preserve"> </v>
      </c>
    </row>
    <row r="781" spans="1:14" ht="15" x14ac:dyDescent="0.25">
      <c r="A781" s="131" t="str">
        <f>IF(ISBLANK('ALL Other SINs - Proposal'!A781)," ",'ALL Other SINs - Proposal'!A781)</f>
        <v xml:space="preserve"> </v>
      </c>
      <c r="B781" s="137" t="str">
        <f>IF(ISBLANK('ALL Other SINs - Proposal'!B781)," ",'ALL Other SINs - Proposal'!B781)</f>
        <v xml:space="preserve"> </v>
      </c>
      <c r="C781" s="137" t="str">
        <f>IF(ISBLANK('ALL Other SINs - Proposal'!C781)," ",'ALL Other SINs - Proposal'!C781)</f>
        <v xml:space="preserve"> </v>
      </c>
      <c r="D781" s="138" t="str">
        <f>IF(ISBLANK('ALL Other SINs - Proposal'!D781)," ",'ALL Other SINs - Proposal'!D781)</f>
        <v xml:space="preserve"> </v>
      </c>
      <c r="E781" s="69" t="str">
        <f>IF(ISBLANK('ALL Other SINs - Proposal'!R781)," ",'ALL Other SINs - Proposal'!R781)</f>
        <v xml:space="preserve"> </v>
      </c>
      <c r="F781" s="73" t="str">
        <f>IF(ISBLANK('ALL Other SINs - Proposal'!S781)," ",'ALL Other SINs - Proposal'!S781)</f>
        <v xml:space="preserve"> </v>
      </c>
      <c r="G781" s="173" t="str">
        <f>IF(ISBLANK('ALL Other SINs - Proposal'!T781)," ",'ALL Other SINs - Proposal'!T781)</f>
        <v xml:space="preserve"> </v>
      </c>
      <c r="H781" s="275" t="str">
        <f>IF(ISBLANK('ALL Other SINs - Proposal'!V781)," ",'ALL Other SINs - Proposal'!V781)</f>
        <v xml:space="preserve"> </v>
      </c>
      <c r="I781" s="271" t="str">
        <f>IF(ISBLANK('ALL Other SINs - Proposal'!W781)," ",'ALL Other SINs - Proposal'!W781)</f>
        <v xml:space="preserve"> </v>
      </c>
      <c r="J781" s="71" t="str">
        <f>IF(ISBLANK('ALL Other SINs - Proposal'!X781)," ",'ALL Other SINs - Proposal'!X781)</f>
        <v xml:space="preserve"> </v>
      </c>
      <c r="K781" s="165" t="str">
        <f>IF(ISBLANK('ALL Other SINs - Proposal'!AA781)," ",'ALL Other SINs - Proposal'!AA781)</f>
        <v xml:space="preserve"> </v>
      </c>
      <c r="L781" s="178" t="str">
        <f>IF(ISBLANK('ALL Other SINs - Proposal'!AB781)," ",'ALL Other SINs - Proposal'!AB781)</f>
        <v xml:space="preserve"> </v>
      </c>
      <c r="M781" s="72" t="str">
        <f t="shared" si="24"/>
        <v xml:space="preserve"> </v>
      </c>
      <c r="N781" s="167" t="str">
        <f t="shared" si="25"/>
        <v xml:space="preserve"> </v>
      </c>
    </row>
    <row r="782" spans="1:14" ht="15" x14ac:dyDescent="0.25">
      <c r="A782" s="131" t="str">
        <f>IF(ISBLANK('ALL Other SINs - Proposal'!A782)," ",'ALL Other SINs - Proposal'!A782)</f>
        <v xml:space="preserve"> </v>
      </c>
      <c r="B782" s="137" t="str">
        <f>IF(ISBLANK('ALL Other SINs - Proposal'!B782)," ",'ALL Other SINs - Proposal'!B782)</f>
        <v xml:space="preserve"> </v>
      </c>
      <c r="C782" s="137" t="str">
        <f>IF(ISBLANK('ALL Other SINs - Proposal'!C782)," ",'ALL Other SINs - Proposal'!C782)</f>
        <v xml:space="preserve"> </v>
      </c>
      <c r="D782" s="138" t="str">
        <f>IF(ISBLANK('ALL Other SINs - Proposal'!D782)," ",'ALL Other SINs - Proposal'!D782)</f>
        <v xml:space="preserve"> </v>
      </c>
      <c r="E782" s="69" t="str">
        <f>IF(ISBLANK('ALL Other SINs - Proposal'!R782)," ",'ALL Other SINs - Proposal'!R782)</f>
        <v xml:space="preserve"> </v>
      </c>
      <c r="F782" s="73" t="str">
        <f>IF(ISBLANK('ALL Other SINs - Proposal'!S782)," ",'ALL Other SINs - Proposal'!S782)</f>
        <v xml:space="preserve"> </v>
      </c>
      <c r="G782" s="173" t="str">
        <f>IF(ISBLANK('ALL Other SINs - Proposal'!T782)," ",'ALL Other SINs - Proposal'!T782)</f>
        <v xml:space="preserve"> </v>
      </c>
      <c r="H782" s="275" t="str">
        <f>IF(ISBLANK('ALL Other SINs - Proposal'!V782)," ",'ALL Other SINs - Proposal'!V782)</f>
        <v xml:space="preserve"> </v>
      </c>
      <c r="I782" s="271" t="str">
        <f>IF(ISBLANK('ALL Other SINs - Proposal'!W782)," ",'ALL Other SINs - Proposal'!W782)</f>
        <v xml:space="preserve"> </v>
      </c>
      <c r="J782" s="71" t="str">
        <f>IF(ISBLANK('ALL Other SINs - Proposal'!X782)," ",'ALL Other SINs - Proposal'!X782)</f>
        <v xml:space="preserve"> </v>
      </c>
      <c r="K782" s="165" t="str">
        <f>IF(ISBLANK('ALL Other SINs - Proposal'!AA782)," ",'ALL Other SINs - Proposal'!AA782)</f>
        <v xml:space="preserve"> </v>
      </c>
      <c r="L782" s="178" t="str">
        <f>IF(ISBLANK('ALL Other SINs - Proposal'!AB782)," ",'ALL Other SINs - Proposal'!AB782)</f>
        <v xml:space="preserve"> </v>
      </c>
      <c r="M782" s="72" t="str">
        <f t="shared" si="24"/>
        <v xml:space="preserve"> </v>
      </c>
      <c r="N782" s="167" t="str">
        <f t="shared" si="25"/>
        <v xml:space="preserve"> </v>
      </c>
    </row>
    <row r="783" spans="1:14" ht="15" x14ac:dyDescent="0.25">
      <c r="A783" s="131" t="str">
        <f>IF(ISBLANK('ALL Other SINs - Proposal'!A783)," ",'ALL Other SINs - Proposal'!A783)</f>
        <v xml:space="preserve"> </v>
      </c>
      <c r="B783" s="137" t="str">
        <f>IF(ISBLANK('ALL Other SINs - Proposal'!B783)," ",'ALL Other SINs - Proposal'!B783)</f>
        <v xml:space="preserve"> </v>
      </c>
      <c r="C783" s="137" t="str">
        <f>IF(ISBLANK('ALL Other SINs - Proposal'!C783)," ",'ALL Other SINs - Proposal'!C783)</f>
        <v xml:space="preserve"> </v>
      </c>
      <c r="D783" s="138" t="str">
        <f>IF(ISBLANK('ALL Other SINs - Proposal'!D783)," ",'ALL Other SINs - Proposal'!D783)</f>
        <v xml:space="preserve"> </v>
      </c>
      <c r="E783" s="69" t="str">
        <f>IF(ISBLANK('ALL Other SINs - Proposal'!R783)," ",'ALL Other SINs - Proposal'!R783)</f>
        <v xml:space="preserve"> </v>
      </c>
      <c r="F783" s="73" t="str">
        <f>IF(ISBLANK('ALL Other SINs - Proposal'!S783)," ",'ALL Other SINs - Proposal'!S783)</f>
        <v xml:space="preserve"> </v>
      </c>
      <c r="G783" s="173" t="str">
        <f>IF(ISBLANK('ALL Other SINs - Proposal'!T783)," ",'ALL Other SINs - Proposal'!T783)</f>
        <v xml:space="preserve"> </v>
      </c>
      <c r="H783" s="275" t="str">
        <f>IF(ISBLANK('ALL Other SINs - Proposal'!V783)," ",'ALL Other SINs - Proposal'!V783)</f>
        <v xml:space="preserve"> </v>
      </c>
      <c r="I783" s="271" t="str">
        <f>IF(ISBLANK('ALL Other SINs - Proposal'!W783)," ",'ALL Other SINs - Proposal'!W783)</f>
        <v xml:space="preserve"> </v>
      </c>
      <c r="J783" s="71" t="str">
        <f>IF(ISBLANK('ALL Other SINs - Proposal'!X783)," ",'ALL Other SINs - Proposal'!X783)</f>
        <v xml:space="preserve"> </v>
      </c>
      <c r="K783" s="165" t="str">
        <f>IF(ISBLANK('ALL Other SINs - Proposal'!AA783)," ",'ALL Other SINs - Proposal'!AA783)</f>
        <v xml:space="preserve"> </v>
      </c>
      <c r="L783" s="178" t="str">
        <f>IF(ISBLANK('ALL Other SINs - Proposal'!AB783)," ",'ALL Other SINs - Proposal'!AB783)</f>
        <v xml:space="preserve"> </v>
      </c>
      <c r="M783" s="72" t="str">
        <f t="shared" si="24"/>
        <v xml:space="preserve"> </v>
      </c>
      <c r="N783" s="167" t="str">
        <f t="shared" si="25"/>
        <v xml:space="preserve"> </v>
      </c>
    </row>
    <row r="784" spans="1:14" ht="15" x14ac:dyDescent="0.25">
      <c r="A784" s="131" t="str">
        <f>IF(ISBLANK('ALL Other SINs - Proposal'!A784)," ",'ALL Other SINs - Proposal'!A784)</f>
        <v xml:space="preserve"> </v>
      </c>
      <c r="B784" s="137" t="str">
        <f>IF(ISBLANK('ALL Other SINs - Proposal'!B784)," ",'ALL Other SINs - Proposal'!B784)</f>
        <v xml:space="preserve"> </v>
      </c>
      <c r="C784" s="137" t="str">
        <f>IF(ISBLANK('ALL Other SINs - Proposal'!C784)," ",'ALL Other SINs - Proposal'!C784)</f>
        <v xml:space="preserve"> </v>
      </c>
      <c r="D784" s="138" t="str">
        <f>IF(ISBLANK('ALL Other SINs - Proposal'!D784)," ",'ALL Other SINs - Proposal'!D784)</f>
        <v xml:space="preserve"> </v>
      </c>
      <c r="E784" s="69" t="str">
        <f>IF(ISBLANK('ALL Other SINs - Proposal'!R784)," ",'ALL Other SINs - Proposal'!R784)</f>
        <v xml:space="preserve"> </v>
      </c>
      <c r="F784" s="73" t="str">
        <f>IF(ISBLANK('ALL Other SINs - Proposal'!S784)," ",'ALL Other SINs - Proposal'!S784)</f>
        <v xml:space="preserve"> </v>
      </c>
      <c r="G784" s="173" t="str">
        <f>IF(ISBLANK('ALL Other SINs - Proposal'!T784)," ",'ALL Other SINs - Proposal'!T784)</f>
        <v xml:space="preserve"> </v>
      </c>
      <c r="H784" s="275" t="str">
        <f>IF(ISBLANK('ALL Other SINs - Proposal'!V784)," ",'ALL Other SINs - Proposal'!V784)</f>
        <v xml:space="preserve"> </v>
      </c>
      <c r="I784" s="271" t="str">
        <f>IF(ISBLANK('ALL Other SINs - Proposal'!W784)," ",'ALL Other SINs - Proposal'!W784)</f>
        <v xml:space="preserve"> </v>
      </c>
      <c r="J784" s="71" t="str">
        <f>IF(ISBLANK('ALL Other SINs - Proposal'!X784)," ",'ALL Other SINs - Proposal'!X784)</f>
        <v xml:space="preserve"> </v>
      </c>
      <c r="K784" s="165" t="str">
        <f>IF(ISBLANK('ALL Other SINs - Proposal'!AA784)," ",'ALL Other SINs - Proposal'!AA784)</f>
        <v xml:space="preserve"> </v>
      </c>
      <c r="L784" s="178" t="str">
        <f>IF(ISBLANK('ALL Other SINs - Proposal'!AB784)," ",'ALL Other SINs - Proposal'!AB784)</f>
        <v xml:space="preserve"> </v>
      </c>
      <c r="M784" s="72" t="str">
        <f t="shared" si="24"/>
        <v xml:space="preserve"> </v>
      </c>
      <c r="N784" s="167" t="str">
        <f t="shared" si="25"/>
        <v xml:space="preserve"> </v>
      </c>
    </row>
    <row r="785" spans="1:14" ht="15" x14ac:dyDescent="0.25">
      <c r="A785" s="131" t="str">
        <f>IF(ISBLANK('ALL Other SINs - Proposal'!A785)," ",'ALL Other SINs - Proposal'!A785)</f>
        <v xml:space="preserve"> </v>
      </c>
      <c r="B785" s="137" t="str">
        <f>IF(ISBLANK('ALL Other SINs - Proposal'!B785)," ",'ALL Other SINs - Proposal'!B785)</f>
        <v xml:space="preserve"> </v>
      </c>
      <c r="C785" s="137" t="str">
        <f>IF(ISBLANK('ALL Other SINs - Proposal'!C785)," ",'ALL Other SINs - Proposal'!C785)</f>
        <v xml:space="preserve"> </v>
      </c>
      <c r="D785" s="138" t="str">
        <f>IF(ISBLANK('ALL Other SINs - Proposal'!D785)," ",'ALL Other SINs - Proposal'!D785)</f>
        <v xml:space="preserve"> </v>
      </c>
      <c r="E785" s="69" t="str">
        <f>IF(ISBLANK('ALL Other SINs - Proposal'!R785)," ",'ALL Other SINs - Proposal'!R785)</f>
        <v xml:space="preserve"> </v>
      </c>
      <c r="F785" s="73" t="str">
        <f>IF(ISBLANK('ALL Other SINs - Proposal'!S785)," ",'ALL Other SINs - Proposal'!S785)</f>
        <v xml:space="preserve"> </v>
      </c>
      <c r="G785" s="173" t="str">
        <f>IF(ISBLANK('ALL Other SINs - Proposal'!T785)," ",'ALL Other SINs - Proposal'!T785)</f>
        <v xml:space="preserve"> </v>
      </c>
      <c r="H785" s="275" t="str">
        <f>IF(ISBLANK('ALL Other SINs - Proposal'!V785)," ",'ALL Other SINs - Proposal'!V785)</f>
        <v xml:space="preserve"> </v>
      </c>
      <c r="I785" s="271" t="str">
        <f>IF(ISBLANK('ALL Other SINs - Proposal'!W785)," ",'ALL Other SINs - Proposal'!W785)</f>
        <v xml:space="preserve"> </v>
      </c>
      <c r="J785" s="71" t="str">
        <f>IF(ISBLANK('ALL Other SINs - Proposal'!X785)," ",'ALL Other SINs - Proposal'!X785)</f>
        <v xml:space="preserve"> </v>
      </c>
      <c r="K785" s="165" t="str">
        <f>IF(ISBLANK('ALL Other SINs - Proposal'!AA785)," ",'ALL Other SINs - Proposal'!AA785)</f>
        <v xml:space="preserve"> </v>
      </c>
      <c r="L785" s="178" t="str">
        <f>IF(ISBLANK('ALL Other SINs - Proposal'!AB785)," ",'ALL Other SINs - Proposal'!AB785)</f>
        <v xml:space="preserve"> </v>
      </c>
      <c r="M785" s="72" t="str">
        <f t="shared" si="24"/>
        <v xml:space="preserve"> </v>
      </c>
      <c r="N785" s="167" t="str">
        <f t="shared" si="25"/>
        <v xml:space="preserve"> </v>
      </c>
    </row>
    <row r="786" spans="1:14" ht="15" x14ac:dyDescent="0.25">
      <c r="A786" s="131" t="str">
        <f>IF(ISBLANK('ALL Other SINs - Proposal'!A786)," ",'ALL Other SINs - Proposal'!A786)</f>
        <v xml:space="preserve"> </v>
      </c>
      <c r="B786" s="137" t="str">
        <f>IF(ISBLANK('ALL Other SINs - Proposal'!B786)," ",'ALL Other SINs - Proposal'!B786)</f>
        <v xml:space="preserve"> </v>
      </c>
      <c r="C786" s="137" t="str">
        <f>IF(ISBLANK('ALL Other SINs - Proposal'!C786)," ",'ALL Other SINs - Proposal'!C786)</f>
        <v xml:space="preserve"> </v>
      </c>
      <c r="D786" s="138" t="str">
        <f>IF(ISBLANK('ALL Other SINs - Proposal'!D786)," ",'ALL Other SINs - Proposal'!D786)</f>
        <v xml:space="preserve"> </v>
      </c>
      <c r="E786" s="69" t="str">
        <f>IF(ISBLANK('ALL Other SINs - Proposal'!R786)," ",'ALL Other SINs - Proposal'!R786)</f>
        <v xml:space="preserve"> </v>
      </c>
      <c r="F786" s="73" t="str">
        <f>IF(ISBLANK('ALL Other SINs - Proposal'!S786)," ",'ALL Other SINs - Proposal'!S786)</f>
        <v xml:space="preserve"> </v>
      </c>
      <c r="G786" s="173" t="str">
        <f>IF(ISBLANK('ALL Other SINs - Proposal'!T786)," ",'ALL Other SINs - Proposal'!T786)</f>
        <v xml:space="preserve"> </v>
      </c>
      <c r="H786" s="275" t="str">
        <f>IF(ISBLANK('ALL Other SINs - Proposal'!V786)," ",'ALL Other SINs - Proposal'!V786)</f>
        <v xml:space="preserve"> </v>
      </c>
      <c r="I786" s="271" t="str">
        <f>IF(ISBLANK('ALL Other SINs - Proposal'!W786)," ",'ALL Other SINs - Proposal'!W786)</f>
        <v xml:space="preserve"> </v>
      </c>
      <c r="J786" s="71" t="str">
        <f>IF(ISBLANK('ALL Other SINs - Proposal'!X786)," ",'ALL Other SINs - Proposal'!X786)</f>
        <v xml:space="preserve"> </v>
      </c>
      <c r="K786" s="165" t="str">
        <f>IF(ISBLANK('ALL Other SINs - Proposal'!AA786)," ",'ALL Other SINs - Proposal'!AA786)</f>
        <v xml:space="preserve"> </v>
      </c>
      <c r="L786" s="178" t="str">
        <f>IF(ISBLANK('ALL Other SINs - Proposal'!AB786)," ",'ALL Other SINs - Proposal'!AB786)</f>
        <v xml:space="preserve"> </v>
      </c>
      <c r="M786" s="72" t="str">
        <f t="shared" si="24"/>
        <v xml:space="preserve"> </v>
      </c>
      <c r="N786" s="167" t="str">
        <f t="shared" si="25"/>
        <v xml:space="preserve"> </v>
      </c>
    </row>
    <row r="787" spans="1:14" ht="15" x14ac:dyDescent="0.25">
      <c r="A787" s="131" t="str">
        <f>IF(ISBLANK('ALL Other SINs - Proposal'!A787)," ",'ALL Other SINs - Proposal'!A787)</f>
        <v xml:space="preserve"> </v>
      </c>
      <c r="B787" s="137" t="str">
        <f>IF(ISBLANK('ALL Other SINs - Proposal'!B787)," ",'ALL Other SINs - Proposal'!B787)</f>
        <v xml:space="preserve"> </v>
      </c>
      <c r="C787" s="137" t="str">
        <f>IF(ISBLANK('ALL Other SINs - Proposal'!C787)," ",'ALL Other SINs - Proposal'!C787)</f>
        <v xml:space="preserve"> </v>
      </c>
      <c r="D787" s="138" t="str">
        <f>IF(ISBLANK('ALL Other SINs - Proposal'!D787)," ",'ALL Other SINs - Proposal'!D787)</f>
        <v xml:space="preserve"> </v>
      </c>
      <c r="E787" s="69" t="str">
        <f>IF(ISBLANK('ALL Other SINs - Proposal'!R787)," ",'ALL Other SINs - Proposal'!R787)</f>
        <v xml:space="preserve"> </v>
      </c>
      <c r="F787" s="73" t="str">
        <f>IF(ISBLANK('ALL Other SINs - Proposal'!S787)," ",'ALL Other SINs - Proposal'!S787)</f>
        <v xml:space="preserve"> </v>
      </c>
      <c r="G787" s="173" t="str">
        <f>IF(ISBLANK('ALL Other SINs - Proposal'!T787)," ",'ALL Other SINs - Proposal'!T787)</f>
        <v xml:space="preserve"> </v>
      </c>
      <c r="H787" s="275" t="str">
        <f>IF(ISBLANK('ALL Other SINs - Proposal'!V787)," ",'ALL Other SINs - Proposal'!V787)</f>
        <v xml:space="preserve"> </v>
      </c>
      <c r="I787" s="271" t="str">
        <f>IF(ISBLANK('ALL Other SINs - Proposal'!W787)," ",'ALL Other SINs - Proposal'!W787)</f>
        <v xml:space="preserve"> </v>
      </c>
      <c r="J787" s="71" t="str">
        <f>IF(ISBLANK('ALL Other SINs - Proposal'!X787)," ",'ALL Other SINs - Proposal'!X787)</f>
        <v xml:space="preserve"> </v>
      </c>
      <c r="K787" s="165" t="str">
        <f>IF(ISBLANK('ALL Other SINs - Proposal'!AA787)," ",'ALL Other SINs - Proposal'!AA787)</f>
        <v xml:space="preserve"> </v>
      </c>
      <c r="L787" s="178" t="str">
        <f>IF(ISBLANK('ALL Other SINs - Proposal'!AB787)," ",'ALL Other SINs - Proposal'!AB787)</f>
        <v xml:space="preserve"> </v>
      </c>
      <c r="M787" s="72" t="str">
        <f t="shared" si="24"/>
        <v xml:space="preserve"> </v>
      </c>
      <c r="N787" s="167" t="str">
        <f t="shared" si="25"/>
        <v xml:space="preserve"> </v>
      </c>
    </row>
    <row r="788" spans="1:14" ht="15" x14ac:dyDescent="0.25">
      <c r="A788" s="131" t="str">
        <f>IF(ISBLANK('ALL Other SINs - Proposal'!A788)," ",'ALL Other SINs - Proposal'!A788)</f>
        <v xml:space="preserve"> </v>
      </c>
      <c r="B788" s="137" t="str">
        <f>IF(ISBLANK('ALL Other SINs - Proposal'!B788)," ",'ALL Other SINs - Proposal'!B788)</f>
        <v xml:space="preserve"> </v>
      </c>
      <c r="C788" s="137" t="str">
        <f>IF(ISBLANK('ALL Other SINs - Proposal'!C788)," ",'ALL Other SINs - Proposal'!C788)</f>
        <v xml:space="preserve"> </v>
      </c>
      <c r="D788" s="138" t="str">
        <f>IF(ISBLANK('ALL Other SINs - Proposal'!D788)," ",'ALL Other SINs - Proposal'!D788)</f>
        <v xml:space="preserve"> </v>
      </c>
      <c r="E788" s="69" t="str">
        <f>IF(ISBLANK('ALL Other SINs - Proposal'!R788)," ",'ALL Other SINs - Proposal'!R788)</f>
        <v xml:space="preserve"> </v>
      </c>
      <c r="F788" s="73" t="str">
        <f>IF(ISBLANK('ALL Other SINs - Proposal'!S788)," ",'ALL Other SINs - Proposal'!S788)</f>
        <v xml:space="preserve"> </v>
      </c>
      <c r="G788" s="173" t="str">
        <f>IF(ISBLANK('ALL Other SINs - Proposal'!T788)," ",'ALL Other SINs - Proposal'!T788)</f>
        <v xml:space="preserve"> </v>
      </c>
      <c r="H788" s="275" t="str">
        <f>IF(ISBLANK('ALL Other SINs - Proposal'!V788)," ",'ALL Other SINs - Proposal'!V788)</f>
        <v xml:space="preserve"> </v>
      </c>
      <c r="I788" s="271" t="str">
        <f>IF(ISBLANK('ALL Other SINs - Proposal'!W788)," ",'ALL Other SINs - Proposal'!W788)</f>
        <v xml:space="preserve"> </v>
      </c>
      <c r="J788" s="71" t="str">
        <f>IF(ISBLANK('ALL Other SINs - Proposal'!X788)," ",'ALL Other SINs - Proposal'!X788)</f>
        <v xml:space="preserve"> </v>
      </c>
      <c r="K788" s="165" t="str">
        <f>IF(ISBLANK('ALL Other SINs - Proposal'!AA788)," ",'ALL Other SINs - Proposal'!AA788)</f>
        <v xml:space="preserve"> </v>
      </c>
      <c r="L788" s="178" t="str">
        <f>IF(ISBLANK('ALL Other SINs - Proposal'!AB788)," ",'ALL Other SINs - Proposal'!AB788)</f>
        <v xml:space="preserve"> </v>
      </c>
      <c r="M788" s="72" t="str">
        <f t="shared" si="24"/>
        <v xml:space="preserve"> </v>
      </c>
      <c r="N788" s="167" t="str">
        <f t="shared" si="25"/>
        <v xml:space="preserve"> </v>
      </c>
    </row>
    <row r="789" spans="1:14" ht="15" x14ac:dyDescent="0.25">
      <c r="A789" s="131" t="str">
        <f>IF(ISBLANK('ALL Other SINs - Proposal'!A789)," ",'ALL Other SINs - Proposal'!A789)</f>
        <v xml:space="preserve"> </v>
      </c>
      <c r="B789" s="137" t="str">
        <f>IF(ISBLANK('ALL Other SINs - Proposal'!B789)," ",'ALL Other SINs - Proposal'!B789)</f>
        <v xml:space="preserve"> </v>
      </c>
      <c r="C789" s="137" t="str">
        <f>IF(ISBLANK('ALL Other SINs - Proposal'!C789)," ",'ALL Other SINs - Proposal'!C789)</f>
        <v xml:space="preserve"> </v>
      </c>
      <c r="D789" s="138" t="str">
        <f>IF(ISBLANK('ALL Other SINs - Proposal'!D789)," ",'ALL Other SINs - Proposal'!D789)</f>
        <v xml:space="preserve"> </v>
      </c>
      <c r="E789" s="69" t="str">
        <f>IF(ISBLANK('ALL Other SINs - Proposal'!R789)," ",'ALL Other SINs - Proposal'!R789)</f>
        <v xml:space="preserve"> </v>
      </c>
      <c r="F789" s="73" t="str">
        <f>IF(ISBLANK('ALL Other SINs - Proposal'!S789)," ",'ALL Other SINs - Proposal'!S789)</f>
        <v xml:space="preserve"> </v>
      </c>
      <c r="G789" s="173" t="str">
        <f>IF(ISBLANK('ALL Other SINs - Proposal'!T789)," ",'ALL Other SINs - Proposal'!T789)</f>
        <v xml:space="preserve"> </v>
      </c>
      <c r="H789" s="275" t="str">
        <f>IF(ISBLANK('ALL Other SINs - Proposal'!V789)," ",'ALL Other SINs - Proposal'!V789)</f>
        <v xml:space="preserve"> </v>
      </c>
      <c r="I789" s="271" t="str">
        <f>IF(ISBLANK('ALL Other SINs - Proposal'!W789)," ",'ALL Other SINs - Proposal'!W789)</f>
        <v xml:space="preserve"> </v>
      </c>
      <c r="J789" s="71" t="str">
        <f>IF(ISBLANK('ALL Other SINs - Proposal'!X789)," ",'ALL Other SINs - Proposal'!X789)</f>
        <v xml:space="preserve"> </v>
      </c>
      <c r="K789" s="165" t="str">
        <f>IF(ISBLANK('ALL Other SINs - Proposal'!AA789)," ",'ALL Other SINs - Proposal'!AA789)</f>
        <v xml:space="preserve"> </v>
      </c>
      <c r="L789" s="178" t="str">
        <f>IF(ISBLANK('ALL Other SINs - Proposal'!AB789)," ",'ALL Other SINs - Proposal'!AB789)</f>
        <v xml:space="preserve"> </v>
      </c>
      <c r="M789" s="72" t="str">
        <f t="shared" si="24"/>
        <v xml:space="preserve"> </v>
      </c>
      <c r="N789" s="167" t="str">
        <f t="shared" si="25"/>
        <v xml:space="preserve"> </v>
      </c>
    </row>
    <row r="790" spans="1:14" ht="15" x14ac:dyDescent="0.25">
      <c r="A790" s="131" t="str">
        <f>IF(ISBLANK('ALL Other SINs - Proposal'!A790)," ",'ALL Other SINs - Proposal'!A790)</f>
        <v xml:space="preserve"> </v>
      </c>
      <c r="B790" s="137" t="str">
        <f>IF(ISBLANK('ALL Other SINs - Proposal'!B790)," ",'ALL Other SINs - Proposal'!B790)</f>
        <v xml:space="preserve"> </v>
      </c>
      <c r="C790" s="137" t="str">
        <f>IF(ISBLANK('ALL Other SINs - Proposal'!C790)," ",'ALL Other SINs - Proposal'!C790)</f>
        <v xml:space="preserve"> </v>
      </c>
      <c r="D790" s="138" t="str">
        <f>IF(ISBLANK('ALL Other SINs - Proposal'!D790)," ",'ALL Other SINs - Proposal'!D790)</f>
        <v xml:space="preserve"> </v>
      </c>
      <c r="E790" s="69" t="str">
        <f>IF(ISBLANK('ALL Other SINs - Proposal'!R790)," ",'ALL Other SINs - Proposal'!R790)</f>
        <v xml:space="preserve"> </v>
      </c>
      <c r="F790" s="73" t="str">
        <f>IF(ISBLANK('ALL Other SINs - Proposal'!S790)," ",'ALL Other SINs - Proposal'!S790)</f>
        <v xml:space="preserve"> </v>
      </c>
      <c r="G790" s="173" t="str">
        <f>IF(ISBLANK('ALL Other SINs - Proposal'!T790)," ",'ALL Other SINs - Proposal'!T790)</f>
        <v xml:space="preserve"> </v>
      </c>
      <c r="H790" s="275" t="str">
        <f>IF(ISBLANK('ALL Other SINs - Proposal'!V790)," ",'ALL Other SINs - Proposal'!V790)</f>
        <v xml:space="preserve"> </v>
      </c>
      <c r="I790" s="271" t="str">
        <f>IF(ISBLANK('ALL Other SINs - Proposal'!W790)," ",'ALL Other SINs - Proposal'!W790)</f>
        <v xml:space="preserve"> </v>
      </c>
      <c r="J790" s="71" t="str">
        <f>IF(ISBLANK('ALL Other SINs - Proposal'!X790)," ",'ALL Other SINs - Proposal'!X790)</f>
        <v xml:space="preserve"> </v>
      </c>
      <c r="K790" s="165" t="str">
        <f>IF(ISBLANK('ALL Other SINs - Proposal'!AA790)," ",'ALL Other SINs - Proposal'!AA790)</f>
        <v xml:space="preserve"> </v>
      </c>
      <c r="L790" s="178" t="str">
        <f>IF(ISBLANK('ALL Other SINs - Proposal'!AB790)," ",'ALL Other SINs - Proposal'!AB790)</f>
        <v xml:space="preserve"> </v>
      </c>
      <c r="M790" s="72" t="str">
        <f t="shared" si="24"/>
        <v xml:space="preserve"> </v>
      </c>
      <c r="N790" s="167" t="str">
        <f t="shared" si="25"/>
        <v xml:space="preserve"> </v>
      </c>
    </row>
    <row r="791" spans="1:14" ht="15" x14ac:dyDescent="0.25">
      <c r="A791" s="131" t="str">
        <f>IF(ISBLANK('ALL Other SINs - Proposal'!A791)," ",'ALL Other SINs - Proposal'!A791)</f>
        <v xml:space="preserve"> </v>
      </c>
      <c r="B791" s="137" t="str">
        <f>IF(ISBLANK('ALL Other SINs - Proposal'!B791)," ",'ALL Other SINs - Proposal'!B791)</f>
        <v xml:space="preserve"> </v>
      </c>
      <c r="C791" s="137" t="str">
        <f>IF(ISBLANK('ALL Other SINs - Proposal'!C791)," ",'ALL Other SINs - Proposal'!C791)</f>
        <v xml:space="preserve"> </v>
      </c>
      <c r="D791" s="138" t="str">
        <f>IF(ISBLANK('ALL Other SINs - Proposal'!D791)," ",'ALL Other SINs - Proposal'!D791)</f>
        <v xml:space="preserve"> </v>
      </c>
      <c r="E791" s="69" t="str">
        <f>IF(ISBLANK('ALL Other SINs - Proposal'!R791)," ",'ALL Other SINs - Proposal'!R791)</f>
        <v xml:space="preserve"> </v>
      </c>
      <c r="F791" s="73" t="str">
        <f>IF(ISBLANK('ALL Other SINs - Proposal'!S791)," ",'ALL Other SINs - Proposal'!S791)</f>
        <v xml:space="preserve"> </v>
      </c>
      <c r="G791" s="173" t="str">
        <f>IF(ISBLANK('ALL Other SINs - Proposal'!T791)," ",'ALL Other SINs - Proposal'!T791)</f>
        <v xml:space="preserve"> </v>
      </c>
      <c r="H791" s="275" t="str">
        <f>IF(ISBLANK('ALL Other SINs - Proposal'!V791)," ",'ALL Other SINs - Proposal'!V791)</f>
        <v xml:space="preserve"> </v>
      </c>
      <c r="I791" s="271" t="str">
        <f>IF(ISBLANK('ALL Other SINs - Proposal'!W791)," ",'ALL Other SINs - Proposal'!W791)</f>
        <v xml:space="preserve"> </v>
      </c>
      <c r="J791" s="71" t="str">
        <f>IF(ISBLANK('ALL Other SINs - Proposal'!X791)," ",'ALL Other SINs - Proposal'!X791)</f>
        <v xml:space="preserve"> </v>
      </c>
      <c r="K791" s="165" t="str">
        <f>IF(ISBLANK('ALL Other SINs - Proposal'!AA791)," ",'ALL Other SINs - Proposal'!AA791)</f>
        <v xml:space="preserve"> </v>
      </c>
      <c r="L791" s="178" t="str">
        <f>IF(ISBLANK('ALL Other SINs - Proposal'!AB791)," ",'ALL Other SINs - Proposal'!AB791)</f>
        <v xml:space="preserve"> </v>
      </c>
      <c r="M791" s="72" t="str">
        <f t="shared" si="24"/>
        <v xml:space="preserve"> </v>
      </c>
      <c r="N791" s="167" t="str">
        <f t="shared" si="25"/>
        <v xml:space="preserve"> </v>
      </c>
    </row>
    <row r="792" spans="1:14" ht="15" x14ac:dyDescent="0.25">
      <c r="A792" s="131" t="str">
        <f>IF(ISBLANK('ALL Other SINs - Proposal'!A792)," ",'ALL Other SINs - Proposal'!A792)</f>
        <v xml:space="preserve"> </v>
      </c>
      <c r="B792" s="137" t="str">
        <f>IF(ISBLANK('ALL Other SINs - Proposal'!B792)," ",'ALL Other SINs - Proposal'!B792)</f>
        <v xml:space="preserve"> </v>
      </c>
      <c r="C792" s="137" t="str">
        <f>IF(ISBLANK('ALL Other SINs - Proposal'!C792)," ",'ALL Other SINs - Proposal'!C792)</f>
        <v xml:space="preserve"> </v>
      </c>
      <c r="D792" s="138" t="str">
        <f>IF(ISBLANK('ALL Other SINs - Proposal'!D792)," ",'ALL Other SINs - Proposal'!D792)</f>
        <v xml:space="preserve"> </v>
      </c>
      <c r="E792" s="69" t="str">
        <f>IF(ISBLANK('ALL Other SINs - Proposal'!R792)," ",'ALL Other SINs - Proposal'!R792)</f>
        <v xml:space="preserve"> </v>
      </c>
      <c r="F792" s="73" t="str">
        <f>IF(ISBLANK('ALL Other SINs - Proposal'!S792)," ",'ALL Other SINs - Proposal'!S792)</f>
        <v xml:space="preserve"> </v>
      </c>
      <c r="G792" s="173" t="str">
        <f>IF(ISBLANK('ALL Other SINs - Proposal'!T792)," ",'ALL Other SINs - Proposal'!T792)</f>
        <v xml:space="preserve"> </v>
      </c>
      <c r="H792" s="275" t="str">
        <f>IF(ISBLANK('ALL Other SINs - Proposal'!V792)," ",'ALL Other SINs - Proposal'!V792)</f>
        <v xml:space="preserve"> </v>
      </c>
      <c r="I792" s="271" t="str">
        <f>IF(ISBLANK('ALL Other SINs - Proposal'!W792)," ",'ALL Other SINs - Proposal'!W792)</f>
        <v xml:space="preserve"> </v>
      </c>
      <c r="J792" s="71" t="str">
        <f>IF(ISBLANK('ALL Other SINs - Proposal'!X792)," ",'ALL Other SINs - Proposal'!X792)</f>
        <v xml:space="preserve"> </v>
      </c>
      <c r="K792" s="165" t="str">
        <f>IF(ISBLANK('ALL Other SINs - Proposal'!AA792)," ",'ALL Other SINs - Proposal'!AA792)</f>
        <v xml:space="preserve"> </v>
      </c>
      <c r="L792" s="178" t="str">
        <f>IF(ISBLANK('ALL Other SINs - Proposal'!AB792)," ",'ALL Other SINs - Proposal'!AB792)</f>
        <v xml:space="preserve"> </v>
      </c>
      <c r="M792" s="72" t="str">
        <f t="shared" si="24"/>
        <v xml:space="preserve"> </v>
      </c>
      <c r="N792" s="167" t="str">
        <f t="shared" si="25"/>
        <v xml:space="preserve"> </v>
      </c>
    </row>
    <row r="793" spans="1:14" ht="15" x14ac:dyDescent="0.25">
      <c r="A793" s="131" t="str">
        <f>IF(ISBLANK('ALL Other SINs - Proposal'!A793)," ",'ALL Other SINs - Proposal'!A793)</f>
        <v xml:space="preserve"> </v>
      </c>
      <c r="B793" s="137" t="str">
        <f>IF(ISBLANK('ALL Other SINs - Proposal'!B793)," ",'ALL Other SINs - Proposal'!B793)</f>
        <v xml:space="preserve"> </v>
      </c>
      <c r="C793" s="137" t="str">
        <f>IF(ISBLANK('ALL Other SINs - Proposal'!C793)," ",'ALL Other SINs - Proposal'!C793)</f>
        <v xml:space="preserve"> </v>
      </c>
      <c r="D793" s="138" t="str">
        <f>IF(ISBLANK('ALL Other SINs - Proposal'!D793)," ",'ALL Other SINs - Proposal'!D793)</f>
        <v xml:space="preserve"> </v>
      </c>
      <c r="E793" s="69" t="str">
        <f>IF(ISBLANK('ALL Other SINs - Proposal'!R793)," ",'ALL Other SINs - Proposal'!R793)</f>
        <v xml:space="preserve"> </v>
      </c>
      <c r="F793" s="73" t="str">
        <f>IF(ISBLANK('ALL Other SINs - Proposal'!S793)," ",'ALL Other SINs - Proposal'!S793)</f>
        <v xml:space="preserve"> </v>
      </c>
      <c r="G793" s="173" t="str">
        <f>IF(ISBLANK('ALL Other SINs - Proposal'!T793)," ",'ALL Other SINs - Proposal'!T793)</f>
        <v xml:space="preserve"> </v>
      </c>
      <c r="H793" s="275" t="str">
        <f>IF(ISBLANK('ALL Other SINs - Proposal'!V793)," ",'ALL Other SINs - Proposal'!V793)</f>
        <v xml:space="preserve"> </v>
      </c>
      <c r="I793" s="271" t="str">
        <f>IF(ISBLANK('ALL Other SINs - Proposal'!W793)," ",'ALL Other SINs - Proposal'!W793)</f>
        <v xml:space="preserve"> </v>
      </c>
      <c r="J793" s="71" t="str">
        <f>IF(ISBLANK('ALL Other SINs - Proposal'!X793)," ",'ALL Other SINs - Proposal'!X793)</f>
        <v xml:space="preserve"> </v>
      </c>
      <c r="K793" s="165" t="str">
        <f>IF(ISBLANK('ALL Other SINs - Proposal'!AA793)," ",'ALL Other SINs - Proposal'!AA793)</f>
        <v xml:space="preserve"> </v>
      </c>
      <c r="L793" s="178" t="str">
        <f>IF(ISBLANK('ALL Other SINs - Proposal'!AB793)," ",'ALL Other SINs - Proposal'!AB793)</f>
        <v xml:space="preserve"> </v>
      </c>
      <c r="M793" s="72" t="str">
        <f t="shared" si="24"/>
        <v xml:space="preserve"> </v>
      </c>
      <c r="N793" s="167" t="str">
        <f t="shared" si="25"/>
        <v xml:space="preserve"> </v>
      </c>
    </row>
    <row r="794" spans="1:14" ht="15" x14ac:dyDescent="0.25">
      <c r="A794" s="131" t="str">
        <f>IF(ISBLANK('ALL Other SINs - Proposal'!A794)," ",'ALL Other SINs - Proposal'!A794)</f>
        <v xml:space="preserve"> </v>
      </c>
      <c r="B794" s="137" t="str">
        <f>IF(ISBLANK('ALL Other SINs - Proposal'!B794)," ",'ALL Other SINs - Proposal'!B794)</f>
        <v xml:space="preserve"> </v>
      </c>
      <c r="C794" s="137" t="str">
        <f>IF(ISBLANK('ALL Other SINs - Proposal'!C794)," ",'ALL Other SINs - Proposal'!C794)</f>
        <v xml:space="preserve"> </v>
      </c>
      <c r="D794" s="138" t="str">
        <f>IF(ISBLANK('ALL Other SINs - Proposal'!D794)," ",'ALL Other SINs - Proposal'!D794)</f>
        <v xml:space="preserve"> </v>
      </c>
      <c r="E794" s="69" t="str">
        <f>IF(ISBLANK('ALL Other SINs - Proposal'!R794)," ",'ALL Other SINs - Proposal'!R794)</f>
        <v xml:space="preserve"> </v>
      </c>
      <c r="F794" s="73" t="str">
        <f>IF(ISBLANK('ALL Other SINs - Proposal'!S794)," ",'ALL Other SINs - Proposal'!S794)</f>
        <v xml:space="preserve"> </v>
      </c>
      <c r="G794" s="173" t="str">
        <f>IF(ISBLANK('ALL Other SINs - Proposal'!T794)," ",'ALL Other SINs - Proposal'!T794)</f>
        <v xml:space="preserve"> </v>
      </c>
      <c r="H794" s="275" t="str">
        <f>IF(ISBLANK('ALL Other SINs - Proposal'!V794)," ",'ALL Other SINs - Proposal'!V794)</f>
        <v xml:space="preserve"> </v>
      </c>
      <c r="I794" s="271" t="str">
        <f>IF(ISBLANK('ALL Other SINs - Proposal'!W794)," ",'ALL Other SINs - Proposal'!W794)</f>
        <v xml:space="preserve"> </v>
      </c>
      <c r="J794" s="71" t="str">
        <f>IF(ISBLANK('ALL Other SINs - Proposal'!X794)," ",'ALL Other SINs - Proposal'!X794)</f>
        <v xml:space="preserve"> </v>
      </c>
      <c r="K794" s="165" t="str">
        <f>IF(ISBLANK('ALL Other SINs - Proposal'!AA794)," ",'ALL Other SINs - Proposal'!AA794)</f>
        <v xml:space="preserve"> </v>
      </c>
      <c r="L794" s="178" t="str">
        <f>IF(ISBLANK('ALL Other SINs - Proposal'!AB794)," ",'ALL Other SINs - Proposal'!AB794)</f>
        <v xml:space="preserve"> </v>
      </c>
      <c r="M794" s="72" t="str">
        <f t="shared" si="24"/>
        <v xml:space="preserve"> </v>
      </c>
      <c r="N794" s="167" t="str">
        <f t="shared" si="25"/>
        <v xml:space="preserve"> </v>
      </c>
    </row>
    <row r="795" spans="1:14" ht="15" x14ac:dyDescent="0.25">
      <c r="A795" s="131" t="str">
        <f>IF(ISBLANK('ALL Other SINs - Proposal'!A795)," ",'ALL Other SINs - Proposal'!A795)</f>
        <v xml:space="preserve"> </v>
      </c>
      <c r="B795" s="137" t="str">
        <f>IF(ISBLANK('ALL Other SINs - Proposal'!B795)," ",'ALL Other SINs - Proposal'!B795)</f>
        <v xml:space="preserve"> </v>
      </c>
      <c r="C795" s="137" t="str">
        <f>IF(ISBLANK('ALL Other SINs - Proposal'!C795)," ",'ALL Other SINs - Proposal'!C795)</f>
        <v xml:space="preserve"> </v>
      </c>
      <c r="D795" s="138" t="str">
        <f>IF(ISBLANK('ALL Other SINs - Proposal'!D795)," ",'ALL Other SINs - Proposal'!D795)</f>
        <v xml:space="preserve"> </v>
      </c>
      <c r="E795" s="69" t="str">
        <f>IF(ISBLANK('ALL Other SINs - Proposal'!R795)," ",'ALL Other SINs - Proposal'!R795)</f>
        <v xml:space="preserve"> </v>
      </c>
      <c r="F795" s="73" t="str">
        <f>IF(ISBLANK('ALL Other SINs - Proposal'!S795)," ",'ALL Other SINs - Proposal'!S795)</f>
        <v xml:space="preserve"> </v>
      </c>
      <c r="G795" s="173" t="str">
        <f>IF(ISBLANK('ALL Other SINs - Proposal'!T795)," ",'ALL Other SINs - Proposal'!T795)</f>
        <v xml:space="preserve"> </v>
      </c>
      <c r="H795" s="275" t="str">
        <f>IF(ISBLANK('ALL Other SINs - Proposal'!V795)," ",'ALL Other SINs - Proposal'!V795)</f>
        <v xml:space="preserve"> </v>
      </c>
      <c r="I795" s="271" t="str">
        <f>IF(ISBLANK('ALL Other SINs - Proposal'!W795)," ",'ALL Other SINs - Proposal'!W795)</f>
        <v xml:space="preserve"> </v>
      </c>
      <c r="J795" s="71" t="str">
        <f>IF(ISBLANK('ALL Other SINs - Proposal'!X795)," ",'ALL Other SINs - Proposal'!X795)</f>
        <v xml:space="preserve"> </v>
      </c>
      <c r="K795" s="165" t="str">
        <f>IF(ISBLANK('ALL Other SINs - Proposal'!AA795)," ",'ALL Other SINs - Proposal'!AA795)</f>
        <v xml:space="preserve"> </v>
      </c>
      <c r="L795" s="178" t="str">
        <f>IF(ISBLANK('ALL Other SINs - Proposal'!AB795)," ",'ALL Other SINs - Proposal'!AB795)</f>
        <v xml:space="preserve"> </v>
      </c>
      <c r="M795" s="72" t="str">
        <f t="shared" si="24"/>
        <v xml:space="preserve"> </v>
      </c>
      <c r="N795" s="167" t="str">
        <f t="shared" si="25"/>
        <v xml:space="preserve"> </v>
      </c>
    </row>
    <row r="796" spans="1:14" ht="15" x14ac:dyDescent="0.25">
      <c r="A796" s="131" t="str">
        <f>IF(ISBLANK('ALL Other SINs - Proposal'!A796)," ",'ALL Other SINs - Proposal'!A796)</f>
        <v xml:space="preserve"> </v>
      </c>
      <c r="B796" s="137" t="str">
        <f>IF(ISBLANK('ALL Other SINs - Proposal'!B796)," ",'ALL Other SINs - Proposal'!B796)</f>
        <v xml:space="preserve"> </v>
      </c>
      <c r="C796" s="137" t="str">
        <f>IF(ISBLANK('ALL Other SINs - Proposal'!C796)," ",'ALL Other SINs - Proposal'!C796)</f>
        <v xml:space="preserve"> </v>
      </c>
      <c r="D796" s="138" t="str">
        <f>IF(ISBLANK('ALL Other SINs - Proposal'!D796)," ",'ALL Other SINs - Proposal'!D796)</f>
        <v xml:space="preserve"> </v>
      </c>
      <c r="E796" s="69" t="str">
        <f>IF(ISBLANK('ALL Other SINs - Proposal'!R796)," ",'ALL Other SINs - Proposal'!R796)</f>
        <v xml:space="preserve"> </v>
      </c>
      <c r="F796" s="73" t="str">
        <f>IF(ISBLANK('ALL Other SINs - Proposal'!S796)," ",'ALL Other SINs - Proposal'!S796)</f>
        <v xml:space="preserve"> </v>
      </c>
      <c r="G796" s="173" t="str">
        <f>IF(ISBLANK('ALL Other SINs - Proposal'!T796)," ",'ALL Other SINs - Proposal'!T796)</f>
        <v xml:space="preserve"> </v>
      </c>
      <c r="H796" s="275" t="str">
        <f>IF(ISBLANK('ALL Other SINs - Proposal'!V796)," ",'ALL Other SINs - Proposal'!V796)</f>
        <v xml:space="preserve"> </v>
      </c>
      <c r="I796" s="271" t="str">
        <f>IF(ISBLANK('ALL Other SINs - Proposal'!W796)," ",'ALL Other SINs - Proposal'!W796)</f>
        <v xml:space="preserve"> </v>
      </c>
      <c r="J796" s="71" t="str">
        <f>IF(ISBLANK('ALL Other SINs - Proposal'!X796)," ",'ALL Other SINs - Proposal'!X796)</f>
        <v xml:space="preserve"> </v>
      </c>
      <c r="K796" s="165" t="str">
        <f>IF(ISBLANK('ALL Other SINs - Proposal'!AA796)," ",'ALL Other SINs - Proposal'!AA796)</f>
        <v xml:space="preserve"> </v>
      </c>
      <c r="L796" s="178" t="str">
        <f>IF(ISBLANK('ALL Other SINs - Proposal'!AB796)," ",'ALL Other SINs - Proposal'!AB796)</f>
        <v xml:space="preserve"> </v>
      </c>
      <c r="M796" s="72" t="str">
        <f t="shared" si="24"/>
        <v xml:space="preserve"> </v>
      </c>
      <c r="N796" s="167" t="str">
        <f t="shared" si="25"/>
        <v xml:space="preserve"> </v>
      </c>
    </row>
    <row r="797" spans="1:14" ht="15" x14ac:dyDescent="0.25">
      <c r="A797" s="131" t="str">
        <f>IF(ISBLANK('ALL Other SINs - Proposal'!A797)," ",'ALL Other SINs - Proposal'!A797)</f>
        <v xml:space="preserve"> </v>
      </c>
      <c r="B797" s="137" t="str">
        <f>IF(ISBLANK('ALL Other SINs - Proposal'!B797)," ",'ALL Other SINs - Proposal'!B797)</f>
        <v xml:space="preserve"> </v>
      </c>
      <c r="C797" s="137" t="str">
        <f>IF(ISBLANK('ALL Other SINs - Proposal'!C797)," ",'ALL Other SINs - Proposal'!C797)</f>
        <v xml:space="preserve"> </v>
      </c>
      <c r="D797" s="138" t="str">
        <f>IF(ISBLANK('ALL Other SINs - Proposal'!D797)," ",'ALL Other SINs - Proposal'!D797)</f>
        <v xml:space="preserve"> </v>
      </c>
      <c r="E797" s="69" t="str">
        <f>IF(ISBLANK('ALL Other SINs - Proposal'!R797)," ",'ALL Other SINs - Proposal'!R797)</f>
        <v xml:space="preserve"> </v>
      </c>
      <c r="F797" s="73" t="str">
        <f>IF(ISBLANK('ALL Other SINs - Proposal'!S797)," ",'ALL Other SINs - Proposal'!S797)</f>
        <v xml:space="preserve"> </v>
      </c>
      <c r="G797" s="173" t="str">
        <f>IF(ISBLANK('ALL Other SINs - Proposal'!T797)," ",'ALL Other SINs - Proposal'!T797)</f>
        <v xml:space="preserve"> </v>
      </c>
      <c r="H797" s="275" t="str">
        <f>IF(ISBLANK('ALL Other SINs - Proposal'!V797)," ",'ALL Other SINs - Proposal'!V797)</f>
        <v xml:space="preserve"> </v>
      </c>
      <c r="I797" s="271" t="str">
        <f>IF(ISBLANK('ALL Other SINs - Proposal'!W797)," ",'ALL Other SINs - Proposal'!W797)</f>
        <v xml:space="preserve"> </v>
      </c>
      <c r="J797" s="71" t="str">
        <f>IF(ISBLANK('ALL Other SINs - Proposal'!X797)," ",'ALL Other SINs - Proposal'!X797)</f>
        <v xml:space="preserve"> </v>
      </c>
      <c r="K797" s="165" t="str">
        <f>IF(ISBLANK('ALL Other SINs - Proposal'!AA797)," ",'ALL Other SINs - Proposal'!AA797)</f>
        <v xml:space="preserve"> </v>
      </c>
      <c r="L797" s="178" t="str">
        <f>IF(ISBLANK('ALL Other SINs - Proposal'!AB797)," ",'ALL Other SINs - Proposal'!AB797)</f>
        <v xml:space="preserve"> </v>
      </c>
      <c r="M797" s="72" t="str">
        <f t="shared" si="24"/>
        <v xml:space="preserve"> </v>
      </c>
      <c r="N797" s="167" t="str">
        <f t="shared" si="25"/>
        <v xml:space="preserve"> </v>
      </c>
    </row>
    <row r="798" spans="1:14" ht="15" x14ac:dyDescent="0.25">
      <c r="A798" s="131" t="str">
        <f>IF(ISBLANK('ALL Other SINs - Proposal'!A798)," ",'ALL Other SINs - Proposal'!A798)</f>
        <v xml:space="preserve"> </v>
      </c>
      <c r="B798" s="137" t="str">
        <f>IF(ISBLANK('ALL Other SINs - Proposal'!B798)," ",'ALL Other SINs - Proposal'!B798)</f>
        <v xml:space="preserve"> </v>
      </c>
      <c r="C798" s="137" t="str">
        <f>IF(ISBLANK('ALL Other SINs - Proposal'!C798)," ",'ALL Other SINs - Proposal'!C798)</f>
        <v xml:space="preserve"> </v>
      </c>
      <c r="D798" s="138" t="str">
        <f>IF(ISBLANK('ALL Other SINs - Proposal'!D798)," ",'ALL Other SINs - Proposal'!D798)</f>
        <v xml:space="preserve"> </v>
      </c>
      <c r="E798" s="69" t="str">
        <f>IF(ISBLANK('ALL Other SINs - Proposal'!R798)," ",'ALL Other SINs - Proposal'!R798)</f>
        <v xml:space="preserve"> </v>
      </c>
      <c r="F798" s="73" t="str">
        <f>IF(ISBLANK('ALL Other SINs - Proposal'!S798)," ",'ALL Other SINs - Proposal'!S798)</f>
        <v xml:space="preserve"> </v>
      </c>
      <c r="G798" s="173" t="str">
        <f>IF(ISBLANK('ALL Other SINs - Proposal'!T798)," ",'ALL Other SINs - Proposal'!T798)</f>
        <v xml:space="preserve"> </v>
      </c>
      <c r="H798" s="275" t="str">
        <f>IF(ISBLANK('ALL Other SINs - Proposal'!V798)," ",'ALL Other SINs - Proposal'!V798)</f>
        <v xml:space="preserve"> </v>
      </c>
      <c r="I798" s="271" t="str">
        <f>IF(ISBLANK('ALL Other SINs - Proposal'!W798)," ",'ALL Other SINs - Proposal'!W798)</f>
        <v xml:space="preserve"> </v>
      </c>
      <c r="J798" s="71" t="str">
        <f>IF(ISBLANK('ALL Other SINs - Proposal'!X798)," ",'ALL Other SINs - Proposal'!X798)</f>
        <v xml:space="preserve"> </v>
      </c>
      <c r="K798" s="165" t="str">
        <f>IF(ISBLANK('ALL Other SINs - Proposal'!AA798)," ",'ALL Other SINs - Proposal'!AA798)</f>
        <v xml:space="preserve"> </v>
      </c>
      <c r="L798" s="178" t="str">
        <f>IF(ISBLANK('ALL Other SINs - Proposal'!AB798)," ",'ALL Other SINs - Proposal'!AB798)</f>
        <v xml:space="preserve"> </v>
      </c>
      <c r="M798" s="72" t="str">
        <f t="shared" si="24"/>
        <v xml:space="preserve"> </v>
      </c>
      <c r="N798" s="167" t="str">
        <f t="shared" si="25"/>
        <v xml:space="preserve"> </v>
      </c>
    </row>
    <row r="799" spans="1:14" ht="15" x14ac:dyDescent="0.25">
      <c r="A799" s="131" t="str">
        <f>IF(ISBLANK('ALL Other SINs - Proposal'!A799)," ",'ALL Other SINs - Proposal'!A799)</f>
        <v xml:space="preserve"> </v>
      </c>
      <c r="B799" s="137" t="str">
        <f>IF(ISBLANK('ALL Other SINs - Proposal'!B799)," ",'ALL Other SINs - Proposal'!B799)</f>
        <v xml:space="preserve"> </v>
      </c>
      <c r="C799" s="137" t="str">
        <f>IF(ISBLANK('ALL Other SINs - Proposal'!C799)," ",'ALL Other SINs - Proposal'!C799)</f>
        <v xml:space="preserve"> </v>
      </c>
      <c r="D799" s="138" t="str">
        <f>IF(ISBLANK('ALL Other SINs - Proposal'!D799)," ",'ALL Other SINs - Proposal'!D799)</f>
        <v xml:space="preserve"> </v>
      </c>
      <c r="E799" s="69" t="str">
        <f>IF(ISBLANK('ALL Other SINs - Proposal'!R799)," ",'ALL Other SINs - Proposal'!R799)</f>
        <v xml:space="preserve"> </v>
      </c>
      <c r="F799" s="73" t="str">
        <f>IF(ISBLANK('ALL Other SINs - Proposal'!S799)," ",'ALL Other SINs - Proposal'!S799)</f>
        <v xml:space="preserve"> </v>
      </c>
      <c r="G799" s="173" t="str">
        <f>IF(ISBLANK('ALL Other SINs - Proposal'!T799)," ",'ALL Other SINs - Proposal'!T799)</f>
        <v xml:space="preserve"> </v>
      </c>
      <c r="H799" s="275" t="str">
        <f>IF(ISBLANK('ALL Other SINs - Proposal'!V799)," ",'ALL Other SINs - Proposal'!V799)</f>
        <v xml:space="preserve"> </v>
      </c>
      <c r="I799" s="271" t="str">
        <f>IF(ISBLANK('ALL Other SINs - Proposal'!W799)," ",'ALL Other SINs - Proposal'!W799)</f>
        <v xml:space="preserve"> </v>
      </c>
      <c r="J799" s="71" t="str">
        <f>IF(ISBLANK('ALL Other SINs - Proposal'!X799)," ",'ALL Other SINs - Proposal'!X799)</f>
        <v xml:space="preserve"> </v>
      </c>
      <c r="K799" s="165" t="str">
        <f>IF(ISBLANK('ALL Other SINs - Proposal'!AA799)," ",'ALL Other SINs - Proposal'!AA799)</f>
        <v xml:space="preserve"> </v>
      </c>
      <c r="L799" s="178" t="str">
        <f>IF(ISBLANK('ALL Other SINs - Proposal'!AB799)," ",'ALL Other SINs - Proposal'!AB799)</f>
        <v xml:space="preserve"> </v>
      </c>
      <c r="M799" s="72" t="str">
        <f t="shared" si="24"/>
        <v xml:space="preserve"> </v>
      </c>
      <c r="N799" s="167" t="str">
        <f t="shared" si="25"/>
        <v xml:space="preserve"> </v>
      </c>
    </row>
    <row r="800" spans="1:14" ht="15" x14ac:dyDescent="0.25">
      <c r="A800" s="131" t="str">
        <f>IF(ISBLANK('ALL Other SINs - Proposal'!A800)," ",'ALL Other SINs - Proposal'!A800)</f>
        <v xml:space="preserve"> </v>
      </c>
      <c r="B800" s="137" t="str">
        <f>IF(ISBLANK('ALL Other SINs - Proposal'!B800)," ",'ALL Other SINs - Proposal'!B800)</f>
        <v xml:space="preserve"> </v>
      </c>
      <c r="C800" s="137" t="str">
        <f>IF(ISBLANK('ALL Other SINs - Proposal'!C800)," ",'ALL Other SINs - Proposal'!C800)</f>
        <v xml:space="preserve"> </v>
      </c>
      <c r="D800" s="138" t="str">
        <f>IF(ISBLANK('ALL Other SINs - Proposal'!D800)," ",'ALL Other SINs - Proposal'!D800)</f>
        <v xml:space="preserve"> </v>
      </c>
      <c r="E800" s="69" t="str">
        <f>IF(ISBLANK('ALL Other SINs - Proposal'!R800)," ",'ALL Other SINs - Proposal'!R800)</f>
        <v xml:space="preserve"> </v>
      </c>
      <c r="F800" s="73" t="str">
        <f>IF(ISBLANK('ALL Other SINs - Proposal'!S800)," ",'ALL Other SINs - Proposal'!S800)</f>
        <v xml:space="preserve"> </v>
      </c>
      <c r="G800" s="173" t="str">
        <f>IF(ISBLANK('ALL Other SINs - Proposal'!T800)," ",'ALL Other SINs - Proposal'!T800)</f>
        <v xml:space="preserve"> </v>
      </c>
      <c r="H800" s="275" t="str">
        <f>IF(ISBLANK('ALL Other SINs - Proposal'!V800)," ",'ALL Other SINs - Proposal'!V800)</f>
        <v xml:space="preserve"> </v>
      </c>
      <c r="I800" s="271" t="str">
        <f>IF(ISBLANK('ALL Other SINs - Proposal'!W800)," ",'ALL Other SINs - Proposal'!W800)</f>
        <v xml:space="preserve"> </v>
      </c>
      <c r="J800" s="71" t="str">
        <f>IF(ISBLANK('ALL Other SINs - Proposal'!X800)," ",'ALL Other SINs - Proposal'!X800)</f>
        <v xml:space="preserve"> </v>
      </c>
      <c r="K800" s="165" t="str">
        <f>IF(ISBLANK('ALL Other SINs - Proposal'!AA800)," ",'ALL Other SINs - Proposal'!AA800)</f>
        <v xml:space="preserve"> </v>
      </c>
      <c r="L800" s="178" t="str">
        <f>IF(ISBLANK('ALL Other SINs - Proposal'!AB800)," ",'ALL Other SINs - Proposal'!AB800)</f>
        <v xml:space="preserve"> </v>
      </c>
      <c r="M800" s="72" t="str">
        <f t="shared" si="24"/>
        <v xml:space="preserve"> </v>
      </c>
      <c r="N800" s="167" t="str">
        <f t="shared" si="25"/>
        <v xml:space="preserve"> </v>
      </c>
    </row>
    <row r="801" spans="1:14" ht="15" x14ac:dyDescent="0.25">
      <c r="A801" s="131" t="str">
        <f>IF(ISBLANK('ALL Other SINs - Proposal'!A801)," ",'ALL Other SINs - Proposal'!A801)</f>
        <v xml:space="preserve"> </v>
      </c>
      <c r="B801" s="137" t="str">
        <f>IF(ISBLANK('ALL Other SINs - Proposal'!B801)," ",'ALL Other SINs - Proposal'!B801)</f>
        <v xml:space="preserve"> </v>
      </c>
      <c r="C801" s="137" t="str">
        <f>IF(ISBLANK('ALL Other SINs - Proposal'!C801)," ",'ALL Other SINs - Proposal'!C801)</f>
        <v xml:space="preserve"> </v>
      </c>
      <c r="D801" s="138" t="str">
        <f>IF(ISBLANK('ALL Other SINs - Proposal'!D801)," ",'ALL Other SINs - Proposal'!D801)</f>
        <v xml:space="preserve"> </v>
      </c>
      <c r="E801" s="69" t="str">
        <f>IF(ISBLANK('ALL Other SINs - Proposal'!R801)," ",'ALL Other SINs - Proposal'!R801)</f>
        <v xml:space="preserve"> </v>
      </c>
      <c r="F801" s="73" t="str">
        <f>IF(ISBLANK('ALL Other SINs - Proposal'!S801)," ",'ALL Other SINs - Proposal'!S801)</f>
        <v xml:space="preserve"> </v>
      </c>
      <c r="G801" s="173" t="str">
        <f>IF(ISBLANK('ALL Other SINs - Proposal'!T801)," ",'ALL Other SINs - Proposal'!T801)</f>
        <v xml:space="preserve"> </v>
      </c>
      <c r="H801" s="275" t="str">
        <f>IF(ISBLANK('ALL Other SINs - Proposal'!V801)," ",'ALL Other SINs - Proposal'!V801)</f>
        <v xml:space="preserve"> </v>
      </c>
      <c r="I801" s="271" t="str">
        <f>IF(ISBLANK('ALL Other SINs - Proposal'!W801)," ",'ALL Other SINs - Proposal'!W801)</f>
        <v xml:space="preserve"> </v>
      </c>
      <c r="J801" s="71" t="str">
        <f>IF(ISBLANK('ALL Other SINs - Proposal'!X801)," ",'ALL Other SINs - Proposal'!X801)</f>
        <v xml:space="preserve"> </v>
      </c>
      <c r="K801" s="165" t="str">
        <f>IF(ISBLANK('ALL Other SINs - Proposal'!AA801)," ",'ALL Other SINs - Proposal'!AA801)</f>
        <v xml:space="preserve"> </v>
      </c>
      <c r="L801" s="178" t="str">
        <f>IF(ISBLANK('ALL Other SINs - Proposal'!AB801)," ",'ALL Other SINs - Proposal'!AB801)</f>
        <v xml:space="preserve"> </v>
      </c>
      <c r="M801" s="72" t="str">
        <f t="shared" si="24"/>
        <v xml:space="preserve"> </v>
      </c>
      <c r="N801" s="167" t="str">
        <f t="shared" si="25"/>
        <v xml:space="preserve"> </v>
      </c>
    </row>
    <row r="802" spans="1:14" ht="15" x14ac:dyDescent="0.25">
      <c r="A802" s="131" t="str">
        <f>IF(ISBLANK('ALL Other SINs - Proposal'!A802)," ",'ALL Other SINs - Proposal'!A802)</f>
        <v xml:space="preserve"> </v>
      </c>
      <c r="B802" s="137" t="str">
        <f>IF(ISBLANK('ALL Other SINs - Proposal'!B802)," ",'ALL Other SINs - Proposal'!B802)</f>
        <v xml:space="preserve"> </v>
      </c>
      <c r="C802" s="137" t="str">
        <f>IF(ISBLANK('ALL Other SINs - Proposal'!C802)," ",'ALL Other SINs - Proposal'!C802)</f>
        <v xml:space="preserve"> </v>
      </c>
      <c r="D802" s="138" t="str">
        <f>IF(ISBLANK('ALL Other SINs - Proposal'!D802)," ",'ALL Other SINs - Proposal'!D802)</f>
        <v xml:space="preserve"> </v>
      </c>
      <c r="E802" s="69" t="str">
        <f>IF(ISBLANK('ALL Other SINs - Proposal'!R802)," ",'ALL Other SINs - Proposal'!R802)</f>
        <v xml:space="preserve"> </v>
      </c>
      <c r="F802" s="73" t="str">
        <f>IF(ISBLANK('ALL Other SINs - Proposal'!S802)," ",'ALL Other SINs - Proposal'!S802)</f>
        <v xml:space="preserve"> </v>
      </c>
      <c r="G802" s="173" t="str">
        <f>IF(ISBLANK('ALL Other SINs - Proposal'!T802)," ",'ALL Other SINs - Proposal'!T802)</f>
        <v xml:space="preserve"> </v>
      </c>
      <c r="H802" s="275" t="str">
        <f>IF(ISBLANK('ALL Other SINs - Proposal'!V802)," ",'ALL Other SINs - Proposal'!V802)</f>
        <v xml:space="preserve"> </v>
      </c>
      <c r="I802" s="271" t="str">
        <f>IF(ISBLANK('ALL Other SINs - Proposal'!W802)," ",'ALL Other SINs - Proposal'!W802)</f>
        <v xml:space="preserve"> </v>
      </c>
      <c r="J802" s="71" t="str">
        <f>IF(ISBLANK('ALL Other SINs - Proposal'!X802)," ",'ALL Other SINs - Proposal'!X802)</f>
        <v xml:space="preserve"> </v>
      </c>
      <c r="K802" s="165" t="str">
        <f>IF(ISBLANK('ALL Other SINs - Proposal'!AA802)," ",'ALL Other SINs - Proposal'!AA802)</f>
        <v xml:space="preserve"> </v>
      </c>
      <c r="L802" s="178" t="str">
        <f>IF(ISBLANK('ALL Other SINs - Proposal'!AB802)," ",'ALL Other SINs - Proposal'!AB802)</f>
        <v xml:space="preserve"> </v>
      </c>
      <c r="M802" s="72" t="str">
        <f t="shared" si="24"/>
        <v xml:space="preserve"> </v>
      </c>
      <c r="N802" s="167" t="str">
        <f t="shared" si="25"/>
        <v xml:space="preserve"> </v>
      </c>
    </row>
    <row r="803" spans="1:14" ht="15" x14ac:dyDescent="0.25">
      <c r="A803" s="131" t="str">
        <f>IF(ISBLANK('ALL Other SINs - Proposal'!A803)," ",'ALL Other SINs - Proposal'!A803)</f>
        <v xml:space="preserve"> </v>
      </c>
      <c r="B803" s="137" t="str">
        <f>IF(ISBLANK('ALL Other SINs - Proposal'!B803)," ",'ALL Other SINs - Proposal'!B803)</f>
        <v xml:space="preserve"> </v>
      </c>
      <c r="C803" s="137" t="str">
        <f>IF(ISBLANK('ALL Other SINs - Proposal'!C803)," ",'ALL Other SINs - Proposal'!C803)</f>
        <v xml:space="preserve"> </v>
      </c>
      <c r="D803" s="138" t="str">
        <f>IF(ISBLANK('ALL Other SINs - Proposal'!D803)," ",'ALL Other SINs - Proposal'!D803)</f>
        <v xml:space="preserve"> </v>
      </c>
      <c r="E803" s="69" t="str">
        <f>IF(ISBLANK('ALL Other SINs - Proposal'!R803)," ",'ALL Other SINs - Proposal'!R803)</f>
        <v xml:space="preserve"> </v>
      </c>
      <c r="F803" s="73" t="str">
        <f>IF(ISBLANK('ALL Other SINs - Proposal'!S803)," ",'ALL Other SINs - Proposal'!S803)</f>
        <v xml:space="preserve"> </v>
      </c>
      <c r="G803" s="173" t="str">
        <f>IF(ISBLANK('ALL Other SINs - Proposal'!T803)," ",'ALL Other SINs - Proposal'!T803)</f>
        <v xml:space="preserve"> </v>
      </c>
      <c r="H803" s="275" t="str">
        <f>IF(ISBLANK('ALL Other SINs - Proposal'!V803)," ",'ALL Other SINs - Proposal'!V803)</f>
        <v xml:space="preserve"> </v>
      </c>
      <c r="I803" s="271" t="str">
        <f>IF(ISBLANK('ALL Other SINs - Proposal'!W803)," ",'ALL Other SINs - Proposal'!W803)</f>
        <v xml:space="preserve"> </v>
      </c>
      <c r="J803" s="71" t="str">
        <f>IF(ISBLANK('ALL Other SINs - Proposal'!X803)," ",'ALL Other SINs - Proposal'!X803)</f>
        <v xml:space="preserve"> </v>
      </c>
      <c r="K803" s="165" t="str">
        <f>IF(ISBLANK('ALL Other SINs - Proposal'!AA803)," ",'ALL Other SINs - Proposal'!AA803)</f>
        <v xml:space="preserve"> </v>
      </c>
      <c r="L803" s="178" t="str">
        <f>IF(ISBLANK('ALL Other SINs - Proposal'!AB803)," ",'ALL Other SINs - Proposal'!AB803)</f>
        <v xml:space="preserve"> </v>
      </c>
      <c r="M803" s="72" t="str">
        <f t="shared" si="24"/>
        <v xml:space="preserve"> </v>
      </c>
      <c r="N803" s="167" t="str">
        <f t="shared" si="25"/>
        <v xml:space="preserve"> </v>
      </c>
    </row>
    <row r="804" spans="1:14" ht="15" x14ac:dyDescent="0.25">
      <c r="A804" s="131" t="str">
        <f>IF(ISBLANK('ALL Other SINs - Proposal'!A804)," ",'ALL Other SINs - Proposal'!A804)</f>
        <v xml:space="preserve"> </v>
      </c>
      <c r="B804" s="137" t="str">
        <f>IF(ISBLANK('ALL Other SINs - Proposal'!B804)," ",'ALL Other SINs - Proposal'!B804)</f>
        <v xml:space="preserve"> </v>
      </c>
      <c r="C804" s="137" t="str">
        <f>IF(ISBLANK('ALL Other SINs - Proposal'!C804)," ",'ALL Other SINs - Proposal'!C804)</f>
        <v xml:space="preserve"> </v>
      </c>
      <c r="D804" s="138" t="str">
        <f>IF(ISBLANK('ALL Other SINs - Proposal'!D804)," ",'ALL Other SINs - Proposal'!D804)</f>
        <v xml:space="preserve"> </v>
      </c>
      <c r="E804" s="69" t="str">
        <f>IF(ISBLANK('ALL Other SINs - Proposal'!R804)," ",'ALL Other SINs - Proposal'!R804)</f>
        <v xml:space="preserve"> </v>
      </c>
      <c r="F804" s="73" t="str">
        <f>IF(ISBLANK('ALL Other SINs - Proposal'!S804)," ",'ALL Other SINs - Proposal'!S804)</f>
        <v xml:space="preserve"> </v>
      </c>
      <c r="G804" s="173" t="str">
        <f>IF(ISBLANK('ALL Other SINs - Proposal'!T804)," ",'ALL Other SINs - Proposal'!T804)</f>
        <v xml:space="preserve"> </v>
      </c>
      <c r="H804" s="275" t="str">
        <f>IF(ISBLANK('ALL Other SINs - Proposal'!V804)," ",'ALL Other SINs - Proposal'!V804)</f>
        <v xml:space="preserve"> </v>
      </c>
      <c r="I804" s="271" t="str">
        <f>IF(ISBLANK('ALL Other SINs - Proposal'!W804)," ",'ALL Other SINs - Proposal'!W804)</f>
        <v xml:space="preserve"> </v>
      </c>
      <c r="J804" s="71" t="str">
        <f>IF(ISBLANK('ALL Other SINs - Proposal'!X804)," ",'ALL Other SINs - Proposal'!X804)</f>
        <v xml:space="preserve"> </v>
      </c>
      <c r="K804" s="165" t="str">
        <f>IF(ISBLANK('ALL Other SINs - Proposal'!AA804)," ",'ALL Other SINs - Proposal'!AA804)</f>
        <v xml:space="preserve"> </v>
      </c>
      <c r="L804" s="178" t="str">
        <f>IF(ISBLANK('ALL Other SINs - Proposal'!AB804)," ",'ALL Other SINs - Proposal'!AB804)</f>
        <v xml:space="preserve"> </v>
      </c>
      <c r="M804" s="72" t="str">
        <f t="shared" si="24"/>
        <v xml:space="preserve"> </v>
      </c>
      <c r="N804" s="167" t="str">
        <f t="shared" si="25"/>
        <v xml:space="preserve"> </v>
      </c>
    </row>
    <row r="805" spans="1:14" ht="15" x14ac:dyDescent="0.25">
      <c r="A805" s="131" t="str">
        <f>IF(ISBLANK('ALL Other SINs - Proposal'!A805)," ",'ALL Other SINs - Proposal'!A805)</f>
        <v xml:space="preserve"> </v>
      </c>
      <c r="B805" s="137" t="str">
        <f>IF(ISBLANK('ALL Other SINs - Proposal'!B805)," ",'ALL Other SINs - Proposal'!B805)</f>
        <v xml:space="preserve"> </v>
      </c>
      <c r="C805" s="137" t="str">
        <f>IF(ISBLANK('ALL Other SINs - Proposal'!C805)," ",'ALL Other SINs - Proposal'!C805)</f>
        <v xml:space="preserve"> </v>
      </c>
      <c r="D805" s="138" t="str">
        <f>IF(ISBLANK('ALL Other SINs - Proposal'!D805)," ",'ALL Other SINs - Proposal'!D805)</f>
        <v xml:space="preserve"> </v>
      </c>
      <c r="E805" s="69" t="str">
        <f>IF(ISBLANK('ALL Other SINs - Proposal'!R805)," ",'ALL Other SINs - Proposal'!R805)</f>
        <v xml:space="preserve"> </v>
      </c>
      <c r="F805" s="73" t="str">
        <f>IF(ISBLANK('ALL Other SINs - Proposal'!S805)," ",'ALL Other SINs - Proposal'!S805)</f>
        <v xml:space="preserve"> </v>
      </c>
      <c r="G805" s="173" t="str">
        <f>IF(ISBLANK('ALL Other SINs - Proposal'!T805)," ",'ALL Other SINs - Proposal'!T805)</f>
        <v xml:space="preserve"> </v>
      </c>
      <c r="H805" s="275" t="str">
        <f>IF(ISBLANK('ALL Other SINs - Proposal'!V805)," ",'ALL Other SINs - Proposal'!V805)</f>
        <v xml:space="preserve"> </v>
      </c>
      <c r="I805" s="271" t="str">
        <f>IF(ISBLANK('ALL Other SINs - Proposal'!W805)," ",'ALL Other SINs - Proposal'!W805)</f>
        <v xml:space="preserve"> </v>
      </c>
      <c r="J805" s="71" t="str">
        <f>IF(ISBLANK('ALL Other SINs - Proposal'!X805)," ",'ALL Other SINs - Proposal'!X805)</f>
        <v xml:space="preserve"> </v>
      </c>
      <c r="K805" s="165" t="str">
        <f>IF(ISBLANK('ALL Other SINs - Proposal'!AA805)," ",'ALL Other SINs - Proposal'!AA805)</f>
        <v xml:space="preserve"> </v>
      </c>
      <c r="L805" s="178" t="str">
        <f>IF(ISBLANK('ALL Other SINs - Proposal'!AB805)," ",'ALL Other SINs - Proposal'!AB805)</f>
        <v xml:space="preserve"> </v>
      </c>
      <c r="M805" s="72" t="str">
        <f t="shared" si="24"/>
        <v xml:space="preserve"> </v>
      </c>
      <c r="N805" s="167" t="str">
        <f t="shared" si="25"/>
        <v xml:space="preserve"> </v>
      </c>
    </row>
    <row r="806" spans="1:14" ht="15" x14ac:dyDescent="0.25">
      <c r="A806" s="131" t="str">
        <f>IF(ISBLANK('ALL Other SINs - Proposal'!A806)," ",'ALL Other SINs - Proposal'!A806)</f>
        <v xml:space="preserve"> </v>
      </c>
      <c r="B806" s="137" t="str">
        <f>IF(ISBLANK('ALL Other SINs - Proposal'!B806)," ",'ALL Other SINs - Proposal'!B806)</f>
        <v xml:space="preserve"> </v>
      </c>
      <c r="C806" s="137" t="str">
        <f>IF(ISBLANK('ALL Other SINs - Proposal'!C806)," ",'ALL Other SINs - Proposal'!C806)</f>
        <v xml:space="preserve"> </v>
      </c>
      <c r="D806" s="138" t="str">
        <f>IF(ISBLANK('ALL Other SINs - Proposal'!D806)," ",'ALL Other SINs - Proposal'!D806)</f>
        <v xml:space="preserve"> </v>
      </c>
      <c r="E806" s="69" t="str">
        <f>IF(ISBLANK('ALL Other SINs - Proposal'!R806)," ",'ALL Other SINs - Proposal'!R806)</f>
        <v xml:space="preserve"> </v>
      </c>
      <c r="F806" s="73" t="str">
        <f>IF(ISBLANK('ALL Other SINs - Proposal'!S806)," ",'ALL Other SINs - Proposal'!S806)</f>
        <v xml:space="preserve"> </v>
      </c>
      <c r="G806" s="173" t="str">
        <f>IF(ISBLANK('ALL Other SINs - Proposal'!T806)," ",'ALL Other SINs - Proposal'!T806)</f>
        <v xml:space="preserve"> </v>
      </c>
      <c r="H806" s="275" t="str">
        <f>IF(ISBLANK('ALL Other SINs - Proposal'!V806)," ",'ALL Other SINs - Proposal'!V806)</f>
        <v xml:space="preserve"> </v>
      </c>
      <c r="I806" s="271" t="str">
        <f>IF(ISBLANK('ALL Other SINs - Proposal'!W806)," ",'ALL Other SINs - Proposal'!W806)</f>
        <v xml:space="preserve"> </v>
      </c>
      <c r="J806" s="71" t="str">
        <f>IF(ISBLANK('ALL Other SINs - Proposal'!X806)," ",'ALL Other SINs - Proposal'!X806)</f>
        <v xml:space="preserve"> </v>
      </c>
      <c r="K806" s="165" t="str">
        <f>IF(ISBLANK('ALL Other SINs - Proposal'!AA806)," ",'ALL Other SINs - Proposal'!AA806)</f>
        <v xml:space="preserve"> </v>
      </c>
      <c r="L806" s="178" t="str">
        <f>IF(ISBLANK('ALL Other SINs - Proposal'!AB806)," ",'ALL Other SINs - Proposal'!AB806)</f>
        <v xml:space="preserve"> </v>
      </c>
      <c r="M806" s="72" t="str">
        <f t="shared" si="24"/>
        <v xml:space="preserve"> </v>
      </c>
      <c r="N806" s="167" t="str">
        <f t="shared" si="25"/>
        <v xml:space="preserve"> </v>
      </c>
    </row>
    <row r="807" spans="1:14" ht="15" x14ac:dyDescent="0.25">
      <c r="A807" s="131" t="str">
        <f>IF(ISBLANK('ALL Other SINs - Proposal'!A807)," ",'ALL Other SINs - Proposal'!A807)</f>
        <v xml:space="preserve"> </v>
      </c>
      <c r="B807" s="137" t="str">
        <f>IF(ISBLANK('ALL Other SINs - Proposal'!B807)," ",'ALL Other SINs - Proposal'!B807)</f>
        <v xml:space="preserve"> </v>
      </c>
      <c r="C807" s="137" t="str">
        <f>IF(ISBLANK('ALL Other SINs - Proposal'!C807)," ",'ALL Other SINs - Proposal'!C807)</f>
        <v xml:space="preserve"> </v>
      </c>
      <c r="D807" s="138" t="str">
        <f>IF(ISBLANK('ALL Other SINs - Proposal'!D807)," ",'ALL Other SINs - Proposal'!D807)</f>
        <v xml:space="preserve"> </v>
      </c>
      <c r="E807" s="69" t="str">
        <f>IF(ISBLANK('ALL Other SINs - Proposal'!R807)," ",'ALL Other SINs - Proposal'!R807)</f>
        <v xml:space="preserve"> </v>
      </c>
      <c r="F807" s="73" t="str">
        <f>IF(ISBLANK('ALL Other SINs - Proposal'!S807)," ",'ALL Other SINs - Proposal'!S807)</f>
        <v xml:space="preserve"> </v>
      </c>
      <c r="G807" s="173" t="str">
        <f>IF(ISBLANK('ALL Other SINs - Proposal'!T807)," ",'ALL Other SINs - Proposal'!T807)</f>
        <v xml:space="preserve"> </v>
      </c>
      <c r="H807" s="275" t="str">
        <f>IF(ISBLANK('ALL Other SINs - Proposal'!V807)," ",'ALL Other SINs - Proposal'!V807)</f>
        <v xml:space="preserve"> </v>
      </c>
      <c r="I807" s="271" t="str">
        <f>IF(ISBLANK('ALL Other SINs - Proposal'!W807)," ",'ALL Other SINs - Proposal'!W807)</f>
        <v xml:space="preserve"> </v>
      </c>
      <c r="J807" s="71" t="str">
        <f>IF(ISBLANK('ALL Other SINs - Proposal'!X807)," ",'ALL Other SINs - Proposal'!X807)</f>
        <v xml:space="preserve"> </v>
      </c>
      <c r="K807" s="165" t="str">
        <f>IF(ISBLANK('ALL Other SINs - Proposal'!AA807)," ",'ALL Other SINs - Proposal'!AA807)</f>
        <v xml:space="preserve"> </v>
      </c>
      <c r="L807" s="178" t="str">
        <f>IF(ISBLANK('ALL Other SINs - Proposal'!AB807)," ",'ALL Other SINs - Proposal'!AB807)</f>
        <v xml:space="preserve"> </v>
      </c>
      <c r="M807" s="72" t="str">
        <f t="shared" si="24"/>
        <v xml:space="preserve"> </v>
      </c>
      <c r="N807" s="167" t="str">
        <f t="shared" si="25"/>
        <v xml:space="preserve"> </v>
      </c>
    </row>
    <row r="808" spans="1:14" ht="15" x14ac:dyDescent="0.25">
      <c r="A808" s="131" t="str">
        <f>IF(ISBLANK('ALL Other SINs - Proposal'!A808)," ",'ALL Other SINs - Proposal'!A808)</f>
        <v xml:space="preserve"> </v>
      </c>
      <c r="B808" s="137" t="str">
        <f>IF(ISBLANK('ALL Other SINs - Proposal'!B808)," ",'ALL Other SINs - Proposal'!B808)</f>
        <v xml:space="preserve"> </v>
      </c>
      <c r="C808" s="137" t="str">
        <f>IF(ISBLANK('ALL Other SINs - Proposal'!C808)," ",'ALL Other SINs - Proposal'!C808)</f>
        <v xml:space="preserve"> </v>
      </c>
      <c r="D808" s="138" t="str">
        <f>IF(ISBLANK('ALL Other SINs - Proposal'!D808)," ",'ALL Other SINs - Proposal'!D808)</f>
        <v xml:space="preserve"> </v>
      </c>
      <c r="E808" s="69" t="str">
        <f>IF(ISBLANK('ALL Other SINs - Proposal'!R808)," ",'ALL Other SINs - Proposal'!R808)</f>
        <v xml:space="preserve"> </v>
      </c>
      <c r="F808" s="73" t="str">
        <f>IF(ISBLANK('ALL Other SINs - Proposal'!S808)," ",'ALL Other SINs - Proposal'!S808)</f>
        <v xml:space="preserve"> </v>
      </c>
      <c r="G808" s="173" t="str">
        <f>IF(ISBLANK('ALL Other SINs - Proposal'!T808)," ",'ALL Other SINs - Proposal'!T808)</f>
        <v xml:space="preserve"> </v>
      </c>
      <c r="H808" s="275" t="str">
        <f>IF(ISBLANK('ALL Other SINs - Proposal'!V808)," ",'ALL Other SINs - Proposal'!V808)</f>
        <v xml:space="preserve"> </v>
      </c>
      <c r="I808" s="271" t="str">
        <f>IF(ISBLANK('ALL Other SINs - Proposal'!W808)," ",'ALL Other SINs - Proposal'!W808)</f>
        <v xml:space="preserve"> </v>
      </c>
      <c r="J808" s="71" t="str">
        <f>IF(ISBLANK('ALL Other SINs - Proposal'!X808)," ",'ALL Other SINs - Proposal'!X808)</f>
        <v xml:space="preserve"> </v>
      </c>
      <c r="K808" s="165" t="str">
        <f>IF(ISBLANK('ALL Other SINs - Proposal'!AA808)," ",'ALL Other SINs - Proposal'!AA808)</f>
        <v xml:space="preserve"> </v>
      </c>
      <c r="L808" s="178" t="str">
        <f>IF(ISBLANK('ALL Other SINs - Proposal'!AB808)," ",'ALL Other SINs - Proposal'!AB808)</f>
        <v xml:space="preserve"> </v>
      </c>
      <c r="M808" s="72" t="str">
        <f t="shared" si="24"/>
        <v xml:space="preserve"> </v>
      </c>
      <c r="N808" s="167" t="str">
        <f t="shared" si="25"/>
        <v xml:space="preserve"> </v>
      </c>
    </row>
    <row r="809" spans="1:14" ht="15" x14ac:dyDescent="0.25">
      <c r="A809" s="131" t="str">
        <f>IF(ISBLANK('ALL Other SINs - Proposal'!A809)," ",'ALL Other SINs - Proposal'!A809)</f>
        <v xml:space="preserve"> </v>
      </c>
      <c r="B809" s="137" t="str">
        <f>IF(ISBLANK('ALL Other SINs - Proposal'!B809)," ",'ALL Other SINs - Proposal'!B809)</f>
        <v xml:space="preserve"> </v>
      </c>
      <c r="C809" s="137" t="str">
        <f>IF(ISBLANK('ALL Other SINs - Proposal'!C809)," ",'ALL Other SINs - Proposal'!C809)</f>
        <v xml:space="preserve"> </v>
      </c>
      <c r="D809" s="138" t="str">
        <f>IF(ISBLANK('ALL Other SINs - Proposal'!D809)," ",'ALL Other SINs - Proposal'!D809)</f>
        <v xml:space="preserve"> </v>
      </c>
      <c r="E809" s="69" t="str">
        <f>IF(ISBLANK('ALL Other SINs - Proposal'!R809)," ",'ALL Other SINs - Proposal'!R809)</f>
        <v xml:space="preserve"> </v>
      </c>
      <c r="F809" s="73" t="str">
        <f>IF(ISBLANK('ALL Other SINs - Proposal'!S809)," ",'ALL Other SINs - Proposal'!S809)</f>
        <v xml:space="preserve"> </v>
      </c>
      <c r="G809" s="173" t="str">
        <f>IF(ISBLANK('ALL Other SINs - Proposal'!T809)," ",'ALL Other SINs - Proposal'!T809)</f>
        <v xml:space="preserve"> </v>
      </c>
      <c r="H809" s="275" t="str">
        <f>IF(ISBLANK('ALL Other SINs - Proposal'!V809)," ",'ALL Other SINs - Proposal'!V809)</f>
        <v xml:space="preserve"> </v>
      </c>
      <c r="I809" s="271" t="str">
        <f>IF(ISBLANK('ALL Other SINs - Proposal'!W809)," ",'ALL Other SINs - Proposal'!W809)</f>
        <v xml:space="preserve"> </v>
      </c>
      <c r="J809" s="71" t="str">
        <f>IF(ISBLANK('ALL Other SINs - Proposal'!X809)," ",'ALL Other SINs - Proposal'!X809)</f>
        <v xml:space="preserve"> </v>
      </c>
      <c r="K809" s="165" t="str">
        <f>IF(ISBLANK('ALL Other SINs - Proposal'!AA809)," ",'ALL Other SINs - Proposal'!AA809)</f>
        <v xml:space="preserve"> </v>
      </c>
      <c r="L809" s="178" t="str">
        <f>IF(ISBLANK('ALL Other SINs - Proposal'!AB809)," ",'ALL Other SINs - Proposal'!AB809)</f>
        <v xml:space="preserve"> </v>
      </c>
      <c r="M809" s="72" t="str">
        <f t="shared" si="24"/>
        <v xml:space="preserve"> </v>
      </c>
      <c r="N809" s="167" t="str">
        <f t="shared" si="25"/>
        <v xml:space="preserve"> </v>
      </c>
    </row>
    <row r="810" spans="1:14" ht="15" x14ac:dyDescent="0.25">
      <c r="A810" s="131" t="str">
        <f>IF(ISBLANK('ALL Other SINs - Proposal'!A810)," ",'ALL Other SINs - Proposal'!A810)</f>
        <v xml:space="preserve"> </v>
      </c>
      <c r="B810" s="137" t="str">
        <f>IF(ISBLANK('ALL Other SINs - Proposal'!B810)," ",'ALL Other SINs - Proposal'!B810)</f>
        <v xml:space="preserve"> </v>
      </c>
      <c r="C810" s="137" t="str">
        <f>IF(ISBLANK('ALL Other SINs - Proposal'!C810)," ",'ALL Other SINs - Proposal'!C810)</f>
        <v xml:space="preserve"> </v>
      </c>
      <c r="D810" s="138" t="str">
        <f>IF(ISBLANK('ALL Other SINs - Proposal'!D810)," ",'ALL Other SINs - Proposal'!D810)</f>
        <v xml:space="preserve"> </v>
      </c>
      <c r="E810" s="69" t="str">
        <f>IF(ISBLANK('ALL Other SINs - Proposal'!R810)," ",'ALL Other SINs - Proposal'!R810)</f>
        <v xml:space="preserve"> </v>
      </c>
      <c r="F810" s="73" t="str">
        <f>IF(ISBLANK('ALL Other SINs - Proposal'!S810)," ",'ALL Other SINs - Proposal'!S810)</f>
        <v xml:space="preserve"> </v>
      </c>
      <c r="G810" s="173" t="str">
        <f>IF(ISBLANK('ALL Other SINs - Proposal'!T810)," ",'ALL Other SINs - Proposal'!T810)</f>
        <v xml:space="preserve"> </v>
      </c>
      <c r="H810" s="275" t="str">
        <f>IF(ISBLANK('ALL Other SINs - Proposal'!V810)," ",'ALL Other SINs - Proposal'!V810)</f>
        <v xml:space="preserve"> </v>
      </c>
      <c r="I810" s="271" t="str">
        <f>IF(ISBLANK('ALL Other SINs - Proposal'!W810)," ",'ALL Other SINs - Proposal'!W810)</f>
        <v xml:space="preserve"> </v>
      </c>
      <c r="J810" s="71" t="str">
        <f>IF(ISBLANK('ALL Other SINs - Proposal'!X810)," ",'ALL Other SINs - Proposal'!X810)</f>
        <v xml:space="preserve"> </v>
      </c>
      <c r="K810" s="165" t="str">
        <f>IF(ISBLANK('ALL Other SINs - Proposal'!AA810)," ",'ALL Other SINs - Proposal'!AA810)</f>
        <v xml:space="preserve"> </v>
      </c>
      <c r="L810" s="178" t="str">
        <f>IF(ISBLANK('ALL Other SINs - Proposal'!AB810)," ",'ALL Other SINs - Proposal'!AB810)</f>
        <v xml:space="preserve"> </v>
      </c>
      <c r="M810" s="72" t="str">
        <f t="shared" si="24"/>
        <v xml:space="preserve"> </v>
      </c>
      <c r="N810" s="167" t="str">
        <f t="shared" si="25"/>
        <v xml:space="preserve"> </v>
      </c>
    </row>
    <row r="811" spans="1:14" ht="15" x14ac:dyDescent="0.25">
      <c r="A811" s="131" t="str">
        <f>IF(ISBLANK('ALL Other SINs - Proposal'!A811)," ",'ALL Other SINs - Proposal'!A811)</f>
        <v xml:space="preserve"> </v>
      </c>
      <c r="B811" s="137" t="str">
        <f>IF(ISBLANK('ALL Other SINs - Proposal'!B811)," ",'ALL Other SINs - Proposal'!B811)</f>
        <v xml:space="preserve"> </v>
      </c>
      <c r="C811" s="137" t="str">
        <f>IF(ISBLANK('ALL Other SINs - Proposal'!C811)," ",'ALL Other SINs - Proposal'!C811)</f>
        <v xml:space="preserve"> </v>
      </c>
      <c r="D811" s="138" t="str">
        <f>IF(ISBLANK('ALL Other SINs - Proposal'!D811)," ",'ALL Other SINs - Proposal'!D811)</f>
        <v xml:space="preserve"> </v>
      </c>
      <c r="E811" s="69" t="str">
        <f>IF(ISBLANK('ALL Other SINs - Proposal'!R811)," ",'ALL Other SINs - Proposal'!R811)</f>
        <v xml:space="preserve"> </v>
      </c>
      <c r="F811" s="73" t="str">
        <f>IF(ISBLANK('ALL Other SINs - Proposal'!S811)," ",'ALL Other SINs - Proposal'!S811)</f>
        <v xml:space="preserve"> </v>
      </c>
      <c r="G811" s="173" t="str">
        <f>IF(ISBLANK('ALL Other SINs - Proposal'!T811)," ",'ALL Other SINs - Proposal'!T811)</f>
        <v xml:space="preserve"> </v>
      </c>
      <c r="H811" s="275" t="str">
        <f>IF(ISBLANK('ALL Other SINs - Proposal'!V811)," ",'ALL Other SINs - Proposal'!V811)</f>
        <v xml:space="preserve"> </v>
      </c>
      <c r="I811" s="271" t="str">
        <f>IF(ISBLANK('ALL Other SINs - Proposal'!W811)," ",'ALL Other SINs - Proposal'!W811)</f>
        <v xml:space="preserve"> </v>
      </c>
      <c r="J811" s="71" t="str">
        <f>IF(ISBLANK('ALL Other SINs - Proposal'!X811)," ",'ALL Other SINs - Proposal'!X811)</f>
        <v xml:space="preserve"> </v>
      </c>
      <c r="K811" s="165" t="str">
        <f>IF(ISBLANK('ALL Other SINs - Proposal'!AA811)," ",'ALL Other SINs - Proposal'!AA811)</f>
        <v xml:space="preserve"> </v>
      </c>
      <c r="L811" s="178" t="str">
        <f>IF(ISBLANK('ALL Other SINs - Proposal'!AB811)," ",'ALL Other SINs - Proposal'!AB811)</f>
        <v xml:space="preserve"> </v>
      </c>
      <c r="M811" s="72" t="str">
        <f t="shared" si="24"/>
        <v xml:space="preserve"> </v>
      </c>
      <c r="N811" s="167" t="str">
        <f t="shared" si="25"/>
        <v xml:space="preserve"> </v>
      </c>
    </row>
    <row r="812" spans="1:14" ht="15" x14ac:dyDescent="0.25">
      <c r="A812" s="131" t="str">
        <f>IF(ISBLANK('ALL Other SINs - Proposal'!A812)," ",'ALL Other SINs - Proposal'!A812)</f>
        <v xml:space="preserve"> </v>
      </c>
      <c r="B812" s="137" t="str">
        <f>IF(ISBLANK('ALL Other SINs - Proposal'!B812)," ",'ALL Other SINs - Proposal'!B812)</f>
        <v xml:space="preserve"> </v>
      </c>
      <c r="C812" s="137" t="str">
        <f>IF(ISBLANK('ALL Other SINs - Proposal'!C812)," ",'ALL Other SINs - Proposal'!C812)</f>
        <v xml:space="preserve"> </v>
      </c>
      <c r="D812" s="138" t="str">
        <f>IF(ISBLANK('ALL Other SINs - Proposal'!D812)," ",'ALL Other SINs - Proposal'!D812)</f>
        <v xml:space="preserve"> </v>
      </c>
      <c r="E812" s="69" t="str">
        <f>IF(ISBLANK('ALL Other SINs - Proposal'!R812)," ",'ALL Other SINs - Proposal'!R812)</f>
        <v xml:space="preserve"> </v>
      </c>
      <c r="F812" s="73" t="str">
        <f>IF(ISBLANK('ALL Other SINs - Proposal'!S812)," ",'ALL Other SINs - Proposal'!S812)</f>
        <v xml:space="preserve"> </v>
      </c>
      <c r="G812" s="173" t="str">
        <f>IF(ISBLANK('ALL Other SINs - Proposal'!T812)," ",'ALL Other SINs - Proposal'!T812)</f>
        <v xml:space="preserve"> </v>
      </c>
      <c r="H812" s="275" t="str">
        <f>IF(ISBLANK('ALL Other SINs - Proposal'!V812)," ",'ALL Other SINs - Proposal'!V812)</f>
        <v xml:space="preserve"> </v>
      </c>
      <c r="I812" s="271" t="str">
        <f>IF(ISBLANK('ALL Other SINs - Proposal'!W812)," ",'ALL Other SINs - Proposal'!W812)</f>
        <v xml:space="preserve"> </v>
      </c>
      <c r="J812" s="71" t="str">
        <f>IF(ISBLANK('ALL Other SINs - Proposal'!X812)," ",'ALL Other SINs - Proposal'!X812)</f>
        <v xml:space="preserve"> </v>
      </c>
      <c r="K812" s="165" t="str">
        <f>IF(ISBLANK('ALL Other SINs - Proposal'!AA812)," ",'ALL Other SINs - Proposal'!AA812)</f>
        <v xml:space="preserve"> </v>
      </c>
      <c r="L812" s="178" t="str">
        <f>IF(ISBLANK('ALL Other SINs - Proposal'!AB812)," ",'ALL Other SINs - Proposal'!AB812)</f>
        <v xml:space="preserve"> </v>
      </c>
      <c r="M812" s="72" t="str">
        <f t="shared" si="24"/>
        <v xml:space="preserve"> </v>
      </c>
      <c r="N812" s="167" t="str">
        <f t="shared" si="25"/>
        <v xml:space="preserve"> </v>
      </c>
    </row>
    <row r="813" spans="1:14" ht="15" x14ac:dyDescent="0.25">
      <c r="A813" s="131" t="str">
        <f>IF(ISBLANK('ALL Other SINs - Proposal'!A813)," ",'ALL Other SINs - Proposal'!A813)</f>
        <v xml:space="preserve"> </v>
      </c>
      <c r="B813" s="137" t="str">
        <f>IF(ISBLANK('ALL Other SINs - Proposal'!B813)," ",'ALL Other SINs - Proposal'!B813)</f>
        <v xml:space="preserve"> </v>
      </c>
      <c r="C813" s="137" t="str">
        <f>IF(ISBLANK('ALL Other SINs - Proposal'!C813)," ",'ALL Other SINs - Proposal'!C813)</f>
        <v xml:space="preserve"> </v>
      </c>
      <c r="D813" s="138" t="str">
        <f>IF(ISBLANK('ALL Other SINs - Proposal'!D813)," ",'ALL Other SINs - Proposal'!D813)</f>
        <v xml:space="preserve"> </v>
      </c>
      <c r="E813" s="69" t="str">
        <f>IF(ISBLANK('ALL Other SINs - Proposal'!R813)," ",'ALL Other SINs - Proposal'!R813)</f>
        <v xml:space="preserve"> </v>
      </c>
      <c r="F813" s="73" t="str">
        <f>IF(ISBLANK('ALL Other SINs - Proposal'!S813)," ",'ALL Other SINs - Proposal'!S813)</f>
        <v xml:space="preserve"> </v>
      </c>
      <c r="G813" s="173" t="str">
        <f>IF(ISBLANK('ALL Other SINs - Proposal'!T813)," ",'ALL Other SINs - Proposal'!T813)</f>
        <v xml:space="preserve"> </v>
      </c>
      <c r="H813" s="275" t="str">
        <f>IF(ISBLANK('ALL Other SINs - Proposal'!V813)," ",'ALL Other SINs - Proposal'!V813)</f>
        <v xml:space="preserve"> </v>
      </c>
      <c r="I813" s="271" t="str">
        <f>IF(ISBLANK('ALL Other SINs - Proposal'!W813)," ",'ALL Other SINs - Proposal'!W813)</f>
        <v xml:space="preserve"> </v>
      </c>
      <c r="J813" s="71" t="str">
        <f>IF(ISBLANK('ALL Other SINs - Proposal'!X813)," ",'ALL Other SINs - Proposal'!X813)</f>
        <v xml:space="preserve"> </v>
      </c>
      <c r="K813" s="165" t="str">
        <f>IF(ISBLANK('ALL Other SINs - Proposal'!AA813)," ",'ALL Other SINs - Proposal'!AA813)</f>
        <v xml:space="preserve"> </v>
      </c>
      <c r="L813" s="178" t="str">
        <f>IF(ISBLANK('ALL Other SINs - Proposal'!AB813)," ",'ALL Other SINs - Proposal'!AB813)</f>
        <v xml:space="preserve"> </v>
      </c>
      <c r="M813" s="72" t="str">
        <f t="shared" si="24"/>
        <v xml:space="preserve"> </v>
      </c>
      <c r="N813" s="167" t="str">
        <f t="shared" si="25"/>
        <v xml:space="preserve"> </v>
      </c>
    </row>
    <row r="814" spans="1:14" ht="15" x14ac:dyDescent="0.25">
      <c r="A814" s="131" t="str">
        <f>IF(ISBLANK('ALL Other SINs - Proposal'!A814)," ",'ALL Other SINs - Proposal'!A814)</f>
        <v xml:space="preserve"> </v>
      </c>
      <c r="B814" s="137" t="str">
        <f>IF(ISBLANK('ALL Other SINs - Proposal'!B814)," ",'ALL Other SINs - Proposal'!B814)</f>
        <v xml:space="preserve"> </v>
      </c>
      <c r="C814" s="137" t="str">
        <f>IF(ISBLANK('ALL Other SINs - Proposal'!C814)," ",'ALL Other SINs - Proposal'!C814)</f>
        <v xml:space="preserve"> </v>
      </c>
      <c r="D814" s="138" t="str">
        <f>IF(ISBLANK('ALL Other SINs - Proposal'!D814)," ",'ALL Other SINs - Proposal'!D814)</f>
        <v xml:space="preserve"> </v>
      </c>
      <c r="E814" s="69" t="str">
        <f>IF(ISBLANK('ALL Other SINs - Proposal'!R814)," ",'ALL Other SINs - Proposal'!R814)</f>
        <v xml:space="preserve"> </v>
      </c>
      <c r="F814" s="73" t="str">
        <f>IF(ISBLANK('ALL Other SINs - Proposal'!S814)," ",'ALL Other SINs - Proposal'!S814)</f>
        <v xml:space="preserve"> </v>
      </c>
      <c r="G814" s="173" t="str">
        <f>IF(ISBLANK('ALL Other SINs - Proposal'!T814)," ",'ALL Other SINs - Proposal'!T814)</f>
        <v xml:space="preserve"> </v>
      </c>
      <c r="H814" s="275" t="str">
        <f>IF(ISBLANK('ALL Other SINs - Proposal'!V814)," ",'ALL Other SINs - Proposal'!V814)</f>
        <v xml:space="preserve"> </v>
      </c>
      <c r="I814" s="271" t="str">
        <f>IF(ISBLANK('ALL Other SINs - Proposal'!W814)," ",'ALL Other SINs - Proposal'!W814)</f>
        <v xml:space="preserve"> </v>
      </c>
      <c r="J814" s="71" t="str">
        <f>IF(ISBLANK('ALL Other SINs - Proposal'!X814)," ",'ALL Other SINs - Proposal'!X814)</f>
        <v xml:space="preserve"> </v>
      </c>
      <c r="K814" s="165" t="str">
        <f>IF(ISBLANK('ALL Other SINs - Proposal'!AA814)," ",'ALL Other SINs - Proposal'!AA814)</f>
        <v xml:space="preserve"> </v>
      </c>
      <c r="L814" s="178" t="str">
        <f>IF(ISBLANK('ALL Other SINs - Proposal'!AB814)," ",'ALL Other SINs - Proposal'!AB814)</f>
        <v xml:space="preserve"> </v>
      </c>
      <c r="M814" s="72" t="str">
        <f t="shared" si="24"/>
        <v xml:space="preserve"> </v>
      </c>
      <c r="N814" s="167" t="str">
        <f t="shared" si="25"/>
        <v xml:space="preserve"> </v>
      </c>
    </row>
    <row r="815" spans="1:14" ht="15" x14ac:dyDescent="0.25">
      <c r="A815" s="131" t="str">
        <f>IF(ISBLANK('ALL Other SINs - Proposal'!A815)," ",'ALL Other SINs - Proposal'!A815)</f>
        <v xml:space="preserve"> </v>
      </c>
      <c r="B815" s="137" t="str">
        <f>IF(ISBLANK('ALL Other SINs - Proposal'!B815)," ",'ALL Other SINs - Proposal'!B815)</f>
        <v xml:space="preserve"> </v>
      </c>
      <c r="C815" s="137" t="str">
        <f>IF(ISBLANK('ALL Other SINs - Proposal'!C815)," ",'ALL Other SINs - Proposal'!C815)</f>
        <v xml:space="preserve"> </v>
      </c>
      <c r="D815" s="138" t="str">
        <f>IF(ISBLANK('ALL Other SINs - Proposal'!D815)," ",'ALL Other SINs - Proposal'!D815)</f>
        <v xml:space="preserve"> </v>
      </c>
      <c r="E815" s="69" t="str">
        <f>IF(ISBLANK('ALL Other SINs - Proposal'!R815)," ",'ALL Other SINs - Proposal'!R815)</f>
        <v xml:space="preserve"> </v>
      </c>
      <c r="F815" s="73" t="str">
        <f>IF(ISBLANK('ALL Other SINs - Proposal'!S815)," ",'ALL Other SINs - Proposal'!S815)</f>
        <v xml:space="preserve"> </v>
      </c>
      <c r="G815" s="173" t="str">
        <f>IF(ISBLANK('ALL Other SINs - Proposal'!T815)," ",'ALL Other SINs - Proposal'!T815)</f>
        <v xml:space="preserve"> </v>
      </c>
      <c r="H815" s="275" t="str">
        <f>IF(ISBLANK('ALL Other SINs - Proposal'!V815)," ",'ALL Other SINs - Proposal'!V815)</f>
        <v xml:space="preserve"> </v>
      </c>
      <c r="I815" s="271" t="str">
        <f>IF(ISBLANK('ALL Other SINs - Proposal'!W815)," ",'ALL Other SINs - Proposal'!W815)</f>
        <v xml:space="preserve"> </v>
      </c>
      <c r="J815" s="71" t="str">
        <f>IF(ISBLANK('ALL Other SINs - Proposal'!X815)," ",'ALL Other SINs - Proposal'!X815)</f>
        <v xml:space="preserve"> </v>
      </c>
      <c r="K815" s="165" t="str">
        <f>IF(ISBLANK('ALL Other SINs - Proposal'!AA815)," ",'ALL Other SINs - Proposal'!AA815)</f>
        <v xml:space="preserve"> </v>
      </c>
      <c r="L815" s="178" t="str">
        <f>IF(ISBLANK('ALL Other SINs - Proposal'!AB815)," ",'ALL Other SINs - Proposal'!AB815)</f>
        <v xml:space="preserve"> </v>
      </c>
      <c r="M815" s="72" t="str">
        <f t="shared" si="24"/>
        <v xml:space="preserve"> </v>
      </c>
      <c r="N815" s="167" t="str">
        <f t="shared" si="25"/>
        <v xml:space="preserve"> </v>
      </c>
    </row>
    <row r="816" spans="1:14" ht="15" x14ac:dyDescent="0.25">
      <c r="A816" s="131" t="str">
        <f>IF(ISBLANK('ALL Other SINs - Proposal'!A816)," ",'ALL Other SINs - Proposal'!A816)</f>
        <v xml:space="preserve"> </v>
      </c>
      <c r="B816" s="137" t="str">
        <f>IF(ISBLANK('ALL Other SINs - Proposal'!B816)," ",'ALL Other SINs - Proposal'!B816)</f>
        <v xml:space="preserve"> </v>
      </c>
      <c r="C816" s="137" t="str">
        <f>IF(ISBLANK('ALL Other SINs - Proposal'!C816)," ",'ALL Other SINs - Proposal'!C816)</f>
        <v xml:space="preserve"> </v>
      </c>
      <c r="D816" s="138" t="str">
        <f>IF(ISBLANK('ALL Other SINs - Proposal'!D816)," ",'ALL Other SINs - Proposal'!D816)</f>
        <v xml:space="preserve"> </v>
      </c>
      <c r="E816" s="69" t="str">
        <f>IF(ISBLANK('ALL Other SINs - Proposal'!R816)," ",'ALL Other SINs - Proposal'!R816)</f>
        <v xml:space="preserve"> </v>
      </c>
      <c r="F816" s="73" t="str">
        <f>IF(ISBLANK('ALL Other SINs - Proposal'!S816)," ",'ALL Other SINs - Proposal'!S816)</f>
        <v xml:space="preserve"> </v>
      </c>
      <c r="G816" s="173" t="str">
        <f>IF(ISBLANK('ALL Other SINs - Proposal'!T816)," ",'ALL Other SINs - Proposal'!T816)</f>
        <v xml:space="preserve"> </v>
      </c>
      <c r="H816" s="275" t="str">
        <f>IF(ISBLANK('ALL Other SINs - Proposal'!V816)," ",'ALL Other SINs - Proposal'!V816)</f>
        <v xml:space="preserve"> </v>
      </c>
      <c r="I816" s="271" t="str">
        <f>IF(ISBLANK('ALL Other SINs - Proposal'!W816)," ",'ALL Other SINs - Proposal'!W816)</f>
        <v xml:space="preserve"> </v>
      </c>
      <c r="J816" s="71" t="str">
        <f>IF(ISBLANK('ALL Other SINs - Proposal'!X816)," ",'ALL Other SINs - Proposal'!X816)</f>
        <v xml:space="preserve"> </v>
      </c>
      <c r="K816" s="165" t="str">
        <f>IF(ISBLANK('ALL Other SINs - Proposal'!AA816)," ",'ALL Other SINs - Proposal'!AA816)</f>
        <v xml:space="preserve"> </v>
      </c>
      <c r="L816" s="178" t="str">
        <f>IF(ISBLANK('ALL Other SINs - Proposal'!AB816)," ",'ALL Other SINs - Proposal'!AB816)</f>
        <v xml:space="preserve"> </v>
      </c>
      <c r="M816" s="72" t="str">
        <f t="shared" si="24"/>
        <v xml:space="preserve"> </v>
      </c>
      <c r="N816" s="167" t="str">
        <f t="shared" si="25"/>
        <v xml:space="preserve"> </v>
      </c>
    </row>
    <row r="817" spans="1:14" ht="15" x14ac:dyDescent="0.25">
      <c r="A817" s="131" t="str">
        <f>IF(ISBLANK('ALL Other SINs - Proposal'!A817)," ",'ALL Other SINs - Proposal'!A817)</f>
        <v xml:space="preserve"> </v>
      </c>
      <c r="B817" s="137" t="str">
        <f>IF(ISBLANK('ALL Other SINs - Proposal'!B817)," ",'ALL Other SINs - Proposal'!B817)</f>
        <v xml:space="preserve"> </v>
      </c>
      <c r="C817" s="137" t="str">
        <f>IF(ISBLANK('ALL Other SINs - Proposal'!C817)," ",'ALL Other SINs - Proposal'!C817)</f>
        <v xml:space="preserve"> </v>
      </c>
      <c r="D817" s="138" t="str">
        <f>IF(ISBLANK('ALL Other SINs - Proposal'!D817)," ",'ALL Other SINs - Proposal'!D817)</f>
        <v xml:space="preserve"> </v>
      </c>
      <c r="E817" s="69" t="str">
        <f>IF(ISBLANK('ALL Other SINs - Proposal'!R817)," ",'ALL Other SINs - Proposal'!R817)</f>
        <v xml:space="preserve"> </v>
      </c>
      <c r="F817" s="73" t="str">
        <f>IF(ISBLANK('ALL Other SINs - Proposal'!S817)," ",'ALL Other SINs - Proposal'!S817)</f>
        <v xml:space="preserve"> </v>
      </c>
      <c r="G817" s="173" t="str">
        <f>IF(ISBLANK('ALL Other SINs - Proposal'!T817)," ",'ALL Other SINs - Proposal'!T817)</f>
        <v xml:space="preserve"> </v>
      </c>
      <c r="H817" s="275" t="str">
        <f>IF(ISBLANK('ALL Other SINs - Proposal'!V817)," ",'ALL Other SINs - Proposal'!V817)</f>
        <v xml:space="preserve"> </v>
      </c>
      <c r="I817" s="271" t="str">
        <f>IF(ISBLANK('ALL Other SINs - Proposal'!W817)," ",'ALL Other SINs - Proposal'!W817)</f>
        <v xml:space="preserve"> </v>
      </c>
      <c r="J817" s="71" t="str">
        <f>IF(ISBLANK('ALL Other SINs - Proposal'!X817)," ",'ALL Other SINs - Proposal'!X817)</f>
        <v xml:space="preserve"> </v>
      </c>
      <c r="K817" s="165" t="str">
        <f>IF(ISBLANK('ALL Other SINs - Proposal'!AA817)," ",'ALL Other SINs - Proposal'!AA817)</f>
        <v xml:space="preserve"> </v>
      </c>
      <c r="L817" s="178" t="str">
        <f>IF(ISBLANK('ALL Other SINs - Proposal'!AB817)," ",'ALL Other SINs - Proposal'!AB817)</f>
        <v xml:space="preserve"> </v>
      </c>
      <c r="M817" s="72" t="str">
        <f t="shared" si="24"/>
        <v xml:space="preserve"> </v>
      </c>
      <c r="N817" s="167" t="str">
        <f t="shared" si="25"/>
        <v xml:space="preserve"> </v>
      </c>
    </row>
    <row r="818" spans="1:14" ht="15" x14ac:dyDescent="0.25">
      <c r="A818" s="131" t="str">
        <f>IF(ISBLANK('ALL Other SINs - Proposal'!A818)," ",'ALL Other SINs - Proposal'!A818)</f>
        <v xml:space="preserve"> </v>
      </c>
      <c r="B818" s="137" t="str">
        <f>IF(ISBLANK('ALL Other SINs - Proposal'!B818)," ",'ALL Other SINs - Proposal'!B818)</f>
        <v xml:space="preserve"> </v>
      </c>
      <c r="C818" s="137" t="str">
        <f>IF(ISBLANK('ALL Other SINs - Proposal'!C818)," ",'ALL Other SINs - Proposal'!C818)</f>
        <v xml:space="preserve"> </v>
      </c>
      <c r="D818" s="138" t="str">
        <f>IF(ISBLANK('ALL Other SINs - Proposal'!D818)," ",'ALL Other SINs - Proposal'!D818)</f>
        <v xml:space="preserve"> </v>
      </c>
      <c r="E818" s="69" t="str">
        <f>IF(ISBLANK('ALL Other SINs - Proposal'!R818)," ",'ALL Other SINs - Proposal'!R818)</f>
        <v xml:space="preserve"> </v>
      </c>
      <c r="F818" s="73" t="str">
        <f>IF(ISBLANK('ALL Other SINs - Proposal'!S818)," ",'ALL Other SINs - Proposal'!S818)</f>
        <v xml:space="preserve"> </v>
      </c>
      <c r="G818" s="173" t="str">
        <f>IF(ISBLANK('ALL Other SINs - Proposal'!T818)," ",'ALL Other SINs - Proposal'!T818)</f>
        <v xml:space="preserve"> </v>
      </c>
      <c r="H818" s="275" t="str">
        <f>IF(ISBLANK('ALL Other SINs - Proposal'!V818)," ",'ALL Other SINs - Proposal'!V818)</f>
        <v xml:space="preserve"> </v>
      </c>
      <c r="I818" s="271" t="str">
        <f>IF(ISBLANK('ALL Other SINs - Proposal'!W818)," ",'ALL Other SINs - Proposal'!W818)</f>
        <v xml:space="preserve"> </v>
      </c>
      <c r="J818" s="71" t="str">
        <f>IF(ISBLANK('ALL Other SINs - Proposal'!X818)," ",'ALL Other SINs - Proposal'!X818)</f>
        <v xml:space="preserve"> </v>
      </c>
      <c r="K818" s="165" t="str">
        <f>IF(ISBLANK('ALL Other SINs - Proposal'!AA818)," ",'ALL Other SINs - Proposal'!AA818)</f>
        <v xml:space="preserve"> </v>
      </c>
      <c r="L818" s="178" t="str">
        <f>IF(ISBLANK('ALL Other SINs - Proposal'!AB818)," ",'ALL Other SINs - Proposal'!AB818)</f>
        <v xml:space="preserve"> </v>
      </c>
      <c r="M818" s="72" t="str">
        <f t="shared" si="24"/>
        <v xml:space="preserve"> </v>
      </c>
      <c r="N818" s="167" t="str">
        <f t="shared" si="25"/>
        <v xml:space="preserve"> </v>
      </c>
    </row>
    <row r="819" spans="1:14" ht="15" x14ac:dyDescent="0.25">
      <c r="A819" s="131" t="str">
        <f>IF(ISBLANK('ALL Other SINs - Proposal'!A819)," ",'ALL Other SINs - Proposal'!A819)</f>
        <v xml:space="preserve"> </v>
      </c>
      <c r="B819" s="137" t="str">
        <f>IF(ISBLANK('ALL Other SINs - Proposal'!B819)," ",'ALL Other SINs - Proposal'!B819)</f>
        <v xml:space="preserve"> </v>
      </c>
      <c r="C819" s="137" t="str">
        <f>IF(ISBLANK('ALL Other SINs - Proposal'!C819)," ",'ALL Other SINs - Proposal'!C819)</f>
        <v xml:space="preserve"> </v>
      </c>
      <c r="D819" s="138" t="str">
        <f>IF(ISBLANK('ALL Other SINs - Proposal'!D819)," ",'ALL Other SINs - Proposal'!D819)</f>
        <v xml:space="preserve"> </v>
      </c>
      <c r="E819" s="69" t="str">
        <f>IF(ISBLANK('ALL Other SINs - Proposal'!R819)," ",'ALL Other SINs - Proposal'!R819)</f>
        <v xml:space="preserve"> </v>
      </c>
      <c r="F819" s="73" t="str">
        <f>IF(ISBLANK('ALL Other SINs - Proposal'!S819)," ",'ALL Other SINs - Proposal'!S819)</f>
        <v xml:space="preserve"> </v>
      </c>
      <c r="G819" s="173" t="str">
        <f>IF(ISBLANK('ALL Other SINs - Proposal'!T819)," ",'ALL Other SINs - Proposal'!T819)</f>
        <v xml:space="preserve"> </v>
      </c>
      <c r="H819" s="275" t="str">
        <f>IF(ISBLANK('ALL Other SINs - Proposal'!V819)," ",'ALL Other SINs - Proposal'!V819)</f>
        <v xml:space="preserve"> </v>
      </c>
      <c r="I819" s="271" t="str">
        <f>IF(ISBLANK('ALL Other SINs - Proposal'!W819)," ",'ALL Other SINs - Proposal'!W819)</f>
        <v xml:space="preserve"> </v>
      </c>
      <c r="J819" s="71" t="str">
        <f>IF(ISBLANK('ALL Other SINs - Proposal'!X819)," ",'ALL Other SINs - Proposal'!X819)</f>
        <v xml:space="preserve"> </v>
      </c>
      <c r="K819" s="165" t="str">
        <f>IF(ISBLANK('ALL Other SINs - Proposal'!AA819)," ",'ALL Other SINs - Proposal'!AA819)</f>
        <v xml:space="preserve"> </v>
      </c>
      <c r="L819" s="178" t="str">
        <f>IF(ISBLANK('ALL Other SINs - Proposal'!AB819)," ",'ALL Other SINs - Proposal'!AB819)</f>
        <v xml:space="preserve"> </v>
      </c>
      <c r="M819" s="72" t="str">
        <f t="shared" si="24"/>
        <v xml:space="preserve"> </v>
      </c>
      <c r="N819" s="167" t="str">
        <f t="shared" si="25"/>
        <v xml:space="preserve"> </v>
      </c>
    </row>
    <row r="820" spans="1:14" ht="15" x14ac:dyDescent="0.25">
      <c r="A820" s="131" t="str">
        <f>IF(ISBLANK('ALL Other SINs - Proposal'!A820)," ",'ALL Other SINs - Proposal'!A820)</f>
        <v xml:space="preserve"> </v>
      </c>
      <c r="B820" s="137" t="str">
        <f>IF(ISBLANK('ALL Other SINs - Proposal'!B820)," ",'ALL Other SINs - Proposal'!B820)</f>
        <v xml:space="preserve"> </v>
      </c>
      <c r="C820" s="137" t="str">
        <f>IF(ISBLANK('ALL Other SINs - Proposal'!C820)," ",'ALL Other SINs - Proposal'!C820)</f>
        <v xml:space="preserve"> </v>
      </c>
      <c r="D820" s="138" t="str">
        <f>IF(ISBLANK('ALL Other SINs - Proposal'!D820)," ",'ALL Other SINs - Proposal'!D820)</f>
        <v xml:space="preserve"> </v>
      </c>
      <c r="E820" s="69" t="str">
        <f>IF(ISBLANK('ALL Other SINs - Proposal'!R820)," ",'ALL Other SINs - Proposal'!R820)</f>
        <v xml:space="preserve"> </v>
      </c>
      <c r="F820" s="73" t="str">
        <f>IF(ISBLANK('ALL Other SINs - Proposal'!S820)," ",'ALL Other SINs - Proposal'!S820)</f>
        <v xml:space="preserve"> </v>
      </c>
      <c r="G820" s="173" t="str">
        <f>IF(ISBLANK('ALL Other SINs - Proposal'!T820)," ",'ALL Other SINs - Proposal'!T820)</f>
        <v xml:space="preserve"> </v>
      </c>
      <c r="H820" s="275" t="str">
        <f>IF(ISBLANK('ALL Other SINs - Proposal'!V820)," ",'ALL Other SINs - Proposal'!V820)</f>
        <v xml:space="preserve"> </v>
      </c>
      <c r="I820" s="271" t="str">
        <f>IF(ISBLANK('ALL Other SINs - Proposal'!W820)," ",'ALL Other SINs - Proposal'!W820)</f>
        <v xml:space="preserve"> </v>
      </c>
      <c r="J820" s="71" t="str">
        <f>IF(ISBLANK('ALL Other SINs - Proposal'!X820)," ",'ALL Other SINs - Proposal'!X820)</f>
        <v xml:space="preserve"> </v>
      </c>
      <c r="K820" s="165" t="str">
        <f>IF(ISBLANK('ALL Other SINs - Proposal'!AA820)," ",'ALL Other SINs - Proposal'!AA820)</f>
        <v xml:space="preserve"> </v>
      </c>
      <c r="L820" s="178" t="str">
        <f>IF(ISBLANK('ALL Other SINs - Proposal'!AB820)," ",'ALL Other SINs - Proposal'!AB820)</f>
        <v xml:space="preserve"> </v>
      </c>
      <c r="M820" s="72" t="str">
        <f t="shared" si="24"/>
        <v xml:space="preserve"> </v>
      </c>
      <c r="N820" s="167" t="str">
        <f t="shared" si="25"/>
        <v xml:space="preserve"> </v>
      </c>
    </row>
    <row r="821" spans="1:14" ht="15" x14ac:dyDescent="0.25">
      <c r="A821" s="131" t="str">
        <f>IF(ISBLANK('ALL Other SINs - Proposal'!A821)," ",'ALL Other SINs - Proposal'!A821)</f>
        <v xml:space="preserve"> </v>
      </c>
      <c r="B821" s="137" t="str">
        <f>IF(ISBLANK('ALL Other SINs - Proposal'!B821)," ",'ALL Other SINs - Proposal'!B821)</f>
        <v xml:space="preserve"> </v>
      </c>
      <c r="C821" s="137" t="str">
        <f>IF(ISBLANK('ALL Other SINs - Proposal'!C821)," ",'ALL Other SINs - Proposal'!C821)</f>
        <v xml:space="preserve"> </v>
      </c>
      <c r="D821" s="138" t="str">
        <f>IF(ISBLANK('ALL Other SINs - Proposal'!D821)," ",'ALL Other SINs - Proposal'!D821)</f>
        <v xml:space="preserve"> </v>
      </c>
      <c r="E821" s="69" t="str">
        <f>IF(ISBLANK('ALL Other SINs - Proposal'!R821)," ",'ALL Other SINs - Proposal'!R821)</f>
        <v xml:space="preserve"> </v>
      </c>
      <c r="F821" s="73" t="str">
        <f>IF(ISBLANK('ALL Other SINs - Proposal'!S821)," ",'ALL Other SINs - Proposal'!S821)</f>
        <v xml:space="preserve"> </v>
      </c>
      <c r="G821" s="173" t="str">
        <f>IF(ISBLANK('ALL Other SINs - Proposal'!T821)," ",'ALL Other SINs - Proposal'!T821)</f>
        <v xml:space="preserve"> </v>
      </c>
      <c r="H821" s="275" t="str">
        <f>IF(ISBLANK('ALL Other SINs - Proposal'!V821)," ",'ALL Other SINs - Proposal'!V821)</f>
        <v xml:space="preserve"> </v>
      </c>
      <c r="I821" s="271" t="str">
        <f>IF(ISBLANK('ALL Other SINs - Proposal'!W821)," ",'ALL Other SINs - Proposal'!W821)</f>
        <v xml:space="preserve"> </v>
      </c>
      <c r="J821" s="71" t="str">
        <f>IF(ISBLANK('ALL Other SINs - Proposal'!X821)," ",'ALL Other SINs - Proposal'!X821)</f>
        <v xml:space="preserve"> </v>
      </c>
      <c r="K821" s="165" t="str">
        <f>IF(ISBLANK('ALL Other SINs - Proposal'!AA821)," ",'ALL Other SINs - Proposal'!AA821)</f>
        <v xml:space="preserve"> </v>
      </c>
      <c r="L821" s="178" t="str">
        <f>IF(ISBLANK('ALL Other SINs - Proposal'!AB821)," ",'ALL Other SINs - Proposal'!AB821)</f>
        <v xml:space="preserve"> </v>
      </c>
      <c r="M821" s="72" t="str">
        <f t="shared" si="24"/>
        <v xml:space="preserve"> </v>
      </c>
      <c r="N821" s="167" t="str">
        <f t="shared" si="25"/>
        <v xml:space="preserve"> </v>
      </c>
    </row>
    <row r="822" spans="1:14" ht="15" x14ac:dyDescent="0.25">
      <c r="A822" s="131" t="str">
        <f>IF(ISBLANK('ALL Other SINs - Proposal'!A822)," ",'ALL Other SINs - Proposal'!A822)</f>
        <v xml:space="preserve"> </v>
      </c>
      <c r="B822" s="137" t="str">
        <f>IF(ISBLANK('ALL Other SINs - Proposal'!B822)," ",'ALL Other SINs - Proposal'!B822)</f>
        <v xml:space="preserve"> </v>
      </c>
      <c r="C822" s="137" t="str">
        <f>IF(ISBLANK('ALL Other SINs - Proposal'!C822)," ",'ALL Other SINs - Proposal'!C822)</f>
        <v xml:space="preserve"> </v>
      </c>
      <c r="D822" s="138" t="str">
        <f>IF(ISBLANK('ALL Other SINs - Proposal'!D822)," ",'ALL Other SINs - Proposal'!D822)</f>
        <v xml:space="preserve"> </v>
      </c>
      <c r="E822" s="69" t="str">
        <f>IF(ISBLANK('ALL Other SINs - Proposal'!R822)," ",'ALL Other SINs - Proposal'!R822)</f>
        <v xml:space="preserve"> </v>
      </c>
      <c r="F822" s="73" t="str">
        <f>IF(ISBLANK('ALL Other SINs - Proposal'!S822)," ",'ALL Other SINs - Proposal'!S822)</f>
        <v xml:space="preserve"> </v>
      </c>
      <c r="G822" s="173" t="str">
        <f>IF(ISBLANK('ALL Other SINs - Proposal'!T822)," ",'ALL Other SINs - Proposal'!T822)</f>
        <v xml:space="preserve"> </v>
      </c>
      <c r="H822" s="275" t="str">
        <f>IF(ISBLANK('ALL Other SINs - Proposal'!V822)," ",'ALL Other SINs - Proposal'!V822)</f>
        <v xml:space="preserve"> </v>
      </c>
      <c r="I822" s="271" t="str">
        <f>IF(ISBLANK('ALL Other SINs - Proposal'!W822)," ",'ALL Other SINs - Proposal'!W822)</f>
        <v xml:space="preserve"> </v>
      </c>
      <c r="J822" s="71" t="str">
        <f>IF(ISBLANK('ALL Other SINs - Proposal'!X822)," ",'ALL Other SINs - Proposal'!X822)</f>
        <v xml:space="preserve"> </v>
      </c>
      <c r="K822" s="165" t="str">
        <f>IF(ISBLANK('ALL Other SINs - Proposal'!AA822)," ",'ALL Other SINs - Proposal'!AA822)</f>
        <v xml:space="preserve"> </v>
      </c>
      <c r="L822" s="178" t="str">
        <f>IF(ISBLANK('ALL Other SINs - Proposal'!AB822)," ",'ALL Other SINs - Proposal'!AB822)</f>
        <v xml:space="preserve"> </v>
      </c>
      <c r="M822" s="72" t="str">
        <f t="shared" si="24"/>
        <v xml:space="preserve"> </v>
      </c>
      <c r="N822" s="167" t="str">
        <f t="shared" si="25"/>
        <v xml:space="preserve"> </v>
      </c>
    </row>
    <row r="823" spans="1:14" ht="15" x14ac:dyDescent="0.25">
      <c r="A823" s="131" t="str">
        <f>IF(ISBLANK('ALL Other SINs - Proposal'!A823)," ",'ALL Other SINs - Proposal'!A823)</f>
        <v xml:space="preserve"> </v>
      </c>
      <c r="B823" s="137" t="str">
        <f>IF(ISBLANK('ALL Other SINs - Proposal'!B823)," ",'ALL Other SINs - Proposal'!B823)</f>
        <v xml:space="preserve"> </v>
      </c>
      <c r="C823" s="137" t="str">
        <f>IF(ISBLANK('ALL Other SINs - Proposal'!C823)," ",'ALL Other SINs - Proposal'!C823)</f>
        <v xml:space="preserve"> </v>
      </c>
      <c r="D823" s="138" t="str">
        <f>IF(ISBLANK('ALL Other SINs - Proposal'!D823)," ",'ALL Other SINs - Proposal'!D823)</f>
        <v xml:space="preserve"> </v>
      </c>
      <c r="E823" s="69" t="str">
        <f>IF(ISBLANK('ALL Other SINs - Proposal'!R823)," ",'ALL Other SINs - Proposal'!R823)</f>
        <v xml:space="preserve"> </v>
      </c>
      <c r="F823" s="73" t="str">
        <f>IF(ISBLANK('ALL Other SINs - Proposal'!S823)," ",'ALL Other SINs - Proposal'!S823)</f>
        <v xml:space="preserve"> </v>
      </c>
      <c r="G823" s="173" t="str">
        <f>IF(ISBLANK('ALL Other SINs - Proposal'!T823)," ",'ALL Other SINs - Proposal'!T823)</f>
        <v xml:space="preserve"> </v>
      </c>
      <c r="H823" s="275" t="str">
        <f>IF(ISBLANK('ALL Other SINs - Proposal'!V823)," ",'ALL Other SINs - Proposal'!V823)</f>
        <v xml:space="preserve"> </v>
      </c>
      <c r="I823" s="271" t="str">
        <f>IF(ISBLANK('ALL Other SINs - Proposal'!W823)," ",'ALL Other SINs - Proposal'!W823)</f>
        <v xml:space="preserve"> </v>
      </c>
      <c r="J823" s="71" t="str">
        <f>IF(ISBLANK('ALL Other SINs - Proposal'!X823)," ",'ALL Other SINs - Proposal'!X823)</f>
        <v xml:space="preserve"> </v>
      </c>
      <c r="K823" s="165" t="str">
        <f>IF(ISBLANK('ALL Other SINs - Proposal'!AA823)," ",'ALL Other SINs - Proposal'!AA823)</f>
        <v xml:space="preserve"> </v>
      </c>
      <c r="L823" s="178" t="str">
        <f>IF(ISBLANK('ALL Other SINs - Proposal'!AB823)," ",'ALL Other SINs - Proposal'!AB823)</f>
        <v xml:space="preserve"> </v>
      </c>
      <c r="M823" s="72" t="str">
        <f t="shared" si="24"/>
        <v xml:space="preserve"> </v>
      </c>
      <c r="N823" s="167" t="str">
        <f t="shared" si="25"/>
        <v xml:space="preserve"> </v>
      </c>
    </row>
    <row r="824" spans="1:14" ht="15" x14ac:dyDescent="0.25">
      <c r="A824" s="131" t="str">
        <f>IF(ISBLANK('ALL Other SINs - Proposal'!A824)," ",'ALL Other SINs - Proposal'!A824)</f>
        <v xml:space="preserve"> </v>
      </c>
      <c r="B824" s="137" t="str">
        <f>IF(ISBLANK('ALL Other SINs - Proposal'!B824)," ",'ALL Other SINs - Proposal'!B824)</f>
        <v xml:space="preserve"> </v>
      </c>
      <c r="C824" s="137" t="str">
        <f>IF(ISBLANK('ALL Other SINs - Proposal'!C824)," ",'ALL Other SINs - Proposal'!C824)</f>
        <v xml:space="preserve"> </v>
      </c>
      <c r="D824" s="138" t="str">
        <f>IF(ISBLANK('ALL Other SINs - Proposal'!D824)," ",'ALL Other SINs - Proposal'!D824)</f>
        <v xml:space="preserve"> </v>
      </c>
      <c r="E824" s="69" t="str">
        <f>IF(ISBLANK('ALL Other SINs - Proposal'!R824)," ",'ALL Other SINs - Proposal'!R824)</f>
        <v xml:space="preserve"> </v>
      </c>
      <c r="F824" s="73" t="str">
        <f>IF(ISBLANK('ALL Other SINs - Proposal'!S824)," ",'ALL Other SINs - Proposal'!S824)</f>
        <v xml:space="preserve"> </v>
      </c>
      <c r="G824" s="173" t="str">
        <f>IF(ISBLANK('ALL Other SINs - Proposal'!T824)," ",'ALL Other SINs - Proposal'!T824)</f>
        <v xml:space="preserve"> </v>
      </c>
      <c r="H824" s="275" t="str">
        <f>IF(ISBLANK('ALL Other SINs - Proposal'!V824)," ",'ALL Other SINs - Proposal'!V824)</f>
        <v xml:space="preserve"> </v>
      </c>
      <c r="I824" s="271" t="str">
        <f>IF(ISBLANK('ALL Other SINs - Proposal'!W824)," ",'ALL Other SINs - Proposal'!W824)</f>
        <v xml:space="preserve"> </v>
      </c>
      <c r="J824" s="71" t="str">
        <f>IF(ISBLANK('ALL Other SINs - Proposal'!X824)," ",'ALL Other SINs - Proposal'!X824)</f>
        <v xml:space="preserve"> </v>
      </c>
      <c r="K824" s="165" t="str">
        <f>IF(ISBLANK('ALL Other SINs - Proposal'!AA824)," ",'ALL Other SINs - Proposal'!AA824)</f>
        <v xml:space="preserve"> </v>
      </c>
      <c r="L824" s="178" t="str">
        <f>IF(ISBLANK('ALL Other SINs - Proposal'!AB824)," ",'ALL Other SINs - Proposal'!AB824)</f>
        <v xml:space="preserve"> </v>
      </c>
      <c r="M824" s="72" t="str">
        <f t="shared" si="24"/>
        <v xml:space="preserve"> </v>
      </c>
      <c r="N824" s="167" t="str">
        <f t="shared" si="25"/>
        <v xml:space="preserve"> </v>
      </c>
    </row>
    <row r="825" spans="1:14" ht="15" x14ac:dyDescent="0.25">
      <c r="A825" s="131" t="str">
        <f>IF(ISBLANK('ALL Other SINs - Proposal'!A825)," ",'ALL Other SINs - Proposal'!A825)</f>
        <v xml:space="preserve"> </v>
      </c>
      <c r="B825" s="137" t="str">
        <f>IF(ISBLANK('ALL Other SINs - Proposal'!B825)," ",'ALL Other SINs - Proposal'!B825)</f>
        <v xml:space="preserve"> </v>
      </c>
      <c r="C825" s="137" t="str">
        <f>IF(ISBLANK('ALL Other SINs - Proposal'!C825)," ",'ALL Other SINs - Proposal'!C825)</f>
        <v xml:space="preserve"> </v>
      </c>
      <c r="D825" s="138" t="str">
        <f>IF(ISBLANK('ALL Other SINs - Proposal'!D825)," ",'ALL Other SINs - Proposal'!D825)</f>
        <v xml:space="preserve"> </v>
      </c>
      <c r="E825" s="69" t="str">
        <f>IF(ISBLANK('ALL Other SINs - Proposal'!R825)," ",'ALL Other SINs - Proposal'!R825)</f>
        <v xml:space="preserve"> </v>
      </c>
      <c r="F825" s="73" t="str">
        <f>IF(ISBLANK('ALL Other SINs - Proposal'!S825)," ",'ALL Other SINs - Proposal'!S825)</f>
        <v xml:space="preserve"> </v>
      </c>
      <c r="G825" s="173" t="str">
        <f>IF(ISBLANK('ALL Other SINs - Proposal'!T825)," ",'ALL Other SINs - Proposal'!T825)</f>
        <v xml:space="preserve"> </v>
      </c>
      <c r="H825" s="275" t="str">
        <f>IF(ISBLANK('ALL Other SINs - Proposal'!V825)," ",'ALL Other SINs - Proposal'!V825)</f>
        <v xml:space="preserve"> </v>
      </c>
      <c r="I825" s="271" t="str">
        <f>IF(ISBLANK('ALL Other SINs - Proposal'!W825)," ",'ALL Other SINs - Proposal'!W825)</f>
        <v xml:space="preserve"> </v>
      </c>
      <c r="J825" s="71" t="str">
        <f>IF(ISBLANK('ALL Other SINs - Proposal'!X825)," ",'ALL Other SINs - Proposal'!X825)</f>
        <v xml:space="preserve"> </v>
      </c>
      <c r="K825" s="165" t="str">
        <f>IF(ISBLANK('ALL Other SINs - Proposal'!AA825)," ",'ALL Other SINs - Proposal'!AA825)</f>
        <v xml:space="preserve"> </v>
      </c>
      <c r="L825" s="178" t="str">
        <f>IF(ISBLANK('ALL Other SINs - Proposal'!AB825)," ",'ALL Other SINs - Proposal'!AB825)</f>
        <v xml:space="preserve"> </v>
      </c>
      <c r="M825" s="72" t="str">
        <f t="shared" si="24"/>
        <v xml:space="preserve"> </v>
      </c>
      <c r="N825" s="167" t="str">
        <f t="shared" si="25"/>
        <v xml:space="preserve"> </v>
      </c>
    </row>
    <row r="826" spans="1:14" ht="15" x14ac:dyDescent="0.25">
      <c r="A826" s="131" t="str">
        <f>IF(ISBLANK('ALL Other SINs - Proposal'!A826)," ",'ALL Other SINs - Proposal'!A826)</f>
        <v xml:space="preserve"> </v>
      </c>
      <c r="B826" s="137" t="str">
        <f>IF(ISBLANK('ALL Other SINs - Proposal'!B826)," ",'ALL Other SINs - Proposal'!B826)</f>
        <v xml:space="preserve"> </v>
      </c>
      <c r="C826" s="137" t="str">
        <f>IF(ISBLANK('ALL Other SINs - Proposal'!C826)," ",'ALL Other SINs - Proposal'!C826)</f>
        <v xml:space="preserve"> </v>
      </c>
      <c r="D826" s="138" t="str">
        <f>IF(ISBLANK('ALL Other SINs - Proposal'!D826)," ",'ALL Other SINs - Proposal'!D826)</f>
        <v xml:space="preserve"> </v>
      </c>
      <c r="E826" s="69" t="str">
        <f>IF(ISBLANK('ALL Other SINs - Proposal'!R826)," ",'ALL Other SINs - Proposal'!R826)</f>
        <v xml:space="preserve"> </v>
      </c>
      <c r="F826" s="73" t="str">
        <f>IF(ISBLANK('ALL Other SINs - Proposal'!S826)," ",'ALL Other SINs - Proposal'!S826)</f>
        <v xml:space="preserve"> </v>
      </c>
      <c r="G826" s="173" t="str">
        <f>IF(ISBLANK('ALL Other SINs - Proposal'!T826)," ",'ALL Other SINs - Proposal'!T826)</f>
        <v xml:space="preserve"> </v>
      </c>
      <c r="H826" s="275" t="str">
        <f>IF(ISBLANK('ALL Other SINs - Proposal'!V826)," ",'ALL Other SINs - Proposal'!V826)</f>
        <v xml:space="preserve"> </v>
      </c>
      <c r="I826" s="271" t="str">
        <f>IF(ISBLANK('ALL Other SINs - Proposal'!W826)," ",'ALL Other SINs - Proposal'!W826)</f>
        <v xml:space="preserve"> </v>
      </c>
      <c r="J826" s="71" t="str">
        <f>IF(ISBLANK('ALL Other SINs - Proposal'!X826)," ",'ALL Other SINs - Proposal'!X826)</f>
        <v xml:space="preserve"> </v>
      </c>
      <c r="K826" s="165" t="str">
        <f>IF(ISBLANK('ALL Other SINs - Proposal'!AA826)," ",'ALL Other SINs - Proposal'!AA826)</f>
        <v xml:space="preserve"> </v>
      </c>
      <c r="L826" s="178" t="str">
        <f>IF(ISBLANK('ALL Other SINs - Proposal'!AB826)," ",'ALL Other SINs - Proposal'!AB826)</f>
        <v xml:space="preserve"> </v>
      </c>
      <c r="M826" s="72" t="str">
        <f t="shared" si="24"/>
        <v xml:space="preserve"> </v>
      </c>
      <c r="N826" s="167" t="str">
        <f t="shared" si="25"/>
        <v xml:space="preserve"> </v>
      </c>
    </row>
    <row r="827" spans="1:14" ht="15" x14ac:dyDescent="0.25">
      <c r="A827" s="131" t="str">
        <f>IF(ISBLANK('ALL Other SINs - Proposal'!A827)," ",'ALL Other SINs - Proposal'!A827)</f>
        <v xml:space="preserve"> </v>
      </c>
      <c r="B827" s="137" t="str">
        <f>IF(ISBLANK('ALL Other SINs - Proposal'!B827)," ",'ALL Other SINs - Proposal'!B827)</f>
        <v xml:space="preserve"> </v>
      </c>
      <c r="C827" s="137" t="str">
        <f>IF(ISBLANK('ALL Other SINs - Proposal'!C827)," ",'ALL Other SINs - Proposal'!C827)</f>
        <v xml:space="preserve"> </v>
      </c>
      <c r="D827" s="138" t="str">
        <f>IF(ISBLANK('ALL Other SINs - Proposal'!D827)," ",'ALL Other SINs - Proposal'!D827)</f>
        <v xml:space="preserve"> </v>
      </c>
      <c r="E827" s="69" t="str">
        <f>IF(ISBLANK('ALL Other SINs - Proposal'!R827)," ",'ALL Other SINs - Proposal'!R827)</f>
        <v xml:space="preserve"> </v>
      </c>
      <c r="F827" s="73" t="str">
        <f>IF(ISBLANK('ALL Other SINs - Proposal'!S827)," ",'ALL Other SINs - Proposal'!S827)</f>
        <v xml:space="preserve"> </v>
      </c>
      <c r="G827" s="173" t="str">
        <f>IF(ISBLANK('ALL Other SINs - Proposal'!T827)," ",'ALL Other SINs - Proposal'!T827)</f>
        <v xml:space="preserve"> </v>
      </c>
      <c r="H827" s="275" t="str">
        <f>IF(ISBLANK('ALL Other SINs - Proposal'!V827)," ",'ALL Other SINs - Proposal'!V827)</f>
        <v xml:space="preserve"> </v>
      </c>
      <c r="I827" s="271" t="str">
        <f>IF(ISBLANK('ALL Other SINs - Proposal'!W827)," ",'ALL Other SINs - Proposal'!W827)</f>
        <v xml:space="preserve"> </v>
      </c>
      <c r="J827" s="71" t="str">
        <f>IF(ISBLANK('ALL Other SINs - Proposal'!X827)," ",'ALL Other SINs - Proposal'!X827)</f>
        <v xml:space="preserve"> </v>
      </c>
      <c r="K827" s="165" t="str">
        <f>IF(ISBLANK('ALL Other SINs - Proposal'!AA827)," ",'ALL Other SINs - Proposal'!AA827)</f>
        <v xml:space="preserve"> </v>
      </c>
      <c r="L827" s="178" t="str">
        <f>IF(ISBLANK('ALL Other SINs - Proposal'!AB827)," ",'ALL Other SINs - Proposal'!AB827)</f>
        <v xml:space="preserve"> </v>
      </c>
      <c r="M827" s="72" t="str">
        <f t="shared" si="24"/>
        <v xml:space="preserve"> </v>
      </c>
      <c r="N827" s="167" t="str">
        <f t="shared" si="25"/>
        <v xml:space="preserve"> </v>
      </c>
    </row>
    <row r="828" spans="1:14" ht="15" x14ac:dyDescent="0.25">
      <c r="A828" s="131" t="str">
        <f>IF(ISBLANK('ALL Other SINs - Proposal'!A828)," ",'ALL Other SINs - Proposal'!A828)</f>
        <v xml:space="preserve"> </v>
      </c>
      <c r="B828" s="137" t="str">
        <f>IF(ISBLANK('ALL Other SINs - Proposal'!B828)," ",'ALL Other SINs - Proposal'!B828)</f>
        <v xml:space="preserve"> </v>
      </c>
      <c r="C828" s="137" t="str">
        <f>IF(ISBLANK('ALL Other SINs - Proposal'!C828)," ",'ALL Other SINs - Proposal'!C828)</f>
        <v xml:space="preserve"> </v>
      </c>
      <c r="D828" s="138" t="str">
        <f>IF(ISBLANK('ALL Other SINs - Proposal'!D828)," ",'ALL Other SINs - Proposal'!D828)</f>
        <v xml:space="preserve"> </v>
      </c>
      <c r="E828" s="69" t="str">
        <f>IF(ISBLANK('ALL Other SINs - Proposal'!R828)," ",'ALL Other SINs - Proposal'!R828)</f>
        <v xml:space="preserve"> </v>
      </c>
      <c r="F828" s="73" t="str">
        <f>IF(ISBLANK('ALL Other SINs - Proposal'!S828)," ",'ALL Other SINs - Proposal'!S828)</f>
        <v xml:space="preserve"> </v>
      </c>
      <c r="G828" s="173" t="str">
        <f>IF(ISBLANK('ALL Other SINs - Proposal'!T828)," ",'ALL Other SINs - Proposal'!T828)</f>
        <v xml:space="preserve"> </v>
      </c>
      <c r="H828" s="275" t="str">
        <f>IF(ISBLANK('ALL Other SINs - Proposal'!V828)," ",'ALL Other SINs - Proposal'!V828)</f>
        <v xml:space="preserve"> </v>
      </c>
      <c r="I828" s="271" t="str">
        <f>IF(ISBLANK('ALL Other SINs - Proposal'!W828)," ",'ALL Other SINs - Proposal'!W828)</f>
        <v xml:space="preserve"> </v>
      </c>
      <c r="J828" s="71" t="str">
        <f>IF(ISBLANK('ALL Other SINs - Proposal'!X828)," ",'ALL Other SINs - Proposal'!X828)</f>
        <v xml:space="preserve"> </v>
      </c>
      <c r="K828" s="165" t="str">
        <f>IF(ISBLANK('ALL Other SINs - Proposal'!AA828)," ",'ALL Other SINs - Proposal'!AA828)</f>
        <v xml:space="preserve"> </v>
      </c>
      <c r="L828" s="178" t="str">
        <f>IF(ISBLANK('ALL Other SINs - Proposal'!AB828)," ",'ALL Other SINs - Proposal'!AB828)</f>
        <v xml:space="preserve"> </v>
      </c>
      <c r="M828" s="72" t="str">
        <f t="shared" si="24"/>
        <v xml:space="preserve"> </v>
      </c>
      <c r="N828" s="167" t="str">
        <f t="shared" si="25"/>
        <v xml:space="preserve"> </v>
      </c>
    </row>
    <row r="829" spans="1:14" ht="15" x14ac:dyDescent="0.25">
      <c r="A829" s="131" t="str">
        <f>IF(ISBLANK('ALL Other SINs - Proposal'!A829)," ",'ALL Other SINs - Proposal'!A829)</f>
        <v xml:space="preserve"> </v>
      </c>
      <c r="B829" s="137" t="str">
        <f>IF(ISBLANK('ALL Other SINs - Proposal'!B829)," ",'ALL Other SINs - Proposal'!B829)</f>
        <v xml:space="preserve"> </v>
      </c>
      <c r="C829" s="137" t="str">
        <f>IF(ISBLANK('ALL Other SINs - Proposal'!C829)," ",'ALL Other SINs - Proposal'!C829)</f>
        <v xml:space="preserve"> </v>
      </c>
      <c r="D829" s="138" t="str">
        <f>IF(ISBLANK('ALL Other SINs - Proposal'!D829)," ",'ALL Other SINs - Proposal'!D829)</f>
        <v xml:space="preserve"> </v>
      </c>
      <c r="E829" s="69" t="str">
        <f>IF(ISBLANK('ALL Other SINs - Proposal'!R829)," ",'ALL Other SINs - Proposal'!R829)</f>
        <v xml:space="preserve"> </v>
      </c>
      <c r="F829" s="73" t="str">
        <f>IF(ISBLANK('ALL Other SINs - Proposal'!S829)," ",'ALL Other SINs - Proposal'!S829)</f>
        <v xml:space="preserve"> </v>
      </c>
      <c r="G829" s="173" t="str">
        <f>IF(ISBLANK('ALL Other SINs - Proposal'!T829)," ",'ALL Other SINs - Proposal'!T829)</f>
        <v xml:space="preserve"> </v>
      </c>
      <c r="H829" s="275" t="str">
        <f>IF(ISBLANK('ALL Other SINs - Proposal'!V829)," ",'ALL Other SINs - Proposal'!V829)</f>
        <v xml:space="preserve"> </v>
      </c>
      <c r="I829" s="271" t="str">
        <f>IF(ISBLANK('ALL Other SINs - Proposal'!W829)," ",'ALL Other SINs - Proposal'!W829)</f>
        <v xml:space="preserve"> </v>
      </c>
      <c r="J829" s="71" t="str">
        <f>IF(ISBLANK('ALL Other SINs - Proposal'!X829)," ",'ALL Other SINs - Proposal'!X829)</f>
        <v xml:space="preserve"> </v>
      </c>
      <c r="K829" s="165" t="str">
        <f>IF(ISBLANK('ALL Other SINs - Proposal'!AA829)," ",'ALL Other SINs - Proposal'!AA829)</f>
        <v xml:space="preserve"> </v>
      </c>
      <c r="L829" s="178" t="str">
        <f>IF(ISBLANK('ALL Other SINs - Proposal'!AB829)," ",'ALL Other SINs - Proposal'!AB829)</f>
        <v xml:space="preserve"> </v>
      </c>
      <c r="M829" s="72" t="str">
        <f t="shared" si="24"/>
        <v xml:space="preserve"> </v>
      </c>
      <c r="N829" s="167" t="str">
        <f t="shared" si="25"/>
        <v xml:space="preserve"> </v>
      </c>
    </row>
    <row r="830" spans="1:14" ht="15" x14ac:dyDescent="0.25">
      <c r="A830" s="131" t="str">
        <f>IF(ISBLANK('ALL Other SINs - Proposal'!A830)," ",'ALL Other SINs - Proposal'!A830)</f>
        <v xml:space="preserve"> </v>
      </c>
      <c r="B830" s="137" t="str">
        <f>IF(ISBLANK('ALL Other SINs - Proposal'!B830)," ",'ALL Other SINs - Proposal'!B830)</f>
        <v xml:space="preserve"> </v>
      </c>
      <c r="C830" s="137" t="str">
        <f>IF(ISBLANK('ALL Other SINs - Proposal'!C830)," ",'ALL Other SINs - Proposal'!C830)</f>
        <v xml:space="preserve"> </v>
      </c>
      <c r="D830" s="138" t="str">
        <f>IF(ISBLANK('ALL Other SINs - Proposal'!D830)," ",'ALL Other SINs - Proposal'!D830)</f>
        <v xml:space="preserve"> </v>
      </c>
      <c r="E830" s="69" t="str">
        <f>IF(ISBLANK('ALL Other SINs - Proposal'!R830)," ",'ALL Other SINs - Proposal'!R830)</f>
        <v xml:space="preserve"> </v>
      </c>
      <c r="F830" s="73" t="str">
        <f>IF(ISBLANK('ALL Other SINs - Proposal'!S830)," ",'ALL Other SINs - Proposal'!S830)</f>
        <v xml:space="preserve"> </v>
      </c>
      <c r="G830" s="173" t="str">
        <f>IF(ISBLANK('ALL Other SINs - Proposal'!T830)," ",'ALL Other SINs - Proposal'!T830)</f>
        <v xml:space="preserve"> </v>
      </c>
      <c r="H830" s="275" t="str">
        <f>IF(ISBLANK('ALL Other SINs - Proposal'!V830)," ",'ALL Other SINs - Proposal'!V830)</f>
        <v xml:space="preserve"> </v>
      </c>
      <c r="I830" s="271" t="str">
        <f>IF(ISBLANK('ALL Other SINs - Proposal'!W830)," ",'ALL Other SINs - Proposal'!W830)</f>
        <v xml:space="preserve"> </v>
      </c>
      <c r="J830" s="71" t="str">
        <f>IF(ISBLANK('ALL Other SINs - Proposal'!X830)," ",'ALL Other SINs - Proposal'!X830)</f>
        <v xml:space="preserve"> </v>
      </c>
      <c r="K830" s="165" t="str">
        <f>IF(ISBLANK('ALL Other SINs - Proposal'!AA830)," ",'ALL Other SINs - Proposal'!AA830)</f>
        <v xml:space="preserve"> </v>
      </c>
      <c r="L830" s="178" t="str">
        <f>IF(ISBLANK('ALL Other SINs - Proposal'!AB830)," ",'ALL Other SINs - Proposal'!AB830)</f>
        <v xml:space="preserve"> </v>
      </c>
      <c r="M830" s="72" t="str">
        <f t="shared" si="24"/>
        <v xml:space="preserve"> </v>
      </c>
      <c r="N830" s="167" t="str">
        <f t="shared" si="25"/>
        <v xml:space="preserve"> </v>
      </c>
    </row>
    <row r="831" spans="1:14" ht="15" x14ac:dyDescent="0.25">
      <c r="A831" s="131" t="str">
        <f>IF(ISBLANK('ALL Other SINs - Proposal'!A831)," ",'ALL Other SINs - Proposal'!A831)</f>
        <v xml:space="preserve"> </v>
      </c>
      <c r="B831" s="137" t="str">
        <f>IF(ISBLANK('ALL Other SINs - Proposal'!B831)," ",'ALL Other SINs - Proposal'!B831)</f>
        <v xml:space="preserve"> </v>
      </c>
      <c r="C831" s="137" t="str">
        <f>IF(ISBLANK('ALL Other SINs - Proposal'!C831)," ",'ALL Other SINs - Proposal'!C831)</f>
        <v xml:space="preserve"> </v>
      </c>
      <c r="D831" s="138" t="str">
        <f>IF(ISBLANK('ALL Other SINs - Proposal'!D831)," ",'ALL Other SINs - Proposal'!D831)</f>
        <v xml:space="preserve"> </v>
      </c>
      <c r="E831" s="69" t="str">
        <f>IF(ISBLANK('ALL Other SINs - Proposal'!R831)," ",'ALL Other SINs - Proposal'!R831)</f>
        <v xml:space="preserve"> </v>
      </c>
      <c r="F831" s="73" t="str">
        <f>IF(ISBLANK('ALL Other SINs - Proposal'!S831)," ",'ALL Other SINs - Proposal'!S831)</f>
        <v xml:space="preserve"> </v>
      </c>
      <c r="G831" s="173" t="str">
        <f>IF(ISBLANK('ALL Other SINs - Proposal'!T831)," ",'ALL Other SINs - Proposal'!T831)</f>
        <v xml:space="preserve"> </v>
      </c>
      <c r="H831" s="275" t="str">
        <f>IF(ISBLANK('ALL Other SINs - Proposal'!V831)," ",'ALL Other SINs - Proposal'!V831)</f>
        <v xml:space="preserve"> </v>
      </c>
      <c r="I831" s="271" t="str">
        <f>IF(ISBLANK('ALL Other SINs - Proposal'!W831)," ",'ALL Other SINs - Proposal'!W831)</f>
        <v xml:space="preserve"> </v>
      </c>
      <c r="J831" s="71" t="str">
        <f>IF(ISBLANK('ALL Other SINs - Proposal'!X831)," ",'ALL Other SINs - Proposal'!X831)</f>
        <v xml:space="preserve"> </v>
      </c>
      <c r="K831" s="165" t="str">
        <f>IF(ISBLANK('ALL Other SINs - Proposal'!AA831)," ",'ALL Other SINs - Proposal'!AA831)</f>
        <v xml:space="preserve"> </v>
      </c>
      <c r="L831" s="178" t="str">
        <f>IF(ISBLANK('ALL Other SINs - Proposal'!AB831)," ",'ALL Other SINs - Proposal'!AB831)</f>
        <v xml:space="preserve"> </v>
      </c>
      <c r="M831" s="72" t="str">
        <f t="shared" si="24"/>
        <v xml:space="preserve"> </v>
      </c>
      <c r="N831" s="167" t="str">
        <f t="shared" si="25"/>
        <v xml:space="preserve"> </v>
      </c>
    </row>
    <row r="832" spans="1:14" ht="15" x14ac:dyDescent="0.25">
      <c r="A832" s="131" t="str">
        <f>IF(ISBLANK('ALL Other SINs - Proposal'!A832)," ",'ALL Other SINs - Proposal'!A832)</f>
        <v xml:space="preserve"> </v>
      </c>
      <c r="B832" s="137" t="str">
        <f>IF(ISBLANK('ALL Other SINs - Proposal'!B832)," ",'ALL Other SINs - Proposal'!B832)</f>
        <v xml:space="preserve"> </v>
      </c>
      <c r="C832" s="137" t="str">
        <f>IF(ISBLANK('ALL Other SINs - Proposal'!C832)," ",'ALL Other SINs - Proposal'!C832)</f>
        <v xml:space="preserve"> </v>
      </c>
      <c r="D832" s="138" t="str">
        <f>IF(ISBLANK('ALL Other SINs - Proposal'!D832)," ",'ALL Other SINs - Proposal'!D832)</f>
        <v xml:space="preserve"> </v>
      </c>
      <c r="E832" s="69" t="str">
        <f>IF(ISBLANK('ALL Other SINs - Proposal'!R832)," ",'ALL Other SINs - Proposal'!R832)</f>
        <v xml:space="preserve"> </v>
      </c>
      <c r="F832" s="73" t="str">
        <f>IF(ISBLANK('ALL Other SINs - Proposal'!S832)," ",'ALL Other SINs - Proposal'!S832)</f>
        <v xml:space="preserve"> </v>
      </c>
      <c r="G832" s="173" t="str">
        <f>IF(ISBLANK('ALL Other SINs - Proposal'!T832)," ",'ALL Other SINs - Proposal'!T832)</f>
        <v xml:space="preserve"> </v>
      </c>
      <c r="H832" s="275" t="str">
        <f>IF(ISBLANK('ALL Other SINs - Proposal'!V832)," ",'ALL Other SINs - Proposal'!V832)</f>
        <v xml:space="preserve"> </v>
      </c>
      <c r="I832" s="271" t="str">
        <f>IF(ISBLANK('ALL Other SINs - Proposal'!W832)," ",'ALL Other SINs - Proposal'!W832)</f>
        <v xml:space="preserve"> </v>
      </c>
      <c r="J832" s="71" t="str">
        <f>IF(ISBLANK('ALL Other SINs - Proposal'!X832)," ",'ALL Other SINs - Proposal'!X832)</f>
        <v xml:space="preserve"> </v>
      </c>
      <c r="K832" s="165" t="str">
        <f>IF(ISBLANK('ALL Other SINs - Proposal'!AA832)," ",'ALL Other SINs - Proposal'!AA832)</f>
        <v xml:space="preserve"> </v>
      </c>
      <c r="L832" s="178" t="str">
        <f>IF(ISBLANK('ALL Other SINs - Proposal'!AB832)," ",'ALL Other SINs - Proposal'!AB832)</f>
        <v xml:space="preserve"> </v>
      </c>
      <c r="M832" s="72" t="str">
        <f t="shared" si="24"/>
        <v xml:space="preserve"> </v>
      </c>
      <c r="N832" s="167" t="str">
        <f t="shared" si="25"/>
        <v xml:space="preserve"> </v>
      </c>
    </row>
    <row r="833" spans="1:14" ht="15" x14ac:dyDescent="0.25">
      <c r="A833" s="131" t="str">
        <f>IF(ISBLANK('ALL Other SINs - Proposal'!A833)," ",'ALL Other SINs - Proposal'!A833)</f>
        <v xml:space="preserve"> </v>
      </c>
      <c r="B833" s="137" t="str">
        <f>IF(ISBLANK('ALL Other SINs - Proposal'!B833)," ",'ALL Other SINs - Proposal'!B833)</f>
        <v xml:space="preserve"> </v>
      </c>
      <c r="C833" s="137" t="str">
        <f>IF(ISBLANK('ALL Other SINs - Proposal'!C833)," ",'ALL Other SINs - Proposal'!C833)</f>
        <v xml:space="preserve"> </v>
      </c>
      <c r="D833" s="138" t="str">
        <f>IF(ISBLANK('ALL Other SINs - Proposal'!D833)," ",'ALL Other SINs - Proposal'!D833)</f>
        <v xml:space="preserve"> </v>
      </c>
      <c r="E833" s="69" t="str">
        <f>IF(ISBLANK('ALL Other SINs - Proposal'!R833)," ",'ALL Other SINs - Proposal'!R833)</f>
        <v xml:space="preserve"> </v>
      </c>
      <c r="F833" s="73" t="str">
        <f>IF(ISBLANK('ALL Other SINs - Proposal'!S833)," ",'ALL Other SINs - Proposal'!S833)</f>
        <v xml:space="preserve"> </v>
      </c>
      <c r="G833" s="173" t="str">
        <f>IF(ISBLANK('ALL Other SINs - Proposal'!T833)," ",'ALL Other SINs - Proposal'!T833)</f>
        <v xml:space="preserve"> </v>
      </c>
      <c r="H833" s="275" t="str">
        <f>IF(ISBLANK('ALL Other SINs - Proposal'!V833)," ",'ALL Other SINs - Proposal'!V833)</f>
        <v xml:space="preserve"> </v>
      </c>
      <c r="I833" s="271" t="str">
        <f>IF(ISBLANK('ALL Other SINs - Proposal'!W833)," ",'ALL Other SINs - Proposal'!W833)</f>
        <v xml:space="preserve"> </v>
      </c>
      <c r="J833" s="71" t="str">
        <f>IF(ISBLANK('ALL Other SINs - Proposal'!X833)," ",'ALL Other SINs - Proposal'!X833)</f>
        <v xml:space="preserve"> </v>
      </c>
      <c r="K833" s="165" t="str">
        <f>IF(ISBLANK('ALL Other SINs - Proposal'!AA833)," ",'ALL Other SINs - Proposal'!AA833)</f>
        <v xml:space="preserve"> </v>
      </c>
      <c r="L833" s="178" t="str">
        <f>IF(ISBLANK('ALL Other SINs - Proposal'!AB833)," ",'ALL Other SINs - Proposal'!AB833)</f>
        <v xml:space="preserve"> </v>
      </c>
      <c r="M833" s="72" t="str">
        <f t="shared" si="24"/>
        <v xml:space="preserve"> </v>
      </c>
      <c r="N833" s="167" t="str">
        <f t="shared" si="25"/>
        <v xml:space="preserve"> </v>
      </c>
    </row>
    <row r="834" spans="1:14" ht="15" x14ac:dyDescent="0.25">
      <c r="A834" s="131" t="str">
        <f>IF(ISBLANK('ALL Other SINs - Proposal'!A834)," ",'ALL Other SINs - Proposal'!A834)</f>
        <v xml:space="preserve"> </v>
      </c>
      <c r="B834" s="137" t="str">
        <f>IF(ISBLANK('ALL Other SINs - Proposal'!B834)," ",'ALL Other SINs - Proposal'!B834)</f>
        <v xml:space="preserve"> </v>
      </c>
      <c r="C834" s="137" t="str">
        <f>IF(ISBLANK('ALL Other SINs - Proposal'!C834)," ",'ALL Other SINs - Proposal'!C834)</f>
        <v xml:space="preserve"> </v>
      </c>
      <c r="D834" s="138" t="str">
        <f>IF(ISBLANK('ALL Other SINs - Proposal'!D834)," ",'ALL Other SINs - Proposal'!D834)</f>
        <v xml:space="preserve"> </v>
      </c>
      <c r="E834" s="69" t="str">
        <f>IF(ISBLANK('ALL Other SINs - Proposal'!R834)," ",'ALL Other SINs - Proposal'!R834)</f>
        <v xml:space="preserve"> </v>
      </c>
      <c r="F834" s="73" t="str">
        <f>IF(ISBLANK('ALL Other SINs - Proposal'!S834)," ",'ALL Other SINs - Proposal'!S834)</f>
        <v xml:space="preserve"> </v>
      </c>
      <c r="G834" s="173" t="str">
        <f>IF(ISBLANK('ALL Other SINs - Proposal'!T834)," ",'ALL Other SINs - Proposal'!T834)</f>
        <v xml:space="preserve"> </v>
      </c>
      <c r="H834" s="275" t="str">
        <f>IF(ISBLANK('ALL Other SINs - Proposal'!V834)," ",'ALL Other SINs - Proposal'!V834)</f>
        <v xml:space="preserve"> </v>
      </c>
      <c r="I834" s="271" t="str">
        <f>IF(ISBLANK('ALL Other SINs - Proposal'!W834)," ",'ALL Other SINs - Proposal'!W834)</f>
        <v xml:space="preserve"> </v>
      </c>
      <c r="J834" s="71" t="str">
        <f>IF(ISBLANK('ALL Other SINs - Proposal'!X834)," ",'ALL Other SINs - Proposal'!X834)</f>
        <v xml:space="preserve"> </v>
      </c>
      <c r="K834" s="165" t="str">
        <f>IF(ISBLANK('ALL Other SINs - Proposal'!AA834)," ",'ALL Other SINs - Proposal'!AA834)</f>
        <v xml:space="preserve"> </v>
      </c>
      <c r="L834" s="178" t="str">
        <f>IF(ISBLANK('ALL Other SINs - Proposal'!AB834)," ",'ALL Other SINs - Proposal'!AB834)</f>
        <v xml:space="preserve"> </v>
      </c>
      <c r="M834" s="72" t="str">
        <f t="shared" si="24"/>
        <v xml:space="preserve"> </v>
      </c>
      <c r="N834" s="167" t="str">
        <f t="shared" si="25"/>
        <v xml:space="preserve"> </v>
      </c>
    </row>
    <row r="835" spans="1:14" ht="15" x14ac:dyDescent="0.25">
      <c r="A835" s="131" t="str">
        <f>IF(ISBLANK('ALL Other SINs - Proposal'!A835)," ",'ALL Other SINs - Proposal'!A835)</f>
        <v xml:space="preserve"> </v>
      </c>
      <c r="B835" s="137" t="str">
        <f>IF(ISBLANK('ALL Other SINs - Proposal'!B835)," ",'ALL Other SINs - Proposal'!B835)</f>
        <v xml:space="preserve"> </v>
      </c>
      <c r="C835" s="137" t="str">
        <f>IF(ISBLANK('ALL Other SINs - Proposal'!C835)," ",'ALL Other SINs - Proposal'!C835)</f>
        <v xml:space="preserve"> </v>
      </c>
      <c r="D835" s="138" t="str">
        <f>IF(ISBLANK('ALL Other SINs - Proposal'!D835)," ",'ALL Other SINs - Proposal'!D835)</f>
        <v xml:space="preserve"> </v>
      </c>
      <c r="E835" s="69" t="str">
        <f>IF(ISBLANK('ALL Other SINs - Proposal'!R835)," ",'ALL Other SINs - Proposal'!R835)</f>
        <v xml:space="preserve"> </v>
      </c>
      <c r="F835" s="73" t="str">
        <f>IF(ISBLANK('ALL Other SINs - Proposal'!S835)," ",'ALL Other SINs - Proposal'!S835)</f>
        <v xml:space="preserve"> </v>
      </c>
      <c r="G835" s="173" t="str">
        <f>IF(ISBLANK('ALL Other SINs - Proposal'!T835)," ",'ALL Other SINs - Proposal'!T835)</f>
        <v xml:space="preserve"> </v>
      </c>
      <c r="H835" s="275" t="str">
        <f>IF(ISBLANK('ALL Other SINs - Proposal'!V835)," ",'ALL Other SINs - Proposal'!V835)</f>
        <v xml:space="preserve"> </v>
      </c>
      <c r="I835" s="271" t="str">
        <f>IF(ISBLANK('ALL Other SINs - Proposal'!W835)," ",'ALL Other SINs - Proposal'!W835)</f>
        <v xml:space="preserve"> </v>
      </c>
      <c r="J835" s="71" t="str">
        <f>IF(ISBLANK('ALL Other SINs - Proposal'!X835)," ",'ALL Other SINs - Proposal'!X835)</f>
        <v xml:space="preserve"> </v>
      </c>
      <c r="K835" s="165" t="str">
        <f>IF(ISBLANK('ALL Other SINs - Proposal'!AA835)," ",'ALL Other SINs - Proposal'!AA835)</f>
        <v xml:space="preserve"> </v>
      </c>
      <c r="L835" s="178" t="str">
        <f>IF(ISBLANK('ALL Other SINs - Proposal'!AB835)," ",'ALL Other SINs - Proposal'!AB835)</f>
        <v xml:space="preserve"> </v>
      </c>
      <c r="M835" s="72" t="str">
        <f t="shared" ref="M835:M898" si="26">IFERROR(IF((ROUND(K835,2))&lt;=(ROUND(F835,2)),"YES","NO")," ")</f>
        <v xml:space="preserve"> </v>
      </c>
      <c r="N835" s="167" t="str">
        <f t="shared" ref="N835:N898" si="27">IFERROR(IF(ISBLANK(K835)," ",(ROUND(K835,2))/(ROUND(I835,2)))," ")</f>
        <v xml:space="preserve"> </v>
      </c>
    </row>
    <row r="836" spans="1:14" ht="15" x14ac:dyDescent="0.25">
      <c r="A836" s="131" t="str">
        <f>IF(ISBLANK('ALL Other SINs - Proposal'!A836)," ",'ALL Other SINs - Proposal'!A836)</f>
        <v xml:space="preserve"> </v>
      </c>
      <c r="B836" s="137" t="str">
        <f>IF(ISBLANK('ALL Other SINs - Proposal'!B836)," ",'ALL Other SINs - Proposal'!B836)</f>
        <v xml:space="preserve"> </v>
      </c>
      <c r="C836" s="137" t="str">
        <f>IF(ISBLANK('ALL Other SINs - Proposal'!C836)," ",'ALL Other SINs - Proposal'!C836)</f>
        <v xml:space="preserve"> </v>
      </c>
      <c r="D836" s="138" t="str">
        <f>IF(ISBLANK('ALL Other SINs - Proposal'!D836)," ",'ALL Other SINs - Proposal'!D836)</f>
        <v xml:space="preserve"> </v>
      </c>
      <c r="E836" s="69" t="str">
        <f>IF(ISBLANK('ALL Other SINs - Proposal'!R836)," ",'ALL Other SINs - Proposal'!R836)</f>
        <v xml:space="preserve"> </v>
      </c>
      <c r="F836" s="73" t="str">
        <f>IF(ISBLANK('ALL Other SINs - Proposal'!S836)," ",'ALL Other SINs - Proposal'!S836)</f>
        <v xml:space="preserve"> </v>
      </c>
      <c r="G836" s="173" t="str">
        <f>IF(ISBLANK('ALL Other SINs - Proposal'!T836)," ",'ALL Other SINs - Proposal'!T836)</f>
        <v xml:space="preserve"> </v>
      </c>
      <c r="H836" s="275" t="str">
        <f>IF(ISBLANK('ALL Other SINs - Proposal'!V836)," ",'ALL Other SINs - Proposal'!V836)</f>
        <v xml:space="preserve"> </v>
      </c>
      <c r="I836" s="271" t="str">
        <f>IF(ISBLANK('ALL Other SINs - Proposal'!W836)," ",'ALL Other SINs - Proposal'!W836)</f>
        <v xml:space="preserve"> </v>
      </c>
      <c r="J836" s="71" t="str">
        <f>IF(ISBLANK('ALL Other SINs - Proposal'!X836)," ",'ALL Other SINs - Proposal'!X836)</f>
        <v xml:space="preserve"> </v>
      </c>
      <c r="K836" s="165" t="str">
        <f>IF(ISBLANK('ALL Other SINs - Proposal'!AA836)," ",'ALL Other SINs - Proposal'!AA836)</f>
        <v xml:space="preserve"> </v>
      </c>
      <c r="L836" s="178" t="str">
        <f>IF(ISBLANK('ALL Other SINs - Proposal'!AB836)," ",'ALL Other SINs - Proposal'!AB836)</f>
        <v xml:space="preserve"> </v>
      </c>
      <c r="M836" s="72" t="str">
        <f t="shared" si="26"/>
        <v xml:space="preserve"> </v>
      </c>
      <c r="N836" s="167" t="str">
        <f t="shared" si="27"/>
        <v xml:space="preserve"> </v>
      </c>
    </row>
    <row r="837" spans="1:14" ht="15" x14ac:dyDescent="0.25">
      <c r="A837" s="131" t="str">
        <f>IF(ISBLANK('ALL Other SINs - Proposal'!A837)," ",'ALL Other SINs - Proposal'!A837)</f>
        <v xml:space="preserve"> </v>
      </c>
      <c r="B837" s="137" t="str">
        <f>IF(ISBLANK('ALL Other SINs - Proposal'!B837)," ",'ALL Other SINs - Proposal'!B837)</f>
        <v xml:space="preserve"> </v>
      </c>
      <c r="C837" s="137" t="str">
        <f>IF(ISBLANK('ALL Other SINs - Proposal'!C837)," ",'ALL Other SINs - Proposal'!C837)</f>
        <v xml:space="preserve"> </v>
      </c>
      <c r="D837" s="138" t="str">
        <f>IF(ISBLANK('ALL Other SINs - Proposal'!D837)," ",'ALL Other SINs - Proposal'!D837)</f>
        <v xml:space="preserve"> </v>
      </c>
      <c r="E837" s="69" t="str">
        <f>IF(ISBLANK('ALL Other SINs - Proposal'!R837)," ",'ALL Other SINs - Proposal'!R837)</f>
        <v xml:space="preserve"> </v>
      </c>
      <c r="F837" s="73" t="str">
        <f>IF(ISBLANK('ALL Other SINs - Proposal'!S837)," ",'ALL Other SINs - Proposal'!S837)</f>
        <v xml:space="preserve"> </v>
      </c>
      <c r="G837" s="173" t="str">
        <f>IF(ISBLANK('ALL Other SINs - Proposal'!T837)," ",'ALL Other SINs - Proposal'!T837)</f>
        <v xml:space="preserve"> </v>
      </c>
      <c r="H837" s="275" t="str">
        <f>IF(ISBLANK('ALL Other SINs - Proposal'!V837)," ",'ALL Other SINs - Proposal'!V837)</f>
        <v xml:space="preserve"> </v>
      </c>
      <c r="I837" s="271" t="str">
        <f>IF(ISBLANK('ALL Other SINs - Proposal'!W837)," ",'ALL Other SINs - Proposal'!W837)</f>
        <v xml:space="preserve"> </v>
      </c>
      <c r="J837" s="71" t="str">
        <f>IF(ISBLANK('ALL Other SINs - Proposal'!X837)," ",'ALL Other SINs - Proposal'!X837)</f>
        <v xml:space="preserve"> </v>
      </c>
      <c r="K837" s="165" t="str">
        <f>IF(ISBLANK('ALL Other SINs - Proposal'!AA837)," ",'ALL Other SINs - Proposal'!AA837)</f>
        <v xml:space="preserve"> </v>
      </c>
      <c r="L837" s="178" t="str">
        <f>IF(ISBLANK('ALL Other SINs - Proposal'!AB837)," ",'ALL Other SINs - Proposal'!AB837)</f>
        <v xml:space="preserve"> </v>
      </c>
      <c r="M837" s="72" t="str">
        <f t="shared" si="26"/>
        <v xml:space="preserve"> </v>
      </c>
      <c r="N837" s="167" t="str">
        <f t="shared" si="27"/>
        <v xml:space="preserve"> </v>
      </c>
    </row>
    <row r="838" spans="1:14" ht="15" x14ac:dyDescent="0.25">
      <c r="A838" s="131" t="str">
        <f>IF(ISBLANK('ALL Other SINs - Proposal'!A838)," ",'ALL Other SINs - Proposal'!A838)</f>
        <v xml:space="preserve"> </v>
      </c>
      <c r="B838" s="137" t="str">
        <f>IF(ISBLANK('ALL Other SINs - Proposal'!B838)," ",'ALL Other SINs - Proposal'!B838)</f>
        <v xml:space="preserve"> </v>
      </c>
      <c r="C838" s="137" t="str">
        <f>IF(ISBLANK('ALL Other SINs - Proposal'!C838)," ",'ALL Other SINs - Proposal'!C838)</f>
        <v xml:space="preserve"> </v>
      </c>
      <c r="D838" s="138" t="str">
        <f>IF(ISBLANK('ALL Other SINs - Proposal'!D838)," ",'ALL Other SINs - Proposal'!D838)</f>
        <v xml:space="preserve"> </v>
      </c>
      <c r="E838" s="69" t="str">
        <f>IF(ISBLANK('ALL Other SINs - Proposal'!R838)," ",'ALL Other SINs - Proposal'!R838)</f>
        <v xml:space="preserve"> </v>
      </c>
      <c r="F838" s="73" t="str">
        <f>IF(ISBLANK('ALL Other SINs - Proposal'!S838)," ",'ALL Other SINs - Proposal'!S838)</f>
        <v xml:space="preserve"> </v>
      </c>
      <c r="G838" s="173" t="str">
        <f>IF(ISBLANK('ALL Other SINs - Proposal'!T838)," ",'ALL Other SINs - Proposal'!T838)</f>
        <v xml:space="preserve"> </v>
      </c>
      <c r="H838" s="275" t="str">
        <f>IF(ISBLANK('ALL Other SINs - Proposal'!V838)," ",'ALL Other SINs - Proposal'!V838)</f>
        <v xml:space="preserve"> </v>
      </c>
      <c r="I838" s="271" t="str">
        <f>IF(ISBLANK('ALL Other SINs - Proposal'!W838)," ",'ALL Other SINs - Proposal'!W838)</f>
        <v xml:space="preserve"> </v>
      </c>
      <c r="J838" s="71" t="str">
        <f>IF(ISBLANK('ALL Other SINs - Proposal'!X838)," ",'ALL Other SINs - Proposal'!X838)</f>
        <v xml:space="preserve"> </v>
      </c>
      <c r="K838" s="165" t="str">
        <f>IF(ISBLANK('ALL Other SINs - Proposal'!AA838)," ",'ALL Other SINs - Proposal'!AA838)</f>
        <v xml:space="preserve"> </v>
      </c>
      <c r="L838" s="178" t="str">
        <f>IF(ISBLANK('ALL Other SINs - Proposal'!AB838)," ",'ALL Other SINs - Proposal'!AB838)</f>
        <v xml:space="preserve"> </v>
      </c>
      <c r="M838" s="72" t="str">
        <f t="shared" si="26"/>
        <v xml:space="preserve"> </v>
      </c>
      <c r="N838" s="167" t="str">
        <f t="shared" si="27"/>
        <v xml:space="preserve"> </v>
      </c>
    </row>
    <row r="839" spans="1:14" ht="15" x14ac:dyDescent="0.25">
      <c r="A839" s="131" t="str">
        <f>IF(ISBLANK('ALL Other SINs - Proposal'!A839)," ",'ALL Other SINs - Proposal'!A839)</f>
        <v xml:space="preserve"> </v>
      </c>
      <c r="B839" s="137" t="str">
        <f>IF(ISBLANK('ALL Other SINs - Proposal'!B839)," ",'ALL Other SINs - Proposal'!B839)</f>
        <v xml:space="preserve"> </v>
      </c>
      <c r="C839" s="137" t="str">
        <f>IF(ISBLANK('ALL Other SINs - Proposal'!C839)," ",'ALL Other SINs - Proposal'!C839)</f>
        <v xml:space="preserve"> </v>
      </c>
      <c r="D839" s="138" t="str">
        <f>IF(ISBLANK('ALL Other SINs - Proposal'!D839)," ",'ALL Other SINs - Proposal'!D839)</f>
        <v xml:space="preserve"> </v>
      </c>
      <c r="E839" s="69" t="str">
        <f>IF(ISBLANK('ALL Other SINs - Proposal'!R839)," ",'ALL Other SINs - Proposal'!R839)</f>
        <v xml:space="preserve"> </v>
      </c>
      <c r="F839" s="73" t="str">
        <f>IF(ISBLANK('ALL Other SINs - Proposal'!S839)," ",'ALL Other SINs - Proposal'!S839)</f>
        <v xml:space="preserve"> </v>
      </c>
      <c r="G839" s="173" t="str">
        <f>IF(ISBLANK('ALL Other SINs - Proposal'!T839)," ",'ALL Other SINs - Proposal'!T839)</f>
        <v xml:space="preserve"> </v>
      </c>
      <c r="H839" s="275" t="str">
        <f>IF(ISBLANK('ALL Other SINs - Proposal'!V839)," ",'ALL Other SINs - Proposal'!V839)</f>
        <v xml:space="preserve"> </v>
      </c>
      <c r="I839" s="271" t="str">
        <f>IF(ISBLANK('ALL Other SINs - Proposal'!W839)," ",'ALL Other SINs - Proposal'!W839)</f>
        <v xml:space="preserve"> </v>
      </c>
      <c r="J839" s="71" t="str">
        <f>IF(ISBLANK('ALL Other SINs - Proposal'!X839)," ",'ALL Other SINs - Proposal'!X839)</f>
        <v xml:space="preserve"> </v>
      </c>
      <c r="K839" s="165" t="str">
        <f>IF(ISBLANK('ALL Other SINs - Proposal'!AA839)," ",'ALL Other SINs - Proposal'!AA839)</f>
        <v xml:space="preserve"> </v>
      </c>
      <c r="L839" s="178" t="str">
        <f>IF(ISBLANK('ALL Other SINs - Proposal'!AB839)," ",'ALL Other SINs - Proposal'!AB839)</f>
        <v xml:space="preserve"> </v>
      </c>
      <c r="M839" s="72" t="str">
        <f t="shared" si="26"/>
        <v xml:space="preserve"> </v>
      </c>
      <c r="N839" s="167" t="str">
        <f t="shared" si="27"/>
        <v xml:space="preserve"> </v>
      </c>
    </row>
    <row r="840" spans="1:14" ht="15" x14ac:dyDescent="0.25">
      <c r="A840" s="131" t="str">
        <f>IF(ISBLANK('ALL Other SINs - Proposal'!A840)," ",'ALL Other SINs - Proposal'!A840)</f>
        <v xml:space="preserve"> </v>
      </c>
      <c r="B840" s="137" t="str">
        <f>IF(ISBLANK('ALL Other SINs - Proposal'!B840)," ",'ALL Other SINs - Proposal'!B840)</f>
        <v xml:space="preserve"> </v>
      </c>
      <c r="C840" s="137" t="str">
        <f>IF(ISBLANK('ALL Other SINs - Proposal'!C840)," ",'ALL Other SINs - Proposal'!C840)</f>
        <v xml:space="preserve"> </v>
      </c>
      <c r="D840" s="138" t="str">
        <f>IF(ISBLANK('ALL Other SINs - Proposal'!D840)," ",'ALL Other SINs - Proposal'!D840)</f>
        <v xml:space="preserve"> </v>
      </c>
      <c r="E840" s="69" t="str">
        <f>IF(ISBLANK('ALL Other SINs - Proposal'!R840)," ",'ALL Other SINs - Proposal'!R840)</f>
        <v xml:space="preserve"> </v>
      </c>
      <c r="F840" s="73" t="str">
        <f>IF(ISBLANK('ALL Other SINs - Proposal'!S840)," ",'ALL Other SINs - Proposal'!S840)</f>
        <v xml:space="preserve"> </v>
      </c>
      <c r="G840" s="173" t="str">
        <f>IF(ISBLANK('ALL Other SINs - Proposal'!T840)," ",'ALL Other SINs - Proposal'!T840)</f>
        <v xml:space="preserve"> </v>
      </c>
      <c r="H840" s="275" t="str">
        <f>IF(ISBLANK('ALL Other SINs - Proposal'!V840)," ",'ALL Other SINs - Proposal'!V840)</f>
        <v xml:space="preserve"> </v>
      </c>
      <c r="I840" s="271" t="str">
        <f>IF(ISBLANK('ALL Other SINs - Proposal'!W840)," ",'ALL Other SINs - Proposal'!W840)</f>
        <v xml:space="preserve"> </v>
      </c>
      <c r="J840" s="71" t="str">
        <f>IF(ISBLANK('ALL Other SINs - Proposal'!X840)," ",'ALL Other SINs - Proposal'!X840)</f>
        <v xml:space="preserve"> </v>
      </c>
      <c r="K840" s="165" t="str">
        <f>IF(ISBLANK('ALL Other SINs - Proposal'!AA840)," ",'ALL Other SINs - Proposal'!AA840)</f>
        <v xml:space="preserve"> </v>
      </c>
      <c r="L840" s="178" t="str">
        <f>IF(ISBLANK('ALL Other SINs - Proposal'!AB840)," ",'ALL Other SINs - Proposal'!AB840)</f>
        <v xml:space="preserve"> </v>
      </c>
      <c r="M840" s="72" t="str">
        <f t="shared" si="26"/>
        <v xml:space="preserve"> </v>
      </c>
      <c r="N840" s="167" t="str">
        <f t="shared" si="27"/>
        <v xml:space="preserve"> </v>
      </c>
    </row>
    <row r="841" spans="1:14" ht="15" x14ac:dyDescent="0.25">
      <c r="A841" s="131" t="str">
        <f>IF(ISBLANK('ALL Other SINs - Proposal'!A841)," ",'ALL Other SINs - Proposal'!A841)</f>
        <v xml:space="preserve"> </v>
      </c>
      <c r="B841" s="137" t="str">
        <f>IF(ISBLANK('ALL Other SINs - Proposal'!B841)," ",'ALL Other SINs - Proposal'!B841)</f>
        <v xml:space="preserve"> </v>
      </c>
      <c r="C841" s="137" t="str">
        <f>IF(ISBLANK('ALL Other SINs - Proposal'!C841)," ",'ALL Other SINs - Proposal'!C841)</f>
        <v xml:space="preserve"> </v>
      </c>
      <c r="D841" s="138" t="str">
        <f>IF(ISBLANK('ALL Other SINs - Proposal'!D841)," ",'ALL Other SINs - Proposal'!D841)</f>
        <v xml:space="preserve"> </v>
      </c>
      <c r="E841" s="69" t="str">
        <f>IF(ISBLANK('ALL Other SINs - Proposal'!R841)," ",'ALL Other SINs - Proposal'!R841)</f>
        <v xml:space="preserve"> </v>
      </c>
      <c r="F841" s="73" t="str">
        <f>IF(ISBLANK('ALL Other SINs - Proposal'!S841)," ",'ALL Other SINs - Proposal'!S841)</f>
        <v xml:space="preserve"> </v>
      </c>
      <c r="G841" s="173" t="str">
        <f>IF(ISBLANK('ALL Other SINs - Proposal'!T841)," ",'ALL Other SINs - Proposal'!T841)</f>
        <v xml:space="preserve"> </v>
      </c>
      <c r="H841" s="275" t="str">
        <f>IF(ISBLANK('ALL Other SINs - Proposal'!V841)," ",'ALL Other SINs - Proposal'!V841)</f>
        <v xml:space="preserve"> </v>
      </c>
      <c r="I841" s="271" t="str">
        <f>IF(ISBLANK('ALL Other SINs - Proposal'!W841)," ",'ALL Other SINs - Proposal'!W841)</f>
        <v xml:space="preserve"> </v>
      </c>
      <c r="J841" s="71" t="str">
        <f>IF(ISBLANK('ALL Other SINs - Proposal'!X841)," ",'ALL Other SINs - Proposal'!X841)</f>
        <v xml:space="preserve"> </v>
      </c>
      <c r="K841" s="165" t="str">
        <f>IF(ISBLANK('ALL Other SINs - Proposal'!AA841)," ",'ALL Other SINs - Proposal'!AA841)</f>
        <v xml:space="preserve"> </v>
      </c>
      <c r="L841" s="178" t="str">
        <f>IF(ISBLANK('ALL Other SINs - Proposal'!AB841)," ",'ALL Other SINs - Proposal'!AB841)</f>
        <v xml:space="preserve"> </v>
      </c>
      <c r="M841" s="72" t="str">
        <f t="shared" si="26"/>
        <v xml:space="preserve"> </v>
      </c>
      <c r="N841" s="167" t="str">
        <f t="shared" si="27"/>
        <v xml:space="preserve"> </v>
      </c>
    </row>
    <row r="842" spans="1:14" ht="15" x14ac:dyDescent="0.25">
      <c r="A842" s="131" t="str">
        <f>IF(ISBLANK('ALL Other SINs - Proposal'!A842)," ",'ALL Other SINs - Proposal'!A842)</f>
        <v xml:space="preserve"> </v>
      </c>
      <c r="B842" s="137" t="str">
        <f>IF(ISBLANK('ALL Other SINs - Proposal'!B842)," ",'ALL Other SINs - Proposal'!B842)</f>
        <v xml:space="preserve"> </v>
      </c>
      <c r="C842" s="137" t="str">
        <f>IF(ISBLANK('ALL Other SINs - Proposal'!C842)," ",'ALL Other SINs - Proposal'!C842)</f>
        <v xml:space="preserve"> </v>
      </c>
      <c r="D842" s="138" t="str">
        <f>IF(ISBLANK('ALL Other SINs - Proposal'!D842)," ",'ALL Other SINs - Proposal'!D842)</f>
        <v xml:space="preserve"> </v>
      </c>
      <c r="E842" s="69" t="str">
        <f>IF(ISBLANK('ALL Other SINs - Proposal'!R842)," ",'ALL Other SINs - Proposal'!R842)</f>
        <v xml:space="preserve"> </v>
      </c>
      <c r="F842" s="73" t="str">
        <f>IF(ISBLANK('ALL Other SINs - Proposal'!S842)," ",'ALL Other SINs - Proposal'!S842)</f>
        <v xml:space="preserve"> </v>
      </c>
      <c r="G842" s="173" t="str">
        <f>IF(ISBLANK('ALL Other SINs - Proposal'!T842)," ",'ALL Other SINs - Proposal'!T842)</f>
        <v xml:space="preserve"> </v>
      </c>
      <c r="H842" s="275" t="str">
        <f>IF(ISBLANK('ALL Other SINs - Proposal'!V842)," ",'ALL Other SINs - Proposal'!V842)</f>
        <v xml:space="preserve"> </v>
      </c>
      <c r="I842" s="271" t="str">
        <f>IF(ISBLANK('ALL Other SINs - Proposal'!W842)," ",'ALL Other SINs - Proposal'!W842)</f>
        <v xml:space="preserve"> </v>
      </c>
      <c r="J842" s="71" t="str">
        <f>IF(ISBLANK('ALL Other SINs - Proposal'!X842)," ",'ALL Other SINs - Proposal'!X842)</f>
        <v xml:space="preserve"> </v>
      </c>
      <c r="K842" s="165" t="str">
        <f>IF(ISBLANK('ALL Other SINs - Proposal'!AA842)," ",'ALL Other SINs - Proposal'!AA842)</f>
        <v xml:space="preserve"> </v>
      </c>
      <c r="L842" s="178" t="str">
        <f>IF(ISBLANK('ALL Other SINs - Proposal'!AB842)," ",'ALL Other SINs - Proposal'!AB842)</f>
        <v xml:space="preserve"> </v>
      </c>
      <c r="M842" s="72" t="str">
        <f t="shared" si="26"/>
        <v xml:space="preserve"> </v>
      </c>
      <c r="N842" s="167" t="str">
        <f t="shared" si="27"/>
        <v xml:space="preserve"> </v>
      </c>
    </row>
    <row r="843" spans="1:14" ht="15" x14ac:dyDescent="0.25">
      <c r="A843" s="131" t="str">
        <f>IF(ISBLANK('ALL Other SINs - Proposal'!A843)," ",'ALL Other SINs - Proposal'!A843)</f>
        <v xml:space="preserve"> </v>
      </c>
      <c r="B843" s="137" t="str">
        <f>IF(ISBLANK('ALL Other SINs - Proposal'!B843)," ",'ALL Other SINs - Proposal'!B843)</f>
        <v xml:space="preserve"> </v>
      </c>
      <c r="C843" s="137" t="str">
        <f>IF(ISBLANK('ALL Other SINs - Proposal'!C843)," ",'ALL Other SINs - Proposal'!C843)</f>
        <v xml:space="preserve"> </v>
      </c>
      <c r="D843" s="138" t="str">
        <f>IF(ISBLANK('ALL Other SINs - Proposal'!D843)," ",'ALL Other SINs - Proposal'!D843)</f>
        <v xml:space="preserve"> </v>
      </c>
      <c r="E843" s="69" t="str">
        <f>IF(ISBLANK('ALL Other SINs - Proposal'!R843)," ",'ALL Other SINs - Proposal'!R843)</f>
        <v xml:space="preserve"> </v>
      </c>
      <c r="F843" s="73" t="str">
        <f>IF(ISBLANK('ALL Other SINs - Proposal'!S843)," ",'ALL Other SINs - Proposal'!S843)</f>
        <v xml:space="preserve"> </v>
      </c>
      <c r="G843" s="173" t="str">
        <f>IF(ISBLANK('ALL Other SINs - Proposal'!T843)," ",'ALL Other SINs - Proposal'!T843)</f>
        <v xml:space="preserve"> </v>
      </c>
      <c r="H843" s="275" t="str">
        <f>IF(ISBLANK('ALL Other SINs - Proposal'!V843)," ",'ALL Other SINs - Proposal'!V843)</f>
        <v xml:space="preserve"> </v>
      </c>
      <c r="I843" s="271" t="str">
        <f>IF(ISBLANK('ALL Other SINs - Proposal'!W843)," ",'ALL Other SINs - Proposal'!W843)</f>
        <v xml:space="preserve"> </v>
      </c>
      <c r="J843" s="71" t="str">
        <f>IF(ISBLANK('ALL Other SINs - Proposal'!X843)," ",'ALL Other SINs - Proposal'!X843)</f>
        <v xml:space="preserve"> </v>
      </c>
      <c r="K843" s="165" t="str">
        <f>IF(ISBLANK('ALL Other SINs - Proposal'!AA843)," ",'ALL Other SINs - Proposal'!AA843)</f>
        <v xml:space="preserve"> </v>
      </c>
      <c r="L843" s="178" t="str">
        <f>IF(ISBLANK('ALL Other SINs - Proposal'!AB843)," ",'ALL Other SINs - Proposal'!AB843)</f>
        <v xml:space="preserve"> </v>
      </c>
      <c r="M843" s="72" t="str">
        <f t="shared" si="26"/>
        <v xml:space="preserve"> </v>
      </c>
      <c r="N843" s="167" t="str">
        <f t="shared" si="27"/>
        <v xml:space="preserve"> </v>
      </c>
    </row>
    <row r="844" spans="1:14" ht="15" x14ac:dyDescent="0.25">
      <c r="A844" s="131" t="str">
        <f>IF(ISBLANK('ALL Other SINs - Proposal'!A844)," ",'ALL Other SINs - Proposal'!A844)</f>
        <v xml:space="preserve"> </v>
      </c>
      <c r="B844" s="137" t="str">
        <f>IF(ISBLANK('ALL Other SINs - Proposal'!B844)," ",'ALL Other SINs - Proposal'!B844)</f>
        <v xml:space="preserve"> </v>
      </c>
      <c r="C844" s="137" t="str">
        <f>IF(ISBLANK('ALL Other SINs - Proposal'!C844)," ",'ALL Other SINs - Proposal'!C844)</f>
        <v xml:space="preserve"> </v>
      </c>
      <c r="D844" s="138" t="str">
        <f>IF(ISBLANK('ALL Other SINs - Proposal'!D844)," ",'ALL Other SINs - Proposal'!D844)</f>
        <v xml:space="preserve"> </v>
      </c>
      <c r="E844" s="69" t="str">
        <f>IF(ISBLANK('ALL Other SINs - Proposal'!R844)," ",'ALL Other SINs - Proposal'!R844)</f>
        <v xml:space="preserve"> </v>
      </c>
      <c r="F844" s="73" t="str">
        <f>IF(ISBLANK('ALL Other SINs - Proposal'!S844)," ",'ALL Other SINs - Proposal'!S844)</f>
        <v xml:space="preserve"> </v>
      </c>
      <c r="G844" s="173" t="str">
        <f>IF(ISBLANK('ALL Other SINs - Proposal'!T844)," ",'ALL Other SINs - Proposal'!T844)</f>
        <v xml:space="preserve"> </v>
      </c>
      <c r="H844" s="275" t="str">
        <f>IF(ISBLANK('ALL Other SINs - Proposal'!V844)," ",'ALL Other SINs - Proposal'!V844)</f>
        <v xml:space="preserve"> </v>
      </c>
      <c r="I844" s="271" t="str">
        <f>IF(ISBLANK('ALL Other SINs - Proposal'!W844)," ",'ALL Other SINs - Proposal'!W844)</f>
        <v xml:space="preserve"> </v>
      </c>
      <c r="J844" s="71" t="str">
        <f>IF(ISBLANK('ALL Other SINs - Proposal'!X844)," ",'ALL Other SINs - Proposal'!X844)</f>
        <v xml:space="preserve"> </v>
      </c>
      <c r="K844" s="165" t="str">
        <f>IF(ISBLANK('ALL Other SINs - Proposal'!AA844)," ",'ALL Other SINs - Proposal'!AA844)</f>
        <v xml:space="preserve"> </v>
      </c>
      <c r="L844" s="178" t="str">
        <f>IF(ISBLANK('ALL Other SINs - Proposal'!AB844)," ",'ALL Other SINs - Proposal'!AB844)</f>
        <v xml:space="preserve"> </v>
      </c>
      <c r="M844" s="72" t="str">
        <f t="shared" si="26"/>
        <v xml:space="preserve"> </v>
      </c>
      <c r="N844" s="167" t="str">
        <f t="shared" si="27"/>
        <v xml:space="preserve"> </v>
      </c>
    </row>
    <row r="845" spans="1:14" ht="15" x14ac:dyDescent="0.25">
      <c r="A845" s="131" t="str">
        <f>IF(ISBLANK('ALL Other SINs - Proposal'!A845)," ",'ALL Other SINs - Proposal'!A845)</f>
        <v xml:space="preserve"> </v>
      </c>
      <c r="B845" s="137" t="str">
        <f>IF(ISBLANK('ALL Other SINs - Proposal'!B845)," ",'ALL Other SINs - Proposal'!B845)</f>
        <v xml:space="preserve"> </v>
      </c>
      <c r="C845" s="137" t="str">
        <f>IF(ISBLANK('ALL Other SINs - Proposal'!C845)," ",'ALL Other SINs - Proposal'!C845)</f>
        <v xml:space="preserve"> </v>
      </c>
      <c r="D845" s="138" t="str">
        <f>IF(ISBLANK('ALL Other SINs - Proposal'!D845)," ",'ALL Other SINs - Proposal'!D845)</f>
        <v xml:space="preserve"> </v>
      </c>
      <c r="E845" s="69" t="str">
        <f>IF(ISBLANK('ALL Other SINs - Proposal'!R845)," ",'ALL Other SINs - Proposal'!R845)</f>
        <v xml:space="preserve"> </v>
      </c>
      <c r="F845" s="73" t="str">
        <f>IF(ISBLANK('ALL Other SINs - Proposal'!S845)," ",'ALL Other SINs - Proposal'!S845)</f>
        <v xml:space="preserve"> </v>
      </c>
      <c r="G845" s="173" t="str">
        <f>IF(ISBLANK('ALL Other SINs - Proposal'!T845)," ",'ALL Other SINs - Proposal'!T845)</f>
        <v xml:space="preserve"> </v>
      </c>
      <c r="H845" s="275" t="str">
        <f>IF(ISBLANK('ALL Other SINs - Proposal'!V845)," ",'ALL Other SINs - Proposal'!V845)</f>
        <v xml:space="preserve"> </v>
      </c>
      <c r="I845" s="271" t="str">
        <f>IF(ISBLANK('ALL Other SINs - Proposal'!W845)," ",'ALL Other SINs - Proposal'!W845)</f>
        <v xml:space="preserve"> </v>
      </c>
      <c r="J845" s="71" t="str">
        <f>IF(ISBLANK('ALL Other SINs - Proposal'!X845)," ",'ALL Other SINs - Proposal'!X845)</f>
        <v xml:space="preserve"> </v>
      </c>
      <c r="K845" s="165" t="str">
        <f>IF(ISBLANK('ALL Other SINs - Proposal'!AA845)," ",'ALL Other SINs - Proposal'!AA845)</f>
        <v xml:space="preserve"> </v>
      </c>
      <c r="L845" s="178" t="str">
        <f>IF(ISBLANK('ALL Other SINs - Proposal'!AB845)," ",'ALL Other SINs - Proposal'!AB845)</f>
        <v xml:space="preserve"> </v>
      </c>
      <c r="M845" s="72" t="str">
        <f t="shared" si="26"/>
        <v xml:space="preserve"> </v>
      </c>
      <c r="N845" s="167" t="str">
        <f t="shared" si="27"/>
        <v xml:space="preserve"> </v>
      </c>
    </row>
    <row r="846" spans="1:14" ht="15" x14ac:dyDescent="0.25">
      <c r="A846" s="131" t="str">
        <f>IF(ISBLANK('ALL Other SINs - Proposal'!A846)," ",'ALL Other SINs - Proposal'!A846)</f>
        <v xml:space="preserve"> </v>
      </c>
      <c r="B846" s="137" t="str">
        <f>IF(ISBLANK('ALL Other SINs - Proposal'!B846)," ",'ALL Other SINs - Proposal'!B846)</f>
        <v xml:space="preserve"> </v>
      </c>
      <c r="C846" s="137" t="str">
        <f>IF(ISBLANK('ALL Other SINs - Proposal'!C846)," ",'ALL Other SINs - Proposal'!C846)</f>
        <v xml:space="preserve"> </v>
      </c>
      <c r="D846" s="138" t="str">
        <f>IF(ISBLANK('ALL Other SINs - Proposal'!D846)," ",'ALL Other SINs - Proposal'!D846)</f>
        <v xml:space="preserve"> </v>
      </c>
      <c r="E846" s="69" t="str">
        <f>IF(ISBLANK('ALL Other SINs - Proposal'!R846)," ",'ALL Other SINs - Proposal'!R846)</f>
        <v xml:space="preserve"> </v>
      </c>
      <c r="F846" s="73" t="str">
        <f>IF(ISBLANK('ALL Other SINs - Proposal'!S846)," ",'ALL Other SINs - Proposal'!S846)</f>
        <v xml:space="preserve"> </v>
      </c>
      <c r="G846" s="173" t="str">
        <f>IF(ISBLANK('ALL Other SINs - Proposal'!T846)," ",'ALL Other SINs - Proposal'!T846)</f>
        <v xml:space="preserve"> </v>
      </c>
      <c r="H846" s="275" t="str">
        <f>IF(ISBLANK('ALL Other SINs - Proposal'!V846)," ",'ALL Other SINs - Proposal'!V846)</f>
        <v xml:space="preserve"> </v>
      </c>
      <c r="I846" s="271" t="str">
        <f>IF(ISBLANK('ALL Other SINs - Proposal'!W846)," ",'ALL Other SINs - Proposal'!W846)</f>
        <v xml:space="preserve"> </v>
      </c>
      <c r="J846" s="71" t="str">
        <f>IF(ISBLANK('ALL Other SINs - Proposal'!X846)," ",'ALL Other SINs - Proposal'!X846)</f>
        <v xml:space="preserve"> </v>
      </c>
      <c r="K846" s="165" t="str">
        <f>IF(ISBLANK('ALL Other SINs - Proposal'!AA846)," ",'ALL Other SINs - Proposal'!AA846)</f>
        <v xml:space="preserve"> </v>
      </c>
      <c r="L846" s="178" t="str">
        <f>IF(ISBLANK('ALL Other SINs - Proposal'!AB846)," ",'ALL Other SINs - Proposal'!AB846)</f>
        <v xml:space="preserve"> </v>
      </c>
      <c r="M846" s="72" t="str">
        <f t="shared" si="26"/>
        <v xml:space="preserve"> </v>
      </c>
      <c r="N846" s="167" t="str">
        <f t="shared" si="27"/>
        <v xml:space="preserve"> </v>
      </c>
    </row>
    <row r="847" spans="1:14" ht="15" x14ac:dyDescent="0.25">
      <c r="A847" s="131" t="str">
        <f>IF(ISBLANK('ALL Other SINs - Proposal'!A847)," ",'ALL Other SINs - Proposal'!A847)</f>
        <v xml:space="preserve"> </v>
      </c>
      <c r="B847" s="137" t="str">
        <f>IF(ISBLANK('ALL Other SINs - Proposal'!B847)," ",'ALL Other SINs - Proposal'!B847)</f>
        <v xml:space="preserve"> </v>
      </c>
      <c r="C847" s="137" t="str">
        <f>IF(ISBLANK('ALL Other SINs - Proposal'!C847)," ",'ALL Other SINs - Proposal'!C847)</f>
        <v xml:space="preserve"> </v>
      </c>
      <c r="D847" s="138" t="str">
        <f>IF(ISBLANK('ALL Other SINs - Proposal'!D847)," ",'ALL Other SINs - Proposal'!D847)</f>
        <v xml:space="preserve"> </v>
      </c>
      <c r="E847" s="69" t="str">
        <f>IF(ISBLANK('ALL Other SINs - Proposal'!R847)," ",'ALL Other SINs - Proposal'!R847)</f>
        <v xml:space="preserve"> </v>
      </c>
      <c r="F847" s="73" t="str">
        <f>IF(ISBLANK('ALL Other SINs - Proposal'!S847)," ",'ALL Other SINs - Proposal'!S847)</f>
        <v xml:space="preserve"> </v>
      </c>
      <c r="G847" s="173" t="str">
        <f>IF(ISBLANK('ALL Other SINs - Proposal'!T847)," ",'ALL Other SINs - Proposal'!T847)</f>
        <v xml:space="preserve"> </v>
      </c>
      <c r="H847" s="275" t="str">
        <f>IF(ISBLANK('ALL Other SINs - Proposal'!V847)," ",'ALL Other SINs - Proposal'!V847)</f>
        <v xml:space="preserve"> </v>
      </c>
      <c r="I847" s="271" t="str">
        <f>IF(ISBLANK('ALL Other SINs - Proposal'!W847)," ",'ALL Other SINs - Proposal'!W847)</f>
        <v xml:space="preserve"> </v>
      </c>
      <c r="J847" s="71" t="str">
        <f>IF(ISBLANK('ALL Other SINs - Proposal'!X847)," ",'ALL Other SINs - Proposal'!X847)</f>
        <v xml:space="preserve"> </v>
      </c>
      <c r="K847" s="165" t="str">
        <f>IF(ISBLANK('ALL Other SINs - Proposal'!AA847)," ",'ALL Other SINs - Proposal'!AA847)</f>
        <v xml:space="preserve"> </v>
      </c>
      <c r="L847" s="178" t="str">
        <f>IF(ISBLANK('ALL Other SINs - Proposal'!AB847)," ",'ALL Other SINs - Proposal'!AB847)</f>
        <v xml:space="preserve"> </v>
      </c>
      <c r="M847" s="72" t="str">
        <f t="shared" si="26"/>
        <v xml:space="preserve"> </v>
      </c>
      <c r="N847" s="167" t="str">
        <f t="shared" si="27"/>
        <v xml:space="preserve"> </v>
      </c>
    </row>
    <row r="848" spans="1:14" ht="15" x14ac:dyDescent="0.25">
      <c r="A848" s="131" t="str">
        <f>IF(ISBLANK('ALL Other SINs - Proposal'!A848)," ",'ALL Other SINs - Proposal'!A848)</f>
        <v xml:space="preserve"> </v>
      </c>
      <c r="B848" s="137" t="str">
        <f>IF(ISBLANK('ALL Other SINs - Proposal'!B848)," ",'ALL Other SINs - Proposal'!B848)</f>
        <v xml:space="preserve"> </v>
      </c>
      <c r="C848" s="137" t="str">
        <f>IF(ISBLANK('ALL Other SINs - Proposal'!C848)," ",'ALL Other SINs - Proposal'!C848)</f>
        <v xml:space="preserve"> </v>
      </c>
      <c r="D848" s="138" t="str">
        <f>IF(ISBLANK('ALL Other SINs - Proposal'!D848)," ",'ALL Other SINs - Proposal'!D848)</f>
        <v xml:space="preserve"> </v>
      </c>
      <c r="E848" s="69" t="str">
        <f>IF(ISBLANK('ALL Other SINs - Proposal'!R848)," ",'ALL Other SINs - Proposal'!R848)</f>
        <v xml:space="preserve"> </v>
      </c>
      <c r="F848" s="73" t="str">
        <f>IF(ISBLANK('ALL Other SINs - Proposal'!S848)," ",'ALL Other SINs - Proposal'!S848)</f>
        <v xml:space="preserve"> </v>
      </c>
      <c r="G848" s="173" t="str">
        <f>IF(ISBLANK('ALL Other SINs - Proposal'!T848)," ",'ALL Other SINs - Proposal'!T848)</f>
        <v xml:space="preserve"> </v>
      </c>
      <c r="H848" s="275" t="str">
        <f>IF(ISBLANK('ALL Other SINs - Proposal'!V848)," ",'ALL Other SINs - Proposal'!V848)</f>
        <v xml:space="preserve"> </v>
      </c>
      <c r="I848" s="271" t="str">
        <f>IF(ISBLANK('ALL Other SINs - Proposal'!W848)," ",'ALL Other SINs - Proposal'!W848)</f>
        <v xml:space="preserve"> </v>
      </c>
      <c r="J848" s="71" t="str">
        <f>IF(ISBLANK('ALL Other SINs - Proposal'!X848)," ",'ALL Other SINs - Proposal'!X848)</f>
        <v xml:space="preserve"> </v>
      </c>
      <c r="K848" s="165" t="str">
        <f>IF(ISBLANK('ALL Other SINs - Proposal'!AA848)," ",'ALL Other SINs - Proposal'!AA848)</f>
        <v xml:space="preserve"> </v>
      </c>
      <c r="L848" s="178" t="str">
        <f>IF(ISBLANK('ALL Other SINs - Proposal'!AB848)," ",'ALL Other SINs - Proposal'!AB848)</f>
        <v xml:space="preserve"> </v>
      </c>
      <c r="M848" s="72" t="str">
        <f t="shared" si="26"/>
        <v xml:space="preserve"> </v>
      </c>
      <c r="N848" s="167" t="str">
        <f t="shared" si="27"/>
        <v xml:space="preserve"> </v>
      </c>
    </row>
    <row r="849" spans="1:14" ht="15" x14ac:dyDescent="0.25">
      <c r="A849" s="131" t="str">
        <f>IF(ISBLANK('ALL Other SINs - Proposal'!A849)," ",'ALL Other SINs - Proposal'!A849)</f>
        <v xml:space="preserve"> </v>
      </c>
      <c r="B849" s="137" t="str">
        <f>IF(ISBLANK('ALL Other SINs - Proposal'!B849)," ",'ALL Other SINs - Proposal'!B849)</f>
        <v xml:space="preserve"> </v>
      </c>
      <c r="C849" s="137" t="str">
        <f>IF(ISBLANK('ALL Other SINs - Proposal'!C849)," ",'ALL Other SINs - Proposal'!C849)</f>
        <v xml:space="preserve"> </v>
      </c>
      <c r="D849" s="138" t="str">
        <f>IF(ISBLANK('ALL Other SINs - Proposal'!D849)," ",'ALL Other SINs - Proposal'!D849)</f>
        <v xml:space="preserve"> </v>
      </c>
      <c r="E849" s="69" t="str">
        <f>IF(ISBLANK('ALL Other SINs - Proposal'!R849)," ",'ALL Other SINs - Proposal'!R849)</f>
        <v xml:space="preserve"> </v>
      </c>
      <c r="F849" s="73" t="str">
        <f>IF(ISBLANK('ALL Other SINs - Proposal'!S849)," ",'ALL Other SINs - Proposal'!S849)</f>
        <v xml:space="preserve"> </v>
      </c>
      <c r="G849" s="173" t="str">
        <f>IF(ISBLANK('ALL Other SINs - Proposal'!T849)," ",'ALL Other SINs - Proposal'!T849)</f>
        <v xml:space="preserve"> </v>
      </c>
      <c r="H849" s="275" t="str">
        <f>IF(ISBLANK('ALL Other SINs - Proposal'!V849)," ",'ALL Other SINs - Proposal'!V849)</f>
        <v xml:space="preserve"> </v>
      </c>
      <c r="I849" s="271" t="str">
        <f>IF(ISBLANK('ALL Other SINs - Proposal'!W849)," ",'ALL Other SINs - Proposal'!W849)</f>
        <v xml:space="preserve"> </v>
      </c>
      <c r="J849" s="71" t="str">
        <f>IF(ISBLANK('ALL Other SINs - Proposal'!X849)," ",'ALL Other SINs - Proposal'!X849)</f>
        <v xml:space="preserve"> </v>
      </c>
      <c r="K849" s="165" t="str">
        <f>IF(ISBLANK('ALL Other SINs - Proposal'!AA849)," ",'ALL Other SINs - Proposal'!AA849)</f>
        <v xml:space="preserve"> </v>
      </c>
      <c r="L849" s="178" t="str">
        <f>IF(ISBLANK('ALL Other SINs - Proposal'!AB849)," ",'ALL Other SINs - Proposal'!AB849)</f>
        <v xml:space="preserve"> </v>
      </c>
      <c r="M849" s="72" t="str">
        <f t="shared" si="26"/>
        <v xml:space="preserve"> </v>
      </c>
      <c r="N849" s="167" t="str">
        <f t="shared" si="27"/>
        <v xml:space="preserve"> </v>
      </c>
    </row>
    <row r="850" spans="1:14" ht="15" x14ac:dyDescent="0.25">
      <c r="A850" s="131" t="str">
        <f>IF(ISBLANK('ALL Other SINs - Proposal'!A850)," ",'ALL Other SINs - Proposal'!A850)</f>
        <v xml:space="preserve"> </v>
      </c>
      <c r="B850" s="137" t="str">
        <f>IF(ISBLANK('ALL Other SINs - Proposal'!B850)," ",'ALL Other SINs - Proposal'!B850)</f>
        <v xml:space="preserve"> </v>
      </c>
      <c r="C850" s="137" t="str">
        <f>IF(ISBLANK('ALL Other SINs - Proposal'!C850)," ",'ALL Other SINs - Proposal'!C850)</f>
        <v xml:space="preserve"> </v>
      </c>
      <c r="D850" s="138" t="str">
        <f>IF(ISBLANK('ALL Other SINs - Proposal'!D850)," ",'ALL Other SINs - Proposal'!D850)</f>
        <v xml:space="preserve"> </v>
      </c>
      <c r="E850" s="69" t="str">
        <f>IF(ISBLANK('ALL Other SINs - Proposal'!R850)," ",'ALL Other SINs - Proposal'!R850)</f>
        <v xml:space="preserve"> </v>
      </c>
      <c r="F850" s="73" t="str">
        <f>IF(ISBLANK('ALL Other SINs - Proposal'!S850)," ",'ALL Other SINs - Proposal'!S850)</f>
        <v xml:space="preserve"> </v>
      </c>
      <c r="G850" s="173" t="str">
        <f>IF(ISBLANK('ALL Other SINs - Proposal'!T850)," ",'ALL Other SINs - Proposal'!T850)</f>
        <v xml:space="preserve"> </v>
      </c>
      <c r="H850" s="275" t="str">
        <f>IF(ISBLANK('ALL Other SINs - Proposal'!V850)," ",'ALL Other SINs - Proposal'!V850)</f>
        <v xml:space="preserve"> </v>
      </c>
      <c r="I850" s="271" t="str">
        <f>IF(ISBLANK('ALL Other SINs - Proposal'!W850)," ",'ALL Other SINs - Proposal'!W850)</f>
        <v xml:space="preserve"> </v>
      </c>
      <c r="J850" s="71" t="str">
        <f>IF(ISBLANK('ALL Other SINs - Proposal'!X850)," ",'ALL Other SINs - Proposal'!X850)</f>
        <v xml:space="preserve"> </v>
      </c>
      <c r="K850" s="165" t="str">
        <f>IF(ISBLANK('ALL Other SINs - Proposal'!AA850)," ",'ALL Other SINs - Proposal'!AA850)</f>
        <v xml:space="preserve"> </v>
      </c>
      <c r="L850" s="178" t="str">
        <f>IF(ISBLANK('ALL Other SINs - Proposal'!AB850)," ",'ALL Other SINs - Proposal'!AB850)</f>
        <v xml:space="preserve"> </v>
      </c>
      <c r="M850" s="72" t="str">
        <f t="shared" si="26"/>
        <v xml:space="preserve"> </v>
      </c>
      <c r="N850" s="167" t="str">
        <f t="shared" si="27"/>
        <v xml:space="preserve"> </v>
      </c>
    </row>
    <row r="851" spans="1:14" ht="15" x14ac:dyDescent="0.25">
      <c r="A851" s="131" t="str">
        <f>IF(ISBLANK('ALL Other SINs - Proposal'!A851)," ",'ALL Other SINs - Proposal'!A851)</f>
        <v xml:space="preserve"> </v>
      </c>
      <c r="B851" s="137" t="str">
        <f>IF(ISBLANK('ALL Other SINs - Proposal'!B851)," ",'ALL Other SINs - Proposal'!B851)</f>
        <v xml:space="preserve"> </v>
      </c>
      <c r="C851" s="137" t="str">
        <f>IF(ISBLANK('ALL Other SINs - Proposal'!C851)," ",'ALL Other SINs - Proposal'!C851)</f>
        <v xml:space="preserve"> </v>
      </c>
      <c r="D851" s="138" t="str">
        <f>IF(ISBLANK('ALL Other SINs - Proposal'!D851)," ",'ALL Other SINs - Proposal'!D851)</f>
        <v xml:space="preserve"> </v>
      </c>
      <c r="E851" s="69" t="str">
        <f>IF(ISBLANK('ALL Other SINs - Proposal'!R851)," ",'ALL Other SINs - Proposal'!R851)</f>
        <v xml:space="preserve"> </v>
      </c>
      <c r="F851" s="73" t="str">
        <f>IF(ISBLANK('ALL Other SINs - Proposal'!S851)," ",'ALL Other SINs - Proposal'!S851)</f>
        <v xml:space="preserve"> </v>
      </c>
      <c r="G851" s="173" t="str">
        <f>IF(ISBLANK('ALL Other SINs - Proposal'!T851)," ",'ALL Other SINs - Proposal'!T851)</f>
        <v xml:space="preserve"> </v>
      </c>
      <c r="H851" s="275" t="str">
        <f>IF(ISBLANK('ALL Other SINs - Proposal'!V851)," ",'ALL Other SINs - Proposal'!V851)</f>
        <v xml:space="preserve"> </v>
      </c>
      <c r="I851" s="271" t="str">
        <f>IF(ISBLANK('ALL Other SINs - Proposal'!W851)," ",'ALL Other SINs - Proposal'!W851)</f>
        <v xml:space="preserve"> </v>
      </c>
      <c r="J851" s="71" t="str">
        <f>IF(ISBLANK('ALL Other SINs - Proposal'!X851)," ",'ALL Other SINs - Proposal'!X851)</f>
        <v xml:space="preserve"> </v>
      </c>
      <c r="K851" s="165" t="str">
        <f>IF(ISBLANK('ALL Other SINs - Proposal'!AA851)," ",'ALL Other SINs - Proposal'!AA851)</f>
        <v xml:space="preserve"> </v>
      </c>
      <c r="L851" s="178" t="str">
        <f>IF(ISBLANK('ALL Other SINs - Proposal'!AB851)," ",'ALL Other SINs - Proposal'!AB851)</f>
        <v xml:space="preserve"> </v>
      </c>
      <c r="M851" s="72" t="str">
        <f t="shared" si="26"/>
        <v xml:space="preserve"> </v>
      </c>
      <c r="N851" s="167" t="str">
        <f t="shared" si="27"/>
        <v xml:space="preserve"> </v>
      </c>
    </row>
    <row r="852" spans="1:14" ht="15" x14ac:dyDescent="0.25">
      <c r="A852" s="131" t="str">
        <f>IF(ISBLANK('ALL Other SINs - Proposal'!A852)," ",'ALL Other SINs - Proposal'!A852)</f>
        <v xml:space="preserve"> </v>
      </c>
      <c r="B852" s="137" t="str">
        <f>IF(ISBLANK('ALL Other SINs - Proposal'!B852)," ",'ALL Other SINs - Proposal'!B852)</f>
        <v xml:space="preserve"> </v>
      </c>
      <c r="C852" s="137" t="str">
        <f>IF(ISBLANK('ALL Other SINs - Proposal'!C852)," ",'ALL Other SINs - Proposal'!C852)</f>
        <v xml:space="preserve"> </v>
      </c>
      <c r="D852" s="138" t="str">
        <f>IF(ISBLANK('ALL Other SINs - Proposal'!D852)," ",'ALL Other SINs - Proposal'!D852)</f>
        <v xml:space="preserve"> </v>
      </c>
      <c r="E852" s="69" t="str">
        <f>IF(ISBLANK('ALL Other SINs - Proposal'!R852)," ",'ALL Other SINs - Proposal'!R852)</f>
        <v xml:space="preserve"> </v>
      </c>
      <c r="F852" s="73" t="str">
        <f>IF(ISBLANK('ALL Other SINs - Proposal'!S852)," ",'ALL Other SINs - Proposal'!S852)</f>
        <v xml:space="preserve"> </v>
      </c>
      <c r="G852" s="173" t="str">
        <f>IF(ISBLANK('ALL Other SINs - Proposal'!T852)," ",'ALL Other SINs - Proposal'!T852)</f>
        <v xml:space="preserve"> </v>
      </c>
      <c r="H852" s="275" t="str">
        <f>IF(ISBLANK('ALL Other SINs - Proposal'!V852)," ",'ALL Other SINs - Proposal'!V852)</f>
        <v xml:space="preserve"> </v>
      </c>
      <c r="I852" s="271" t="str">
        <f>IF(ISBLANK('ALL Other SINs - Proposal'!W852)," ",'ALL Other SINs - Proposal'!W852)</f>
        <v xml:space="preserve"> </v>
      </c>
      <c r="J852" s="71" t="str">
        <f>IF(ISBLANK('ALL Other SINs - Proposal'!X852)," ",'ALL Other SINs - Proposal'!X852)</f>
        <v xml:space="preserve"> </v>
      </c>
      <c r="K852" s="165" t="str">
        <f>IF(ISBLANK('ALL Other SINs - Proposal'!AA852)," ",'ALL Other SINs - Proposal'!AA852)</f>
        <v xml:space="preserve"> </v>
      </c>
      <c r="L852" s="178" t="str">
        <f>IF(ISBLANK('ALL Other SINs - Proposal'!AB852)," ",'ALL Other SINs - Proposal'!AB852)</f>
        <v xml:space="preserve"> </v>
      </c>
      <c r="M852" s="72" t="str">
        <f t="shared" si="26"/>
        <v xml:space="preserve"> </v>
      </c>
      <c r="N852" s="167" t="str">
        <f t="shared" si="27"/>
        <v xml:space="preserve"> </v>
      </c>
    </row>
    <row r="853" spans="1:14" ht="15" x14ac:dyDescent="0.25">
      <c r="A853" s="131" t="str">
        <f>IF(ISBLANK('ALL Other SINs - Proposal'!A853)," ",'ALL Other SINs - Proposal'!A853)</f>
        <v xml:space="preserve"> </v>
      </c>
      <c r="B853" s="137" t="str">
        <f>IF(ISBLANK('ALL Other SINs - Proposal'!B853)," ",'ALL Other SINs - Proposal'!B853)</f>
        <v xml:space="preserve"> </v>
      </c>
      <c r="C853" s="137" t="str">
        <f>IF(ISBLANK('ALL Other SINs - Proposal'!C853)," ",'ALL Other SINs - Proposal'!C853)</f>
        <v xml:space="preserve"> </v>
      </c>
      <c r="D853" s="138" t="str">
        <f>IF(ISBLANK('ALL Other SINs - Proposal'!D853)," ",'ALL Other SINs - Proposal'!D853)</f>
        <v xml:space="preserve"> </v>
      </c>
      <c r="E853" s="69" t="str">
        <f>IF(ISBLANK('ALL Other SINs - Proposal'!R853)," ",'ALL Other SINs - Proposal'!R853)</f>
        <v xml:space="preserve"> </v>
      </c>
      <c r="F853" s="73" t="str">
        <f>IF(ISBLANK('ALL Other SINs - Proposal'!S853)," ",'ALL Other SINs - Proposal'!S853)</f>
        <v xml:space="preserve"> </v>
      </c>
      <c r="G853" s="173" t="str">
        <f>IF(ISBLANK('ALL Other SINs - Proposal'!T853)," ",'ALL Other SINs - Proposal'!T853)</f>
        <v xml:space="preserve"> </v>
      </c>
      <c r="H853" s="275" t="str">
        <f>IF(ISBLANK('ALL Other SINs - Proposal'!V853)," ",'ALL Other SINs - Proposal'!V853)</f>
        <v xml:space="preserve"> </v>
      </c>
      <c r="I853" s="271" t="str">
        <f>IF(ISBLANK('ALL Other SINs - Proposal'!W853)," ",'ALL Other SINs - Proposal'!W853)</f>
        <v xml:space="preserve"> </v>
      </c>
      <c r="J853" s="71" t="str">
        <f>IF(ISBLANK('ALL Other SINs - Proposal'!X853)," ",'ALL Other SINs - Proposal'!X853)</f>
        <v xml:space="preserve"> </v>
      </c>
      <c r="K853" s="165" t="str">
        <f>IF(ISBLANK('ALL Other SINs - Proposal'!AA853)," ",'ALL Other SINs - Proposal'!AA853)</f>
        <v xml:space="preserve"> </v>
      </c>
      <c r="L853" s="178" t="str">
        <f>IF(ISBLANK('ALL Other SINs - Proposal'!AB853)," ",'ALL Other SINs - Proposal'!AB853)</f>
        <v xml:space="preserve"> </v>
      </c>
      <c r="M853" s="72" t="str">
        <f t="shared" si="26"/>
        <v xml:space="preserve"> </v>
      </c>
      <c r="N853" s="167" t="str">
        <f t="shared" si="27"/>
        <v xml:space="preserve"> </v>
      </c>
    </row>
    <row r="854" spans="1:14" ht="15" x14ac:dyDescent="0.25">
      <c r="A854" s="131" t="str">
        <f>IF(ISBLANK('ALL Other SINs - Proposal'!A854)," ",'ALL Other SINs - Proposal'!A854)</f>
        <v xml:space="preserve"> </v>
      </c>
      <c r="B854" s="137" t="str">
        <f>IF(ISBLANK('ALL Other SINs - Proposal'!B854)," ",'ALL Other SINs - Proposal'!B854)</f>
        <v xml:space="preserve"> </v>
      </c>
      <c r="C854" s="137" t="str">
        <f>IF(ISBLANK('ALL Other SINs - Proposal'!C854)," ",'ALL Other SINs - Proposal'!C854)</f>
        <v xml:space="preserve"> </v>
      </c>
      <c r="D854" s="138" t="str">
        <f>IF(ISBLANK('ALL Other SINs - Proposal'!D854)," ",'ALL Other SINs - Proposal'!D854)</f>
        <v xml:space="preserve"> </v>
      </c>
      <c r="E854" s="69" t="str">
        <f>IF(ISBLANK('ALL Other SINs - Proposal'!R854)," ",'ALL Other SINs - Proposal'!R854)</f>
        <v xml:space="preserve"> </v>
      </c>
      <c r="F854" s="73" t="str">
        <f>IF(ISBLANK('ALL Other SINs - Proposal'!S854)," ",'ALL Other SINs - Proposal'!S854)</f>
        <v xml:space="preserve"> </v>
      </c>
      <c r="G854" s="173" t="str">
        <f>IF(ISBLANK('ALL Other SINs - Proposal'!T854)," ",'ALL Other SINs - Proposal'!T854)</f>
        <v xml:space="preserve"> </v>
      </c>
      <c r="H854" s="275" t="str">
        <f>IF(ISBLANK('ALL Other SINs - Proposal'!V854)," ",'ALL Other SINs - Proposal'!V854)</f>
        <v xml:space="preserve"> </v>
      </c>
      <c r="I854" s="271" t="str">
        <f>IF(ISBLANK('ALL Other SINs - Proposal'!W854)," ",'ALL Other SINs - Proposal'!W854)</f>
        <v xml:space="preserve"> </v>
      </c>
      <c r="J854" s="71" t="str">
        <f>IF(ISBLANK('ALL Other SINs - Proposal'!X854)," ",'ALL Other SINs - Proposal'!X854)</f>
        <v xml:space="preserve"> </v>
      </c>
      <c r="K854" s="165" t="str">
        <f>IF(ISBLANK('ALL Other SINs - Proposal'!AA854)," ",'ALL Other SINs - Proposal'!AA854)</f>
        <v xml:space="preserve"> </v>
      </c>
      <c r="L854" s="178" t="str">
        <f>IF(ISBLANK('ALL Other SINs - Proposal'!AB854)," ",'ALL Other SINs - Proposal'!AB854)</f>
        <v xml:space="preserve"> </v>
      </c>
      <c r="M854" s="72" t="str">
        <f t="shared" si="26"/>
        <v xml:space="preserve"> </v>
      </c>
      <c r="N854" s="167" t="str">
        <f t="shared" si="27"/>
        <v xml:space="preserve"> </v>
      </c>
    </row>
    <row r="855" spans="1:14" ht="15" x14ac:dyDescent="0.25">
      <c r="A855" s="131" t="str">
        <f>IF(ISBLANK('ALL Other SINs - Proposal'!A855)," ",'ALL Other SINs - Proposal'!A855)</f>
        <v xml:space="preserve"> </v>
      </c>
      <c r="B855" s="137" t="str">
        <f>IF(ISBLANK('ALL Other SINs - Proposal'!B855)," ",'ALL Other SINs - Proposal'!B855)</f>
        <v xml:space="preserve"> </v>
      </c>
      <c r="C855" s="137" t="str">
        <f>IF(ISBLANK('ALL Other SINs - Proposal'!C855)," ",'ALL Other SINs - Proposal'!C855)</f>
        <v xml:space="preserve"> </v>
      </c>
      <c r="D855" s="138" t="str">
        <f>IF(ISBLANK('ALL Other SINs - Proposal'!D855)," ",'ALL Other SINs - Proposal'!D855)</f>
        <v xml:space="preserve"> </v>
      </c>
      <c r="E855" s="69" t="str">
        <f>IF(ISBLANK('ALL Other SINs - Proposal'!R855)," ",'ALL Other SINs - Proposal'!R855)</f>
        <v xml:space="preserve"> </v>
      </c>
      <c r="F855" s="73" t="str">
        <f>IF(ISBLANK('ALL Other SINs - Proposal'!S855)," ",'ALL Other SINs - Proposal'!S855)</f>
        <v xml:space="preserve"> </v>
      </c>
      <c r="G855" s="173" t="str">
        <f>IF(ISBLANK('ALL Other SINs - Proposal'!T855)," ",'ALL Other SINs - Proposal'!T855)</f>
        <v xml:space="preserve"> </v>
      </c>
      <c r="H855" s="275" t="str">
        <f>IF(ISBLANK('ALL Other SINs - Proposal'!V855)," ",'ALL Other SINs - Proposal'!V855)</f>
        <v xml:space="preserve"> </v>
      </c>
      <c r="I855" s="271" t="str">
        <f>IF(ISBLANK('ALL Other SINs - Proposal'!W855)," ",'ALL Other SINs - Proposal'!W855)</f>
        <v xml:space="preserve"> </v>
      </c>
      <c r="J855" s="71" t="str">
        <f>IF(ISBLANK('ALL Other SINs - Proposal'!X855)," ",'ALL Other SINs - Proposal'!X855)</f>
        <v xml:space="preserve"> </v>
      </c>
      <c r="K855" s="165" t="str">
        <f>IF(ISBLANK('ALL Other SINs - Proposal'!AA855)," ",'ALL Other SINs - Proposal'!AA855)</f>
        <v xml:space="preserve"> </v>
      </c>
      <c r="L855" s="178" t="str">
        <f>IF(ISBLANK('ALL Other SINs - Proposal'!AB855)," ",'ALL Other SINs - Proposal'!AB855)</f>
        <v xml:space="preserve"> </v>
      </c>
      <c r="M855" s="72" t="str">
        <f t="shared" si="26"/>
        <v xml:space="preserve"> </v>
      </c>
      <c r="N855" s="167" t="str">
        <f t="shared" si="27"/>
        <v xml:space="preserve"> </v>
      </c>
    </row>
    <row r="856" spans="1:14" ht="15" x14ac:dyDescent="0.25">
      <c r="A856" s="131" t="str">
        <f>IF(ISBLANK('ALL Other SINs - Proposal'!A856)," ",'ALL Other SINs - Proposal'!A856)</f>
        <v xml:space="preserve"> </v>
      </c>
      <c r="B856" s="137" t="str">
        <f>IF(ISBLANK('ALL Other SINs - Proposal'!B856)," ",'ALL Other SINs - Proposal'!B856)</f>
        <v xml:space="preserve"> </v>
      </c>
      <c r="C856" s="137" t="str">
        <f>IF(ISBLANK('ALL Other SINs - Proposal'!C856)," ",'ALL Other SINs - Proposal'!C856)</f>
        <v xml:space="preserve"> </v>
      </c>
      <c r="D856" s="138" t="str">
        <f>IF(ISBLANK('ALL Other SINs - Proposal'!D856)," ",'ALL Other SINs - Proposal'!D856)</f>
        <v xml:space="preserve"> </v>
      </c>
      <c r="E856" s="69" t="str">
        <f>IF(ISBLANK('ALL Other SINs - Proposal'!R856)," ",'ALL Other SINs - Proposal'!R856)</f>
        <v xml:space="preserve"> </v>
      </c>
      <c r="F856" s="73" t="str">
        <f>IF(ISBLANK('ALL Other SINs - Proposal'!S856)," ",'ALL Other SINs - Proposal'!S856)</f>
        <v xml:space="preserve"> </v>
      </c>
      <c r="G856" s="173" t="str">
        <f>IF(ISBLANK('ALL Other SINs - Proposal'!T856)," ",'ALL Other SINs - Proposal'!T856)</f>
        <v xml:space="preserve"> </v>
      </c>
      <c r="H856" s="275" t="str">
        <f>IF(ISBLANK('ALL Other SINs - Proposal'!V856)," ",'ALL Other SINs - Proposal'!V856)</f>
        <v xml:space="preserve"> </v>
      </c>
      <c r="I856" s="271" t="str">
        <f>IF(ISBLANK('ALL Other SINs - Proposal'!W856)," ",'ALL Other SINs - Proposal'!W856)</f>
        <v xml:space="preserve"> </v>
      </c>
      <c r="J856" s="71" t="str">
        <f>IF(ISBLANK('ALL Other SINs - Proposal'!X856)," ",'ALL Other SINs - Proposal'!X856)</f>
        <v xml:space="preserve"> </v>
      </c>
      <c r="K856" s="165" t="str">
        <f>IF(ISBLANK('ALL Other SINs - Proposal'!AA856)," ",'ALL Other SINs - Proposal'!AA856)</f>
        <v xml:space="preserve"> </v>
      </c>
      <c r="L856" s="178" t="str">
        <f>IF(ISBLANK('ALL Other SINs - Proposal'!AB856)," ",'ALL Other SINs - Proposal'!AB856)</f>
        <v xml:space="preserve"> </v>
      </c>
      <c r="M856" s="72" t="str">
        <f t="shared" si="26"/>
        <v xml:space="preserve"> </v>
      </c>
      <c r="N856" s="167" t="str">
        <f t="shared" si="27"/>
        <v xml:space="preserve"> </v>
      </c>
    </row>
    <row r="857" spans="1:14" ht="15" x14ac:dyDescent="0.25">
      <c r="A857" s="131" t="str">
        <f>IF(ISBLANK('ALL Other SINs - Proposal'!A857)," ",'ALL Other SINs - Proposal'!A857)</f>
        <v xml:space="preserve"> </v>
      </c>
      <c r="B857" s="137" t="str">
        <f>IF(ISBLANK('ALL Other SINs - Proposal'!B857)," ",'ALL Other SINs - Proposal'!B857)</f>
        <v xml:space="preserve"> </v>
      </c>
      <c r="C857" s="137" t="str">
        <f>IF(ISBLANK('ALL Other SINs - Proposal'!C857)," ",'ALL Other SINs - Proposal'!C857)</f>
        <v xml:space="preserve"> </v>
      </c>
      <c r="D857" s="138" t="str">
        <f>IF(ISBLANK('ALL Other SINs - Proposal'!D857)," ",'ALL Other SINs - Proposal'!D857)</f>
        <v xml:space="preserve"> </v>
      </c>
      <c r="E857" s="69" t="str">
        <f>IF(ISBLANK('ALL Other SINs - Proposal'!R857)," ",'ALL Other SINs - Proposal'!R857)</f>
        <v xml:space="preserve"> </v>
      </c>
      <c r="F857" s="73" t="str">
        <f>IF(ISBLANK('ALL Other SINs - Proposal'!S857)," ",'ALL Other SINs - Proposal'!S857)</f>
        <v xml:space="preserve"> </v>
      </c>
      <c r="G857" s="173" t="str">
        <f>IF(ISBLANK('ALL Other SINs - Proposal'!T857)," ",'ALL Other SINs - Proposal'!T857)</f>
        <v xml:space="preserve"> </v>
      </c>
      <c r="H857" s="275" t="str">
        <f>IF(ISBLANK('ALL Other SINs - Proposal'!V857)," ",'ALL Other SINs - Proposal'!V857)</f>
        <v xml:space="preserve"> </v>
      </c>
      <c r="I857" s="271" t="str">
        <f>IF(ISBLANK('ALL Other SINs - Proposal'!W857)," ",'ALL Other SINs - Proposal'!W857)</f>
        <v xml:space="preserve"> </v>
      </c>
      <c r="J857" s="71" t="str">
        <f>IF(ISBLANK('ALL Other SINs - Proposal'!X857)," ",'ALL Other SINs - Proposal'!X857)</f>
        <v xml:space="preserve"> </v>
      </c>
      <c r="K857" s="165" t="str">
        <f>IF(ISBLANK('ALL Other SINs - Proposal'!AA857)," ",'ALL Other SINs - Proposal'!AA857)</f>
        <v xml:space="preserve"> </v>
      </c>
      <c r="L857" s="178" t="str">
        <f>IF(ISBLANK('ALL Other SINs - Proposal'!AB857)," ",'ALL Other SINs - Proposal'!AB857)</f>
        <v xml:space="preserve"> </v>
      </c>
      <c r="M857" s="72" t="str">
        <f t="shared" si="26"/>
        <v xml:space="preserve"> </v>
      </c>
      <c r="N857" s="167" t="str">
        <f t="shared" si="27"/>
        <v xml:space="preserve"> </v>
      </c>
    </row>
    <row r="858" spans="1:14" ht="15" x14ac:dyDescent="0.25">
      <c r="A858" s="131" t="str">
        <f>IF(ISBLANK('ALL Other SINs - Proposal'!A858)," ",'ALL Other SINs - Proposal'!A858)</f>
        <v xml:space="preserve"> </v>
      </c>
      <c r="B858" s="137" t="str">
        <f>IF(ISBLANK('ALL Other SINs - Proposal'!B858)," ",'ALL Other SINs - Proposal'!B858)</f>
        <v xml:space="preserve"> </v>
      </c>
      <c r="C858" s="137" t="str">
        <f>IF(ISBLANK('ALL Other SINs - Proposal'!C858)," ",'ALL Other SINs - Proposal'!C858)</f>
        <v xml:space="preserve"> </v>
      </c>
      <c r="D858" s="138" t="str">
        <f>IF(ISBLANK('ALL Other SINs - Proposal'!D858)," ",'ALL Other SINs - Proposal'!D858)</f>
        <v xml:space="preserve"> </v>
      </c>
      <c r="E858" s="69" t="str">
        <f>IF(ISBLANK('ALL Other SINs - Proposal'!R858)," ",'ALL Other SINs - Proposal'!R858)</f>
        <v xml:space="preserve"> </v>
      </c>
      <c r="F858" s="73" t="str">
        <f>IF(ISBLANK('ALL Other SINs - Proposal'!S858)," ",'ALL Other SINs - Proposal'!S858)</f>
        <v xml:space="preserve"> </v>
      </c>
      <c r="G858" s="173" t="str">
        <f>IF(ISBLANK('ALL Other SINs - Proposal'!T858)," ",'ALL Other SINs - Proposal'!T858)</f>
        <v xml:space="preserve"> </v>
      </c>
      <c r="H858" s="275" t="str">
        <f>IF(ISBLANK('ALL Other SINs - Proposal'!V858)," ",'ALL Other SINs - Proposal'!V858)</f>
        <v xml:space="preserve"> </v>
      </c>
      <c r="I858" s="271" t="str">
        <f>IF(ISBLANK('ALL Other SINs - Proposal'!W858)," ",'ALL Other SINs - Proposal'!W858)</f>
        <v xml:space="preserve"> </v>
      </c>
      <c r="J858" s="71" t="str">
        <f>IF(ISBLANK('ALL Other SINs - Proposal'!X858)," ",'ALL Other SINs - Proposal'!X858)</f>
        <v xml:space="preserve"> </v>
      </c>
      <c r="K858" s="165" t="str">
        <f>IF(ISBLANK('ALL Other SINs - Proposal'!AA858)," ",'ALL Other SINs - Proposal'!AA858)</f>
        <v xml:space="preserve"> </v>
      </c>
      <c r="L858" s="178" t="str">
        <f>IF(ISBLANK('ALL Other SINs - Proposal'!AB858)," ",'ALL Other SINs - Proposal'!AB858)</f>
        <v xml:space="preserve"> </v>
      </c>
      <c r="M858" s="72" t="str">
        <f t="shared" si="26"/>
        <v xml:space="preserve"> </v>
      </c>
      <c r="N858" s="167" t="str">
        <f t="shared" si="27"/>
        <v xml:space="preserve"> </v>
      </c>
    </row>
    <row r="859" spans="1:14" ht="15" x14ac:dyDescent="0.25">
      <c r="A859" s="131" t="str">
        <f>IF(ISBLANK('ALL Other SINs - Proposal'!A859)," ",'ALL Other SINs - Proposal'!A859)</f>
        <v xml:space="preserve"> </v>
      </c>
      <c r="B859" s="137" t="str">
        <f>IF(ISBLANK('ALL Other SINs - Proposal'!B859)," ",'ALL Other SINs - Proposal'!B859)</f>
        <v xml:space="preserve"> </v>
      </c>
      <c r="C859" s="137" t="str">
        <f>IF(ISBLANK('ALL Other SINs - Proposal'!C859)," ",'ALL Other SINs - Proposal'!C859)</f>
        <v xml:space="preserve"> </v>
      </c>
      <c r="D859" s="138" t="str">
        <f>IF(ISBLANK('ALL Other SINs - Proposal'!D859)," ",'ALL Other SINs - Proposal'!D859)</f>
        <v xml:space="preserve"> </v>
      </c>
      <c r="E859" s="69" t="str">
        <f>IF(ISBLANK('ALL Other SINs - Proposal'!R859)," ",'ALL Other SINs - Proposal'!R859)</f>
        <v xml:space="preserve"> </v>
      </c>
      <c r="F859" s="73" t="str">
        <f>IF(ISBLANK('ALL Other SINs - Proposal'!S859)," ",'ALL Other SINs - Proposal'!S859)</f>
        <v xml:space="preserve"> </v>
      </c>
      <c r="G859" s="173" t="str">
        <f>IF(ISBLANK('ALL Other SINs - Proposal'!T859)," ",'ALL Other SINs - Proposal'!T859)</f>
        <v xml:space="preserve"> </v>
      </c>
      <c r="H859" s="275" t="str">
        <f>IF(ISBLANK('ALL Other SINs - Proposal'!V859)," ",'ALL Other SINs - Proposal'!V859)</f>
        <v xml:space="preserve"> </v>
      </c>
      <c r="I859" s="271" t="str">
        <f>IF(ISBLANK('ALL Other SINs - Proposal'!W859)," ",'ALL Other SINs - Proposal'!W859)</f>
        <v xml:space="preserve"> </v>
      </c>
      <c r="J859" s="71" t="str">
        <f>IF(ISBLANK('ALL Other SINs - Proposal'!X859)," ",'ALL Other SINs - Proposal'!X859)</f>
        <v xml:space="preserve"> </v>
      </c>
      <c r="K859" s="165" t="str">
        <f>IF(ISBLANK('ALL Other SINs - Proposal'!AA859)," ",'ALL Other SINs - Proposal'!AA859)</f>
        <v xml:space="preserve"> </v>
      </c>
      <c r="L859" s="178" t="str">
        <f>IF(ISBLANK('ALL Other SINs - Proposal'!AB859)," ",'ALL Other SINs - Proposal'!AB859)</f>
        <v xml:space="preserve"> </v>
      </c>
      <c r="M859" s="72" t="str">
        <f t="shared" si="26"/>
        <v xml:space="preserve"> </v>
      </c>
      <c r="N859" s="167" t="str">
        <f t="shared" si="27"/>
        <v xml:space="preserve"> </v>
      </c>
    </row>
    <row r="860" spans="1:14" ht="15" x14ac:dyDescent="0.25">
      <c r="A860" s="131" t="str">
        <f>IF(ISBLANK('ALL Other SINs - Proposal'!A860)," ",'ALL Other SINs - Proposal'!A860)</f>
        <v xml:space="preserve"> </v>
      </c>
      <c r="B860" s="137" t="str">
        <f>IF(ISBLANK('ALL Other SINs - Proposal'!B860)," ",'ALL Other SINs - Proposal'!B860)</f>
        <v xml:space="preserve"> </v>
      </c>
      <c r="C860" s="137" t="str">
        <f>IF(ISBLANK('ALL Other SINs - Proposal'!C860)," ",'ALL Other SINs - Proposal'!C860)</f>
        <v xml:space="preserve"> </v>
      </c>
      <c r="D860" s="138" t="str">
        <f>IF(ISBLANK('ALL Other SINs - Proposal'!D860)," ",'ALL Other SINs - Proposal'!D860)</f>
        <v xml:space="preserve"> </v>
      </c>
      <c r="E860" s="69" t="str">
        <f>IF(ISBLANK('ALL Other SINs - Proposal'!R860)," ",'ALL Other SINs - Proposal'!R860)</f>
        <v xml:space="preserve"> </v>
      </c>
      <c r="F860" s="73" t="str">
        <f>IF(ISBLANK('ALL Other SINs - Proposal'!S860)," ",'ALL Other SINs - Proposal'!S860)</f>
        <v xml:space="preserve"> </v>
      </c>
      <c r="G860" s="173" t="str">
        <f>IF(ISBLANK('ALL Other SINs - Proposal'!T860)," ",'ALL Other SINs - Proposal'!T860)</f>
        <v xml:space="preserve"> </v>
      </c>
      <c r="H860" s="275" t="str">
        <f>IF(ISBLANK('ALL Other SINs - Proposal'!V860)," ",'ALL Other SINs - Proposal'!V860)</f>
        <v xml:space="preserve"> </v>
      </c>
      <c r="I860" s="271" t="str">
        <f>IF(ISBLANK('ALL Other SINs - Proposal'!W860)," ",'ALL Other SINs - Proposal'!W860)</f>
        <v xml:space="preserve"> </v>
      </c>
      <c r="J860" s="71" t="str">
        <f>IF(ISBLANK('ALL Other SINs - Proposal'!X860)," ",'ALL Other SINs - Proposal'!X860)</f>
        <v xml:space="preserve"> </v>
      </c>
      <c r="K860" s="165" t="str">
        <f>IF(ISBLANK('ALL Other SINs - Proposal'!AA860)," ",'ALL Other SINs - Proposal'!AA860)</f>
        <v xml:space="preserve"> </v>
      </c>
      <c r="L860" s="178" t="str">
        <f>IF(ISBLANK('ALL Other SINs - Proposal'!AB860)," ",'ALL Other SINs - Proposal'!AB860)</f>
        <v xml:space="preserve"> </v>
      </c>
      <c r="M860" s="72" t="str">
        <f t="shared" si="26"/>
        <v xml:space="preserve"> </v>
      </c>
      <c r="N860" s="167" t="str">
        <f t="shared" si="27"/>
        <v xml:space="preserve"> </v>
      </c>
    </row>
    <row r="861" spans="1:14" ht="15" x14ac:dyDescent="0.25">
      <c r="A861" s="131" t="str">
        <f>IF(ISBLANK('ALL Other SINs - Proposal'!A861)," ",'ALL Other SINs - Proposal'!A861)</f>
        <v xml:space="preserve"> </v>
      </c>
      <c r="B861" s="137" t="str">
        <f>IF(ISBLANK('ALL Other SINs - Proposal'!B861)," ",'ALL Other SINs - Proposal'!B861)</f>
        <v xml:space="preserve"> </v>
      </c>
      <c r="C861" s="137" t="str">
        <f>IF(ISBLANK('ALL Other SINs - Proposal'!C861)," ",'ALL Other SINs - Proposal'!C861)</f>
        <v xml:space="preserve"> </v>
      </c>
      <c r="D861" s="138" t="str">
        <f>IF(ISBLANK('ALL Other SINs - Proposal'!D861)," ",'ALL Other SINs - Proposal'!D861)</f>
        <v xml:space="preserve"> </v>
      </c>
      <c r="E861" s="69" t="str">
        <f>IF(ISBLANK('ALL Other SINs - Proposal'!R861)," ",'ALL Other SINs - Proposal'!R861)</f>
        <v xml:space="preserve"> </v>
      </c>
      <c r="F861" s="73" t="str">
        <f>IF(ISBLANK('ALL Other SINs - Proposal'!S861)," ",'ALL Other SINs - Proposal'!S861)</f>
        <v xml:space="preserve"> </v>
      </c>
      <c r="G861" s="173" t="str">
        <f>IF(ISBLANK('ALL Other SINs - Proposal'!T861)," ",'ALL Other SINs - Proposal'!T861)</f>
        <v xml:space="preserve"> </v>
      </c>
      <c r="H861" s="275" t="str">
        <f>IF(ISBLANK('ALL Other SINs - Proposal'!V861)," ",'ALL Other SINs - Proposal'!V861)</f>
        <v xml:space="preserve"> </v>
      </c>
      <c r="I861" s="271" t="str">
        <f>IF(ISBLANK('ALL Other SINs - Proposal'!W861)," ",'ALL Other SINs - Proposal'!W861)</f>
        <v xml:space="preserve"> </v>
      </c>
      <c r="J861" s="71" t="str">
        <f>IF(ISBLANK('ALL Other SINs - Proposal'!X861)," ",'ALL Other SINs - Proposal'!X861)</f>
        <v xml:space="preserve"> </v>
      </c>
      <c r="K861" s="165" t="str">
        <f>IF(ISBLANK('ALL Other SINs - Proposal'!AA861)," ",'ALL Other SINs - Proposal'!AA861)</f>
        <v xml:space="preserve"> </v>
      </c>
      <c r="L861" s="178" t="str">
        <f>IF(ISBLANK('ALL Other SINs - Proposal'!AB861)," ",'ALL Other SINs - Proposal'!AB861)</f>
        <v xml:space="preserve"> </v>
      </c>
      <c r="M861" s="72" t="str">
        <f t="shared" si="26"/>
        <v xml:space="preserve"> </v>
      </c>
      <c r="N861" s="167" t="str">
        <f t="shared" si="27"/>
        <v xml:space="preserve"> </v>
      </c>
    </row>
    <row r="862" spans="1:14" ht="15" x14ac:dyDescent="0.25">
      <c r="A862" s="131" t="str">
        <f>IF(ISBLANK('ALL Other SINs - Proposal'!A862)," ",'ALL Other SINs - Proposal'!A862)</f>
        <v xml:space="preserve"> </v>
      </c>
      <c r="B862" s="137" t="str">
        <f>IF(ISBLANK('ALL Other SINs - Proposal'!B862)," ",'ALL Other SINs - Proposal'!B862)</f>
        <v xml:space="preserve"> </v>
      </c>
      <c r="C862" s="137" t="str">
        <f>IF(ISBLANK('ALL Other SINs - Proposal'!C862)," ",'ALL Other SINs - Proposal'!C862)</f>
        <v xml:space="preserve"> </v>
      </c>
      <c r="D862" s="138" t="str">
        <f>IF(ISBLANK('ALL Other SINs - Proposal'!D862)," ",'ALL Other SINs - Proposal'!D862)</f>
        <v xml:space="preserve"> </v>
      </c>
      <c r="E862" s="69" t="str">
        <f>IF(ISBLANK('ALL Other SINs - Proposal'!R862)," ",'ALL Other SINs - Proposal'!R862)</f>
        <v xml:space="preserve"> </v>
      </c>
      <c r="F862" s="73" t="str">
        <f>IF(ISBLANK('ALL Other SINs - Proposal'!S862)," ",'ALL Other SINs - Proposal'!S862)</f>
        <v xml:space="preserve"> </v>
      </c>
      <c r="G862" s="173" t="str">
        <f>IF(ISBLANK('ALL Other SINs - Proposal'!T862)," ",'ALL Other SINs - Proposal'!T862)</f>
        <v xml:space="preserve"> </v>
      </c>
      <c r="H862" s="275" t="str">
        <f>IF(ISBLANK('ALL Other SINs - Proposal'!V862)," ",'ALL Other SINs - Proposal'!V862)</f>
        <v xml:space="preserve"> </v>
      </c>
      <c r="I862" s="271" t="str">
        <f>IF(ISBLANK('ALL Other SINs - Proposal'!W862)," ",'ALL Other SINs - Proposal'!W862)</f>
        <v xml:space="preserve"> </v>
      </c>
      <c r="J862" s="71" t="str">
        <f>IF(ISBLANK('ALL Other SINs - Proposal'!X862)," ",'ALL Other SINs - Proposal'!X862)</f>
        <v xml:space="preserve"> </v>
      </c>
      <c r="K862" s="165" t="str">
        <f>IF(ISBLANK('ALL Other SINs - Proposal'!AA862)," ",'ALL Other SINs - Proposal'!AA862)</f>
        <v xml:space="preserve"> </v>
      </c>
      <c r="L862" s="178" t="str">
        <f>IF(ISBLANK('ALL Other SINs - Proposal'!AB862)," ",'ALL Other SINs - Proposal'!AB862)</f>
        <v xml:space="preserve"> </v>
      </c>
      <c r="M862" s="72" t="str">
        <f t="shared" si="26"/>
        <v xml:space="preserve"> </v>
      </c>
      <c r="N862" s="167" t="str">
        <f t="shared" si="27"/>
        <v xml:space="preserve"> </v>
      </c>
    </row>
    <row r="863" spans="1:14" ht="15" x14ac:dyDescent="0.25">
      <c r="A863" s="131" t="str">
        <f>IF(ISBLANK('ALL Other SINs - Proposal'!A863)," ",'ALL Other SINs - Proposal'!A863)</f>
        <v xml:space="preserve"> </v>
      </c>
      <c r="B863" s="137" t="str">
        <f>IF(ISBLANK('ALL Other SINs - Proposal'!B863)," ",'ALL Other SINs - Proposal'!B863)</f>
        <v xml:space="preserve"> </v>
      </c>
      <c r="C863" s="137" t="str">
        <f>IF(ISBLANK('ALL Other SINs - Proposal'!C863)," ",'ALL Other SINs - Proposal'!C863)</f>
        <v xml:space="preserve"> </v>
      </c>
      <c r="D863" s="138" t="str">
        <f>IF(ISBLANK('ALL Other SINs - Proposal'!D863)," ",'ALL Other SINs - Proposal'!D863)</f>
        <v xml:space="preserve"> </v>
      </c>
      <c r="E863" s="69" t="str">
        <f>IF(ISBLANK('ALL Other SINs - Proposal'!R863)," ",'ALL Other SINs - Proposal'!R863)</f>
        <v xml:space="preserve"> </v>
      </c>
      <c r="F863" s="73" t="str">
        <f>IF(ISBLANK('ALL Other SINs - Proposal'!S863)," ",'ALL Other SINs - Proposal'!S863)</f>
        <v xml:space="preserve"> </v>
      </c>
      <c r="G863" s="173" t="str">
        <f>IF(ISBLANK('ALL Other SINs - Proposal'!T863)," ",'ALL Other SINs - Proposal'!T863)</f>
        <v xml:space="preserve"> </v>
      </c>
      <c r="H863" s="275" t="str">
        <f>IF(ISBLANK('ALL Other SINs - Proposal'!V863)," ",'ALL Other SINs - Proposal'!V863)</f>
        <v xml:space="preserve"> </v>
      </c>
      <c r="I863" s="271" t="str">
        <f>IF(ISBLANK('ALL Other SINs - Proposal'!W863)," ",'ALL Other SINs - Proposal'!W863)</f>
        <v xml:space="preserve"> </v>
      </c>
      <c r="J863" s="71" t="str">
        <f>IF(ISBLANK('ALL Other SINs - Proposal'!X863)," ",'ALL Other SINs - Proposal'!X863)</f>
        <v xml:space="preserve"> </v>
      </c>
      <c r="K863" s="165" t="str">
        <f>IF(ISBLANK('ALL Other SINs - Proposal'!AA863)," ",'ALL Other SINs - Proposal'!AA863)</f>
        <v xml:space="preserve"> </v>
      </c>
      <c r="L863" s="178" t="str">
        <f>IF(ISBLANK('ALL Other SINs - Proposal'!AB863)," ",'ALL Other SINs - Proposal'!AB863)</f>
        <v xml:space="preserve"> </v>
      </c>
      <c r="M863" s="72" t="str">
        <f t="shared" si="26"/>
        <v xml:space="preserve"> </v>
      </c>
      <c r="N863" s="167" t="str">
        <f t="shared" si="27"/>
        <v xml:space="preserve"> </v>
      </c>
    </row>
    <row r="864" spans="1:14" ht="15" x14ac:dyDescent="0.25">
      <c r="A864" s="131" t="str">
        <f>IF(ISBLANK('ALL Other SINs - Proposal'!A864)," ",'ALL Other SINs - Proposal'!A864)</f>
        <v xml:space="preserve"> </v>
      </c>
      <c r="B864" s="137" t="str">
        <f>IF(ISBLANK('ALL Other SINs - Proposal'!B864)," ",'ALL Other SINs - Proposal'!B864)</f>
        <v xml:space="preserve"> </v>
      </c>
      <c r="C864" s="137" t="str">
        <f>IF(ISBLANK('ALL Other SINs - Proposal'!C864)," ",'ALL Other SINs - Proposal'!C864)</f>
        <v xml:space="preserve"> </v>
      </c>
      <c r="D864" s="138" t="str">
        <f>IF(ISBLANK('ALL Other SINs - Proposal'!D864)," ",'ALL Other SINs - Proposal'!D864)</f>
        <v xml:space="preserve"> </v>
      </c>
      <c r="E864" s="69" t="str">
        <f>IF(ISBLANK('ALL Other SINs - Proposal'!R864)," ",'ALL Other SINs - Proposal'!R864)</f>
        <v xml:space="preserve"> </v>
      </c>
      <c r="F864" s="73" t="str">
        <f>IF(ISBLANK('ALL Other SINs - Proposal'!S864)," ",'ALL Other SINs - Proposal'!S864)</f>
        <v xml:space="preserve"> </v>
      </c>
      <c r="G864" s="173" t="str">
        <f>IF(ISBLANK('ALL Other SINs - Proposal'!T864)," ",'ALL Other SINs - Proposal'!T864)</f>
        <v xml:space="preserve"> </v>
      </c>
      <c r="H864" s="275" t="str">
        <f>IF(ISBLANK('ALL Other SINs - Proposal'!V864)," ",'ALL Other SINs - Proposal'!V864)</f>
        <v xml:space="preserve"> </v>
      </c>
      <c r="I864" s="271" t="str">
        <f>IF(ISBLANK('ALL Other SINs - Proposal'!W864)," ",'ALL Other SINs - Proposal'!W864)</f>
        <v xml:space="preserve"> </v>
      </c>
      <c r="J864" s="71" t="str">
        <f>IF(ISBLANK('ALL Other SINs - Proposal'!X864)," ",'ALL Other SINs - Proposal'!X864)</f>
        <v xml:space="preserve"> </v>
      </c>
      <c r="K864" s="165" t="str">
        <f>IF(ISBLANK('ALL Other SINs - Proposal'!AA864)," ",'ALL Other SINs - Proposal'!AA864)</f>
        <v xml:space="preserve"> </v>
      </c>
      <c r="L864" s="178" t="str">
        <f>IF(ISBLANK('ALL Other SINs - Proposal'!AB864)," ",'ALL Other SINs - Proposal'!AB864)</f>
        <v xml:space="preserve"> </v>
      </c>
      <c r="M864" s="72" t="str">
        <f t="shared" si="26"/>
        <v xml:space="preserve"> </v>
      </c>
      <c r="N864" s="167" t="str">
        <f t="shared" si="27"/>
        <v xml:space="preserve"> </v>
      </c>
    </row>
    <row r="865" spans="1:14" ht="15" x14ac:dyDescent="0.25">
      <c r="A865" s="131" t="str">
        <f>IF(ISBLANK('ALL Other SINs - Proposal'!A865)," ",'ALL Other SINs - Proposal'!A865)</f>
        <v xml:space="preserve"> </v>
      </c>
      <c r="B865" s="137" t="str">
        <f>IF(ISBLANK('ALL Other SINs - Proposal'!B865)," ",'ALL Other SINs - Proposal'!B865)</f>
        <v xml:space="preserve"> </v>
      </c>
      <c r="C865" s="137" t="str">
        <f>IF(ISBLANK('ALL Other SINs - Proposal'!C865)," ",'ALL Other SINs - Proposal'!C865)</f>
        <v xml:space="preserve"> </v>
      </c>
      <c r="D865" s="138" t="str">
        <f>IF(ISBLANK('ALL Other SINs - Proposal'!D865)," ",'ALL Other SINs - Proposal'!D865)</f>
        <v xml:space="preserve"> </v>
      </c>
      <c r="E865" s="69" t="str">
        <f>IF(ISBLANK('ALL Other SINs - Proposal'!R865)," ",'ALL Other SINs - Proposal'!R865)</f>
        <v xml:space="preserve"> </v>
      </c>
      <c r="F865" s="73" t="str">
        <f>IF(ISBLANK('ALL Other SINs - Proposal'!S865)," ",'ALL Other SINs - Proposal'!S865)</f>
        <v xml:space="preserve"> </v>
      </c>
      <c r="G865" s="173" t="str">
        <f>IF(ISBLANK('ALL Other SINs - Proposal'!T865)," ",'ALL Other SINs - Proposal'!T865)</f>
        <v xml:space="preserve"> </v>
      </c>
      <c r="H865" s="275" t="str">
        <f>IF(ISBLANK('ALL Other SINs - Proposal'!V865)," ",'ALL Other SINs - Proposal'!V865)</f>
        <v xml:space="preserve"> </v>
      </c>
      <c r="I865" s="271" t="str">
        <f>IF(ISBLANK('ALL Other SINs - Proposal'!W865)," ",'ALL Other SINs - Proposal'!W865)</f>
        <v xml:space="preserve"> </v>
      </c>
      <c r="J865" s="71" t="str">
        <f>IF(ISBLANK('ALL Other SINs - Proposal'!X865)," ",'ALL Other SINs - Proposal'!X865)</f>
        <v xml:space="preserve"> </v>
      </c>
      <c r="K865" s="165" t="str">
        <f>IF(ISBLANK('ALL Other SINs - Proposal'!AA865)," ",'ALL Other SINs - Proposal'!AA865)</f>
        <v xml:space="preserve"> </v>
      </c>
      <c r="L865" s="178" t="str">
        <f>IF(ISBLANK('ALL Other SINs - Proposal'!AB865)," ",'ALL Other SINs - Proposal'!AB865)</f>
        <v xml:space="preserve"> </v>
      </c>
      <c r="M865" s="72" t="str">
        <f t="shared" si="26"/>
        <v xml:space="preserve"> </v>
      </c>
      <c r="N865" s="167" t="str">
        <f t="shared" si="27"/>
        <v xml:space="preserve"> </v>
      </c>
    </row>
    <row r="866" spans="1:14" ht="15" x14ac:dyDescent="0.25">
      <c r="A866" s="131" t="str">
        <f>IF(ISBLANK('ALL Other SINs - Proposal'!A866)," ",'ALL Other SINs - Proposal'!A866)</f>
        <v xml:space="preserve"> </v>
      </c>
      <c r="B866" s="137" t="str">
        <f>IF(ISBLANK('ALL Other SINs - Proposal'!B866)," ",'ALL Other SINs - Proposal'!B866)</f>
        <v xml:space="preserve"> </v>
      </c>
      <c r="C866" s="137" t="str">
        <f>IF(ISBLANK('ALL Other SINs - Proposal'!C866)," ",'ALL Other SINs - Proposal'!C866)</f>
        <v xml:space="preserve"> </v>
      </c>
      <c r="D866" s="138" t="str">
        <f>IF(ISBLANK('ALL Other SINs - Proposal'!D866)," ",'ALL Other SINs - Proposal'!D866)</f>
        <v xml:space="preserve"> </v>
      </c>
      <c r="E866" s="69" t="str">
        <f>IF(ISBLANK('ALL Other SINs - Proposal'!R866)," ",'ALL Other SINs - Proposal'!R866)</f>
        <v xml:space="preserve"> </v>
      </c>
      <c r="F866" s="73" t="str">
        <f>IF(ISBLANK('ALL Other SINs - Proposal'!S866)," ",'ALL Other SINs - Proposal'!S866)</f>
        <v xml:space="preserve"> </v>
      </c>
      <c r="G866" s="173" t="str">
        <f>IF(ISBLANK('ALL Other SINs - Proposal'!T866)," ",'ALL Other SINs - Proposal'!T866)</f>
        <v xml:space="preserve"> </v>
      </c>
      <c r="H866" s="275" t="str">
        <f>IF(ISBLANK('ALL Other SINs - Proposal'!V866)," ",'ALL Other SINs - Proposal'!V866)</f>
        <v xml:space="preserve"> </v>
      </c>
      <c r="I866" s="271" t="str">
        <f>IF(ISBLANK('ALL Other SINs - Proposal'!W866)," ",'ALL Other SINs - Proposal'!W866)</f>
        <v xml:space="preserve"> </v>
      </c>
      <c r="J866" s="71" t="str">
        <f>IF(ISBLANK('ALL Other SINs - Proposal'!X866)," ",'ALL Other SINs - Proposal'!X866)</f>
        <v xml:space="preserve"> </v>
      </c>
      <c r="K866" s="165" t="str">
        <f>IF(ISBLANK('ALL Other SINs - Proposal'!AA866)," ",'ALL Other SINs - Proposal'!AA866)</f>
        <v xml:space="preserve"> </v>
      </c>
      <c r="L866" s="178" t="str">
        <f>IF(ISBLANK('ALL Other SINs - Proposal'!AB866)," ",'ALL Other SINs - Proposal'!AB866)</f>
        <v xml:space="preserve"> </v>
      </c>
      <c r="M866" s="72" t="str">
        <f t="shared" si="26"/>
        <v xml:space="preserve"> </v>
      </c>
      <c r="N866" s="167" t="str">
        <f t="shared" si="27"/>
        <v xml:space="preserve"> </v>
      </c>
    </row>
    <row r="867" spans="1:14" ht="15" x14ac:dyDescent="0.25">
      <c r="A867" s="131" t="str">
        <f>IF(ISBLANK('ALL Other SINs - Proposal'!A867)," ",'ALL Other SINs - Proposal'!A867)</f>
        <v xml:space="preserve"> </v>
      </c>
      <c r="B867" s="137" t="str">
        <f>IF(ISBLANK('ALL Other SINs - Proposal'!B867)," ",'ALL Other SINs - Proposal'!B867)</f>
        <v xml:space="preserve"> </v>
      </c>
      <c r="C867" s="137" t="str">
        <f>IF(ISBLANK('ALL Other SINs - Proposal'!C867)," ",'ALL Other SINs - Proposal'!C867)</f>
        <v xml:space="preserve"> </v>
      </c>
      <c r="D867" s="138" t="str">
        <f>IF(ISBLANK('ALL Other SINs - Proposal'!D867)," ",'ALL Other SINs - Proposal'!D867)</f>
        <v xml:space="preserve"> </v>
      </c>
      <c r="E867" s="69" t="str">
        <f>IF(ISBLANK('ALL Other SINs - Proposal'!R867)," ",'ALL Other SINs - Proposal'!R867)</f>
        <v xml:space="preserve"> </v>
      </c>
      <c r="F867" s="73" t="str">
        <f>IF(ISBLANK('ALL Other SINs - Proposal'!S867)," ",'ALL Other SINs - Proposal'!S867)</f>
        <v xml:space="preserve"> </v>
      </c>
      <c r="G867" s="173" t="str">
        <f>IF(ISBLANK('ALL Other SINs - Proposal'!T867)," ",'ALL Other SINs - Proposal'!T867)</f>
        <v xml:space="preserve"> </v>
      </c>
      <c r="H867" s="275" t="str">
        <f>IF(ISBLANK('ALL Other SINs - Proposal'!V867)," ",'ALL Other SINs - Proposal'!V867)</f>
        <v xml:space="preserve"> </v>
      </c>
      <c r="I867" s="271" t="str">
        <f>IF(ISBLANK('ALL Other SINs - Proposal'!W867)," ",'ALL Other SINs - Proposal'!W867)</f>
        <v xml:space="preserve"> </v>
      </c>
      <c r="J867" s="71" t="str">
        <f>IF(ISBLANK('ALL Other SINs - Proposal'!X867)," ",'ALL Other SINs - Proposal'!X867)</f>
        <v xml:space="preserve"> </v>
      </c>
      <c r="K867" s="165" t="str">
        <f>IF(ISBLANK('ALL Other SINs - Proposal'!AA867)," ",'ALL Other SINs - Proposal'!AA867)</f>
        <v xml:space="preserve"> </v>
      </c>
      <c r="L867" s="178" t="str">
        <f>IF(ISBLANK('ALL Other SINs - Proposal'!AB867)," ",'ALL Other SINs - Proposal'!AB867)</f>
        <v xml:space="preserve"> </v>
      </c>
      <c r="M867" s="72" t="str">
        <f t="shared" si="26"/>
        <v xml:space="preserve"> </v>
      </c>
      <c r="N867" s="167" t="str">
        <f t="shared" si="27"/>
        <v xml:space="preserve"> </v>
      </c>
    </row>
    <row r="868" spans="1:14" ht="15" x14ac:dyDescent="0.25">
      <c r="A868" s="131" t="str">
        <f>IF(ISBLANK('ALL Other SINs - Proposal'!A868)," ",'ALL Other SINs - Proposal'!A868)</f>
        <v xml:space="preserve"> </v>
      </c>
      <c r="B868" s="137" t="str">
        <f>IF(ISBLANK('ALL Other SINs - Proposal'!B868)," ",'ALL Other SINs - Proposal'!B868)</f>
        <v xml:space="preserve"> </v>
      </c>
      <c r="C868" s="137" t="str">
        <f>IF(ISBLANK('ALL Other SINs - Proposal'!C868)," ",'ALL Other SINs - Proposal'!C868)</f>
        <v xml:space="preserve"> </v>
      </c>
      <c r="D868" s="138" t="str">
        <f>IF(ISBLANK('ALL Other SINs - Proposal'!D868)," ",'ALL Other SINs - Proposal'!D868)</f>
        <v xml:space="preserve"> </v>
      </c>
      <c r="E868" s="69" t="str">
        <f>IF(ISBLANK('ALL Other SINs - Proposal'!R868)," ",'ALL Other SINs - Proposal'!R868)</f>
        <v xml:space="preserve"> </v>
      </c>
      <c r="F868" s="73" t="str">
        <f>IF(ISBLANK('ALL Other SINs - Proposal'!S868)," ",'ALL Other SINs - Proposal'!S868)</f>
        <v xml:space="preserve"> </v>
      </c>
      <c r="G868" s="173" t="str">
        <f>IF(ISBLANK('ALL Other SINs - Proposal'!T868)," ",'ALL Other SINs - Proposal'!T868)</f>
        <v xml:space="preserve"> </v>
      </c>
      <c r="H868" s="275" t="str">
        <f>IF(ISBLANK('ALL Other SINs - Proposal'!V868)," ",'ALL Other SINs - Proposal'!V868)</f>
        <v xml:space="preserve"> </v>
      </c>
      <c r="I868" s="271" t="str">
        <f>IF(ISBLANK('ALL Other SINs - Proposal'!W868)," ",'ALL Other SINs - Proposal'!W868)</f>
        <v xml:space="preserve"> </v>
      </c>
      <c r="J868" s="71" t="str">
        <f>IF(ISBLANK('ALL Other SINs - Proposal'!X868)," ",'ALL Other SINs - Proposal'!X868)</f>
        <v xml:space="preserve"> </v>
      </c>
      <c r="K868" s="165" t="str">
        <f>IF(ISBLANK('ALL Other SINs - Proposal'!AA868)," ",'ALL Other SINs - Proposal'!AA868)</f>
        <v xml:space="preserve"> </v>
      </c>
      <c r="L868" s="178" t="str">
        <f>IF(ISBLANK('ALL Other SINs - Proposal'!AB868)," ",'ALL Other SINs - Proposal'!AB868)</f>
        <v xml:space="preserve"> </v>
      </c>
      <c r="M868" s="72" t="str">
        <f t="shared" si="26"/>
        <v xml:space="preserve"> </v>
      </c>
      <c r="N868" s="167" t="str">
        <f t="shared" si="27"/>
        <v xml:space="preserve"> </v>
      </c>
    </row>
    <row r="869" spans="1:14" ht="15" x14ac:dyDescent="0.25">
      <c r="A869" s="131" t="str">
        <f>IF(ISBLANK('ALL Other SINs - Proposal'!A869)," ",'ALL Other SINs - Proposal'!A869)</f>
        <v xml:space="preserve"> </v>
      </c>
      <c r="B869" s="137" t="str">
        <f>IF(ISBLANK('ALL Other SINs - Proposal'!B869)," ",'ALL Other SINs - Proposal'!B869)</f>
        <v xml:space="preserve"> </v>
      </c>
      <c r="C869" s="137" t="str">
        <f>IF(ISBLANK('ALL Other SINs - Proposal'!C869)," ",'ALL Other SINs - Proposal'!C869)</f>
        <v xml:space="preserve"> </v>
      </c>
      <c r="D869" s="138" t="str">
        <f>IF(ISBLANK('ALL Other SINs - Proposal'!D869)," ",'ALL Other SINs - Proposal'!D869)</f>
        <v xml:space="preserve"> </v>
      </c>
      <c r="E869" s="69" t="str">
        <f>IF(ISBLANK('ALL Other SINs - Proposal'!R869)," ",'ALL Other SINs - Proposal'!R869)</f>
        <v xml:space="preserve"> </v>
      </c>
      <c r="F869" s="73" t="str">
        <f>IF(ISBLANK('ALL Other SINs - Proposal'!S869)," ",'ALL Other SINs - Proposal'!S869)</f>
        <v xml:space="preserve"> </v>
      </c>
      <c r="G869" s="173" t="str">
        <f>IF(ISBLANK('ALL Other SINs - Proposal'!T869)," ",'ALL Other SINs - Proposal'!T869)</f>
        <v xml:space="preserve"> </v>
      </c>
      <c r="H869" s="275" t="str">
        <f>IF(ISBLANK('ALL Other SINs - Proposal'!V869)," ",'ALL Other SINs - Proposal'!V869)</f>
        <v xml:space="preserve"> </v>
      </c>
      <c r="I869" s="271" t="str">
        <f>IF(ISBLANK('ALL Other SINs - Proposal'!W869)," ",'ALL Other SINs - Proposal'!W869)</f>
        <v xml:space="preserve"> </v>
      </c>
      <c r="J869" s="71" t="str">
        <f>IF(ISBLANK('ALL Other SINs - Proposal'!X869)," ",'ALL Other SINs - Proposal'!X869)</f>
        <v xml:space="preserve"> </v>
      </c>
      <c r="K869" s="165" t="str">
        <f>IF(ISBLANK('ALL Other SINs - Proposal'!AA869)," ",'ALL Other SINs - Proposal'!AA869)</f>
        <v xml:space="preserve"> </v>
      </c>
      <c r="L869" s="178" t="str">
        <f>IF(ISBLANK('ALL Other SINs - Proposal'!AB869)," ",'ALL Other SINs - Proposal'!AB869)</f>
        <v xml:space="preserve"> </v>
      </c>
      <c r="M869" s="72" t="str">
        <f t="shared" si="26"/>
        <v xml:space="preserve"> </v>
      </c>
      <c r="N869" s="167" t="str">
        <f t="shared" si="27"/>
        <v xml:space="preserve"> </v>
      </c>
    </row>
    <row r="870" spans="1:14" ht="15" x14ac:dyDescent="0.25">
      <c r="A870" s="131" t="str">
        <f>IF(ISBLANK('ALL Other SINs - Proposal'!A870)," ",'ALL Other SINs - Proposal'!A870)</f>
        <v xml:space="preserve"> </v>
      </c>
      <c r="B870" s="137" t="str">
        <f>IF(ISBLANK('ALL Other SINs - Proposal'!B870)," ",'ALL Other SINs - Proposal'!B870)</f>
        <v xml:space="preserve"> </v>
      </c>
      <c r="C870" s="137" t="str">
        <f>IF(ISBLANK('ALL Other SINs - Proposal'!C870)," ",'ALL Other SINs - Proposal'!C870)</f>
        <v xml:space="preserve"> </v>
      </c>
      <c r="D870" s="138" t="str">
        <f>IF(ISBLANK('ALL Other SINs - Proposal'!D870)," ",'ALL Other SINs - Proposal'!D870)</f>
        <v xml:space="preserve"> </v>
      </c>
      <c r="E870" s="69" t="str">
        <f>IF(ISBLANK('ALL Other SINs - Proposal'!R870)," ",'ALL Other SINs - Proposal'!R870)</f>
        <v xml:space="preserve"> </v>
      </c>
      <c r="F870" s="73" t="str">
        <f>IF(ISBLANK('ALL Other SINs - Proposal'!S870)," ",'ALL Other SINs - Proposal'!S870)</f>
        <v xml:space="preserve"> </v>
      </c>
      <c r="G870" s="173" t="str">
        <f>IF(ISBLANK('ALL Other SINs - Proposal'!T870)," ",'ALL Other SINs - Proposal'!T870)</f>
        <v xml:space="preserve"> </v>
      </c>
      <c r="H870" s="275" t="str">
        <f>IF(ISBLANK('ALL Other SINs - Proposal'!V870)," ",'ALL Other SINs - Proposal'!V870)</f>
        <v xml:space="preserve"> </v>
      </c>
      <c r="I870" s="271" t="str">
        <f>IF(ISBLANK('ALL Other SINs - Proposal'!W870)," ",'ALL Other SINs - Proposal'!W870)</f>
        <v xml:space="preserve"> </v>
      </c>
      <c r="J870" s="71" t="str">
        <f>IF(ISBLANK('ALL Other SINs - Proposal'!X870)," ",'ALL Other SINs - Proposal'!X870)</f>
        <v xml:space="preserve"> </v>
      </c>
      <c r="K870" s="165" t="str">
        <f>IF(ISBLANK('ALL Other SINs - Proposal'!AA870)," ",'ALL Other SINs - Proposal'!AA870)</f>
        <v xml:space="preserve"> </v>
      </c>
      <c r="L870" s="178" t="str">
        <f>IF(ISBLANK('ALL Other SINs - Proposal'!AB870)," ",'ALL Other SINs - Proposal'!AB870)</f>
        <v xml:space="preserve"> </v>
      </c>
      <c r="M870" s="72" t="str">
        <f t="shared" si="26"/>
        <v xml:space="preserve"> </v>
      </c>
      <c r="N870" s="167" t="str">
        <f t="shared" si="27"/>
        <v xml:space="preserve"> </v>
      </c>
    </row>
    <row r="871" spans="1:14" ht="15" x14ac:dyDescent="0.25">
      <c r="A871" s="131" t="str">
        <f>IF(ISBLANK('ALL Other SINs - Proposal'!A871)," ",'ALL Other SINs - Proposal'!A871)</f>
        <v xml:space="preserve"> </v>
      </c>
      <c r="B871" s="137" t="str">
        <f>IF(ISBLANK('ALL Other SINs - Proposal'!B871)," ",'ALL Other SINs - Proposal'!B871)</f>
        <v xml:space="preserve"> </v>
      </c>
      <c r="C871" s="137" t="str">
        <f>IF(ISBLANK('ALL Other SINs - Proposal'!C871)," ",'ALL Other SINs - Proposal'!C871)</f>
        <v xml:space="preserve"> </v>
      </c>
      <c r="D871" s="138" t="str">
        <f>IF(ISBLANK('ALL Other SINs - Proposal'!D871)," ",'ALL Other SINs - Proposal'!D871)</f>
        <v xml:space="preserve"> </v>
      </c>
      <c r="E871" s="69" t="str">
        <f>IF(ISBLANK('ALL Other SINs - Proposal'!R871)," ",'ALL Other SINs - Proposal'!R871)</f>
        <v xml:space="preserve"> </v>
      </c>
      <c r="F871" s="73" t="str">
        <f>IF(ISBLANK('ALL Other SINs - Proposal'!S871)," ",'ALL Other SINs - Proposal'!S871)</f>
        <v xml:space="preserve"> </v>
      </c>
      <c r="G871" s="173" t="str">
        <f>IF(ISBLANK('ALL Other SINs - Proposal'!T871)," ",'ALL Other SINs - Proposal'!T871)</f>
        <v xml:space="preserve"> </v>
      </c>
      <c r="H871" s="275" t="str">
        <f>IF(ISBLANK('ALL Other SINs - Proposal'!V871)," ",'ALL Other SINs - Proposal'!V871)</f>
        <v xml:space="preserve"> </v>
      </c>
      <c r="I871" s="271" t="str">
        <f>IF(ISBLANK('ALL Other SINs - Proposal'!W871)," ",'ALL Other SINs - Proposal'!W871)</f>
        <v xml:space="preserve"> </v>
      </c>
      <c r="J871" s="71" t="str">
        <f>IF(ISBLANK('ALL Other SINs - Proposal'!X871)," ",'ALL Other SINs - Proposal'!X871)</f>
        <v xml:space="preserve"> </v>
      </c>
      <c r="K871" s="165" t="str">
        <f>IF(ISBLANK('ALL Other SINs - Proposal'!AA871)," ",'ALL Other SINs - Proposal'!AA871)</f>
        <v xml:space="preserve"> </v>
      </c>
      <c r="L871" s="178" t="str">
        <f>IF(ISBLANK('ALL Other SINs - Proposal'!AB871)," ",'ALL Other SINs - Proposal'!AB871)</f>
        <v xml:space="preserve"> </v>
      </c>
      <c r="M871" s="72" t="str">
        <f t="shared" si="26"/>
        <v xml:space="preserve"> </v>
      </c>
      <c r="N871" s="167" t="str">
        <f t="shared" si="27"/>
        <v xml:space="preserve"> </v>
      </c>
    </row>
    <row r="872" spans="1:14" ht="15" x14ac:dyDescent="0.25">
      <c r="A872" s="131" t="str">
        <f>IF(ISBLANK('ALL Other SINs - Proposal'!A872)," ",'ALL Other SINs - Proposal'!A872)</f>
        <v xml:space="preserve"> </v>
      </c>
      <c r="B872" s="137" t="str">
        <f>IF(ISBLANK('ALL Other SINs - Proposal'!B872)," ",'ALL Other SINs - Proposal'!B872)</f>
        <v xml:space="preserve"> </v>
      </c>
      <c r="C872" s="137" t="str">
        <f>IF(ISBLANK('ALL Other SINs - Proposal'!C872)," ",'ALL Other SINs - Proposal'!C872)</f>
        <v xml:space="preserve"> </v>
      </c>
      <c r="D872" s="138" t="str">
        <f>IF(ISBLANK('ALL Other SINs - Proposal'!D872)," ",'ALL Other SINs - Proposal'!D872)</f>
        <v xml:space="preserve"> </v>
      </c>
      <c r="E872" s="69" t="str">
        <f>IF(ISBLANK('ALL Other SINs - Proposal'!R872)," ",'ALL Other SINs - Proposal'!R872)</f>
        <v xml:space="preserve"> </v>
      </c>
      <c r="F872" s="73" t="str">
        <f>IF(ISBLANK('ALL Other SINs - Proposal'!S872)," ",'ALL Other SINs - Proposal'!S872)</f>
        <v xml:space="preserve"> </v>
      </c>
      <c r="G872" s="173" t="str">
        <f>IF(ISBLANK('ALL Other SINs - Proposal'!T872)," ",'ALL Other SINs - Proposal'!T872)</f>
        <v xml:space="preserve"> </v>
      </c>
      <c r="H872" s="275" t="str">
        <f>IF(ISBLANK('ALL Other SINs - Proposal'!V872)," ",'ALL Other SINs - Proposal'!V872)</f>
        <v xml:space="preserve"> </v>
      </c>
      <c r="I872" s="271" t="str">
        <f>IF(ISBLANK('ALL Other SINs - Proposal'!W872)," ",'ALL Other SINs - Proposal'!W872)</f>
        <v xml:space="preserve"> </v>
      </c>
      <c r="J872" s="71" t="str">
        <f>IF(ISBLANK('ALL Other SINs - Proposal'!X872)," ",'ALL Other SINs - Proposal'!X872)</f>
        <v xml:space="preserve"> </v>
      </c>
      <c r="K872" s="165" t="str">
        <f>IF(ISBLANK('ALL Other SINs - Proposal'!AA872)," ",'ALL Other SINs - Proposal'!AA872)</f>
        <v xml:space="preserve"> </v>
      </c>
      <c r="L872" s="178" t="str">
        <f>IF(ISBLANK('ALL Other SINs - Proposal'!AB872)," ",'ALL Other SINs - Proposal'!AB872)</f>
        <v xml:space="preserve"> </v>
      </c>
      <c r="M872" s="72" t="str">
        <f t="shared" si="26"/>
        <v xml:space="preserve"> </v>
      </c>
      <c r="N872" s="167" t="str">
        <f t="shared" si="27"/>
        <v xml:space="preserve"> </v>
      </c>
    </row>
    <row r="873" spans="1:14" ht="15" x14ac:dyDescent="0.25">
      <c r="A873" s="131" t="str">
        <f>IF(ISBLANK('ALL Other SINs - Proposal'!A873)," ",'ALL Other SINs - Proposal'!A873)</f>
        <v xml:space="preserve"> </v>
      </c>
      <c r="B873" s="137" t="str">
        <f>IF(ISBLANK('ALL Other SINs - Proposal'!B873)," ",'ALL Other SINs - Proposal'!B873)</f>
        <v xml:space="preserve"> </v>
      </c>
      <c r="C873" s="137" t="str">
        <f>IF(ISBLANK('ALL Other SINs - Proposal'!C873)," ",'ALL Other SINs - Proposal'!C873)</f>
        <v xml:space="preserve"> </v>
      </c>
      <c r="D873" s="138" t="str">
        <f>IF(ISBLANK('ALL Other SINs - Proposal'!D873)," ",'ALL Other SINs - Proposal'!D873)</f>
        <v xml:space="preserve"> </v>
      </c>
      <c r="E873" s="69" t="str">
        <f>IF(ISBLANK('ALL Other SINs - Proposal'!R873)," ",'ALL Other SINs - Proposal'!R873)</f>
        <v xml:space="preserve"> </v>
      </c>
      <c r="F873" s="73" t="str">
        <f>IF(ISBLANK('ALL Other SINs - Proposal'!S873)," ",'ALL Other SINs - Proposal'!S873)</f>
        <v xml:space="preserve"> </v>
      </c>
      <c r="G873" s="173" t="str">
        <f>IF(ISBLANK('ALL Other SINs - Proposal'!T873)," ",'ALL Other SINs - Proposal'!T873)</f>
        <v xml:space="preserve"> </v>
      </c>
      <c r="H873" s="275" t="str">
        <f>IF(ISBLANK('ALL Other SINs - Proposal'!V873)," ",'ALL Other SINs - Proposal'!V873)</f>
        <v xml:space="preserve"> </v>
      </c>
      <c r="I873" s="271" t="str">
        <f>IF(ISBLANK('ALL Other SINs - Proposal'!W873)," ",'ALL Other SINs - Proposal'!W873)</f>
        <v xml:space="preserve"> </v>
      </c>
      <c r="J873" s="71" t="str">
        <f>IF(ISBLANK('ALL Other SINs - Proposal'!X873)," ",'ALL Other SINs - Proposal'!X873)</f>
        <v xml:space="preserve"> </v>
      </c>
      <c r="K873" s="165" t="str">
        <f>IF(ISBLANK('ALL Other SINs - Proposal'!AA873)," ",'ALL Other SINs - Proposal'!AA873)</f>
        <v xml:space="preserve"> </v>
      </c>
      <c r="L873" s="178" t="str">
        <f>IF(ISBLANK('ALL Other SINs - Proposal'!AB873)," ",'ALL Other SINs - Proposal'!AB873)</f>
        <v xml:space="preserve"> </v>
      </c>
      <c r="M873" s="72" t="str">
        <f t="shared" si="26"/>
        <v xml:space="preserve"> </v>
      </c>
      <c r="N873" s="167" t="str">
        <f t="shared" si="27"/>
        <v xml:space="preserve"> </v>
      </c>
    </row>
    <row r="874" spans="1:14" ht="15" x14ac:dyDescent="0.25">
      <c r="A874" s="131" t="str">
        <f>IF(ISBLANK('ALL Other SINs - Proposal'!A874)," ",'ALL Other SINs - Proposal'!A874)</f>
        <v xml:space="preserve"> </v>
      </c>
      <c r="B874" s="137" t="str">
        <f>IF(ISBLANK('ALL Other SINs - Proposal'!B874)," ",'ALL Other SINs - Proposal'!B874)</f>
        <v xml:space="preserve"> </v>
      </c>
      <c r="C874" s="137" t="str">
        <f>IF(ISBLANK('ALL Other SINs - Proposal'!C874)," ",'ALL Other SINs - Proposal'!C874)</f>
        <v xml:space="preserve"> </v>
      </c>
      <c r="D874" s="138" t="str">
        <f>IF(ISBLANK('ALL Other SINs - Proposal'!D874)," ",'ALL Other SINs - Proposal'!D874)</f>
        <v xml:space="preserve"> </v>
      </c>
      <c r="E874" s="69" t="str">
        <f>IF(ISBLANK('ALL Other SINs - Proposal'!R874)," ",'ALL Other SINs - Proposal'!R874)</f>
        <v xml:space="preserve"> </v>
      </c>
      <c r="F874" s="73" t="str">
        <f>IF(ISBLANK('ALL Other SINs - Proposal'!S874)," ",'ALL Other SINs - Proposal'!S874)</f>
        <v xml:space="preserve"> </v>
      </c>
      <c r="G874" s="173" t="str">
        <f>IF(ISBLANK('ALL Other SINs - Proposal'!T874)," ",'ALL Other SINs - Proposal'!T874)</f>
        <v xml:space="preserve"> </v>
      </c>
      <c r="H874" s="275" t="str">
        <f>IF(ISBLANK('ALL Other SINs - Proposal'!V874)," ",'ALL Other SINs - Proposal'!V874)</f>
        <v xml:space="preserve"> </v>
      </c>
      <c r="I874" s="271" t="str">
        <f>IF(ISBLANK('ALL Other SINs - Proposal'!W874)," ",'ALL Other SINs - Proposal'!W874)</f>
        <v xml:space="preserve"> </v>
      </c>
      <c r="J874" s="71" t="str">
        <f>IF(ISBLANK('ALL Other SINs - Proposal'!X874)," ",'ALL Other SINs - Proposal'!X874)</f>
        <v xml:space="preserve"> </v>
      </c>
      <c r="K874" s="165" t="str">
        <f>IF(ISBLANK('ALL Other SINs - Proposal'!AA874)," ",'ALL Other SINs - Proposal'!AA874)</f>
        <v xml:space="preserve"> </v>
      </c>
      <c r="L874" s="178" t="str">
        <f>IF(ISBLANK('ALL Other SINs - Proposal'!AB874)," ",'ALL Other SINs - Proposal'!AB874)</f>
        <v xml:space="preserve"> </v>
      </c>
      <c r="M874" s="72" t="str">
        <f t="shared" si="26"/>
        <v xml:space="preserve"> </v>
      </c>
      <c r="N874" s="167" t="str">
        <f t="shared" si="27"/>
        <v xml:space="preserve"> </v>
      </c>
    </row>
    <row r="875" spans="1:14" ht="15" x14ac:dyDescent="0.25">
      <c r="A875" s="131" t="str">
        <f>IF(ISBLANK('ALL Other SINs - Proposal'!A875)," ",'ALL Other SINs - Proposal'!A875)</f>
        <v xml:space="preserve"> </v>
      </c>
      <c r="B875" s="137" t="str">
        <f>IF(ISBLANK('ALL Other SINs - Proposal'!B875)," ",'ALL Other SINs - Proposal'!B875)</f>
        <v xml:space="preserve"> </v>
      </c>
      <c r="C875" s="137" t="str">
        <f>IF(ISBLANK('ALL Other SINs - Proposal'!C875)," ",'ALL Other SINs - Proposal'!C875)</f>
        <v xml:space="preserve"> </v>
      </c>
      <c r="D875" s="138" t="str">
        <f>IF(ISBLANK('ALL Other SINs - Proposal'!D875)," ",'ALL Other SINs - Proposal'!D875)</f>
        <v xml:space="preserve"> </v>
      </c>
      <c r="E875" s="69" t="str">
        <f>IF(ISBLANK('ALL Other SINs - Proposal'!R875)," ",'ALL Other SINs - Proposal'!R875)</f>
        <v xml:space="preserve"> </v>
      </c>
      <c r="F875" s="73" t="str">
        <f>IF(ISBLANK('ALL Other SINs - Proposal'!S875)," ",'ALL Other SINs - Proposal'!S875)</f>
        <v xml:space="preserve"> </v>
      </c>
      <c r="G875" s="173" t="str">
        <f>IF(ISBLANK('ALL Other SINs - Proposal'!T875)," ",'ALL Other SINs - Proposal'!T875)</f>
        <v xml:space="preserve"> </v>
      </c>
      <c r="H875" s="275" t="str">
        <f>IF(ISBLANK('ALL Other SINs - Proposal'!V875)," ",'ALL Other SINs - Proposal'!V875)</f>
        <v xml:space="preserve"> </v>
      </c>
      <c r="I875" s="271" t="str">
        <f>IF(ISBLANK('ALL Other SINs - Proposal'!W875)," ",'ALL Other SINs - Proposal'!W875)</f>
        <v xml:space="preserve"> </v>
      </c>
      <c r="J875" s="71" t="str">
        <f>IF(ISBLANK('ALL Other SINs - Proposal'!X875)," ",'ALL Other SINs - Proposal'!X875)</f>
        <v xml:space="preserve"> </v>
      </c>
      <c r="K875" s="165" t="str">
        <f>IF(ISBLANK('ALL Other SINs - Proposal'!AA875)," ",'ALL Other SINs - Proposal'!AA875)</f>
        <v xml:space="preserve"> </v>
      </c>
      <c r="L875" s="178" t="str">
        <f>IF(ISBLANK('ALL Other SINs - Proposal'!AB875)," ",'ALL Other SINs - Proposal'!AB875)</f>
        <v xml:space="preserve"> </v>
      </c>
      <c r="M875" s="72" t="str">
        <f t="shared" si="26"/>
        <v xml:space="preserve"> </v>
      </c>
      <c r="N875" s="167" t="str">
        <f t="shared" si="27"/>
        <v xml:space="preserve"> </v>
      </c>
    </row>
    <row r="876" spans="1:14" ht="15" x14ac:dyDescent="0.25">
      <c r="A876" s="131" t="str">
        <f>IF(ISBLANK('ALL Other SINs - Proposal'!A876)," ",'ALL Other SINs - Proposal'!A876)</f>
        <v xml:space="preserve"> </v>
      </c>
      <c r="B876" s="137" t="str">
        <f>IF(ISBLANK('ALL Other SINs - Proposal'!B876)," ",'ALL Other SINs - Proposal'!B876)</f>
        <v xml:space="preserve"> </v>
      </c>
      <c r="C876" s="137" t="str">
        <f>IF(ISBLANK('ALL Other SINs - Proposal'!C876)," ",'ALL Other SINs - Proposal'!C876)</f>
        <v xml:space="preserve"> </v>
      </c>
      <c r="D876" s="138" t="str">
        <f>IF(ISBLANK('ALL Other SINs - Proposal'!D876)," ",'ALL Other SINs - Proposal'!D876)</f>
        <v xml:space="preserve"> </v>
      </c>
      <c r="E876" s="69" t="str">
        <f>IF(ISBLANK('ALL Other SINs - Proposal'!R876)," ",'ALL Other SINs - Proposal'!R876)</f>
        <v xml:space="preserve"> </v>
      </c>
      <c r="F876" s="73" t="str">
        <f>IF(ISBLANK('ALL Other SINs - Proposal'!S876)," ",'ALL Other SINs - Proposal'!S876)</f>
        <v xml:space="preserve"> </v>
      </c>
      <c r="G876" s="173" t="str">
        <f>IF(ISBLANK('ALL Other SINs - Proposal'!T876)," ",'ALL Other SINs - Proposal'!T876)</f>
        <v xml:space="preserve"> </v>
      </c>
      <c r="H876" s="275" t="str">
        <f>IF(ISBLANK('ALL Other SINs - Proposal'!V876)," ",'ALL Other SINs - Proposal'!V876)</f>
        <v xml:space="preserve"> </v>
      </c>
      <c r="I876" s="271" t="str">
        <f>IF(ISBLANK('ALL Other SINs - Proposal'!W876)," ",'ALL Other SINs - Proposal'!W876)</f>
        <v xml:space="preserve"> </v>
      </c>
      <c r="J876" s="71" t="str">
        <f>IF(ISBLANK('ALL Other SINs - Proposal'!X876)," ",'ALL Other SINs - Proposal'!X876)</f>
        <v xml:space="preserve"> </v>
      </c>
      <c r="K876" s="165" t="str">
        <f>IF(ISBLANK('ALL Other SINs - Proposal'!AA876)," ",'ALL Other SINs - Proposal'!AA876)</f>
        <v xml:space="preserve"> </v>
      </c>
      <c r="L876" s="178" t="str">
        <f>IF(ISBLANK('ALL Other SINs - Proposal'!AB876)," ",'ALL Other SINs - Proposal'!AB876)</f>
        <v xml:space="preserve"> </v>
      </c>
      <c r="M876" s="72" t="str">
        <f t="shared" si="26"/>
        <v xml:space="preserve"> </v>
      </c>
      <c r="N876" s="167" t="str">
        <f t="shared" si="27"/>
        <v xml:space="preserve"> </v>
      </c>
    </row>
    <row r="877" spans="1:14" ht="15" x14ac:dyDescent="0.25">
      <c r="A877" s="131" t="str">
        <f>IF(ISBLANK('ALL Other SINs - Proposal'!A877)," ",'ALL Other SINs - Proposal'!A877)</f>
        <v xml:space="preserve"> </v>
      </c>
      <c r="B877" s="137" t="str">
        <f>IF(ISBLANK('ALL Other SINs - Proposal'!B877)," ",'ALL Other SINs - Proposal'!B877)</f>
        <v xml:space="preserve"> </v>
      </c>
      <c r="C877" s="137" t="str">
        <f>IF(ISBLANK('ALL Other SINs - Proposal'!C877)," ",'ALL Other SINs - Proposal'!C877)</f>
        <v xml:space="preserve"> </v>
      </c>
      <c r="D877" s="138" t="str">
        <f>IF(ISBLANK('ALL Other SINs - Proposal'!D877)," ",'ALL Other SINs - Proposal'!D877)</f>
        <v xml:space="preserve"> </v>
      </c>
      <c r="E877" s="69" t="str">
        <f>IF(ISBLANK('ALL Other SINs - Proposal'!R877)," ",'ALL Other SINs - Proposal'!R877)</f>
        <v xml:space="preserve"> </v>
      </c>
      <c r="F877" s="73" t="str">
        <f>IF(ISBLANK('ALL Other SINs - Proposal'!S877)," ",'ALL Other SINs - Proposal'!S877)</f>
        <v xml:space="preserve"> </v>
      </c>
      <c r="G877" s="173" t="str">
        <f>IF(ISBLANK('ALL Other SINs - Proposal'!T877)," ",'ALL Other SINs - Proposal'!T877)</f>
        <v xml:space="preserve"> </v>
      </c>
      <c r="H877" s="275" t="str">
        <f>IF(ISBLANK('ALL Other SINs - Proposal'!V877)," ",'ALL Other SINs - Proposal'!V877)</f>
        <v xml:space="preserve"> </v>
      </c>
      <c r="I877" s="271" t="str">
        <f>IF(ISBLANK('ALL Other SINs - Proposal'!W877)," ",'ALL Other SINs - Proposal'!W877)</f>
        <v xml:space="preserve"> </v>
      </c>
      <c r="J877" s="71" t="str">
        <f>IF(ISBLANK('ALL Other SINs - Proposal'!X877)," ",'ALL Other SINs - Proposal'!X877)</f>
        <v xml:space="preserve"> </v>
      </c>
      <c r="K877" s="165" t="str">
        <f>IF(ISBLANK('ALL Other SINs - Proposal'!AA877)," ",'ALL Other SINs - Proposal'!AA877)</f>
        <v xml:space="preserve"> </v>
      </c>
      <c r="L877" s="178" t="str">
        <f>IF(ISBLANK('ALL Other SINs - Proposal'!AB877)," ",'ALL Other SINs - Proposal'!AB877)</f>
        <v xml:space="preserve"> </v>
      </c>
      <c r="M877" s="72" t="str">
        <f t="shared" si="26"/>
        <v xml:space="preserve"> </v>
      </c>
      <c r="N877" s="167" t="str">
        <f t="shared" si="27"/>
        <v xml:space="preserve"> </v>
      </c>
    </row>
    <row r="878" spans="1:14" ht="15" x14ac:dyDescent="0.25">
      <c r="A878" s="131" t="str">
        <f>IF(ISBLANK('ALL Other SINs - Proposal'!A878)," ",'ALL Other SINs - Proposal'!A878)</f>
        <v xml:space="preserve"> </v>
      </c>
      <c r="B878" s="137" t="str">
        <f>IF(ISBLANK('ALL Other SINs - Proposal'!B878)," ",'ALL Other SINs - Proposal'!B878)</f>
        <v xml:space="preserve"> </v>
      </c>
      <c r="C878" s="137" t="str">
        <f>IF(ISBLANK('ALL Other SINs - Proposal'!C878)," ",'ALL Other SINs - Proposal'!C878)</f>
        <v xml:space="preserve"> </v>
      </c>
      <c r="D878" s="138" t="str">
        <f>IF(ISBLANK('ALL Other SINs - Proposal'!D878)," ",'ALL Other SINs - Proposal'!D878)</f>
        <v xml:space="preserve"> </v>
      </c>
      <c r="E878" s="69" t="str">
        <f>IF(ISBLANK('ALL Other SINs - Proposal'!R878)," ",'ALL Other SINs - Proposal'!R878)</f>
        <v xml:space="preserve"> </v>
      </c>
      <c r="F878" s="73" t="str">
        <f>IF(ISBLANK('ALL Other SINs - Proposal'!S878)," ",'ALL Other SINs - Proposal'!S878)</f>
        <v xml:space="preserve"> </v>
      </c>
      <c r="G878" s="173" t="str">
        <f>IF(ISBLANK('ALL Other SINs - Proposal'!T878)," ",'ALL Other SINs - Proposal'!T878)</f>
        <v xml:space="preserve"> </v>
      </c>
      <c r="H878" s="275" t="str">
        <f>IF(ISBLANK('ALL Other SINs - Proposal'!V878)," ",'ALL Other SINs - Proposal'!V878)</f>
        <v xml:space="preserve"> </v>
      </c>
      <c r="I878" s="271" t="str">
        <f>IF(ISBLANK('ALL Other SINs - Proposal'!W878)," ",'ALL Other SINs - Proposal'!W878)</f>
        <v xml:space="preserve"> </v>
      </c>
      <c r="J878" s="71" t="str">
        <f>IF(ISBLANK('ALL Other SINs - Proposal'!X878)," ",'ALL Other SINs - Proposal'!X878)</f>
        <v xml:space="preserve"> </v>
      </c>
      <c r="K878" s="165" t="str">
        <f>IF(ISBLANK('ALL Other SINs - Proposal'!AA878)," ",'ALL Other SINs - Proposal'!AA878)</f>
        <v xml:space="preserve"> </v>
      </c>
      <c r="L878" s="178" t="str">
        <f>IF(ISBLANK('ALL Other SINs - Proposal'!AB878)," ",'ALL Other SINs - Proposal'!AB878)</f>
        <v xml:space="preserve"> </v>
      </c>
      <c r="M878" s="72" t="str">
        <f t="shared" si="26"/>
        <v xml:space="preserve"> </v>
      </c>
      <c r="N878" s="167" t="str">
        <f t="shared" si="27"/>
        <v xml:space="preserve"> </v>
      </c>
    </row>
    <row r="879" spans="1:14" ht="15" x14ac:dyDescent="0.25">
      <c r="A879" s="131" t="str">
        <f>IF(ISBLANK('ALL Other SINs - Proposal'!A879)," ",'ALL Other SINs - Proposal'!A879)</f>
        <v xml:space="preserve"> </v>
      </c>
      <c r="B879" s="137" t="str">
        <f>IF(ISBLANK('ALL Other SINs - Proposal'!B879)," ",'ALL Other SINs - Proposal'!B879)</f>
        <v xml:space="preserve"> </v>
      </c>
      <c r="C879" s="137" t="str">
        <f>IF(ISBLANK('ALL Other SINs - Proposal'!C879)," ",'ALL Other SINs - Proposal'!C879)</f>
        <v xml:space="preserve"> </v>
      </c>
      <c r="D879" s="138" t="str">
        <f>IF(ISBLANK('ALL Other SINs - Proposal'!D879)," ",'ALL Other SINs - Proposal'!D879)</f>
        <v xml:space="preserve"> </v>
      </c>
      <c r="E879" s="69" t="str">
        <f>IF(ISBLANK('ALL Other SINs - Proposal'!R879)," ",'ALL Other SINs - Proposal'!R879)</f>
        <v xml:space="preserve"> </v>
      </c>
      <c r="F879" s="73" t="str">
        <f>IF(ISBLANK('ALL Other SINs - Proposal'!S879)," ",'ALL Other SINs - Proposal'!S879)</f>
        <v xml:space="preserve"> </v>
      </c>
      <c r="G879" s="173" t="str">
        <f>IF(ISBLANK('ALL Other SINs - Proposal'!T879)," ",'ALL Other SINs - Proposal'!T879)</f>
        <v xml:space="preserve"> </v>
      </c>
      <c r="H879" s="275" t="str">
        <f>IF(ISBLANK('ALL Other SINs - Proposal'!V879)," ",'ALL Other SINs - Proposal'!V879)</f>
        <v xml:space="preserve"> </v>
      </c>
      <c r="I879" s="271" t="str">
        <f>IF(ISBLANK('ALL Other SINs - Proposal'!W879)," ",'ALL Other SINs - Proposal'!W879)</f>
        <v xml:space="preserve"> </v>
      </c>
      <c r="J879" s="71" t="str">
        <f>IF(ISBLANK('ALL Other SINs - Proposal'!X879)," ",'ALL Other SINs - Proposal'!X879)</f>
        <v xml:space="preserve"> </v>
      </c>
      <c r="K879" s="165" t="str">
        <f>IF(ISBLANK('ALL Other SINs - Proposal'!AA879)," ",'ALL Other SINs - Proposal'!AA879)</f>
        <v xml:space="preserve"> </v>
      </c>
      <c r="L879" s="178" t="str">
        <f>IF(ISBLANK('ALL Other SINs - Proposal'!AB879)," ",'ALL Other SINs - Proposal'!AB879)</f>
        <v xml:space="preserve"> </v>
      </c>
      <c r="M879" s="72" t="str">
        <f t="shared" si="26"/>
        <v xml:space="preserve"> </v>
      </c>
      <c r="N879" s="167" t="str">
        <f t="shared" si="27"/>
        <v xml:space="preserve"> </v>
      </c>
    </row>
    <row r="880" spans="1:14" ht="15" x14ac:dyDescent="0.25">
      <c r="A880" s="131" t="str">
        <f>IF(ISBLANK('ALL Other SINs - Proposal'!A880)," ",'ALL Other SINs - Proposal'!A880)</f>
        <v xml:space="preserve"> </v>
      </c>
      <c r="B880" s="137" t="str">
        <f>IF(ISBLANK('ALL Other SINs - Proposal'!B880)," ",'ALL Other SINs - Proposal'!B880)</f>
        <v xml:space="preserve"> </v>
      </c>
      <c r="C880" s="137" t="str">
        <f>IF(ISBLANK('ALL Other SINs - Proposal'!C880)," ",'ALL Other SINs - Proposal'!C880)</f>
        <v xml:space="preserve"> </v>
      </c>
      <c r="D880" s="138" t="str">
        <f>IF(ISBLANK('ALL Other SINs - Proposal'!D880)," ",'ALL Other SINs - Proposal'!D880)</f>
        <v xml:space="preserve"> </v>
      </c>
      <c r="E880" s="69" t="str">
        <f>IF(ISBLANK('ALL Other SINs - Proposal'!R880)," ",'ALL Other SINs - Proposal'!R880)</f>
        <v xml:space="preserve"> </v>
      </c>
      <c r="F880" s="73" t="str">
        <f>IF(ISBLANK('ALL Other SINs - Proposal'!S880)," ",'ALL Other SINs - Proposal'!S880)</f>
        <v xml:space="preserve"> </v>
      </c>
      <c r="G880" s="173" t="str">
        <f>IF(ISBLANK('ALL Other SINs - Proposal'!T880)," ",'ALL Other SINs - Proposal'!T880)</f>
        <v xml:space="preserve"> </v>
      </c>
      <c r="H880" s="275" t="str">
        <f>IF(ISBLANK('ALL Other SINs - Proposal'!V880)," ",'ALL Other SINs - Proposal'!V880)</f>
        <v xml:space="preserve"> </v>
      </c>
      <c r="I880" s="271" t="str">
        <f>IF(ISBLANK('ALL Other SINs - Proposal'!W880)," ",'ALL Other SINs - Proposal'!W880)</f>
        <v xml:space="preserve"> </v>
      </c>
      <c r="J880" s="71" t="str">
        <f>IF(ISBLANK('ALL Other SINs - Proposal'!X880)," ",'ALL Other SINs - Proposal'!X880)</f>
        <v xml:space="preserve"> </v>
      </c>
      <c r="K880" s="165" t="str">
        <f>IF(ISBLANK('ALL Other SINs - Proposal'!AA880)," ",'ALL Other SINs - Proposal'!AA880)</f>
        <v xml:space="preserve"> </v>
      </c>
      <c r="L880" s="178" t="str">
        <f>IF(ISBLANK('ALL Other SINs - Proposal'!AB880)," ",'ALL Other SINs - Proposal'!AB880)</f>
        <v xml:space="preserve"> </v>
      </c>
      <c r="M880" s="72" t="str">
        <f t="shared" si="26"/>
        <v xml:space="preserve"> </v>
      </c>
      <c r="N880" s="167" t="str">
        <f t="shared" si="27"/>
        <v xml:space="preserve"> </v>
      </c>
    </row>
    <row r="881" spans="1:14" ht="15" x14ac:dyDescent="0.25">
      <c r="A881" s="131" t="str">
        <f>IF(ISBLANK('ALL Other SINs - Proposal'!A881)," ",'ALL Other SINs - Proposal'!A881)</f>
        <v xml:space="preserve"> </v>
      </c>
      <c r="B881" s="137" t="str">
        <f>IF(ISBLANK('ALL Other SINs - Proposal'!B881)," ",'ALL Other SINs - Proposal'!B881)</f>
        <v xml:space="preserve"> </v>
      </c>
      <c r="C881" s="137" t="str">
        <f>IF(ISBLANK('ALL Other SINs - Proposal'!C881)," ",'ALL Other SINs - Proposal'!C881)</f>
        <v xml:space="preserve"> </v>
      </c>
      <c r="D881" s="138" t="str">
        <f>IF(ISBLANK('ALL Other SINs - Proposal'!D881)," ",'ALL Other SINs - Proposal'!D881)</f>
        <v xml:space="preserve"> </v>
      </c>
      <c r="E881" s="69" t="str">
        <f>IF(ISBLANK('ALL Other SINs - Proposal'!R881)," ",'ALL Other SINs - Proposal'!R881)</f>
        <v xml:space="preserve"> </v>
      </c>
      <c r="F881" s="73" t="str">
        <f>IF(ISBLANK('ALL Other SINs - Proposal'!S881)," ",'ALL Other SINs - Proposal'!S881)</f>
        <v xml:space="preserve"> </v>
      </c>
      <c r="G881" s="173" t="str">
        <f>IF(ISBLANK('ALL Other SINs - Proposal'!T881)," ",'ALL Other SINs - Proposal'!T881)</f>
        <v xml:space="preserve"> </v>
      </c>
      <c r="H881" s="275" t="str">
        <f>IF(ISBLANK('ALL Other SINs - Proposal'!V881)," ",'ALL Other SINs - Proposal'!V881)</f>
        <v xml:space="preserve"> </v>
      </c>
      <c r="I881" s="271" t="str">
        <f>IF(ISBLANK('ALL Other SINs - Proposal'!W881)," ",'ALL Other SINs - Proposal'!W881)</f>
        <v xml:space="preserve"> </v>
      </c>
      <c r="J881" s="71" t="str">
        <f>IF(ISBLANK('ALL Other SINs - Proposal'!X881)," ",'ALL Other SINs - Proposal'!X881)</f>
        <v xml:space="preserve"> </v>
      </c>
      <c r="K881" s="165" t="str">
        <f>IF(ISBLANK('ALL Other SINs - Proposal'!AA881)," ",'ALL Other SINs - Proposal'!AA881)</f>
        <v xml:space="preserve"> </v>
      </c>
      <c r="L881" s="178" t="str">
        <f>IF(ISBLANK('ALL Other SINs - Proposal'!AB881)," ",'ALL Other SINs - Proposal'!AB881)</f>
        <v xml:space="preserve"> </v>
      </c>
      <c r="M881" s="72" t="str">
        <f t="shared" si="26"/>
        <v xml:space="preserve"> </v>
      </c>
      <c r="N881" s="167" t="str">
        <f t="shared" si="27"/>
        <v xml:space="preserve"> </v>
      </c>
    </row>
    <row r="882" spans="1:14" ht="15" x14ac:dyDescent="0.25">
      <c r="A882" s="131" t="str">
        <f>IF(ISBLANK('ALL Other SINs - Proposal'!A882)," ",'ALL Other SINs - Proposal'!A882)</f>
        <v xml:space="preserve"> </v>
      </c>
      <c r="B882" s="137" t="str">
        <f>IF(ISBLANK('ALL Other SINs - Proposal'!B882)," ",'ALL Other SINs - Proposal'!B882)</f>
        <v xml:space="preserve"> </v>
      </c>
      <c r="C882" s="137" t="str">
        <f>IF(ISBLANK('ALL Other SINs - Proposal'!C882)," ",'ALL Other SINs - Proposal'!C882)</f>
        <v xml:space="preserve"> </v>
      </c>
      <c r="D882" s="138" t="str">
        <f>IF(ISBLANK('ALL Other SINs - Proposal'!D882)," ",'ALL Other SINs - Proposal'!D882)</f>
        <v xml:space="preserve"> </v>
      </c>
      <c r="E882" s="69" t="str">
        <f>IF(ISBLANK('ALL Other SINs - Proposal'!R882)," ",'ALL Other SINs - Proposal'!R882)</f>
        <v xml:space="preserve"> </v>
      </c>
      <c r="F882" s="73" t="str">
        <f>IF(ISBLANK('ALL Other SINs - Proposal'!S882)," ",'ALL Other SINs - Proposal'!S882)</f>
        <v xml:space="preserve"> </v>
      </c>
      <c r="G882" s="173" t="str">
        <f>IF(ISBLANK('ALL Other SINs - Proposal'!T882)," ",'ALL Other SINs - Proposal'!T882)</f>
        <v xml:space="preserve"> </v>
      </c>
      <c r="H882" s="275" t="str">
        <f>IF(ISBLANK('ALL Other SINs - Proposal'!V882)," ",'ALL Other SINs - Proposal'!V882)</f>
        <v xml:space="preserve"> </v>
      </c>
      <c r="I882" s="271" t="str">
        <f>IF(ISBLANK('ALL Other SINs - Proposal'!W882)," ",'ALL Other SINs - Proposal'!W882)</f>
        <v xml:space="preserve"> </v>
      </c>
      <c r="J882" s="71" t="str">
        <f>IF(ISBLANK('ALL Other SINs - Proposal'!X882)," ",'ALL Other SINs - Proposal'!X882)</f>
        <v xml:space="preserve"> </v>
      </c>
      <c r="K882" s="165" t="str">
        <f>IF(ISBLANK('ALL Other SINs - Proposal'!AA882)," ",'ALL Other SINs - Proposal'!AA882)</f>
        <v xml:space="preserve"> </v>
      </c>
      <c r="L882" s="178" t="str">
        <f>IF(ISBLANK('ALL Other SINs - Proposal'!AB882)," ",'ALL Other SINs - Proposal'!AB882)</f>
        <v xml:space="preserve"> </v>
      </c>
      <c r="M882" s="72" t="str">
        <f t="shared" si="26"/>
        <v xml:space="preserve"> </v>
      </c>
      <c r="N882" s="167" t="str">
        <f t="shared" si="27"/>
        <v xml:space="preserve"> </v>
      </c>
    </row>
    <row r="883" spans="1:14" ht="15" x14ac:dyDescent="0.25">
      <c r="A883" s="131" t="str">
        <f>IF(ISBLANK('ALL Other SINs - Proposal'!A883)," ",'ALL Other SINs - Proposal'!A883)</f>
        <v xml:space="preserve"> </v>
      </c>
      <c r="B883" s="137" t="str">
        <f>IF(ISBLANK('ALL Other SINs - Proposal'!B883)," ",'ALL Other SINs - Proposal'!B883)</f>
        <v xml:space="preserve"> </v>
      </c>
      <c r="C883" s="137" t="str">
        <f>IF(ISBLANK('ALL Other SINs - Proposal'!C883)," ",'ALL Other SINs - Proposal'!C883)</f>
        <v xml:space="preserve"> </v>
      </c>
      <c r="D883" s="138" t="str">
        <f>IF(ISBLANK('ALL Other SINs - Proposal'!D883)," ",'ALL Other SINs - Proposal'!D883)</f>
        <v xml:space="preserve"> </v>
      </c>
      <c r="E883" s="69" t="str">
        <f>IF(ISBLANK('ALL Other SINs - Proposal'!R883)," ",'ALL Other SINs - Proposal'!R883)</f>
        <v xml:space="preserve"> </v>
      </c>
      <c r="F883" s="73" t="str">
        <f>IF(ISBLANK('ALL Other SINs - Proposal'!S883)," ",'ALL Other SINs - Proposal'!S883)</f>
        <v xml:space="preserve"> </v>
      </c>
      <c r="G883" s="173" t="str">
        <f>IF(ISBLANK('ALL Other SINs - Proposal'!T883)," ",'ALL Other SINs - Proposal'!T883)</f>
        <v xml:space="preserve"> </v>
      </c>
      <c r="H883" s="275" t="str">
        <f>IF(ISBLANK('ALL Other SINs - Proposal'!V883)," ",'ALL Other SINs - Proposal'!V883)</f>
        <v xml:space="preserve"> </v>
      </c>
      <c r="I883" s="271" t="str">
        <f>IF(ISBLANK('ALL Other SINs - Proposal'!W883)," ",'ALL Other SINs - Proposal'!W883)</f>
        <v xml:space="preserve"> </v>
      </c>
      <c r="J883" s="71" t="str">
        <f>IF(ISBLANK('ALL Other SINs - Proposal'!X883)," ",'ALL Other SINs - Proposal'!X883)</f>
        <v xml:space="preserve"> </v>
      </c>
      <c r="K883" s="165" t="str">
        <f>IF(ISBLANK('ALL Other SINs - Proposal'!AA883)," ",'ALL Other SINs - Proposal'!AA883)</f>
        <v xml:space="preserve"> </v>
      </c>
      <c r="L883" s="178" t="str">
        <f>IF(ISBLANK('ALL Other SINs - Proposal'!AB883)," ",'ALL Other SINs - Proposal'!AB883)</f>
        <v xml:space="preserve"> </v>
      </c>
      <c r="M883" s="72" t="str">
        <f t="shared" si="26"/>
        <v xml:space="preserve"> </v>
      </c>
      <c r="N883" s="167" t="str">
        <f t="shared" si="27"/>
        <v xml:space="preserve"> </v>
      </c>
    </row>
    <row r="884" spans="1:14" ht="15" x14ac:dyDescent="0.25">
      <c r="A884" s="131" t="str">
        <f>IF(ISBLANK('ALL Other SINs - Proposal'!A884)," ",'ALL Other SINs - Proposal'!A884)</f>
        <v xml:space="preserve"> </v>
      </c>
      <c r="B884" s="137" t="str">
        <f>IF(ISBLANK('ALL Other SINs - Proposal'!B884)," ",'ALL Other SINs - Proposal'!B884)</f>
        <v xml:space="preserve"> </v>
      </c>
      <c r="C884" s="137" t="str">
        <f>IF(ISBLANK('ALL Other SINs - Proposal'!C884)," ",'ALL Other SINs - Proposal'!C884)</f>
        <v xml:space="preserve"> </v>
      </c>
      <c r="D884" s="138" t="str">
        <f>IF(ISBLANK('ALL Other SINs - Proposal'!D884)," ",'ALL Other SINs - Proposal'!D884)</f>
        <v xml:space="preserve"> </v>
      </c>
      <c r="E884" s="69" t="str">
        <f>IF(ISBLANK('ALL Other SINs - Proposal'!R884)," ",'ALL Other SINs - Proposal'!R884)</f>
        <v xml:space="preserve"> </v>
      </c>
      <c r="F884" s="73" t="str">
        <f>IF(ISBLANK('ALL Other SINs - Proposal'!S884)," ",'ALL Other SINs - Proposal'!S884)</f>
        <v xml:space="preserve"> </v>
      </c>
      <c r="G884" s="173" t="str">
        <f>IF(ISBLANK('ALL Other SINs - Proposal'!T884)," ",'ALL Other SINs - Proposal'!T884)</f>
        <v xml:space="preserve"> </v>
      </c>
      <c r="H884" s="275" t="str">
        <f>IF(ISBLANK('ALL Other SINs - Proposal'!V884)," ",'ALL Other SINs - Proposal'!V884)</f>
        <v xml:space="preserve"> </v>
      </c>
      <c r="I884" s="271" t="str">
        <f>IF(ISBLANK('ALL Other SINs - Proposal'!W884)," ",'ALL Other SINs - Proposal'!W884)</f>
        <v xml:space="preserve"> </v>
      </c>
      <c r="J884" s="71" t="str">
        <f>IF(ISBLANK('ALL Other SINs - Proposal'!X884)," ",'ALL Other SINs - Proposal'!X884)</f>
        <v xml:space="preserve"> </v>
      </c>
      <c r="K884" s="165" t="str">
        <f>IF(ISBLANK('ALL Other SINs - Proposal'!AA884)," ",'ALL Other SINs - Proposal'!AA884)</f>
        <v xml:space="preserve"> </v>
      </c>
      <c r="L884" s="178" t="str">
        <f>IF(ISBLANK('ALL Other SINs - Proposal'!AB884)," ",'ALL Other SINs - Proposal'!AB884)</f>
        <v xml:space="preserve"> </v>
      </c>
      <c r="M884" s="72" t="str">
        <f t="shared" si="26"/>
        <v xml:space="preserve"> </v>
      </c>
      <c r="N884" s="167" t="str">
        <f t="shared" si="27"/>
        <v xml:space="preserve"> </v>
      </c>
    </row>
    <row r="885" spans="1:14" ht="15" x14ac:dyDescent="0.25">
      <c r="A885" s="131" t="str">
        <f>IF(ISBLANK('ALL Other SINs - Proposal'!A885)," ",'ALL Other SINs - Proposal'!A885)</f>
        <v xml:space="preserve"> </v>
      </c>
      <c r="B885" s="137" t="str">
        <f>IF(ISBLANK('ALL Other SINs - Proposal'!B885)," ",'ALL Other SINs - Proposal'!B885)</f>
        <v xml:space="preserve"> </v>
      </c>
      <c r="C885" s="137" t="str">
        <f>IF(ISBLANK('ALL Other SINs - Proposal'!C885)," ",'ALL Other SINs - Proposal'!C885)</f>
        <v xml:space="preserve"> </v>
      </c>
      <c r="D885" s="138" t="str">
        <f>IF(ISBLANK('ALL Other SINs - Proposal'!D885)," ",'ALL Other SINs - Proposal'!D885)</f>
        <v xml:space="preserve"> </v>
      </c>
      <c r="E885" s="69" t="str">
        <f>IF(ISBLANK('ALL Other SINs - Proposal'!R885)," ",'ALL Other SINs - Proposal'!R885)</f>
        <v xml:space="preserve"> </v>
      </c>
      <c r="F885" s="73" t="str">
        <f>IF(ISBLANK('ALL Other SINs - Proposal'!S885)," ",'ALL Other SINs - Proposal'!S885)</f>
        <v xml:space="preserve"> </v>
      </c>
      <c r="G885" s="173" t="str">
        <f>IF(ISBLANK('ALL Other SINs - Proposal'!T885)," ",'ALL Other SINs - Proposal'!T885)</f>
        <v xml:space="preserve"> </v>
      </c>
      <c r="H885" s="275" t="str">
        <f>IF(ISBLANK('ALL Other SINs - Proposal'!V885)," ",'ALL Other SINs - Proposal'!V885)</f>
        <v xml:space="preserve"> </v>
      </c>
      <c r="I885" s="271" t="str">
        <f>IF(ISBLANK('ALL Other SINs - Proposal'!W885)," ",'ALL Other SINs - Proposal'!W885)</f>
        <v xml:space="preserve"> </v>
      </c>
      <c r="J885" s="71" t="str">
        <f>IF(ISBLANK('ALL Other SINs - Proposal'!X885)," ",'ALL Other SINs - Proposal'!X885)</f>
        <v xml:space="preserve"> </v>
      </c>
      <c r="K885" s="165" t="str">
        <f>IF(ISBLANK('ALL Other SINs - Proposal'!AA885)," ",'ALL Other SINs - Proposal'!AA885)</f>
        <v xml:space="preserve"> </v>
      </c>
      <c r="L885" s="178" t="str">
        <f>IF(ISBLANK('ALL Other SINs - Proposal'!AB885)," ",'ALL Other SINs - Proposal'!AB885)</f>
        <v xml:space="preserve"> </v>
      </c>
      <c r="M885" s="72" t="str">
        <f t="shared" si="26"/>
        <v xml:space="preserve"> </v>
      </c>
      <c r="N885" s="167" t="str">
        <f t="shared" si="27"/>
        <v xml:space="preserve"> </v>
      </c>
    </row>
    <row r="886" spans="1:14" ht="15" x14ac:dyDescent="0.25">
      <c r="A886" s="131" t="str">
        <f>IF(ISBLANK('ALL Other SINs - Proposal'!A886)," ",'ALL Other SINs - Proposal'!A886)</f>
        <v xml:space="preserve"> </v>
      </c>
      <c r="B886" s="137" t="str">
        <f>IF(ISBLANK('ALL Other SINs - Proposal'!B886)," ",'ALL Other SINs - Proposal'!B886)</f>
        <v xml:space="preserve"> </v>
      </c>
      <c r="C886" s="137" t="str">
        <f>IF(ISBLANK('ALL Other SINs - Proposal'!C886)," ",'ALL Other SINs - Proposal'!C886)</f>
        <v xml:space="preserve"> </v>
      </c>
      <c r="D886" s="138" t="str">
        <f>IF(ISBLANK('ALL Other SINs - Proposal'!D886)," ",'ALL Other SINs - Proposal'!D886)</f>
        <v xml:space="preserve"> </v>
      </c>
      <c r="E886" s="69" t="str">
        <f>IF(ISBLANK('ALL Other SINs - Proposal'!R886)," ",'ALL Other SINs - Proposal'!R886)</f>
        <v xml:space="preserve"> </v>
      </c>
      <c r="F886" s="73" t="str">
        <f>IF(ISBLANK('ALL Other SINs - Proposal'!S886)," ",'ALL Other SINs - Proposal'!S886)</f>
        <v xml:space="preserve"> </v>
      </c>
      <c r="G886" s="173" t="str">
        <f>IF(ISBLANK('ALL Other SINs - Proposal'!T886)," ",'ALL Other SINs - Proposal'!T886)</f>
        <v xml:space="preserve"> </v>
      </c>
      <c r="H886" s="275" t="str">
        <f>IF(ISBLANK('ALL Other SINs - Proposal'!V886)," ",'ALL Other SINs - Proposal'!V886)</f>
        <v xml:space="preserve"> </v>
      </c>
      <c r="I886" s="271" t="str">
        <f>IF(ISBLANK('ALL Other SINs - Proposal'!W886)," ",'ALL Other SINs - Proposal'!W886)</f>
        <v xml:space="preserve"> </v>
      </c>
      <c r="J886" s="71" t="str">
        <f>IF(ISBLANK('ALL Other SINs - Proposal'!X886)," ",'ALL Other SINs - Proposal'!X886)</f>
        <v xml:space="preserve"> </v>
      </c>
      <c r="K886" s="165" t="str">
        <f>IF(ISBLANK('ALL Other SINs - Proposal'!AA886)," ",'ALL Other SINs - Proposal'!AA886)</f>
        <v xml:space="preserve"> </v>
      </c>
      <c r="L886" s="178" t="str">
        <f>IF(ISBLANK('ALL Other SINs - Proposal'!AB886)," ",'ALL Other SINs - Proposal'!AB886)</f>
        <v xml:space="preserve"> </v>
      </c>
      <c r="M886" s="72" t="str">
        <f t="shared" si="26"/>
        <v xml:space="preserve"> </v>
      </c>
      <c r="N886" s="167" t="str">
        <f t="shared" si="27"/>
        <v xml:space="preserve"> </v>
      </c>
    </row>
    <row r="887" spans="1:14" ht="15" x14ac:dyDescent="0.25">
      <c r="A887" s="131" t="str">
        <f>IF(ISBLANK('ALL Other SINs - Proposal'!A887)," ",'ALL Other SINs - Proposal'!A887)</f>
        <v xml:space="preserve"> </v>
      </c>
      <c r="B887" s="137" t="str">
        <f>IF(ISBLANK('ALL Other SINs - Proposal'!B887)," ",'ALL Other SINs - Proposal'!B887)</f>
        <v xml:space="preserve"> </v>
      </c>
      <c r="C887" s="137" t="str">
        <f>IF(ISBLANK('ALL Other SINs - Proposal'!C887)," ",'ALL Other SINs - Proposal'!C887)</f>
        <v xml:space="preserve"> </v>
      </c>
      <c r="D887" s="138" t="str">
        <f>IF(ISBLANK('ALL Other SINs - Proposal'!D887)," ",'ALL Other SINs - Proposal'!D887)</f>
        <v xml:space="preserve"> </v>
      </c>
      <c r="E887" s="69" t="str">
        <f>IF(ISBLANK('ALL Other SINs - Proposal'!R887)," ",'ALL Other SINs - Proposal'!R887)</f>
        <v xml:space="preserve"> </v>
      </c>
      <c r="F887" s="73" t="str">
        <f>IF(ISBLANK('ALL Other SINs - Proposal'!S887)," ",'ALL Other SINs - Proposal'!S887)</f>
        <v xml:space="preserve"> </v>
      </c>
      <c r="G887" s="173" t="str">
        <f>IF(ISBLANK('ALL Other SINs - Proposal'!T887)," ",'ALL Other SINs - Proposal'!T887)</f>
        <v xml:space="preserve"> </v>
      </c>
      <c r="H887" s="275" t="str">
        <f>IF(ISBLANK('ALL Other SINs - Proposal'!V887)," ",'ALL Other SINs - Proposal'!V887)</f>
        <v xml:space="preserve"> </v>
      </c>
      <c r="I887" s="271" t="str">
        <f>IF(ISBLANK('ALL Other SINs - Proposal'!W887)," ",'ALL Other SINs - Proposal'!W887)</f>
        <v xml:space="preserve"> </v>
      </c>
      <c r="J887" s="71" t="str">
        <f>IF(ISBLANK('ALL Other SINs - Proposal'!X887)," ",'ALL Other SINs - Proposal'!X887)</f>
        <v xml:space="preserve"> </v>
      </c>
      <c r="K887" s="165" t="str">
        <f>IF(ISBLANK('ALL Other SINs - Proposal'!AA887)," ",'ALL Other SINs - Proposal'!AA887)</f>
        <v xml:space="preserve"> </v>
      </c>
      <c r="L887" s="178" t="str">
        <f>IF(ISBLANK('ALL Other SINs - Proposal'!AB887)," ",'ALL Other SINs - Proposal'!AB887)</f>
        <v xml:space="preserve"> </v>
      </c>
      <c r="M887" s="72" t="str">
        <f t="shared" si="26"/>
        <v xml:space="preserve"> </v>
      </c>
      <c r="N887" s="167" t="str">
        <f t="shared" si="27"/>
        <v xml:space="preserve"> </v>
      </c>
    </row>
    <row r="888" spans="1:14" ht="15" x14ac:dyDescent="0.25">
      <c r="A888" s="131" t="str">
        <f>IF(ISBLANK('ALL Other SINs - Proposal'!A888)," ",'ALL Other SINs - Proposal'!A888)</f>
        <v xml:space="preserve"> </v>
      </c>
      <c r="B888" s="137" t="str">
        <f>IF(ISBLANK('ALL Other SINs - Proposal'!B888)," ",'ALL Other SINs - Proposal'!B888)</f>
        <v xml:space="preserve"> </v>
      </c>
      <c r="C888" s="137" t="str">
        <f>IF(ISBLANK('ALL Other SINs - Proposal'!C888)," ",'ALL Other SINs - Proposal'!C888)</f>
        <v xml:space="preserve"> </v>
      </c>
      <c r="D888" s="138" t="str">
        <f>IF(ISBLANK('ALL Other SINs - Proposal'!D888)," ",'ALL Other SINs - Proposal'!D888)</f>
        <v xml:space="preserve"> </v>
      </c>
      <c r="E888" s="69" t="str">
        <f>IF(ISBLANK('ALL Other SINs - Proposal'!R888)," ",'ALL Other SINs - Proposal'!R888)</f>
        <v xml:space="preserve"> </v>
      </c>
      <c r="F888" s="73" t="str">
        <f>IF(ISBLANK('ALL Other SINs - Proposal'!S888)," ",'ALL Other SINs - Proposal'!S888)</f>
        <v xml:space="preserve"> </v>
      </c>
      <c r="G888" s="173" t="str">
        <f>IF(ISBLANK('ALL Other SINs - Proposal'!T888)," ",'ALL Other SINs - Proposal'!T888)</f>
        <v xml:space="preserve"> </v>
      </c>
      <c r="H888" s="275" t="str">
        <f>IF(ISBLANK('ALL Other SINs - Proposal'!V888)," ",'ALL Other SINs - Proposal'!V888)</f>
        <v xml:space="preserve"> </v>
      </c>
      <c r="I888" s="271" t="str">
        <f>IF(ISBLANK('ALL Other SINs - Proposal'!W888)," ",'ALL Other SINs - Proposal'!W888)</f>
        <v xml:space="preserve"> </v>
      </c>
      <c r="J888" s="71" t="str">
        <f>IF(ISBLANK('ALL Other SINs - Proposal'!X888)," ",'ALL Other SINs - Proposal'!X888)</f>
        <v xml:space="preserve"> </v>
      </c>
      <c r="K888" s="165" t="str">
        <f>IF(ISBLANK('ALL Other SINs - Proposal'!AA888)," ",'ALL Other SINs - Proposal'!AA888)</f>
        <v xml:space="preserve"> </v>
      </c>
      <c r="L888" s="178" t="str">
        <f>IF(ISBLANK('ALL Other SINs - Proposal'!AB888)," ",'ALL Other SINs - Proposal'!AB888)</f>
        <v xml:space="preserve"> </v>
      </c>
      <c r="M888" s="72" t="str">
        <f t="shared" si="26"/>
        <v xml:space="preserve"> </v>
      </c>
      <c r="N888" s="167" t="str">
        <f t="shared" si="27"/>
        <v xml:space="preserve"> </v>
      </c>
    </row>
    <row r="889" spans="1:14" ht="15" x14ac:dyDescent="0.25">
      <c r="A889" s="131" t="str">
        <f>IF(ISBLANK('ALL Other SINs - Proposal'!A889)," ",'ALL Other SINs - Proposal'!A889)</f>
        <v xml:space="preserve"> </v>
      </c>
      <c r="B889" s="137" t="str">
        <f>IF(ISBLANK('ALL Other SINs - Proposal'!B889)," ",'ALL Other SINs - Proposal'!B889)</f>
        <v xml:space="preserve"> </v>
      </c>
      <c r="C889" s="137" t="str">
        <f>IF(ISBLANK('ALL Other SINs - Proposal'!C889)," ",'ALL Other SINs - Proposal'!C889)</f>
        <v xml:space="preserve"> </v>
      </c>
      <c r="D889" s="138" t="str">
        <f>IF(ISBLANK('ALL Other SINs - Proposal'!D889)," ",'ALL Other SINs - Proposal'!D889)</f>
        <v xml:space="preserve"> </v>
      </c>
      <c r="E889" s="69" t="str">
        <f>IF(ISBLANK('ALL Other SINs - Proposal'!R889)," ",'ALL Other SINs - Proposal'!R889)</f>
        <v xml:space="preserve"> </v>
      </c>
      <c r="F889" s="73" t="str">
        <f>IF(ISBLANK('ALL Other SINs - Proposal'!S889)," ",'ALL Other SINs - Proposal'!S889)</f>
        <v xml:space="preserve"> </v>
      </c>
      <c r="G889" s="173" t="str">
        <f>IF(ISBLANK('ALL Other SINs - Proposal'!T889)," ",'ALL Other SINs - Proposal'!T889)</f>
        <v xml:space="preserve"> </v>
      </c>
      <c r="H889" s="275" t="str">
        <f>IF(ISBLANK('ALL Other SINs - Proposal'!V889)," ",'ALL Other SINs - Proposal'!V889)</f>
        <v xml:space="preserve"> </v>
      </c>
      <c r="I889" s="271" t="str">
        <f>IF(ISBLANK('ALL Other SINs - Proposal'!W889)," ",'ALL Other SINs - Proposal'!W889)</f>
        <v xml:space="preserve"> </v>
      </c>
      <c r="J889" s="71" t="str">
        <f>IF(ISBLANK('ALL Other SINs - Proposal'!X889)," ",'ALL Other SINs - Proposal'!X889)</f>
        <v xml:space="preserve"> </v>
      </c>
      <c r="K889" s="165" t="str">
        <f>IF(ISBLANK('ALL Other SINs - Proposal'!AA889)," ",'ALL Other SINs - Proposal'!AA889)</f>
        <v xml:space="preserve"> </v>
      </c>
      <c r="L889" s="178" t="str">
        <f>IF(ISBLANK('ALL Other SINs - Proposal'!AB889)," ",'ALL Other SINs - Proposal'!AB889)</f>
        <v xml:space="preserve"> </v>
      </c>
      <c r="M889" s="72" t="str">
        <f t="shared" si="26"/>
        <v xml:space="preserve"> </v>
      </c>
      <c r="N889" s="167" t="str">
        <f t="shared" si="27"/>
        <v xml:space="preserve"> </v>
      </c>
    </row>
    <row r="890" spans="1:14" ht="15" x14ac:dyDescent="0.25">
      <c r="A890" s="131" t="str">
        <f>IF(ISBLANK('ALL Other SINs - Proposal'!A890)," ",'ALL Other SINs - Proposal'!A890)</f>
        <v xml:space="preserve"> </v>
      </c>
      <c r="B890" s="137" t="str">
        <f>IF(ISBLANK('ALL Other SINs - Proposal'!B890)," ",'ALL Other SINs - Proposal'!B890)</f>
        <v xml:space="preserve"> </v>
      </c>
      <c r="C890" s="137" t="str">
        <f>IF(ISBLANK('ALL Other SINs - Proposal'!C890)," ",'ALL Other SINs - Proposal'!C890)</f>
        <v xml:space="preserve"> </v>
      </c>
      <c r="D890" s="138" t="str">
        <f>IF(ISBLANK('ALL Other SINs - Proposal'!D890)," ",'ALL Other SINs - Proposal'!D890)</f>
        <v xml:space="preserve"> </v>
      </c>
      <c r="E890" s="69" t="str">
        <f>IF(ISBLANK('ALL Other SINs - Proposal'!R890)," ",'ALL Other SINs - Proposal'!R890)</f>
        <v xml:space="preserve"> </v>
      </c>
      <c r="F890" s="73" t="str">
        <f>IF(ISBLANK('ALL Other SINs - Proposal'!S890)," ",'ALL Other SINs - Proposal'!S890)</f>
        <v xml:space="preserve"> </v>
      </c>
      <c r="G890" s="173" t="str">
        <f>IF(ISBLANK('ALL Other SINs - Proposal'!T890)," ",'ALL Other SINs - Proposal'!T890)</f>
        <v xml:space="preserve"> </v>
      </c>
      <c r="H890" s="275" t="str">
        <f>IF(ISBLANK('ALL Other SINs - Proposal'!V890)," ",'ALL Other SINs - Proposal'!V890)</f>
        <v xml:space="preserve"> </v>
      </c>
      <c r="I890" s="271" t="str">
        <f>IF(ISBLANK('ALL Other SINs - Proposal'!W890)," ",'ALL Other SINs - Proposal'!W890)</f>
        <v xml:space="preserve"> </v>
      </c>
      <c r="J890" s="71" t="str">
        <f>IF(ISBLANK('ALL Other SINs - Proposal'!X890)," ",'ALL Other SINs - Proposal'!X890)</f>
        <v xml:space="preserve"> </v>
      </c>
      <c r="K890" s="165" t="str">
        <f>IF(ISBLANK('ALL Other SINs - Proposal'!AA890)," ",'ALL Other SINs - Proposal'!AA890)</f>
        <v xml:space="preserve"> </v>
      </c>
      <c r="L890" s="178" t="str">
        <f>IF(ISBLANK('ALL Other SINs - Proposal'!AB890)," ",'ALL Other SINs - Proposal'!AB890)</f>
        <v xml:space="preserve"> </v>
      </c>
      <c r="M890" s="72" t="str">
        <f t="shared" si="26"/>
        <v xml:space="preserve"> </v>
      </c>
      <c r="N890" s="167" t="str">
        <f t="shared" si="27"/>
        <v xml:space="preserve"> </v>
      </c>
    </row>
    <row r="891" spans="1:14" ht="15" x14ac:dyDescent="0.25">
      <c r="A891" s="131" t="str">
        <f>IF(ISBLANK('ALL Other SINs - Proposal'!A891)," ",'ALL Other SINs - Proposal'!A891)</f>
        <v xml:space="preserve"> </v>
      </c>
      <c r="B891" s="137" t="str">
        <f>IF(ISBLANK('ALL Other SINs - Proposal'!B891)," ",'ALL Other SINs - Proposal'!B891)</f>
        <v xml:space="preserve"> </v>
      </c>
      <c r="C891" s="137" t="str">
        <f>IF(ISBLANK('ALL Other SINs - Proposal'!C891)," ",'ALL Other SINs - Proposal'!C891)</f>
        <v xml:space="preserve"> </v>
      </c>
      <c r="D891" s="138" t="str">
        <f>IF(ISBLANK('ALL Other SINs - Proposal'!D891)," ",'ALL Other SINs - Proposal'!D891)</f>
        <v xml:space="preserve"> </v>
      </c>
      <c r="E891" s="69" t="str">
        <f>IF(ISBLANK('ALL Other SINs - Proposal'!R891)," ",'ALL Other SINs - Proposal'!R891)</f>
        <v xml:space="preserve"> </v>
      </c>
      <c r="F891" s="73" t="str">
        <f>IF(ISBLANK('ALL Other SINs - Proposal'!S891)," ",'ALL Other SINs - Proposal'!S891)</f>
        <v xml:space="preserve"> </v>
      </c>
      <c r="G891" s="173" t="str">
        <f>IF(ISBLANK('ALL Other SINs - Proposal'!T891)," ",'ALL Other SINs - Proposal'!T891)</f>
        <v xml:space="preserve"> </v>
      </c>
      <c r="H891" s="275" t="str">
        <f>IF(ISBLANK('ALL Other SINs - Proposal'!V891)," ",'ALL Other SINs - Proposal'!V891)</f>
        <v xml:space="preserve"> </v>
      </c>
      <c r="I891" s="271" t="str">
        <f>IF(ISBLANK('ALL Other SINs - Proposal'!W891)," ",'ALL Other SINs - Proposal'!W891)</f>
        <v xml:space="preserve"> </v>
      </c>
      <c r="J891" s="71" t="str">
        <f>IF(ISBLANK('ALL Other SINs - Proposal'!X891)," ",'ALL Other SINs - Proposal'!X891)</f>
        <v xml:space="preserve"> </v>
      </c>
      <c r="K891" s="165" t="str">
        <f>IF(ISBLANK('ALL Other SINs - Proposal'!AA891)," ",'ALL Other SINs - Proposal'!AA891)</f>
        <v xml:space="preserve"> </v>
      </c>
      <c r="L891" s="178" t="str">
        <f>IF(ISBLANK('ALL Other SINs - Proposal'!AB891)," ",'ALL Other SINs - Proposal'!AB891)</f>
        <v xml:space="preserve"> </v>
      </c>
      <c r="M891" s="72" t="str">
        <f t="shared" si="26"/>
        <v xml:space="preserve"> </v>
      </c>
      <c r="N891" s="167" t="str">
        <f t="shared" si="27"/>
        <v xml:space="preserve"> </v>
      </c>
    </row>
    <row r="892" spans="1:14" ht="15" x14ac:dyDescent="0.25">
      <c r="A892" s="131" t="str">
        <f>IF(ISBLANK('ALL Other SINs - Proposal'!A892)," ",'ALL Other SINs - Proposal'!A892)</f>
        <v xml:space="preserve"> </v>
      </c>
      <c r="B892" s="137" t="str">
        <f>IF(ISBLANK('ALL Other SINs - Proposal'!B892)," ",'ALL Other SINs - Proposal'!B892)</f>
        <v xml:space="preserve"> </v>
      </c>
      <c r="C892" s="137" t="str">
        <f>IF(ISBLANK('ALL Other SINs - Proposal'!C892)," ",'ALL Other SINs - Proposal'!C892)</f>
        <v xml:space="preserve"> </v>
      </c>
      <c r="D892" s="138" t="str">
        <f>IF(ISBLANK('ALL Other SINs - Proposal'!D892)," ",'ALL Other SINs - Proposal'!D892)</f>
        <v xml:space="preserve"> </v>
      </c>
      <c r="E892" s="69" t="str">
        <f>IF(ISBLANK('ALL Other SINs - Proposal'!R892)," ",'ALL Other SINs - Proposal'!R892)</f>
        <v xml:space="preserve"> </v>
      </c>
      <c r="F892" s="73" t="str">
        <f>IF(ISBLANK('ALL Other SINs - Proposal'!S892)," ",'ALL Other SINs - Proposal'!S892)</f>
        <v xml:space="preserve"> </v>
      </c>
      <c r="G892" s="173" t="str">
        <f>IF(ISBLANK('ALL Other SINs - Proposal'!T892)," ",'ALL Other SINs - Proposal'!T892)</f>
        <v xml:space="preserve"> </v>
      </c>
      <c r="H892" s="275" t="str">
        <f>IF(ISBLANK('ALL Other SINs - Proposal'!V892)," ",'ALL Other SINs - Proposal'!V892)</f>
        <v xml:space="preserve"> </v>
      </c>
      <c r="I892" s="271" t="str">
        <f>IF(ISBLANK('ALL Other SINs - Proposal'!W892)," ",'ALL Other SINs - Proposal'!W892)</f>
        <v xml:space="preserve"> </v>
      </c>
      <c r="J892" s="71" t="str">
        <f>IF(ISBLANK('ALL Other SINs - Proposal'!X892)," ",'ALL Other SINs - Proposal'!X892)</f>
        <v xml:space="preserve"> </v>
      </c>
      <c r="K892" s="165" t="str">
        <f>IF(ISBLANK('ALL Other SINs - Proposal'!AA892)," ",'ALL Other SINs - Proposal'!AA892)</f>
        <v xml:space="preserve"> </v>
      </c>
      <c r="L892" s="178" t="str">
        <f>IF(ISBLANK('ALL Other SINs - Proposal'!AB892)," ",'ALL Other SINs - Proposal'!AB892)</f>
        <v xml:space="preserve"> </v>
      </c>
      <c r="M892" s="72" t="str">
        <f t="shared" si="26"/>
        <v xml:space="preserve"> </v>
      </c>
      <c r="N892" s="167" t="str">
        <f t="shared" si="27"/>
        <v xml:space="preserve"> </v>
      </c>
    </row>
    <row r="893" spans="1:14" ht="15" x14ac:dyDescent="0.25">
      <c r="A893" s="131" t="str">
        <f>IF(ISBLANK('ALL Other SINs - Proposal'!A893)," ",'ALL Other SINs - Proposal'!A893)</f>
        <v xml:space="preserve"> </v>
      </c>
      <c r="B893" s="137" t="str">
        <f>IF(ISBLANK('ALL Other SINs - Proposal'!B893)," ",'ALL Other SINs - Proposal'!B893)</f>
        <v xml:space="preserve"> </v>
      </c>
      <c r="C893" s="137" t="str">
        <f>IF(ISBLANK('ALL Other SINs - Proposal'!C893)," ",'ALL Other SINs - Proposal'!C893)</f>
        <v xml:space="preserve"> </v>
      </c>
      <c r="D893" s="138" t="str">
        <f>IF(ISBLANK('ALL Other SINs - Proposal'!D893)," ",'ALL Other SINs - Proposal'!D893)</f>
        <v xml:space="preserve"> </v>
      </c>
      <c r="E893" s="69" t="str">
        <f>IF(ISBLANK('ALL Other SINs - Proposal'!R893)," ",'ALL Other SINs - Proposal'!R893)</f>
        <v xml:space="preserve"> </v>
      </c>
      <c r="F893" s="73" t="str">
        <f>IF(ISBLANK('ALL Other SINs - Proposal'!S893)," ",'ALL Other SINs - Proposal'!S893)</f>
        <v xml:space="preserve"> </v>
      </c>
      <c r="G893" s="173" t="str">
        <f>IF(ISBLANK('ALL Other SINs - Proposal'!T893)," ",'ALL Other SINs - Proposal'!T893)</f>
        <v xml:space="preserve"> </v>
      </c>
      <c r="H893" s="275" t="str">
        <f>IF(ISBLANK('ALL Other SINs - Proposal'!V893)," ",'ALL Other SINs - Proposal'!V893)</f>
        <v xml:space="preserve"> </v>
      </c>
      <c r="I893" s="271" t="str">
        <f>IF(ISBLANK('ALL Other SINs - Proposal'!W893)," ",'ALL Other SINs - Proposal'!W893)</f>
        <v xml:space="preserve"> </v>
      </c>
      <c r="J893" s="71" t="str">
        <f>IF(ISBLANK('ALL Other SINs - Proposal'!X893)," ",'ALL Other SINs - Proposal'!X893)</f>
        <v xml:space="preserve"> </v>
      </c>
      <c r="K893" s="165" t="str">
        <f>IF(ISBLANK('ALL Other SINs - Proposal'!AA893)," ",'ALL Other SINs - Proposal'!AA893)</f>
        <v xml:space="preserve"> </v>
      </c>
      <c r="L893" s="178" t="str">
        <f>IF(ISBLANK('ALL Other SINs - Proposal'!AB893)," ",'ALL Other SINs - Proposal'!AB893)</f>
        <v xml:space="preserve"> </v>
      </c>
      <c r="M893" s="72" t="str">
        <f t="shared" si="26"/>
        <v xml:space="preserve"> </v>
      </c>
      <c r="N893" s="167" t="str">
        <f t="shared" si="27"/>
        <v xml:space="preserve"> </v>
      </c>
    </row>
    <row r="894" spans="1:14" ht="15" x14ac:dyDescent="0.25">
      <c r="A894" s="131" t="str">
        <f>IF(ISBLANK('ALL Other SINs - Proposal'!A894)," ",'ALL Other SINs - Proposal'!A894)</f>
        <v xml:space="preserve"> </v>
      </c>
      <c r="B894" s="137" t="str">
        <f>IF(ISBLANK('ALL Other SINs - Proposal'!B894)," ",'ALL Other SINs - Proposal'!B894)</f>
        <v xml:space="preserve"> </v>
      </c>
      <c r="C894" s="137" t="str">
        <f>IF(ISBLANK('ALL Other SINs - Proposal'!C894)," ",'ALL Other SINs - Proposal'!C894)</f>
        <v xml:space="preserve"> </v>
      </c>
      <c r="D894" s="138" t="str">
        <f>IF(ISBLANK('ALL Other SINs - Proposal'!D894)," ",'ALL Other SINs - Proposal'!D894)</f>
        <v xml:space="preserve"> </v>
      </c>
      <c r="E894" s="69" t="str">
        <f>IF(ISBLANK('ALL Other SINs - Proposal'!R894)," ",'ALL Other SINs - Proposal'!R894)</f>
        <v xml:space="preserve"> </v>
      </c>
      <c r="F894" s="73" t="str">
        <f>IF(ISBLANK('ALL Other SINs - Proposal'!S894)," ",'ALL Other SINs - Proposal'!S894)</f>
        <v xml:space="preserve"> </v>
      </c>
      <c r="G894" s="173" t="str">
        <f>IF(ISBLANK('ALL Other SINs - Proposal'!T894)," ",'ALL Other SINs - Proposal'!T894)</f>
        <v xml:space="preserve"> </v>
      </c>
      <c r="H894" s="275" t="str">
        <f>IF(ISBLANK('ALL Other SINs - Proposal'!V894)," ",'ALL Other SINs - Proposal'!V894)</f>
        <v xml:space="preserve"> </v>
      </c>
      <c r="I894" s="271" t="str">
        <f>IF(ISBLANK('ALL Other SINs - Proposal'!W894)," ",'ALL Other SINs - Proposal'!W894)</f>
        <v xml:space="preserve"> </v>
      </c>
      <c r="J894" s="71" t="str">
        <f>IF(ISBLANK('ALL Other SINs - Proposal'!X894)," ",'ALL Other SINs - Proposal'!X894)</f>
        <v xml:space="preserve"> </v>
      </c>
      <c r="K894" s="165" t="str">
        <f>IF(ISBLANK('ALL Other SINs - Proposal'!AA894)," ",'ALL Other SINs - Proposal'!AA894)</f>
        <v xml:space="preserve"> </v>
      </c>
      <c r="L894" s="178" t="str">
        <f>IF(ISBLANK('ALL Other SINs - Proposal'!AB894)," ",'ALL Other SINs - Proposal'!AB894)</f>
        <v xml:space="preserve"> </v>
      </c>
      <c r="M894" s="72" t="str">
        <f t="shared" si="26"/>
        <v xml:space="preserve"> </v>
      </c>
      <c r="N894" s="167" t="str">
        <f t="shared" si="27"/>
        <v xml:space="preserve"> </v>
      </c>
    </row>
    <row r="895" spans="1:14" ht="15" x14ac:dyDescent="0.25">
      <c r="A895" s="131" t="str">
        <f>IF(ISBLANK('ALL Other SINs - Proposal'!A895)," ",'ALL Other SINs - Proposal'!A895)</f>
        <v xml:space="preserve"> </v>
      </c>
      <c r="B895" s="137" t="str">
        <f>IF(ISBLANK('ALL Other SINs - Proposal'!B895)," ",'ALL Other SINs - Proposal'!B895)</f>
        <v xml:space="preserve"> </v>
      </c>
      <c r="C895" s="137" t="str">
        <f>IF(ISBLANK('ALL Other SINs - Proposal'!C895)," ",'ALL Other SINs - Proposal'!C895)</f>
        <v xml:space="preserve"> </v>
      </c>
      <c r="D895" s="138" t="str">
        <f>IF(ISBLANK('ALL Other SINs - Proposal'!D895)," ",'ALL Other SINs - Proposal'!D895)</f>
        <v xml:space="preserve"> </v>
      </c>
      <c r="E895" s="69" t="str">
        <f>IF(ISBLANK('ALL Other SINs - Proposal'!R895)," ",'ALL Other SINs - Proposal'!R895)</f>
        <v xml:space="preserve"> </v>
      </c>
      <c r="F895" s="73" t="str">
        <f>IF(ISBLANK('ALL Other SINs - Proposal'!S895)," ",'ALL Other SINs - Proposal'!S895)</f>
        <v xml:space="preserve"> </v>
      </c>
      <c r="G895" s="173" t="str">
        <f>IF(ISBLANK('ALL Other SINs - Proposal'!T895)," ",'ALL Other SINs - Proposal'!T895)</f>
        <v xml:space="preserve"> </v>
      </c>
      <c r="H895" s="275" t="str">
        <f>IF(ISBLANK('ALL Other SINs - Proposal'!V895)," ",'ALL Other SINs - Proposal'!V895)</f>
        <v xml:space="preserve"> </v>
      </c>
      <c r="I895" s="271" t="str">
        <f>IF(ISBLANK('ALL Other SINs - Proposal'!W895)," ",'ALL Other SINs - Proposal'!W895)</f>
        <v xml:space="preserve"> </v>
      </c>
      <c r="J895" s="71" t="str">
        <f>IF(ISBLANK('ALL Other SINs - Proposal'!X895)," ",'ALL Other SINs - Proposal'!X895)</f>
        <v xml:space="preserve"> </v>
      </c>
      <c r="K895" s="165" t="str">
        <f>IF(ISBLANK('ALL Other SINs - Proposal'!AA895)," ",'ALL Other SINs - Proposal'!AA895)</f>
        <v xml:space="preserve"> </v>
      </c>
      <c r="L895" s="178" t="str">
        <f>IF(ISBLANK('ALL Other SINs - Proposal'!AB895)," ",'ALL Other SINs - Proposal'!AB895)</f>
        <v xml:space="preserve"> </v>
      </c>
      <c r="M895" s="72" t="str">
        <f t="shared" si="26"/>
        <v xml:space="preserve"> </v>
      </c>
      <c r="N895" s="167" t="str">
        <f t="shared" si="27"/>
        <v xml:space="preserve"> </v>
      </c>
    </row>
    <row r="896" spans="1:14" ht="15" x14ac:dyDescent="0.25">
      <c r="A896" s="131" t="str">
        <f>IF(ISBLANK('ALL Other SINs - Proposal'!A896)," ",'ALL Other SINs - Proposal'!A896)</f>
        <v xml:space="preserve"> </v>
      </c>
      <c r="B896" s="137" t="str">
        <f>IF(ISBLANK('ALL Other SINs - Proposal'!B896)," ",'ALL Other SINs - Proposal'!B896)</f>
        <v xml:space="preserve"> </v>
      </c>
      <c r="C896" s="137" t="str">
        <f>IF(ISBLANK('ALL Other SINs - Proposal'!C896)," ",'ALL Other SINs - Proposal'!C896)</f>
        <v xml:space="preserve"> </v>
      </c>
      <c r="D896" s="138" t="str">
        <f>IF(ISBLANK('ALL Other SINs - Proposal'!D896)," ",'ALL Other SINs - Proposal'!D896)</f>
        <v xml:space="preserve"> </v>
      </c>
      <c r="E896" s="69" t="str">
        <f>IF(ISBLANK('ALL Other SINs - Proposal'!R896)," ",'ALL Other SINs - Proposal'!R896)</f>
        <v xml:space="preserve"> </v>
      </c>
      <c r="F896" s="73" t="str">
        <f>IF(ISBLANK('ALL Other SINs - Proposal'!S896)," ",'ALL Other SINs - Proposal'!S896)</f>
        <v xml:space="preserve"> </v>
      </c>
      <c r="G896" s="173" t="str">
        <f>IF(ISBLANK('ALL Other SINs - Proposal'!T896)," ",'ALL Other SINs - Proposal'!T896)</f>
        <v xml:space="preserve"> </v>
      </c>
      <c r="H896" s="275" t="str">
        <f>IF(ISBLANK('ALL Other SINs - Proposal'!V896)," ",'ALL Other SINs - Proposal'!V896)</f>
        <v xml:space="preserve"> </v>
      </c>
      <c r="I896" s="271" t="str">
        <f>IF(ISBLANK('ALL Other SINs - Proposal'!W896)," ",'ALL Other SINs - Proposal'!W896)</f>
        <v xml:space="preserve"> </v>
      </c>
      <c r="J896" s="71" t="str">
        <f>IF(ISBLANK('ALL Other SINs - Proposal'!X896)," ",'ALL Other SINs - Proposal'!X896)</f>
        <v xml:space="preserve"> </v>
      </c>
      <c r="K896" s="165" t="str">
        <f>IF(ISBLANK('ALL Other SINs - Proposal'!AA896)," ",'ALL Other SINs - Proposal'!AA896)</f>
        <v xml:space="preserve"> </v>
      </c>
      <c r="L896" s="178" t="str">
        <f>IF(ISBLANK('ALL Other SINs - Proposal'!AB896)," ",'ALL Other SINs - Proposal'!AB896)</f>
        <v xml:space="preserve"> </v>
      </c>
      <c r="M896" s="72" t="str">
        <f t="shared" si="26"/>
        <v xml:space="preserve"> </v>
      </c>
      <c r="N896" s="167" t="str">
        <f t="shared" si="27"/>
        <v xml:space="preserve"> </v>
      </c>
    </row>
    <row r="897" spans="1:14" ht="15" x14ac:dyDescent="0.25">
      <c r="A897" s="131" t="str">
        <f>IF(ISBLANK('ALL Other SINs - Proposal'!A897)," ",'ALL Other SINs - Proposal'!A897)</f>
        <v xml:space="preserve"> </v>
      </c>
      <c r="B897" s="137" t="str">
        <f>IF(ISBLANK('ALL Other SINs - Proposal'!B897)," ",'ALL Other SINs - Proposal'!B897)</f>
        <v xml:space="preserve"> </v>
      </c>
      <c r="C897" s="137" t="str">
        <f>IF(ISBLANK('ALL Other SINs - Proposal'!C897)," ",'ALL Other SINs - Proposal'!C897)</f>
        <v xml:space="preserve"> </v>
      </c>
      <c r="D897" s="138" t="str">
        <f>IF(ISBLANK('ALL Other SINs - Proposal'!D897)," ",'ALL Other SINs - Proposal'!D897)</f>
        <v xml:space="preserve"> </v>
      </c>
      <c r="E897" s="69" t="str">
        <f>IF(ISBLANK('ALL Other SINs - Proposal'!R897)," ",'ALL Other SINs - Proposal'!R897)</f>
        <v xml:space="preserve"> </v>
      </c>
      <c r="F897" s="73" t="str">
        <f>IF(ISBLANK('ALL Other SINs - Proposal'!S897)," ",'ALL Other SINs - Proposal'!S897)</f>
        <v xml:space="preserve"> </v>
      </c>
      <c r="G897" s="173" t="str">
        <f>IF(ISBLANK('ALL Other SINs - Proposal'!T897)," ",'ALL Other SINs - Proposal'!T897)</f>
        <v xml:space="preserve"> </v>
      </c>
      <c r="H897" s="275" t="str">
        <f>IF(ISBLANK('ALL Other SINs - Proposal'!V897)," ",'ALL Other SINs - Proposal'!V897)</f>
        <v xml:space="preserve"> </v>
      </c>
      <c r="I897" s="271" t="str">
        <f>IF(ISBLANK('ALL Other SINs - Proposal'!W897)," ",'ALL Other SINs - Proposal'!W897)</f>
        <v xml:space="preserve"> </v>
      </c>
      <c r="J897" s="71" t="str">
        <f>IF(ISBLANK('ALL Other SINs - Proposal'!X897)," ",'ALL Other SINs - Proposal'!X897)</f>
        <v xml:space="preserve"> </v>
      </c>
      <c r="K897" s="165" t="str">
        <f>IF(ISBLANK('ALL Other SINs - Proposal'!AA897)," ",'ALL Other SINs - Proposal'!AA897)</f>
        <v xml:space="preserve"> </v>
      </c>
      <c r="L897" s="178" t="str">
        <f>IF(ISBLANK('ALL Other SINs - Proposal'!AB897)," ",'ALL Other SINs - Proposal'!AB897)</f>
        <v xml:space="preserve"> </v>
      </c>
      <c r="M897" s="72" t="str">
        <f t="shared" si="26"/>
        <v xml:space="preserve"> </v>
      </c>
      <c r="N897" s="167" t="str">
        <f t="shared" si="27"/>
        <v xml:space="preserve"> </v>
      </c>
    </row>
    <row r="898" spans="1:14" ht="15" x14ac:dyDescent="0.25">
      <c r="A898" s="131" t="str">
        <f>IF(ISBLANK('ALL Other SINs - Proposal'!A898)," ",'ALL Other SINs - Proposal'!A898)</f>
        <v xml:space="preserve"> </v>
      </c>
      <c r="B898" s="137" t="str">
        <f>IF(ISBLANK('ALL Other SINs - Proposal'!B898)," ",'ALL Other SINs - Proposal'!B898)</f>
        <v xml:space="preserve"> </v>
      </c>
      <c r="C898" s="137" t="str">
        <f>IF(ISBLANK('ALL Other SINs - Proposal'!C898)," ",'ALL Other SINs - Proposal'!C898)</f>
        <v xml:space="preserve"> </v>
      </c>
      <c r="D898" s="138" t="str">
        <f>IF(ISBLANK('ALL Other SINs - Proposal'!D898)," ",'ALL Other SINs - Proposal'!D898)</f>
        <v xml:space="preserve"> </v>
      </c>
      <c r="E898" s="69" t="str">
        <f>IF(ISBLANK('ALL Other SINs - Proposal'!R898)," ",'ALL Other SINs - Proposal'!R898)</f>
        <v xml:space="preserve"> </v>
      </c>
      <c r="F898" s="73" t="str">
        <f>IF(ISBLANK('ALL Other SINs - Proposal'!S898)," ",'ALL Other SINs - Proposal'!S898)</f>
        <v xml:space="preserve"> </v>
      </c>
      <c r="G898" s="173" t="str">
        <f>IF(ISBLANK('ALL Other SINs - Proposal'!T898)," ",'ALL Other SINs - Proposal'!T898)</f>
        <v xml:space="preserve"> </v>
      </c>
      <c r="H898" s="275" t="str">
        <f>IF(ISBLANK('ALL Other SINs - Proposal'!V898)," ",'ALL Other SINs - Proposal'!V898)</f>
        <v xml:space="preserve"> </v>
      </c>
      <c r="I898" s="271" t="str">
        <f>IF(ISBLANK('ALL Other SINs - Proposal'!W898)," ",'ALL Other SINs - Proposal'!W898)</f>
        <v xml:space="preserve"> </v>
      </c>
      <c r="J898" s="71" t="str">
        <f>IF(ISBLANK('ALL Other SINs - Proposal'!X898)," ",'ALL Other SINs - Proposal'!X898)</f>
        <v xml:space="preserve"> </v>
      </c>
      <c r="K898" s="165" t="str">
        <f>IF(ISBLANK('ALL Other SINs - Proposal'!AA898)," ",'ALL Other SINs - Proposal'!AA898)</f>
        <v xml:space="preserve"> </v>
      </c>
      <c r="L898" s="178" t="str">
        <f>IF(ISBLANK('ALL Other SINs - Proposal'!AB898)," ",'ALL Other SINs - Proposal'!AB898)</f>
        <v xml:space="preserve"> </v>
      </c>
      <c r="M898" s="72" t="str">
        <f t="shared" si="26"/>
        <v xml:space="preserve"> </v>
      </c>
      <c r="N898" s="167" t="str">
        <f t="shared" si="27"/>
        <v xml:space="preserve"> </v>
      </c>
    </row>
    <row r="899" spans="1:14" ht="15" x14ac:dyDescent="0.25">
      <c r="A899" s="131" t="str">
        <f>IF(ISBLANK('ALL Other SINs - Proposal'!A899)," ",'ALL Other SINs - Proposal'!A899)</f>
        <v xml:space="preserve"> </v>
      </c>
      <c r="B899" s="137" t="str">
        <f>IF(ISBLANK('ALL Other SINs - Proposal'!B899)," ",'ALL Other SINs - Proposal'!B899)</f>
        <v xml:space="preserve"> </v>
      </c>
      <c r="C899" s="137" t="str">
        <f>IF(ISBLANK('ALL Other SINs - Proposal'!C899)," ",'ALL Other SINs - Proposal'!C899)</f>
        <v xml:space="preserve"> </v>
      </c>
      <c r="D899" s="138" t="str">
        <f>IF(ISBLANK('ALL Other SINs - Proposal'!D899)," ",'ALL Other SINs - Proposal'!D899)</f>
        <v xml:space="preserve"> </v>
      </c>
      <c r="E899" s="69" t="str">
        <f>IF(ISBLANK('ALL Other SINs - Proposal'!R899)," ",'ALL Other SINs - Proposal'!R899)</f>
        <v xml:space="preserve"> </v>
      </c>
      <c r="F899" s="73" t="str">
        <f>IF(ISBLANK('ALL Other SINs - Proposal'!S899)," ",'ALL Other SINs - Proposal'!S899)</f>
        <v xml:space="preserve"> </v>
      </c>
      <c r="G899" s="173" t="str">
        <f>IF(ISBLANK('ALL Other SINs - Proposal'!T899)," ",'ALL Other SINs - Proposal'!T899)</f>
        <v xml:space="preserve"> </v>
      </c>
      <c r="H899" s="275" t="str">
        <f>IF(ISBLANK('ALL Other SINs - Proposal'!V899)," ",'ALL Other SINs - Proposal'!V899)</f>
        <v xml:space="preserve"> </v>
      </c>
      <c r="I899" s="271" t="str">
        <f>IF(ISBLANK('ALL Other SINs - Proposal'!W899)," ",'ALL Other SINs - Proposal'!W899)</f>
        <v xml:space="preserve"> </v>
      </c>
      <c r="J899" s="71" t="str">
        <f>IF(ISBLANK('ALL Other SINs - Proposal'!X899)," ",'ALL Other SINs - Proposal'!X899)</f>
        <v xml:space="preserve"> </v>
      </c>
      <c r="K899" s="165" t="str">
        <f>IF(ISBLANK('ALL Other SINs - Proposal'!AA899)," ",'ALL Other SINs - Proposal'!AA899)</f>
        <v xml:space="preserve"> </v>
      </c>
      <c r="L899" s="178" t="str">
        <f>IF(ISBLANK('ALL Other SINs - Proposal'!AB899)," ",'ALL Other SINs - Proposal'!AB899)</f>
        <v xml:space="preserve"> </v>
      </c>
      <c r="M899" s="72" t="str">
        <f t="shared" ref="M899:M962" si="28">IFERROR(IF((ROUND(K899,2))&lt;=(ROUND(F899,2)),"YES","NO")," ")</f>
        <v xml:space="preserve"> </v>
      </c>
      <c r="N899" s="167" t="str">
        <f t="shared" ref="N899:N962" si="29">IFERROR(IF(ISBLANK(K899)," ",(ROUND(K899,2))/(ROUND(I899,2)))," ")</f>
        <v xml:space="preserve"> </v>
      </c>
    </row>
    <row r="900" spans="1:14" ht="15" x14ac:dyDescent="0.25">
      <c r="A900" s="131" t="str">
        <f>IF(ISBLANK('ALL Other SINs - Proposal'!A900)," ",'ALL Other SINs - Proposal'!A900)</f>
        <v xml:space="preserve"> </v>
      </c>
      <c r="B900" s="137" t="str">
        <f>IF(ISBLANK('ALL Other SINs - Proposal'!B900)," ",'ALL Other SINs - Proposal'!B900)</f>
        <v xml:space="preserve"> </v>
      </c>
      <c r="C900" s="137" t="str">
        <f>IF(ISBLANK('ALL Other SINs - Proposal'!C900)," ",'ALL Other SINs - Proposal'!C900)</f>
        <v xml:space="preserve"> </v>
      </c>
      <c r="D900" s="138" t="str">
        <f>IF(ISBLANK('ALL Other SINs - Proposal'!D900)," ",'ALL Other SINs - Proposal'!D900)</f>
        <v xml:space="preserve"> </v>
      </c>
      <c r="E900" s="69" t="str">
        <f>IF(ISBLANK('ALL Other SINs - Proposal'!R900)," ",'ALL Other SINs - Proposal'!R900)</f>
        <v xml:space="preserve"> </v>
      </c>
      <c r="F900" s="73" t="str">
        <f>IF(ISBLANK('ALL Other SINs - Proposal'!S900)," ",'ALL Other SINs - Proposal'!S900)</f>
        <v xml:space="preserve"> </v>
      </c>
      <c r="G900" s="173" t="str">
        <f>IF(ISBLANK('ALL Other SINs - Proposal'!T900)," ",'ALL Other SINs - Proposal'!T900)</f>
        <v xml:space="preserve"> </v>
      </c>
      <c r="H900" s="275" t="str">
        <f>IF(ISBLANK('ALL Other SINs - Proposal'!V900)," ",'ALL Other SINs - Proposal'!V900)</f>
        <v xml:space="preserve"> </v>
      </c>
      <c r="I900" s="271" t="str">
        <f>IF(ISBLANK('ALL Other SINs - Proposal'!W900)," ",'ALL Other SINs - Proposal'!W900)</f>
        <v xml:space="preserve"> </v>
      </c>
      <c r="J900" s="71" t="str">
        <f>IF(ISBLANK('ALL Other SINs - Proposal'!X900)," ",'ALL Other SINs - Proposal'!X900)</f>
        <v xml:space="preserve"> </v>
      </c>
      <c r="K900" s="165" t="str">
        <f>IF(ISBLANK('ALL Other SINs - Proposal'!AA900)," ",'ALL Other SINs - Proposal'!AA900)</f>
        <v xml:space="preserve"> </v>
      </c>
      <c r="L900" s="178" t="str">
        <f>IF(ISBLANK('ALL Other SINs - Proposal'!AB900)," ",'ALL Other SINs - Proposal'!AB900)</f>
        <v xml:space="preserve"> </v>
      </c>
      <c r="M900" s="72" t="str">
        <f t="shared" si="28"/>
        <v xml:space="preserve"> </v>
      </c>
      <c r="N900" s="167" t="str">
        <f t="shared" si="29"/>
        <v xml:space="preserve"> </v>
      </c>
    </row>
    <row r="901" spans="1:14" ht="15" x14ac:dyDescent="0.25">
      <c r="A901" s="131" t="str">
        <f>IF(ISBLANK('ALL Other SINs - Proposal'!A901)," ",'ALL Other SINs - Proposal'!A901)</f>
        <v xml:space="preserve"> </v>
      </c>
      <c r="B901" s="137" t="str">
        <f>IF(ISBLANK('ALL Other SINs - Proposal'!B901)," ",'ALL Other SINs - Proposal'!B901)</f>
        <v xml:space="preserve"> </v>
      </c>
      <c r="C901" s="137" t="str">
        <f>IF(ISBLANK('ALL Other SINs - Proposal'!C901)," ",'ALL Other SINs - Proposal'!C901)</f>
        <v xml:space="preserve"> </v>
      </c>
      <c r="D901" s="138" t="str">
        <f>IF(ISBLANK('ALL Other SINs - Proposal'!D901)," ",'ALL Other SINs - Proposal'!D901)</f>
        <v xml:space="preserve"> </v>
      </c>
      <c r="E901" s="69" t="str">
        <f>IF(ISBLANK('ALL Other SINs - Proposal'!R901)," ",'ALL Other SINs - Proposal'!R901)</f>
        <v xml:space="preserve"> </v>
      </c>
      <c r="F901" s="73" t="str">
        <f>IF(ISBLANK('ALL Other SINs - Proposal'!S901)," ",'ALL Other SINs - Proposal'!S901)</f>
        <v xml:space="preserve"> </v>
      </c>
      <c r="G901" s="173" t="str">
        <f>IF(ISBLANK('ALL Other SINs - Proposal'!T901)," ",'ALL Other SINs - Proposal'!T901)</f>
        <v xml:space="preserve"> </v>
      </c>
      <c r="H901" s="275" t="str">
        <f>IF(ISBLANK('ALL Other SINs - Proposal'!V901)," ",'ALL Other SINs - Proposal'!V901)</f>
        <v xml:space="preserve"> </v>
      </c>
      <c r="I901" s="271" t="str">
        <f>IF(ISBLANK('ALL Other SINs - Proposal'!W901)," ",'ALL Other SINs - Proposal'!W901)</f>
        <v xml:space="preserve"> </v>
      </c>
      <c r="J901" s="71" t="str">
        <f>IF(ISBLANK('ALL Other SINs - Proposal'!X901)," ",'ALL Other SINs - Proposal'!X901)</f>
        <v xml:space="preserve"> </v>
      </c>
      <c r="K901" s="165" t="str">
        <f>IF(ISBLANK('ALL Other SINs - Proposal'!AA901)," ",'ALL Other SINs - Proposal'!AA901)</f>
        <v xml:space="preserve"> </v>
      </c>
      <c r="L901" s="178" t="str">
        <f>IF(ISBLANK('ALL Other SINs - Proposal'!AB901)," ",'ALL Other SINs - Proposal'!AB901)</f>
        <v xml:space="preserve"> </v>
      </c>
      <c r="M901" s="72" t="str">
        <f t="shared" si="28"/>
        <v xml:space="preserve"> </v>
      </c>
      <c r="N901" s="167" t="str">
        <f t="shared" si="29"/>
        <v xml:space="preserve"> </v>
      </c>
    </row>
    <row r="902" spans="1:14" ht="15" x14ac:dyDescent="0.25">
      <c r="A902" s="131" t="str">
        <f>IF(ISBLANK('ALL Other SINs - Proposal'!A902)," ",'ALL Other SINs - Proposal'!A902)</f>
        <v xml:space="preserve"> </v>
      </c>
      <c r="B902" s="137" t="str">
        <f>IF(ISBLANK('ALL Other SINs - Proposal'!B902)," ",'ALL Other SINs - Proposal'!B902)</f>
        <v xml:space="preserve"> </v>
      </c>
      <c r="C902" s="137" t="str">
        <f>IF(ISBLANK('ALL Other SINs - Proposal'!C902)," ",'ALL Other SINs - Proposal'!C902)</f>
        <v xml:space="preserve"> </v>
      </c>
      <c r="D902" s="138" t="str">
        <f>IF(ISBLANK('ALL Other SINs - Proposal'!D902)," ",'ALL Other SINs - Proposal'!D902)</f>
        <v xml:space="preserve"> </v>
      </c>
      <c r="E902" s="69" t="str">
        <f>IF(ISBLANK('ALL Other SINs - Proposal'!R902)," ",'ALL Other SINs - Proposal'!R902)</f>
        <v xml:space="preserve"> </v>
      </c>
      <c r="F902" s="73" t="str">
        <f>IF(ISBLANK('ALL Other SINs - Proposal'!S902)," ",'ALL Other SINs - Proposal'!S902)</f>
        <v xml:space="preserve"> </v>
      </c>
      <c r="G902" s="173" t="str">
        <f>IF(ISBLANK('ALL Other SINs - Proposal'!T902)," ",'ALL Other SINs - Proposal'!T902)</f>
        <v xml:space="preserve"> </v>
      </c>
      <c r="H902" s="275" t="str">
        <f>IF(ISBLANK('ALL Other SINs - Proposal'!V902)," ",'ALL Other SINs - Proposal'!V902)</f>
        <v xml:space="preserve"> </v>
      </c>
      <c r="I902" s="271" t="str">
        <f>IF(ISBLANK('ALL Other SINs - Proposal'!W902)," ",'ALL Other SINs - Proposal'!W902)</f>
        <v xml:space="preserve"> </v>
      </c>
      <c r="J902" s="71" t="str">
        <f>IF(ISBLANK('ALL Other SINs - Proposal'!X902)," ",'ALL Other SINs - Proposal'!X902)</f>
        <v xml:space="preserve"> </v>
      </c>
      <c r="K902" s="165" t="str">
        <f>IF(ISBLANK('ALL Other SINs - Proposal'!AA902)," ",'ALL Other SINs - Proposal'!AA902)</f>
        <v xml:space="preserve"> </v>
      </c>
      <c r="L902" s="178" t="str">
        <f>IF(ISBLANK('ALL Other SINs - Proposal'!AB902)," ",'ALL Other SINs - Proposal'!AB902)</f>
        <v xml:space="preserve"> </v>
      </c>
      <c r="M902" s="72" t="str">
        <f t="shared" si="28"/>
        <v xml:space="preserve"> </v>
      </c>
      <c r="N902" s="167" t="str">
        <f t="shared" si="29"/>
        <v xml:space="preserve"> </v>
      </c>
    </row>
    <row r="903" spans="1:14" ht="15" x14ac:dyDescent="0.25">
      <c r="A903" s="131" t="str">
        <f>IF(ISBLANK('ALL Other SINs - Proposal'!A903)," ",'ALL Other SINs - Proposal'!A903)</f>
        <v xml:space="preserve"> </v>
      </c>
      <c r="B903" s="137" t="str">
        <f>IF(ISBLANK('ALL Other SINs - Proposal'!B903)," ",'ALL Other SINs - Proposal'!B903)</f>
        <v xml:space="preserve"> </v>
      </c>
      <c r="C903" s="137" t="str">
        <f>IF(ISBLANK('ALL Other SINs - Proposal'!C903)," ",'ALL Other SINs - Proposal'!C903)</f>
        <v xml:space="preserve"> </v>
      </c>
      <c r="D903" s="138" t="str">
        <f>IF(ISBLANK('ALL Other SINs - Proposal'!D903)," ",'ALL Other SINs - Proposal'!D903)</f>
        <v xml:space="preserve"> </v>
      </c>
      <c r="E903" s="69" t="str">
        <f>IF(ISBLANK('ALL Other SINs - Proposal'!R903)," ",'ALL Other SINs - Proposal'!R903)</f>
        <v xml:space="preserve"> </v>
      </c>
      <c r="F903" s="73" t="str">
        <f>IF(ISBLANK('ALL Other SINs - Proposal'!S903)," ",'ALL Other SINs - Proposal'!S903)</f>
        <v xml:space="preserve"> </v>
      </c>
      <c r="G903" s="173" t="str">
        <f>IF(ISBLANK('ALL Other SINs - Proposal'!T903)," ",'ALL Other SINs - Proposal'!T903)</f>
        <v xml:space="preserve"> </v>
      </c>
      <c r="H903" s="275" t="str">
        <f>IF(ISBLANK('ALL Other SINs - Proposal'!V903)," ",'ALL Other SINs - Proposal'!V903)</f>
        <v xml:space="preserve"> </v>
      </c>
      <c r="I903" s="271" t="str">
        <f>IF(ISBLANK('ALL Other SINs - Proposal'!W903)," ",'ALL Other SINs - Proposal'!W903)</f>
        <v xml:space="preserve"> </v>
      </c>
      <c r="J903" s="71" t="str">
        <f>IF(ISBLANK('ALL Other SINs - Proposal'!X903)," ",'ALL Other SINs - Proposal'!X903)</f>
        <v xml:space="preserve"> </v>
      </c>
      <c r="K903" s="165" t="str">
        <f>IF(ISBLANK('ALL Other SINs - Proposal'!AA903)," ",'ALL Other SINs - Proposal'!AA903)</f>
        <v xml:space="preserve"> </v>
      </c>
      <c r="L903" s="178" t="str">
        <f>IF(ISBLANK('ALL Other SINs - Proposal'!AB903)," ",'ALL Other SINs - Proposal'!AB903)</f>
        <v xml:space="preserve"> </v>
      </c>
      <c r="M903" s="72" t="str">
        <f t="shared" si="28"/>
        <v xml:space="preserve"> </v>
      </c>
      <c r="N903" s="167" t="str">
        <f t="shared" si="29"/>
        <v xml:space="preserve"> </v>
      </c>
    </row>
    <row r="904" spans="1:14" ht="15" x14ac:dyDescent="0.25">
      <c r="A904" s="131" t="str">
        <f>IF(ISBLANK('ALL Other SINs - Proposal'!A904)," ",'ALL Other SINs - Proposal'!A904)</f>
        <v xml:space="preserve"> </v>
      </c>
      <c r="B904" s="137" t="str">
        <f>IF(ISBLANK('ALL Other SINs - Proposal'!B904)," ",'ALL Other SINs - Proposal'!B904)</f>
        <v xml:space="preserve"> </v>
      </c>
      <c r="C904" s="137" t="str">
        <f>IF(ISBLANK('ALL Other SINs - Proposal'!C904)," ",'ALL Other SINs - Proposal'!C904)</f>
        <v xml:space="preserve"> </v>
      </c>
      <c r="D904" s="138" t="str">
        <f>IF(ISBLANK('ALL Other SINs - Proposal'!D904)," ",'ALL Other SINs - Proposal'!D904)</f>
        <v xml:space="preserve"> </v>
      </c>
      <c r="E904" s="69" t="str">
        <f>IF(ISBLANK('ALL Other SINs - Proposal'!R904)," ",'ALL Other SINs - Proposal'!R904)</f>
        <v xml:space="preserve"> </v>
      </c>
      <c r="F904" s="73" t="str">
        <f>IF(ISBLANK('ALL Other SINs - Proposal'!S904)," ",'ALL Other SINs - Proposal'!S904)</f>
        <v xml:space="preserve"> </v>
      </c>
      <c r="G904" s="173" t="str">
        <f>IF(ISBLANK('ALL Other SINs - Proposal'!T904)," ",'ALL Other SINs - Proposal'!T904)</f>
        <v xml:space="preserve"> </v>
      </c>
      <c r="H904" s="275" t="str">
        <f>IF(ISBLANK('ALL Other SINs - Proposal'!V904)," ",'ALL Other SINs - Proposal'!V904)</f>
        <v xml:space="preserve"> </v>
      </c>
      <c r="I904" s="271" t="str">
        <f>IF(ISBLANK('ALL Other SINs - Proposal'!W904)," ",'ALL Other SINs - Proposal'!W904)</f>
        <v xml:space="preserve"> </v>
      </c>
      <c r="J904" s="71" t="str">
        <f>IF(ISBLANK('ALL Other SINs - Proposal'!X904)," ",'ALL Other SINs - Proposal'!X904)</f>
        <v xml:space="preserve"> </v>
      </c>
      <c r="K904" s="165" t="str">
        <f>IF(ISBLANK('ALL Other SINs - Proposal'!AA904)," ",'ALL Other SINs - Proposal'!AA904)</f>
        <v xml:space="preserve"> </v>
      </c>
      <c r="L904" s="178" t="str">
        <f>IF(ISBLANK('ALL Other SINs - Proposal'!AB904)," ",'ALL Other SINs - Proposal'!AB904)</f>
        <v xml:space="preserve"> </v>
      </c>
      <c r="M904" s="72" t="str">
        <f t="shared" si="28"/>
        <v xml:space="preserve"> </v>
      </c>
      <c r="N904" s="167" t="str">
        <f t="shared" si="29"/>
        <v xml:space="preserve"> </v>
      </c>
    </row>
    <row r="905" spans="1:14" ht="15" x14ac:dyDescent="0.25">
      <c r="A905" s="131" t="str">
        <f>IF(ISBLANK('ALL Other SINs - Proposal'!A905)," ",'ALL Other SINs - Proposal'!A905)</f>
        <v xml:space="preserve"> </v>
      </c>
      <c r="B905" s="137" t="str">
        <f>IF(ISBLANK('ALL Other SINs - Proposal'!B905)," ",'ALL Other SINs - Proposal'!B905)</f>
        <v xml:space="preserve"> </v>
      </c>
      <c r="C905" s="137" t="str">
        <f>IF(ISBLANK('ALL Other SINs - Proposal'!C905)," ",'ALL Other SINs - Proposal'!C905)</f>
        <v xml:space="preserve"> </v>
      </c>
      <c r="D905" s="138" t="str">
        <f>IF(ISBLANK('ALL Other SINs - Proposal'!D905)," ",'ALL Other SINs - Proposal'!D905)</f>
        <v xml:space="preserve"> </v>
      </c>
      <c r="E905" s="69" t="str">
        <f>IF(ISBLANK('ALL Other SINs - Proposal'!R905)," ",'ALL Other SINs - Proposal'!R905)</f>
        <v xml:space="preserve"> </v>
      </c>
      <c r="F905" s="73" t="str">
        <f>IF(ISBLANK('ALL Other SINs - Proposal'!S905)," ",'ALL Other SINs - Proposal'!S905)</f>
        <v xml:space="preserve"> </v>
      </c>
      <c r="G905" s="173" t="str">
        <f>IF(ISBLANK('ALL Other SINs - Proposal'!T905)," ",'ALL Other SINs - Proposal'!T905)</f>
        <v xml:space="preserve"> </v>
      </c>
      <c r="H905" s="275" t="str">
        <f>IF(ISBLANK('ALL Other SINs - Proposal'!V905)," ",'ALL Other SINs - Proposal'!V905)</f>
        <v xml:space="preserve"> </v>
      </c>
      <c r="I905" s="271" t="str">
        <f>IF(ISBLANK('ALL Other SINs - Proposal'!W905)," ",'ALL Other SINs - Proposal'!W905)</f>
        <v xml:space="preserve"> </v>
      </c>
      <c r="J905" s="71" t="str">
        <f>IF(ISBLANK('ALL Other SINs - Proposal'!X905)," ",'ALL Other SINs - Proposal'!X905)</f>
        <v xml:space="preserve"> </v>
      </c>
      <c r="K905" s="165" t="str">
        <f>IF(ISBLANK('ALL Other SINs - Proposal'!AA905)," ",'ALL Other SINs - Proposal'!AA905)</f>
        <v xml:space="preserve"> </v>
      </c>
      <c r="L905" s="178" t="str">
        <f>IF(ISBLANK('ALL Other SINs - Proposal'!AB905)," ",'ALL Other SINs - Proposal'!AB905)</f>
        <v xml:space="preserve"> </v>
      </c>
      <c r="M905" s="72" t="str">
        <f t="shared" si="28"/>
        <v xml:space="preserve"> </v>
      </c>
      <c r="N905" s="167" t="str">
        <f t="shared" si="29"/>
        <v xml:space="preserve"> </v>
      </c>
    </row>
    <row r="906" spans="1:14" ht="15" x14ac:dyDescent="0.25">
      <c r="A906" s="131" t="str">
        <f>IF(ISBLANK('ALL Other SINs - Proposal'!A906)," ",'ALL Other SINs - Proposal'!A906)</f>
        <v xml:space="preserve"> </v>
      </c>
      <c r="B906" s="137" t="str">
        <f>IF(ISBLANK('ALL Other SINs - Proposal'!B906)," ",'ALL Other SINs - Proposal'!B906)</f>
        <v xml:space="preserve"> </v>
      </c>
      <c r="C906" s="137" t="str">
        <f>IF(ISBLANK('ALL Other SINs - Proposal'!C906)," ",'ALL Other SINs - Proposal'!C906)</f>
        <v xml:space="preserve"> </v>
      </c>
      <c r="D906" s="138" t="str">
        <f>IF(ISBLANK('ALL Other SINs - Proposal'!D906)," ",'ALL Other SINs - Proposal'!D906)</f>
        <v xml:space="preserve"> </v>
      </c>
      <c r="E906" s="69" t="str">
        <f>IF(ISBLANK('ALL Other SINs - Proposal'!R906)," ",'ALL Other SINs - Proposal'!R906)</f>
        <v xml:space="preserve"> </v>
      </c>
      <c r="F906" s="73" t="str">
        <f>IF(ISBLANK('ALL Other SINs - Proposal'!S906)," ",'ALL Other SINs - Proposal'!S906)</f>
        <v xml:space="preserve"> </v>
      </c>
      <c r="G906" s="173" t="str">
        <f>IF(ISBLANK('ALL Other SINs - Proposal'!T906)," ",'ALL Other SINs - Proposal'!T906)</f>
        <v xml:space="preserve"> </v>
      </c>
      <c r="H906" s="275" t="str">
        <f>IF(ISBLANK('ALL Other SINs - Proposal'!V906)," ",'ALL Other SINs - Proposal'!V906)</f>
        <v xml:space="preserve"> </v>
      </c>
      <c r="I906" s="271" t="str">
        <f>IF(ISBLANK('ALL Other SINs - Proposal'!W906)," ",'ALL Other SINs - Proposal'!W906)</f>
        <v xml:space="preserve"> </v>
      </c>
      <c r="J906" s="71" t="str">
        <f>IF(ISBLANK('ALL Other SINs - Proposal'!X906)," ",'ALL Other SINs - Proposal'!X906)</f>
        <v xml:space="preserve"> </v>
      </c>
      <c r="K906" s="165" t="str">
        <f>IF(ISBLANK('ALL Other SINs - Proposal'!AA906)," ",'ALL Other SINs - Proposal'!AA906)</f>
        <v xml:space="preserve"> </v>
      </c>
      <c r="L906" s="178" t="str">
        <f>IF(ISBLANK('ALL Other SINs - Proposal'!AB906)," ",'ALL Other SINs - Proposal'!AB906)</f>
        <v xml:space="preserve"> </v>
      </c>
      <c r="M906" s="72" t="str">
        <f t="shared" si="28"/>
        <v xml:space="preserve"> </v>
      </c>
      <c r="N906" s="167" t="str">
        <f t="shared" si="29"/>
        <v xml:space="preserve"> </v>
      </c>
    </row>
    <row r="907" spans="1:14" ht="15" x14ac:dyDescent="0.25">
      <c r="A907" s="131" t="str">
        <f>IF(ISBLANK('ALL Other SINs - Proposal'!A907)," ",'ALL Other SINs - Proposal'!A907)</f>
        <v xml:space="preserve"> </v>
      </c>
      <c r="B907" s="137" t="str">
        <f>IF(ISBLANK('ALL Other SINs - Proposal'!B907)," ",'ALL Other SINs - Proposal'!B907)</f>
        <v xml:space="preserve"> </v>
      </c>
      <c r="C907" s="137" t="str">
        <f>IF(ISBLANK('ALL Other SINs - Proposal'!C907)," ",'ALL Other SINs - Proposal'!C907)</f>
        <v xml:space="preserve"> </v>
      </c>
      <c r="D907" s="138" t="str">
        <f>IF(ISBLANK('ALL Other SINs - Proposal'!D907)," ",'ALL Other SINs - Proposal'!D907)</f>
        <v xml:space="preserve"> </v>
      </c>
      <c r="E907" s="69" t="str">
        <f>IF(ISBLANK('ALL Other SINs - Proposal'!R907)," ",'ALL Other SINs - Proposal'!R907)</f>
        <v xml:space="preserve"> </v>
      </c>
      <c r="F907" s="73" t="str">
        <f>IF(ISBLANK('ALL Other SINs - Proposal'!S907)," ",'ALL Other SINs - Proposal'!S907)</f>
        <v xml:space="preserve"> </v>
      </c>
      <c r="G907" s="173" t="str">
        <f>IF(ISBLANK('ALL Other SINs - Proposal'!T907)," ",'ALL Other SINs - Proposal'!T907)</f>
        <v xml:space="preserve"> </v>
      </c>
      <c r="H907" s="275" t="str">
        <f>IF(ISBLANK('ALL Other SINs - Proposal'!V907)," ",'ALL Other SINs - Proposal'!V907)</f>
        <v xml:space="preserve"> </v>
      </c>
      <c r="I907" s="271" t="str">
        <f>IF(ISBLANK('ALL Other SINs - Proposal'!W907)," ",'ALL Other SINs - Proposal'!W907)</f>
        <v xml:space="preserve"> </v>
      </c>
      <c r="J907" s="71" t="str">
        <f>IF(ISBLANK('ALL Other SINs - Proposal'!X907)," ",'ALL Other SINs - Proposal'!X907)</f>
        <v xml:space="preserve"> </v>
      </c>
      <c r="K907" s="165" t="str">
        <f>IF(ISBLANK('ALL Other SINs - Proposal'!AA907)," ",'ALL Other SINs - Proposal'!AA907)</f>
        <v xml:space="preserve"> </v>
      </c>
      <c r="L907" s="178" t="str">
        <f>IF(ISBLANK('ALL Other SINs - Proposal'!AB907)," ",'ALL Other SINs - Proposal'!AB907)</f>
        <v xml:space="preserve"> </v>
      </c>
      <c r="M907" s="72" t="str">
        <f t="shared" si="28"/>
        <v xml:space="preserve"> </v>
      </c>
      <c r="N907" s="167" t="str">
        <f t="shared" si="29"/>
        <v xml:space="preserve"> </v>
      </c>
    </row>
    <row r="908" spans="1:14" ht="15" x14ac:dyDescent="0.25">
      <c r="A908" s="131" t="str">
        <f>IF(ISBLANK('ALL Other SINs - Proposal'!A908)," ",'ALL Other SINs - Proposal'!A908)</f>
        <v xml:space="preserve"> </v>
      </c>
      <c r="B908" s="137" t="str">
        <f>IF(ISBLANK('ALL Other SINs - Proposal'!B908)," ",'ALL Other SINs - Proposal'!B908)</f>
        <v xml:space="preserve"> </v>
      </c>
      <c r="C908" s="137" t="str">
        <f>IF(ISBLANK('ALL Other SINs - Proposal'!C908)," ",'ALL Other SINs - Proposal'!C908)</f>
        <v xml:space="preserve"> </v>
      </c>
      <c r="D908" s="138" t="str">
        <f>IF(ISBLANK('ALL Other SINs - Proposal'!D908)," ",'ALL Other SINs - Proposal'!D908)</f>
        <v xml:space="preserve"> </v>
      </c>
      <c r="E908" s="69" t="str">
        <f>IF(ISBLANK('ALL Other SINs - Proposal'!R908)," ",'ALL Other SINs - Proposal'!R908)</f>
        <v xml:space="preserve"> </v>
      </c>
      <c r="F908" s="73" t="str">
        <f>IF(ISBLANK('ALL Other SINs - Proposal'!S908)," ",'ALL Other SINs - Proposal'!S908)</f>
        <v xml:space="preserve"> </v>
      </c>
      <c r="G908" s="173" t="str">
        <f>IF(ISBLANK('ALL Other SINs - Proposal'!T908)," ",'ALL Other SINs - Proposal'!T908)</f>
        <v xml:space="preserve"> </v>
      </c>
      <c r="H908" s="275" t="str">
        <f>IF(ISBLANK('ALL Other SINs - Proposal'!V908)," ",'ALL Other SINs - Proposal'!V908)</f>
        <v xml:space="preserve"> </v>
      </c>
      <c r="I908" s="271" t="str">
        <f>IF(ISBLANK('ALL Other SINs - Proposal'!W908)," ",'ALL Other SINs - Proposal'!W908)</f>
        <v xml:space="preserve"> </v>
      </c>
      <c r="J908" s="71" t="str">
        <f>IF(ISBLANK('ALL Other SINs - Proposal'!X908)," ",'ALL Other SINs - Proposal'!X908)</f>
        <v xml:space="preserve"> </v>
      </c>
      <c r="K908" s="165" t="str">
        <f>IF(ISBLANK('ALL Other SINs - Proposal'!AA908)," ",'ALL Other SINs - Proposal'!AA908)</f>
        <v xml:space="preserve"> </v>
      </c>
      <c r="L908" s="178" t="str">
        <f>IF(ISBLANK('ALL Other SINs - Proposal'!AB908)," ",'ALL Other SINs - Proposal'!AB908)</f>
        <v xml:space="preserve"> </v>
      </c>
      <c r="M908" s="72" t="str">
        <f t="shared" si="28"/>
        <v xml:space="preserve"> </v>
      </c>
      <c r="N908" s="167" t="str">
        <f t="shared" si="29"/>
        <v xml:space="preserve"> </v>
      </c>
    </row>
    <row r="909" spans="1:14" ht="15" x14ac:dyDescent="0.25">
      <c r="A909" s="131" t="str">
        <f>IF(ISBLANK('ALL Other SINs - Proposal'!A909)," ",'ALL Other SINs - Proposal'!A909)</f>
        <v xml:space="preserve"> </v>
      </c>
      <c r="B909" s="137" t="str">
        <f>IF(ISBLANK('ALL Other SINs - Proposal'!B909)," ",'ALL Other SINs - Proposal'!B909)</f>
        <v xml:space="preserve"> </v>
      </c>
      <c r="C909" s="137" t="str">
        <f>IF(ISBLANK('ALL Other SINs - Proposal'!C909)," ",'ALL Other SINs - Proposal'!C909)</f>
        <v xml:space="preserve"> </v>
      </c>
      <c r="D909" s="138" t="str">
        <f>IF(ISBLANK('ALL Other SINs - Proposal'!D909)," ",'ALL Other SINs - Proposal'!D909)</f>
        <v xml:space="preserve"> </v>
      </c>
      <c r="E909" s="69" t="str">
        <f>IF(ISBLANK('ALL Other SINs - Proposal'!R909)," ",'ALL Other SINs - Proposal'!R909)</f>
        <v xml:space="preserve"> </v>
      </c>
      <c r="F909" s="73" t="str">
        <f>IF(ISBLANK('ALL Other SINs - Proposal'!S909)," ",'ALL Other SINs - Proposal'!S909)</f>
        <v xml:space="preserve"> </v>
      </c>
      <c r="G909" s="173" t="str">
        <f>IF(ISBLANK('ALL Other SINs - Proposal'!T909)," ",'ALL Other SINs - Proposal'!T909)</f>
        <v xml:space="preserve"> </v>
      </c>
      <c r="H909" s="275" t="str">
        <f>IF(ISBLANK('ALL Other SINs - Proposal'!V909)," ",'ALL Other SINs - Proposal'!V909)</f>
        <v xml:space="preserve"> </v>
      </c>
      <c r="I909" s="271" t="str">
        <f>IF(ISBLANK('ALL Other SINs - Proposal'!W909)," ",'ALL Other SINs - Proposal'!W909)</f>
        <v xml:space="preserve"> </v>
      </c>
      <c r="J909" s="71" t="str">
        <f>IF(ISBLANK('ALL Other SINs - Proposal'!X909)," ",'ALL Other SINs - Proposal'!X909)</f>
        <v xml:space="preserve"> </v>
      </c>
      <c r="K909" s="165" t="str">
        <f>IF(ISBLANK('ALL Other SINs - Proposal'!AA909)," ",'ALL Other SINs - Proposal'!AA909)</f>
        <v xml:space="preserve"> </v>
      </c>
      <c r="L909" s="178" t="str">
        <f>IF(ISBLANK('ALL Other SINs - Proposal'!AB909)," ",'ALL Other SINs - Proposal'!AB909)</f>
        <v xml:space="preserve"> </v>
      </c>
      <c r="M909" s="72" t="str">
        <f t="shared" si="28"/>
        <v xml:space="preserve"> </v>
      </c>
      <c r="N909" s="167" t="str">
        <f t="shared" si="29"/>
        <v xml:space="preserve"> </v>
      </c>
    </row>
    <row r="910" spans="1:14" ht="15" x14ac:dyDescent="0.25">
      <c r="A910" s="131" t="str">
        <f>IF(ISBLANK('ALL Other SINs - Proposal'!A910)," ",'ALL Other SINs - Proposal'!A910)</f>
        <v xml:space="preserve"> </v>
      </c>
      <c r="B910" s="137" t="str">
        <f>IF(ISBLANK('ALL Other SINs - Proposal'!B910)," ",'ALL Other SINs - Proposal'!B910)</f>
        <v xml:space="preserve"> </v>
      </c>
      <c r="C910" s="137" t="str">
        <f>IF(ISBLANK('ALL Other SINs - Proposal'!C910)," ",'ALL Other SINs - Proposal'!C910)</f>
        <v xml:space="preserve"> </v>
      </c>
      <c r="D910" s="138" t="str">
        <f>IF(ISBLANK('ALL Other SINs - Proposal'!D910)," ",'ALL Other SINs - Proposal'!D910)</f>
        <v xml:space="preserve"> </v>
      </c>
      <c r="E910" s="69" t="str">
        <f>IF(ISBLANK('ALL Other SINs - Proposal'!R910)," ",'ALL Other SINs - Proposal'!R910)</f>
        <v xml:space="preserve"> </v>
      </c>
      <c r="F910" s="73" t="str">
        <f>IF(ISBLANK('ALL Other SINs - Proposal'!S910)," ",'ALL Other SINs - Proposal'!S910)</f>
        <v xml:space="preserve"> </v>
      </c>
      <c r="G910" s="173" t="str">
        <f>IF(ISBLANK('ALL Other SINs - Proposal'!T910)," ",'ALL Other SINs - Proposal'!T910)</f>
        <v xml:space="preserve"> </v>
      </c>
      <c r="H910" s="275" t="str">
        <f>IF(ISBLANK('ALL Other SINs - Proposal'!V910)," ",'ALL Other SINs - Proposal'!V910)</f>
        <v xml:space="preserve"> </v>
      </c>
      <c r="I910" s="271" t="str">
        <f>IF(ISBLANK('ALL Other SINs - Proposal'!W910)," ",'ALL Other SINs - Proposal'!W910)</f>
        <v xml:space="preserve"> </v>
      </c>
      <c r="J910" s="71" t="str">
        <f>IF(ISBLANK('ALL Other SINs - Proposal'!X910)," ",'ALL Other SINs - Proposal'!X910)</f>
        <v xml:space="preserve"> </v>
      </c>
      <c r="K910" s="165" t="str">
        <f>IF(ISBLANK('ALL Other SINs - Proposal'!AA910)," ",'ALL Other SINs - Proposal'!AA910)</f>
        <v xml:space="preserve"> </v>
      </c>
      <c r="L910" s="178" t="str">
        <f>IF(ISBLANK('ALL Other SINs - Proposal'!AB910)," ",'ALL Other SINs - Proposal'!AB910)</f>
        <v xml:space="preserve"> </v>
      </c>
      <c r="M910" s="72" t="str">
        <f t="shared" si="28"/>
        <v xml:space="preserve"> </v>
      </c>
      <c r="N910" s="167" t="str">
        <f t="shared" si="29"/>
        <v xml:space="preserve"> </v>
      </c>
    </row>
    <row r="911" spans="1:14" ht="15" x14ac:dyDescent="0.25">
      <c r="A911" s="131" t="str">
        <f>IF(ISBLANK('ALL Other SINs - Proposal'!A911)," ",'ALL Other SINs - Proposal'!A911)</f>
        <v xml:space="preserve"> </v>
      </c>
      <c r="B911" s="137" t="str">
        <f>IF(ISBLANK('ALL Other SINs - Proposal'!B911)," ",'ALL Other SINs - Proposal'!B911)</f>
        <v xml:space="preserve"> </v>
      </c>
      <c r="C911" s="137" t="str">
        <f>IF(ISBLANK('ALL Other SINs - Proposal'!C911)," ",'ALL Other SINs - Proposal'!C911)</f>
        <v xml:space="preserve"> </v>
      </c>
      <c r="D911" s="138" t="str">
        <f>IF(ISBLANK('ALL Other SINs - Proposal'!D911)," ",'ALL Other SINs - Proposal'!D911)</f>
        <v xml:space="preserve"> </v>
      </c>
      <c r="E911" s="69" t="str">
        <f>IF(ISBLANK('ALL Other SINs - Proposal'!R911)," ",'ALL Other SINs - Proposal'!R911)</f>
        <v xml:space="preserve"> </v>
      </c>
      <c r="F911" s="73" t="str">
        <f>IF(ISBLANK('ALL Other SINs - Proposal'!S911)," ",'ALL Other SINs - Proposal'!S911)</f>
        <v xml:space="preserve"> </v>
      </c>
      <c r="G911" s="173" t="str">
        <f>IF(ISBLANK('ALL Other SINs - Proposal'!T911)," ",'ALL Other SINs - Proposal'!T911)</f>
        <v xml:space="preserve"> </v>
      </c>
      <c r="H911" s="275" t="str">
        <f>IF(ISBLANK('ALL Other SINs - Proposal'!V911)," ",'ALL Other SINs - Proposal'!V911)</f>
        <v xml:space="preserve"> </v>
      </c>
      <c r="I911" s="271" t="str">
        <f>IF(ISBLANK('ALL Other SINs - Proposal'!W911)," ",'ALL Other SINs - Proposal'!W911)</f>
        <v xml:space="preserve"> </v>
      </c>
      <c r="J911" s="71" t="str">
        <f>IF(ISBLANK('ALL Other SINs - Proposal'!X911)," ",'ALL Other SINs - Proposal'!X911)</f>
        <v xml:space="preserve"> </v>
      </c>
      <c r="K911" s="165" t="str">
        <f>IF(ISBLANK('ALL Other SINs - Proposal'!AA911)," ",'ALL Other SINs - Proposal'!AA911)</f>
        <v xml:space="preserve"> </v>
      </c>
      <c r="L911" s="178" t="str">
        <f>IF(ISBLANK('ALL Other SINs - Proposal'!AB911)," ",'ALL Other SINs - Proposal'!AB911)</f>
        <v xml:space="preserve"> </v>
      </c>
      <c r="M911" s="72" t="str">
        <f t="shared" si="28"/>
        <v xml:space="preserve"> </v>
      </c>
      <c r="N911" s="167" t="str">
        <f t="shared" si="29"/>
        <v xml:space="preserve"> </v>
      </c>
    </row>
    <row r="912" spans="1:14" ht="15" x14ac:dyDescent="0.25">
      <c r="A912" s="131" t="str">
        <f>IF(ISBLANK('ALL Other SINs - Proposal'!A912)," ",'ALL Other SINs - Proposal'!A912)</f>
        <v xml:space="preserve"> </v>
      </c>
      <c r="B912" s="137" t="str">
        <f>IF(ISBLANK('ALL Other SINs - Proposal'!B912)," ",'ALL Other SINs - Proposal'!B912)</f>
        <v xml:space="preserve"> </v>
      </c>
      <c r="C912" s="137" t="str">
        <f>IF(ISBLANK('ALL Other SINs - Proposal'!C912)," ",'ALL Other SINs - Proposal'!C912)</f>
        <v xml:space="preserve"> </v>
      </c>
      <c r="D912" s="138" t="str">
        <f>IF(ISBLANK('ALL Other SINs - Proposal'!D912)," ",'ALL Other SINs - Proposal'!D912)</f>
        <v xml:space="preserve"> </v>
      </c>
      <c r="E912" s="69" t="str">
        <f>IF(ISBLANK('ALL Other SINs - Proposal'!R912)," ",'ALL Other SINs - Proposal'!R912)</f>
        <v xml:space="preserve"> </v>
      </c>
      <c r="F912" s="73" t="str">
        <f>IF(ISBLANK('ALL Other SINs - Proposal'!S912)," ",'ALL Other SINs - Proposal'!S912)</f>
        <v xml:space="preserve"> </v>
      </c>
      <c r="G912" s="173" t="str">
        <f>IF(ISBLANK('ALL Other SINs - Proposal'!T912)," ",'ALL Other SINs - Proposal'!T912)</f>
        <v xml:space="preserve"> </v>
      </c>
      <c r="H912" s="275" t="str">
        <f>IF(ISBLANK('ALL Other SINs - Proposal'!V912)," ",'ALL Other SINs - Proposal'!V912)</f>
        <v xml:space="preserve"> </v>
      </c>
      <c r="I912" s="271" t="str">
        <f>IF(ISBLANK('ALL Other SINs - Proposal'!W912)," ",'ALL Other SINs - Proposal'!W912)</f>
        <v xml:space="preserve"> </v>
      </c>
      <c r="J912" s="71" t="str">
        <f>IF(ISBLANK('ALL Other SINs - Proposal'!X912)," ",'ALL Other SINs - Proposal'!X912)</f>
        <v xml:space="preserve"> </v>
      </c>
      <c r="K912" s="165" t="str">
        <f>IF(ISBLANK('ALL Other SINs - Proposal'!AA912)," ",'ALL Other SINs - Proposal'!AA912)</f>
        <v xml:space="preserve"> </v>
      </c>
      <c r="L912" s="178" t="str">
        <f>IF(ISBLANK('ALL Other SINs - Proposal'!AB912)," ",'ALL Other SINs - Proposal'!AB912)</f>
        <v xml:space="preserve"> </v>
      </c>
      <c r="M912" s="72" t="str">
        <f t="shared" si="28"/>
        <v xml:space="preserve"> </v>
      </c>
      <c r="N912" s="167" t="str">
        <f t="shared" si="29"/>
        <v xml:space="preserve"> </v>
      </c>
    </row>
    <row r="913" spans="1:14" ht="15" x14ac:dyDescent="0.25">
      <c r="A913" s="131" t="str">
        <f>IF(ISBLANK('ALL Other SINs - Proposal'!A913)," ",'ALL Other SINs - Proposal'!A913)</f>
        <v xml:space="preserve"> </v>
      </c>
      <c r="B913" s="137" t="str">
        <f>IF(ISBLANK('ALL Other SINs - Proposal'!B913)," ",'ALL Other SINs - Proposal'!B913)</f>
        <v xml:space="preserve"> </v>
      </c>
      <c r="C913" s="137" t="str">
        <f>IF(ISBLANK('ALL Other SINs - Proposal'!C913)," ",'ALL Other SINs - Proposal'!C913)</f>
        <v xml:space="preserve"> </v>
      </c>
      <c r="D913" s="138" t="str">
        <f>IF(ISBLANK('ALL Other SINs - Proposal'!D913)," ",'ALL Other SINs - Proposal'!D913)</f>
        <v xml:space="preserve"> </v>
      </c>
      <c r="E913" s="69" t="str">
        <f>IF(ISBLANK('ALL Other SINs - Proposal'!R913)," ",'ALL Other SINs - Proposal'!R913)</f>
        <v xml:space="preserve"> </v>
      </c>
      <c r="F913" s="73" t="str">
        <f>IF(ISBLANK('ALL Other SINs - Proposal'!S913)," ",'ALL Other SINs - Proposal'!S913)</f>
        <v xml:space="preserve"> </v>
      </c>
      <c r="G913" s="173" t="str">
        <f>IF(ISBLANK('ALL Other SINs - Proposal'!T913)," ",'ALL Other SINs - Proposal'!T913)</f>
        <v xml:space="preserve"> </v>
      </c>
      <c r="H913" s="275" t="str">
        <f>IF(ISBLANK('ALL Other SINs - Proposal'!V913)," ",'ALL Other SINs - Proposal'!V913)</f>
        <v xml:space="preserve"> </v>
      </c>
      <c r="I913" s="271" t="str">
        <f>IF(ISBLANK('ALL Other SINs - Proposal'!W913)," ",'ALL Other SINs - Proposal'!W913)</f>
        <v xml:space="preserve"> </v>
      </c>
      <c r="J913" s="71" t="str">
        <f>IF(ISBLANK('ALL Other SINs - Proposal'!X913)," ",'ALL Other SINs - Proposal'!X913)</f>
        <v xml:space="preserve"> </v>
      </c>
      <c r="K913" s="165" t="str">
        <f>IF(ISBLANK('ALL Other SINs - Proposal'!AA913)," ",'ALL Other SINs - Proposal'!AA913)</f>
        <v xml:space="preserve"> </v>
      </c>
      <c r="L913" s="178" t="str">
        <f>IF(ISBLANK('ALL Other SINs - Proposal'!AB913)," ",'ALL Other SINs - Proposal'!AB913)</f>
        <v xml:space="preserve"> </v>
      </c>
      <c r="M913" s="72" t="str">
        <f t="shared" si="28"/>
        <v xml:space="preserve"> </v>
      </c>
      <c r="N913" s="167" t="str">
        <f t="shared" si="29"/>
        <v xml:space="preserve"> </v>
      </c>
    </row>
    <row r="914" spans="1:14" ht="15" x14ac:dyDescent="0.25">
      <c r="A914" s="131" t="str">
        <f>IF(ISBLANK('ALL Other SINs - Proposal'!A914)," ",'ALL Other SINs - Proposal'!A914)</f>
        <v xml:space="preserve"> </v>
      </c>
      <c r="B914" s="137" t="str">
        <f>IF(ISBLANK('ALL Other SINs - Proposal'!B914)," ",'ALL Other SINs - Proposal'!B914)</f>
        <v xml:space="preserve"> </v>
      </c>
      <c r="C914" s="137" t="str">
        <f>IF(ISBLANK('ALL Other SINs - Proposal'!C914)," ",'ALL Other SINs - Proposal'!C914)</f>
        <v xml:space="preserve"> </v>
      </c>
      <c r="D914" s="138" t="str">
        <f>IF(ISBLANK('ALL Other SINs - Proposal'!D914)," ",'ALL Other SINs - Proposal'!D914)</f>
        <v xml:space="preserve"> </v>
      </c>
      <c r="E914" s="69" t="str">
        <f>IF(ISBLANK('ALL Other SINs - Proposal'!R914)," ",'ALL Other SINs - Proposal'!R914)</f>
        <v xml:space="preserve"> </v>
      </c>
      <c r="F914" s="73" t="str">
        <f>IF(ISBLANK('ALL Other SINs - Proposal'!S914)," ",'ALL Other SINs - Proposal'!S914)</f>
        <v xml:space="preserve"> </v>
      </c>
      <c r="G914" s="173" t="str">
        <f>IF(ISBLANK('ALL Other SINs - Proposal'!T914)," ",'ALL Other SINs - Proposal'!T914)</f>
        <v xml:space="preserve"> </v>
      </c>
      <c r="H914" s="275" t="str">
        <f>IF(ISBLANK('ALL Other SINs - Proposal'!V914)," ",'ALL Other SINs - Proposal'!V914)</f>
        <v xml:space="preserve"> </v>
      </c>
      <c r="I914" s="271" t="str">
        <f>IF(ISBLANK('ALL Other SINs - Proposal'!W914)," ",'ALL Other SINs - Proposal'!W914)</f>
        <v xml:space="preserve"> </v>
      </c>
      <c r="J914" s="71" t="str">
        <f>IF(ISBLANK('ALL Other SINs - Proposal'!X914)," ",'ALL Other SINs - Proposal'!X914)</f>
        <v xml:space="preserve"> </v>
      </c>
      <c r="K914" s="165" t="str">
        <f>IF(ISBLANK('ALL Other SINs - Proposal'!AA914)," ",'ALL Other SINs - Proposal'!AA914)</f>
        <v xml:space="preserve"> </v>
      </c>
      <c r="L914" s="178" t="str">
        <f>IF(ISBLANK('ALL Other SINs - Proposal'!AB914)," ",'ALL Other SINs - Proposal'!AB914)</f>
        <v xml:space="preserve"> </v>
      </c>
      <c r="M914" s="72" t="str">
        <f t="shared" si="28"/>
        <v xml:space="preserve"> </v>
      </c>
      <c r="N914" s="167" t="str">
        <f t="shared" si="29"/>
        <v xml:space="preserve"> </v>
      </c>
    </row>
    <row r="915" spans="1:14" ht="15" x14ac:dyDescent="0.25">
      <c r="A915" s="131" t="str">
        <f>IF(ISBLANK('ALL Other SINs - Proposal'!A915)," ",'ALL Other SINs - Proposal'!A915)</f>
        <v xml:space="preserve"> </v>
      </c>
      <c r="B915" s="137" t="str">
        <f>IF(ISBLANK('ALL Other SINs - Proposal'!B915)," ",'ALL Other SINs - Proposal'!B915)</f>
        <v xml:space="preserve"> </v>
      </c>
      <c r="C915" s="137" t="str">
        <f>IF(ISBLANK('ALL Other SINs - Proposal'!C915)," ",'ALL Other SINs - Proposal'!C915)</f>
        <v xml:space="preserve"> </v>
      </c>
      <c r="D915" s="138" t="str">
        <f>IF(ISBLANK('ALL Other SINs - Proposal'!D915)," ",'ALL Other SINs - Proposal'!D915)</f>
        <v xml:space="preserve"> </v>
      </c>
      <c r="E915" s="69" t="str">
        <f>IF(ISBLANK('ALL Other SINs - Proposal'!R915)," ",'ALL Other SINs - Proposal'!R915)</f>
        <v xml:space="preserve"> </v>
      </c>
      <c r="F915" s="73" t="str">
        <f>IF(ISBLANK('ALL Other SINs - Proposal'!S915)," ",'ALL Other SINs - Proposal'!S915)</f>
        <v xml:space="preserve"> </v>
      </c>
      <c r="G915" s="173" t="str">
        <f>IF(ISBLANK('ALL Other SINs - Proposal'!T915)," ",'ALL Other SINs - Proposal'!T915)</f>
        <v xml:space="preserve"> </v>
      </c>
      <c r="H915" s="275" t="str">
        <f>IF(ISBLANK('ALL Other SINs - Proposal'!V915)," ",'ALL Other SINs - Proposal'!V915)</f>
        <v xml:space="preserve"> </v>
      </c>
      <c r="I915" s="271" t="str">
        <f>IF(ISBLANK('ALL Other SINs - Proposal'!W915)," ",'ALL Other SINs - Proposal'!W915)</f>
        <v xml:space="preserve"> </v>
      </c>
      <c r="J915" s="71" t="str">
        <f>IF(ISBLANK('ALL Other SINs - Proposal'!X915)," ",'ALL Other SINs - Proposal'!X915)</f>
        <v xml:space="preserve"> </v>
      </c>
      <c r="K915" s="165" t="str">
        <f>IF(ISBLANK('ALL Other SINs - Proposal'!AA915)," ",'ALL Other SINs - Proposal'!AA915)</f>
        <v xml:space="preserve"> </v>
      </c>
      <c r="L915" s="178" t="str">
        <f>IF(ISBLANK('ALL Other SINs - Proposal'!AB915)," ",'ALL Other SINs - Proposal'!AB915)</f>
        <v xml:space="preserve"> </v>
      </c>
      <c r="M915" s="72" t="str">
        <f t="shared" si="28"/>
        <v xml:space="preserve"> </v>
      </c>
      <c r="N915" s="167" t="str">
        <f t="shared" si="29"/>
        <v xml:space="preserve"> </v>
      </c>
    </row>
    <row r="916" spans="1:14" ht="15" x14ac:dyDescent="0.25">
      <c r="A916" s="131" t="str">
        <f>IF(ISBLANK('ALL Other SINs - Proposal'!A916)," ",'ALL Other SINs - Proposal'!A916)</f>
        <v xml:space="preserve"> </v>
      </c>
      <c r="B916" s="137" t="str">
        <f>IF(ISBLANK('ALL Other SINs - Proposal'!B916)," ",'ALL Other SINs - Proposal'!B916)</f>
        <v xml:space="preserve"> </v>
      </c>
      <c r="C916" s="137" t="str">
        <f>IF(ISBLANK('ALL Other SINs - Proposal'!C916)," ",'ALL Other SINs - Proposal'!C916)</f>
        <v xml:space="preserve"> </v>
      </c>
      <c r="D916" s="138" t="str">
        <f>IF(ISBLANK('ALL Other SINs - Proposal'!D916)," ",'ALL Other SINs - Proposal'!D916)</f>
        <v xml:space="preserve"> </v>
      </c>
      <c r="E916" s="69" t="str">
        <f>IF(ISBLANK('ALL Other SINs - Proposal'!R916)," ",'ALL Other SINs - Proposal'!R916)</f>
        <v xml:space="preserve"> </v>
      </c>
      <c r="F916" s="73" t="str">
        <f>IF(ISBLANK('ALL Other SINs - Proposal'!S916)," ",'ALL Other SINs - Proposal'!S916)</f>
        <v xml:space="preserve"> </v>
      </c>
      <c r="G916" s="173" t="str">
        <f>IF(ISBLANK('ALL Other SINs - Proposal'!T916)," ",'ALL Other SINs - Proposal'!T916)</f>
        <v xml:space="preserve"> </v>
      </c>
      <c r="H916" s="275" t="str">
        <f>IF(ISBLANK('ALL Other SINs - Proposal'!V916)," ",'ALL Other SINs - Proposal'!V916)</f>
        <v xml:space="preserve"> </v>
      </c>
      <c r="I916" s="271" t="str">
        <f>IF(ISBLANK('ALL Other SINs - Proposal'!W916)," ",'ALL Other SINs - Proposal'!W916)</f>
        <v xml:space="preserve"> </v>
      </c>
      <c r="J916" s="71" t="str">
        <f>IF(ISBLANK('ALL Other SINs - Proposal'!X916)," ",'ALL Other SINs - Proposal'!X916)</f>
        <v xml:space="preserve"> </v>
      </c>
      <c r="K916" s="165" t="str">
        <f>IF(ISBLANK('ALL Other SINs - Proposal'!AA916)," ",'ALL Other SINs - Proposal'!AA916)</f>
        <v xml:space="preserve"> </v>
      </c>
      <c r="L916" s="178" t="str">
        <f>IF(ISBLANK('ALL Other SINs - Proposal'!AB916)," ",'ALL Other SINs - Proposal'!AB916)</f>
        <v xml:space="preserve"> </v>
      </c>
      <c r="M916" s="72" t="str">
        <f t="shared" si="28"/>
        <v xml:space="preserve"> </v>
      </c>
      <c r="N916" s="167" t="str">
        <f t="shared" si="29"/>
        <v xml:space="preserve"> </v>
      </c>
    </row>
    <row r="917" spans="1:14" ht="15" x14ac:dyDescent="0.25">
      <c r="A917" s="131" t="str">
        <f>IF(ISBLANK('ALL Other SINs - Proposal'!A917)," ",'ALL Other SINs - Proposal'!A917)</f>
        <v xml:space="preserve"> </v>
      </c>
      <c r="B917" s="137" t="str">
        <f>IF(ISBLANK('ALL Other SINs - Proposal'!B917)," ",'ALL Other SINs - Proposal'!B917)</f>
        <v xml:space="preserve"> </v>
      </c>
      <c r="C917" s="137" t="str">
        <f>IF(ISBLANK('ALL Other SINs - Proposal'!C917)," ",'ALL Other SINs - Proposal'!C917)</f>
        <v xml:space="preserve"> </v>
      </c>
      <c r="D917" s="138" t="str">
        <f>IF(ISBLANK('ALL Other SINs - Proposal'!D917)," ",'ALL Other SINs - Proposal'!D917)</f>
        <v xml:space="preserve"> </v>
      </c>
      <c r="E917" s="69" t="str">
        <f>IF(ISBLANK('ALL Other SINs - Proposal'!R917)," ",'ALL Other SINs - Proposal'!R917)</f>
        <v xml:space="preserve"> </v>
      </c>
      <c r="F917" s="73" t="str">
        <f>IF(ISBLANK('ALL Other SINs - Proposal'!S917)," ",'ALL Other SINs - Proposal'!S917)</f>
        <v xml:space="preserve"> </v>
      </c>
      <c r="G917" s="173" t="str">
        <f>IF(ISBLANK('ALL Other SINs - Proposal'!T917)," ",'ALL Other SINs - Proposal'!T917)</f>
        <v xml:space="preserve"> </v>
      </c>
      <c r="H917" s="275" t="str">
        <f>IF(ISBLANK('ALL Other SINs - Proposal'!V917)," ",'ALL Other SINs - Proposal'!V917)</f>
        <v xml:space="preserve"> </v>
      </c>
      <c r="I917" s="271" t="str">
        <f>IF(ISBLANK('ALL Other SINs - Proposal'!W917)," ",'ALL Other SINs - Proposal'!W917)</f>
        <v xml:space="preserve"> </v>
      </c>
      <c r="J917" s="71" t="str">
        <f>IF(ISBLANK('ALL Other SINs - Proposal'!X917)," ",'ALL Other SINs - Proposal'!X917)</f>
        <v xml:space="preserve"> </v>
      </c>
      <c r="K917" s="165" t="str">
        <f>IF(ISBLANK('ALL Other SINs - Proposal'!AA917)," ",'ALL Other SINs - Proposal'!AA917)</f>
        <v xml:space="preserve"> </v>
      </c>
      <c r="L917" s="178" t="str">
        <f>IF(ISBLANK('ALL Other SINs - Proposal'!AB917)," ",'ALL Other SINs - Proposal'!AB917)</f>
        <v xml:space="preserve"> </v>
      </c>
      <c r="M917" s="72" t="str">
        <f t="shared" si="28"/>
        <v xml:space="preserve"> </v>
      </c>
      <c r="N917" s="167" t="str">
        <f t="shared" si="29"/>
        <v xml:space="preserve"> </v>
      </c>
    </row>
    <row r="918" spans="1:14" ht="15" x14ac:dyDescent="0.25">
      <c r="A918" s="131" t="str">
        <f>IF(ISBLANK('ALL Other SINs - Proposal'!A918)," ",'ALL Other SINs - Proposal'!A918)</f>
        <v xml:space="preserve"> </v>
      </c>
      <c r="B918" s="137" t="str">
        <f>IF(ISBLANK('ALL Other SINs - Proposal'!B918)," ",'ALL Other SINs - Proposal'!B918)</f>
        <v xml:space="preserve"> </v>
      </c>
      <c r="C918" s="137" t="str">
        <f>IF(ISBLANK('ALL Other SINs - Proposal'!C918)," ",'ALL Other SINs - Proposal'!C918)</f>
        <v xml:space="preserve"> </v>
      </c>
      <c r="D918" s="138" t="str">
        <f>IF(ISBLANK('ALL Other SINs - Proposal'!D918)," ",'ALL Other SINs - Proposal'!D918)</f>
        <v xml:space="preserve"> </v>
      </c>
      <c r="E918" s="69" t="str">
        <f>IF(ISBLANK('ALL Other SINs - Proposal'!R918)," ",'ALL Other SINs - Proposal'!R918)</f>
        <v xml:space="preserve"> </v>
      </c>
      <c r="F918" s="73" t="str">
        <f>IF(ISBLANK('ALL Other SINs - Proposal'!S918)," ",'ALL Other SINs - Proposal'!S918)</f>
        <v xml:space="preserve"> </v>
      </c>
      <c r="G918" s="173" t="str">
        <f>IF(ISBLANK('ALL Other SINs - Proposal'!T918)," ",'ALL Other SINs - Proposal'!T918)</f>
        <v xml:space="preserve"> </v>
      </c>
      <c r="H918" s="275" t="str">
        <f>IF(ISBLANK('ALL Other SINs - Proposal'!V918)," ",'ALL Other SINs - Proposal'!V918)</f>
        <v xml:space="preserve"> </v>
      </c>
      <c r="I918" s="271" t="str">
        <f>IF(ISBLANK('ALL Other SINs - Proposal'!W918)," ",'ALL Other SINs - Proposal'!W918)</f>
        <v xml:space="preserve"> </v>
      </c>
      <c r="J918" s="71" t="str">
        <f>IF(ISBLANK('ALL Other SINs - Proposal'!X918)," ",'ALL Other SINs - Proposal'!X918)</f>
        <v xml:space="preserve"> </v>
      </c>
      <c r="K918" s="165" t="str">
        <f>IF(ISBLANK('ALL Other SINs - Proposal'!AA918)," ",'ALL Other SINs - Proposal'!AA918)</f>
        <v xml:space="preserve"> </v>
      </c>
      <c r="L918" s="178" t="str">
        <f>IF(ISBLANK('ALL Other SINs - Proposal'!AB918)," ",'ALL Other SINs - Proposal'!AB918)</f>
        <v xml:space="preserve"> </v>
      </c>
      <c r="M918" s="72" t="str">
        <f t="shared" si="28"/>
        <v xml:space="preserve"> </v>
      </c>
      <c r="N918" s="167" t="str">
        <f t="shared" si="29"/>
        <v xml:space="preserve"> </v>
      </c>
    </row>
    <row r="919" spans="1:14" ht="15" x14ac:dyDescent="0.25">
      <c r="A919" s="131" t="str">
        <f>IF(ISBLANK('ALL Other SINs - Proposal'!A919)," ",'ALL Other SINs - Proposal'!A919)</f>
        <v xml:space="preserve"> </v>
      </c>
      <c r="B919" s="137" t="str">
        <f>IF(ISBLANK('ALL Other SINs - Proposal'!B919)," ",'ALL Other SINs - Proposal'!B919)</f>
        <v xml:space="preserve"> </v>
      </c>
      <c r="C919" s="137" t="str">
        <f>IF(ISBLANK('ALL Other SINs - Proposal'!C919)," ",'ALL Other SINs - Proposal'!C919)</f>
        <v xml:space="preserve"> </v>
      </c>
      <c r="D919" s="138" t="str">
        <f>IF(ISBLANK('ALL Other SINs - Proposal'!D919)," ",'ALL Other SINs - Proposal'!D919)</f>
        <v xml:space="preserve"> </v>
      </c>
      <c r="E919" s="69" t="str">
        <f>IF(ISBLANK('ALL Other SINs - Proposal'!R919)," ",'ALL Other SINs - Proposal'!R919)</f>
        <v xml:space="preserve"> </v>
      </c>
      <c r="F919" s="73" t="str">
        <f>IF(ISBLANK('ALL Other SINs - Proposal'!S919)," ",'ALL Other SINs - Proposal'!S919)</f>
        <v xml:space="preserve"> </v>
      </c>
      <c r="G919" s="173" t="str">
        <f>IF(ISBLANK('ALL Other SINs - Proposal'!T919)," ",'ALL Other SINs - Proposal'!T919)</f>
        <v xml:space="preserve"> </v>
      </c>
      <c r="H919" s="275" t="str">
        <f>IF(ISBLANK('ALL Other SINs - Proposal'!V919)," ",'ALL Other SINs - Proposal'!V919)</f>
        <v xml:space="preserve"> </v>
      </c>
      <c r="I919" s="271" t="str">
        <f>IF(ISBLANK('ALL Other SINs - Proposal'!W919)," ",'ALL Other SINs - Proposal'!W919)</f>
        <v xml:space="preserve"> </v>
      </c>
      <c r="J919" s="71" t="str">
        <f>IF(ISBLANK('ALL Other SINs - Proposal'!X919)," ",'ALL Other SINs - Proposal'!X919)</f>
        <v xml:space="preserve"> </v>
      </c>
      <c r="K919" s="165" t="str">
        <f>IF(ISBLANK('ALL Other SINs - Proposal'!AA919)," ",'ALL Other SINs - Proposal'!AA919)</f>
        <v xml:space="preserve"> </v>
      </c>
      <c r="L919" s="178" t="str">
        <f>IF(ISBLANK('ALL Other SINs - Proposal'!AB919)," ",'ALL Other SINs - Proposal'!AB919)</f>
        <v xml:space="preserve"> </v>
      </c>
      <c r="M919" s="72" t="str">
        <f t="shared" si="28"/>
        <v xml:space="preserve"> </v>
      </c>
      <c r="N919" s="167" t="str">
        <f t="shared" si="29"/>
        <v xml:space="preserve"> </v>
      </c>
    </row>
    <row r="920" spans="1:14" ht="15" x14ac:dyDescent="0.25">
      <c r="A920" s="131" t="str">
        <f>IF(ISBLANK('ALL Other SINs - Proposal'!A920)," ",'ALL Other SINs - Proposal'!A920)</f>
        <v xml:space="preserve"> </v>
      </c>
      <c r="B920" s="137" t="str">
        <f>IF(ISBLANK('ALL Other SINs - Proposal'!B920)," ",'ALL Other SINs - Proposal'!B920)</f>
        <v xml:space="preserve"> </v>
      </c>
      <c r="C920" s="137" t="str">
        <f>IF(ISBLANK('ALL Other SINs - Proposal'!C920)," ",'ALL Other SINs - Proposal'!C920)</f>
        <v xml:space="preserve"> </v>
      </c>
      <c r="D920" s="138" t="str">
        <f>IF(ISBLANK('ALL Other SINs - Proposal'!D920)," ",'ALL Other SINs - Proposal'!D920)</f>
        <v xml:space="preserve"> </v>
      </c>
      <c r="E920" s="69" t="str">
        <f>IF(ISBLANK('ALL Other SINs - Proposal'!R920)," ",'ALL Other SINs - Proposal'!R920)</f>
        <v xml:space="preserve"> </v>
      </c>
      <c r="F920" s="73" t="str">
        <f>IF(ISBLANK('ALL Other SINs - Proposal'!S920)," ",'ALL Other SINs - Proposal'!S920)</f>
        <v xml:space="preserve"> </v>
      </c>
      <c r="G920" s="173" t="str">
        <f>IF(ISBLANK('ALL Other SINs - Proposal'!T920)," ",'ALL Other SINs - Proposal'!T920)</f>
        <v xml:space="preserve"> </v>
      </c>
      <c r="H920" s="275" t="str">
        <f>IF(ISBLANK('ALL Other SINs - Proposal'!V920)," ",'ALL Other SINs - Proposal'!V920)</f>
        <v xml:space="preserve"> </v>
      </c>
      <c r="I920" s="271" t="str">
        <f>IF(ISBLANK('ALL Other SINs - Proposal'!W920)," ",'ALL Other SINs - Proposal'!W920)</f>
        <v xml:space="preserve"> </v>
      </c>
      <c r="J920" s="71" t="str">
        <f>IF(ISBLANK('ALL Other SINs - Proposal'!X920)," ",'ALL Other SINs - Proposal'!X920)</f>
        <v xml:space="preserve"> </v>
      </c>
      <c r="K920" s="165" t="str">
        <f>IF(ISBLANK('ALL Other SINs - Proposal'!AA920)," ",'ALL Other SINs - Proposal'!AA920)</f>
        <v xml:space="preserve"> </v>
      </c>
      <c r="L920" s="178" t="str">
        <f>IF(ISBLANK('ALL Other SINs - Proposal'!AB920)," ",'ALL Other SINs - Proposal'!AB920)</f>
        <v xml:space="preserve"> </v>
      </c>
      <c r="M920" s="72" t="str">
        <f t="shared" si="28"/>
        <v xml:space="preserve"> </v>
      </c>
      <c r="N920" s="167" t="str">
        <f t="shared" si="29"/>
        <v xml:space="preserve"> </v>
      </c>
    </row>
    <row r="921" spans="1:14" ht="15" x14ac:dyDescent="0.25">
      <c r="A921" s="131" t="str">
        <f>IF(ISBLANK('ALL Other SINs - Proposal'!A921)," ",'ALL Other SINs - Proposal'!A921)</f>
        <v xml:space="preserve"> </v>
      </c>
      <c r="B921" s="137" t="str">
        <f>IF(ISBLANK('ALL Other SINs - Proposal'!B921)," ",'ALL Other SINs - Proposal'!B921)</f>
        <v xml:space="preserve"> </v>
      </c>
      <c r="C921" s="137" t="str">
        <f>IF(ISBLANK('ALL Other SINs - Proposal'!C921)," ",'ALL Other SINs - Proposal'!C921)</f>
        <v xml:space="preserve"> </v>
      </c>
      <c r="D921" s="138" t="str">
        <f>IF(ISBLANK('ALL Other SINs - Proposal'!D921)," ",'ALL Other SINs - Proposal'!D921)</f>
        <v xml:space="preserve"> </v>
      </c>
      <c r="E921" s="69" t="str">
        <f>IF(ISBLANK('ALL Other SINs - Proposal'!R921)," ",'ALL Other SINs - Proposal'!R921)</f>
        <v xml:space="preserve"> </v>
      </c>
      <c r="F921" s="73" t="str">
        <f>IF(ISBLANK('ALL Other SINs - Proposal'!S921)," ",'ALL Other SINs - Proposal'!S921)</f>
        <v xml:space="preserve"> </v>
      </c>
      <c r="G921" s="173" t="str">
        <f>IF(ISBLANK('ALL Other SINs - Proposal'!T921)," ",'ALL Other SINs - Proposal'!T921)</f>
        <v xml:space="preserve"> </v>
      </c>
      <c r="H921" s="275" t="str">
        <f>IF(ISBLANK('ALL Other SINs - Proposal'!V921)," ",'ALL Other SINs - Proposal'!V921)</f>
        <v xml:space="preserve"> </v>
      </c>
      <c r="I921" s="271" t="str">
        <f>IF(ISBLANK('ALL Other SINs - Proposal'!W921)," ",'ALL Other SINs - Proposal'!W921)</f>
        <v xml:space="preserve"> </v>
      </c>
      <c r="J921" s="71" t="str">
        <f>IF(ISBLANK('ALL Other SINs - Proposal'!X921)," ",'ALL Other SINs - Proposal'!X921)</f>
        <v xml:space="preserve"> </v>
      </c>
      <c r="K921" s="165" t="str">
        <f>IF(ISBLANK('ALL Other SINs - Proposal'!AA921)," ",'ALL Other SINs - Proposal'!AA921)</f>
        <v xml:space="preserve"> </v>
      </c>
      <c r="L921" s="178" t="str">
        <f>IF(ISBLANK('ALL Other SINs - Proposal'!AB921)," ",'ALL Other SINs - Proposal'!AB921)</f>
        <v xml:space="preserve"> </v>
      </c>
      <c r="M921" s="72" t="str">
        <f t="shared" si="28"/>
        <v xml:space="preserve"> </v>
      </c>
      <c r="N921" s="167" t="str">
        <f t="shared" si="29"/>
        <v xml:space="preserve"> </v>
      </c>
    </row>
    <row r="922" spans="1:14" ht="15" x14ac:dyDescent="0.25">
      <c r="A922" s="131" t="str">
        <f>IF(ISBLANK('ALL Other SINs - Proposal'!A922)," ",'ALL Other SINs - Proposal'!A922)</f>
        <v xml:space="preserve"> </v>
      </c>
      <c r="B922" s="137" t="str">
        <f>IF(ISBLANK('ALL Other SINs - Proposal'!B922)," ",'ALL Other SINs - Proposal'!B922)</f>
        <v xml:space="preserve"> </v>
      </c>
      <c r="C922" s="137" t="str">
        <f>IF(ISBLANK('ALL Other SINs - Proposal'!C922)," ",'ALL Other SINs - Proposal'!C922)</f>
        <v xml:space="preserve"> </v>
      </c>
      <c r="D922" s="138" t="str">
        <f>IF(ISBLANK('ALL Other SINs - Proposal'!D922)," ",'ALL Other SINs - Proposal'!D922)</f>
        <v xml:space="preserve"> </v>
      </c>
      <c r="E922" s="69" t="str">
        <f>IF(ISBLANK('ALL Other SINs - Proposal'!R922)," ",'ALL Other SINs - Proposal'!R922)</f>
        <v xml:space="preserve"> </v>
      </c>
      <c r="F922" s="73" t="str">
        <f>IF(ISBLANK('ALL Other SINs - Proposal'!S922)," ",'ALL Other SINs - Proposal'!S922)</f>
        <v xml:space="preserve"> </v>
      </c>
      <c r="G922" s="173" t="str">
        <f>IF(ISBLANK('ALL Other SINs - Proposal'!T922)," ",'ALL Other SINs - Proposal'!T922)</f>
        <v xml:space="preserve"> </v>
      </c>
      <c r="H922" s="275" t="str">
        <f>IF(ISBLANK('ALL Other SINs - Proposal'!V922)," ",'ALL Other SINs - Proposal'!V922)</f>
        <v xml:space="preserve"> </v>
      </c>
      <c r="I922" s="271" t="str">
        <f>IF(ISBLANK('ALL Other SINs - Proposal'!W922)," ",'ALL Other SINs - Proposal'!W922)</f>
        <v xml:space="preserve"> </v>
      </c>
      <c r="J922" s="71" t="str">
        <f>IF(ISBLANK('ALL Other SINs - Proposal'!X922)," ",'ALL Other SINs - Proposal'!X922)</f>
        <v xml:space="preserve"> </v>
      </c>
      <c r="K922" s="165" t="str">
        <f>IF(ISBLANK('ALL Other SINs - Proposal'!AA922)," ",'ALL Other SINs - Proposal'!AA922)</f>
        <v xml:space="preserve"> </v>
      </c>
      <c r="L922" s="178" t="str">
        <f>IF(ISBLANK('ALL Other SINs - Proposal'!AB922)," ",'ALL Other SINs - Proposal'!AB922)</f>
        <v xml:space="preserve"> </v>
      </c>
      <c r="M922" s="72" t="str">
        <f t="shared" si="28"/>
        <v xml:space="preserve"> </v>
      </c>
      <c r="N922" s="167" t="str">
        <f t="shared" si="29"/>
        <v xml:space="preserve"> </v>
      </c>
    </row>
    <row r="923" spans="1:14" ht="15" x14ac:dyDescent="0.25">
      <c r="A923" s="131" t="str">
        <f>IF(ISBLANK('ALL Other SINs - Proposal'!A923)," ",'ALL Other SINs - Proposal'!A923)</f>
        <v xml:space="preserve"> </v>
      </c>
      <c r="B923" s="137" t="str">
        <f>IF(ISBLANK('ALL Other SINs - Proposal'!B923)," ",'ALL Other SINs - Proposal'!B923)</f>
        <v xml:space="preserve"> </v>
      </c>
      <c r="C923" s="137" t="str">
        <f>IF(ISBLANK('ALL Other SINs - Proposal'!C923)," ",'ALL Other SINs - Proposal'!C923)</f>
        <v xml:space="preserve"> </v>
      </c>
      <c r="D923" s="138" t="str">
        <f>IF(ISBLANK('ALL Other SINs - Proposal'!D923)," ",'ALL Other SINs - Proposal'!D923)</f>
        <v xml:space="preserve"> </v>
      </c>
      <c r="E923" s="69" t="str">
        <f>IF(ISBLANK('ALL Other SINs - Proposal'!R923)," ",'ALL Other SINs - Proposal'!R923)</f>
        <v xml:space="preserve"> </v>
      </c>
      <c r="F923" s="73" t="str">
        <f>IF(ISBLANK('ALL Other SINs - Proposal'!S923)," ",'ALL Other SINs - Proposal'!S923)</f>
        <v xml:space="preserve"> </v>
      </c>
      <c r="G923" s="173" t="str">
        <f>IF(ISBLANK('ALL Other SINs - Proposal'!T923)," ",'ALL Other SINs - Proposal'!T923)</f>
        <v xml:space="preserve"> </v>
      </c>
      <c r="H923" s="275" t="str">
        <f>IF(ISBLANK('ALL Other SINs - Proposal'!V923)," ",'ALL Other SINs - Proposal'!V923)</f>
        <v xml:space="preserve"> </v>
      </c>
      <c r="I923" s="271" t="str">
        <f>IF(ISBLANK('ALL Other SINs - Proposal'!W923)," ",'ALL Other SINs - Proposal'!W923)</f>
        <v xml:space="preserve"> </v>
      </c>
      <c r="J923" s="71" t="str">
        <f>IF(ISBLANK('ALL Other SINs - Proposal'!X923)," ",'ALL Other SINs - Proposal'!X923)</f>
        <v xml:space="preserve"> </v>
      </c>
      <c r="K923" s="165" t="str">
        <f>IF(ISBLANK('ALL Other SINs - Proposal'!AA923)," ",'ALL Other SINs - Proposal'!AA923)</f>
        <v xml:space="preserve"> </v>
      </c>
      <c r="L923" s="178" t="str">
        <f>IF(ISBLANK('ALL Other SINs - Proposal'!AB923)," ",'ALL Other SINs - Proposal'!AB923)</f>
        <v xml:space="preserve"> </v>
      </c>
      <c r="M923" s="72" t="str">
        <f t="shared" si="28"/>
        <v xml:space="preserve"> </v>
      </c>
      <c r="N923" s="167" t="str">
        <f t="shared" si="29"/>
        <v xml:space="preserve"> </v>
      </c>
    </row>
    <row r="924" spans="1:14" ht="15" x14ac:dyDescent="0.25">
      <c r="A924" s="131" t="str">
        <f>IF(ISBLANK('ALL Other SINs - Proposal'!A924)," ",'ALL Other SINs - Proposal'!A924)</f>
        <v xml:space="preserve"> </v>
      </c>
      <c r="B924" s="137" t="str">
        <f>IF(ISBLANK('ALL Other SINs - Proposal'!B924)," ",'ALL Other SINs - Proposal'!B924)</f>
        <v xml:space="preserve"> </v>
      </c>
      <c r="C924" s="137" t="str">
        <f>IF(ISBLANK('ALL Other SINs - Proposal'!C924)," ",'ALL Other SINs - Proposal'!C924)</f>
        <v xml:space="preserve"> </v>
      </c>
      <c r="D924" s="138" t="str">
        <f>IF(ISBLANK('ALL Other SINs - Proposal'!D924)," ",'ALL Other SINs - Proposal'!D924)</f>
        <v xml:space="preserve"> </v>
      </c>
      <c r="E924" s="69" t="str">
        <f>IF(ISBLANK('ALL Other SINs - Proposal'!R924)," ",'ALL Other SINs - Proposal'!R924)</f>
        <v xml:space="preserve"> </v>
      </c>
      <c r="F924" s="73" t="str">
        <f>IF(ISBLANK('ALL Other SINs - Proposal'!S924)," ",'ALL Other SINs - Proposal'!S924)</f>
        <v xml:space="preserve"> </v>
      </c>
      <c r="G924" s="173" t="str">
        <f>IF(ISBLANK('ALL Other SINs - Proposal'!T924)," ",'ALL Other SINs - Proposal'!T924)</f>
        <v xml:space="preserve"> </v>
      </c>
      <c r="H924" s="275" t="str">
        <f>IF(ISBLANK('ALL Other SINs - Proposal'!V924)," ",'ALL Other SINs - Proposal'!V924)</f>
        <v xml:space="preserve"> </v>
      </c>
      <c r="I924" s="271" t="str">
        <f>IF(ISBLANK('ALL Other SINs - Proposal'!W924)," ",'ALL Other SINs - Proposal'!W924)</f>
        <v xml:space="preserve"> </v>
      </c>
      <c r="J924" s="71" t="str">
        <f>IF(ISBLANK('ALL Other SINs - Proposal'!X924)," ",'ALL Other SINs - Proposal'!X924)</f>
        <v xml:space="preserve"> </v>
      </c>
      <c r="K924" s="165" t="str">
        <f>IF(ISBLANK('ALL Other SINs - Proposal'!AA924)," ",'ALL Other SINs - Proposal'!AA924)</f>
        <v xml:space="preserve"> </v>
      </c>
      <c r="L924" s="178" t="str">
        <f>IF(ISBLANK('ALL Other SINs - Proposal'!AB924)," ",'ALL Other SINs - Proposal'!AB924)</f>
        <v xml:space="preserve"> </v>
      </c>
      <c r="M924" s="72" t="str">
        <f t="shared" si="28"/>
        <v xml:space="preserve"> </v>
      </c>
      <c r="N924" s="167" t="str">
        <f t="shared" si="29"/>
        <v xml:space="preserve"> </v>
      </c>
    </row>
    <row r="925" spans="1:14" ht="15" x14ac:dyDescent="0.25">
      <c r="A925" s="131" t="str">
        <f>IF(ISBLANK('ALL Other SINs - Proposal'!A925)," ",'ALL Other SINs - Proposal'!A925)</f>
        <v xml:space="preserve"> </v>
      </c>
      <c r="B925" s="137" t="str">
        <f>IF(ISBLANK('ALL Other SINs - Proposal'!B925)," ",'ALL Other SINs - Proposal'!B925)</f>
        <v xml:space="preserve"> </v>
      </c>
      <c r="C925" s="137" t="str">
        <f>IF(ISBLANK('ALL Other SINs - Proposal'!C925)," ",'ALL Other SINs - Proposal'!C925)</f>
        <v xml:space="preserve"> </v>
      </c>
      <c r="D925" s="138" t="str">
        <f>IF(ISBLANK('ALL Other SINs - Proposal'!D925)," ",'ALL Other SINs - Proposal'!D925)</f>
        <v xml:space="preserve"> </v>
      </c>
      <c r="E925" s="69" t="str">
        <f>IF(ISBLANK('ALL Other SINs - Proposal'!R925)," ",'ALL Other SINs - Proposal'!R925)</f>
        <v xml:space="preserve"> </v>
      </c>
      <c r="F925" s="73" t="str">
        <f>IF(ISBLANK('ALL Other SINs - Proposal'!S925)," ",'ALL Other SINs - Proposal'!S925)</f>
        <v xml:space="preserve"> </v>
      </c>
      <c r="G925" s="173" t="str">
        <f>IF(ISBLANK('ALL Other SINs - Proposal'!T925)," ",'ALL Other SINs - Proposal'!T925)</f>
        <v xml:space="preserve"> </v>
      </c>
      <c r="H925" s="275" t="str">
        <f>IF(ISBLANK('ALL Other SINs - Proposal'!V925)," ",'ALL Other SINs - Proposal'!V925)</f>
        <v xml:space="preserve"> </v>
      </c>
      <c r="I925" s="271" t="str">
        <f>IF(ISBLANK('ALL Other SINs - Proposal'!W925)," ",'ALL Other SINs - Proposal'!W925)</f>
        <v xml:space="preserve"> </v>
      </c>
      <c r="J925" s="71" t="str">
        <f>IF(ISBLANK('ALL Other SINs - Proposal'!X925)," ",'ALL Other SINs - Proposal'!X925)</f>
        <v xml:space="preserve"> </v>
      </c>
      <c r="K925" s="165" t="str">
        <f>IF(ISBLANK('ALL Other SINs - Proposal'!AA925)," ",'ALL Other SINs - Proposal'!AA925)</f>
        <v xml:space="preserve"> </v>
      </c>
      <c r="L925" s="178" t="str">
        <f>IF(ISBLANK('ALL Other SINs - Proposal'!AB925)," ",'ALL Other SINs - Proposal'!AB925)</f>
        <v xml:space="preserve"> </v>
      </c>
      <c r="M925" s="72" t="str">
        <f t="shared" si="28"/>
        <v xml:space="preserve"> </v>
      </c>
      <c r="N925" s="167" t="str">
        <f t="shared" si="29"/>
        <v xml:space="preserve"> </v>
      </c>
    </row>
    <row r="926" spans="1:14" ht="15" x14ac:dyDescent="0.25">
      <c r="A926" s="131" t="str">
        <f>IF(ISBLANK('ALL Other SINs - Proposal'!A926)," ",'ALL Other SINs - Proposal'!A926)</f>
        <v xml:space="preserve"> </v>
      </c>
      <c r="B926" s="137" t="str">
        <f>IF(ISBLANK('ALL Other SINs - Proposal'!B926)," ",'ALL Other SINs - Proposal'!B926)</f>
        <v xml:space="preserve"> </v>
      </c>
      <c r="C926" s="137" t="str">
        <f>IF(ISBLANK('ALL Other SINs - Proposal'!C926)," ",'ALL Other SINs - Proposal'!C926)</f>
        <v xml:space="preserve"> </v>
      </c>
      <c r="D926" s="138" t="str">
        <f>IF(ISBLANK('ALL Other SINs - Proposal'!D926)," ",'ALL Other SINs - Proposal'!D926)</f>
        <v xml:space="preserve"> </v>
      </c>
      <c r="E926" s="69" t="str">
        <f>IF(ISBLANK('ALL Other SINs - Proposal'!R926)," ",'ALL Other SINs - Proposal'!R926)</f>
        <v xml:space="preserve"> </v>
      </c>
      <c r="F926" s="73" t="str">
        <f>IF(ISBLANK('ALL Other SINs - Proposal'!S926)," ",'ALL Other SINs - Proposal'!S926)</f>
        <v xml:space="preserve"> </v>
      </c>
      <c r="G926" s="173" t="str">
        <f>IF(ISBLANK('ALL Other SINs - Proposal'!T926)," ",'ALL Other SINs - Proposal'!T926)</f>
        <v xml:space="preserve"> </v>
      </c>
      <c r="H926" s="275" t="str">
        <f>IF(ISBLANK('ALL Other SINs - Proposal'!V926)," ",'ALL Other SINs - Proposal'!V926)</f>
        <v xml:space="preserve"> </v>
      </c>
      <c r="I926" s="271" t="str">
        <f>IF(ISBLANK('ALL Other SINs - Proposal'!W926)," ",'ALL Other SINs - Proposal'!W926)</f>
        <v xml:space="preserve"> </v>
      </c>
      <c r="J926" s="71" t="str">
        <f>IF(ISBLANK('ALL Other SINs - Proposal'!X926)," ",'ALL Other SINs - Proposal'!X926)</f>
        <v xml:space="preserve"> </v>
      </c>
      <c r="K926" s="165" t="str">
        <f>IF(ISBLANK('ALL Other SINs - Proposal'!AA926)," ",'ALL Other SINs - Proposal'!AA926)</f>
        <v xml:space="preserve"> </v>
      </c>
      <c r="L926" s="178" t="str">
        <f>IF(ISBLANK('ALL Other SINs - Proposal'!AB926)," ",'ALL Other SINs - Proposal'!AB926)</f>
        <v xml:space="preserve"> </v>
      </c>
      <c r="M926" s="72" t="str">
        <f t="shared" si="28"/>
        <v xml:space="preserve"> </v>
      </c>
      <c r="N926" s="167" t="str">
        <f t="shared" si="29"/>
        <v xml:space="preserve"> </v>
      </c>
    </row>
    <row r="927" spans="1:14" ht="15" x14ac:dyDescent="0.25">
      <c r="A927" s="131" t="str">
        <f>IF(ISBLANK('ALL Other SINs - Proposal'!A927)," ",'ALL Other SINs - Proposal'!A927)</f>
        <v xml:space="preserve"> </v>
      </c>
      <c r="B927" s="137" t="str">
        <f>IF(ISBLANK('ALL Other SINs - Proposal'!B927)," ",'ALL Other SINs - Proposal'!B927)</f>
        <v xml:space="preserve"> </v>
      </c>
      <c r="C927" s="137" t="str">
        <f>IF(ISBLANK('ALL Other SINs - Proposal'!C927)," ",'ALL Other SINs - Proposal'!C927)</f>
        <v xml:space="preserve"> </v>
      </c>
      <c r="D927" s="138" t="str">
        <f>IF(ISBLANK('ALL Other SINs - Proposal'!D927)," ",'ALL Other SINs - Proposal'!D927)</f>
        <v xml:space="preserve"> </v>
      </c>
      <c r="E927" s="69" t="str">
        <f>IF(ISBLANK('ALL Other SINs - Proposal'!R927)," ",'ALL Other SINs - Proposal'!R927)</f>
        <v xml:space="preserve"> </v>
      </c>
      <c r="F927" s="73" t="str">
        <f>IF(ISBLANK('ALL Other SINs - Proposal'!S927)," ",'ALL Other SINs - Proposal'!S927)</f>
        <v xml:space="preserve"> </v>
      </c>
      <c r="G927" s="173" t="str">
        <f>IF(ISBLANK('ALL Other SINs - Proposal'!T927)," ",'ALL Other SINs - Proposal'!T927)</f>
        <v xml:space="preserve"> </v>
      </c>
      <c r="H927" s="275" t="str">
        <f>IF(ISBLANK('ALL Other SINs - Proposal'!V927)," ",'ALL Other SINs - Proposal'!V927)</f>
        <v xml:space="preserve"> </v>
      </c>
      <c r="I927" s="271" t="str">
        <f>IF(ISBLANK('ALL Other SINs - Proposal'!W927)," ",'ALL Other SINs - Proposal'!W927)</f>
        <v xml:space="preserve"> </v>
      </c>
      <c r="J927" s="71" t="str">
        <f>IF(ISBLANK('ALL Other SINs - Proposal'!X927)," ",'ALL Other SINs - Proposal'!X927)</f>
        <v xml:space="preserve"> </v>
      </c>
      <c r="K927" s="165" t="str">
        <f>IF(ISBLANK('ALL Other SINs - Proposal'!AA927)," ",'ALL Other SINs - Proposal'!AA927)</f>
        <v xml:space="preserve"> </v>
      </c>
      <c r="L927" s="178" t="str">
        <f>IF(ISBLANK('ALL Other SINs - Proposal'!AB927)," ",'ALL Other SINs - Proposal'!AB927)</f>
        <v xml:space="preserve"> </v>
      </c>
      <c r="M927" s="72" t="str">
        <f t="shared" si="28"/>
        <v xml:space="preserve"> </v>
      </c>
      <c r="N927" s="167" t="str">
        <f t="shared" si="29"/>
        <v xml:space="preserve"> </v>
      </c>
    </row>
    <row r="928" spans="1:14" ht="15" x14ac:dyDescent="0.25">
      <c r="A928" s="131" t="str">
        <f>IF(ISBLANK('ALL Other SINs - Proposal'!A928)," ",'ALL Other SINs - Proposal'!A928)</f>
        <v xml:space="preserve"> </v>
      </c>
      <c r="B928" s="137" t="str">
        <f>IF(ISBLANK('ALL Other SINs - Proposal'!B928)," ",'ALL Other SINs - Proposal'!B928)</f>
        <v xml:space="preserve"> </v>
      </c>
      <c r="C928" s="137" t="str">
        <f>IF(ISBLANK('ALL Other SINs - Proposal'!C928)," ",'ALL Other SINs - Proposal'!C928)</f>
        <v xml:space="preserve"> </v>
      </c>
      <c r="D928" s="138" t="str">
        <f>IF(ISBLANK('ALL Other SINs - Proposal'!D928)," ",'ALL Other SINs - Proposal'!D928)</f>
        <v xml:space="preserve"> </v>
      </c>
      <c r="E928" s="69" t="str">
        <f>IF(ISBLANK('ALL Other SINs - Proposal'!R928)," ",'ALL Other SINs - Proposal'!R928)</f>
        <v xml:space="preserve"> </v>
      </c>
      <c r="F928" s="73" t="str">
        <f>IF(ISBLANK('ALL Other SINs - Proposal'!S928)," ",'ALL Other SINs - Proposal'!S928)</f>
        <v xml:space="preserve"> </v>
      </c>
      <c r="G928" s="173" t="str">
        <f>IF(ISBLANK('ALL Other SINs - Proposal'!T928)," ",'ALL Other SINs - Proposal'!T928)</f>
        <v xml:space="preserve"> </v>
      </c>
      <c r="H928" s="275" t="str">
        <f>IF(ISBLANK('ALL Other SINs - Proposal'!V928)," ",'ALL Other SINs - Proposal'!V928)</f>
        <v xml:space="preserve"> </v>
      </c>
      <c r="I928" s="271" t="str">
        <f>IF(ISBLANK('ALL Other SINs - Proposal'!W928)," ",'ALL Other SINs - Proposal'!W928)</f>
        <v xml:space="preserve"> </v>
      </c>
      <c r="J928" s="71" t="str">
        <f>IF(ISBLANK('ALL Other SINs - Proposal'!X928)," ",'ALL Other SINs - Proposal'!X928)</f>
        <v xml:space="preserve"> </v>
      </c>
      <c r="K928" s="165" t="str">
        <f>IF(ISBLANK('ALL Other SINs - Proposal'!AA928)," ",'ALL Other SINs - Proposal'!AA928)</f>
        <v xml:space="preserve"> </v>
      </c>
      <c r="L928" s="178" t="str">
        <f>IF(ISBLANK('ALL Other SINs - Proposal'!AB928)," ",'ALL Other SINs - Proposal'!AB928)</f>
        <v xml:space="preserve"> </v>
      </c>
      <c r="M928" s="72" t="str">
        <f t="shared" si="28"/>
        <v xml:space="preserve"> </v>
      </c>
      <c r="N928" s="167" t="str">
        <f t="shared" si="29"/>
        <v xml:space="preserve"> </v>
      </c>
    </row>
    <row r="929" spans="1:14" ht="15" x14ac:dyDescent="0.25">
      <c r="A929" s="131" t="str">
        <f>IF(ISBLANK('ALL Other SINs - Proposal'!A929)," ",'ALL Other SINs - Proposal'!A929)</f>
        <v xml:space="preserve"> </v>
      </c>
      <c r="B929" s="137" t="str">
        <f>IF(ISBLANK('ALL Other SINs - Proposal'!B929)," ",'ALL Other SINs - Proposal'!B929)</f>
        <v xml:space="preserve"> </v>
      </c>
      <c r="C929" s="137" t="str">
        <f>IF(ISBLANK('ALL Other SINs - Proposal'!C929)," ",'ALL Other SINs - Proposal'!C929)</f>
        <v xml:space="preserve"> </v>
      </c>
      <c r="D929" s="138" t="str">
        <f>IF(ISBLANK('ALL Other SINs - Proposal'!D929)," ",'ALL Other SINs - Proposal'!D929)</f>
        <v xml:space="preserve"> </v>
      </c>
      <c r="E929" s="69" t="str">
        <f>IF(ISBLANK('ALL Other SINs - Proposal'!R929)," ",'ALL Other SINs - Proposal'!R929)</f>
        <v xml:space="preserve"> </v>
      </c>
      <c r="F929" s="73" t="str">
        <f>IF(ISBLANK('ALL Other SINs - Proposal'!S929)," ",'ALL Other SINs - Proposal'!S929)</f>
        <v xml:space="preserve"> </v>
      </c>
      <c r="G929" s="173" t="str">
        <f>IF(ISBLANK('ALL Other SINs - Proposal'!T929)," ",'ALL Other SINs - Proposal'!T929)</f>
        <v xml:space="preserve"> </v>
      </c>
      <c r="H929" s="275" t="str">
        <f>IF(ISBLANK('ALL Other SINs - Proposal'!V929)," ",'ALL Other SINs - Proposal'!V929)</f>
        <v xml:space="preserve"> </v>
      </c>
      <c r="I929" s="271" t="str">
        <f>IF(ISBLANK('ALL Other SINs - Proposal'!W929)," ",'ALL Other SINs - Proposal'!W929)</f>
        <v xml:space="preserve"> </v>
      </c>
      <c r="J929" s="71" t="str">
        <f>IF(ISBLANK('ALL Other SINs - Proposal'!X929)," ",'ALL Other SINs - Proposal'!X929)</f>
        <v xml:space="preserve"> </v>
      </c>
      <c r="K929" s="165" t="str">
        <f>IF(ISBLANK('ALL Other SINs - Proposal'!AA929)," ",'ALL Other SINs - Proposal'!AA929)</f>
        <v xml:space="preserve"> </v>
      </c>
      <c r="L929" s="178" t="str">
        <f>IF(ISBLANK('ALL Other SINs - Proposal'!AB929)," ",'ALL Other SINs - Proposal'!AB929)</f>
        <v xml:space="preserve"> </v>
      </c>
      <c r="M929" s="72" t="str">
        <f t="shared" si="28"/>
        <v xml:space="preserve"> </v>
      </c>
      <c r="N929" s="167" t="str">
        <f t="shared" si="29"/>
        <v xml:space="preserve"> </v>
      </c>
    </row>
    <row r="930" spans="1:14" ht="15" x14ac:dyDescent="0.25">
      <c r="A930" s="131" t="str">
        <f>IF(ISBLANK('ALL Other SINs - Proposal'!A930)," ",'ALL Other SINs - Proposal'!A930)</f>
        <v xml:space="preserve"> </v>
      </c>
      <c r="B930" s="137" t="str">
        <f>IF(ISBLANK('ALL Other SINs - Proposal'!B930)," ",'ALL Other SINs - Proposal'!B930)</f>
        <v xml:space="preserve"> </v>
      </c>
      <c r="C930" s="137" t="str">
        <f>IF(ISBLANK('ALL Other SINs - Proposal'!C930)," ",'ALL Other SINs - Proposal'!C930)</f>
        <v xml:space="preserve"> </v>
      </c>
      <c r="D930" s="138" t="str">
        <f>IF(ISBLANK('ALL Other SINs - Proposal'!D930)," ",'ALL Other SINs - Proposal'!D930)</f>
        <v xml:space="preserve"> </v>
      </c>
      <c r="E930" s="69" t="str">
        <f>IF(ISBLANK('ALL Other SINs - Proposal'!R930)," ",'ALL Other SINs - Proposal'!R930)</f>
        <v xml:space="preserve"> </v>
      </c>
      <c r="F930" s="73" t="str">
        <f>IF(ISBLANK('ALL Other SINs - Proposal'!S930)," ",'ALL Other SINs - Proposal'!S930)</f>
        <v xml:space="preserve"> </v>
      </c>
      <c r="G930" s="173" t="str">
        <f>IF(ISBLANK('ALL Other SINs - Proposal'!T930)," ",'ALL Other SINs - Proposal'!T930)</f>
        <v xml:space="preserve"> </v>
      </c>
      <c r="H930" s="275" t="str">
        <f>IF(ISBLANK('ALL Other SINs - Proposal'!V930)," ",'ALL Other SINs - Proposal'!V930)</f>
        <v xml:space="preserve"> </v>
      </c>
      <c r="I930" s="271" t="str">
        <f>IF(ISBLANK('ALL Other SINs - Proposal'!W930)," ",'ALL Other SINs - Proposal'!W930)</f>
        <v xml:space="preserve"> </v>
      </c>
      <c r="J930" s="71" t="str">
        <f>IF(ISBLANK('ALL Other SINs - Proposal'!X930)," ",'ALL Other SINs - Proposal'!X930)</f>
        <v xml:space="preserve"> </v>
      </c>
      <c r="K930" s="165" t="str">
        <f>IF(ISBLANK('ALL Other SINs - Proposal'!AA930)," ",'ALL Other SINs - Proposal'!AA930)</f>
        <v xml:space="preserve"> </v>
      </c>
      <c r="L930" s="178" t="str">
        <f>IF(ISBLANK('ALL Other SINs - Proposal'!AB930)," ",'ALL Other SINs - Proposal'!AB930)</f>
        <v xml:space="preserve"> </v>
      </c>
      <c r="M930" s="72" t="str">
        <f t="shared" si="28"/>
        <v xml:space="preserve"> </v>
      </c>
      <c r="N930" s="167" t="str">
        <f t="shared" si="29"/>
        <v xml:space="preserve"> </v>
      </c>
    </row>
    <row r="931" spans="1:14" ht="15" x14ac:dyDescent="0.25">
      <c r="A931" s="131" t="str">
        <f>IF(ISBLANK('ALL Other SINs - Proposal'!A931)," ",'ALL Other SINs - Proposal'!A931)</f>
        <v xml:space="preserve"> </v>
      </c>
      <c r="B931" s="137" t="str">
        <f>IF(ISBLANK('ALL Other SINs - Proposal'!B931)," ",'ALL Other SINs - Proposal'!B931)</f>
        <v xml:space="preserve"> </v>
      </c>
      <c r="C931" s="137" t="str">
        <f>IF(ISBLANK('ALL Other SINs - Proposal'!C931)," ",'ALL Other SINs - Proposal'!C931)</f>
        <v xml:space="preserve"> </v>
      </c>
      <c r="D931" s="138" t="str">
        <f>IF(ISBLANK('ALL Other SINs - Proposal'!D931)," ",'ALL Other SINs - Proposal'!D931)</f>
        <v xml:space="preserve"> </v>
      </c>
      <c r="E931" s="69" t="str">
        <f>IF(ISBLANK('ALL Other SINs - Proposal'!R931)," ",'ALL Other SINs - Proposal'!R931)</f>
        <v xml:space="preserve"> </v>
      </c>
      <c r="F931" s="73" t="str">
        <f>IF(ISBLANK('ALL Other SINs - Proposal'!S931)," ",'ALL Other SINs - Proposal'!S931)</f>
        <v xml:space="preserve"> </v>
      </c>
      <c r="G931" s="173" t="str">
        <f>IF(ISBLANK('ALL Other SINs - Proposal'!T931)," ",'ALL Other SINs - Proposal'!T931)</f>
        <v xml:space="preserve"> </v>
      </c>
      <c r="H931" s="275" t="str">
        <f>IF(ISBLANK('ALL Other SINs - Proposal'!V931)," ",'ALL Other SINs - Proposal'!V931)</f>
        <v xml:space="preserve"> </v>
      </c>
      <c r="I931" s="271" t="str">
        <f>IF(ISBLANK('ALL Other SINs - Proposal'!W931)," ",'ALL Other SINs - Proposal'!W931)</f>
        <v xml:space="preserve"> </v>
      </c>
      <c r="J931" s="71" t="str">
        <f>IF(ISBLANK('ALL Other SINs - Proposal'!X931)," ",'ALL Other SINs - Proposal'!X931)</f>
        <v xml:space="preserve"> </v>
      </c>
      <c r="K931" s="165" t="str">
        <f>IF(ISBLANK('ALL Other SINs - Proposal'!AA931)," ",'ALL Other SINs - Proposal'!AA931)</f>
        <v xml:space="preserve"> </v>
      </c>
      <c r="L931" s="178" t="str">
        <f>IF(ISBLANK('ALL Other SINs - Proposal'!AB931)," ",'ALL Other SINs - Proposal'!AB931)</f>
        <v xml:space="preserve"> </v>
      </c>
      <c r="M931" s="72" t="str">
        <f t="shared" si="28"/>
        <v xml:space="preserve"> </v>
      </c>
      <c r="N931" s="167" t="str">
        <f t="shared" si="29"/>
        <v xml:space="preserve"> </v>
      </c>
    </row>
    <row r="932" spans="1:14" ht="15" x14ac:dyDescent="0.25">
      <c r="A932" s="131" t="str">
        <f>IF(ISBLANK('ALL Other SINs - Proposal'!A932)," ",'ALL Other SINs - Proposal'!A932)</f>
        <v xml:space="preserve"> </v>
      </c>
      <c r="B932" s="137" t="str">
        <f>IF(ISBLANK('ALL Other SINs - Proposal'!B932)," ",'ALL Other SINs - Proposal'!B932)</f>
        <v xml:space="preserve"> </v>
      </c>
      <c r="C932" s="137" t="str">
        <f>IF(ISBLANK('ALL Other SINs - Proposal'!C932)," ",'ALL Other SINs - Proposal'!C932)</f>
        <v xml:space="preserve"> </v>
      </c>
      <c r="D932" s="138" t="str">
        <f>IF(ISBLANK('ALL Other SINs - Proposal'!D932)," ",'ALL Other SINs - Proposal'!D932)</f>
        <v xml:space="preserve"> </v>
      </c>
      <c r="E932" s="69" t="str">
        <f>IF(ISBLANK('ALL Other SINs - Proposal'!R932)," ",'ALL Other SINs - Proposal'!R932)</f>
        <v xml:space="preserve"> </v>
      </c>
      <c r="F932" s="73" t="str">
        <f>IF(ISBLANK('ALL Other SINs - Proposal'!S932)," ",'ALL Other SINs - Proposal'!S932)</f>
        <v xml:space="preserve"> </v>
      </c>
      <c r="G932" s="173" t="str">
        <f>IF(ISBLANK('ALL Other SINs - Proposal'!T932)," ",'ALL Other SINs - Proposal'!T932)</f>
        <v xml:space="preserve"> </v>
      </c>
      <c r="H932" s="275" t="str">
        <f>IF(ISBLANK('ALL Other SINs - Proposal'!V932)," ",'ALL Other SINs - Proposal'!V932)</f>
        <v xml:space="preserve"> </v>
      </c>
      <c r="I932" s="271" t="str">
        <f>IF(ISBLANK('ALL Other SINs - Proposal'!W932)," ",'ALL Other SINs - Proposal'!W932)</f>
        <v xml:space="preserve"> </v>
      </c>
      <c r="J932" s="71" t="str">
        <f>IF(ISBLANK('ALL Other SINs - Proposal'!X932)," ",'ALL Other SINs - Proposal'!X932)</f>
        <v xml:space="preserve"> </v>
      </c>
      <c r="K932" s="165" t="str">
        <f>IF(ISBLANK('ALL Other SINs - Proposal'!AA932)," ",'ALL Other SINs - Proposal'!AA932)</f>
        <v xml:space="preserve"> </v>
      </c>
      <c r="L932" s="178" t="str">
        <f>IF(ISBLANK('ALL Other SINs - Proposal'!AB932)," ",'ALL Other SINs - Proposal'!AB932)</f>
        <v xml:space="preserve"> </v>
      </c>
      <c r="M932" s="72" t="str">
        <f t="shared" si="28"/>
        <v xml:space="preserve"> </v>
      </c>
      <c r="N932" s="167" t="str">
        <f t="shared" si="29"/>
        <v xml:space="preserve"> </v>
      </c>
    </row>
    <row r="933" spans="1:14" ht="15" x14ac:dyDescent="0.25">
      <c r="A933" s="131" t="str">
        <f>IF(ISBLANK('ALL Other SINs - Proposal'!A933)," ",'ALL Other SINs - Proposal'!A933)</f>
        <v xml:space="preserve"> </v>
      </c>
      <c r="B933" s="137" t="str">
        <f>IF(ISBLANK('ALL Other SINs - Proposal'!B933)," ",'ALL Other SINs - Proposal'!B933)</f>
        <v xml:space="preserve"> </v>
      </c>
      <c r="C933" s="137" t="str">
        <f>IF(ISBLANK('ALL Other SINs - Proposal'!C933)," ",'ALL Other SINs - Proposal'!C933)</f>
        <v xml:space="preserve"> </v>
      </c>
      <c r="D933" s="138" t="str">
        <f>IF(ISBLANK('ALL Other SINs - Proposal'!D933)," ",'ALL Other SINs - Proposal'!D933)</f>
        <v xml:space="preserve"> </v>
      </c>
      <c r="E933" s="69" t="str">
        <f>IF(ISBLANK('ALL Other SINs - Proposal'!R933)," ",'ALL Other SINs - Proposal'!R933)</f>
        <v xml:space="preserve"> </v>
      </c>
      <c r="F933" s="73" t="str">
        <f>IF(ISBLANK('ALL Other SINs - Proposal'!S933)," ",'ALL Other SINs - Proposal'!S933)</f>
        <v xml:space="preserve"> </v>
      </c>
      <c r="G933" s="173" t="str">
        <f>IF(ISBLANK('ALL Other SINs - Proposal'!T933)," ",'ALL Other SINs - Proposal'!T933)</f>
        <v xml:space="preserve"> </v>
      </c>
      <c r="H933" s="275" t="str">
        <f>IF(ISBLANK('ALL Other SINs - Proposal'!V933)," ",'ALL Other SINs - Proposal'!V933)</f>
        <v xml:space="preserve"> </v>
      </c>
      <c r="I933" s="271" t="str">
        <f>IF(ISBLANK('ALL Other SINs - Proposal'!W933)," ",'ALL Other SINs - Proposal'!W933)</f>
        <v xml:space="preserve"> </v>
      </c>
      <c r="J933" s="71" t="str">
        <f>IF(ISBLANK('ALL Other SINs - Proposal'!X933)," ",'ALL Other SINs - Proposal'!X933)</f>
        <v xml:space="preserve"> </v>
      </c>
      <c r="K933" s="165" t="str">
        <f>IF(ISBLANK('ALL Other SINs - Proposal'!AA933)," ",'ALL Other SINs - Proposal'!AA933)</f>
        <v xml:space="preserve"> </v>
      </c>
      <c r="L933" s="178" t="str">
        <f>IF(ISBLANK('ALL Other SINs - Proposal'!AB933)," ",'ALL Other SINs - Proposal'!AB933)</f>
        <v xml:space="preserve"> </v>
      </c>
      <c r="M933" s="72" t="str">
        <f t="shared" si="28"/>
        <v xml:space="preserve"> </v>
      </c>
      <c r="N933" s="167" t="str">
        <f t="shared" si="29"/>
        <v xml:space="preserve"> </v>
      </c>
    </row>
    <row r="934" spans="1:14" ht="15" x14ac:dyDescent="0.25">
      <c r="A934" s="131" t="str">
        <f>IF(ISBLANK('ALL Other SINs - Proposal'!A934)," ",'ALL Other SINs - Proposal'!A934)</f>
        <v xml:space="preserve"> </v>
      </c>
      <c r="B934" s="137" t="str">
        <f>IF(ISBLANK('ALL Other SINs - Proposal'!B934)," ",'ALL Other SINs - Proposal'!B934)</f>
        <v xml:space="preserve"> </v>
      </c>
      <c r="C934" s="137" t="str">
        <f>IF(ISBLANK('ALL Other SINs - Proposal'!C934)," ",'ALL Other SINs - Proposal'!C934)</f>
        <v xml:space="preserve"> </v>
      </c>
      <c r="D934" s="138" t="str">
        <f>IF(ISBLANK('ALL Other SINs - Proposal'!D934)," ",'ALL Other SINs - Proposal'!D934)</f>
        <v xml:space="preserve"> </v>
      </c>
      <c r="E934" s="69" t="str">
        <f>IF(ISBLANK('ALL Other SINs - Proposal'!R934)," ",'ALL Other SINs - Proposal'!R934)</f>
        <v xml:space="preserve"> </v>
      </c>
      <c r="F934" s="73" t="str">
        <f>IF(ISBLANK('ALL Other SINs - Proposal'!S934)," ",'ALL Other SINs - Proposal'!S934)</f>
        <v xml:space="preserve"> </v>
      </c>
      <c r="G934" s="173" t="str">
        <f>IF(ISBLANK('ALL Other SINs - Proposal'!T934)," ",'ALL Other SINs - Proposal'!T934)</f>
        <v xml:space="preserve"> </v>
      </c>
      <c r="H934" s="275" t="str">
        <f>IF(ISBLANK('ALL Other SINs - Proposal'!V934)," ",'ALL Other SINs - Proposal'!V934)</f>
        <v xml:space="preserve"> </v>
      </c>
      <c r="I934" s="271" t="str">
        <f>IF(ISBLANK('ALL Other SINs - Proposal'!W934)," ",'ALL Other SINs - Proposal'!W934)</f>
        <v xml:space="preserve"> </v>
      </c>
      <c r="J934" s="71" t="str">
        <f>IF(ISBLANK('ALL Other SINs - Proposal'!X934)," ",'ALL Other SINs - Proposal'!X934)</f>
        <v xml:space="preserve"> </v>
      </c>
      <c r="K934" s="165" t="str">
        <f>IF(ISBLANK('ALL Other SINs - Proposal'!AA934)," ",'ALL Other SINs - Proposal'!AA934)</f>
        <v xml:space="preserve"> </v>
      </c>
      <c r="L934" s="178" t="str">
        <f>IF(ISBLANK('ALL Other SINs - Proposal'!AB934)," ",'ALL Other SINs - Proposal'!AB934)</f>
        <v xml:space="preserve"> </v>
      </c>
      <c r="M934" s="72" t="str">
        <f t="shared" si="28"/>
        <v xml:space="preserve"> </v>
      </c>
      <c r="N934" s="167" t="str">
        <f t="shared" si="29"/>
        <v xml:space="preserve"> </v>
      </c>
    </row>
    <row r="935" spans="1:14" ht="15" x14ac:dyDescent="0.25">
      <c r="A935" s="131" t="str">
        <f>IF(ISBLANK('ALL Other SINs - Proposal'!A935)," ",'ALL Other SINs - Proposal'!A935)</f>
        <v xml:space="preserve"> </v>
      </c>
      <c r="B935" s="137" t="str">
        <f>IF(ISBLANK('ALL Other SINs - Proposal'!B935)," ",'ALL Other SINs - Proposal'!B935)</f>
        <v xml:space="preserve"> </v>
      </c>
      <c r="C935" s="137" t="str">
        <f>IF(ISBLANK('ALL Other SINs - Proposal'!C935)," ",'ALL Other SINs - Proposal'!C935)</f>
        <v xml:space="preserve"> </v>
      </c>
      <c r="D935" s="138" t="str">
        <f>IF(ISBLANK('ALL Other SINs - Proposal'!D935)," ",'ALL Other SINs - Proposal'!D935)</f>
        <v xml:space="preserve"> </v>
      </c>
      <c r="E935" s="69" t="str">
        <f>IF(ISBLANK('ALL Other SINs - Proposal'!R935)," ",'ALL Other SINs - Proposal'!R935)</f>
        <v xml:space="preserve"> </v>
      </c>
      <c r="F935" s="73" t="str">
        <f>IF(ISBLANK('ALL Other SINs - Proposal'!S935)," ",'ALL Other SINs - Proposal'!S935)</f>
        <v xml:space="preserve"> </v>
      </c>
      <c r="G935" s="173" t="str">
        <f>IF(ISBLANK('ALL Other SINs - Proposal'!T935)," ",'ALL Other SINs - Proposal'!T935)</f>
        <v xml:space="preserve"> </v>
      </c>
      <c r="H935" s="275" t="str">
        <f>IF(ISBLANK('ALL Other SINs - Proposal'!V935)," ",'ALL Other SINs - Proposal'!V935)</f>
        <v xml:space="preserve"> </v>
      </c>
      <c r="I935" s="271" t="str">
        <f>IF(ISBLANK('ALL Other SINs - Proposal'!W935)," ",'ALL Other SINs - Proposal'!W935)</f>
        <v xml:space="preserve"> </v>
      </c>
      <c r="J935" s="71" t="str">
        <f>IF(ISBLANK('ALL Other SINs - Proposal'!X935)," ",'ALL Other SINs - Proposal'!X935)</f>
        <v xml:space="preserve"> </v>
      </c>
      <c r="K935" s="165" t="str">
        <f>IF(ISBLANK('ALL Other SINs - Proposal'!AA935)," ",'ALL Other SINs - Proposal'!AA935)</f>
        <v xml:space="preserve"> </v>
      </c>
      <c r="L935" s="178" t="str">
        <f>IF(ISBLANK('ALL Other SINs - Proposal'!AB935)," ",'ALL Other SINs - Proposal'!AB935)</f>
        <v xml:space="preserve"> </v>
      </c>
      <c r="M935" s="72" t="str">
        <f t="shared" si="28"/>
        <v xml:space="preserve"> </v>
      </c>
      <c r="N935" s="167" t="str">
        <f t="shared" si="29"/>
        <v xml:space="preserve"> </v>
      </c>
    </row>
    <row r="936" spans="1:14" ht="15" x14ac:dyDescent="0.25">
      <c r="A936" s="131" t="str">
        <f>IF(ISBLANK('ALL Other SINs - Proposal'!A936)," ",'ALL Other SINs - Proposal'!A936)</f>
        <v xml:space="preserve"> </v>
      </c>
      <c r="B936" s="137" t="str">
        <f>IF(ISBLANK('ALL Other SINs - Proposal'!B936)," ",'ALL Other SINs - Proposal'!B936)</f>
        <v xml:space="preserve"> </v>
      </c>
      <c r="C936" s="137" t="str">
        <f>IF(ISBLANK('ALL Other SINs - Proposal'!C936)," ",'ALL Other SINs - Proposal'!C936)</f>
        <v xml:space="preserve"> </v>
      </c>
      <c r="D936" s="138" t="str">
        <f>IF(ISBLANK('ALL Other SINs - Proposal'!D936)," ",'ALL Other SINs - Proposal'!D936)</f>
        <v xml:space="preserve"> </v>
      </c>
      <c r="E936" s="69" t="str">
        <f>IF(ISBLANK('ALL Other SINs - Proposal'!R936)," ",'ALL Other SINs - Proposal'!R936)</f>
        <v xml:space="preserve"> </v>
      </c>
      <c r="F936" s="73" t="str">
        <f>IF(ISBLANK('ALL Other SINs - Proposal'!S936)," ",'ALL Other SINs - Proposal'!S936)</f>
        <v xml:space="preserve"> </v>
      </c>
      <c r="G936" s="173" t="str">
        <f>IF(ISBLANK('ALL Other SINs - Proposal'!T936)," ",'ALL Other SINs - Proposal'!T936)</f>
        <v xml:space="preserve"> </v>
      </c>
      <c r="H936" s="275" t="str">
        <f>IF(ISBLANK('ALL Other SINs - Proposal'!V936)," ",'ALL Other SINs - Proposal'!V936)</f>
        <v xml:space="preserve"> </v>
      </c>
      <c r="I936" s="271" t="str">
        <f>IF(ISBLANK('ALL Other SINs - Proposal'!W936)," ",'ALL Other SINs - Proposal'!W936)</f>
        <v xml:space="preserve"> </v>
      </c>
      <c r="J936" s="71" t="str">
        <f>IF(ISBLANK('ALL Other SINs - Proposal'!X936)," ",'ALL Other SINs - Proposal'!X936)</f>
        <v xml:space="preserve"> </v>
      </c>
      <c r="K936" s="165" t="str">
        <f>IF(ISBLANK('ALL Other SINs - Proposal'!AA936)," ",'ALL Other SINs - Proposal'!AA936)</f>
        <v xml:space="preserve"> </v>
      </c>
      <c r="L936" s="178" t="str">
        <f>IF(ISBLANK('ALL Other SINs - Proposal'!AB936)," ",'ALL Other SINs - Proposal'!AB936)</f>
        <v xml:space="preserve"> </v>
      </c>
      <c r="M936" s="72" t="str">
        <f t="shared" si="28"/>
        <v xml:space="preserve"> </v>
      </c>
      <c r="N936" s="167" t="str">
        <f t="shared" si="29"/>
        <v xml:space="preserve"> </v>
      </c>
    </row>
    <row r="937" spans="1:14" ht="15" x14ac:dyDescent="0.25">
      <c r="A937" s="131" t="str">
        <f>IF(ISBLANK('ALL Other SINs - Proposal'!A937)," ",'ALL Other SINs - Proposal'!A937)</f>
        <v xml:space="preserve"> </v>
      </c>
      <c r="B937" s="137" t="str">
        <f>IF(ISBLANK('ALL Other SINs - Proposal'!B937)," ",'ALL Other SINs - Proposal'!B937)</f>
        <v xml:space="preserve"> </v>
      </c>
      <c r="C937" s="137" t="str">
        <f>IF(ISBLANK('ALL Other SINs - Proposal'!C937)," ",'ALL Other SINs - Proposal'!C937)</f>
        <v xml:space="preserve"> </v>
      </c>
      <c r="D937" s="138" t="str">
        <f>IF(ISBLANK('ALL Other SINs - Proposal'!D937)," ",'ALL Other SINs - Proposal'!D937)</f>
        <v xml:space="preserve"> </v>
      </c>
      <c r="E937" s="69" t="str">
        <f>IF(ISBLANK('ALL Other SINs - Proposal'!R937)," ",'ALL Other SINs - Proposal'!R937)</f>
        <v xml:space="preserve"> </v>
      </c>
      <c r="F937" s="73" t="str">
        <f>IF(ISBLANK('ALL Other SINs - Proposal'!S937)," ",'ALL Other SINs - Proposal'!S937)</f>
        <v xml:space="preserve"> </v>
      </c>
      <c r="G937" s="173" t="str">
        <f>IF(ISBLANK('ALL Other SINs - Proposal'!T937)," ",'ALL Other SINs - Proposal'!T937)</f>
        <v xml:space="preserve"> </v>
      </c>
      <c r="H937" s="275" t="str">
        <f>IF(ISBLANK('ALL Other SINs - Proposal'!V937)," ",'ALL Other SINs - Proposal'!V937)</f>
        <v xml:space="preserve"> </v>
      </c>
      <c r="I937" s="271" t="str">
        <f>IF(ISBLANK('ALL Other SINs - Proposal'!W937)," ",'ALL Other SINs - Proposal'!W937)</f>
        <v xml:space="preserve"> </v>
      </c>
      <c r="J937" s="71" t="str">
        <f>IF(ISBLANK('ALL Other SINs - Proposal'!X937)," ",'ALL Other SINs - Proposal'!X937)</f>
        <v xml:space="preserve"> </v>
      </c>
      <c r="K937" s="165" t="str">
        <f>IF(ISBLANK('ALL Other SINs - Proposal'!AA937)," ",'ALL Other SINs - Proposal'!AA937)</f>
        <v xml:space="preserve"> </v>
      </c>
      <c r="L937" s="178" t="str">
        <f>IF(ISBLANK('ALL Other SINs - Proposal'!AB937)," ",'ALL Other SINs - Proposal'!AB937)</f>
        <v xml:space="preserve"> </v>
      </c>
      <c r="M937" s="72" t="str">
        <f t="shared" si="28"/>
        <v xml:space="preserve"> </v>
      </c>
      <c r="N937" s="167" t="str">
        <f t="shared" si="29"/>
        <v xml:space="preserve"> </v>
      </c>
    </row>
    <row r="938" spans="1:14" ht="15" x14ac:dyDescent="0.25">
      <c r="A938" s="131" t="str">
        <f>IF(ISBLANK('ALL Other SINs - Proposal'!A938)," ",'ALL Other SINs - Proposal'!A938)</f>
        <v xml:space="preserve"> </v>
      </c>
      <c r="B938" s="137" t="str">
        <f>IF(ISBLANK('ALL Other SINs - Proposal'!B938)," ",'ALL Other SINs - Proposal'!B938)</f>
        <v xml:space="preserve"> </v>
      </c>
      <c r="C938" s="137" t="str">
        <f>IF(ISBLANK('ALL Other SINs - Proposal'!C938)," ",'ALL Other SINs - Proposal'!C938)</f>
        <v xml:space="preserve"> </v>
      </c>
      <c r="D938" s="138" t="str">
        <f>IF(ISBLANK('ALL Other SINs - Proposal'!D938)," ",'ALL Other SINs - Proposal'!D938)</f>
        <v xml:space="preserve"> </v>
      </c>
      <c r="E938" s="69" t="str">
        <f>IF(ISBLANK('ALL Other SINs - Proposal'!R938)," ",'ALL Other SINs - Proposal'!R938)</f>
        <v xml:space="preserve"> </v>
      </c>
      <c r="F938" s="73" t="str">
        <f>IF(ISBLANK('ALL Other SINs - Proposal'!S938)," ",'ALL Other SINs - Proposal'!S938)</f>
        <v xml:space="preserve"> </v>
      </c>
      <c r="G938" s="173" t="str">
        <f>IF(ISBLANK('ALL Other SINs - Proposal'!T938)," ",'ALL Other SINs - Proposal'!T938)</f>
        <v xml:space="preserve"> </v>
      </c>
      <c r="H938" s="275" t="str">
        <f>IF(ISBLANK('ALL Other SINs - Proposal'!V938)," ",'ALL Other SINs - Proposal'!V938)</f>
        <v xml:space="preserve"> </v>
      </c>
      <c r="I938" s="271" t="str">
        <f>IF(ISBLANK('ALL Other SINs - Proposal'!W938)," ",'ALL Other SINs - Proposal'!W938)</f>
        <v xml:space="preserve"> </v>
      </c>
      <c r="J938" s="71" t="str">
        <f>IF(ISBLANK('ALL Other SINs - Proposal'!X938)," ",'ALL Other SINs - Proposal'!X938)</f>
        <v xml:space="preserve"> </v>
      </c>
      <c r="K938" s="165" t="str">
        <f>IF(ISBLANK('ALL Other SINs - Proposal'!AA938)," ",'ALL Other SINs - Proposal'!AA938)</f>
        <v xml:space="preserve"> </v>
      </c>
      <c r="L938" s="178" t="str">
        <f>IF(ISBLANK('ALL Other SINs - Proposal'!AB938)," ",'ALL Other SINs - Proposal'!AB938)</f>
        <v xml:space="preserve"> </v>
      </c>
      <c r="M938" s="72" t="str">
        <f t="shared" si="28"/>
        <v xml:space="preserve"> </v>
      </c>
      <c r="N938" s="167" t="str">
        <f t="shared" si="29"/>
        <v xml:space="preserve"> </v>
      </c>
    </row>
    <row r="939" spans="1:14" ht="15" x14ac:dyDescent="0.25">
      <c r="A939" s="131" t="str">
        <f>IF(ISBLANK('ALL Other SINs - Proposal'!A939)," ",'ALL Other SINs - Proposal'!A939)</f>
        <v xml:space="preserve"> </v>
      </c>
      <c r="B939" s="137" t="str">
        <f>IF(ISBLANK('ALL Other SINs - Proposal'!B939)," ",'ALL Other SINs - Proposal'!B939)</f>
        <v xml:space="preserve"> </v>
      </c>
      <c r="C939" s="137" t="str">
        <f>IF(ISBLANK('ALL Other SINs - Proposal'!C939)," ",'ALL Other SINs - Proposal'!C939)</f>
        <v xml:space="preserve"> </v>
      </c>
      <c r="D939" s="138" t="str">
        <f>IF(ISBLANK('ALL Other SINs - Proposal'!D939)," ",'ALL Other SINs - Proposal'!D939)</f>
        <v xml:space="preserve"> </v>
      </c>
      <c r="E939" s="69" t="str">
        <f>IF(ISBLANK('ALL Other SINs - Proposal'!R939)," ",'ALL Other SINs - Proposal'!R939)</f>
        <v xml:space="preserve"> </v>
      </c>
      <c r="F939" s="73" t="str">
        <f>IF(ISBLANK('ALL Other SINs - Proposal'!S939)," ",'ALL Other SINs - Proposal'!S939)</f>
        <v xml:space="preserve"> </v>
      </c>
      <c r="G939" s="173" t="str">
        <f>IF(ISBLANK('ALL Other SINs - Proposal'!T939)," ",'ALL Other SINs - Proposal'!T939)</f>
        <v xml:space="preserve"> </v>
      </c>
      <c r="H939" s="275" t="str">
        <f>IF(ISBLANK('ALL Other SINs - Proposal'!V939)," ",'ALL Other SINs - Proposal'!V939)</f>
        <v xml:space="preserve"> </v>
      </c>
      <c r="I939" s="271" t="str">
        <f>IF(ISBLANK('ALL Other SINs - Proposal'!W939)," ",'ALL Other SINs - Proposal'!W939)</f>
        <v xml:space="preserve"> </v>
      </c>
      <c r="J939" s="71" t="str">
        <f>IF(ISBLANK('ALL Other SINs - Proposal'!X939)," ",'ALL Other SINs - Proposal'!X939)</f>
        <v xml:space="preserve"> </v>
      </c>
      <c r="K939" s="165" t="str">
        <f>IF(ISBLANK('ALL Other SINs - Proposal'!AA939)," ",'ALL Other SINs - Proposal'!AA939)</f>
        <v xml:space="preserve"> </v>
      </c>
      <c r="L939" s="178" t="str">
        <f>IF(ISBLANK('ALL Other SINs - Proposal'!AB939)," ",'ALL Other SINs - Proposal'!AB939)</f>
        <v xml:space="preserve"> </v>
      </c>
      <c r="M939" s="72" t="str">
        <f t="shared" si="28"/>
        <v xml:space="preserve"> </v>
      </c>
      <c r="N939" s="167" t="str">
        <f t="shared" si="29"/>
        <v xml:space="preserve"> </v>
      </c>
    </row>
    <row r="940" spans="1:14" ht="15" x14ac:dyDescent="0.25">
      <c r="A940" s="131" t="str">
        <f>IF(ISBLANK('ALL Other SINs - Proposal'!A940)," ",'ALL Other SINs - Proposal'!A940)</f>
        <v xml:space="preserve"> </v>
      </c>
      <c r="B940" s="137" t="str">
        <f>IF(ISBLANK('ALL Other SINs - Proposal'!B940)," ",'ALL Other SINs - Proposal'!B940)</f>
        <v xml:space="preserve"> </v>
      </c>
      <c r="C940" s="137" t="str">
        <f>IF(ISBLANK('ALL Other SINs - Proposal'!C940)," ",'ALL Other SINs - Proposal'!C940)</f>
        <v xml:space="preserve"> </v>
      </c>
      <c r="D940" s="138" t="str">
        <f>IF(ISBLANK('ALL Other SINs - Proposal'!D940)," ",'ALL Other SINs - Proposal'!D940)</f>
        <v xml:space="preserve"> </v>
      </c>
      <c r="E940" s="69" t="str">
        <f>IF(ISBLANK('ALL Other SINs - Proposal'!R940)," ",'ALL Other SINs - Proposal'!R940)</f>
        <v xml:space="preserve"> </v>
      </c>
      <c r="F940" s="73" t="str">
        <f>IF(ISBLANK('ALL Other SINs - Proposal'!S940)," ",'ALL Other SINs - Proposal'!S940)</f>
        <v xml:space="preserve"> </v>
      </c>
      <c r="G940" s="173" t="str">
        <f>IF(ISBLANK('ALL Other SINs - Proposal'!T940)," ",'ALL Other SINs - Proposal'!T940)</f>
        <v xml:space="preserve"> </v>
      </c>
      <c r="H940" s="275" t="str">
        <f>IF(ISBLANK('ALL Other SINs - Proposal'!V940)," ",'ALL Other SINs - Proposal'!V940)</f>
        <v xml:space="preserve"> </v>
      </c>
      <c r="I940" s="271" t="str">
        <f>IF(ISBLANK('ALL Other SINs - Proposal'!W940)," ",'ALL Other SINs - Proposal'!W940)</f>
        <v xml:space="preserve"> </v>
      </c>
      <c r="J940" s="71" t="str">
        <f>IF(ISBLANK('ALL Other SINs - Proposal'!X940)," ",'ALL Other SINs - Proposal'!X940)</f>
        <v xml:space="preserve"> </v>
      </c>
      <c r="K940" s="165" t="str">
        <f>IF(ISBLANK('ALL Other SINs - Proposal'!AA940)," ",'ALL Other SINs - Proposal'!AA940)</f>
        <v xml:space="preserve"> </v>
      </c>
      <c r="L940" s="178" t="str">
        <f>IF(ISBLANK('ALL Other SINs - Proposal'!AB940)," ",'ALL Other SINs - Proposal'!AB940)</f>
        <v xml:space="preserve"> </v>
      </c>
      <c r="M940" s="72" t="str">
        <f t="shared" si="28"/>
        <v xml:space="preserve"> </v>
      </c>
      <c r="N940" s="167" t="str">
        <f t="shared" si="29"/>
        <v xml:space="preserve"> </v>
      </c>
    </row>
    <row r="941" spans="1:14" ht="15" x14ac:dyDescent="0.25">
      <c r="A941" s="131" t="str">
        <f>IF(ISBLANK('ALL Other SINs - Proposal'!A941)," ",'ALL Other SINs - Proposal'!A941)</f>
        <v xml:space="preserve"> </v>
      </c>
      <c r="B941" s="137" t="str">
        <f>IF(ISBLANK('ALL Other SINs - Proposal'!B941)," ",'ALL Other SINs - Proposal'!B941)</f>
        <v xml:space="preserve"> </v>
      </c>
      <c r="C941" s="137" t="str">
        <f>IF(ISBLANK('ALL Other SINs - Proposal'!C941)," ",'ALL Other SINs - Proposal'!C941)</f>
        <v xml:space="preserve"> </v>
      </c>
      <c r="D941" s="138" t="str">
        <f>IF(ISBLANK('ALL Other SINs - Proposal'!D941)," ",'ALL Other SINs - Proposal'!D941)</f>
        <v xml:space="preserve"> </v>
      </c>
      <c r="E941" s="69" t="str">
        <f>IF(ISBLANK('ALL Other SINs - Proposal'!R941)," ",'ALL Other SINs - Proposal'!R941)</f>
        <v xml:space="preserve"> </v>
      </c>
      <c r="F941" s="73" t="str">
        <f>IF(ISBLANK('ALL Other SINs - Proposal'!S941)," ",'ALL Other SINs - Proposal'!S941)</f>
        <v xml:space="preserve"> </v>
      </c>
      <c r="G941" s="173" t="str">
        <f>IF(ISBLANK('ALL Other SINs - Proposal'!T941)," ",'ALL Other SINs - Proposal'!T941)</f>
        <v xml:space="preserve"> </v>
      </c>
      <c r="H941" s="275" t="str">
        <f>IF(ISBLANK('ALL Other SINs - Proposal'!V941)," ",'ALL Other SINs - Proposal'!V941)</f>
        <v xml:space="preserve"> </v>
      </c>
      <c r="I941" s="271" t="str">
        <f>IF(ISBLANK('ALL Other SINs - Proposal'!W941)," ",'ALL Other SINs - Proposal'!W941)</f>
        <v xml:space="preserve"> </v>
      </c>
      <c r="J941" s="71" t="str">
        <f>IF(ISBLANK('ALL Other SINs - Proposal'!X941)," ",'ALL Other SINs - Proposal'!X941)</f>
        <v xml:space="preserve"> </v>
      </c>
      <c r="K941" s="165" t="str">
        <f>IF(ISBLANK('ALL Other SINs - Proposal'!AA941)," ",'ALL Other SINs - Proposal'!AA941)</f>
        <v xml:space="preserve"> </v>
      </c>
      <c r="L941" s="178" t="str">
        <f>IF(ISBLANK('ALL Other SINs - Proposal'!AB941)," ",'ALL Other SINs - Proposal'!AB941)</f>
        <v xml:space="preserve"> </v>
      </c>
      <c r="M941" s="72" t="str">
        <f t="shared" si="28"/>
        <v xml:space="preserve"> </v>
      </c>
      <c r="N941" s="167" t="str">
        <f t="shared" si="29"/>
        <v xml:space="preserve"> </v>
      </c>
    </row>
    <row r="942" spans="1:14" ht="15" x14ac:dyDescent="0.25">
      <c r="A942" s="131" t="str">
        <f>IF(ISBLANK('ALL Other SINs - Proposal'!A942)," ",'ALL Other SINs - Proposal'!A942)</f>
        <v xml:space="preserve"> </v>
      </c>
      <c r="B942" s="137" t="str">
        <f>IF(ISBLANK('ALL Other SINs - Proposal'!B942)," ",'ALL Other SINs - Proposal'!B942)</f>
        <v xml:space="preserve"> </v>
      </c>
      <c r="C942" s="137" t="str">
        <f>IF(ISBLANK('ALL Other SINs - Proposal'!C942)," ",'ALL Other SINs - Proposal'!C942)</f>
        <v xml:space="preserve"> </v>
      </c>
      <c r="D942" s="138" t="str">
        <f>IF(ISBLANK('ALL Other SINs - Proposal'!D942)," ",'ALL Other SINs - Proposal'!D942)</f>
        <v xml:space="preserve"> </v>
      </c>
      <c r="E942" s="69" t="str">
        <f>IF(ISBLANK('ALL Other SINs - Proposal'!R942)," ",'ALL Other SINs - Proposal'!R942)</f>
        <v xml:space="preserve"> </v>
      </c>
      <c r="F942" s="73" t="str">
        <f>IF(ISBLANK('ALL Other SINs - Proposal'!S942)," ",'ALL Other SINs - Proposal'!S942)</f>
        <v xml:space="preserve"> </v>
      </c>
      <c r="G942" s="173" t="str">
        <f>IF(ISBLANK('ALL Other SINs - Proposal'!T942)," ",'ALL Other SINs - Proposal'!T942)</f>
        <v xml:space="preserve"> </v>
      </c>
      <c r="H942" s="275" t="str">
        <f>IF(ISBLANK('ALL Other SINs - Proposal'!V942)," ",'ALL Other SINs - Proposal'!V942)</f>
        <v xml:space="preserve"> </v>
      </c>
      <c r="I942" s="271" t="str">
        <f>IF(ISBLANK('ALL Other SINs - Proposal'!W942)," ",'ALL Other SINs - Proposal'!W942)</f>
        <v xml:space="preserve"> </v>
      </c>
      <c r="J942" s="71" t="str">
        <f>IF(ISBLANK('ALL Other SINs - Proposal'!X942)," ",'ALL Other SINs - Proposal'!X942)</f>
        <v xml:space="preserve"> </v>
      </c>
      <c r="K942" s="165" t="str">
        <f>IF(ISBLANK('ALL Other SINs - Proposal'!AA942)," ",'ALL Other SINs - Proposal'!AA942)</f>
        <v xml:space="preserve"> </v>
      </c>
      <c r="L942" s="178" t="str">
        <f>IF(ISBLANK('ALL Other SINs - Proposal'!AB942)," ",'ALL Other SINs - Proposal'!AB942)</f>
        <v xml:space="preserve"> </v>
      </c>
      <c r="M942" s="72" t="str">
        <f t="shared" si="28"/>
        <v xml:space="preserve"> </v>
      </c>
      <c r="N942" s="167" t="str">
        <f t="shared" si="29"/>
        <v xml:space="preserve"> </v>
      </c>
    </row>
    <row r="943" spans="1:14" ht="15" x14ac:dyDescent="0.25">
      <c r="A943" s="131" t="str">
        <f>IF(ISBLANK('ALL Other SINs - Proposal'!A943)," ",'ALL Other SINs - Proposal'!A943)</f>
        <v xml:space="preserve"> </v>
      </c>
      <c r="B943" s="137" t="str">
        <f>IF(ISBLANK('ALL Other SINs - Proposal'!B943)," ",'ALL Other SINs - Proposal'!B943)</f>
        <v xml:space="preserve"> </v>
      </c>
      <c r="C943" s="137" t="str">
        <f>IF(ISBLANK('ALL Other SINs - Proposal'!C943)," ",'ALL Other SINs - Proposal'!C943)</f>
        <v xml:space="preserve"> </v>
      </c>
      <c r="D943" s="138" t="str">
        <f>IF(ISBLANK('ALL Other SINs - Proposal'!D943)," ",'ALL Other SINs - Proposal'!D943)</f>
        <v xml:space="preserve"> </v>
      </c>
      <c r="E943" s="69" t="str">
        <f>IF(ISBLANK('ALL Other SINs - Proposal'!R943)," ",'ALL Other SINs - Proposal'!R943)</f>
        <v xml:space="preserve"> </v>
      </c>
      <c r="F943" s="73" t="str">
        <f>IF(ISBLANK('ALL Other SINs - Proposal'!S943)," ",'ALL Other SINs - Proposal'!S943)</f>
        <v xml:space="preserve"> </v>
      </c>
      <c r="G943" s="173" t="str">
        <f>IF(ISBLANK('ALL Other SINs - Proposal'!T943)," ",'ALL Other SINs - Proposal'!T943)</f>
        <v xml:space="preserve"> </v>
      </c>
      <c r="H943" s="275" t="str">
        <f>IF(ISBLANK('ALL Other SINs - Proposal'!V943)," ",'ALL Other SINs - Proposal'!V943)</f>
        <v xml:space="preserve"> </v>
      </c>
      <c r="I943" s="271" t="str">
        <f>IF(ISBLANK('ALL Other SINs - Proposal'!W943)," ",'ALL Other SINs - Proposal'!W943)</f>
        <v xml:space="preserve"> </v>
      </c>
      <c r="J943" s="71" t="str">
        <f>IF(ISBLANK('ALL Other SINs - Proposal'!X943)," ",'ALL Other SINs - Proposal'!X943)</f>
        <v xml:space="preserve"> </v>
      </c>
      <c r="K943" s="165" t="str">
        <f>IF(ISBLANK('ALL Other SINs - Proposal'!AA943)," ",'ALL Other SINs - Proposal'!AA943)</f>
        <v xml:space="preserve"> </v>
      </c>
      <c r="L943" s="178" t="str">
        <f>IF(ISBLANK('ALL Other SINs - Proposal'!AB943)," ",'ALL Other SINs - Proposal'!AB943)</f>
        <v xml:space="preserve"> </v>
      </c>
      <c r="M943" s="72" t="str">
        <f t="shared" si="28"/>
        <v xml:space="preserve"> </v>
      </c>
      <c r="N943" s="167" t="str">
        <f t="shared" si="29"/>
        <v xml:space="preserve"> </v>
      </c>
    </row>
    <row r="944" spans="1:14" ht="15" x14ac:dyDescent="0.25">
      <c r="A944" s="131" t="str">
        <f>IF(ISBLANK('ALL Other SINs - Proposal'!A944)," ",'ALL Other SINs - Proposal'!A944)</f>
        <v xml:space="preserve"> </v>
      </c>
      <c r="B944" s="137" t="str">
        <f>IF(ISBLANK('ALL Other SINs - Proposal'!B944)," ",'ALL Other SINs - Proposal'!B944)</f>
        <v xml:space="preserve"> </v>
      </c>
      <c r="C944" s="137" t="str">
        <f>IF(ISBLANK('ALL Other SINs - Proposal'!C944)," ",'ALL Other SINs - Proposal'!C944)</f>
        <v xml:space="preserve"> </v>
      </c>
      <c r="D944" s="138" t="str">
        <f>IF(ISBLANK('ALL Other SINs - Proposal'!D944)," ",'ALL Other SINs - Proposal'!D944)</f>
        <v xml:space="preserve"> </v>
      </c>
      <c r="E944" s="69" t="str">
        <f>IF(ISBLANK('ALL Other SINs - Proposal'!R944)," ",'ALL Other SINs - Proposal'!R944)</f>
        <v xml:space="preserve"> </v>
      </c>
      <c r="F944" s="73" t="str">
        <f>IF(ISBLANK('ALL Other SINs - Proposal'!S944)," ",'ALL Other SINs - Proposal'!S944)</f>
        <v xml:space="preserve"> </v>
      </c>
      <c r="G944" s="173" t="str">
        <f>IF(ISBLANK('ALL Other SINs - Proposal'!T944)," ",'ALL Other SINs - Proposal'!T944)</f>
        <v xml:space="preserve"> </v>
      </c>
      <c r="H944" s="275" t="str">
        <f>IF(ISBLANK('ALL Other SINs - Proposal'!V944)," ",'ALL Other SINs - Proposal'!V944)</f>
        <v xml:space="preserve"> </v>
      </c>
      <c r="I944" s="271" t="str">
        <f>IF(ISBLANK('ALL Other SINs - Proposal'!W944)," ",'ALL Other SINs - Proposal'!W944)</f>
        <v xml:space="preserve"> </v>
      </c>
      <c r="J944" s="71" t="str">
        <f>IF(ISBLANK('ALL Other SINs - Proposal'!X944)," ",'ALL Other SINs - Proposal'!X944)</f>
        <v xml:space="preserve"> </v>
      </c>
      <c r="K944" s="165" t="str">
        <f>IF(ISBLANK('ALL Other SINs - Proposal'!AA944)," ",'ALL Other SINs - Proposal'!AA944)</f>
        <v xml:space="preserve"> </v>
      </c>
      <c r="L944" s="178" t="str">
        <f>IF(ISBLANK('ALL Other SINs - Proposal'!AB944)," ",'ALL Other SINs - Proposal'!AB944)</f>
        <v xml:space="preserve"> </v>
      </c>
      <c r="M944" s="72" t="str">
        <f t="shared" si="28"/>
        <v xml:space="preserve"> </v>
      </c>
      <c r="N944" s="167" t="str">
        <f t="shared" si="29"/>
        <v xml:space="preserve"> </v>
      </c>
    </row>
    <row r="945" spans="1:14" ht="15" x14ac:dyDescent="0.25">
      <c r="A945" s="131" t="str">
        <f>IF(ISBLANK('ALL Other SINs - Proposal'!A945)," ",'ALL Other SINs - Proposal'!A945)</f>
        <v xml:space="preserve"> </v>
      </c>
      <c r="B945" s="137" t="str">
        <f>IF(ISBLANK('ALL Other SINs - Proposal'!B945)," ",'ALL Other SINs - Proposal'!B945)</f>
        <v xml:space="preserve"> </v>
      </c>
      <c r="C945" s="137" t="str">
        <f>IF(ISBLANK('ALL Other SINs - Proposal'!C945)," ",'ALL Other SINs - Proposal'!C945)</f>
        <v xml:space="preserve"> </v>
      </c>
      <c r="D945" s="138" t="str">
        <f>IF(ISBLANK('ALL Other SINs - Proposal'!D945)," ",'ALL Other SINs - Proposal'!D945)</f>
        <v xml:space="preserve"> </v>
      </c>
      <c r="E945" s="69" t="str">
        <f>IF(ISBLANK('ALL Other SINs - Proposal'!R945)," ",'ALL Other SINs - Proposal'!R945)</f>
        <v xml:space="preserve"> </v>
      </c>
      <c r="F945" s="73" t="str">
        <f>IF(ISBLANK('ALL Other SINs - Proposal'!S945)," ",'ALL Other SINs - Proposal'!S945)</f>
        <v xml:space="preserve"> </v>
      </c>
      <c r="G945" s="173" t="str">
        <f>IF(ISBLANK('ALL Other SINs - Proposal'!T945)," ",'ALL Other SINs - Proposal'!T945)</f>
        <v xml:space="preserve"> </v>
      </c>
      <c r="H945" s="275" t="str">
        <f>IF(ISBLANK('ALL Other SINs - Proposal'!V945)," ",'ALL Other SINs - Proposal'!V945)</f>
        <v xml:space="preserve"> </v>
      </c>
      <c r="I945" s="271" t="str">
        <f>IF(ISBLANK('ALL Other SINs - Proposal'!W945)," ",'ALL Other SINs - Proposal'!W945)</f>
        <v xml:space="preserve"> </v>
      </c>
      <c r="J945" s="71" t="str">
        <f>IF(ISBLANK('ALL Other SINs - Proposal'!X945)," ",'ALL Other SINs - Proposal'!X945)</f>
        <v xml:space="preserve"> </v>
      </c>
      <c r="K945" s="165" t="str">
        <f>IF(ISBLANK('ALL Other SINs - Proposal'!AA945)," ",'ALL Other SINs - Proposal'!AA945)</f>
        <v xml:space="preserve"> </v>
      </c>
      <c r="L945" s="178" t="str">
        <f>IF(ISBLANK('ALL Other SINs - Proposal'!AB945)," ",'ALL Other SINs - Proposal'!AB945)</f>
        <v xml:space="preserve"> </v>
      </c>
      <c r="M945" s="72" t="str">
        <f t="shared" si="28"/>
        <v xml:space="preserve"> </v>
      </c>
      <c r="N945" s="167" t="str">
        <f t="shared" si="29"/>
        <v xml:space="preserve"> </v>
      </c>
    </row>
    <row r="946" spans="1:14" ht="15" x14ac:dyDescent="0.25">
      <c r="A946" s="131" t="str">
        <f>IF(ISBLANK('ALL Other SINs - Proposal'!A946)," ",'ALL Other SINs - Proposal'!A946)</f>
        <v xml:space="preserve"> </v>
      </c>
      <c r="B946" s="137" t="str">
        <f>IF(ISBLANK('ALL Other SINs - Proposal'!B946)," ",'ALL Other SINs - Proposal'!B946)</f>
        <v xml:space="preserve"> </v>
      </c>
      <c r="C946" s="137" t="str">
        <f>IF(ISBLANK('ALL Other SINs - Proposal'!C946)," ",'ALL Other SINs - Proposal'!C946)</f>
        <v xml:space="preserve"> </v>
      </c>
      <c r="D946" s="138" t="str">
        <f>IF(ISBLANK('ALL Other SINs - Proposal'!D946)," ",'ALL Other SINs - Proposal'!D946)</f>
        <v xml:space="preserve"> </v>
      </c>
      <c r="E946" s="69" t="str">
        <f>IF(ISBLANK('ALL Other SINs - Proposal'!R946)," ",'ALL Other SINs - Proposal'!R946)</f>
        <v xml:space="preserve"> </v>
      </c>
      <c r="F946" s="73" t="str">
        <f>IF(ISBLANK('ALL Other SINs - Proposal'!S946)," ",'ALL Other SINs - Proposal'!S946)</f>
        <v xml:space="preserve"> </v>
      </c>
      <c r="G946" s="173" t="str">
        <f>IF(ISBLANK('ALL Other SINs - Proposal'!T946)," ",'ALL Other SINs - Proposal'!T946)</f>
        <v xml:space="preserve"> </v>
      </c>
      <c r="H946" s="275" t="str">
        <f>IF(ISBLANK('ALL Other SINs - Proposal'!V946)," ",'ALL Other SINs - Proposal'!V946)</f>
        <v xml:space="preserve"> </v>
      </c>
      <c r="I946" s="271" t="str">
        <f>IF(ISBLANK('ALL Other SINs - Proposal'!W946)," ",'ALL Other SINs - Proposal'!W946)</f>
        <v xml:space="preserve"> </v>
      </c>
      <c r="J946" s="71" t="str">
        <f>IF(ISBLANK('ALL Other SINs - Proposal'!X946)," ",'ALL Other SINs - Proposal'!X946)</f>
        <v xml:space="preserve"> </v>
      </c>
      <c r="K946" s="165" t="str">
        <f>IF(ISBLANK('ALL Other SINs - Proposal'!AA946)," ",'ALL Other SINs - Proposal'!AA946)</f>
        <v xml:space="preserve"> </v>
      </c>
      <c r="L946" s="178" t="str">
        <f>IF(ISBLANK('ALL Other SINs - Proposal'!AB946)," ",'ALL Other SINs - Proposal'!AB946)</f>
        <v xml:space="preserve"> </v>
      </c>
      <c r="M946" s="72" t="str">
        <f t="shared" si="28"/>
        <v xml:space="preserve"> </v>
      </c>
      <c r="N946" s="167" t="str">
        <f t="shared" si="29"/>
        <v xml:space="preserve"> </v>
      </c>
    </row>
    <row r="947" spans="1:14" ht="15" x14ac:dyDescent="0.25">
      <c r="A947" s="131" t="str">
        <f>IF(ISBLANK('ALL Other SINs - Proposal'!A947)," ",'ALL Other SINs - Proposal'!A947)</f>
        <v xml:space="preserve"> </v>
      </c>
      <c r="B947" s="137" t="str">
        <f>IF(ISBLANK('ALL Other SINs - Proposal'!B947)," ",'ALL Other SINs - Proposal'!B947)</f>
        <v xml:space="preserve"> </v>
      </c>
      <c r="C947" s="137" t="str">
        <f>IF(ISBLANK('ALL Other SINs - Proposal'!C947)," ",'ALL Other SINs - Proposal'!C947)</f>
        <v xml:space="preserve"> </v>
      </c>
      <c r="D947" s="138" t="str">
        <f>IF(ISBLANK('ALL Other SINs - Proposal'!D947)," ",'ALL Other SINs - Proposal'!D947)</f>
        <v xml:space="preserve"> </v>
      </c>
      <c r="E947" s="69" t="str">
        <f>IF(ISBLANK('ALL Other SINs - Proposal'!R947)," ",'ALL Other SINs - Proposal'!R947)</f>
        <v xml:space="preserve"> </v>
      </c>
      <c r="F947" s="73" t="str">
        <f>IF(ISBLANK('ALL Other SINs - Proposal'!S947)," ",'ALL Other SINs - Proposal'!S947)</f>
        <v xml:space="preserve"> </v>
      </c>
      <c r="G947" s="173" t="str">
        <f>IF(ISBLANK('ALL Other SINs - Proposal'!T947)," ",'ALL Other SINs - Proposal'!T947)</f>
        <v xml:space="preserve"> </v>
      </c>
      <c r="H947" s="275" t="str">
        <f>IF(ISBLANK('ALL Other SINs - Proposal'!V947)," ",'ALL Other SINs - Proposal'!V947)</f>
        <v xml:space="preserve"> </v>
      </c>
      <c r="I947" s="271" t="str">
        <f>IF(ISBLANK('ALL Other SINs - Proposal'!W947)," ",'ALL Other SINs - Proposal'!W947)</f>
        <v xml:space="preserve"> </v>
      </c>
      <c r="J947" s="71" t="str">
        <f>IF(ISBLANK('ALL Other SINs - Proposal'!X947)," ",'ALL Other SINs - Proposal'!X947)</f>
        <v xml:space="preserve"> </v>
      </c>
      <c r="K947" s="165" t="str">
        <f>IF(ISBLANK('ALL Other SINs - Proposal'!AA947)," ",'ALL Other SINs - Proposal'!AA947)</f>
        <v xml:space="preserve"> </v>
      </c>
      <c r="L947" s="178" t="str">
        <f>IF(ISBLANK('ALL Other SINs - Proposal'!AB947)," ",'ALL Other SINs - Proposal'!AB947)</f>
        <v xml:space="preserve"> </v>
      </c>
      <c r="M947" s="72" t="str">
        <f t="shared" si="28"/>
        <v xml:space="preserve"> </v>
      </c>
      <c r="N947" s="167" t="str">
        <f t="shared" si="29"/>
        <v xml:space="preserve"> </v>
      </c>
    </row>
    <row r="948" spans="1:14" ht="15" x14ac:dyDescent="0.25">
      <c r="A948" s="131" t="str">
        <f>IF(ISBLANK('ALL Other SINs - Proposal'!A948)," ",'ALL Other SINs - Proposal'!A948)</f>
        <v xml:space="preserve"> </v>
      </c>
      <c r="B948" s="137" t="str">
        <f>IF(ISBLANK('ALL Other SINs - Proposal'!B948)," ",'ALL Other SINs - Proposal'!B948)</f>
        <v xml:space="preserve"> </v>
      </c>
      <c r="C948" s="137" t="str">
        <f>IF(ISBLANK('ALL Other SINs - Proposal'!C948)," ",'ALL Other SINs - Proposal'!C948)</f>
        <v xml:space="preserve"> </v>
      </c>
      <c r="D948" s="138" t="str">
        <f>IF(ISBLANK('ALL Other SINs - Proposal'!D948)," ",'ALL Other SINs - Proposal'!D948)</f>
        <v xml:space="preserve"> </v>
      </c>
      <c r="E948" s="69" t="str">
        <f>IF(ISBLANK('ALL Other SINs - Proposal'!R948)," ",'ALL Other SINs - Proposal'!R948)</f>
        <v xml:space="preserve"> </v>
      </c>
      <c r="F948" s="73" t="str">
        <f>IF(ISBLANK('ALL Other SINs - Proposal'!S948)," ",'ALL Other SINs - Proposal'!S948)</f>
        <v xml:space="preserve"> </v>
      </c>
      <c r="G948" s="173" t="str">
        <f>IF(ISBLANK('ALL Other SINs - Proposal'!T948)," ",'ALL Other SINs - Proposal'!T948)</f>
        <v xml:space="preserve"> </v>
      </c>
      <c r="H948" s="275" t="str">
        <f>IF(ISBLANK('ALL Other SINs - Proposal'!V948)," ",'ALL Other SINs - Proposal'!V948)</f>
        <v xml:space="preserve"> </v>
      </c>
      <c r="I948" s="271" t="str">
        <f>IF(ISBLANK('ALL Other SINs - Proposal'!W948)," ",'ALL Other SINs - Proposal'!W948)</f>
        <v xml:space="preserve"> </v>
      </c>
      <c r="J948" s="71" t="str">
        <f>IF(ISBLANK('ALL Other SINs - Proposal'!X948)," ",'ALL Other SINs - Proposal'!X948)</f>
        <v xml:space="preserve"> </v>
      </c>
      <c r="K948" s="165" t="str">
        <f>IF(ISBLANK('ALL Other SINs - Proposal'!AA948)," ",'ALL Other SINs - Proposal'!AA948)</f>
        <v xml:space="preserve"> </v>
      </c>
      <c r="L948" s="178" t="str">
        <f>IF(ISBLANK('ALL Other SINs - Proposal'!AB948)," ",'ALL Other SINs - Proposal'!AB948)</f>
        <v xml:space="preserve"> </v>
      </c>
      <c r="M948" s="72" t="str">
        <f t="shared" si="28"/>
        <v xml:space="preserve"> </v>
      </c>
      <c r="N948" s="167" t="str">
        <f t="shared" si="29"/>
        <v xml:space="preserve"> </v>
      </c>
    </row>
    <row r="949" spans="1:14" ht="15" x14ac:dyDescent="0.25">
      <c r="A949" s="131" t="str">
        <f>IF(ISBLANK('ALL Other SINs - Proposal'!A949)," ",'ALL Other SINs - Proposal'!A949)</f>
        <v xml:space="preserve"> </v>
      </c>
      <c r="B949" s="137" t="str">
        <f>IF(ISBLANK('ALL Other SINs - Proposal'!B949)," ",'ALL Other SINs - Proposal'!B949)</f>
        <v xml:space="preserve"> </v>
      </c>
      <c r="C949" s="137" t="str">
        <f>IF(ISBLANK('ALL Other SINs - Proposal'!C949)," ",'ALL Other SINs - Proposal'!C949)</f>
        <v xml:space="preserve"> </v>
      </c>
      <c r="D949" s="138" t="str">
        <f>IF(ISBLANK('ALL Other SINs - Proposal'!D949)," ",'ALL Other SINs - Proposal'!D949)</f>
        <v xml:space="preserve"> </v>
      </c>
      <c r="E949" s="69" t="str">
        <f>IF(ISBLANK('ALL Other SINs - Proposal'!R949)," ",'ALL Other SINs - Proposal'!R949)</f>
        <v xml:space="preserve"> </v>
      </c>
      <c r="F949" s="73" t="str">
        <f>IF(ISBLANK('ALL Other SINs - Proposal'!S949)," ",'ALL Other SINs - Proposal'!S949)</f>
        <v xml:space="preserve"> </v>
      </c>
      <c r="G949" s="173" t="str">
        <f>IF(ISBLANK('ALL Other SINs - Proposal'!T949)," ",'ALL Other SINs - Proposal'!T949)</f>
        <v xml:space="preserve"> </v>
      </c>
      <c r="H949" s="275" t="str">
        <f>IF(ISBLANK('ALL Other SINs - Proposal'!V949)," ",'ALL Other SINs - Proposal'!V949)</f>
        <v xml:space="preserve"> </v>
      </c>
      <c r="I949" s="271" t="str">
        <f>IF(ISBLANK('ALL Other SINs - Proposal'!W949)," ",'ALL Other SINs - Proposal'!W949)</f>
        <v xml:space="preserve"> </v>
      </c>
      <c r="J949" s="71" t="str">
        <f>IF(ISBLANK('ALL Other SINs - Proposal'!X949)," ",'ALL Other SINs - Proposal'!X949)</f>
        <v xml:space="preserve"> </v>
      </c>
      <c r="K949" s="165" t="str">
        <f>IF(ISBLANK('ALL Other SINs - Proposal'!AA949)," ",'ALL Other SINs - Proposal'!AA949)</f>
        <v xml:space="preserve"> </v>
      </c>
      <c r="L949" s="178" t="str">
        <f>IF(ISBLANK('ALL Other SINs - Proposal'!AB949)," ",'ALL Other SINs - Proposal'!AB949)</f>
        <v xml:space="preserve"> </v>
      </c>
      <c r="M949" s="72" t="str">
        <f t="shared" si="28"/>
        <v xml:space="preserve"> </v>
      </c>
      <c r="N949" s="167" t="str">
        <f t="shared" si="29"/>
        <v xml:space="preserve"> </v>
      </c>
    </row>
    <row r="950" spans="1:14" ht="15" x14ac:dyDescent="0.25">
      <c r="A950" s="131" t="str">
        <f>IF(ISBLANK('ALL Other SINs - Proposal'!A950)," ",'ALL Other SINs - Proposal'!A950)</f>
        <v xml:space="preserve"> </v>
      </c>
      <c r="B950" s="137" t="str">
        <f>IF(ISBLANK('ALL Other SINs - Proposal'!B950)," ",'ALL Other SINs - Proposal'!B950)</f>
        <v xml:space="preserve"> </v>
      </c>
      <c r="C950" s="137" t="str">
        <f>IF(ISBLANK('ALL Other SINs - Proposal'!C950)," ",'ALL Other SINs - Proposal'!C950)</f>
        <v xml:space="preserve"> </v>
      </c>
      <c r="D950" s="138" t="str">
        <f>IF(ISBLANK('ALL Other SINs - Proposal'!D950)," ",'ALL Other SINs - Proposal'!D950)</f>
        <v xml:space="preserve"> </v>
      </c>
      <c r="E950" s="69" t="str">
        <f>IF(ISBLANK('ALL Other SINs - Proposal'!R950)," ",'ALL Other SINs - Proposal'!R950)</f>
        <v xml:space="preserve"> </v>
      </c>
      <c r="F950" s="73" t="str">
        <f>IF(ISBLANK('ALL Other SINs - Proposal'!S950)," ",'ALL Other SINs - Proposal'!S950)</f>
        <v xml:space="preserve"> </v>
      </c>
      <c r="G950" s="173" t="str">
        <f>IF(ISBLANK('ALL Other SINs - Proposal'!T950)," ",'ALL Other SINs - Proposal'!T950)</f>
        <v xml:space="preserve"> </v>
      </c>
      <c r="H950" s="275" t="str">
        <f>IF(ISBLANK('ALL Other SINs - Proposal'!V950)," ",'ALL Other SINs - Proposal'!V950)</f>
        <v xml:space="preserve"> </v>
      </c>
      <c r="I950" s="271" t="str">
        <f>IF(ISBLANK('ALL Other SINs - Proposal'!W950)," ",'ALL Other SINs - Proposal'!W950)</f>
        <v xml:space="preserve"> </v>
      </c>
      <c r="J950" s="71" t="str">
        <f>IF(ISBLANK('ALL Other SINs - Proposal'!X950)," ",'ALL Other SINs - Proposal'!X950)</f>
        <v xml:space="preserve"> </v>
      </c>
      <c r="K950" s="165" t="str">
        <f>IF(ISBLANK('ALL Other SINs - Proposal'!AA950)," ",'ALL Other SINs - Proposal'!AA950)</f>
        <v xml:space="preserve"> </v>
      </c>
      <c r="L950" s="178" t="str">
        <f>IF(ISBLANK('ALL Other SINs - Proposal'!AB950)," ",'ALL Other SINs - Proposal'!AB950)</f>
        <v xml:space="preserve"> </v>
      </c>
      <c r="M950" s="72" t="str">
        <f t="shared" si="28"/>
        <v xml:space="preserve"> </v>
      </c>
      <c r="N950" s="167" t="str">
        <f t="shared" si="29"/>
        <v xml:space="preserve"> </v>
      </c>
    </row>
    <row r="951" spans="1:14" ht="15" x14ac:dyDescent="0.25">
      <c r="A951" s="131" t="str">
        <f>IF(ISBLANK('ALL Other SINs - Proposal'!A951)," ",'ALL Other SINs - Proposal'!A951)</f>
        <v xml:space="preserve"> </v>
      </c>
      <c r="B951" s="137" t="str">
        <f>IF(ISBLANK('ALL Other SINs - Proposal'!B951)," ",'ALL Other SINs - Proposal'!B951)</f>
        <v xml:space="preserve"> </v>
      </c>
      <c r="C951" s="137" t="str">
        <f>IF(ISBLANK('ALL Other SINs - Proposal'!C951)," ",'ALL Other SINs - Proposal'!C951)</f>
        <v xml:space="preserve"> </v>
      </c>
      <c r="D951" s="138" t="str">
        <f>IF(ISBLANK('ALL Other SINs - Proposal'!D951)," ",'ALL Other SINs - Proposal'!D951)</f>
        <v xml:space="preserve"> </v>
      </c>
      <c r="E951" s="69" t="str">
        <f>IF(ISBLANK('ALL Other SINs - Proposal'!R951)," ",'ALL Other SINs - Proposal'!R951)</f>
        <v xml:space="preserve"> </v>
      </c>
      <c r="F951" s="73" t="str">
        <f>IF(ISBLANK('ALL Other SINs - Proposal'!S951)," ",'ALL Other SINs - Proposal'!S951)</f>
        <v xml:space="preserve"> </v>
      </c>
      <c r="G951" s="173" t="str">
        <f>IF(ISBLANK('ALL Other SINs - Proposal'!T951)," ",'ALL Other SINs - Proposal'!T951)</f>
        <v xml:space="preserve"> </v>
      </c>
      <c r="H951" s="275" t="str">
        <f>IF(ISBLANK('ALL Other SINs - Proposal'!V951)," ",'ALL Other SINs - Proposal'!V951)</f>
        <v xml:space="preserve"> </v>
      </c>
      <c r="I951" s="271" t="str">
        <f>IF(ISBLANK('ALL Other SINs - Proposal'!W951)," ",'ALL Other SINs - Proposal'!W951)</f>
        <v xml:space="preserve"> </v>
      </c>
      <c r="J951" s="71" t="str">
        <f>IF(ISBLANK('ALL Other SINs - Proposal'!X951)," ",'ALL Other SINs - Proposal'!X951)</f>
        <v xml:space="preserve"> </v>
      </c>
      <c r="K951" s="165" t="str">
        <f>IF(ISBLANK('ALL Other SINs - Proposal'!AA951)," ",'ALL Other SINs - Proposal'!AA951)</f>
        <v xml:space="preserve"> </v>
      </c>
      <c r="L951" s="178" t="str">
        <f>IF(ISBLANK('ALL Other SINs - Proposal'!AB951)," ",'ALL Other SINs - Proposal'!AB951)</f>
        <v xml:space="preserve"> </v>
      </c>
      <c r="M951" s="72" t="str">
        <f t="shared" si="28"/>
        <v xml:space="preserve"> </v>
      </c>
      <c r="N951" s="167" t="str">
        <f t="shared" si="29"/>
        <v xml:space="preserve"> </v>
      </c>
    </row>
    <row r="952" spans="1:14" ht="15" x14ac:dyDescent="0.25">
      <c r="A952" s="131" t="str">
        <f>IF(ISBLANK('ALL Other SINs - Proposal'!A952)," ",'ALL Other SINs - Proposal'!A952)</f>
        <v xml:space="preserve"> </v>
      </c>
      <c r="B952" s="137" t="str">
        <f>IF(ISBLANK('ALL Other SINs - Proposal'!B952)," ",'ALL Other SINs - Proposal'!B952)</f>
        <v xml:space="preserve"> </v>
      </c>
      <c r="C952" s="137" t="str">
        <f>IF(ISBLANK('ALL Other SINs - Proposal'!C952)," ",'ALL Other SINs - Proposal'!C952)</f>
        <v xml:space="preserve"> </v>
      </c>
      <c r="D952" s="138" t="str">
        <f>IF(ISBLANK('ALL Other SINs - Proposal'!D952)," ",'ALL Other SINs - Proposal'!D952)</f>
        <v xml:space="preserve"> </v>
      </c>
      <c r="E952" s="69" t="str">
        <f>IF(ISBLANK('ALL Other SINs - Proposal'!R952)," ",'ALL Other SINs - Proposal'!R952)</f>
        <v xml:space="preserve"> </v>
      </c>
      <c r="F952" s="73" t="str">
        <f>IF(ISBLANK('ALL Other SINs - Proposal'!S952)," ",'ALL Other SINs - Proposal'!S952)</f>
        <v xml:space="preserve"> </v>
      </c>
      <c r="G952" s="173" t="str">
        <f>IF(ISBLANK('ALL Other SINs - Proposal'!T952)," ",'ALL Other SINs - Proposal'!T952)</f>
        <v xml:space="preserve"> </v>
      </c>
      <c r="H952" s="275" t="str">
        <f>IF(ISBLANK('ALL Other SINs - Proposal'!V952)," ",'ALL Other SINs - Proposal'!V952)</f>
        <v xml:space="preserve"> </v>
      </c>
      <c r="I952" s="271" t="str">
        <f>IF(ISBLANK('ALL Other SINs - Proposal'!W952)," ",'ALL Other SINs - Proposal'!W952)</f>
        <v xml:space="preserve"> </v>
      </c>
      <c r="J952" s="71" t="str">
        <f>IF(ISBLANK('ALL Other SINs - Proposal'!X952)," ",'ALL Other SINs - Proposal'!X952)</f>
        <v xml:space="preserve"> </v>
      </c>
      <c r="K952" s="165" t="str">
        <f>IF(ISBLANK('ALL Other SINs - Proposal'!AA952)," ",'ALL Other SINs - Proposal'!AA952)</f>
        <v xml:space="preserve"> </v>
      </c>
      <c r="L952" s="178" t="str">
        <f>IF(ISBLANK('ALL Other SINs - Proposal'!AB952)," ",'ALL Other SINs - Proposal'!AB952)</f>
        <v xml:space="preserve"> </v>
      </c>
      <c r="M952" s="72" t="str">
        <f t="shared" si="28"/>
        <v xml:space="preserve"> </v>
      </c>
      <c r="N952" s="167" t="str">
        <f t="shared" si="29"/>
        <v xml:space="preserve"> </v>
      </c>
    </row>
    <row r="953" spans="1:14" ht="15" x14ac:dyDescent="0.25">
      <c r="A953" s="131" t="str">
        <f>IF(ISBLANK('ALL Other SINs - Proposal'!A953)," ",'ALL Other SINs - Proposal'!A953)</f>
        <v xml:space="preserve"> </v>
      </c>
      <c r="B953" s="137" t="str">
        <f>IF(ISBLANK('ALL Other SINs - Proposal'!B953)," ",'ALL Other SINs - Proposal'!B953)</f>
        <v xml:space="preserve"> </v>
      </c>
      <c r="C953" s="137" t="str">
        <f>IF(ISBLANK('ALL Other SINs - Proposal'!C953)," ",'ALL Other SINs - Proposal'!C953)</f>
        <v xml:space="preserve"> </v>
      </c>
      <c r="D953" s="138" t="str">
        <f>IF(ISBLANK('ALL Other SINs - Proposal'!D953)," ",'ALL Other SINs - Proposal'!D953)</f>
        <v xml:space="preserve"> </v>
      </c>
      <c r="E953" s="69" t="str">
        <f>IF(ISBLANK('ALL Other SINs - Proposal'!R953)," ",'ALL Other SINs - Proposal'!R953)</f>
        <v xml:space="preserve"> </v>
      </c>
      <c r="F953" s="73" t="str">
        <f>IF(ISBLANK('ALL Other SINs - Proposal'!S953)," ",'ALL Other SINs - Proposal'!S953)</f>
        <v xml:space="preserve"> </v>
      </c>
      <c r="G953" s="173" t="str">
        <f>IF(ISBLANK('ALL Other SINs - Proposal'!T953)," ",'ALL Other SINs - Proposal'!T953)</f>
        <v xml:space="preserve"> </v>
      </c>
      <c r="H953" s="275" t="str">
        <f>IF(ISBLANK('ALL Other SINs - Proposal'!V953)," ",'ALL Other SINs - Proposal'!V953)</f>
        <v xml:space="preserve"> </v>
      </c>
      <c r="I953" s="271" t="str">
        <f>IF(ISBLANK('ALL Other SINs - Proposal'!W953)," ",'ALL Other SINs - Proposal'!W953)</f>
        <v xml:space="preserve"> </v>
      </c>
      <c r="J953" s="71" t="str">
        <f>IF(ISBLANK('ALL Other SINs - Proposal'!X953)," ",'ALL Other SINs - Proposal'!X953)</f>
        <v xml:space="preserve"> </v>
      </c>
      <c r="K953" s="165" t="str">
        <f>IF(ISBLANK('ALL Other SINs - Proposal'!AA953)," ",'ALL Other SINs - Proposal'!AA953)</f>
        <v xml:space="preserve"> </v>
      </c>
      <c r="L953" s="178" t="str">
        <f>IF(ISBLANK('ALL Other SINs - Proposal'!AB953)," ",'ALL Other SINs - Proposal'!AB953)</f>
        <v xml:space="preserve"> </v>
      </c>
      <c r="M953" s="72" t="str">
        <f t="shared" si="28"/>
        <v xml:space="preserve"> </v>
      </c>
      <c r="N953" s="167" t="str">
        <f t="shared" si="29"/>
        <v xml:space="preserve"> </v>
      </c>
    </row>
    <row r="954" spans="1:14" ht="15" x14ac:dyDescent="0.25">
      <c r="A954" s="131" t="str">
        <f>IF(ISBLANK('ALL Other SINs - Proposal'!A954)," ",'ALL Other SINs - Proposal'!A954)</f>
        <v xml:space="preserve"> </v>
      </c>
      <c r="B954" s="137" t="str">
        <f>IF(ISBLANK('ALL Other SINs - Proposal'!B954)," ",'ALL Other SINs - Proposal'!B954)</f>
        <v xml:space="preserve"> </v>
      </c>
      <c r="C954" s="137" t="str">
        <f>IF(ISBLANK('ALL Other SINs - Proposal'!C954)," ",'ALL Other SINs - Proposal'!C954)</f>
        <v xml:space="preserve"> </v>
      </c>
      <c r="D954" s="138" t="str">
        <f>IF(ISBLANK('ALL Other SINs - Proposal'!D954)," ",'ALL Other SINs - Proposal'!D954)</f>
        <v xml:space="preserve"> </v>
      </c>
      <c r="E954" s="69" t="str">
        <f>IF(ISBLANK('ALL Other SINs - Proposal'!R954)," ",'ALL Other SINs - Proposal'!R954)</f>
        <v xml:space="preserve"> </v>
      </c>
      <c r="F954" s="73" t="str">
        <f>IF(ISBLANK('ALL Other SINs - Proposal'!S954)," ",'ALL Other SINs - Proposal'!S954)</f>
        <v xml:space="preserve"> </v>
      </c>
      <c r="G954" s="173" t="str">
        <f>IF(ISBLANK('ALL Other SINs - Proposal'!T954)," ",'ALL Other SINs - Proposal'!T954)</f>
        <v xml:space="preserve"> </v>
      </c>
      <c r="H954" s="275" t="str">
        <f>IF(ISBLANK('ALL Other SINs - Proposal'!V954)," ",'ALL Other SINs - Proposal'!V954)</f>
        <v xml:space="preserve"> </v>
      </c>
      <c r="I954" s="271" t="str">
        <f>IF(ISBLANK('ALL Other SINs - Proposal'!W954)," ",'ALL Other SINs - Proposal'!W954)</f>
        <v xml:space="preserve"> </v>
      </c>
      <c r="J954" s="71" t="str">
        <f>IF(ISBLANK('ALL Other SINs - Proposal'!X954)," ",'ALL Other SINs - Proposal'!X954)</f>
        <v xml:space="preserve"> </v>
      </c>
      <c r="K954" s="165" t="str">
        <f>IF(ISBLANK('ALL Other SINs - Proposal'!AA954)," ",'ALL Other SINs - Proposal'!AA954)</f>
        <v xml:space="preserve"> </v>
      </c>
      <c r="L954" s="178" t="str">
        <f>IF(ISBLANK('ALL Other SINs - Proposal'!AB954)," ",'ALL Other SINs - Proposal'!AB954)</f>
        <v xml:space="preserve"> </v>
      </c>
      <c r="M954" s="72" t="str">
        <f t="shared" si="28"/>
        <v xml:space="preserve"> </v>
      </c>
      <c r="N954" s="167" t="str">
        <f t="shared" si="29"/>
        <v xml:space="preserve"> </v>
      </c>
    </row>
    <row r="955" spans="1:14" ht="15" x14ac:dyDescent="0.25">
      <c r="A955" s="131" t="str">
        <f>IF(ISBLANK('ALL Other SINs - Proposal'!A955)," ",'ALL Other SINs - Proposal'!A955)</f>
        <v xml:space="preserve"> </v>
      </c>
      <c r="B955" s="137" t="str">
        <f>IF(ISBLANK('ALL Other SINs - Proposal'!B955)," ",'ALL Other SINs - Proposal'!B955)</f>
        <v xml:space="preserve"> </v>
      </c>
      <c r="C955" s="137" t="str">
        <f>IF(ISBLANK('ALL Other SINs - Proposal'!C955)," ",'ALL Other SINs - Proposal'!C955)</f>
        <v xml:space="preserve"> </v>
      </c>
      <c r="D955" s="138" t="str">
        <f>IF(ISBLANK('ALL Other SINs - Proposal'!D955)," ",'ALL Other SINs - Proposal'!D955)</f>
        <v xml:space="preserve"> </v>
      </c>
      <c r="E955" s="69" t="str">
        <f>IF(ISBLANK('ALL Other SINs - Proposal'!R955)," ",'ALL Other SINs - Proposal'!R955)</f>
        <v xml:space="preserve"> </v>
      </c>
      <c r="F955" s="73" t="str">
        <f>IF(ISBLANK('ALL Other SINs - Proposal'!S955)," ",'ALL Other SINs - Proposal'!S955)</f>
        <v xml:space="preserve"> </v>
      </c>
      <c r="G955" s="173" t="str">
        <f>IF(ISBLANK('ALL Other SINs - Proposal'!T955)," ",'ALL Other SINs - Proposal'!T955)</f>
        <v xml:space="preserve"> </v>
      </c>
      <c r="H955" s="275" t="str">
        <f>IF(ISBLANK('ALL Other SINs - Proposal'!V955)," ",'ALL Other SINs - Proposal'!V955)</f>
        <v xml:space="preserve"> </v>
      </c>
      <c r="I955" s="271" t="str">
        <f>IF(ISBLANK('ALL Other SINs - Proposal'!W955)," ",'ALL Other SINs - Proposal'!W955)</f>
        <v xml:space="preserve"> </v>
      </c>
      <c r="J955" s="71" t="str">
        <f>IF(ISBLANK('ALL Other SINs - Proposal'!X955)," ",'ALL Other SINs - Proposal'!X955)</f>
        <v xml:space="preserve"> </v>
      </c>
      <c r="K955" s="165" t="str">
        <f>IF(ISBLANK('ALL Other SINs - Proposal'!AA955)," ",'ALL Other SINs - Proposal'!AA955)</f>
        <v xml:space="preserve"> </v>
      </c>
      <c r="L955" s="178" t="str">
        <f>IF(ISBLANK('ALL Other SINs - Proposal'!AB955)," ",'ALL Other SINs - Proposal'!AB955)</f>
        <v xml:space="preserve"> </v>
      </c>
      <c r="M955" s="72" t="str">
        <f t="shared" si="28"/>
        <v xml:space="preserve"> </v>
      </c>
      <c r="N955" s="167" t="str">
        <f t="shared" si="29"/>
        <v xml:space="preserve"> </v>
      </c>
    </row>
    <row r="956" spans="1:14" ht="15" x14ac:dyDescent="0.25">
      <c r="A956" s="131" t="str">
        <f>IF(ISBLANK('ALL Other SINs - Proposal'!A956)," ",'ALL Other SINs - Proposal'!A956)</f>
        <v xml:space="preserve"> </v>
      </c>
      <c r="B956" s="137" t="str">
        <f>IF(ISBLANK('ALL Other SINs - Proposal'!B956)," ",'ALL Other SINs - Proposal'!B956)</f>
        <v xml:space="preserve"> </v>
      </c>
      <c r="C956" s="137" t="str">
        <f>IF(ISBLANK('ALL Other SINs - Proposal'!C956)," ",'ALL Other SINs - Proposal'!C956)</f>
        <v xml:space="preserve"> </v>
      </c>
      <c r="D956" s="138" t="str">
        <f>IF(ISBLANK('ALL Other SINs - Proposal'!D956)," ",'ALL Other SINs - Proposal'!D956)</f>
        <v xml:space="preserve"> </v>
      </c>
      <c r="E956" s="69" t="str">
        <f>IF(ISBLANK('ALL Other SINs - Proposal'!R956)," ",'ALL Other SINs - Proposal'!R956)</f>
        <v xml:space="preserve"> </v>
      </c>
      <c r="F956" s="73" t="str">
        <f>IF(ISBLANK('ALL Other SINs - Proposal'!S956)," ",'ALL Other SINs - Proposal'!S956)</f>
        <v xml:space="preserve"> </v>
      </c>
      <c r="G956" s="173" t="str">
        <f>IF(ISBLANK('ALL Other SINs - Proposal'!T956)," ",'ALL Other SINs - Proposal'!T956)</f>
        <v xml:space="preserve"> </v>
      </c>
      <c r="H956" s="275" t="str">
        <f>IF(ISBLANK('ALL Other SINs - Proposal'!V956)," ",'ALL Other SINs - Proposal'!V956)</f>
        <v xml:space="preserve"> </v>
      </c>
      <c r="I956" s="271" t="str">
        <f>IF(ISBLANK('ALL Other SINs - Proposal'!W956)," ",'ALL Other SINs - Proposal'!W956)</f>
        <v xml:space="preserve"> </v>
      </c>
      <c r="J956" s="71" t="str">
        <f>IF(ISBLANK('ALL Other SINs - Proposal'!X956)," ",'ALL Other SINs - Proposal'!X956)</f>
        <v xml:space="preserve"> </v>
      </c>
      <c r="K956" s="165" t="str">
        <f>IF(ISBLANK('ALL Other SINs - Proposal'!AA956)," ",'ALL Other SINs - Proposal'!AA956)</f>
        <v xml:space="preserve"> </v>
      </c>
      <c r="L956" s="178" t="str">
        <f>IF(ISBLANK('ALL Other SINs - Proposal'!AB956)," ",'ALL Other SINs - Proposal'!AB956)</f>
        <v xml:space="preserve"> </v>
      </c>
      <c r="M956" s="72" t="str">
        <f t="shared" si="28"/>
        <v xml:space="preserve"> </v>
      </c>
      <c r="N956" s="167" t="str">
        <f t="shared" si="29"/>
        <v xml:space="preserve"> </v>
      </c>
    </row>
    <row r="957" spans="1:14" ht="15" x14ac:dyDescent="0.25">
      <c r="A957" s="131" t="str">
        <f>IF(ISBLANK('ALL Other SINs - Proposal'!A957)," ",'ALL Other SINs - Proposal'!A957)</f>
        <v xml:space="preserve"> </v>
      </c>
      <c r="B957" s="137" t="str">
        <f>IF(ISBLANK('ALL Other SINs - Proposal'!B957)," ",'ALL Other SINs - Proposal'!B957)</f>
        <v xml:space="preserve"> </v>
      </c>
      <c r="C957" s="137" t="str">
        <f>IF(ISBLANK('ALL Other SINs - Proposal'!C957)," ",'ALL Other SINs - Proposal'!C957)</f>
        <v xml:space="preserve"> </v>
      </c>
      <c r="D957" s="138" t="str">
        <f>IF(ISBLANK('ALL Other SINs - Proposal'!D957)," ",'ALL Other SINs - Proposal'!D957)</f>
        <v xml:space="preserve"> </v>
      </c>
      <c r="E957" s="69" t="str">
        <f>IF(ISBLANK('ALL Other SINs - Proposal'!R957)," ",'ALL Other SINs - Proposal'!R957)</f>
        <v xml:space="preserve"> </v>
      </c>
      <c r="F957" s="73" t="str">
        <f>IF(ISBLANK('ALL Other SINs - Proposal'!S957)," ",'ALL Other SINs - Proposal'!S957)</f>
        <v xml:space="preserve"> </v>
      </c>
      <c r="G957" s="173" t="str">
        <f>IF(ISBLANK('ALL Other SINs - Proposal'!T957)," ",'ALL Other SINs - Proposal'!T957)</f>
        <v xml:space="preserve"> </v>
      </c>
      <c r="H957" s="275" t="str">
        <f>IF(ISBLANK('ALL Other SINs - Proposal'!V957)," ",'ALL Other SINs - Proposal'!V957)</f>
        <v xml:space="preserve"> </v>
      </c>
      <c r="I957" s="271" t="str">
        <f>IF(ISBLANK('ALL Other SINs - Proposal'!W957)," ",'ALL Other SINs - Proposal'!W957)</f>
        <v xml:space="preserve"> </v>
      </c>
      <c r="J957" s="71" t="str">
        <f>IF(ISBLANK('ALL Other SINs - Proposal'!X957)," ",'ALL Other SINs - Proposal'!X957)</f>
        <v xml:space="preserve"> </v>
      </c>
      <c r="K957" s="165" t="str">
        <f>IF(ISBLANK('ALL Other SINs - Proposal'!AA957)," ",'ALL Other SINs - Proposal'!AA957)</f>
        <v xml:space="preserve"> </v>
      </c>
      <c r="L957" s="178" t="str">
        <f>IF(ISBLANK('ALL Other SINs - Proposal'!AB957)," ",'ALL Other SINs - Proposal'!AB957)</f>
        <v xml:space="preserve"> </v>
      </c>
      <c r="M957" s="72" t="str">
        <f t="shared" si="28"/>
        <v xml:space="preserve"> </v>
      </c>
      <c r="N957" s="167" t="str">
        <f t="shared" si="29"/>
        <v xml:space="preserve"> </v>
      </c>
    </row>
    <row r="958" spans="1:14" ht="15" x14ac:dyDescent="0.25">
      <c r="A958" s="131" t="str">
        <f>IF(ISBLANK('ALL Other SINs - Proposal'!A958)," ",'ALL Other SINs - Proposal'!A958)</f>
        <v xml:space="preserve"> </v>
      </c>
      <c r="B958" s="137" t="str">
        <f>IF(ISBLANK('ALL Other SINs - Proposal'!B958)," ",'ALL Other SINs - Proposal'!B958)</f>
        <v xml:space="preserve"> </v>
      </c>
      <c r="C958" s="137" t="str">
        <f>IF(ISBLANK('ALL Other SINs - Proposal'!C958)," ",'ALL Other SINs - Proposal'!C958)</f>
        <v xml:space="preserve"> </v>
      </c>
      <c r="D958" s="138" t="str">
        <f>IF(ISBLANK('ALL Other SINs - Proposal'!D958)," ",'ALL Other SINs - Proposal'!D958)</f>
        <v xml:space="preserve"> </v>
      </c>
      <c r="E958" s="69" t="str">
        <f>IF(ISBLANK('ALL Other SINs - Proposal'!R958)," ",'ALL Other SINs - Proposal'!R958)</f>
        <v xml:space="preserve"> </v>
      </c>
      <c r="F958" s="73" t="str">
        <f>IF(ISBLANK('ALL Other SINs - Proposal'!S958)," ",'ALL Other SINs - Proposal'!S958)</f>
        <v xml:space="preserve"> </v>
      </c>
      <c r="G958" s="173" t="str">
        <f>IF(ISBLANK('ALL Other SINs - Proposal'!T958)," ",'ALL Other SINs - Proposal'!T958)</f>
        <v xml:space="preserve"> </v>
      </c>
      <c r="H958" s="275" t="str">
        <f>IF(ISBLANK('ALL Other SINs - Proposal'!V958)," ",'ALL Other SINs - Proposal'!V958)</f>
        <v xml:space="preserve"> </v>
      </c>
      <c r="I958" s="271" t="str">
        <f>IF(ISBLANK('ALL Other SINs - Proposal'!W958)," ",'ALL Other SINs - Proposal'!W958)</f>
        <v xml:space="preserve"> </v>
      </c>
      <c r="J958" s="71" t="str">
        <f>IF(ISBLANK('ALL Other SINs - Proposal'!X958)," ",'ALL Other SINs - Proposal'!X958)</f>
        <v xml:space="preserve"> </v>
      </c>
      <c r="K958" s="165" t="str">
        <f>IF(ISBLANK('ALL Other SINs - Proposal'!AA958)," ",'ALL Other SINs - Proposal'!AA958)</f>
        <v xml:space="preserve"> </v>
      </c>
      <c r="L958" s="178" t="str">
        <f>IF(ISBLANK('ALL Other SINs - Proposal'!AB958)," ",'ALL Other SINs - Proposal'!AB958)</f>
        <v xml:space="preserve"> </v>
      </c>
      <c r="M958" s="72" t="str">
        <f t="shared" si="28"/>
        <v xml:space="preserve"> </v>
      </c>
      <c r="N958" s="167" t="str">
        <f t="shared" si="29"/>
        <v xml:space="preserve"> </v>
      </c>
    </row>
    <row r="959" spans="1:14" ht="15" x14ac:dyDescent="0.25">
      <c r="A959" s="131" t="str">
        <f>IF(ISBLANK('ALL Other SINs - Proposal'!A959)," ",'ALL Other SINs - Proposal'!A959)</f>
        <v xml:space="preserve"> </v>
      </c>
      <c r="B959" s="137" t="str">
        <f>IF(ISBLANK('ALL Other SINs - Proposal'!B959)," ",'ALL Other SINs - Proposal'!B959)</f>
        <v xml:space="preserve"> </v>
      </c>
      <c r="C959" s="137" t="str">
        <f>IF(ISBLANK('ALL Other SINs - Proposal'!C959)," ",'ALL Other SINs - Proposal'!C959)</f>
        <v xml:space="preserve"> </v>
      </c>
      <c r="D959" s="138" t="str">
        <f>IF(ISBLANK('ALL Other SINs - Proposal'!D959)," ",'ALL Other SINs - Proposal'!D959)</f>
        <v xml:space="preserve"> </v>
      </c>
      <c r="E959" s="69" t="str">
        <f>IF(ISBLANK('ALL Other SINs - Proposal'!R959)," ",'ALL Other SINs - Proposal'!R959)</f>
        <v xml:space="preserve"> </v>
      </c>
      <c r="F959" s="73" t="str">
        <f>IF(ISBLANK('ALL Other SINs - Proposal'!S959)," ",'ALL Other SINs - Proposal'!S959)</f>
        <v xml:space="preserve"> </v>
      </c>
      <c r="G959" s="173" t="str">
        <f>IF(ISBLANK('ALL Other SINs - Proposal'!T959)," ",'ALL Other SINs - Proposal'!T959)</f>
        <v xml:space="preserve"> </v>
      </c>
      <c r="H959" s="275" t="str">
        <f>IF(ISBLANK('ALL Other SINs - Proposal'!V959)," ",'ALL Other SINs - Proposal'!V959)</f>
        <v xml:space="preserve"> </v>
      </c>
      <c r="I959" s="271" t="str">
        <f>IF(ISBLANK('ALL Other SINs - Proposal'!W959)," ",'ALL Other SINs - Proposal'!W959)</f>
        <v xml:space="preserve"> </v>
      </c>
      <c r="J959" s="71" t="str">
        <f>IF(ISBLANK('ALL Other SINs - Proposal'!X959)," ",'ALL Other SINs - Proposal'!X959)</f>
        <v xml:space="preserve"> </v>
      </c>
      <c r="K959" s="165" t="str">
        <f>IF(ISBLANK('ALL Other SINs - Proposal'!AA959)," ",'ALL Other SINs - Proposal'!AA959)</f>
        <v xml:space="preserve"> </v>
      </c>
      <c r="L959" s="178" t="str">
        <f>IF(ISBLANK('ALL Other SINs - Proposal'!AB959)," ",'ALL Other SINs - Proposal'!AB959)</f>
        <v xml:space="preserve"> </v>
      </c>
      <c r="M959" s="72" t="str">
        <f t="shared" si="28"/>
        <v xml:space="preserve"> </v>
      </c>
      <c r="N959" s="167" t="str">
        <f t="shared" si="29"/>
        <v xml:space="preserve"> </v>
      </c>
    </row>
    <row r="960" spans="1:14" ht="15" x14ac:dyDescent="0.25">
      <c r="A960" s="131" t="str">
        <f>IF(ISBLANK('ALL Other SINs - Proposal'!A960)," ",'ALL Other SINs - Proposal'!A960)</f>
        <v xml:space="preserve"> </v>
      </c>
      <c r="B960" s="137" t="str">
        <f>IF(ISBLANK('ALL Other SINs - Proposal'!B960)," ",'ALL Other SINs - Proposal'!B960)</f>
        <v xml:space="preserve"> </v>
      </c>
      <c r="C960" s="137" t="str">
        <f>IF(ISBLANK('ALL Other SINs - Proposal'!C960)," ",'ALL Other SINs - Proposal'!C960)</f>
        <v xml:space="preserve"> </v>
      </c>
      <c r="D960" s="138" t="str">
        <f>IF(ISBLANK('ALL Other SINs - Proposal'!D960)," ",'ALL Other SINs - Proposal'!D960)</f>
        <v xml:space="preserve"> </v>
      </c>
      <c r="E960" s="69" t="str">
        <f>IF(ISBLANK('ALL Other SINs - Proposal'!R960)," ",'ALL Other SINs - Proposal'!R960)</f>
        <v xml:space="preserve"> </v>
      </c>
      <c r="F960" s="73" t="str">
        <f>IF(ISBLANK('ALL Other SINs - Proposal'!S960)," ",'ALL Other SINs - Proposal'!S960)</f>
        <v xml:space="preserve"> </v>
      </c>
      <c r="G960" s="173" t="str">
        <f>IF(ISBLANK('ALL Other SINs - Proposal'!T960)," ",'ALL Other SINs - Proposal'!T960)</f>
        <v xml:space="preserve"> </v>
      </c>
      <c r="H960" s="275" t="str">
        <f>IF(ISBLANK('ALL Other SINs - Proposal'!V960)," ",'ALL Other SINs - Proposal'!V960)</f>
        <v xml:space="preserve"> </v>
      </c>
      <c r="I960" s="271" t="str">
        <f>IF(ISBLANK('ALL Other SINs - Proposal'!W960)," ",'ALL Other SINs - Proposal'!W960)</f>
        <v xml:space="preserve"> </v>
      </c>
      <c r="J960" s="71" t="str">
        <f>IF(ISBLANK('ALL Other SINs - Proposal'!X960)," ",'ALL Other SINs - Proposal'!X960)</f>
        <v xml:space="preserve"> </v>
      </c>
      <c r="K960" s="165" t="str">
        <f>IF(ISBLANK('ALL Other SINs - Proposal'!AA960)," ",'ALL Other SINs - Proposal'!AA960)</f>
        <v xml:space="preserve"> </v>
      </c>
      <c r="L960" s="178" t="str">
        <f>IF(ISBLANK('ALL Other SINs - Proposal'!AB960)," ",'ALL Other SINs - Proposal'!AB960)</f>
        <v xml:space="preserve"> </v>
      </c>
      <c r="M960" s="72" t="str">
        <f t="shared" si="28"/>
        <v xml:space="preserve"> </v>
      </c>
      <c r="N960" s="167" t="str">
        <f t="shared" si="29"/>
        <v xml:space="preserve"> </v>
      </c>
    </row>
    <row r="961" spans="1:14" ht="15" x14ac:dyDescent="0.25">
      <c r="A961" s="131" t="str">
        <f>IF(ISBLANK('ALL Other SINs - Proposal'!A961)," ",'ALL Other SINs - Proposal'!A961)</f>
        <v xml:space="preserve"> </v>
      </c>
      <c r="B961" s="137" t="str">
        <f>IF(ISBLANK('ALL Other SINs - Proposal'!B961)," ",'ALL Other SINs - Proposal'!B961)</f>
        <v xml:space="preserve"> </v>
      </c>
      <c r="C961" s="137" t="str">
        <f>IF(ISBLANK('ALL Other SINs - Proposal'!C961)," ",'ALL Other SINs - Proposal'!C961)</f>
        <v xml:space="preserve"> </v>
      </c>
      <c r="D961" s="138" t="str">
        <f>IF(ISBLANK('ALL Other SINs - Proposal'!D961)," ",'ALL Other SINs - Proposal'!D961)</f>
        <v xml:space="preserve"> </v>
      </c>
      <c r="E961" s="69" t="str">
        <f>IF(ISBLANK('ALL Other SINs - Proposal'!R961)," ",'ALL Other SINs - Proposal'!R961)</f>
        <v xml:space="preserve"> </v>
      </c>
      <c r="F961" s="73" t="str">
        <f>IF(ISBLANK('ALL Other SINs - Proposal'!S961)," ",'ALL Other SINs - Proposal'!S961)</f>
        <v xml:space="preserve"> </v>
      </c>
      <c r="G961" s="173" t="str">
        <f>IF(ISBLANK('ALL Other SINs - Proposal'!T961)," ",'ALL Other SINs - Proposal'!T961)</f>
        <v xml:space="preserve"> </v>
      </c>
      <c r="H961" s="275" t="str">
        <f>IF(ISBLANK('ALL Other SINs - Proposal'!V961)," ",'ALL Other SINs - Proposal'!V961)</f>
        <v xml:space="preserve"> </v>
      </c>
      <c r="I961" s="271" t="str">
        <f>IF(ISBLANK('ALL Other SINs - Proposal'!W961)," ",'ALL Other SINs - Proposal'!W961)</f>
        <v xml:space="preserve"> </v>
      </c>
      <c r="J961" s="71" t="str">
        <f>IF(ISBLANK('ALL Other SINs - Proposal'!X961)," ",'ALL Other SINs - Proposal'!X961)</f>
        <v xml:space="preserve"> </v>
      </c>
      <c r="K961" s="165" t="str">
        <f>IF(ISBLANK('ALL Other SINs - Proposal'!AA961)," ",'ALL Other SINs - Proposal'!AA961)</f>
        <v xml:space="preserve"> </v>
      </c>
      <c r="L961" s="178" t="str">
        <f>IF(ISBLANK('ALL Other SINs - Proposal'!AB961)," ",'ALL Other SINs - Proposal'!AB961)</f>
        <v xml:space="preserve"> </v>
      </c>
      <c r="M961" s="72" t="str">
        <f t="shared" si="28"/>
        <v xml:space="preserve"> </v>
      </c>
      <c r="N961" s="167" t="str">
        <f t="shared" si="29"/>
        <v xml:space="preserve"> </v>
      </c>
    </row>
    <row r="962" spans="1:14" ht="15" x14ac:dyDescent="0.25">
      <c r="A962" s="131" t="str">
        <f>IF(ISBLANK('ALL Other SINs - Proposal'!A962)," ",'ALL Other SINs - Proposal'!A962)</f>
        <v xml:space="preserve"> </v>
      </c>
      <c r="B962" s="137" t="str">
        <f>IF(ISBLANK('ALL Other SINs - Proposal'!B962)," ",'ALL Other SINs - Proposal'!B962)</f>
        <v xml:space="preserve"> </v>
      </c>
      <c r="C962" s="137" t="str">
        <f>IF(ISBLANK('ALL Other SINs - Proposal'!C962)," ",'ALL Other SINs - Proposal'!C962)</f>
        <v xml:space="preserve"> </v>
      </c>
      <c r="D962" s="138" t="str">
        <f>IF(ISBLANK('ALL Other SINs - Proposal'!D962)," ",'ALL Other SINs - Proposal'!D962)</f>
        <v xml:space="preserve"> </v>
      </c>
      <c r="E962" s="69" t="str">
        <f>IF(ISBLANK('ALL Other SINs - Proposal'!R962)," ",'ALL Other SINs - Proposal'!R962)</f>
        <v xml:space="preserve"> </v>
      </c>
      <c r="F962" s="73" t="str">
        <f>IF(ISBLANK('ALL Other SINs - Proposal'!S962)," ",'ALL Other SINs - Proposal'!S962)</f>
        <v xml:space="preserve"> </v>
      </c>
      <c r="G962" s="173" t="str">
        <f>IF(ISBLANK('ALL Other SINs - Proposal'!T962)," ",'ALL Other SINs - Proposal'!T962)</f>
        <v xml:space="preserve"> </v>
      </c>
      <c r="H962" s="275" t="str">
        <f>IF(ISBLANK('ALL Other SINs - Proposal'!V962)," ",'ALL Other SINs - Proposal'!V962)</f>
        <v xml:space="preserve"> </v>
      </c>
      <c r="I962" s="271" t="str">
        <f>IF(ISBLANK('ALL Other SINs - Proposal'!W962)," ",'ALL Other SINs - Proposal'!W962)</f>
        <v xml:space="preserve"> </v>
      </c>
      <c r="J962" s="71" t="str">
        <f>IF(ISBLANK('ALL Other SINs - Proposal'!X962)," ",'ALL Other SINs - Proposal'!X962)</f>
        <v xml:space="preserve"> </v>
      </c>
      <c r="K962" s="165" t="str">
        <f>IF(ISBLANK('ALL Other SINs - Proposal'!AA962)," ",'ALL Other SINs - Proposal'!AA962)</f>
        <v xml:space="preserve"> </v>
      </c>
      <c r="L962" s="178" t="str">
        <f>IF(ISBLANK('ALL Other SINs - Proposal'!AB962)," ",'ALL Other SINs - Proposal'!AB962)</f>
        <v xml:space="preserve"> </v>
      </c>
      <c r="M962" s="72" t="str">
        <f t="shared" si="28"/>
        <v xml:space="preserve"> </v>
      </c>
      <c r="N962" s="167" t="str">
        <f t="shared" si="29"/>
        <v xml:space="preserve"> </v>
      </c>
    </row>
    <row r="963" spans="1:14" ht="15" x14ac:dyDescent="0.25">
      <c r="A963" s="131" t="str">
        <f>IF(ISBLANK('ALL Other SINs - Proposal'!A963)," ",'ALL Other SINs - Proposal'!A963)</f>
        <v xml:space="preserve"> </v>
      </c>
      <c r="B963" s="137" t="str">
        <f>IF(ISBLANK('ALL Other SINs - Proposal'!B963)," ",'ALL Other SINs - Proposal'!B963)</f>
        <v xml:space="preserve"> </v>
      </c>
      <c r="C963" s="137" t="str">
        <f>IF(ISBLANK('ALL Other SINs - Proposal'!C963)," ",'ALL Other SINs - Proposal'!C963)</f>
        <v xml:space="preserve"> </v>
      </c>
      <c r="D963" s="138" t="str">
        <f>IF(ISBLANK('ALL Other SINs - Proposal'!D963)," ",'ALL Other SINs - Proposal'!D963)</f>
        <v xml:space="preserve"> </v>
      </c>
      <c r="E963" s="69" t="str">
        <f>IF(ISBLANK('ALL Other SINs - Proposal'!R963)," ",'ALL Other SINs - Proposal'!R963)</f>
        <v xml:space="preserve"> </v>
      </c>
      <c r="F963" s="73" t="str">
        <f>IF(ISBLANK('ALL Other SINs - Proposal'!S963)," ",'ALL Other SINs - Proposal'!S963)</f>
        <v xml:space="preserve"> </v>
      </c>
      <c r="G963" s="173" t="str">
        <f>IF(ISBLANK('ALL Other SINs - Proposal'!T963)," ",'ALL Other SINs - Proposal'!T963)</f>
        <v xml:space="preserve"> </v>
      </c>
      <c r="H963" s="275" t="str">
        <f>IF(ISBLANK('ALL Other SINs - Proposal'!V963)," ",'ALL Other SINs - Proposal'!V963)</f>
        <v xml:space="preserve"> </v>
      </c>
      <c r="I963" s="271" t="str">
        <f>IF(ISBLANK('ALL Other SINs - Proposal'!W963)," ",'ALL Other SINs - Proposal'!W963)</f>
        <v xml:space="preserve"> </v>
      </c>
      <c r="J963" s="71" t="str">
        <f>IF(ISBLANK('ALL Other SINs - Proposal'!X963)," ",'ALL Other SINs - Proposal'!X963)</f>
        <v xml:space="preserve"> </v>
      </c>
      <c r="K963" s="165" t="str">
        <f>IF(ISBLANK('ALL Other SINs - Proposal'!AA963)," ",'ALL Other SINs - Proposal'!AA963)</f>
        <v xml:space="preserve"> </v>
      </c>
      <c r="L963" s="178" t="str">
        <f>IF(ISBLANK('ALL Other SINs - Proposal'!AB963)," ",'ALL Other SINs - Proposal'!AB963)</f>
        <v xml:space="preserve"> </v>
      </c>
      <c r="M963" s="72" t="str">
        <f t="shared" ref="M963:M1002" si="30">IFERROR(IF((ROUND(K963,2))&lt;=(ROUND(F963,2)),"YES","NO")," ")</f>
        <v xml:space="preserve"> </v>
      </c>
      <c r="N963" s="167" t="str">
        <f t="shared" ref="N963:N1002" si="31">IFERROR(IF(ISBLANK(K963)," ",(ROUND(K963,2))/(ROUND(I963,2)))," ")</f>
        <v xml:space="preserve"> </v>
      </c>
    </row>
    <row r="964" spans="1:14" ht="15" x14ac:dyDescent="0.25">
      <c r="A964" s="131" t="str">
        <f>IF(ISBLANK('ALL Other SINs - Proposal'!A964)," ",'ALL Other SINs - Proposal'!A964)</f>
        <v xml:space="preserve"> </v>
      </c>
      <c r="B964" s="137" t="str">
        <f>IF(ISBLANK('ALL Other SINs - Proposal'!B964)," ",'ALL Other SINs - Proposal'!B964)</f>
        <v xml:space="preserve"> </v>
      </c>
      <c r="C964" s="137" t="str">
        <f>IF(ISBLANK('ALL Other SINs - Proposal'!C964)," ",'ALL Other SINs - Proposal'!C964)</f>
        <v xml:space="preserve"> </v>
      </c>
      <c r="D964" s="138" t="str">
        <f>IF(ISBLANK('ALL Other SINs - Proposal'!D964)," ",'ALL Other SINs - Proposal'!D964)</f>
        <v xml:space="preserve"> </v>
      </c>
      <c r="E964" s="69" t="str">
        <f>IF(ISBLANK('ALL Other SINs - Proposal'!R964)," ",'ALL Other SINs - Proposal'!R964)</f>
        <v xml:space="preserve"> </v>
      </c>
      <c r="F964" s="73" t="str">
        <f>IF(ISBLANK('ALL Other SINs - Proposal'!S964)," ",'ALL Other SINs - Proposal'!S964)</f>
        <v xml:space="preserve"> </v>
      </c>
      <c r="G964" s="173" t="str">
        <f>IF(ISBLANK('ALL Other SINs - Proposal'!T964)," ",'ALL Other SINs - Proposal'!T964)</f>
        <v xml:space="preserve"> </v>
      </c>
      <c r="H964" s="275" t="str">
        <f>IF(ISBLANK('ALL Other SINs - Proposal'!V964)," ",'ALL Other SINs - Proposal'!V964)</f>
        <v xml:space="preserve"> </v>
      </c>
      <c r="I964" s="271" t="str">
        <f>IF(ISBLANK('ALL Other SINs - Proposal'!W964)," ",'ALL Other SINs - Proposal'!W964)</f>
        <v xml:space="preserve"> </v>
      </c>
      <c r="J964" s="71" t="str">
        <f>IF(ISBLANK('ALL Other SINs - Proposal'!X964)," ",'ALL Other SINs - Proposal'!X964)</f>
        <v xml:space="preserve"> </v>
      </c>
      <c r="K964" s="165" t="str">
        <f>IF(ISBLANK('ALL Other SINs - Proposal'!AA964)," ",'ALL Other SINs - Proposal'!AA964)</f>
        <v xml:space="preserve"> </v>
      </c>
      <c r="L964" s="178" t="str">
        <f>IF(ISBLANK('ALL Other SINs - Proposal'!AB964)," ",'ALL Other SINs - Proposal'!AB964)</f>
        <v xml:space="preserve"> </v>
      </c>
      <c r="M964" s="72" t="str">
        <f t="shared" si="30"/>
        <v xml:space="preserve"> </v>
      </c>
      <c r="N964" s="167" t="str">
        <f t="shared" si="31"/>
        <v xml:space="preserve"> </v>
      </c>
    </row>
    <row r="965" spans="1:14" ht="15" x14ac:dyDescent="0.25">
      <c r="A965" s="131" t="str">
        <f>IF(ISBLANK('ALL Other SINs - Proposal'!A965)," ",'ALL Other SINs - Proposal'!A965)</f>
        <v xml:space="preserve"> </v>
      </c>
      <c r="B965" s="137" t="str">
        <f>IF(ISBLANK('ALL Other SINs - Proposal'!B965)," ",'ALL Other SINs - Proposal'!B965)</f>
        <v xml:space="preserve"> </v>
      </c>
      <c r="C965" s="137" t="str">
        <f>IF(ISBLANK('ALL Other SINs - Proposal'!C965)," ",'ALL Other SINs - Proposal'!C965)</f>
        <v xml:space="preserve"> </v>
      </c>
      <c r="D965" s="138" t="str">
        <f>IF(ISBLANK('ALL Other SINs - Proposal'!D965)," ",'ALL Other SINs - Proposal'!D965)</f>
        <v xml:space="preserve"> </v>
      </c>
      <c r="E965" s="69" t="str">
        <f>IF(ISBLANK('ALL Other SINs - Proposal'!R965)," ",'ALL Other SINs - Proposal'!R965)</f>
        <v xml:space="preserve"> </v>
      </c>
      <c r="F965" s="73" t="str">
        <f>IF(ISBLANK('ALL Other SINs - Proposal'!S965)," ",'ALL Other SINs - Proposal'!S965)</f>
        <v xml:space="preserve"> </v>
      </c>
      <c r="G965" s="173" t="str">
        <f>IF(ISBLANK('ALL Other SINs - Proposal'!T965)," ",'ALL Other SINs - Proposal'!T965)</f>
        <v xml:space="preserve"> </v>
      </c>
      <c r="H965" s="275" t="str">
        <f>IF(ISBLANK('ALL Other SINs - Proposal'!V965)," ",'ALL Other SINs - Proposal'!V965)</f>
        <v xml:space="preserve"> </v>
      </c>
      <c r="I965" s="271" t="str">
        <f>IF(ISBLANK('ALL Other SINs - Proposal'!W965)," ",'ALL Other SINs - Proposal'!W965)</f>
        <v xml:space="preserve"> </v>
      </c>
      <c r="J965" s="71" t="str">
        <f>IF(ISBLANK('ALL Other SINs - Proposal'!X965)," ",'ALL Other SINs - Proposal'!X965)</f>
        <v xml:space="preserve"> </v>
      </c>
      <c r="K965" s="165" t="str">
        <f>IF(ISBLANK('ALL Other SINs - Proposal'!AA965)," ",'ALL Other SINs - Proposal'!AA965)</f>
        <v xml:space="preserve"> </v>
      </c>
      <c r="L965" s="178" t="str">
        <f>IF(ISBLANK('ALL Other SINs - Proposal'!AB965)," ",'ALL Other SINs - Proposal'!AB965)</f>
        <v xml:space="preserve"> </v>
      </c>
      <c r="M965" s="72" t="str">
        <f t="shared" si="30"/>
        <v xml:space="preserve"> </v>
      </c>
      <c r="N965" s="167" t="str">
        <f t="shared" si="31"/>
        <v xml:space="preserve"> </v>
      </c>
    </row>
    <row r="966" spans="1:14" ht="15" x14ac:dyDescent="0.25">
      <c r="A966" s="131" t="str">
        <f>IF(ISBLANK('ALL Other SINs - Proposal'!A966)," ",'ALL Other SINs - Proposal'!A966)</f>
        <v xml:space="preserve"> </v>
      </c>
      <c r="B966" s="137" t="str">
        <f>IF(ISBLANK('ALL Other SINs - Proposal'!B966)," ",'ALL Other SINs - Proposal'!B966)</f>
        <v xml:space="preserve"> </v>
      </c>
      <c r="C966" s="137" t="str">
        <f>IF(ISBLANK('ALL Other SINs - Proposal'!C966)," ",'ALL Other SINs - Proposal'!C966)</f>
        <v xml:space="preserve"> </v>
      </c>
      <c r="D966" s="138" t="str">
        <f>IF(ISBLANK('ALL Other SINs - Proposal'!D966)," ",'ALL Other SINs - Proposal'!D966)</f>
        <v xml:space="preserve"> </v>
      </c>
      <c r="E966" s="69" t="str">
        <f>IF(ISBLANK('ALL Other SINs - Proposal'!R966)," ",'ALL Other SINs - Proposal'!R966)</f>
        <v xml:space="preserve"> </v>
      </c>
      <c r="F966" s="73" t="str">
        <f>IF(ISBLANK('ALL Other SINs - Proposal'!S966)," ",'ALL Other SINs - Proposal'!S966)</f>
        <v xml:space="preserve"> </v>
      </c>
      <c r="G966" s="173" t="str">
        <f>IF(ISBLANK('ALL Other SINs - Proposal'!T966)," ",'ALL Other SINs - Proposal'!T966)</f>
        <v xml:space="preserve"> </v>
      </c>
      <c r="H966" s="275" t="str">
        <f>IF(ISBLANK('ALL Other SINs - Proposal'!V966)," ",'ALL Other SINs - Proposal'!V966)</f>
        <v xml:space="preserve"> </v>
      </c>
      <c r="I966" s="271" t="str">
        <f>IF(ISBLANK('ALL Other SINs - Proposal'!W966)," ",'ALL Other SINs - Proposal'!W966)</f>
        <v xml:space="preserve"> </v>
      </c>
      <c r="J966" s="71" t="str">
        <f>IF(ISBLANK('ALL Other SINs - Proposal'!X966)," ",'ALL Other SINs - Proposal'!X966)</f>
        <v xml:space="preserve"> </v>
      </c>
      <c r="K966" s="165" t="str">
        <f>IF(ISBLANK('ALL Other SINs - Proposal'!AA966)," ",'ALL Other SINs - Proposal'!AA966)</f>
        <v xml:space="preserve"> </v>
      </c>
      <c r="L966" s="178" t="str">
        <f>IF(ISBLANK('ALL Other SINs - Proposal'!AB966)," ",'ALL Other SINs - Proposal'!AB966)</f>
        <v xml:space="preserve"> </v>
      </c>
      <c r="M966" s="72" t="str">
        <f t="shared" si="30"/>
        <v xml:space="preserve"> </v>
      </c>
      <c r="N966" s="167" t="str">
        <f t="shared" si="31"/>
        <v xml:space="preserve"> </v>
      </c>
    </row>
    <row r="967" spans="1:14" ht="15" x14ac:dyDescent="0.25">
      <c r="A967" s="131" t="str">
        <f>IF(ISBLANK('ALL Other SINs - Proposal'!A967)," ",'ALL Other SINs - Proposal'!A967)</f>
        <v xml:space="preserve"> </v>
      </c>
      <c r="B967" s="137" t="str">
        <f>IF(ISBLANK('ALL Other SINs - Proposal'!B967)," ",'ALL Other SINs - Proposal'!B967)</f>
        <v xml:space="preserve"> </v>
      </c>
      <c r="C967" s="137" t="str">
        <f>IF(ISBLANK('ALL Other SINs - Proposal'!C967)," ",'ALL Other SINs - Proposal'!C967)</f>
        <v xml:space="preserve"> </v>
      </c>
      <c r="D967" s="138" t="str">
        <f>IF(ISBLANK('ALL Other SINs - Proposal'!D967)," ",'ALL Other SINs - Proposal'!D967)</f>
        <v xml:space="preserve"> </v>
      </c>
      <c r="E967" s="69" t="str">
        <f>IF(ISBLANK('ALL Other SINs - Proposal'!R967)," ",'ALL Other SINs - Proposal'!R967)</f>
        <v xml:space="preserve"> </v>
      </c>
      <c r="F967" s="73" t="str">
        <f>IF(ISBLANK('ALL Other SINs - Proposal'!S967)," ",'ALL Other SINs - Proposal'!S967)</f>
        <v xml:space="preserve"> </v>
      </c>
      <c r="G967" s="173" t="str">
        <f>IF(ISBLANK('ALL Other SINs - Proposal'!T967)," ",'ALL Other SINs - Proposal'!T967)</f>
        <v xml:space="preserve"> </v>
      </c>
      <c r="H967" s="275" t="str">
        <f>IF(ISBLANK('ALL Other SINs - Proposal'!V967)," ",'ALL Other SINs - Proposal'!V967)</f>
        <v xml:space="preserve"> </v>
      </c>
      <c r="I967" s="271" t="str">
        <f>IF(ISBLANK('ALL Other SINs - Proposal'!W967)," ",'ALL Other SINs - Proposal'!W967)</f>
        <v xml:space="preserve"> </v>
      </c>
      <c r="J967" s="71" t="str">
        <f>IF(ISBLANK('ALL Other SINs - Proposal'!X967)," ",'ALL Other SINs - Proposal'!X967)</f>
        <v xml:space="preserve"> </v>
      </c>
      <c r="K967" s="165" t="str">
        <f>IF(ISBLANK('ALL Other SINs - Proposal'!AA967)," ",'ALL Other SINs - Proposal'!AA967)</f>
        <v xml:space="preserve"> </v>
      </c>
      <c r="L967" s="178" t="str">
        <f>IF(ISBLANK('ALL Other SINs - Proposal'!AB967)," ",'ALL Other SINs - Proposal'!AB967)</f>
        <v xml:space="preserve"> </v>
      </c>
      <c r="M967" s="72" t="str">
        <f t="shared" si="30"/>
        <v xml:space="preserve"> </v>
      </c>
      <c r="N967" s="167" t="str">
        <f t="shared" si="31"/>
        <v xml:space="preserve"> </v>
      </c>
    </row>
    <row r="968" spans="1:14" ht="15" x14ac:dyDescent="0.25">
      <c r="A968" s="131" t="str">
        <f>IF(ISBLANK('ALL Other SINs - Proposal'!A968)," ",'ALL Other SINs - Proposal'!A968)</f>
        <v xml:space="preserve"> </v>
      </c>
      <c r="B968" s="137" t="str">
        <f>IF(ISBLANK('ALL Other SINs - Proposal'!B968)," ",'ALL Other SINs - Proposal'!B968)</f>
        <v xml:space="preserve"> </v>
      </c>
      <c r="C968" s="137" t="str">
        <f>IF(ISBLANK('ALL Other SINs - Proposal'!C968)," ",'ALL Other SINs - Proposal'!C968)</f>
        <v xml:space="preserve"> </v>
      </c>
      <c r="D968" s="138" t="str">
        <f>IF(ISBLANK('ALL Other SINs - Proposal'!D968)," ",'ALL Other SINs - Proposal'!D968)</f>
        <v xml:space="preserve"> </v>
      </c>
      <c r="E968" s="69" t="str">
        <f>IF(ISBLANK('ALL Other SINs - Proposal'!R968)," ",'ALL Other SINs - Proposal'!R968)</f>
        <v xml:space="preserve"> </v>
      </c>
      <c r="F968" s="73" t="str">
        <f>IF(ISBLANK('ALL Other SINs - Proposal'!S968)," ",'ALL Other SINs - Proposal'!S968)</f>
        <v xml:space="preserve"> </v>
      </c>
      <c r="G968" s="173" t="str">
        <f>IF(ISBLANK('ALL Other SINs - Proposal'!T968)," ",'ALL Other SINs - Proposal'!T968)</f>
        <v xml:space="preserve"> </v>
      </c>
      <c r="H968" s="275" t="str">
        <f>IF(ISBLANK('ALL Other SINs - Proposal'!V968)," ",'ALL Other SINs - Proposal'!V968)</f>
        <v xml:space="preserve"> </v>
      </c>
      <c r="I968" s="271" t="str">
        <f>IF(ISBLANK('ALL Other SINs - Proposal'!W968)," ",'ALL Other SINs - Proposal'!W968)</f>
        <v xml:space="preserve"> </v>
      </c>
      <c r="J968" s="71" t="str">
        <f>IF(ISBLANK('ALL Other SINs - Proposal'!X968)," ",'ALL Other SINs - Proposal'!X968)</f>
        <v xml:space="preserve"> </v>
      </c>
      <c r="K968" s="165" t="str">
        <f>IF(ISBLANK('ALL Other SINs - Proposal'!AA968)," ",'ALL Other SINs - Proposal'!AA968)</f>
        <v xml:space="preserve"> </v>
      </c>
      <c r="L968" s="178" t="str">
        <f>IF(ISBLANK('ALL Other SINs - Proposal'!AB968)," ",'ALL Other SINs - Proposal'!AB968)</f>
        <v xml:space="preserve"> </v>
      </c>
      <c r="M968" s="72" t="str">
        <f t="shared" si="30"/>
        <v xml:space="preserve"> </v>
      </c>
      <c r="N968" s="167" t="str">
        <f t="shared" si="31"/>
        <v xml:space="preserve"> </v>
      </c>
    </row>
    <row r="969" spans="1:14" ht="15" x14ac:dyDescent="0.25">
      <c r="A969" s="131" t="str">
        <f>IF(ISBLANK('ALL Other SINs - Proposal'!A969)," ",'ALL Other SINs - Proposal'!A969)</f>
        <v xml:space="preserve"> </v>
      </c>
      <c r="B969" s="137" t="str">
        <f>IF(ISBLANK('ALL Other SINs - Proposal'!B969)," ",'ALL Other SINs - Proposal'!B969)</f>
        <v xml:space="preserve"> </v>
      </c>
      <c r="C969" s="137" t="str">
        <f>IF(ISBLANK('ALL Other SINs - Proposal'!C969)," ",'ALL Other SINs - Proposal'!C969)</f>
        <v xml:space="preserve"> </v>
      </c>
      <c r="D969" s="138" t="str">
        <f>IF(ISBLANK('ALL Other SINs - Proposal'!D969)," ",'ALL Other SINs - Proposal'!D969)</f>
        <v xml:space="preserve"> </v>
      </c>
      <c r="E969" s="69" t="str">
        <f>IF(ISBLANK('ALL Other SINs - Proposal'!R969)," ",'ALL Other SINs - Proposal'!R969)</f>
        <v xml:space="preserve"> </v>
      </c>
      <c r="F969" s="73" t="str">
        <f>IF(ISBLANK('ALL Other SINs - Proposal'!S969)," ",'ALL Other SINs - Proposal'!S969)</f>
        <v xml:space="preserve"> </v>
      </c>
      <c r="G969" s="173" t="str">
        <f>IF(ISBLANK('ALL Other SINs - Proposal'!T969)," ",'ALL Other SINs - Proposal'!T969)</f>
        <v xml:space="preserve"> </v>
      </c>
      <c r="H969" s="275" t="str">
        <f>IF(ISBLANK('ALL Other SINs - Proposal'!V969)," ",'ALL Other SINs - Proposal'!V969)</f>
        <v xml:space="preserve"> </v>
      </c>
      <c r="I969" s="271" t="str">
        <f>IF(ISBLANK('ALL Other SINs - Proposal'!W969)," ",'ALL Other SINs - Proposal'!W969)</f>
        <v xml:space="preserve"> </v>
      </c>
      <c r="J969" s="71" t="str">
        <f>IF(ISBLANK('ALL Other SINs - Proposal'!X969)," ",'ALL Other SINs - Proposal'!X969)</f>
        <v xml:space="preserve"> </v>
      </c>
      <c r="K969" s="165" t="str">
        <f>IF(ISBLANK('ALL Other SINs - Proposal'!AA969)," ",'ALL Other SINs - Proposal'!AA969)</f>
        <v xml:space="preserve"> </v>
      </c>
      <c r="L969" s="178" t="str">
        <f>IF(ISBLANK('ALL Other SINs - Proposal'!AB969)," ",'ALL Other SINs - Proposal'!AB969)</f>
        <v xml:space="preserve"> </v>
      </c>
      <c r="M969" s="72" t="str">
        <f t="shared" si="30"/>
        <v xml:space="preserve"> </v>
      </c>
      <c r="N969" s="167" t="str">
        <f t="shared" si="31"/>
        <v xml:space="preserve"> </v>
      </c>
    </row>
    <row r="970" spans="1:14" ht="15" x14ac:dyDescent="0.25">
      <c r="A970" s="131" t="str">
        <f>IF(ISBLANK('ALL Other SINs - Proposal'!A970)," ",'ALL Other SINs - Proposal'!A970)</f>
        <v xml:space="preserve"> </v>
      </c>
      <c r="B970" s="137" t="str">
        <f>IF(ISBLANK('ALL Other SINs - Proposal'!B970)," ",'ALL Other SINs - Proposal'!B970)</f>
        <v xml:space="preserve"> </v>
      </c>
      <c r="C970" s="137" t="str">
        <f>IF(ISBLANK('ALL Other SINs - Proposal'!C970)," ",'ALL Other SINs - Proposal'!C970)</f>
        <v xml:space="preserve"> </v>
      </c>
      <c r="D970" s="138" t="str">
        <f>IF(ISBLANK('ALL Other SINs - Proposal'!D970)," ",'ALL Other SINs - Proposal'!D970)</f>
        <v xml:space="preserve"> </v>
      </c>
      <c r="E970" s="69" t="str">
        <f>IF(ISBLANK('ALL Other SINs - Proposal'!R970)," ",'ALL Other SINs - Proposal'!R970)</f>
        <v xml:space="preserve"> </v>
      </c>
      <c r="F970" s="73" t="str">
        <f>IF(ISBLANK('ALL Other SINs - Proposal'!S970)," ",'ALL Other SINs - Proposal'!S970)</f>
        <v xml:space="preserve"> </v>
      </c>
      <c r="G970" s="173" t="str">
        <f>IF(ISBLANK('ALL Other SINs - Proposal'!T970)," ",'ALL Other SINs - Proposal'!T970)</f>
        <v xml:space="preserve"> </v>
      </c>
      <c r="H970" s="275" t="str">
        <f>IF(ISBLANK('ALL Other SINs - Proposal'!V970)," ",'ALL Other SINs - Proposal'!V970)</f>
        <v xml:space="preserve"> </v>
      </c>
      <c r="I970" s="271" t="str">
        <f>IF(ISBLANK('ALL Other SINs - Proposal'!W970)," ",'ALL Other SINs - Proposal'!W970)</f>
        <v xml:space="preserve"> </v>
      </c>
      <c r="J970" s="71" t="str">
        <f>IF(ISBLANK('ALL Other SINs - Proposal'!X970)," ",'ALL Other SINs - Proposal'!X970)</f>
        <v xml:space="preserve"> </v>
      </c>
      <c r="K970" s="165" t="str">
        <f>IF(ISBLANK('ALL Other SINs - Proposal'!AA970)," ",'ALL Other SINs - Proposal'!AA970)</f>
        <v xml:space="preserve"> </v>
      </c>
      <c r="L970" s="178" t="str">
        <f>IF(ISBLANK('ALL Other SINs - Proposal'!AB970)," ",'ALL Other SINs - Proposal'!AB970)</f>
        <v xml:space="preserve"> </v>
      </c>
      <c r="M970" s="72" t="str">
        <f t="shared" si="30"/>
        <v xml:space="preserve"> </v>
      </c>
      <c r="N970" s="167" t="str">
        <f t="shared" si="31"/>
        <v xml:space="preserve"> </v>
      </c>
    </row>
    <row r="971" spans="1:14" ht="15" x14ac:dyDescent="0.25">
      <c r="A971" s="131" t="str">
        <f>IF(ISBLANK('ALL Other SINs - Proposal'!A971)," ",'ALL Other SINs - Proposal'!A971)</f>
        <v xml:space="preserve"> </v>
      </c>
      <c r="B971" s="137" t="str">
        <f>IF(ISBLANK('ALL Other SINs - Proposal'!B971)," ",'ALL Other SINs - Proposal'!B971)</f>
        <v xml:space="preserve"> </v>
      </c>
      <c r="C971" s="137" t="str">
        <f>IF(ISBLANK('ALL Other SINs - Proposal'!C971)," ",'ALL Other SINs - Proposal'!C971)</f>
        <v xml:space="preserve"> </v>
      </c>
      <c r="D971" s="138" t="str">
        <f>IF(ISBLANK('ALL Other SINs - Proposal'!D971)," ",'ALL Other SINs - Proposal'!D971)</f>
        <v xml:space="preserve"> </v>
      </c>
      <c r="E971" s="69" t="str">
        <f>IF(ISBLANK('ALL Other SINs - Proposal'!R971)," ",'ALL Other SINs - Proposal'!R971)</f>
        <v xml:space="preserve"> </v>
      </c>
      <c r="F971" s="73" t="str">
        <f>IF(ISBLANK('ALL Other SINs - Proposal'!S971)," ",'ALL Other SINs - Proposal'!S971)</f>
        <v xml:space="preserve"> </v>
      </c>
      <c r="G971" s="173" t="str">
        <f>IF(ISBLANK('ALL Other SINs - Proposal'!T971)," ",'ALL Other SINs - Proposal'!T971)</f>
        <v xml:space="preserve"> </v>
      </c>
      <c r="H971" s="275" t="str">
        <f>IF(ISBLANK('ALL Other SINs - Proposal'!V971)," ",'ALL Other SINs - Proposal'!V971)</f>
        <v xml:space="preserve"> </v>
      </c>
      <c r="I971" s="271" t="str">
        <f>IF(ISBLANK('ALL Other SINs - Proposal'!W971)," ",'ALL Other SINs - Proposal'!W971)</f>
        <v xml:space="preserve"> </v>
      </c>
      <c r="J971" s="71" t="str">
        <f>IF(ISBLANK('ALL Other SINs - Proposal'!X971)," ",'ALL Other SINs - Proposal'!X971)</f>
        <v xml:space="preserve"> </v>
      </c>
      <c r="K971" s="165" t="str">
        <f>IF(ISBLANK('ALL Other SINs - Proposal'!AA971)," ",'ALL Other SINs - Proposal'!AA971)</f>
        <v xml:space="preserve"> </v>
      </c>
      <c r="L971" s="178" t="str">
        <f>IF(ISBLANK('ALL Other SINs - Proposal'!AB971)," ",'ALL Other SINs - Proposal'!AB971)</f>
        <v xml:space="preserve"> </v>
      </c>
      <c r="M971" s="72" t="str">
        <f t="shared" si="30"/>
        <v xml:space="preserve"> </v>
      </c>
      <c r="N971" s="167" t="str">
        <f t="shared" si="31"/>
        <v xml:space="preserve"> </v>
      </c>
    </row>
    <row r="972" spans="1:14" ht="15" x14ac:dyDescent="0.25">
      <c r="A972" s="131" t="str">
        <f>IF(ISBLANK('ALL Other SINs - Proposal'!A972)," ",'ALL Other SINs - Proposal'!A972)</f>
        <v xml:space="preserve"> </v>
      </c>
      <c r="B972" s="137" t="str">
        <f>IF(ISBLANK('ALL Other SINs - Proposal'!B972)," ",'ALL Other SINs - Proposal'!B972)</f>
        <v xml:space="preserve"> </v>
      </c>
      <c r="C972" s="137" t="str">
        <f>IF(ISBLANK('ALL Other SINs - Proposal'!C972)," ",'ALL Other SINs - Proposal'!C972)</f>
        <v xml:space="preserve"> </v>
      </c>
      <c r="D972" s="138" t="str">
        <f>IF(ISBLANK('ALL Other SINs - Proposal'!D972)," ",'ALL Other SINs - Proposal'!D972)</f>
        <v xml:space="preserve"> </v>
      </c>
      <c r="E972" s="69" t="str">
        <f>IF(ISBLANK('ALL Other SINs - Proposal'!R972)," ",'ALL Other SINs - Proposal'!R972)</f>
        <v xml:space="preserve"> </v>
      </c>
      <c r="F972" s="73" t="str">
        <f>IF(ISBLANK('ALL Other SINs - Proposal'!S972)," ",'ALL Other SINs - Proposal'!S972)</f>
        <v xml:space="preserve"> </v>
      </c>
      <c r="G972" s="173" t="str">
        <f>IF(ISBLANK('ALL Other SINs - Proposal'!T972)," ",'ALL Other SINs - Proposal'!T972)</f>
        <v xml:space="preserve"> </v>
      </c>
      <c r="H972" s="275" t="str">
        <f>IF(ISBLANK('ALL Other SINs - Proposal'!V972)," ",'ALL Other SINs - Proposal'!V972)</f>
        <v xml:space="preserve"> </v>
      </c>
      <c r="I972" s="271" t="str">
        <f>IF(ISBLANK('ALL Other SINs - Proposal'!W972)," ",'ALL Other SINs - Proposal'!W972)</f>
        <v xml:space="preserve"> </v>
      </c>
      <c r="J972" s="71" t="str">
        <f>IF(ISBLANK('ALL Other SINs - Proposal'!X972)," ",'ALL Other SINs - Proposal'!X972)</f>
        <v xml:space="preserve"> </v>
      </c>
      <c r="K972" s="165" t="str">
        <f>IF(ISBLANK('ALL Other SINs - Proposal'!AA972)," ",'ALL Other SINs - Proposal'!AA972)</f>
        <v xml:space="preserve"> </v>
      </c>
      <c r="L972" s="178" t="str">
        <f>IF(ISBLANK('ALL Other SINs - Proposal'!AB972)," ",'ALL Other SINs - Proposal'!AB972)</f>
        <v xml:space="preserve"> </v>
      </c>
      <c r="M972" s="72" t="str">
        <f t="shared" si="30"/>
        <v xml:space="preserve"> </v>
      </c>
      <c r="N972" s="167" t="str">
        <f t="shared" si="31"/>
        <v xml:space="preserve"> </v>
      </c>
    </row>
    <row r="973" spans="1:14" ht="15" x14ac:dyDescent="0.25">
      <c r="A973" s="131" t="str">
        <f>IF(ISBLANK('ALL Other SINs - Proposal'!A973)," ",'ALL Other SINs - Proposal'!A973)</f>
        <v xml:space="preserve"> </v>
      </c>
      <c r="B973" s="137" t="str">
        <f>IF(ISBLANK('ALL Other SINs - Proposal'!B973)," ",'ALL Other SINs - Proposal'!B973)</f>
        <v xml:space="preserve"> </v>
      </c>
      <c r="C973" s="137" t="str">
        <f>IF(ISBLANK('ALL Other SINs - Proposal'!C973)," ",'ALL Other SINs - Proposal'!C973)</f>
        <v xml:space="preserve"> </v>
      </c>
      <c r="D973" s="138" t="str">
        <f>IF(ISBLANK('ALL Other SINs - Proposal'!D973)," ",'ALL Other SINs - Proposal'!D973)</f>
        <v xml:space="preserve"> </v>
      </c>
      <c r="E973" s="69" t="str">
        <f>IF(ISBLANK('ALL Other SINs - Proposal'!R973)," ",'ALL Other SINs - Proposal'!R973)</f>
        <v xml:space="preserve"> </v>
      </c>
      <c r="F973" s="73" t="str">
        <f>IF(ISBLANK('ALL Other SINs - Proposal'!S973)," ",'ALL Other SINs - Proposal'!S973)</f>
        <v xml:space="preserve"> </v>
      </c>
      <c r="G973" s="173" t="str">
        <f>IF(ISBLANK('ALL Other SINs - Proposal'!T973)," ",'ALL Other SINs - Proposal'!T973)</f>
        <v xml:space="preserve"> </v>
      </c>
      <c r="H973" s="275" t="str">
        <f>IF(ISBLANK('ALL Other SINs - Proposal'!V973)," ",'ALL Other SINs - Proposal'!V973)</f>
        <v xml:space="preserve"> </v>
      </c>
      <c r="I973" s="271" t="str">
        <f>IF(ISBLANK('ALL Other SINs - Proposal'!W973)," ",'ALL Other SINs - Proposal'!W973)</f>
        <v xml:space="preserve"> </v>
      </c>
      <c r="J973" s="71" t="str">
        <f>IF(ISBLANK('ALL Other SINs - Proposal'!X973)," ",'ALL Other SINs - Proposal'!X973)</f>
        <v xml:space="preserve"> </v>
      </c>
      <c r="K973" s="165" t="str">
        <f>IF(ISBLANK('ALL Other SINs - Proposal'!AA973)," ",'ALL Other SINs - Proposal'!AA973)</f>
        <v xml:space="preserve"> </v>
      </c>
      <c r="L973" s="178" t="str">
        <f>IF(ISBLANK('ALL Other SINs - Proposal'!AB973)," ",'ALL Other SINs - Proposal'!AB973)</f>
        <v xml:space="preserve"> </v>
      </c>
      <c r="M973" s="72" t="str">
        <f t="shared" si="30"/>
        <v xml:space="preserve"> </v>
      </c>
      <c r="N973" s="167" t="str">
        <f t="shared" si="31"/>
        <v xml:space="preserve"> </v>
      </c>
    </row>
    <row r="974" spans="1:14" ht="15" x14ac:dyDescent="0.25">
      <c r="A974" s="131" t="str">
        <f>IF(ISBLANK('ALL Other SINs - Proposal'!A974)," ",'ALL Other SINs - Proposal'!A974)</f>
        <v xml:space="preserve"> </v>
      </c>
      <c r="B974" s="137" t="str">
        <f>IF(ISBLANK('ALL Other SINs - Proposal'!B974)," ",'ALL Other SINs - Proposal'!B974)</f>
        <v xml:space="preserve"> </v>
      </c>
      <c r="C974" s="137" t="str">
        <f>IF(ISBLANK('ALL Other SINs - Proposal'!C974)," ",'ALL Other SINs - Proposal'!C974)</f>
        <v xml:space="preserve"> </v>
      </c>
      <c r="D974" s="138" t="str">
        <f>IF(ISBLANK('ALL Other SINs - Proposal'!D974)," ",'ALL Other SINs - Proposal'!D974)</f>
        <v xml:space="preserve"> </v>
      </c>
      <c r="E974" s="69" t="str">
        <f>IF(ISBLANK('ALL Other SINs - Proposal'!R974)," ",'ALL Other SINs - Proposal'!R974)</f>
        <v xml:space="preserve"> </v>
      </c>
      <c r="F974" s="73" t="str">
        <f>IF(ISBLANK('ALL Other SINs - Proposal'!S974)," ",'ALL Other SINs - Proposal'!S974)</f>
        <v xml:space="preserve"> </v>
      </c>
      <c r="G974" s="173" t="str">
        <f>IF(ISBLANK('ALL Other SINs - Proposal'!T974)," ",'ALL Other SINs - Proposal'!T974)</f>
        <v xml:space="preserve"> </v>
      </c>
      <c r="H974" s="275" t="str">
        <f>IF(ISBLANK('ALL Other SINs - Proposal'!V974)," ",'ALL Other SINs - Proposal'!V974)</f>
        <v xml:space="preserve"> </v>
      </c>
      <c r="I974" s="271" t="str">
        <f>IF(ISBLANK('ALL Other SINs - Proposal'!W974)," ",'ALL Other SINs - Proposal'!W974)</f>
        <v xml:space="preserve"> </v>
      </c>
      <c r="J974" s="71" t="str">
        <f>IF(ISBLANK('ALL Other SINs - Proposal'!X974)," ",'ALL Other SINs - Proposal'!X974)</f>
        <v xml:space="preserve"> </v>
      </c>
      <c r="K974" s="165" t="str">
        <f>IF(ISBLANK('ALL Other SINs - Proposal'!AA974)," ",'ALL Other SINs - Proposal'!AA974)</f>
        <v xml:space="preserve"> </v>
      </c>
      <c r="L974" s="178" t="str">
        <f>IF(ISBLANK('ALL Other SINs - Proposal'!AB974)," ",'ALL Other SINs - Proposal'!AB974)</f>
        <v xml:space="preserve"> </v>
      </c>
      <c r="M974" s="72" t="str">
        <f t="shared" si="30"/>
        <v xml:space="preserve"> </v>
      </c>
      <c r="N974" s="167" t="str">
        <f t="shared" si="31"/>
        <v xml:space="preserve"> </v>
      </c>
    </row>
    <row r="975" spans="1:14" ht="15" x14ac:dyDescent="0.25">
      <c r="A975" s="131" t="str">
        <f>IF(ISBLANK('ALL Other SINs - Proposal'!A975)," ",'ALL Other SINs - Proposal'!A975)</f>
        <v xml:space="preserve"> </v>
      </c>
      <c r="B975" s="137" t="str">
        <f>IF(ISBLANK('ALL Other SINs - Proposal'!B975)," ",'ALL Other SINs - Proposal'!B975)</f>
        <v xml:space="preserve"> </v>
      </c>
      <c r="C975" s="137" t="str">
        <f>IF(ISBLANK('ALL Other SINs - Proposal'!C975)," ",'ALL Other SINs - Proposal'!C975)</f>
        <v xml:space="preserve"> </v>
      </c>
      <c r="D975" s="138" t="str">
        <f>IF(ISBLANK('ALL Other SINs - Proposal'!D975)," ",'ALL Other SINs - Proposal'!D975)</f>
        <v xml:space="preserve"> </v>
      </c>
      <c r="E975" s="69" t="str">
        <f>IF(ISBLANK('ALL Other SINs - Proposal'!R975)," ",'ALL Other SINs - Proposal'!R975)</f>
        <v xml:space="preserve"> </v>
      </c>
      <c r="F975" s="73" t="str">
        <f>IF(ISBLANK('ALL Other SINs - Proposal'!S975)," ",'ALL Other SINs - Proposal'!S975)</f>
        <v xml:space="preserve"> </v>
      </c>
      <c r="G975" s="173" t="str">
        <f>IF(ISBLANK('ALL Other SINs - Proposal'!T975)," ",'ALL Other SINs - Proposal'!T975)</f>
        <v xml:space="preserve"> </v>
      </c>
      <c r="H975" s="275" t="str">
        <f>IF(ISBLANK('ALL Other SINs - Proposal'!V975)," ",'ALL Other SINs - Proposal'!V975)</f>
        <v xml:space="preserve"> </v>
      </c>
      <c r="I975" s="271" t="str">
        <f>IF(ISBLANK('ALL Other SINs - Proposal'!W975)," ",'ALL Other SINs - Proposal'!W975)</f>
        <v xml:space="preserve"> </v>
      </c>
      <c r="J975" s="71" t="str">
        <f>IF(ISBLANK('ALL Other SINs - Proposal'!X975)," ",'ALL Other SINs - Proposal'!X975)</f>
        <v xml:space="preserve"> </v>
      </c>
      <c r="K975" s="165" t="str">
        <f>IF(ISBLANK('ALL Other SINs - Proposal'!AA975)," ",'ALL Other SINs - Proposal'!AA975)</f>
        <v xml:space="preserve"> </v>
      </c>
      <c r="L975" s="178" t="str">
        <f>IF(ISBLANK('ALL Other SINs - Proposal'!AB975)," ",'ALL Other SINs - Proposal'!AB975)</f>
        <v xml:space="preserve"> </v>
      </c>
      <c r="M975" s="72" t="str">
        <f t="shared" si="30"/>
        <v xml:space="preserve"> </v>
      </c>
      <c r="N975" s="167" t="str">
        <f t="shared" si="31"/>
        <v xml:space="preserve"> </v>
      </c>
    </row>
    <row r="976" spans="1:14" ht="15" x14ac:dyDescent="0.25">
      <c r="A976" s="131" t="str">
        <f>IF(ISBLANK('ALL Other SINs - Proposal'!A976)," ",'ALL Other SINs - Proposal'!A976)</f>
        <v xml:space="preserve"> </v>
      </c>
      <c r="B976" s="137" t="str">
        <f>IF(ISBLANK('ALL Other SINs - Proposal'!B976)," ",'ALL Other SINs - Proposal'!B976)</f>
        <v xml:space="preserve"> </v>
      </c>
      <c r="C976" s="137" t="str">
        <f>IF(ISBLANK('ALL Other SINs - Proposal'!C976)," ",'ALL Other SINs - Proposal'!C976)</f>
        <v xml:space="preserve"> </v>
      </c>
      <c r="D976" s="138" t="str">
        <f>IF(ISBLANK('ALL Other SINs - Proposal'!D976)," ",'ALL Other SINs - Proposal'!D976)</f>
        <v xml:space="preserve"> </v>
      </c>
      <c r="E976" s="69" t="str">
        <f>IF(ISBLANK('ALL Other SINs - Proposal'!R976)," ",'ALL Other SINs - Proposal'!R976)</f>
        <v xml:space="preserve"> </v>
      </c>
      <c r="F976" s="73" t="str">
        <f>IF(ISBLANK('ALL Other SINs - Proposal'!S976)," ",'ALL Other SINs - Proposal'!S976)</f>
        <v xml:space="preserve"> </v>
      </c>
      <c r="G976" s="173" t="str">
        <f>IF(ISBLANK('ALL Other SINs - Proposal'!T976)," ",'ALL Other SINs - Proposal'!T976)</f>
        <v xml:space="preserve"> </v>
      </c>
      <c r="H976" s="275" t="str">
        <f>IF(ISBLANK('ALL Other SINs - Proposal'!V976)," ",'ALL Other SINs - Proposal'!V976)</f>
        <v xml:space="preserve"> </v>
      </c>
      <c r="I976" s="271" t="str">
        <f>IF(ISBLANK('ALL Other SINs - Proposal'!W976)," ",'ALL Other SINs - Proposal'!W976)</f>
        <v xml:space="preserve"> </v>
      </c>
      <c r="J976" s="71" t="str">
        <f>IF(ISBLANK('ALL Other SINs - Proposal'!X976)," ",'ALL Other SINs - Proposal'!X976)</f>
        <v xml:space="preserve"> </v>
      </c>
      <c r="K976" s="165" t="str">
        <f>IF(ISBLANK('ALL Other SINs - Proposal'!AA976)," ",'ALL Other SINs - Proposal'!AA976)</f>
        <v xml:space="preserve"> </v>
      </c>
      <c r="L976" s="178" t="str">
        <f>IF(ISBLANK('ALL Other SINs - Proposal'!AB976)," ",'ALL Other SINs - Proposal'!AB976)</f>
        <v xml:space="preserve"> </v>
      </c>
      <c r="M976" s="72" t="str">
        <f t="shared" si="30"/>
        <v xml:space="preserve"> </v>
      </c>
      <c r="N976" s="167" t="str">
        <f t="shared" si="31"/>
        <v xml:space="preserve"> </v>
      </c>
    </row>
    <row r="977" spans="1:14" ht="15" x14ac:dyDescent="0.25">
      <c r="A977" s="131" t="str">
        <f>IF(ISBLANK('ALL Other SINs - Proposal'!A977)," ",'ALL Other SINs - Proposal'!A977)</f>
        <v xml:space="preserve"> </v>
      </c>
      <c r="B977" s="137" t="str">
        <f>IF(ISBLANK('ALL Other SINs - Proposal'!B977)," ",'ALL Other SINs - Proposal'!B977)</f>
        <v xml:space="preserve"> </v>
      </c>
      <c r="C977" s="137" t="str">
        <f>IF(ISBLANK('ALL Other SINs - Proposal'!C977)," ",'ALL Other SINs - Proposal'!C977)</f>
        <v xml:space="preserve"> </v>
      </c>
      <c r="D977" s="138" t="str">
        <f>IF(ISBLANK('ALL Other SINs - Proposal'!D977)," ",'ALL Other SINs - Proposal'!D977)</f>
        <v xml:space="preserve"> </v>
      </c>
      <c r="E977" s="69" t="str">
        <f>IF(ISBLANK('ALL Other SINs - Proposal'!R977)," ",'ALL Other SINs - Proposal'!R977)</f>
        <v xml:space="preserve"> </v>
      </c>
      <c r="F977" s="73" t="str">
        <f>IF(ISBLANK('ALL Other SINs - Proposal'!S977)," ",'ALL Other SINs - Proposal'!S977)</f>
        <v xml:space="preserve"> </v>
      </c>
      <c r="G977" s="173" t="str">
        <f>IF(ISBLANK('ALL Other SINs - Proposal'!T977)," ",'ALL Other SINs - Proposal'!T977)</f>
        <v xml:space="preserve"> </v>
      </c>
      <c r="H977" s="275" t="str">
        <f>IF(ISBLANK('ALL Other SINs - Proposal'!V977)," ",'ALL Other SINs - Proposal'!V977)</f>
        <v xml:space="preserve"> </v>
      </c>
      <c r="I977" s="271" t="str">
        <f>IF(ISBLANK('ALL Other SINs - Proposal'!W977)," ",'ALL Other SINs - Proposal'!W977)</f>
        <v xml:space="preserve"> </v>
      </c>
      <c r="J977" s="71" t="str">
        <f>IF(ISBLANK('ALL Other SINs - Proposal'!X977)," ",'ALL Other SINs - Proposal'!X977)</f>
        <v xml:space="preserve"> </v>
      </c>
      <c r="K977" s="165" t="str">
        <f>IF(ISBLANK('ALL Other SINs - Proposal'!AA977)," ",'ALL Other SINs - Proposal'!AA977)</f>
        <v xml:space="preserve"> </v>
      </c>
      <c r="L977" s="178" t="str">
        <f>IF(ISBLANK('ALL Other SINs - Proposal'!AB977)," ",'ALL Other SINs - Proposal'!AB977)</f>
        <v xml:space="preserve"> </v>
      </c>
      <c r="M977" s="72" t="str">
        <f t="shared" si="30"/>
        <v xml:space="preserve"> </v>
      </c>
      <c r="N977" s="167" t="str">
        <f t="shared" si="31"/>
        <v xml:space="preserve"> </v>
      </c>
    </row>
    <row r="978" spans="1:14" ht="15" x14ac:dyDescent="0.25">
      <c r="A978" s="131" t="str">
        <f>IF(ISBLANK('ALL Other SINs - Proposal'!A978)," ",'ALL Other SINs - Proposal'!A978)</f>
        <v xml:space="preserve"> </v>
      </c>
      <c r="B978" s="137" t="str">
        <f>IF(ISBLANK('ALL Other SINs - Proposal'!B978)," ",'ALL Other SINs - Proposal'!B978)</f>
        <v xml:space="preserve"> </v>
      </c>
      <c r="C978" s="137" t="str">
        <f>IF(ISBLANK('ALL Other SINs - Proposal'!C978)," ",'ALL Other SINs - Proposal'!C978)</f>
        <v xml:space="preserve"> </v>
      </c>
      <c r="D978" s="138" t="str">
        <f>IF(ISBLANK('ALL Other SINs - Proposal'!D978)," ",'ALL Other SINs - Proposal'!D978)</f>
        <v xml:space="preserve"> </v>
      </c>
      <c r="E978" s="69" t="str">
        <f>IF(ISBLANK('ALL Other SINs - Proposal'!R978)," ",'ALL Other SINs - Proposal'!R978)</f>
        <v xml:space="preserve"> </v>
      </c>
      <c r="F978" s="73" t="str">
        <f>IF(ISBLANK('ALL Other SINs - Proposal'!S978)," ",'ALL Other SINs - Proposal'!S978)</f>
        <v xml:space="preserve"> </v>
      </c>
      <c r="G978" s="173" t="str">
        <f>IF(ISBLANK('ALL Other SINs - Proposal'!T978)," ",'ALL Other SINs - Proposal'!T978)</f>
        <v xml:space="preserve"> </v>
      </c>
      <c r="H978" s="275" t="str">
        <f>IF(ISBLANK('ALL Other SINs - Proposal'!V978)," ",'ALL Other SINs - Proposal'!V978)</f>
        <v xml:space="preserve"> </v>
      </c>
      <c r="I978" s="271" t="str">
        <f>IF(ISBLANK('ALL Other SINs - Proposal'!W978)," ",'ALL Other SINs - Proposal'!W978)</f>
        <v xml:space="preserve"> </v>
      </c>
      <c r="J978" s="71" t="str">
        <f>IF(ISBLANK('ALL Other SINs - Proposal'!X978)," ",'ALL Other SINs - Proposal'!X978)</f>
        <v xml:space="preserve"> </v>
      </c>
      <c r="K978" s="165" t="str">
        <f>IF(ISBLANK('ALL Other SINs - Proposal'!AA978)," ",'ALL Other SINs - Proposal'!AA978)</f>
        <v xml:space="preserve"> </v>
      </c>
      <c r="L978" s="178" t="str">
        <f>IF(ISBLANK('ALL Other SINs - Proposal'!AB978)," ",'ALL Other SINs - Proposal'!AB978)</f>
        <v xml:space="preserve"> </v>
      </c>
      <c r="M978" s="72" t="str">
        <f t="shared" si="30"/>
        <v xml:space="preserve"> </v>
      </c>
      <c r="N978" s="167" t="str">
        <f t="shared" si="31"/>
        <v xml:space="preserve"> </v>
      </c>
    </row>
    <row r="979" spans="1:14" ht="15" x14ac:dyDescent="0.25">
      <c r="A979" s="131" t="str">
        <f>IF(ISBLANK('ALL Other SINs - Proposal'!A979)," ",'ALL Other SINs - Proposal'!A979)</f>
        <v xml:space="preserve"> </v>
      </c>
      <c r="B979" s="137" t="str">
        <f>IF(ISBLANK('ALL Other SINs - Proposal'!B979)," ",'ALL Other SINs - Proposal'!B979)</f>
        <v xml:space="preserve"> </v>
      </c>
      <c r="C979" s="137" t="str">
        <f>IF(ISBLANK('ALL Other SINs - Proposal'!C979)," ",'ALL Other SINs - Proposal'!C979)</f>
        <v xml:space="preserve"> </v>
      </c>
      <c r="D979" s="138" t="str">
        <f>IF(ISBLANK('ALL Other SINs - Proposal'!D979)," ",'ALL Other SINs - Proposal'!D979)</f>
        <v xml:space="preserve"> </v>
      </c>
      <c r="E979" s="69" t="str">
        <f>IF(ISBLANK('ALL Other SINs - Proposal'!R979)," ",'ALL Other SINs - Proposal'!R979)</f>
        <v xml:space="preserve"> </v>
      </c>
      <c r="F979" s="73" t="str">
        <f>IF(ISBLANK('ALL Other SINs - Proposal'!S979)," ",'ALL Other SINs - Proposal'!S979)</f>
        <v xml:space="preserve"> </v>
      </c>
      <c r="G979" s="173" t="str">
        <f>IF(ISBLANK('ALL Other SINs - Proposal'!T979)," ",'ALL Other SINs - Proposal'!T979)</f>
        <v xml:space="preserve"> </v>
      </c>
      <c r="H979" s="275" t="str">
        <f>IF(ISBLANK('ALL Other SINs - Proposal'!V979)," ",'ALL Other SINs - Proposal'!V979)</f>
        <v xml:space="preserve"> </v>
      </c>
      <c r="I979" s="271" t="str">
        <f>IF(ISBLANK('ALL Other SINs - Proposal'!W979)," ",'ALL Other SINs - Proposal'!W979)</f>
        <v xml:space="preserve"> </v>
      </c>
      <c r="J979" s="71" t="str">
        <f>IF(ISBLANK('ALL Other SINs - Proposal'!X979)," ",'ALL Other SINs - Proposal'!X979)</f>
        <v xml:space="preserve"> </v>
      </c>
      <c r="K979" s="165" t="str">
        <f>IF(ISBLANK('ALL Other SINs - Proposal'!AA979)," ",'ALL Other SINs - Proposal'!AA979)</f>
        <v xml:space="preserve"> </v>
      </c>
      <c r="L979" s="178" t="str">
        <f>IF(ISBLANK('ALL Other SINs - Proposal'!AB979)," ",'ALL Other SINs - Proposal'!AB979)</f>
        <v xml:space="preserve"> </v>
      </c>
      <c r="M979" s="72" t="str">
        <f t="shared" si="30"/>
        <v xml:space="preserve"> </v>
      </c>
      <c r="N979" s="167" t="str">
        <f t="shared" si="31"/>
        <v xml:space="preserve"> </v>
      </c>
    </row>
    <row r="980" spans="1:14" ht="15" x14ac:dyDescent="0.25">
      <c r="A980" s="131" t="str">
        <f>IF(ISBLANK('ALL Other SINs - Proposal'!A980)," ",'ALL Other SINs - Proposal'!A980)</f>
        <v xml:space="preserve"> </v>
      </c>
      <c r="B980" s="137" t="str">
        <f>IF(ISBLANK('ALL Other SINs - Proposal'!B980)," ",'ALL Other SINs - Proposal'!B980)</f>
        <v xml:space="preserve"> </v>
      </c>
      <c r="C980" s="137" t="str">
        <f>IF(ISBLANK('ALL Other SINs - Proposal'!C980)," ",'ALL Other SINs - Proposal'!C980)</f>
        <v xml:space="preserve"> </v>
      </c>
      <c r="D980" s="138" t="str">
        <f>IF(ISBLANK('ALL Other SINs - Proposal'!D980)," ",'ALL Other SINs - Proposal'!D980)</f>
        <v xml:space="preserve"> </v>
      </c>
      <c r="E980" s="69" t="str">
        <f>IF(ISBLANK('ALL Other SINs - Proposal'!R980)," ",'ALL Other SINs - Proposal'!R980)</f>
        <v xml:space="preserve"> </v>
      </c>
      <c r="F980" s="73" t="str">
        <f>IF(ISBLANK('ALL Other SINs - Proposal'!S980)," ",'ALL Other SINs - Proposal'!S980)</f>
        <v xml:space="preserve"> </v>
      </c>
      <c r="G980" s="173" t="str">
        <f>IF(ISBLANK('ALL Other SINs - Proposal'!T980)," ",'ALL Other SINs - Proposal'!T980)</f>
        <v xml:space="preserve"> </v>
      </c>
      <c r="H980" s="275" t="str">
        <f>IF(ISBLANK('ALL Other SINs - Proposal'!V980)," ",'ALL Other SINs - Proposal'!V980)</f>
        <v xml:space="preserve"> </v>
      </c>
      <c r="I980" s="271" t="str">
        <f>IF(ISBLANK('ALL Other SINs - Proposal'!W980)," ",'ALL Other SINs - Proposal'!W980)</f>
        <v xml:space="preserve"> </v>
      </c>
      <c r="J980" s="71" t="str">
        <f>IF(ISBLANK('ALL Other SINs - Proposal'!X980)," ",'ALL Other SINs - Proposal'!X980)</f>
        <v xml:space="preserve"> </v>
      </c>
      <c r="K980" s="165" t="str">
        <f>IF(ISBLANK('ALL Other SINs - Proposal'!AA980)," ",'ALL Other SINs - Proposal'!AA980)</f>
        <v xml:space="preserve"> </v>
      </c>
      <c r="L980" s="178" t="str">
        <f>IF(ISBLANK('ALL Other SINs - Proposal'!AB980)," ",'ALL Other SINs - Proposal'!AB980)</f>
        <v xml:space="preserve"> </v>
      </c>
      <c r="M980" s="72" t="str">
        <f t="shared" si="30"/>
        <v xml:space="preserve"> </v>
      </c>
      <c r="N980" s="167" t="str">
        <f t="shared" si="31"/>
        <v xml:space="preserve"> </v>
      </c>
    </row>
    <row r="981" spans="1:14" ht="15" x14ac:dyDescent="0.25">
      <c r="A981" s="131" t="str">
        <f>IF(ISBLANK('ALL Other SINs - Proposal'!A981)," ",'ALL Other SINs - Proposal'!A981)</f>
        <v xml:space="preserve"> </v>
      </c>
      <c r="B981" s="137" t="str">
        <f>IF(ISBLANK('ALL Other SINs - Proposal'!B981)," ",'ALL Other SINs - Proposal'!B981)</f>
        <v xml:space="preserve"> </v>
      </c>
      <c r="C981" s="137" t="str">
        <f>IF(ISBLANK('ALL Other SINs - Proposal'!C981)," ",'ALL Other SINs - Proposal'!C981)</f>
        <v xml:space="preserve"> </v>
      </c>
      <c r="D981" s="138" t="str">
        <f>IF(ISBLANK('ALL Other SINs - Proposal'!D981)," ",'ALL Other SINs - Proposal'!D981)</f>
        <v xml:space="preserve"> </v>
      </c>
      <c r="E981" s="69" t="str">
        <f>IF(ISBLANK('ALL Other SINs - Proposal'!R981)," ",'ALL Other SINs - Proposal'!R981)</f>
        <v xml:space="preserve"> </v>
      </c>
      <c r="F981" s="73" t="str">
        <f>IF(ISBLANK('ALL Other SINs - Proposal'!S981)," ",'ALL Other SINs - Proposal'!S981)</f>
        <v xml:space="preserve"> </v>
      </c>
      <c r="G981" s="173" t="str">
        <f>IF(ISBLANK('ALL Other SINs - Proposal'!T981)," ",'ALL Other SINs - Proposal'!T981)</f>
        <v xml:space="preserve"> </v>
      </c>
      <c r="H981" s="275" t="str">
        <f>IF(ISBLANK('ALL Other SINs - Proposal'!V981)," ",'ALL Other SINs - Proposal'!V981)</f>
        <v xml:space="preserve"> </v>
      </c>
      <c r="I981" s="271" t="str">
        <f>IF(ISBLANK('ALL Other SINs - Proposal'!W981)," ",'ALL Other SINs - Proposal'!W981)</f>
        <v xml:space="preserve"> </v>
      </c>
      <c r="J981" s="71" t="str">
        <f>IF(ISBLANK('ALL Other SINs - Proposal'!X981)," ",'ALL Other SINs - Proposal'!X981)</f>
        <v xml:space="preserve"> </v>
      </c>
      <c r="K981" s="165" t="str">
        <f>IF(ISBLANK('ALL Other SINs - Proposal'!AA981)," ",'ALL Other SINs - Proposal'!AA981)</f>
        <v xml:space="preserve"> </v>
      </c>
      <c r="L981" s="178" t="str">
        <f>IF(ISBLANK('ALL Other SINs - Proposal'!AB981)," ",'ALL Other SINs - Proposal'!AB981)</f>
        <v xml:space="preserve"> </v>
      </c>
      <c r="M981" s="72" t="str">
        <f t="shared" si="30"/>
        <v xml:space="preserve"> </v>
      </c>
      <c r="N981" s="167" t="str">
        <f t="shared" si="31"/>
        <v xml:space="preserve"> </v>
      </c>
    </row>
    <row r="982" spans="1:14" ht="15" x14ac:dyDescent="0.25">
      <c r="A982" s="131" t="str">
        <f>IF(ISBLANK('ALL Other SINs - Proposal'!A982)," ",'ALL Other SINs - Proposal'!A982)</f>
        <v xml:space="preserve"> </v>
      </c>
      <c r="B982" s="137" t="str">
        <f>IF(ISBLANK('ALL Other SINs - Proposal'!B982)," ",'ALL Other SINs - Proposal'!B982)</f>
        <v xml:space="preserve"> </v>
      </c>
      <c r="C982" s="137" t="str">
        <f>IF(ISBLANK('ALL Other SINs - Proposal'!C982)," ",'ALL Other SINs - Proposal'!C982)</f>
        <v xml:space="preserve"> </v>
      </c>
      <c r="D982" s="138" t="str">
        <f>IF(ISBLANK('ALL Other SINs - Proposal'!D982)," ",'ALL Other SINs - Proposal'!D982)</f>
        <v xml:space="preserve"> </v>
      </c>
      <c r="E982" s="69" t="str">
        <f>IF(ISBLANK('ALL Other SINs - Proposal'!R982)," ",'ALL Other SINs - Proposal'!R982)</f>
        <v xml:space="preserve"> </v>
      </c>
      <c r="F982" s="73" t="str">
        <f>IF(ISBLANK('ALL Other SINs - Proposal'!S982)," ",'ALL Other SINs - Proposal'!S982)</f>
        <v xml:space="preserve"> </v>
      </c>
      <c r="G982" s="173" t="str">
        <f>IF(ISBLANK('ALL Other SINs - Proposal'!T982)," ",'ALL Other SINs - Proposal'!T982)</f>
        <v xml:space="preserve"> </v>
      </c>
      <c r="H982" s="275" t="str">
        <f>IF(ISBLANK('ALL Other SINs - Proposal'!V982)," ",'ALL Other SINs - Proposal'!V982)</f>
        <v xml:space="preserve"> </v>
      </c>
      <c r="I982" s="271" t="str">
        <f>IF(ISBLANK('ALL Other SINs - Proposal'!W982)," ",'ALL Other SINs - Proposal'!W982)</f>
        <v xml:space="preserve"> </v>
      </c>
      <c r="J982" s="71" t="str">
        <f>IF(ISBLANK('ALL Other SINs - Proposal'!X982)," ",'ALL Other SINs - Proposal'!X982)</f>
        <v xml:space="preserve"> </v>
      </c>
      <c r="K982" s="165" t="str">
        <f>IF(ISBLANK('ALL Other SINs - Proposal'!AA982)," ",'ALL Other SINs - Proposal'!AA982)</f>
        <v xml:space="preserve"> </v>
      </c>
      <c r="L982" s="178" t="str">
        <f>IF(ISBLANK('ALL Other SINs - Proposal'!AB982)," ",'ALL Other SINs - Proposal'!AB982)</f>
        <v xml:space="preserve"> </v>
      </c>
      <c r="M982" s="72" t="str">
        <f t="shared" si="30"/>
        <v xml:space="preserve"> </v>
      </c>
      <c r="N982" s="167" t="str">
        <f t="shared" si="31"/>
        <v xml:space="preserve"> </v>
      </c>
    </row>
    <row r="983" spans="1:14" ht="15" x14ac:dyDescent="0.25">
      <c r="A983" s="131" t="str">
        <f>IF(ISBLANK('ALL Other SINs - Proposal'!A983)," ",'ALL Other SINs - Proposal'!A983)</f>
        <v xml:space="preserve"> </v>
      </c>
      <c r="B983" s="137" t="str">
        <f>IF(ISBLANK('ALL Other SINs - Proposal'!B983)," ",'ALL Other SINs - Proposal'!B983)</f>
        <v xml:space="preserve"> </v>
      </c>
      <c r="C983" s="137" t="str">
        <f>IF(ISBLANK('ALL Other SINs - Proposal'!C983)," ",'ALL Other SINs - Proposal'!C983)</f>
        <v xml:space="preserve"> </v>
      </c>
      <c r="D983" s="138" t="str">
        <f>IF(ISBLANK('ALL Other SINs - Proposal'!D983)," ",'ALL Other SINs - Proposal'!D983)</f>
        <v xml:space="preserve"> </v>
      </c>
      <c r="E983" s="69" t="str">
        <f>IF(ISBLANK('ALL Other SINs - Proposal'!R983)," ",'ALL Other SINs - Proposal'!R983)</f>
        <v xml:space="preserve"> </v>
      </c>
      <c r="F983" s="73" t="str">
        <f>IF(ISBLANK('ALL Other SINs - Proposal'!S983)," ",'ALL Other SINs - Proposal'!S983)</f>
        <v xml:space="preserve"> </v>
      </c>
      <c r="G983" s="173" t="str">
        <f>IF(ISBLANK('ALL Other SINs - Proposal'!T983)," ",'ALL Other SINs - Proposal'!T983)</f>
        <v xml:space="preserve"> </v>
      </c>
      <c r="H983" s="275" t="str">
        <f>IF(ISBLANK('ALL Other SINs - Proposal'!V983)," ",'ALL Other SINs - Proposal'!V983)</f>
        <v xml:space="preserve"> </v>
      </c>
      <c r="I983" s="271" t="str">
        <f>IF(ISBLANK('ALL Other SINs - Proposal'!W983)," ",'ALL Other SINs - Proposal'!W983)</f>
        <v xml:space="preserve"> </v>
      </c>
      <c r="J983" s="71" t="str">
        <f>IF(ISBLANK('ALL Other SINs - Proposal'!X983)," ",'ALL Other SINs - Proposal'!X983)</f>
        <v xml:space="preserve"> </v>
      </c>
      <c r="K983" s="165" t="str">
        <f>IF(ISBLANK('ALL Other SINs - Proposal'!AA983)," ",'ALL Other SINs - Proposal'!AA983)</f>
        <v xml:space="preserve"> </v>
      </c>
      <c r="L983" s="178" t="str">
        <f>IF(ISBLANK('ALL Other SINs - Proposal'!AB983)," ",'ALL Other SINs - Proposal'!AB983)</f>
        <v xml:space="preserve"> </v>
      </c>
      <c r="M983" s="72" t="str">
        <f t="shared" si="30"/>
        <v xml:space="preserve"> </v>
      </c>
      <c r="N983" s="167" t="str">
        <f t="shared" si="31"/>
        <v xml:space="preserve"> </v>
      </c>
    </row>
    <row r="984" spans="1:14" ht="15" x14ac:dyDescent="0.25">
      <c r="A984" s="131" t="str">
        <f>IF(ISBLANK('ALL Other SINs - Proposal'!A984)," ",'ALL Other SINs - Proposal'!A984)</f>
        <v xml:space="preserve"> </v>
      </c>
      <c r="B984" s="137" t="str">
        <f>IF(ISBLANK('ALL Other SINs - Proposal'!B984)," ",'ALL Other SINs - Proposal'!B984)</f>
        <v xml:space="preserve"> </v>
      </c>
      <c r="C984" s="137" t="str">
        <f>IF(ISBLANK('ALL Other SINs - Proposal'!C984)," ",'ALL Other SINs - Proposal'!C984)</f>
        <v xml:space="preserve"> </v>
      </c>
      <c r="D984" s="138" t="str">
        <f>IF(ISBLANK('ALL Other SINs - Proposal'!D984)," ",'ALL Other SINs - Proposal'!D984)</f>
        <v xml:space="preserve"> </v>
      </c>
      <c r="E984" s="69" t="str">
        <f>IF(ISBLANK('ALL Other SINs - Proposal'!R984)," ",'ALL Other SINs - Proposal'!R984)</f>
        <v xml:space="preserve"> </v>
      </c>
      <c r="F984" s="73" t="str">
        <f>IF(ISBLANK('ALL Other SINs - Proposal'!S984)," ",'ALL Other SINs - Proposal'!S984)</f>
        <v xml:space="preserve"> </v>
      </c>
      <c r="G984" s="173" t="str">
        <f>IF(ISBLANK('ALL Other SINs - Proposal'!T984)," ",'ALL Other SINs - Proposal'!T984)</f>
        <v xml:space="preserve"> </v>
      </c>
      <c r="H984" s="275" t="str">
        <f>IF(ISBLANK('ALL Other SINs - Proposal'!V984)," ",'ALL Other SINs - Proposal'!V984)</f>
        <v xml:space="preserve"> </v>
      </c>
      <c r="I984" s="271" t="str">
        <f>IF(ISBLANK('ALL Other SINs - Proposal'!W984)," ",'ALL Other SINs - Proposal'!W984)</f>
        <v xml:space="preserve"> </v>
      </c>
      <c r="J984" s="71" t="str">
        <f>IF(ISBLANK('ALL Other SINs - Proposal'!X984)," ",'ALL Other SINs - Proposal'!X984)</f>
        <v xml:space="preserve"> </v>
      </c>
      <c r="K984" s="165" t="str">
        <f>IF(ISBLANK('ALL Other SINs - Proposal'!AA984)," ",'ALL Other SINs - Proposal'!AA984)</f>
        <v xml:space="preserve"> </v>
      </c>
      <c r="L984" s="178" t="str">
        <f>IF(ISBLANK('ALL Other SINs - Proposal'!AB984)," ",'ALL Other SINs - Proposal'!AB984)</f>
        <v xml:space="preserve"> </v>
      </c>
      <c r="M984" s="72" t="str">
        <f t="shared" si="30"/>
        <v xml:space="preserve"> </v>
      </c>
      <c r="N984" s="167" t="str">
        <f t="shared" si="31"/>
        <v xml:space="preserve"> </v>
      </c>
    </row>
    <row r="985" spans="1:14" ht="15" x14ac:dyDescent="0.25">
      <c r="A985" s="131" t="str">
        <f>IF(ISBLANK('ALL Other SINs - Proposal'!A985)," ",'ALL Other SINs - Proposal'!A985)</f>
        <v xml:space="preserve"> </v>
      </c>
      <c r="B985" s="137" t="str">
        <f>IF(ISBLANK('ALL Other SINs - Proposal'!B985)," ",'ALL Other SINs - Proposal'!B985)</f>
        <v xml:space="preserve"> </v>
      </c>
      <c r="C985" s="137" t="str">
        <f>IF(ISBLANK('ALL Other SINs - Proposal'!C985)," ",'ALL Other SINs - Proposal'!C985)</f>
        <v xml:space="preserve"> </v>
      </c>
      <c r="D985" s="138" t="str">
        <f>IF(ISBLANK('ALL Other SINs - Proposal'!D985)," ",'ALL Other SINs - Proposal'!D985)</f>
        <v xml:space="preserve"> </v>
      </c>
      <c r="E985" s="69" t="str">
        <f>IF(ISBLANK('ALL Other SINs - Proposal'!R985)," ",'ALL Other SINs - Proposal'!R985)</f>
        <v xml:space="preserve"> </v>
      </c>
      <c r="F985" s="73" t="str">
        <f>IF(ISBLANK('ALL Other SINs - Proposal'!S985)," ",'ALL Other SINs - Proposal'!S985)</f>
        <v xml:space="preserve"> </v>
      </c>
      <c r="G985" s="173" t="str">
        <f>IF(ISBLANK('ALL Other SINs - Proposal'!T985)," ",'ALL Other SINs - Proposal'!T985)</f>
        <v xml:space="preserve"> </v>
      </c>
      <c r="H985" s="275" t="str">
        <f>IF(ISBLANK('ALL Other SINs - Proposal'!V985)," ",'ALL Other SINs - Proposal'!V985)</f>
        <v xml:space="preserve"> </v>
      </c>
      <c r="I985" s="271" t="str">
        <f>IF(ISBLANK('ALL Other SINs - Proposal'!W985)," ",'ALL Other SINs - Proposal'!W985)</f>
        <v xml:space="preserve"> </v>
      </c>
      <c r="J985" s="71" t="str">
        <f>IF(ISBLANK('ALL Other SINs - Proposal'!X985)," ",'ALL Other SINs - Proposal'!X985)</f>
        <v xml:space="preserve"> </v>
      </c>
      <c r="K985" s="165" t="str">
        <f>IF(ISBLANK('ALL Other SINs - Proposal'!AA985)," ",'ALL Other SINs - Proposal'!AA985)</f>
        <v xml:space="preserve"> </v>
      </c>
      <c r="L985" s="178" t="str">
        <f>IF(ISBLANK('ALL Other SINs - Proposal'!AB985)," ",'ALL Other SINs - Proposal'!AB985)</f>
        <v xml:space="preserve"> </v>
      </c>
      <c r="M985" s="72" t="str">
        <f t="shared" si="30"/>
        <v xml:space="preserve"> </v>
      </c>
      <c r="N985" s="167" t="str">
        <f t="shared" si="31"/>
        <v xml:space="preserve"> </v>
      </c>
    </row>
    <row r="986" spans="1:14" ht="15" x14ac:dyDescent="0.25">
      <c r="A986" s="131" t="str">
        <f>IF(ISBLANK('ALL Other SINs - Proposal'!A986)," ",'ALL Other SINs - Proposal'!A986)</f>
        <v xml:space="preserve"> </v>
      </c>
      <c r="B986" s="137" t="str">
        <f>IF(ISBLANK('ALL Other SINs - Proposal'!B986)," ",'ALL Other SINs - Proposal'!B986)</f>
        <v xml:space="preserve"> </v>
      </c>
      <c r="C986" s="137" t="str">
        <f>IF(ISBLANK('ALL Other SINs - Proposal'!C986)," ",'ALL Other SINs - Proposal'!C986)</f>
        <v xml:space="preserve"> </v>
      </c>
      <c r="D986" s="138" t="str">
        <f>IF(ISBLANK('ALL Other SINs - Proposal'!D986)," ",'ALL Other SINs - Proposal'!D986)</f>
        <v xml:space="preserve"> </v>
      </c>
      <c r="E986" s="69" t="str">
        <f>IF(ISBLANK('ALL Other SINs - Proposal'!R986)," ",'ALL Other SINs - Proposal'!R986)</f>
        <v xml:space="preserve"> </v>
      </c>
      <c r="F986" s="73" t="str">
        <f>IF(ISBLANK('ALL Other SINs - Proposal'!S986)," ",'ALL Other SINs - Proposal'!S986)</f>
        <v xml:space="preserve"> </v>
      </c>
      <c r="G986" s="173" t="str">
        <f>IF(ISBLANK('ALL Other SINs - Proposal'!T986)," ",'ALL Other SINs - Proposal'!T986)</f>
        <v xml:space="preserve"> </v>
      </c>
      <c r="H986" s="275" t="str">
        <f>IF(ISBLANK('ALL Other SINs - Proposal'!V986)," ",'ALL Other SINs - Proposal'!V986)</f>
        <v xml:space="preserve"> </v>
      </c>
      <c r="I986" s="271" t="str">
        <f>IF(ISBLANK('ALL Other SINs - Proposal'!W986)," ",'ALL Other SINs - Proposal'!W986)</f>
        <v xml:space="preserve"> </v>
      </c>
      <c r="J986" s="71" t="str">
        <f>IF(ISBLANK('ALL Other SINs - Proposal'!X986)," ",'ALL Other SINs - Proposal'!X986)</f>
        <v xml:space="preserve"> </v>
      </c>
      <c r="K986" s="165" t="str">
        <f>IF(ISBLANK('ALL Other SINs - Proposal'!AA986)," ",'ALL Other SINs - Proposal'!AA986)</f>
        <v xml:space="preserve"> </v>
      </c>
      <c r="L986" s="178" t="str">
        <f>IF(ISBLANK('ALL Other SINs - Proposal'!AB986)," ",'ALL Other SINs - Proposal'!AB986)</f>
        <v xml:space="preserve"> </v>
      </c>
      <c r="M986" s="72" t="str">
        <f t="shared" si="30"/>
        <v xml:space="preserve"> </v>
      </c>
      <c r="N986" s="167" t="str">
        <f t="shared" si="31"/>
        <v xml:space="preserve"> </v>
      </c>
    </row>
    <row r="987" spans="1:14" ht="15" x14ac:dyDescent="0.25">
      <c r="A987" s="131" t="str">
        <f>IF(ISBLANK('ALL Other SINs - Proposal'!A987)," ",'ALL Other SINs - Proposal'!A987)</f>
        <v xml:space="preserve"> </v>
      </c>
      <c r="B987" s="137" t="str">
        <f>IF(ISBLANK('ALL Other SINs - Proposal'!B987)," ",'ALL Other SINs - Proposal'!B987)</f>
        <v xml:space="preserve"> </v>
      </c>
      <c r="C987" s="137" t="str">
        <f>IF(ISBLANK('ALL Other SINs - Proposal'!C987)," ",'ALL Other SINs - Proposal'!C987)</f>
        <v xml:space="preserve"> </v>
      </c>
      <c r="D987" s="138" t="str">
        <f>IF(ISBLANK('ALL Other SINs - Proposal'!D987)," ",'ALL Other SINs - Proposal'!D987)</f>
        <v xml:space="preserve"> </v>
      </c>
      <c r="E987" s="69" t="str">
        <f>IF(ISBLANK('ALL Other SINs - Proposal'!R987)," ",'ALL Other SINs - Proposal'!R987)</f>
        <v xml:space="preserve"> </v>
      </c>
      <c r="F987" s="73" t="str">
        <f>IF(ISBLANK('ALL Other SINs - Proposal'!S987)," ",'ALL Other SINs - Proposal'!S987)</f>
        <v xml:space="preserve"> </v>
      </c>
      <c r="G987" s="173" t="str">
        <f>IF(ISBLANK('ALL Other SINs - Proposal'!T987)," ",'ALL Other SINs - Proposal'!T987)</f>
        <v xml:space="preserve"> </v>
      </c>
      <c r="H987" s="275" t="str">
        <f>IF(ISBLANK('ALL Other SINs - Proposal'!V987)," ",'ALL Other SINs - Proposal'!V987)</f>
        <v xml:space="preserve"> </v>
      </c>
      <c r="I987" s="271" t="str">
        <f>IF(ISBLANK('ALL Other SINs - Proposal'!W987)," ",'ALL Other SINs - Proposal'!W987)</f>
        <v xml:space="preserve"> </v>
      </c>
      <c r="J987" s="71" t="str">
        <f>IF(ISBLANK('ALL Other SINs - Proposal'!X987)," ",'ALL Other SINs - Proposal'!X987)</f>
        <v xml:space="preserve"> </v>
      </c>
      <c r="K987" s="165" t="str">
        <f>IF(ISBLANK('ALL Other SINs - Proposal'!AA987)," ",'ALL Other SINs - Proposal'!AA987)</f>
        <v xml:space="preserve"> </v>
      </c>
      <c r="L987" s="178" t="str">
        <f>IF(ISBLANK('ALL Other SINs - Proposal'!AB987)," ",'ALL Other SINs - Proposal'!AB987)</f>
        <v xml:space="preserve"> </v>
      </c>
      <c r="M987" s="72" t="str">
        <f t="shared" si="30"/>
        <v xml:space="preserve"> </v>
      </c>
      <c r="N987" s="167" t="str">
        <f t="shared" si="31"/>
        <v xml:space="preserve"> </v>
      </c>
    </row>
    <row r="988" spans="1:14" ht="15" x14ac:dyDescent="0.25">
      <c r="A988" s="131" t="str">
        <f>IF(ISBLANK('ALL Other SINs - Proposal'!A988)," ",'ALL Other SINs - Proposal'!A988)</f>
        <v xml:space="preserve"> </v>
      </c>
      <c r="B988" s="137" t="str">
        <f>IF(ISBLANK('ALL Other SINs - Proposal'!B988)," ",'ALL Other SINs - Proposal'!B988)</f>
        <v xml:space="preserve"> </v>
      </c>
      <c r="C988" s="137" t="str">
        <f>IF(ISBLANK('ALL Other SINs - Proposal'!C988)," ",'ALL Other SINs - Proposal'!C988)</f>
        <v xml:space="preserve"> </v>
      </c>
      <c r="D988" s="138" t="str">
        <f>IF(ISBLANK('ALL Other SINs - Proposal'!D988)," ",'ALL Other SINs - Proposal'!D988)</f>
        <v xml:space="preserve"> </v>
      </c>
      <c r="E988" s="69" t="str">
        <f>IF(ISBLANK('ALL Other SINs - Proposal'!R988)," ",'ALL Other SINs - Proposal'!R988)</f>
        <v xml:space="preserve"> </v>
      </c>
      <c r="F988" s="73" t="str">
        <f>IF(ISBLANK('ALL Other SINs - Proposal'!S988)," ",'ALL Other SINs - Proposal'!S988)</f>
        <v xml:space="preserve"> </v>
      </c>
      <c r="G988" s="173" t="str">
        <f>IF(ISBLANK('ALL Other SINs - Proposal'!T988)," ",'ALL Other SINs - Proposal'!T988)</f>
        <v xml:space="preserve"> </v>
      </c>
      <c r="H988" s="275" t="str">
        <f>IF(ISBLANK('ALL Other SINs - Proposal'!V988)," ",'ALL Other SINs - Proposal'!V988)</f>
        <v xml:space="preserve"> </v>
      </c>
      <c r="I988" s="271" t="str">
        <f>IF(ISBLANK('ALL Other SINs - Proposal'!W988)," ",'ALL Other SINs - Proposal'!W988)</f>
        <v xml:space="preserve"> </v>
      </c>
      <c r="J988" s="71" t="str">
        <f>IF(ISBLANK('ALL Other SINs - Proposal'!X988)," ",'ALL Other SINs - Proposal'!X988)</f>
        <v xml:space="preserve"> </v>
      </c>
      <c r="K988" s="165" t="str">
        <f>IF(ISBLANK('ALL Other SINs - Proposal'!AA988)," ",'ALL Other SINs - Proposal'!AA988)</f>
        <v xml:space="preserve"> </v>
      </c>
      <c r="L988" s="178" t="str">
        <f>IF(ISBLANK('ALL Other SINs - Proposal'!AB988)," ",'ALL Other SINs - Proposal'!AB988)</f>
        <v xml:space="preserve"> </v>
      </c>
      <c r="M988" s="72" t="str">
        <f t="shared" si="30"/>
        <v xml:space="preserve"> </v>
      </c>
      <c r="N988" s="167" t="str">
        <f t="shared" si="31"/>
        <v xml:space="preserve"> </v>
      </c>
    </row>
    <row r="989" spans="1:14" ht="15" x14ac:dyDescent="0.25">
      <c r="A989" s="131" t="str">
        <f>IF(ISBLANK('ALL Other SINs - Proposal'!A989)," ",'ALL Other SINs - Proposal'!A989)</f>
        <v xml:space="preserve"> </v>
      </c>
      <c r="B989" s="137" t="str">
        <f>IF(ISBLANK('ALL Other SINs - Proposal'!B989)," ",'ALL Other SINs - Proposal'!B989)</f>
        <v xml:space="preserve"> </v>
      </c>
      <c r="C989" s="137" t="str">
        <f>IF(ISBLANK('ALL Other SINs - Proposal'!C989)," ",'ALL Other SINs - Proposal'!C989)</f>
        <v xml:space="preserve"> </v>
      </c>
      <c r="D989" s="138" t="str">
        <f>IF(ISBLANK('ALL Other SINs - Proposal'!D989)," ",'ALL Other SINs - Proposal'!D989)</f>
        <v xml:space="preserve"> </v>
      </c>
      <c r="E989" s="69" t="str">
        <f>IF(ISBLANK('ALL Other SINs - Proposal'!R989)," ",'ALL Other SINs - Proposal'!R989)</f>
        <v xml:space="preserve"> </v>
      </c>
      <c r="F989" s="73" t="str">
        <f>IF(ISBLANK('ALL Other SINs - Proposal'!S989)," ",'ALL Other SINs - Proposal'!S989)</f>
        <v xml:space="preserve"> </v>
      </c>
      <c r="G989" s="173" t="str">
        <f>IF(ISBLANK('ALL Other SINs - Proposal'!T989)," ",'ALL Other SINs - Proposal'!T989)</f>
        <v xml:space="preserve"> </v>
      </c>
      <c r="H989" s="275" t="str">
        <f>IF(ISBLANK('ALL Other SINs - Proposal'!V989)," ",'ALL Other SINs - Proposal'!V989)</f>
        <v xml:space="preserve"> </v>
      </c>
      <c r="I989" s="271" t="str">
        <f>IF(ISBLANK('ALL Other SINs - Proposal'!W989)," ",'ALL Other SINs - Proposal'!W989)</f>
        <v xml:space="preserve"> </v>
      </c>
      <c r="J989" s="71" t="str">
        <f>IF(ISBLANK('ALL Other SINs - Proposal'!X989)," ",'ALL Other SINs - Proposal'!X989)</f>
        <v xml:space="preserve"> </v>
      </c>
      <c r="K989" s="165" t="str">
        <f>IF(ISBLANK('ALL Other SINs - Proposal'!AA989)," ",'ALL Other SINs - Proposal'!AA989)</f>
        <v xml:space="preserve"> </v>
      </c>
      <c r="L989" s="178" t="str">
        <f>IF(ISBLANK('ALL Other SINs - Proposal'!AB989)," ",'ALL Other SINs - Proposal'!AB989)</f>
        <v xml:space="preserve"> </v>
      </c>
      <c r="M989" s="72" t="str">
        <f t="shared" si="30"/>
        <v xml:space="preserve"> </v>
      </c>
      <c r="N989" s="167" t="str">
        <f t="shared" si="31"/>
        <v xml:space="preserve"> </v>
      </c>
    </row>
    <row r="990" spans="1:14" ht="15" x14ac:dyDescent="0.25">
      <c r="A990" s="131" t="str">
        <f>IF(ISBLANK('ALL Other SINs - Proposal'!A990)," ",'ALL Other SINs - Proposal'!A990)</f>
        <v xml:space="preserve"> </v>
      </c>
      <c r="B990" s="137" t="str">
        <f>IF(ISBLANK('ALL Other SINs - Proposal'!B990)," ",'ALL Other SINs - Proposal'!B990)</f>
        <v xml:space="preserve"> </v>
      </c>
      <c r="C990" s="137" t="str">
        <f>IF(ISBLANK('ALL Other SINs - Proposal'!C990)," ",'ALL Other SINs - Proposal'!C990)</f>
        <v xml:space="preserve"> </v>
      </c>
      <c r="D990" s="138" t="str">
        <f>IF(ISBLANK('ALL Other SINs - Proposal'!D990)," ",'ALL Other SINs - Proposal'!D990)</f>
        <v xml:space="preserve"> </v>
      </c>
      <c r="E990" s="69" t="str">
        <f>IF(ISBLANK('ALL Other SINs - Proposal'!R990)," ",'ALL Other SINs - Proposal'!R990)</f>
        <v xml:space="preserve"> </v>
      </c>
      <c r="F990" s="73" t="str">
        <f>IF(ISBLANK('ALL Other SINs - Proposal'!S990)," ",'ALL Other SINs - Proposal'!S990)</f>
        <v xml:space="preserve"> </v>
      </c>
      <c r="G990" s="173" t="str">
        <f>IF(ISBLANK('ALL Other SINs - Proposal'!T990)," ",'ALL Other SINs - Proposal'!T990)</f>
        <v xml:space="preserve"> </v>
      </c>
      <c r="H990" s="275" t="str">
        <f>IF(ISBLANK('ALL Other SINs - Proposal'!V990)," ",'ALL Other SINs - Proposal'!V990)</f>
        <v xml:space="preserve"> </v>
      </c>
      <c r="I990" s="271" t="str">
        <f>IF(ISBLANK('ALL Other SINs - Proposal'!W990)," ",'ALL Other SINs - Proposal'!W990)</f>
        <v xml:space="preserve"> </v>
      </c>
      <c r="J990" s="71" t="str">
        <f>IF(ISBLANK('ALL Other SINs - Proposal'!X990)," ",'ALL Other SINs - Proposal'!X990)</f>
        <v xml:space="preserve"> </v>
      </c>
      <c r="K990" s="165" t="str">
        <f>IF(ISBLANK('ALL Other SINs - Proposal'!AA990)," ",'ALL Other SINs - Proposal'!AA990)</f>
        <v xml:space="preserve"> </v>
      </c>
      <c r="L990" s="178" t="str">
        <f>IF(ISBLANK('ALL Other SINs - Proposal'!AB990)," ",'ALL Other SINs - Proposal'!AB990)</f>
        <v xml:space="preserve"> </v>
      </c>
      <c r="M990" s="72" t="str">
        <f t="shared" si="30"/>
        <v xml:space="preserve"> </v>
      </c>
      <c r="N990" s="167" t="str">
        <f t="shared" si="31"/>
        <v xml:space="preserve"> </v>
      </c>
    </row>
    <row r="991" spans="1:14" ht="15" x14ac:dyDescent="0.25">
      <c r="A991" s="131" t="str">
        <f>IF(ISBLANK('ALL Other SINs - Proposal'!A991)," ",'ALL Other SINs - Proposal'!A991)</f>
        <v xml:space="preserve"> </v>
      </c>
      <c r="B991" s="137" t="str">
        <f>IF(ISBLANK('ALL Other SINs - Proposal'!B991)," ",'ALL Other SINs - Proposal'!B991)</f>
        <v xml:space="preserve"> </v>
      </c>
      <c r="C991" s="137" t="str">
        <f>IF(ISBLANK('ALL Other SINs - Proposal'!C991)," ",'ALL Other SINs - Proposal'!C991)</f>
        <v xml:space="preserve"> </v>
      </c>
      <c r="D991" s="138" t="str">
        <f>IF(ISBLANK('ALL Other SINs - Proposal'!D991)," ",'ALL Other SINs - Proposal'!D991)</f>
        <v xml:space="preserve"> </v>
      </c>
      <c r="E991" s="69" t="str">
        <f>IF(ISBLANK('ALL Other SINs - Proposal'!R991)," ",'ALL Other SINs - Proposal'!R991)</f>
        <v xml:space="preserve"> </v>
      </c>
      <c r="F991" s="73" t="str">
        <f>IF(ISBLANK('ALL Other SINs - Proposal'!S991)," ",'ALL Other SINs - Proposal'!S991)</f>
        <v xml:space="preserve"> </v>
      </c>
      <c r="G991" s="173" t="str">
        <f>IF(ISBLANK('ALL Other SINs - Proposal'!T991)," ",'ALL Other SINs - Proposal'!T991)</f>
        <v xml:space="preserve"> </v>
      </c>
      <c r="H991" s="275" t="str">
        <f>IF(ISBLANK('ALL Other SINs - Proposal'!V991)," ",'ALL Other SINs - Proposal'!V991)</f>
        <v xml:space="preserve"> </v>
      </c>
      <c r="I991" s="271" t="str">
        <f>IF(ISBLANK('ALL Other SINs - Proposal'!W991)," ",'ALL Other SINs - Proposal'!W991)</f>
        <v xml:space="preserve"> </v>
      </c>
      <c r="J991" s="71" t="str">
        <f>IF(ISBLANK('ALL Other SINs - Proposal'!X991)," ",'ALL Other SINs - Proposal'!X991)</f>
        <v xml:space="preserve"> </v>
      </c>
      <c r="K991" s="165" t="str">
        <f>IF(ISBLANK('ALL Other SINs - Proposal'!AA991)," ",'ALL Other SINs - Proposal'!AA991)</f>
        <v xml:space="preserve"> </v>
      </c>
      <c r="L991" s="178" t="str">
        <f>IF(ISBLANK('ALL Other SINs - Proposal'!AB991)," ",'ALL Other SINs - Proposal'!AB991)</f>
        <v xml:space="preserve"> </v>
      </c>
      <c r="M991" s="72" t="str">
        <f t="shared" si="30"/>
        <v xml:space="preserve"> </v>
      </c>
      <c r="N991" s="167" t="str">
        <f t="shared" si="31"/>
        <v xml:space="preserve"> </v>
      </c>
    </row>
    <row r="992" spans="1:14" ht="15" x14ac:dyDescent="0.25">
      <c r="A992" s="131" t="str">
        <f>IF(ISBLANK('ALL Other SINs - Proposal'!A992)," ",'ALL Other SINs - Proposal'!A992)</f>
        <v xml:space="preserve"> </v>
      </c>
      <c r="B992" s="137" t="str">
        <f>IF(ISBLANK('ALL Other SINs - Proposal'!B992)," ",'ALL Other SINs - Proposal'!B992)</f>
        <v xml:space="preserve"> </v>
      </c>
      <c r="C992" s="137" t="str">
        <f>IF(ISBLANK('ALL Other SINs - Proposal'!C992)," ",'ALL Other SINs - Proposal'!C992)</f>
        <v xml:space="preserve"> </v>
      </c>
      <c r="D992" s="138" t="str">
        <f>IF(ISBLANK('ALL Other SINs - Proposal'!D992)," ",'ALL Other SINs - Proposal'!D992)</f>
        <v xml:space="preserve"> </v>
      </c>
      <c r="E992" s="69" t="str">
        <f>IF(ISBLANK('ALL Other SINs - Proposal'!R992)," ",'ALL Other SINs - Proposal'!R992)</f>
        <v xml:space="preserve"> </v>
      </c>
      <c r="F992" s="73" t="str">
        <f>IF(ISBLANK('ALL Other SINs - Proposal'!S992)," ",'ALL Other SINs - Proposal'!S992)</f>
        <v xml:space="preserve"> </v>
      </c>
      <c r="G992" s="173" t="str">
        <f>IF(ISBLANK('ALL Other SINs - Proposal'!T992)," ",'ALL Other SINs - Proposal'!T992)</f>
        <v xml:space="preserve"> </v>
      </c>
      <c r="H992" s="275" t="str">
        <f>IF(ISBLANK('ALL Other SINs - Proposal'!V992)," ",'ALL Other SINs - Proposal'!V992)</f>
        <v xml:space="preserve"> </v>
      </c>
      <c r="I992" s="271" t="str">
        <f>IF(ISBLANK('ALL Other SINs - Proposal'!W992)," ",'ALL Other SINs - Proposal'!W992)</f>
        <v xml:space="preserve"> </v>
      </c>
      <c r="J992" s="71" t="str">
        <f>IF(ISBLANK('ALL Other SINs - Proposal'!X992)," ",'ALL Other SINs - Proposal'!X992)</f>
        <v xml:space="preserve"> </v>
      </c>
      <c r="K992" s="165" t="str">
        <f>IF(ISBLANK('ALL Other SINs - Proposal'!AA992)," ",'ALL Other SINs - Proposal'!AA992)</f>
        <v xml:space="preserve"> </v>
      </c>
      <c r="L992" s="178" t="str">
        <f>IF(ISBLANK('ALL Other SINs - Proposal'!AB992)," ",'ALL Other SINs - Proposal'!AB992)</f>
        <v xml:space="preserve"> </v>
      </c>
      <c r="M992" s="72" t="str">
        <f t="shared" si="30"/>
        <v xml:space="preserve"> </v>
      </c>
      <c r="N992" s="167" t="str">
        <f t="shared" si="31"/>
        <v xml:space="preserve"> </v>
      </c>
    </row>
    <row r="993" spans="1:14" ht="15" x14ac:dyDescent="0.25">
      <c r="A993" s="131" t="str">
        <f>IF(ISBLANK('ALL Other SINs - Proposal'!A993)," ",'ALL Other SINs - Proposal'!A993)</f>
        <v xml:space="preserve"> </v>
      </c>
      <c r="B993" s="137" t="str">
        <f>IF(ISBLANK('ALL Other SINs - Proposal'!B993)," ",'ALL Other SINs - Proposal'!B993)</f>
        <v xml:space="preserve"> </v>
      </c>
      <c r="C993" s="137" t="str">
        <f>IF(ISBLANK('ALL Other SINs - Proposal'!C993)," ",'ALL Other SINs - Proposal'!C993)</f>
        <v xml:space="preserve"> </v>
      </c>
      <c r="D993" s="138" t="str">
        <f>IF(ISBLANK('ALL Other SINs - Proposal'!D993)," ",'ALL Other SINs - Proposal'!D993)</f>
        <v xml:space="preserve"> </v>
      </c>
      <c r="E993" s="69" t="str">
        <f>IF(ISBLANK('ALL Other SINs - Proposal'!R993)," ",'ALL Other SINs - Proposal'!R993)</f>
        <v xml:space="preserve"> </v>
      </c>
      <c r="F993" s="73" t="str">
        <f>IF(ISBLANK('ALL Other SINs - Proposal'!S993)," ",'ALL Other SINs - Proposal'!S993)</f>
        <v xml:space="preserve"> </v>
      </c>
      <c r="G993" s="173" t="str">
        <f>IF(ISBLANK('ALL Other SINs - Proposal'!T993)," ",'ALL Other SINs - Proposal'!T993)</f>
        <v xml:space="preserve"> </v>
      </c>
      <c r="H993" s="275" t="str">
        <f>IF(ISBLANK('ALL Other SINs - Proposal'!V993)," ",'ALL Other SINs - Proposal'!V993)</f>
        <v xml:space="preserve"> </v>
      </c>
      <c r="I993" s="271" t="str">
        <f>IF(ISBLANK('ALL Other SINs - Proposal'!W993)," ",'ALL Other SINs - Proposal'!W993)</f>
        <v xml:space="preserve"> </v>
      </c>
      <c r="J993" s="71" t="str">
        <f>IF(ISBLANK('ALL Other SINs - Proposal'!X993)," ",'ALL Other SINs - Proposal'!X993)</f>
        <v xml:space="preserve"> </v>
      </c>
      <c r="K993" s="165" t="str">
        <f>IF(ISBLANK('ALL Other SINs - Proposal'!AA993)," ",'ALL Other SINs - Proposal'!AA993)</f>
        <v xml:space="preserve"> </v>
      </c>
      <c r="L993" s="178" t="str">
        <f>IF(ISBLANK('ALL Other SINs - Proposal'!AB993)," ",'ALL Other SINs - Proposal'!AB993)</f>
        <v xml:space="preserve"> </v>
      </c>
      <c r="M993" s="72" t="str">
        <f t="shared" si="30"/>
        <v xml:space="preserve"> </v>
      </c>
      <c r="N993" s="167" t="str">
        <f t="shared" si="31"/>
        <v xml:space="preserve"> </v>
      </c>
    </row>
    <row r="994" spans="1:14" ht="15" x14ac:dyDescent="0.25">
      <c r="A994" s="131" t="str">
        <f>IF(ISBLANK('ALL Other SINs - Proposal'!A994)," ",'ALL Other SINs - Proposal'!A994)</f>
        <v xml:space="preserve"> </v>
      </c>
      <c r="B994" s="137" t="str">
        <f>IF(ISBLANK('ALL Other SINs - Proposal'!B994)," ",'ALL Other SINs - Proposal'!B994)</f>
        <v xml:space="preserve"> </v>
      </c>
      <c r="C994" s="137" t="str">
        <f>IF(ISBLANK('ALL Other SINs - Proposal'!C994)," ",'ALL Other SINs - Proposal'!C994)</f>
        <v xml:space="preserve"> </v>
      </c>
      <c r="D994" s="138" t="str">
        <f>IF(ISBLANK('ALL Other SINs - Proposal'!D994)," ",'ALL Other SINs - Proposal'!D994)</f>
        <v xml:space="preserve"> </v>
      </c>
      <c r="E994" s="69" t="str">
        <f>IF(ISBLANK('ALL Other SINs - Proposal'!R994)," ",'ALL Other SINs - Proposal'!R994)</f>
        <v xml:space="preserve"> </v>
      </c>
      <c r="F994" s="73" t="str">
        <f>IF(ISBLANK('ALL Other SINs - Proposal'!S994)," ",'ALL Other SINs - Proposal'!S994)</f>
        <v xml:space="preserve"> </v>
      </c>
      <c r="G994" s="173" t="str">
        <f>IF(ISBLANK('ALL Other SINs - Proposal'!T994)," ",'ALL Other SINs - Proposal'!T994)</f>
        <v xml:space="preserve"> </v>
      </c>
      <c r="H994" s="275" t="str">
        <f>IF(ISBLANK('ALL Other SINs - Proposal'!V994)," ",'ALL Other SINs - Proposal'!V994)</f>
        <v xml:space="preserve"> </v>
      </c>
      <c r="I994" s="271" t="str">
        <f>IF(ISBLANK('ALL Other SINs - Proposal'!W994)," ",'ALL Other SINs - Proposal'!W994)</f>
        <v xml:space="preserve"> </v>
      </c>
      <c r="J994" s="71" t="str">
        <f>IF(ISBLANK('ALL Other SINs - Proposal'!X994)," ",'ALL Other SINs - Proposal'!X994)</f>
        <v xml:space="preserve"> </v>
      </c>
      <c r="K994" s="165" t="str">
        <f>IF(ISBLANK('ALL Other SINs - Proposal'!AA994)," ",'ALL Other SINs - Proposal'!AA994)</f>
        <v xml:space="preserve"> </v>
      </c>
      <c r="L994" s="178" t="str">
        <f>IF(ISBLANK('ALL Other SINs - Proposal'!AB994)," ",'ALL Other SINs - Proposal'!AB994)</f>
        <v xml:space="preserve"> </v>
      </c>
      <c r="M994" s="72" t="str">
        <f t="shared" si="30"/>
        <v xml:space="preserve"> </v>
      </c>
      <c r="N994" s="167" t="str">
        <f t="shared" si="31"/>
        <v xml:space="preserve"> </v>
      </c>
    </row>
    <row r="995" spans="1:14" ht="15" x14ac:dyDescent="0.25">
      <c r="A995" s="131" t="str">
        <f>IF(ISBLANK('ALL Other SINs - Proposal'!A995)," ",'ALL Other SINs - Proposal'!A995)</f>
        <v xml:space="preserve"> </v>
      </c>
      <c r="B995" s="137" t="str">
        <f>IF(ISBLANK('ALL Other SINs - Proposal'!B995)," ",'ALL Other SINs - Proposal'!B995)</f>
        <v xml:space="preserve"> </v>
      </c>
      <c r="C995" s="137" t="str">
        <f>IF(ISBLANK('ALL Other SINs - Proposal'!C995)," ",'ALL Other SINs - Proposal'!C995)</f>
        <v xml:space="preserve"> </v>
      </c>
      <c r="D995" s="138" t="str">
        <f>IF(ISBLANK('ALL Other SINs - Proposal'!D995)," ",'ALL Other SINs - Proposal'!D995)</f>
        <v xml:space="preserve"> </v>
      </c>
      <c r="E995" s="69" t="str">
        <f>IF(ISBLANK('ALL Other SINs - Proposal'!R995)," ",'ALL Other SINs - Proposal'!R995)</f>
        <v xml:space="preserve"> </v>
      </c>
      <c r="F995" s="73" t="str">
        <f>IF(ISBLANK('ALL Other SINs - Proposal'!S995)," ",'ALL Other SINs - Proposal'!S995)</f>
        <v xml:space="preserve"> </v>
      </c>
      <c r="G995" s="173" t="str">
        <f>IF(ISBLANK('ALL Other SINs - Proposal'!T995)," ",'ALL Other SINs - Proposal'!T995)</f>
        <v xml:space="preserve"> </v>
      </c>
      <c r="H995" s="275" t="str">
        <f>IF(ISBLANK('ALL Other SINs - Proposal'!V995)," ",'ALL Other SINs - Proposal'!V995)</f>
        <v xml:space="preserve"> </v>
      </c>
      <c r="I995" s="271" t="str">
        <f>IF(ISBLANK('ALL Other SINs - Proposal'!W995)," ",'ALL Other SINs - Proposal'!W995)</f>
        <v xml:space="preserve"> </v>
      </c>
      <c r="J995" s="71" t="str">
        <f>IF(ISBLANK('ALL Other SINs - Proposal'!X995)," ",'ALL Other SINs - Proposal'!X995)</f>
        <v xml:space="preserve"> </v>
      </c>
      <c r="K995" s="165" t="str">
        <f>IF(ISBLANK('ALL Other SINs - Proposal'!AA995)," ",'ALL Other SINs - Proposal'!AA995)</f>
        <v xml:space="preserve"> </v>
      </c>
      <c r="L995" s="178" t="str">
        <f>IF(ISBLANK('ALL Other SINs - Proposal'!AB995)," ",'ALL Other SINs - Proposal'!AB995)</f>
        <v xml:space="preserve"> </v>
      </c>
      <c r="M995" s="72" t="str">
        <f t="shared" si="30"/>
        <v xml:space="preserve"> </v>
      </c>
      <c r="N995" s="167" t="str">
        <f t="shared" si="31"/>
        <v xml:space="preserve"> </v>
      </c>
    </row>
    <row r="996" spans="1:14" ht="15" x14ac:dyDescent="0.25">
      <c r="A996" s="131" t="str">
        <f>IF(ISBLANK('ALL Other SINs - Proposal'!A996)," ",'ALL Other SINs - Proposal'!A996)</f>
        <v xml:space="preserve"> </v>
      </c>
      <c r="B996" s="137" t="str">
        <f>IF(ISBLANK('ALL Other SINs - Proposal'!B996)," ",'ALL Other SINs - Proposal'!B996)</f>
        <v xml:space="preserve"> </v>
      </c>
      <c r="C996" s="137" t="str">
        <f>IF(ISBLANK('ALL Other SINs - Proposal'!C996)," ",'ALL Other SINs - Proposal'!C996)</f>
        <v xml:space="preserve"> </v>
      </c>
      <c r="D996" s="138" t="str">
        <f>IF(ISBLANK('ALL Other SINs - Proposal'!D996)," ",'ALL Other SINs - Proposal'!D996)</f>
        <v xml:space="preserve"> </v>
      </c>
      <c r="E996" s="69" t="str">
        <f>IF(ISBLANK('ALL Other SINs - Proposal'!R996)," ",'ALL Other SINs - Proposal'!R996)</f>
        <v xml:space="preserve"> </v>
      </c>
      <c r="F996" s="73" t="str">
        <f>IF(ISBLANK('ALL Other SINs - Proposal'!S996)," ",'ALL Other SINs - Proposal'!S996)</f>
        <v xml:space="preserve"> </v>
      </c>
      <c r="G996" s="173" t="str">
        <f>IF(ISBLANK('ALL Other SINs - Proposal'!T996)," ",'ALL Other SINs - Proposal'!T996)</f>
        <v xml:space="preserve"> </v>
      </c>
      <c r="H996" s="275" t="str">
        <f>IF(ISBLANK('ALL Other SINs - Proposal'!V996)," ",'ALL Other SINs - Proposal'!V996)</f>
        <v xml:space="preserve"> </v>
      </c>
      <c r="I996" s="271" t="str">
        <f>IF(ISBLANK('ALL Other SINs - Proposal'!W996)," ",'ALL Other SINs - Proposal'!W996)</f>
        <v xml:space="preserve"> </v>
      </c>
      <c r="J996" s="71" t="str">
        <f>IF(ISBLANK('ALL Other SINs - Proposal'!X996)," ",'ALL Other SINs - Proposal'!X996)</f>
        <v xml:space="preserve"> </v>
      </c>
      <c r="K996" s="165" t="str">
        <f>IF(ISBLANK('ALL Other SINs - Proposal'!AA996)," ",'ALL Other SINs - Proposal'!AA996)</f>
        <v xml:space="preserve"> </v>
      </c>
      <c r="L996" s="178" t="str">
        <f>IF(ISBLANK('ALL Other SINs - Proposal'!AB996)," ",'ALL Other SINs - Proposal'!AB996)</f>
        <v xml:space="preserve"> </v>
      </c>
      <c r="M996" s="72" t="str">
        <f t="shared" si="30"/>
        <v xml:space="preserve"> </v>
      </c>
      <c r="N996" s="167" t="str">
        <f t="shared" si="31"/>
        <v xml:space="preserve"> </v>
      </c>
    </row>
    <row r="997" spans="1:14" ht="15" x14ac:dyDescent="0.25">
      <c r="A997" s="131" t="str">
        <f>IF(ISBLANK('ALL Other SINs - Proposal'!A997)," ",'ALL Other SINs - Proposal'!A997)</f>
        <v xml:space="preserve"> </v>
      </c>
      <c r="B997" s="137" t="str">
        <f>IF(ISBLANK('ALL Other SINs - Proposal'!B997)," ",'ALL Other SINs - Proposal'!B997)</f>
        <v xml:space="preserve"> </v>
      </c>
      <c r="C997" s="137" t="str">
        <f>IF(ISBLANK('ALL Other SINs - Proposal'!C997)," ",'ALL Other SINs - Proposal'!C997)</f>
        <v xml:space="preserve"> </v>
      </c>
      <c r="D997" s="138" t="str">
        <f>IF(ISBLANK('ALL Other SINs - Proposal'!D997)," ",'ALL Other SINs - Proposal'!D997)</f>
        <v xml:space="preserve"> </v>
      </c>
      <c r="E997" s="69" t="str">
        <f>IF(ISBLANK('ALL Other SINs - Proposal'!R997)," ",'ALL Other SINs - Proposal'!R997)</f>
        <v xml:space="preserve"> </v>
      </c>
      <c r="F997" s="73" t="str">
        <f>IF(ISBLANK('ALL Other SINs - Proposal'!S997)," ",'ALL Other SINs - Proposal'!S997)</f>
        <v xml:space="preserve"> </v>
      </c>
      <c r="G997" s="173" t="str">
        <f>IF(ISBLANK('ALL Other SINs - Proposal'!T997)," ",'ALL Other SINs - Proposal'!T997)</f>
        <v xml:space="preserve"> </v>
      </c>
      <c r="H997" s="275" t="str">
        <f>IF(ISBLANK('ALL Other SINs - Proposal'!V997)," ",'ALL Other SINs - Proposal'!V997)</f>
        <v xml:space="preserve"> </v>
      </c>
      <c r="I997" s="271" t="str">
        <f>IF(ISBLANK('ALL Other SINs - Proposal'!W997)," ",'ALL Other SINs - Proposal'!W997)</f>
        <v xml:space="preserve"> </v>
      </c>
      <c r="J997" s="71" t="str">
        <f>IF(ISBLANK('ALL Other SINs - Proposal'!X997)," ",'ALL Other SINs - Proposal'!X997)</f>
        <v xml:space="preserve"> </v>
      </c>
      <c r="K997" s="165" t="str">
        <f>IF(ISBLANK('ALL Other SINs - Proposal'!AA997)," ",'ALL Other SINs - Proposal'!AA997)</f>
        <v xml:space="preserve"> </v>
      </c>
      <c r="L997" s="178" t="str">
        <f>IF(ISBLANK('ALL Other SINs - Proposal'!AB997)," ",'ALL Other SINs - Proposal'!AB997)</f>
        <v xml:space="preserve"> </v>
      </c>
      <c r="M997" s="72" t="str">
        <f t="shared" si="30"/>
        <v xml:space="preserve"> </v>
      </c>
      <c r="N997" s="167" t="str">
        <f t="shared" si="31"/>
        <v xml:space="preserve"> </v>
      </c>
    </row>
    <row r="998" spans="1:14" ht="15" x14ac:dyDescent="0.25">
      <c r="A998" s="131" t="str">
        <f>IF(ISBLANK('ALL Other SINs - Proposal'!A998)," ",'ALL Other SINs - Proposal'!A998)</f>
        <v xml:space="preserve"> </v>
      </c>
      <c r="B998" s="137" t="str">
        <f>IF(ISBLANK('ALL Other SINs - Proposal'!B998)," ",'ALL Other SINs - Proposal'!B998)</f>
        <v xml:space="preserve"> </v>
      </c>
      <c r="C998" s="137" t="str">
        <f>IF(ISBLANK('ALL Other SINs - Proposal'!C998)," ",'ALL Other SINs - Proposal'!C998)</f>
        <v xml:space="preserve"> </v>
      </c>
      <c r="D998" s="138" t="str">
        <f>IF(ISBLANK('ALL Other SINs - Proposal'!D998)," ",'ALL Other SINs - Proposal'!D998)</f>
        <v xml:space="preserve"> </v>
      </c>
      <c r="E998" s="69" t="str">
        <f>IF(ISBLANK('ALL Other SINs - Proposal'!R998)," ",'ALL Other SINs - Proposal'!R998)</f>
        <v xml:space="preserve"> </v>
      </c>
      <c r="F998" s="73" t="str">
        <f>IF(ISBLANK('ALL Other SINs - Proposal'!S998)," ",'ALL Other SINs - Proposal'!S998)</f>
        <v xml:space="preserve"> </v>
      </c>
      <c r="G998" s="173" t="str">
        <f>IF(ISBLANK('ALL Other SINs - Proposal'!T998)," ",'ALL Other SINs - Proposal'!T998)</f>
        <v xml:space="preserve"> </v>
      </c>
      <c r="H998" s="275" t="str">
        <f>IF(ISBLANK('ALL Other SINs - Proposal'!V998)," ",'ALL Other SINs - Proposal'!V998)</f>
        <v xml:space="preserve"> </v>
      </c>
      <c r="I998" s="271" t="str">
        <f>IF(ISBLANK('ALL Other SINs - Proposal'!W998)," ",'ALL Other SINs - Proposal'!W998)</f>
        <v xml:space="preserve"> </v>
      </c>
      <c r="J998" s="71" t="str">
        <f>IF(ISBLANK('ALL Other SINs - Proposal'!X998)," ",'ALL Other SINs - Proposal'!X998)</f>
        <v xml:space="preserve"> </v>
      </c>
      <c r="K998" s="165" t="str">
        <f>IF(ISBLANK('ALL Other SINs - Proposal'!AA998)," ",'ALL Other SINs - Proposal'!AA998)</f>
        <v xml:space="preserve"> </v>
      </c>
      <c r="L998" s="178" t="str">
        <f>IF(ISBLANK('ALL Other SINs - Proposal'!AB998)," ",'ALL Other SINs - Proposal'!AB998)</f>
        <v xml:space="preserve"> </v>
      </c>
      <c r="M998" s="72" t="str">
        <f t="shared" si="30"/>
        <v xml:space="preserve"> </v>
      </c>
      <c r="N998" s="167" t="str">
        <f t="shared" si="31"/>
        <v xml:space="preserve"> </v>
      </c>
    </row>
    <row r="999" spans="1:14" ht="15" x14ac:dyDescent="0.25">
      <c r="A999" s="131" t="str">
        <f>IF(ISBLANK('ALL Other SINs - Proposal'!A999)," ",'ALL Other SINs - Proposal'!A999)</f>
        <v xml:space="preserve"> </v>
      </c>
      <c r="B999" s="137" t="str">
        <f>IF(ISBLANK('ALL Other SINs - Proposal'!B999)," ",'ALL Other SINs - Proposal'!B999)</f>
        <v xml:space="preserve"> </v>
      </c>
      <c r="C999" s="137" t="str">
        <f>IF(ISBLANK('ALL Other SINs - Proposal'!C999)," ",'ALL Other SINs - Proposal'!C999)</f>
        <v xml:space="preserve"> </v>
      </c>
      <c r="D999" s="138" t="str">
        <f>IF(ISBLANK('ALL Other SINs - Proposal'!D999)," ",'ALL Other SINs - Proposal'!D999)</f>
        <v xml:space="preserve"> </v>
      </c>
      <c r="E999" s="69" t="str">
        <f>IF(ISBLANK('ALL Other SINs - Proposal'!R999)," ",'ALL Other SINs - Proposal'!R999)</f>
        <v xml:space="preserve"> </v>
      </c>
      <c r="F999" s="73" t="str">
        <f>IF(ISBLANK('ALL Other SINs - Proposal'!S999)," ",'ALL Other SINs - Proposal'!S999)</f>
        <v xml:space="preserve"> </v>
      </c>
      <c r="G999" s="173" t="str">
        <f>IF(ISBLANK('ALL Other SINs - Proposal'!T999)," ",'ALL Other SINs - Proposal'!T999)</f>
        <v xml:space="preserve"> </v>
      </c>
      <c r="H999" s="275" t="str">
        <f>IF(ISBLANK('ALL Other SINs - Proposal'!V999)," ",'ALL Other SINs - Proposal'!V999)</f>
        <v xml:space="preserve"> </v>
      </c>
      <c r="I999" s="271" t="str">
        <f>IF(ISBLANK('ALL Other SINs - Proposal'!W999)," ",'ALL Other SINs - Proposal'!W999)</f>
        <v xml:space="preserve"> </v>
      </c>
      <c r="J999" s="71" t="str">
        <f>IF(ISBLANK('ALL Other SINs - Proposal'!X999)," ",'ALL Other SINs - Proposal'!X999)</f>
        <v xml:space="preserve"> </v>
      </c>
      <c r="K999" s="165" t="str">
        <f>IF(ISBLANK('ALL Other SINs - Proposal'!AA999)," ",'ALL Other SINs - Proposal'!AA999)</f>
        <v xml:space="preserve"> </v>
      </c>
      <c r="L999" s="178" t="str">
        <f>IF(ISBLANK('ALL Other SINs - Proposal'!AB999)," ",'ALL Other SINs - Proposal'!AB999)</f>
        <v xml:space="preserve"> </v>
      </c>
      <c r="M999" s="72" t="str">
        <f t="shared" si="30"/>
        <v xml:space="preserve"> </v>
      </c>
      <c r="N999" s="167" t="str">
        <f t="shared" si="31"/>
        <v xml:space="preserve"> </v>
      </c>
    </row>
    <row r="1000" spans="1:14" ht="15" x14ac:dyDescent="0.25">
      <c r="A1000" s="131" t="str">
        <f>IF(ISBLANK('ALL Other SINs - Proposal'!A1000)," ",'ALL Other SINs - Proposal'!A1000)</f>
        <v xml:space="preserve"> </v>
      </c>
      <c r="B1000" s="137" t="str">
        <f>IF(ISBLANK('ALL Other SINs - Proposal'!B1000)," ",'ALL Other SINs - Proposal'!B1000)</f>
        <v xml:space="preserve"> </v>
      </c>
      <c r="C1000" s="137" t="str">
        <f>IF(ISBLANK('ALL Other SINs - Proposal'!C1000)," ",'ALL Other SINs - Proposal'!C1000)</f>
        <v xml:space="preserve"> </v>
      </c>
      <c r="D1000" s="138" t="str">
        <f>IF(ISBLANK('ALL Other SINs - Proposal'!D1000)," ",'ALL Other SINs - Proposal'!D1000)</f>
        <v xml:space="preserve"> </v>
      </c>
      <c r="E1000" s="69" t="str">
        <f>IF(ISBLANK('ALL Other SINs - Proposal'!R1000)," ",'ALL Other SINs - Proposal'!R1000)</f>
        <v xml:space="preserve"> </v>
      </c>
      <c r="F1000" s="73" t="str">
        <f>IF(ISBLANK('ALL Other SINs - Proposal'!S1000)," ",'ALL Other SINs - Proposal'!S1000)</f>
        <v xml:space="preserve"> </v>
      </c>
      <c r="G1000" s="173" t="str">
        <f>IF(ISBLANK('ALL Other SINs - Proposal'!T1000)," ",'ALL Other SINs - Proposal'!T1000)</f>
        <v xml:space="preserve"> </v>
      </c>
      <c r="H1000" s="275" t="str">
        <f>IF(ISBLANK('ALL Other SINs - Proposal'!V1000)," ",'ALL Other SINs - Proposal'!V1000)</f>
        <v xml:space="preserve"> </v>
      </c>
      <c r="I1000" s="271" t="str">
        <f>IF(ISBLANK('ALL Other SINs - Proposal'!W1000)," ",'ALL Other SINs - Proposal'!W1000)</f>
        <v xml:space="preserve"> </v>
      </c>
      <c r="J1000" s="71" t="str">
        <f>IF(ISBLANK('ALL Other SINs - Proposal'!X1000)," ",'ALL Other SINs - Proposal'!X1000)</f>
        <v xml:space="preserve"> </v>
      </c>
      <c r="K1000" s="165" t="str">
        <f>IF(ISBLANK('ALL Other SINs - Proposal'!AA1000)," ",'ALL Other SINs - Proposal'!AA1000)</f>
        <v xml:space="preserve"> </v>
      </c>
      <c r="L1000" s="178" t="str">
        <f>IF(ISBLANK('ALL Other SINs - Proposal'!AB1000)," ",'ALL Other SINs - Proposal'!AB1000)</f>
        <v xml:space="preserve"> </v>
      </c>
      <c r="M1000" s="72" t="str">
        <f t="shared" si="30"/>
        <v xml:space="preserve"> </v>
      </c>
      <c r="N1000" s="167" t="str">
        <f t="shared" si="31"/>
        <v xml:space="preserve"> </v>
      </c>
    </row>
    <row r="1001" spans="1:14" ht="15" x14ac:dyDescent="0.25">
      <c r="A1001" s="131" t="str">
        <f>IF(ISBLANK('ALL Other SINs - Proposal'!A1001)," ",'ALL Other SINs - Proposal'!A1001)</f>
        <v xml:space="preserve"> </v>
      </c>
      <c r="B1001" s="137" t="str">
        <f>IF(ISBLANK('ALL Other SINs - Proposal'!B1001)," ",'ALL Other SINs - Proposal'!B1001)</f>
        <v xml:space="preserve"> </v>
      </c>
      <c r="C1001" s="137" t="str">
        <f>IF(ISBLANK('ALL Other SINs - Proposal'!C1001)," ",'ALL Other SINs - Proposal'!C1001)</f>
        <v xml:space="preserve"> </v>
      </c>
      <c r="D1001" s="138" t="str">
        <f>IF(ISBLANK('ALL Other SINs - Proposal'!D1001)," ",'ALL Other SINs - Proposal'!D1001)</f>
        <v xml:space="preserve"> </v>
      </c>
      <c r="E1001" s="69" t="str">
        <f>IF(ISBLANK('ALL Other SINs - Proposal'!R1001)," ",'ALL Other SINs - Proposal'!R1001)</f>
        <v xml:space="preserve"> </v>
      </c>
      <c r="F1001" s="73" t="str">
        <f>IF(ISBLANK('ALL Other SINs - Proposal'!S1001)," ",'ALL Other SINs - Proposal'!S1001)</f>
        <v xml:space="preserve"> </v>
      </c>
      <c r="G1001" s="173" t="str">
        <f>IF(ISBLANK('ALL Other SINs - Proposal'!T1001)," ",'ALL Other SINs - Proposal'!T1001)</f>
        <v xml:space="preserve"> </v>
      </c>
      <c r="H1001" s="275" t="str">
        <f>IF(ISBLANK('ALL Other SINs - Proposal'!V1001)," ",'ALL Other SINs - Proposal'!V1001)</f>
        <v xml:space="preserve"> </v>
      </c>
      <c r="I1001" s="271" t="str">
        <f>IF(ISBLANK('ALL Other SINs - Proposal'!W1001)," ",'ALL Other SINs - Proposal'!W1001)</f>
        <v xml:space="preserve"> </v>
      </c>
      <c r="J1001" s="71" t="str">
        <f>IF(ISBLANK('ALL Other SINs - Proposal'!X1001)," ",'ALL Other SINs - Proposal'!X1001)</f>
        <v xml:space="preserve"> </v>
      </c>
      <c r="K1001" s="165" t="str">
        <f>IF(ISBLANK('ALL Other SINs - Proposal'!AA1001)," ",'ALL Other SINs - Proposal'!AA1001)</f>
        <v xml:space="preserve"> </v>
      </c>
      <c r="L1001" s="178" t="str">
        <f>IF(ISBLANK('ALL Other SINs - Proposal'!AB1001)," ",'ALL Other SINs - Proposal'!AB1001)</f>
        <v xml:space="preserve"> </v>
      </c>
      <c r="M1001" s="72" t="str">
        <f t="shared" si="30"/>
        <v xml:space="preserve"> </v>
      </c>
      <c r="N1001" s="167" t="str">
        <f t="shared" si="31"/>
        <v xml:space="preserve"> </v>
      </c>
    </row>
    <row r="1002" spans="1:14" ht="15" x14ac:dyDescent="0.25">
      <c r="A1002" s="133" t="str">
        <f>IF(ISBLANK('ALL Other SINs - Proposal'!A1002)," ",'ALL Other SINs - Proposal'!A1002)</f>
        <v xml:space="preserve"> </v>
      </c>
      <c r="B1002" s="182" t="str">
        <f>IF(ISBLANK('ALL Other SINs - Proposal'!B1002)," ",'ALL Other SINs - Proposal'!B1002)</f>
        <v xml:space="preserve"> </v>
      </c>
      <c r="C1002" s="182" t="str">
        <f>IF(ISBLANK('ALL Other SINs - Proposal'!C1002)," ",'ALL Other SINs - Proposal'!C1002)</f>
        <v xml:space="preserve"> </v>
      </c>
      <c r="D1002" s="183" t="str">
        <f>IF(ISBLANK('ALL Other SINs - Proposal'!D1002)," ",'ALL Other SINs - Proposal'!D1002)</f>
        <v xml:space="preserve"> </v>
      </c>
      <c r="E1002" s="74" t="str">
        <f>IF(ISBLANK('ALL Other SINs - Proposal'!R1002)," ",'ALL Other SINs - Proposal'!R1002)</f>
        <v xml:space="preserve"> </v>
      </c>
      <c r="F1002" s="75" t="str">
        <f>IF(ISBLANK('ALL Other SINs - Proposal'!S1002)," ",'ALL Other SINs - Proposal'!S1002)</f>
        <v xml:space="preserve"> </v>
      </c>
      <c r="G1002" s="174" t="str">
        <f>IF(ISBLANK('ALL Other SINs - Proposal'!T1002)," ",'ALL Other SINs - Proposal'!T1002)</f>
        <v xml:space="preserve"> </v>
      </c>
      <c r="H1002" s="276" t="str">
        <f>IF(ISBLANK('ALL Other SINs - Proposal'!V1002)," ",'ALL Other SINs - Proposal'!V1002)</f>
        <v xml:space="preserve"> </v>
      </c>
      <c r="I1002" s="272" t="str">
        <f>IF(ISBLANK('ALL Other SINs - Proposal'!W1002)," ",'ALL Other SINs - Proposal'!W1002)</f>
        <v xml:space="preserve"> </v>
      </c>
      <c r="J1002" s="76" t="str">
        <f>IF(ISBLANK('ALL Other SINs - Proposal'!X1002)," ",'ALL Other SINs - Proposal'!X1002)</f>
        <v xml:space="preserve"> </v>
      </c>
      <c r="K1002" s="166" t="str">
        <f>IF(ISBLANK('ALL Other SINs - Proposal'!AA1002)," ",'ALL Other SINs - Proposal'!AA1002)</f>
        <v xml:space="preserve"> </v>
      </c>
      <c r="L1002" s="179" t="str">
        <f>IF(ISBLANK('ALL Other SINs - Proposal'!AB1002)," ",'ALL Other SINs - Proposal'!AB1002)</f>
        <v xml:space="preserve"> </v>
      </c>
      <c r="M1002" s="77" t="str">
        <f t="shared" si="30"/>
        <v xml:space="preserve"> </v>
      </c>
      <c r="N1002" s="168" t="str">
        <f t="shared" si="31"/>
        <v xml:space="preserve"> </v>
      </c>
    </row>
  </sheetData>
  <sheetProtection algorithmName="SHA-512" hashValue="hcJfqCvIZUvR8xTOZEmH+ab9K5T4znqodXVp8+OouMhIjsQ/D3ZAxHQkdpzXHTqxeaFTMCbrO/jv2hlqIezA4A==" saltValue="YidBFyIy4Xyq0HlET/iQIQ==" spinCount="100000" sheet="1" objects="1" scenarios="1" formatCells="0" formatColumns="0" formatRows="0" insertHyperlinks="0" sort="0" autoFilter="0" pivotTables="0"/>
  <conditionalFormatting sqref="M3:M1002">
    <cfRule type="cellIs" dxfId="1" priority="5" stopIfTrue="1" operator="equal">
      <formula>"NO"</formula>
    </cfRule>
  </conditionalFormatting>
  <pageMargins left="0.45" right="0.2" top="0.75" bottom="0.75" header="0.3" footer="0.3"/>
  <pageSetup scale="92" orientation="landscape" r:id="rId1"/>
  <headerFooter>
    <oddFooter>&amp;C&amp;"Calibri,Bold"65 I B  -  Price Analysis&amp;R&amp;"Calibri,Regular"Page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002"/>
  <sheetViews>
    <sheetView zoomScaleNormal="100" workbookViewId="0">
      <pane ySplit="2" topLeftCell="A3" activePane="bottomLeft" state="frozen"/>
      <selection pane="bottomLeft" activeCell="S3" sqref="S3"/>
    </sheetView>
  </sheetViews>
  <sheetFormatPr defaultColWidth="9.140625" defaultRowHeight="12.75" x14ac:dyDescent="0.2"/>
  <cols>
    <col min="1" max="1" width="6.85546875" style="115" customWidth="1"/>
    <col min="2" max="2" width="12.5703125" style="115" customWidth="1"/>
    <col min="3" max="3" width="6.42578125" style="115" customWidth="1"/>
    <col min="4" max="4" width="6" style="115" customWidth="1"/>
    <col min="5" max="5" width="8.85546875" style="115" customWidth="1"/>
    <col min="6" max="6" width="24.85546875" style="170" customWidth="1"/>
    <col min="7" max="7" width="30.85546875" style="42" customWidth="1"/>
    <col min="8" max="8" width="5.85546875" style="123" customWidth="1"/>
    <col min="9" max="9" width="5" style="123" customWidth="1"/>
    <col min="10" max="10" width="6.85546875" style="123" customWidth="1"/>
    <col min="11" max="11" width="5.7109375" style="123" customWidth="1"/>
    <col min="12" max="12" width="6.85546875" style="123" customWidth="1"/>
    <col min="13" max="13" width="6" style="205" customWidth="1"/>
    <col min="14" max="14" width="16.85546875" style="253" customWidth="1"/>
    <col min="15" max="15" width="7.85546875" style="199" customWidth="1"/>
    <col min="16" max="16" width="10.28515625" style="43" customWidth="1"/>
    <col min="17" max="17" width="14.85546875" style="98" hidden="1" customWidth="1"/>
    <col min="18" max="18" width="10.85546875" style="99" customWidth="1"/>
    <col min="19" max="19" width="9.5703125" style="44" customWidth="1"/>
    <col min="20" max="16384" width="9.140625" style="45"/>
  </cols>
  <sheetData>
    <row r="1" spans="1:21" ht="13.5" thickBot="1" x14ac:dyDescent="0.25">
      <c r="M1" s="208"/>
      <c r="N1" s="250"/>
      <c r="O1" s="203"/>
      <c r="Q1" s="97"/>
    </row>
    <row r="2" spans="1:21" ht="39.75" thickTop="1" thickBot="1" x14ac:dyDescent="0.25">
      <c r="A2" s="46" t="s">
        <v>0</v>
      </c>
      <c r="B2" s="47" t="s">
        <v>634</v>
      </c>
      <c r="C2" s="120" t="s">
        <v>564</v>
      </c>
      <c r="D2" s="47" t="s">
        <v>563</v>
      </c>
      <c r="E2" s="47" t="s">
        <v>633</v>
      </c>
      <c r="F2" s="47" t="s">
        <v>575</v>
      </c>
      <c r="G2" s="48" t="s">
        <v>635</v>
      </c>
      <c r="H2" s="47" t="s">
        <v>638</v>
      </c>
      <c r="I2" s="47" t="s">
        <v>569</v>
      </c>
      <c r="J2" s="47" t="s">
        <v>639</v>
      </c>
      <c r="K2" s="47" t="s">
        <v>571</v>
      </c>
      <c r="L2" s="47" t="s">
        <v>640</v>
      </c>
      <c r="M2" s="124" t="s">
        <v>641</v>
      </c>
      <c r="N2" s="204" t="s">
        <v>652</v>
      </c>
      <c r="O2" s="200" t="s">
        <v>25</v>
      </c>
      <c r="P2" s="49" t="s">
        <v>636</v>
      </c>
      <c r="Q2" s="189" t="s">
        <v>561</v>
      </c>
      <c r="R2" s="94" t="s">
        <v>637</v>
      </c>
      <c r="S2" s="50" t="s">
        <v>27</v>
      </c>
    </row>
    <row r="3" spans="1:21" ht="20.100000000000001" customHeight="1" thickTop="1" x14ac:dyDescent="0.2">
      <c r="A3" s="127">
        <f>'ALL Other SINs - Proposal'!A3</f>
        <v>0</v>
      </c>
      <c r="B3" s="121">
        <f>'ALL Other SINs - Proposal'!B3</f>
        <v>0</v>
      </c>
      <c r="C3" s="121">
        <f>'ALL Other SINs - Proposal'!C3</f>
        <v>0</v>
      </c>
      <c r="D3" s="121">
        <f>'ALL Other SINs - Proposal'!D3</f>
        <v>0</v>
      </c>
      <c r="E3" s="121">
        <f>'ALL Other SINs - Proposal'!E3</f>
        <v>0</v>
      </c>
      <c r="F3" s="171">
        <f>'ALL Other SINs - Proposal'!F3</f>
        <v>0</v>
      </c>
      <c r="G3" s="51">
        <f>'ALL Other SINs - Proposal'!G3</f>
        <v>0</v>
      </c>
      <c r="H3" s="125">
        <f>'ALL Other SINs - Proposal'!H3</f>
        <v>0</v>
      </c>
      <c r="I3" s="125">
        <f>'ALL Other SINs - Proposal'!I3</f>
        <v>0</v>
      </c>
      <c r="J3" s="125">
        <f>'ALL Other SINs - Proposal'!J3</f>
        <v>0</v>
      </c>
      <c r="K3" s="125">
        <f>'ALL Other SINs - Proposal'!K3</f>
        <v>0</v>
      </c>
      <c r="L3" s="125">
        <f>'ALL Other SINs - Proposal'!L3</f>
        <v>0</v>
      </c>
      <c r="M3" s="206">
        <f>'ALL Other SINs - Proposal'!M3</f>
        <v>0</v>
      </c>
      <c r="N3" s="251">
        <f>'ALL Other SINs - Proposal'!V3</f>
        <v>0</v>
      </c>
      <c r="O3" s="201" t="str">
        <f>'Price Analysis'!N3</f>
        <v xml:space="preserve"> </v>
      </c>
      <c r="P3" s="53" t="str">
        <f>IF(ISBLANK('ALL Other SINs - Proposal'!AA3)," ",'ALL Other SINs - Proposal'!AA3)</f>
        <v xml:space="preserve"> </v>
      </c>
      <c r="Q3" s="95" t="str">
        <f>'ALL Other SINs - Proposal'!AC3</f>
        <v xml:space="preserve"> </v>
      </c>
      <c r="R3" s="100" t="str">
        <f>IF(ISBLANK('ALL Other SINs - Proposal'!AA3)," ",ROUND(Q3,2))</f>
        <v xml:space="preserve"> </v>
      </c>
      <c r="S3" s="52" t="s">
        <v>646</v>
      </c>
      <c r="T3" s="96"/>
    </row>
    <row r="4" spans="1:21" ht="20.100000000000001" customHeight="1" x14ac:dyDescent="0.2">
      <c r="A4" s="127">
        <f>'ALL Other SINs - Proposal'!A4</f>
        <v>0</v>
      </c>
      <c r="B4" s="121">
        <f>'ALL Other SINs - Proposal'!B4</f>
        <v>0</v>
      </c>
      <c r="C4" s="121">
        <f>'ALL Other SINs - Proposal'!C4</f>
        <v>0</v>
      </c>
      <c r="D4" s="121">
        <f>'ALL Other SINs - Proposal'!D4</f>
        <v>0</v>
      </c>
      <c r="E4" s="121">
        <f>'ALL Other SINs - Proposal'!E4</f>
        <v>0</v>
      </c>
      <c r="F4" s="171">
        <f>'ALL Other SINs - Proposal'!F4</f>
        <v>0</v>
      </c>
      <c r="G4" s="51">
        <f>'ALL Other SINs - Proposal'!G4</f>
        <v>0</v>
      </c>
      <c r="H4" s="125">
        <f>'ALL Other SINs - Proposal'!H4</f>
        <v>0</v>
      </c>
      <c r="I4" s="125">
        <f>'ALL Other SINs - Proposal'!I4</f>
        <v>0</v>
      </c>
      <c r="J4" s="125">
        <f>'ALL Other SINs - Proposal'!J4</f>
        <v>0</v>
      </c>
      <c r="K4" s="125">
        <f>'ALL Other SINs - Proposal'!K4</f>
        <v>0</v>
      </c>
      <c r="L4" s="125">
        <f>'ALL Other SINs - Proposal'!L4</f>
        <v>0</v>
      </c>
      <c r="M4" s="206">
        <f>'ALL Other SINs - Proposal'!M4</f>
        <v>0</v>
      </c>
      <c r="N4" s="251">
        <f>'ALL Other SINs - Proposal'!V4</f>
        <v>0</v>
      </c>
      <c r="O4" s="201" t="str">
        <f>'Price Analysis'!N4</f>
        <v xml:space="preserve"> </v>
      </c>
      <c r="P4" s="53" t="str">
        <f>IF(ISBLANK('ALL Other SINs - Proposal'!AA4)," ",'ALL Other SINs - Proposal'!AA4)</f>
        <v xml:space="preserve"> </v>
      </c>
      <c r="Q4" s="95" t="str">
        <f>'ALL Other SINs - Proposal'!AC4</f>
        <v xml:space="preserve"> </v>
      </c>
      <c r="R4" s="100" t="str">
        <f>IF(ISBLANK('ALL Other SINs - Proposal'!AA4)," ",ROUND(Q4,2))</f>
        <v xml:space="preserve"> </v>
      </c>
      <c r="S4" s="54"/>
    </row>
    <row r="5" spans="1:21" ht="20.100000000000001" customHeight="1" x14ac:dyDescent="0.2">
      <c r="A5" s="127">
        <f>'ALL Other SINs - Proposal'!A5</f>
        <v>0</v>
      </c>
      <c r="B5" s="121">
        <f>'ALL Other SINs - Proposal'!B5</f>
        <v>0</v>
      </c>
      <c r="C5" s="121">
        <f>'ALL Other SINs - Proposal'!C5</f>
        <v>0</v>
      </c>
      <c r="D5" s="121">
        <f>'ALL Other SINs - Proposal'!D5</f>
        <v>0</v>
      </c>
      <c r="E5" s="121">
        <f>'ALL Other SINs - Proposal'!E5</f>
        <v>0</v>
      </c>
      <c r="F5" s="171">
        <f>'ALL Other SINs - Proposal'!F5</f>
        <v>0</v>
      </c>
      <c r="G5" s="51">
        <f>'ALL Other SINs - Proposal'!G5</f>
        <v>0</v>
      </c>
      <c r="H5" s="125">
        <f>'ALL Other SINs - Proposal'!H5</f>
        <v>0</v>
      </c>
      <c r="I5" s="125">
        <f>'ALL Other SINs - Proposal'!I5</f>
        <v>0</v>
      </c>
      <c r="J5" s="125">
        <f>'ALL Other SINs - Proposal'!J5</f>
        <v>0</v>
      </c>
      <c r="K5" s="125">
        <f>'ALL Other SINs - Proposal'!K5</f>
        <v>0</v>
      </c>
      <c r="L5" s="125">
        <f>'ALL Other SINs - Proposal'!L5</f>
        <v>0</v>
      </c>
      <c r="M5" s="206">
        <f>'ALL Other SINs - Proposal'!M5</f>
        <v>0</v>
      </c>
      <c r="N5" s="251">
        <f>'ALL Other SINs - Proposal'!V5</f>
        <v>0</v>
      </c>
      <c r="O5" s="201" t="str">
        <f>'Price Analysis'!N5</f>
        <v xml:space="preserve"> </v>
      </c>
      <c r="P5" s="53" t="str">
        <f>IF(ISBLANK('ALL Other SINs - Proposal'!AA5)," ",'ALL Other SINs - Proposal'!AA5)</f>
        <v xml:space="preserve"> </v>
      </c>
      <c r="Q5" s="95" t="str">
        <f>'ALL Other SINs - Proposal'!AC5</f>
        <v xml:space="preserve"> </v>
      </c>
      <c r="R5" s="100" t="str">
        <f>IF(ISBLANK('ALL Other SINs - Proposal'!AA5)," ",ROUND(Q5,2))</f>
        <v xml:space="preserve"> </v>
      </c>
      <c r="S5" s="54"/>
      <c r="U5" s="105"/>
    </row>
    <row r="6" spans="1:21" ht="20.100000000000001" customHeight="1" x14ac:dyDescent="0.2">
      <c r="A6" s="127">
        <f>'ALL Other SINs - Proposal'!A6</f>
        <v>0</v>
      </c>
      <c r="B6" s="121">
        <f>'ALL Other SINs - Proposal'!B6</f>
        <v>0</v>
      </c>
      <c r="C6" s="121">
        <f>'ALL Other SINs - Proposal'!C6</f>
        <v>0</v>
      </c>
      <c r="D6" s="121">
        <f>'ALL Other SINs - Proposal'!D6</f>
        <v>0</v>
      </c>
      <c r="E6" s="121">
        <f>'ALL Other SINs - Proposal'!E6</f>
        <v>0</v>
      </c>
      <c r="F6" s="171">
        <f>'ALL Other SINs - Proposal'!F6</f>
        <v>0</v>
      </c>
      <c r="G6" s="51">
        <f>'ALL Other SINs - Proposal'!G6</f>
        <v>0</v>
      </c>
      <c r="H6" s="125">
        <f>'ALL Other SINs - Proposal'!H6</f>
        <v>0</v>
      </c>
      <c r="I6" s="125">
        <f>'ALL Other SINs - Proposal'!I6</f>
        <v>0</v>
      </c>
      <c r="J6" s="125">
        <f>'ALL Other SINs - Proposal'!J6</f>
        <v>0</v>
      </c>
      <c r="K6" s="125">
        <f>'ALL Other SINs - Proposal'!K6</f>
        <v>0</v>
      </c>
      <c r="L6" s="125">
        <f>'ALL Other SINs - Proposal'!L6</f>
        <v>0</v>
      </c>
      <c r="M6" s="206">
        <f>'ALL Other SINs - Proposal'!M6</f>
        <v>0</v>
      </c>
      <c r="N6" s="251">
        <f>'ALL Other SINs - Proposal'!V6</f>
        <v>0</v>
      </c>
      <c r="O6" s="201" t="str">
        <f>'Price Analysis'!N6</f>
        <v xml:space="preserve"> </v>
      </c>
      <c r="P6" s="53" t="str">
        <f>IF(ISBLANK('ALL Other SINs - Proposal'!AA6)," ",'ALL Other SINs - Proposal'!AA6)</f>
        <v xml:space="preserve"> </v>
      </c>
      <c r="Q6" s="95" t="str">
        <f>'ALL Other SINs - Proposal'!AC6</f>
        <v xml:space="preserve"> </v>
      </c>
      <c r="R6" s="100" t="str">
        <f>IF(ISBLANK('ALL Other SINs - Proposal'!AA6)," ",ROUND(Q6,2))</f>
        <v xml:space="preserve"> </v>
      </c>
      <c r="S6" s="54"/>
    </row>
    <row r="7" spans="1:21" ht="20.100000000000001" customHeight="1" x14ac:dyDescent="0.2">
      <c r="A7" s="127">
        <f>'ALL Other SINs - Proposal'!A7</f>
        <v>0</v>
      </c>
      <c r="B7" s="121">
        <f>'ALL Other SINs - Proposal'!B7</f>
        <v>0</v>
      </c>
      <c r="C7" s="121">
        <f>'ALL Other SINs - Proposal'!C7</f>
        <v>0</v>
      </c>
      <c r="D7" s="121">
        <f>'ALL Other SINs - Proposal'!D7</f>
        <v>0</v>
      </c>
      <c r="E7" s="121">
        <f>'ALL Other SINs - Proposal'!E7</f>
        <v>0</v>
      </c>
      <c r="F7" s="171">
        <f>'ALL Other SINs - Proposal'!F7</f>
        <v>0</v>
      </c>
      <c r="G7" s="51">
        <f>'ALL Other SINs - Proposal'!G7</f>
        <v>0</v>
      </c>
      <c r="H7" s="125">
        <f>'ALL Other SINs - Proposal'!H7</f>
        <v>0</v>
      </c>
      <c r="I7" s="125">
        <f>'ALL Other SINs - Proposal'!I7</f>
        <v>0</v>
      </c>
      <c r="J7" s="125">
        <f>'ALL Other SINs - Proposal'!J7</f>
        <v>0</v>
      </c>
      <c r="K7" s="125">
        <f>'ALL Other SINs - Proposal'!K7</f>
        <v>0</v>
      </c>
      <c r="L7" s="125">
        <f>'ALL Other SINs - Proposal'!L7</f>
        <v>0</v>
      </c>
      <c r="M7" s="206">
        <f>'ALL Other SINs - Proposal'!M7</f>
        <v>0</v>
      </c>
      <c r="N7" s="251">
        <f>'ALL Other SINs - Proposal'!V7</f>
        <v>0</v>
      </c>
      <c r="O7" s="201" t="str">
        <f>'Price Analysis'!N7</f>
        <v xml:space="preserve"> </v>
      </c>
      <c r="P7" s="53" t="str">
        <f>IF(ISBLANK('ALL Other SINs - Proposal'!AA7)," ",'ALL Other SINs - Proposal'!AA7)</f>
        <v xml:space="preserve"> </v>
      </c>
      <c r="Q7" s="95" t="str">
        <f>'ALL Other SINs - Proposal'!AC7</f>
        <v xml:space="preserve"> </v>
      </c>
      <c r="R7" s="100" t="str">
        <f>IF(ISBLANK('ALL Other SINs - Proposal'!AA7)," ",ROUND(Q7,2))</f>
        <v xml:space="preserve"> </v>
      </c>
      <c r="S7" s="54"/>
    </row>
    <row r="8" spans="1:21" ht="20.100000000000001" customHeight="1" x14ac:dyDescent="0.2">
      <c r="A8" s="127">
        <f>'ALL Other SINs - Proposal'!A8</f>
        <v>0</v>
      </c>
      <c r="B8" s="121">
        <f>'ALL Other SINs - Proposal'!B8</f>
        <v>0</v>
      </c>
      <c r="C8" s="121">
        <f>'ALL Other SINs - Proposal'!C8</f>
        <v>0</v>
      </c>
      <c r="D8" s="121">
        <f>'ALL Other SINs - Proposal'!D8</f>
        <v>0</v>
      </c>
      <c r="E8" s="121">
        <f>'ALL Other SINs - Proposal'!E8</f>
        <v>0</v>
      </c>
      <c r="F8" s="171">
        <f>'ALL Other SINs - Proposal'!F8</f>
        <v>0</v>
      </c>
      <c r="G8" s="51">
        <f>'ALL Other SINs - Proposal'!G8</f>
        <v>0</v>
      </c>
      <c r="H8" s="125">
        <f>'ALL Other SINs - Proposal'!H8</f>
        <v>0</v>
      </c>
      <c r="I8" s="125">
        <f>'ALL Other SINs - Proposal'!I8</f>
        <v>0</v>
      </c>
      <c r="J8" s="125">
        <f>'ALL Other SINs - Proposal'!J8</f>
        <v>0</v>
      </c>
      <c r="K8" s="125">
        <f>'ALL Other SINs - Proposal'!K8</f>
        <v>0</v>
      </c>
      <c r="L8" s="125">
        <f>'ALL Other SINs - Proposal'!L8</f>
        <v>0</v>
      </c>
      <c r="M8" s="206">
        <f>'ALL Other SINs - Proposal'!M8</f>
        <v>0</v>
      </c>
      <c r="N8" s="251">
        <f>'ALL Other SINs - Proposal'!V8</f>
        <v>0</v>
      </c>
      <c r="O8" s="201" t="str">
        <f>'Price Analysis'!N8</f>
        <v xml:space="preserve"> </v>
      </c>
      <c r="P8" s="53" t="str">
        <f>IF(ISBLANK('ALL Other SINs - Proposal'!AA8)," ",'ALL Other SINs - Proposal'!AA8)</f>
        <v xml:space="preserve"> </v>
      </c>
      <c r="Q8" s="95" t="str">
        <f>'ALL Other SINs - Proposal'!AC8</f>
        <v xml:space="preserve"> </v>
      </c>
      <c r="R8" s="100" t="str">
        <f>IF(ISBLANK('ALL Other SINs - Proposal'!AA8)," ",ROUND(Q8,2))</f>
        <v xml:space="preserve"> </v>
      </c>
      <c r="S8" s="54"/>
    </row>
    <row r="9" spans="1:21" ht="20.100000000000001" customHeight="1" x14ac:dyDescent="0.2">
      <c r="A9" s="127">
        <f>'ALL Other SINs - Proposal'!A9</f>
        <v>0</v>
      </c>
      <c r="B9" s="121">
        <f>'ALL Other SINs - Proposal'!B9</f>
        <v>0</v>
      </c>
      <c r="C9" s="121">
        <f>'ALL Other SINs - Proposal'!C9</f>
        <v>0</v>
      </c>
      <c r="D9" s="121">
        <f>'ALL Other SINs - Proposal'!D9</f>
        <v>0</v>
      </c>
      <c r="E9" s="121">
        <f>'ALL Other SINs - Proposal'!E9</f>
        <v>0</v>
      </c>
      <c r="F9" s="171">
        <f>'ALL Other SINs - Proposal'!F9</f>
        <v>0</v>
      </c>
      <c r="G9" s="51">
        <f>'ALL Other SINs - Proposal'!G9</f>
        <v>0</v>
      </c>
      <c r="H9" s="125">
        <f>'ALL Other SINs - Proposal'!H9</f>
        <v>0</v>
      </c>
      <c r="I9" s="125">
        <f>'ALL Other SINs - Proposal'!I9</f>
        <v>0</v>
      </c>
      <c r="J9" s="125">
        <f>'ALL Other SINs - Proposal'!J9</f>
        <v>0</v>
      </c>
      <c r="K9" s="125">
        <f>'ALL Other SINs - Proposal'!K9</f>
        <v>0</v>
      </c>
      <c r="L9" s="125">
        <f>'ALL Other SINs - Proposal'!L9</f>
        <v>0</v>
      </c>
      <c r="M9" s="206">
        <f>'ALL Other SINs - Proposal'!M9</f>
        <v>0</v>
      </c>
      <c r="N9" s="251">
        <f>'ALL Other SINs - Proposal'!V9</f>
        <v>0</v>
      </c>
      <c r="O9" s="201" t="str">
        <f>'Price Analysis'!N9</f>
        <v xml:space="preserve"> </v>
      </c>
      <c r="P9" s="53" t="str">
        <f>IF(ISBLANK('ALL Other SINs - Proposal'!AA9)," ",'ALL Other SINs - Proposal'!AA9)</f>
        <v xml:space="preserve"> </v>
      </c>
      <c r="Q9" s="95" t="str">
        <f>'ALL Other SINs - Proposal'!AC9</f>
        <v xml:space="preserve"> </v>
      </c>
      <c r="R9" s="100" t="str">
        <f>IF(ISBLANK('ALL Other SINs - Proposal'!AA9)," ",ROUND(Q9,2))</f>
        <v xml:space="preserve"> </v>
      </c>
      <c r="S9" s="54"/>
    </row>
    <row r="10" spans="1:21" ht="20.100000000000001" customHeight="1" x14ac:dyDescent="0.2">
      <c r="A10" s="127">
        <f>'ALL Other SINs - Proposal'!A10</f>
        <v>0</v>
      </c>
      <c r="B10" s="121">
        <f>'ALL Other SINs - Proposal'!B10</f>
        <v>0</v>
      </c>
      <c r="C10" s="121">
        <f>'ALL Other SINs - Proposal'!C10</f>
        <v>0</v>
      </c>
      <c r="D10" s="121">
        <f>'ALL Other SINs - Proposal'!D10</f>
        <v>0</v>
      </c>
      <c r="E10" s="121">
        <f>'ALL Other SINs - Proposal'!E10</f>
        <v>0</v>
      </c>
      <c r="F10" s="171">
        <f>'ALL Other SINs - Proposal'!F10</f>
        <v>0</v>
      </c>
      <c r="G10" s="51">
        <f>'ALL Other SINs - Proposal'!G10</f>
        <v>0</v>
      </c>
      <c r="H10" s="125">
        <f>'ALL Other SINs - Proposal'!H10</f>
        <v>0</v>
      </c>
      <c r="I10" s="125">
        <f>'ALL Other SINs - Proposal'!I10</f>
        <v>0</v>
      </c>
      <c r="J10" s="125">
        <f>'ALL Other SINs - Proposal'!J10</f>
        <v>0</v>
      </c>
      <c r="K10" s="125">
        <f>'ALL Other SINs - Proposal'!K10</f>
        <v>0</v>
      </c>
      <c r="L10" s="125">
        <f>'ALL Other SINs - Proposal'!L10</f>
        <v>0</v>
      </c>
      <c r="M10" s="206">
        <f>'ALL Other SINs - Proposal'!M10</f>
        <v>0</v>
      </c>
      <c r="N10" s="251">
        <f>'ALL Other SINs - Proposal'!V10</f>
        <v>0</v>
      </c>
      <c r="O10" s="201" t="str">
        <f>'Price Analysis'!N10</f>
        <v xml:space="preserve"> </v>
      </c>
      <c r="P10" s="53" t="str">
        <f>IF(ISBLANK('ALL Other SINs - Proposal'!AA10)," ",'ALL Other SINs - Proposal'!AA10)</f>
        <v xml:space="preserve"> </v>
      </c>
      <c r="Q10" s="95" t="str">
        <f>'ALL Other SINs - Proposal'!AC10</f>
        <v xml:space="preserve"> </v>
      </c>
      <c r="R10" s="100" t="str">
        <f>IF(ISBLANK('ALL Other SINs - Proposal'!AA10)," ",ROUND(Q10,2))</f>
        <v xml:space="preserve"> </v>
      </c>
      <c r="S10" s="54"/>
    </row>
    <row r="11" spans="1:21" ht="20.100000000000001" customHeight="1" x14ac:dyDescent="0.2">
      <c r="A11" s="127">
        <f>'ALL Other SINs - Proposal'!A11</f>
        <v>0</v>
      </c>
      <c r="B11" s="121">
        <f>'ALL Other SINs - Proposal'!B11</f>
        <v>0</v>
      </c>
      <c r="C11" s="121">
        <f>'ALL Other SINs - Proposal'!C11</f>
        <v>0</v>
      </c>
      <c r="D11" s="121">
        <f>'ALL Other SINs - Proposal'!D11</f>
        <v>0</v>
      </c>
      <c r="E11" s="121">
        <f>'ALL Other SINs - Proposal'!E11</f>
        <v>0</v>
      </c>
      <c r="F11" s="171">
        <f>'ALL Other SINs - Proposal'!F11</f>
        <v>0</v>
      </c>
      <c r="G11" s="51">
        <f>'ALL Other SINs - Proposal'!G11</f>
        <v>0</v>
      </c>
      <c r="H11" s="125">
        <f>'ALL Other SINs - Proposal'!H11</f>
        <v>0</v>
      </c>
      <c r="I11" s="125">
        <f>'ALL Other SINs - Proposal'!I11</f>
        <v>0</v>
      </c>
      <c r="J11" s="125">
        <f>'ALL Other SINs - Proposal'!J11</f>
        <v>0</v>
      </c>
      <c r="K11" s="125">
        <f>'ALL Other SINs - Proposal'!K11</f>
        <v>0</v>
      </c>
      <c r="L11" s="125">
        <f>'ALL Other SINs - Proposal'!L11</f>
        <v>0</v>
      </c>
      <c r="M11" s="206">
        <f>'ALL Other SINs - Proposal'!M11</f>
        <v>0</v>
      </c>
      <c r="N11" s="251">
        <f>'ALL Other SINs - Proposal'!V11</f>
        <v>0</v>
      </c>
      <c r="O11" s="201" t="str">
        <f>'Price Analysis'!N11</f>
        <v xml:space="preserve"> </v>
      </c>
      <c r="P11" s="53" t="str">
        <f>IF(ISBLANK('ALL Other SINs - Proposal'!AA11)," ",'ALL Other SINs - Proposal'!AA11)</f>
        <v xml:space="preserve"> </v>
      </c>
      <c r="Q11" s="95" t="str">
        <f>'ALL Other SINs - Proposal'!AC11</f>
        <v xml:space="preserve"> </v>
      </c>
      <c r="R11" s="100" t="str">
        <f>IF(ISBLANK('ALL Other SINs - Proposal'!AA11)," ",ROUND(Q11,2))</f>
        <v xml:space="preserve"> </v>
      </c>
      <c r="S11" s="54"/>
    </row>
    <row r="12" spans="1:21" ht="20.100000000000001" customHeight="1" x14ac:dyDescent="0.2">
      <c r="A12" s="127">
        <f>'ALL Other SINs - Proposal'!A12</f>
        <v>0</v>
      </c>
      <c r="B12" s="121">
        <f>'ALL Other SINs - Proposal'!B12</f>
        <v>0</v>
      </c>
      <c r="C12" s="121">
        <f>'ALL Other SINs - Proposal'!C12</f>
        <v>0</v>
      </c>
      <c r="D12" s="121">
        <f>'ALL Other SINs - Proposal'!D12</f>
        <v>0</v>
      </c>
      <c r="E12" s="121">
        <f>'ALL Other SINs - Proposal'!E12</f>
        <v>0</v>
      </c>
      <c r="F12" s="171">
        <f>'ALL Other SINs - Proposal'!F12</f>
        <v>0</v>
      </c>
      <c r="G12" s="51">
        <f>'ALL Other SINs - Proposal'!G12</f>
        <v>0</v>
      </c>
      <c r="H12" s="125">
        <f>'ALL Other SINs - Proposal'!H12</f>
        <v>0</v>
      </c>
      <c r="I12" s="125">
        <f>'ALL Other SINs - Proposal'!I12</f>
        <v>0</v>
      </c>
      <c r="J12" s="125">
        <f>'ALL Other SINs - Proposal'!J12</f>
        <v>0</v>
      </c>
      <c r="K12" s="125">
        <f>'ALL Other SINs - Proposal'!K12</f>
        <v>0</v>
      </c>
      <c r="L12" s="125">
        <f>'ALL Other SINs - Proposal'!L12</f>
        <v>0</v>
      </c>
      <c r="M12" s="206">
        <f>'ALL Other SINs - Proposal'!M12</f>
        <v>0</v>
      </c>
      <c r="N12" s="251">
        <f>'ALL Other SINs - Proposal'!V12</f>
        <v>0</v>
      </c>
      <c r="O12" s="201" t="str">
        <f>'Price Analysis'!N12</f>
        <v xml:space="preserve"> </v>
      </c>
      <c r="P12" s="53" t="str">
        <f>IF(ISBLANK('ALL Other SINs - Proposal'!AA12)," ",'ALL Other SINs - Proposal'!AA12)</f>
        <v xml:space="preserve"> </v>
      </c>
      <c r="Q12" s="95" t="str">
        <f>'ALL Other SINs - Proposal'!AC12</f>
        <v xml:space="preserve"> </v>
      </c>
      <c r="R12" s="100" t="str">
        <f>IF(ISBLANK('ALL Other SINs - Proposal'!AA12)," ",ROUND(Q12,2))</f>
        <v xml:space="preserve"> </v>
      </c>
      <c r="S12" s="54"/>
    </row>
    <row r="13" spans="1:21" ht="20.100000000000001" customHeight="1" x14ac:dyDescent="0.2">
      <c r="A13" s="127">
        <f>'ALL Other SINs - Proposal'!A13</f>
        <v>0</v>
      </c>
      <c r="B13" s="121">
        <f>'ALL Other SINs - Proposal'!B13</f>
        <v>0</v>
      </c>
      <c r="C13" s="121">
        <f>'ALL Other SINs - Proposal'!C13</f>
        <v>0</v>
      </c>
      <c r="D13" s="121">
        <f>'ALL Other SINs - Proposal'!D13</f>
        <v>0</v>
      </c>
      <c r="E13" s="121">
        <f>'ALL Other SINs - Proposal'!E13</f>
        <v>0</v>
      </c>
      <c r="F13" s="171">
        <f>'ALL Other SINs - Proposal'!F13</f>
        <v>0</v>
      </c>
      <c r="G13" s="51">
        <f>'ALL Other SINs - Proposal'!G13</f>
        <v>0</v>
      </c>
      <c r="H13" s="125">
        <f>'ALL Other SINs - Proposal'!H13</f>
        <v>0</v>
      </c>
      <c r="I13" s="125">
        <f>'ALL Other SINs - Proposal'!I13</f>
        <v>0</v>
      </c>
      <c r="J13" s="125">
        <f>'ALL Other SINs - Proposal'!J13</f>
        <v>0</v>
      </c>
      <c r="K13" s="125">
        <f>'ALL Other SINs - Proposal'!K13</f>
        <v>0</v>
      </c>
      <c r="L13" s="125">
        <f>'ALL Other SINs - Proposal'!L13</f>
        <v>0</v>
      </c>
      <c r="M13" s="206">
        <f>'ALL Other SINs - Proposal'!M13</f>
        <v>0</v>
      </c>
      <c r="N13" s="251">
        <f>'ALL Other SINs - Proposal'!V13</f>
        <v>0</v>
      </c>
      <c r="O13" s="201" t="str">
        <f>'Price Analysis'!N13</f>
        <v xml:space="preserve"> </v>
      </c>
      <c r="P13" s="53" t="str">
        <f>IF(ISBLANK('ALL Other SINs - Proposal'!AA13)," ",'ALL Other SINs - Proposal'!AA13)</f>
        <v xml:space="preserve"> </v>
      </c>
      <c r="Q13" s="95" t="str">
        <f>'ALL Other SINs - Proposal'!AC13</f>
        <v xml:space="preserve"> </v>
      </c>
      <c r="R13" s="100" t="str">
        <f>IF(ISBLANK('ALL Other SINs - Proposal'!AA13)," ",ROUND(Q13,2))</f>
        <v xml:space="preserve"> </v>
      </c>
      <c r="S13" s="54"/>
    </row>
    <row r="14" spans="1:21" ht="20.100000000000001" customHeight="1" x14ac:dyDescent="0.2">
      <c r="A14" s="127">
        <f>'ALL Other SINs - Proposal'!A14</f>
        <v>0</v>
      </c>
      <c r="B14" s="121">
        <f>'ALL Other SINs - Proposal'!B14</f>
        <v>0</v>
      </c>
      <c r="C14" s="121">
        <f>'ALL Other SINs - Proposal'!C14</f>
        <v>0</v>
      </c>
      <c r="D14" s="121">
        <f>'ALL Other SINs - Proposal'!D14</f>
        <v>0</v>
      </c>
      <c r="E14" s="121">
        <f>'ALL Other SINs - Proposal'!E14</f>
        <v>0</v>
      </c>
      <c r="F14" s="171">
        <f>'ALL Other SINs - Proposal'!F14</f>
        <v>0</v>
      </c>
      <c r="G14" s="51">
        <f>'ALL Other SINs - Proposal'!G14</f>
        <v>0</v>
      </c>
      <c r="H14" s="125">
        <f>'ALL Other SINs - Proposal'!H14</f>
        <v>0</v>
      </c>
      <c r="I14" s="125">
        <f>'ALL Other SINs - Proposal'!I14</f>
        <v>0</v>
      </c>
      <c r="J14" s="125">
        <f>'ALL Other SINs - Proposal'!J14</f>
        <v>0</v>
      </c>
      <c r="K14" s="125">
        <f>'ALL Other SINs - Proposal'!K14</f>
        <v>0</v>
      </c>
      <c r="L14" s="125">
        <f>'ALL Other SINs - Proposal'!L14</f>
        <v>0</v>
      </c>
      <c r="M14" s="206">
        <f>'ALL Other SINs - Proposal'!M14</f>
        <v>0</v>
      </c>
      <c r="N14" s="251">
        <f>'ALL Other SINs - Proposal'!V14</f>
        <v>0</v>
      </c>
      <c r="O14" s="201" t="str">
        <f>'Price Analysis'!N14</f>
        <v xml:space="preserve"> </v>
      </c>
      <c r="P14" s="53" t="str">
        <f>IF(ISBLANK('ALL Other SINs - Proposal'!AA14)," ",'ALL Other SINs - Proposal'!AA14)</f>
        <v xml:space="preserve"> </v>
      </c>
      <c r="Q14" s="95" t="str">
        <f>'ALL Other SINs - Proposal'!AC14</f>
        <v xml:space="preserve"> </v>
      </c>
      <c r="R14" s="100" t="str">
        <f>IF(ISBLANK('ALL Other SINs - Proposal'!AA14)," ",ROUND(Q14,2))</f>
        <v xml:space="preserve"> </v>
      </c>
      <c r="S14" s="54"/>
    </row>
    <row r="15" spans="1:21" ht="20.100000000000001" customHeight="1" x14ac:dyDescent="0.2">
      <c r="A15" s="127">
        <f>'ALL Other SINs - Proposal'!A15</f>
        <v>0</v>
      </c>
      <c r="B15" s="121">
        <f>'ALL Other SINs - Proposal'!B15</f>
        <v>0</v>
      </c>
      <c r="C15" s="121">
        <f>'ALL Other SINs - Proposal'!C15</f>
        <v>0</v>
      </c>
      <c r="D15" s="121">
        <f>'ALL Other SINs - Proposal'!D15</f>
        <v>0</v>
      </c>
      <c r="E15" s="121">
        <f>'ALL Other SINs - Proposal'!E15</f>
        <v>0</v>
      </c>
      <c r="F15" s="171">
        <f>'ALL Other SINs - Proposal'!F15</f>
        <v>0</v>
      </c>
      <c r="G15" s="51">
        <f>'ALL Other SINs - Proposal'!G15</f>
        <v>0</v>
      </c>
      <c r="H15" s="125">
        <f>'ALL Other SINs - Proposal'!H15</f>
        <v>0</v>
      </c>
      <c r="I15" s="125">
        <f>'ALL Other SINs - Proposal'!I15</f>
        <v>0</v>
      </c>
      <c r="J15" s="125">
        <f>'ALL Other SINs - Proposal'!J15</f>
        <v>0</v>
      </c>
      <c r="K15" s="125">
        <f>'ALL Other SINs - Proposal'!K15</f>
        <v>0</v>
      </c>
      <c r="L15" s="125">
        <f>'ALL Other SINs - Proposal'!L15</f>
        <v>0</v>
      </c>
      <c r="M15" s="206">
        <f>'ALL Other SINs - Proposal'!M15</f>
        <v>0</v>
      </c>
      <c r="N15" s="251">
        <f>'ALL Other SINs - Proposal'!V15</f>
        <v>0</v>
      </c>
      <c r="O15" s="201" t="str">
        <f>'Price Analysis'!N15</f>
        <v xml:space="preserve"> </v>
      </c>
      <c r="P15" s="53" t="str">
        <f>IF(ISBLANK('ALL Other SINs - Proposal'!AA15)," ",'ALL Other SINs - Proposal'!AA15)</f>
        <v xml:space="preserve"> </v>
      </c>
      <c r="Q15" s="95" t="str">
        <f>'ALL Other SINs - Proposal'!AC15</f>
        <v xml:space="preserve"> </v>
      </c>
      <c r="R15" s="100" t="str">
        <f>IF(ISBLANK('ALL Other SINs - Proposal'!AA15)," ",ROUND(Q15,2))</f>
        <v xml:space="preserve"> </v>
      </c>
      <c r="S15" s="54"/>
    </row>
    <row r="16" spans="1:21" ht="20.100000000000001" customHeight="1" x14ac:dyDescent="0.2">
      <c r="A16" s="127">
        <f>'ALL Other SINs - Proposal'!A16</f>
        <v>0</v>
      </c>
      <c r="B16" s="121">
        <f>'ALL Other SINs - Proposal'!B16</f>
        <v>0</v>
      </c>
      <c r="C16" s="121">
        <f>'ALL Other SINs - Proposal'!C16</f>
        <v>0</v>
      </c>
      <c r="D16" s="121">
        <f>'ALL Other SINs - Proposal'!D16</f>
        <v>0</v>
      </c>
      <c r="E16" s="121">
        <f>'ALL Other SINs - Proposal'!E16</f>
        <v>0</v>
      </c>
      <c r="F16" s="171">
        <f>'ALL Other SINs - Proposal'!F16</f>
        <v>0</v>
      </c>
      <c r="G16" s="51">
        <f>'ALL Other SINs - Proposal'!G16</f>
        <v>0</v>
      </c>
      <c r="H16" s="125">
        <f>'ALL Other SINs - Proposal'!H16</f>
        <v>0</v>
      </c>
      <c r="I16" s="125">
        <f>'ALL Other SINs - Proposal'!I16</f>
        <v>0</v>
      </c>
      <c r="J16" s="125">
        <f>'ALL Other SINs - Proposal'!J16</f>
        <v>0</v>
      </c>
      <c r="K16" s="125">
        <f>'ALL Other SINs - Proposal'!K16</f>
        <v>0</v>
      </c>
      <c r="L16" s="125">
        <f>'ALL Other SINs - Proposal'!L16</f>
        <v>0</v>
      </c>
      <c r="M16" s="206">
        <f>'ALL Other SINs - Proposal'!M16</f>
        <v>0</v>
      </c>
      <c r="N16" s="251">
        <f>'ALL Other SINs - Proposal'!V16</f>
        <v>0</v>
      </c>
      <c r="O16" s="201" t="str">
        <f>'Price Analysis'!N16</f>
        <v xml:space="preserve"> </v>
      </c>
      <c r="P16" s="53" t="str">
        <f>IF(ISBLANK('ALL Other SINs - Proposal'!AA16)," ",'ALL Other SINs - Proposal'!AA16)</f>
        <v xml:space="preserve"> </v>
      </c>
      <c r="Q16" s="95" t="str">
        <f>'ALL Other SINs - Proposal'!AC16</f>
        <v xml:space="preserve"> </v>
      </c>
      <c r="R16" s="100" t="str">
        <f>IF(ISBLANK('ALL Other SINs - Proposal'!AA16)," ",ROUND(Q16,2))</f>
        <v xml:space="preserve"> </v>
      </c>
      <c r="S16" s="54"/>
    </row>
    <row r="17" spans="1:19" ht="20.100000000000001" customHeight="1" x14ac:dyDescent="0.2">
      <c r="A17" s="127">
        <f>'ALL Other SINs - Proposal'!A17</f>
        <v>0</v>
      </c>
      <c r="B17" s="121">
        <f>'ALL Other SINs - Proposal'!B17</f>
        <v>0</v>
      </c>
      <c r="C17" s="121">
        <f>'ALL Other SINs - Proposal'!C17</f>
        <v>0</v>
      </c>
      <c r="D17" s="121">
        <f>'ALL Other SINs - Proposal'!D17</f>
        <v>0</v>
      </c>
      <c r="E17" s="121">
        <f>'ALL Other SINs - Proposal'!E17</f>
        <v>0</v>
      </c>
      <c r="F17" s="171">
        <f>'ALL Other SINs - Proposal'!F17</f>
        <v>0</v>
      </c>
      <c r="G17" s="51">
        <f>'ALL Other SINs - Proposal'!G17</f>
        <v>0</v>
      </c>
      <c r="H17" s="125">
        <f>'ALL Other SINs - Proposal'!H17</f>
        <v>0</v>
      </c>
      <c r="I17" s="125">
        <f>'ALL Other SINs - Proposal'!I17</f>
        <v>0</v>
      </c>
      <c r="J17" s="125">
        <f>'ALL Other SINs - Proposal'!J17</f>
        <v>0</v>
      </c>
      <c r="K17" s="125">
        <f>'ALL Other SINs - Proposal'!K17</f>
        <v>0</v>
      </c>
      <c r="L17" s="125">
        <f>'ALL Other SINs - Proposal'!L17</f>
        <v>0</v>
      </c>
      <c r="M17" s="206">
        <f>'ALL Other SINs - Proposal'!M17</f>
        <v>0</v>
      </c>
      <c r="N17" s="251">
        <f>'ALL Other SINs - Proposal'!V17</f>
        <v>0</v>
      </c>
      <c r="O17" s="201" t="str">
        <f>'Price Analysis'!N17</f>
        <v xml:space="preserve"> </v>
      </c>
      <c r="P17" s="53" t="str">
        <f>IF(ISBLANK('ALL Other SINs - Proposal'!AA17)," ",'ALL Other SINs - Proposal'!AA17)</f>
        <v xml:space="preserve"> </v>
      </c>
      <c r="Q17" s="95" t="str">
        <f>'ALL Other SINs - Proposal'!AC17</f>
        <v xml:space="preserve"> </v>
      </c>
      <c r="R17" s="100" t="str">
        <f>IF(ISBLANK('ALL Other SINs - Proposal'!AA17)," ",ROUND(Q17,2))</f>
        <v xml:space="preserve"> </v>
      </c>
      <c r="S17" s="54"/>
    </row>
    <row r="18" spans="1:19" ht="20.100000000000001" customHeight="1" x14ac:dyDescent="0.2">
      <c r="A18" s="127">
        <f>'ALL Other SINs - Proposal'!A18</f>
        <v>0</v>
      </c>
      <c r="B18" s="121">
        <f>'ALL Other SINs - Proposal'!B18</f>
        <v>0</v>
      </c>
      <c r="C18" s="121">
        <f>'ALL Other SINs - Proposal'!C18</f>
        <v>0</v>
      </c>
      <c r="D18" s="121">
        <f>'ALL Other SINs - Proposal'!D18</f>
        <v>0</v>
      </c>
      <c r="E18" s="121">
        <f>'ALL Other SINs - Proposal'!E18</f>
        <v>0</v>
      </c>
      <c r="F18" s="171">
        <f>'ALL Other SINs - Proposal'!F18</f>
        <v>0</v>
      </c>
      <c r="G18" s="51">
        <f>'ALL Other SINs - Proposal'!G18</f>
        <v>0</v>
      </c>
      <c r="H18" s="125">
        <f>'ALL Other SINs - Proposal'!H18</f>
        <v>0</v>
      </c>
      <c r="I18" s="125">
        <f>'ALL Other SINs - Proposal'!I18</f>
        <v>0</v>
      </c>
      <c r="J18" s="125">
        <f>'ALL Other SINs - Proposal'!J18</f>
        <v>0</v>
      </c>
      <c r="K18" s="125">
        <f>'ALL Other SINs - Proposal'!K18</f>
        <v>0</v>
      </c>
      <c r="L18" s="125">
        <f>'ALL Other SINs - Proposal'!L18</f>
        <v>0</v>
      </c>
      <c r="M18" s="206">
        <f>'ALL Other SINs - Proposal'!M18</f>
        <v>0</v>
      </c>
      <c r="N18" s="251">
        <f>'ALL Other SINs - Proposal'!V18</f>
        <v>0</v>
      </c>
      <c r="O18" s="201" t="str">
        <f>'Price Analysis'!N18</f>
        <v xml:space="preserve"> </v>
      </c>
      <c r="P18" s="53" t="str">
        <f>IF(ISBLANK('ALL Other SINs - Proposal'!AA18)," ",'ALL Other SINs - Proposal'!AA18)</f>
        <v xml:space="preserve"> </v>
      </c>
      <c r="Q18" s="95" t="str">
        <f>'ALL Other SINs - Proposal'!AC18</f>
        <v xml:space="preserve"> </v>
      </c>
      <c r="R18" s="100" t="str">
        <f>IF(ISBLANK('ALL Other SINs - Proposal'!AA18)," ",ROUND(Q18,2))</f>
        <v xml:space="preserve"> </v>
      </c>
      <c r="S18" s="54"/>
    </row>
    <row r="19" spans="1:19" ht="20.100000000000001" customHeight="1" x14ac:dyDescent="0.2">
      <c r="A19" s="127">
        <f>'ALL Other SINs - Proposal'!A19</f>
        <v>0</v>
      </c>
      <c r="B19" s="121">
        <f>'ALL Other SINs - Proposal'!B19</f>
        <v>0</v>
      </c>
      <c r="C19" s="121">
        <f>'ALL Other SINs - Proposal'!C19</f>
        <v>0</v>
      </c>
      <c r="D19" s="121">
        <f>'ALL Other SINs - Proposal'!D19</f>
        <v>0</v>
      </c>
      <c r="E19" s="121">
        <f>'ALL Other SINs - Proposal'!E19</f>
        <v>0</v>
      </c>
      <c r="F19" s="171">
        <f>'ALL Other SINs - Proposal'!F19</f>
        <v>0</v>
      </c>
      <c r="G19" s="51">
        <f>'ALL Other SINs - Proposal'!G19</f>
        <v>0</v>
      </c>
      <c r="H19" s="125">
        <f>'ALL Other SINs - Proposal'!H19</f>
        <v>0</v>
      </c>
      <c r="I19" s="125">
        <f>'ALL Other SINs - Proposal'!I19</f>
        <v>0</v>
      </c>
      <c r="J19" s="125">
        <f>'ALL Other SINs - Proposal'!J19</f>
        <v>0</v>
      </c>
      <c r="K19" s="125">
        <f>'ALL Other SINs - Proposal'!K19</f>
        <v>0</v>
      </c>
      <c r="L19" s="125">
        <f>'ALL Other SINs - Proposal'!L19</f>
        <v>0</v>
      </c>
      <c r="M19" s="206">
        <f>'ALL Other SINs - Proposal'!M19</f>
        <v>0</v>
      </c>
      <c r="N19" s="251">
        <f>'ALL Other SINs - Proposal'!V19</f>
        <v>0</v>
      </c>
      <c r="O19" s="201" t="str">
        <f>'Price Analysis'!N19</f>
        <v xml:space="preserve"> </v>
      </c>
      <c r="P19" s="53" t="str">
        <f>IF(ISBLANK('ALL Other SINs - Proposal'!AA19)," ",'ALL Other SINs - Proposal'!AA19)</f>
        <v xml:space="preserve"> </v>
      </c>
      <c r="Q19" s="95" t="str">
        <f>'ALL Other SINs - Proposal'!AC19</f>
        <v xml:space="preserve"> </v>
      </c>
      <c r="R19" s="100" t="str">
        <f>IF(ISBLANK('ALL Other SINs - Proposal'!AA19)," ",ROUND(Q19,2))</f>
        <v xml:space="preserve"> </v>
      </c>
      <c r="S19" s="54"/>
    </row>
    <row r="20" spans="1:19" ht="20.100000000000001" customHeight="1" x14ac:dyDescent="0.2">
      <c r="A20" s="127">
        <f>'ALL Other SINs - Proposal'!A20</f>
        <v>0</v>
      </c>
      <c r="B20" s="121">
        <f>'ALL Other SINs - Proposal'!B20</f>
        <v>0</v>
      </c>
      <c r="C20" s="121">
        <f>'ALL Other SINs - Proposal'!C20</f>
        <v>0</v>
      </c>
      <c r="D20" s="121">
        <f>'ALL Other SINs - Proposal'!D20</f>
        <v>0</v>
      </c>
      <c r="E20" s="121">
        <f>'ALL Other SINs - Proposal'!E20</f>
        <v>0</v>
      </c>
      <c r="F20" s="171">
        <f>'ALL Other SINs - Proposal'!F20</f>
        <v>0</v>
      </c>
      <c r="G20" s="51">
        <f>'ALL Other SINs - Proposal'!G20</f>
        <v>0</v>
      </c>
      <c r="H20" s="125">
        <f>'ALL Other SINs - Proposal'!H20</f>
        <v>0</v>
      </c>
      <c r="I20" s="125">
        <f>'ALL Other SINs - Proposal'!I20</f>
        <v>0</v>
      </c>
      <c r="J20" s="125">
        <f>'ALL Other SINs - Proposal'!J20</f>
        <v>0</v>
      </c>
      <c r="K20" s="125">
        <f>'ALL Other SINs - Proposal'!K20</f>
        <v>0</v>
      </c>
      <c r="L20" s="125">
        <f>'ALL Other SINs - Proposal'!L20</f>
        <v>0</v>
      </c>
      <c r="M20" s="206">
        <f>'ALL Other SINs - Proposal'!M20</f>
        <v>0</v>
      </c>
      <c r="N20" s="251">
        <f>'ALL Other SINs - Proposal'!V20</f>
        <v>0</v>
      </c>
      <c r="O20" s="201" t="str">
        <f>'Price Analysis'!N20</f>
        <v xml:space="preserve"> </v>
      </c>
      <c r="P20" s="53" t="str">
        <f>IF(ISBLANK('ALL Other SINs - Proposal'!AA20)," ",'ALL Other SINs - Proposal'!AA20)</f>
        <v xml:space="preserve"> </v>
      </c>
      <c r="Q20" s="95" t="str">
        <f>'ALL Other SINs - Proposal'!AC20</f>
        <v xml:space="preserve"> </v>
      </c>
      <c r="R20" s="100" t="str">
        <f>IF(ISBLANK('ALL Other SINs - Proposal'!AA20)," ",ROUND(Q20,2))</f>
        <v xml:space="preserve"> </v>
      </c>
      <c r="S20" s="54"/>
    </row>
    <row r="21" spans="1:19" ht="20.100000000000001" customHeight="1" x14ac:dyDescent="0.2">
      <c r="A21" s="127">
        <f>'ALL Other SINs - Proposal'!A21</f>
        <v>0</v>
      </c>
      <c r="B21" s="121">
        <f>'ALL Other SINs - Proposal'!B21</f>
        <v>0</v>
      </c>
      <c r="C21" s="121">
        <f>'ALL Other SINs - Proposal'!C21</f>
        <v>0</v>
      </c>
      <c r="D21" s="121">
        <f>'ALL Other SINs - Proposal'!D21</f>
        <v>0</v>
      </c>
      <c r="E21" s="121">
        <f>'ALL Other SINs - Proposal'!E21</f>
        <v>0</v>
      </c>
      <c r="F21" s="171">
        <f>'ALL Other SINs - Proposal'!F21</f>
        <v>0</v>
      </c>
      <c r="G21" s="51">
        <f>'ALL Other SINs - Proposal'!G21</f>
        <v>0</v>
      </c>
      <c r="H21" s="125">
        <f>'ALL Other SINs - Proposal'!H21</f>
        <v>0</v>
      </c>
      <c r="I21" s="125">
        <f>'ALL Other SINs - Proposal'!I21</f>
        <v>0</v>
      </c>
      <c r="J21" s="125">
        <f>'ALL Other SINs - Proposal'!J21</f>
        <v>0</v>
      </c>
      <c r="K21" s="125">
        <f>'ALL Other SINs - Proposal'!K21</f>
        <v>0</v>
      </c>
      <c r="L21" s="125">
        <f>'ALL Other SINs - Proposal'!L21</f>
        <v>0</v>
      </c>
      <c r="M21" s="206">
        <f>'ALL Other SINs - Proposal'!M21</f>
        <v>0</v>
      </c>
      <c r="N21" s="251">
        <f>'ALL Other SINs - Proposal'!V21</f>
        <v>0</v>
      </c>
      <c r="O21" s="201" t="str">
        <f>'Price Analysis'!N21</f>
        <v xml:space="preserve"> </v>
      </c>
      <c r="P21" s="53" t="str">
        <f>IF(ISBLANK('ALL Other SINs - Proposal'!AA21)," ",'ALL Other SINs - Proposal'!AA21)</f>
        <v xml:space="preserve"> </v>
      </c>
      <c r="Q21" s="95" t="str">
        <f>'ALL Other SINs - Proposal'!AC21</f>
        <v xml:space="preserve"> </v>
      </c>
      <c r="R21" s="100" t="str">
        <f>IF(ISBLANK('ALL Other SINs - Proposal'!AA21)," ",ROUND(Q21,2))</f>
        <v xml:space="preserve"> </v>
      </c>
      <c r="S21" s="54"/>
    </row>
    <row r="22" spans="1:19" ht="20.100000000000001" customHeight="1" x14ac:dyDescent="0.2">
      <c r="A22" s="127">
        <f>'ALL Other SINs - Proposal'!A22</f>
        <v>0</v>
      </c>
      <c r="B22" s="121">
        <f>'ALL Other SINs - Proposal'!B22</f>
        <v>0</v>
      </c>
      <c r="C22" s="121">
        <f>'ALL Other SINs - Proposal'!C22</f>
        <v>0</v>
      </c>
      <c r="D22" s="121">
        <f>'ALL Other SINs - Proposal'!D22</f>
        <v>0</v>
      </c>
      <c r="E22" s="121">
        <f>'ALL Other SINs - Proposal'!E22</f>
        <v>0</v>
      </c>
      <c r="F22" s="171">
        <f>'ALL Other SINs - Proposal'!F22</f>
        <v>0</v>
      </c>
      <c r="G22" s="51">
        <f>'ALL Other SINs - Proposal'!G22</f>
        <v>0</v>
      </c>
      <c r="H22" s="125">
        <f>'ALL Other SINs - Proposal'!H22</f>
        <v>0</v>
      </c>
      <c r="I22" s="125">
        <f>'ALL Other SINs - Proposal'!I22</f>
        <v>0</v>
      </c>
      <c r="J22" s="125">
        <f>'ALL Other SINs - Proposal'!J22</f>
        <v>0</v>
      </c>
      <c r="K22" s="125">
        <f>'ALL Other SINs - Proposal'!K22</f>
        <v>0</v>
      </c>
      <c r="L22" s="125">
        <f>'ALL Other SINs - Proposal'!L22</f>
        <v>0</v>
      </c>
      <c r="M22" s="206">
        <f>'ALL Other SINs - Proposal'!M22</f>
        <v>0</v>
      </c>
      <c r="N22" s="251">
        <f>'ALL Other SINs - Proposal'!V22</f>
        <v>0</v>
      </c>
      <c r="O22" s="201" t="str">
        <f>'Price Analysis'!N22</f>
        <v xml:space="preserve"> </v>
      </c>
      <c r="P22" s="53" t="str">
        <f>IF(ISBLANK('ALL Other SINs - Proposal'!AA22)," ",'ALL Other SINs - Proposal'!AA22)</f>
        <v xml:space="preserve"> </v>
      </c>
      <c r="Q22" s="95" t="str">
        <f>'ALL Other SINs - Proposal'!AC22</f>
        <v xml:space="preserve"> </v>
      </c>
      <c r="R22" s="100" t="str">
        <f>IF(ISBLANK('ALL Other SINs - Proposal'!AA22)," ",ROUND(Q22,2))</f>
        <v xml:space="preserve"> </v>
      </c>
      <c r="S22" s="54"/>
    </row>
    <row r="23" spans="1:19" ht="20.100000000000001" customHeight="1" x14ac:dyDescent="0.2">
      <c r="A23" s="127">
        <f>'ALL Other SINs - Proposal'!A23</f>
        <v>0</v>
      </c>
      <c r="B23" s="121">
        <f>'ALL Other SINs - Proposal'!B23</f>
        <v>0</v>
      </c>
      <c r="C23" s="121">
        <f>'ALL Other SINs - Proposal'!C23</f>
        <v>0</v>
      </c>
      <c r="D23" s="121">
        <f>'ALL Other SINs - Proposal'!D23</f>
        <v>0</v>
      </c>
      <c r="E23" s="121">
        <f>'ALL Other SINs - Proposal'!E23</f>
        <v>0</v>
      </c>
      <c r="F23" s="171">
        <f>'ALL Other SINs - Proposal'!F23</f>
        <v>0</v>
      </c>
      <c r="G23" s="51">
        <f>'ALL Other SINs - Proposal'!G23</f>
        <v>0</v>
      </c>
      <c r="H23" s="125">
        <f>'ALL Other SINs - Proposal'!H23</f>
        <v>0</v>
      </c>
      <c r="I23" s="125">
        <f>'ALL Other SINs - Proposal'!I23</f>
        <v>0</v>
      </c>
      <c r="J23" s="125">
        <f>'ALL Other SINs - Proposal'!J23</f>
        <v>0</v>
      </c>
      <c r="K23" s="125">
        <f>'ALL Other SINs - Proposal'!K23</f>
        <v>0</v>
      </c>
      <c r="L23" s="125">
        <f>'ALL Other SINs - Proposal'!L23</f>
        <v>0</v>
      </c>
      <c r="M23" s="206">
        <f>'ALL Other SINs - Proposal'!M23</f>
        <v>0</v>
      </c>
      <c r="N23" s="251">
        <f>'ALL Other SINs - Proposal'!V23</f>
        <v>0</v>
      </c>
      <c r="O23" s="201" t="str">
        <f>'Price Analysis'!N23</f>
        <v xml:space="preserve"> </v>
      </c>
      <c r="P23" s="53" t="str">
        <f>IF(ISBLANK('ALL Other SINs - Proposal'!AA23)," ",'ALL Other SINs - Proposal'!AA23)</f>
        <v xml:space="preserve"> </v>
      </c>
      <c r="Q23" s="95" t="str">
        <f>'ALL Other SINs - Proposal'!AC23</f>
        <v xml:space="preserve"> </v>
      </c>
      <c r="R23" s="100" t="str">
        <f>IF(ISBLANK('ALL Other SINs - Proposal'!AA23)," ",ROUND(Q23,2))</f>
        <v xml:space="preserve"> </v>
      </c>
      <c r="S23" s="54"/>
    </row>
    <row r="24" spans="1:19" ht="20.100000000000001" customHeight="1" x14ac:dyDescent="0.2">
      <c r="A24" s="127">
        <f>'ALL Other SINs - Proposal'!A24</f>
        <v>0</v>
      </c>
      <c r="B24" s="121">
        <f>'ALL Other SINs - Proposal'!B24</f>
        <v>0</v>
      </c>
      <c r="C24" s="121">
        <f>'ALL Other SINs - Proposal'!C24</f>
        <v>0</v>
      </c>
      <c r="D24" s="121">
        <f>'ALL Other SINs - Proposal'!D24</f>
        <v>0</v>
      </c>
      <c r="E24" s="121">
        <f>'ALL Other SINs - Proposal'!E24</f>
        <v>0</v>
      </c>
      <c r="F24" s="171">
        <f>'ALL Other SINs - Proposal'!F24</f>
        <v>0</v>
      </c>
      <c r="G24" s="51">
        <f>'ALL Other SINs - Proposal'!G24</f>
        <v>0</v>
      </c>
      <c r="H24" s="125">
        <f>'ALL Other SINs - Proposal'!H24</f>
        <v>0</v>
      </c>
      <c r="I24" s="125">
        <f>'ALL Other SINs - Proposal'!I24</f>
        <v>0</v>
      </c>
      <c r="J24" s="125">
        <f>'ALL Other SINs - Proposal'!J24</f>
        <v>0</v>
      </c>
      <c r="K24" s="125">
        <f>'ALL Other SINs - Proposal'!K24</f>
        <v>0</v>
      </c>
      <c r="L24" s="125">
        <f>'ALL Other SINs - Proposal'!L24</f>
        <v>0</v>
      </c>
      <c r="M24" s="206">
        <f>'ALL Other SINs - Proposal'!M24</f>
        <v>0</v>
      </c>
      <c r="N24" s="251">
        <f>'ALL Other SINs - Proposal'!V24</f>
        <v>0</v>
      </c>
      <c r="O24" s="201" t="str">
        <f>'Price Analysis'!N24</f>
        <v xml:space="preserve"> </v>
      </c>
      <c r="P24" s="53" t="str">
        <f>IF(ISBLANK('ALL Other SINs - Proposal'!AA24)," ",'ALL Other SINs - Proposal'!AA24)</f>
        <v xml:space="preserve"> </v>
      </c>
      <c r="Q24" s="95" t="str">
        <f>'ALL Other SINs - Proposal'!AC24</f>
        <v xml:space="preserve"> </v>
      </c>
      <c r="R24" s="100" t="str">
        <f>IF(ISBLANK('ALL Other SINs - Proposal'!AA24)," ",ROUND(Q24,2))</f>
        <v xml:space="preserve"> </v>
      </c>
      <c r="S24" s="54"/>
    </row>
    <row r="25" spans="1:19" ht="20.100000000000001" customHeight="1" x14ac:dyDescent="0.2">
      <c r="A25" s="127">
        <f>'ALL Other SINs - Proposal'!A25</f>
        <v>0</v>
      </c>
      <c r="B25" s="121">
        <f>'ALL Other SINs - Proposal'!B25</f>
        <v>0</v>
      </c>
      <c r="C25" s="121">
        <f>'ALL Other SINs - Proposal'!C25</f>
        <v>0</v>
      </c>
      <c r="D25" s="121">
        <f>'ALL Other SINs - Proposal'!D25</f>
        <v>0</v>
      </c>
      <c r="E25" s="121">
        <f>'ALL Other SINs - Proposal'!E25</f>
        <v>0</v>
      </c>
      <c r="F25" s="171">
        <f>'ALL Other SINs - Proposal'!F25</f>
        <v>0</v>
      </c>
      <c r="G25" s="51">
        <f>'ALL Other SINs - Proposal'!G25</f>
        <v>0</v>
      </c>
      <c r="H25" s="125">
        <f>'ALL Other SINs - Proposal'!H25</f>
        <v>0</v>
      </c>
      <c r="I25" s="125">
        <f>'ALL Other SINs - Proposal'!I25</f>
        <v>0</v>
      </c>
      <c r="J25" s="125">
        <f>'ALL Other SINs - Proposal'!J25</f>
        <v>0</v>
      </c>
      <c r="K25" s="125">
        <f>'ALL Other SINs - Proposal'!K25</f>
        <v>0</v>
      </c>
      <c r="L25" s="125">
        <f>'ALL Other SINs - Proposal'!L25</f>
        <v>0</v>
      </c>
      <c r="M25" s="206">
        <f>'ALL Other SINs - Proposal'!M25</f>
        <v>0</v>
      </c>
      <c r="N25" s="251">
        <f>'ALL Other SINs - Proposal'!V25</f>
        <v>0</v>
      </c>
      <c r="O25" s="201" t="str">
        <f>'Price Analysis'!N25</f>
        <v xml:space="preserve"> </v>
      </c>
      <c r="P25" s="53" t="str">
        <f>IF(ISBLANK('ALL Other SINs - Proposal'!AA25)," ",'ALL Other SINs - Proposal'!AA25)</f>
        <v xml:space="preserve"> </v>
      </c>
      <c r="Q25" s="95" t="str">
        <f>'ALL Other SINs - Proposal'!AC25</f>
        <v xml:space="preserve"> </v>
      </c>
      <c r="R25" s="100" t="str">
        <f>IF(ISBLANK('ALL Other SINs - Proposal'!AA25)," ",ROUND(Q25,2))</f>
        <v xml:space="preserve"> </v>
      </c>
      <c r="S25" s="54"/>
    </row>
    <row r="26" spans="1:19" ht="20.100000000000001" customHeight="1" x14ac:dyDescent="0.2">
      <c r="A26" s="127">
        <f>'ALL Other SINs - Proposal'!A26</f>
        <v>0</v>
      </c>
      <c r="B26" s="121">
        <f>'ALL Other SINs - Proposal'!B26</f>
        <v>0</v>
      </c>
      <c r="C26" s="121">
        <f>'ALL Other SINs - Proposal'!C26</f>
        <v>0</v>
      </c>
      <c r="D26" s="121">
        <f>'ALL Other SINs - Proposal'!D26</f>
        <v>0</v>
      </c>
      <c r="E26" s="121">
        <f>'ALL Other SINs - Proposal'!E26</f>
        <v>0</v>
      </c>
      <c r="F26" s="171">
        <f>'ALL Other SINs - Proposal'!F26</f>
        <v>0</v>
      </c>
      <c r="G26" s="51">
        <f>'ALL Other SINs - Proposal'!G26</f>
        <v>0</v>
      </c>
      <c r="H26" s="125">
        <f>'ALL Other SINs - Proposal'!H26</f>
        <v>0</v>
      </c>
      <c r="I26" s="125">
        <f>'ALL Other SINs - Proposal'!I26</f>
        <v>0</v>
      </c>
      <c r="J26" s="125">
        <f>'ALL Other SINs - Proposal'!J26</f>
        <v>0</v>
      </c>
      <c r="K26" s="125">
        <f>'ALL Other SINs - Proposal'!K26</f>
        <v>0</v>
      </c>
      <c r="L26" s="125">
        <f>'ALL Other SINs - Proposal'!L26</f>
        <v>0</v>
      </c>
      <c r="M26" s="206">
        <f>'ALL Other SINs - Proposal'!M26</f>
        <v>0</v>
      </c>
      <c r="N26" s="251">
        <f>'ALL Other SINs - Proposal'!V26</f>
        <v>0</v>
      </c>
      <c r="O26" s="201" t="str">
        <f>'Price Analysis'!N26</f>
        <v xml:space="preserve"> </v>
      </c>
      <c r="P26" s="53" t="str">
        <f>IF(ISBLANK('ALL Other SINs - Proposal'!AA26)," ",'ALL Other SINs - Proposal'!AA26)</f>
        <v xml:space="preserve"> </v>
      </c>
      <c r="Q26" s="95" t="str">
        <f>'ALL Other SINs - Proposal'!AC26</f>
        <v xml:space="preserve"> </v>
      </c>
      <c r="R26" s="100" t="str">
        <f>IF(ISBLANK('ALL Other SINs - Proposal'!AA26)," ",ROUND(Q26,2))</f>
        <v xml:space="preserve"> </v>
      </c>
      <c r="S26" s="54"/>
    </row>
    <row r="27" spans="1:19" ht="20.100000000000001" customHeight="1" x14ac:dyDescent="0.2">
      <c r="A27" s="127">
        <f>'ALL Other SINs - Proposal'!A27</f>
        <v>0</v>
      </c>
      <c r="B27" s="121">
        <f>'ALL Other SINs - Proposal'!B27</f>
        <v>0</v>
      </c>
      <c r="C27" s="121">
        <f>'ALL Other SINs - Proposal'!C27</f>
        <v>0</v>
      </c>
      <c r="D27" s="121">
        <f>'ALL Other SINs - Proposal'!D27</f>
        <v>0</v>
      </c>
      <c r="E27" s="121">
        <f>'ALL Other SINs - Proposal'!E27</f>
        <v>0</v>
      </c>
      <c r="F27" s="171">
        <f>'ALL Other SINs - Proposal'!F27</f>
        <v>0</v>
      </c>
      <c r="G27" s="51">
        <f>'ALL Other SINs - Proposal'!G27</f>
        <v>0</v>
      </c>
      <c r="H27" s="125">
        <f>'ALL Other SINs - Proposal'!H27</f>
        <v>0</v>
      </c>
      <c r="I27" s="125">
        <f>'ALL Other SINs - Proposal'!I27</f>
        <v>0</v>
      </c>
      <c r="J27" s="125">
        <f>'ALL Other SINs - Proposal'!J27</f>
        <v>0</v>
      </c>
      <c r="K27" s="125">
        <f>'ALL Other SINs - Proposal'!K27</f>
        <v>0</v>
      </c>
      <c r="L27" s="125">
        <f>'ALL Other SINs - Proposal'!L27</f>
        <v>0</v>
      </c>
      <c r="M27" s="206">
        <f>'ALL Other SINs - Proposal'!M27</f>
        <v>0</v>
      </c>
      <c r="N27" s="251">
        <f>'ALL Other SINs - Proposal'!V27</f>
        <v>0</v>
      </c>
      <c r="O27" s="201" t="str">
        <f>'Price Analysis'!N27</f>
        <v xml:space="preserve"> </v>
      </c>
      <c r="P27" s="53" t="str">
        <f>IF(ISBLANK('ALL Other SINs - Proposal'!AA27)," ",'ALL Other SINs - Proposal'!AA27)</f>
        <v xml:space="preserve"> </v>
      </c>
      <c r="Q27" s="95" t="str">
        <f>'ALL Other SINs - Proposal'!AC27</f>
        <v xml:space="preserve"> </v>
      </c>
      <c r="R27" s="100" t="str">
        <f>IF(ISBLANK('ALL Other SINs - Proposal'!AA27)," ",ROUND(Q27,2))</f>
        <v xml:space="preserve"> </v>
      </c>
      <c r="S27" s="54"/>
    </row>
    <row r="28" spans="1:19" ht="20.100000000000001" customHeight="1" x14ac:dyDescent="0.2">
      <c r="A28" s="127">
        <f>'ALL Other SINs - Proposal'!A28</f>
        <v>0</v>
      </c>
      <c r="B28" s="121">
        <f>'ALL Other SINs - Proposal'!B28</f>
        <v>0</v>
      </c>
      <c r="C28" s="121">
        <f>'ALL Other SINs - Proposal'!C28</f>
        <v>0</v>
      </c>
      <c r="D28" s="121">
        <f>'ALL Other SINs - Proposal'!D28</f>
        <v>0</v>
      </c>
      <c r="E28" s="121">
        <f>'ALL Other SINs - Proposal'!E28</f>
        <v>0</v>
      </c>
      <c r="F28" s="171">
        <f>'ALL Other SINs - Proposal'!F28</f>
        <v>0</v>
      </c>
      <c r="G28" s="51">
        <f>'ALL Other SINs - Proposal'!G28</f>
        <v>0</v>
      </c>
      <c r="H28" s="125">
        <f>'ALL Other SINs - Proposal'!H28</f>
        <v>0</v>
      </c>
      <c r="I28" s="125">
        <f>'ALL Other SINs - Proposal'!I28</f>
        <v>0</v>
      </c>
      <c r="J28" s="125">
        <f>'ALL Other SINs - Proposal'!J28</f>
        <v>0</v>
      </c>
      <c r="K28" s="125">
        <f>'ALL Other SINs - Proposal'!K28</f>
        <v>0</v>
      </c>
      <c r="L28" s="125">
        <f>'ALL Other SINs - Proposal'!L28</f>
        <v>0</v>
      </c>
      <c r="M28" s="206">
        <f>'ALL Other SINs - Proposal'!M28</f>
        <v>0</v>
      </c>
      <c r="N28" s="251">
        <f>'ALL Other SINs - Proposal'!V28</f>
        <v>0</v>
      </c>
      <c r="O28" s="201" t="str">
        <f>'Price Analysis'!N28</f>
        <v xml:space="preserve"> </v>
      </c>
      <c r="P28" s="53" t="str">
        <f>IF(ISBLANK('ALL Other SINs - Proposal'!AA28)," ",'ALL Other SINs - Proposal'!AA28)</f>
        <v xml:space="preserve"> </v>
      </c>
      <c r="Q28" s="95" t="str">
        <f>'ALL Other SINs - Proposal'!AC28</f>
        <v xml:space="preserve"> </v>
      </c>
      <c r="R28" s="100" t="str">
        <f>IF(ISBLANK('ALL Other SINs - Proposal'!AA28)," ",ROUND(Q28,2))</f>
        <v xml:space="preserve"> </v>
      </c>
      <c r="S28" s="54"/>
    </row>
    <row r="29" spans="1:19" ht="20.100000000000001" customHeight="1" x14ac:dyDescent="0.2">
      <c r="A29" s="127">
        <f>'ALL Other SINs - Proposal'!A29</f>
        <v>0</v>
      </c>
      <c r="B29" s="121">
        <f>'ALL Other SINs - Proposal'!B29</f>
        <v>0</v>
      </c>
      <c r="C29" s="121">
        <f>'ALL Other SINs - Proposal'!C29</f>
        <v>0</v>
      </c>
      <c r="D29" s="121">
        <f>'ALL Other SINs - Proposal'!D29</f>
        <v>0</v>
      </c>
      <c r="E29" s="121">
        <f>'ALL Other SINs - Proposal'!E29</f>
        <v>0</v>
      </c>
      <c r="F29" s="171">
        <f>'ALL Other SINs - Proposal'!F29</f>
        <v>0</v>
      </c>
      <c r="G29" s="51">
        <f>'ALL Other SINs - Proposal'!G29</f>
        <v>0</v>
      </c>
      <c r="H29" s="125">
        <f>'ALL Other SINs - Proposal'!H29</f>
        <v>0</v>
      </c>
      <c r="I29" s="125">
        <f>'ALL Other SINs - Proposal'!I29</f>
        <v>0</v>
      </c>
      <c r="J29" s="125">
        <f>'ALL Other SINs - Proposal'!J29</f>
        <v>0</v>
      </c>
      <c r="K29" s="125">
        <f>'ALL Other SINs - Proposal'!K29</f>
        <v>0</v>
      </c>
      <c r="L29" s="125">
        <f>'ALL Other SINs - Proposal'!L29</f>
        <v>0</v>
      </c>
      <c r="M29" s="206">
        <f>'ALL Other SINs - Proposal'!M29</f>
        <v>0</v>
      </c>
      <c r="N29" s="251">
        <f>'ALL Other SINs - Proposal'!V29</f>
        <v>0</v>
      </c>
      <c r="O29" s="201" t="str">
        <f>'Price Analysis'!N29</f>
        <v xml:space="preserve"> </v>
      </c>
      <c r="P29" s="53" t="str">
        <f>IF(ISBLANK('ALL Other SINs - Proposal'!AA29)," ",'ALL Other SINs - Proposal'!AA29)</f>
        <v xml:space="preserve"> </v>
      </c>
      <c r="Q29" s="95" t="str">
        <f>'ALL Other SINs - Proposal'!AC29</f>
        <v xml:space="preserve"> </v>
      </c>
      <c r="R29" s="100" t="str">
        <f>IF(ISBLANK('ALL Other SINs - Proposal'!AA29)," ",ROUND(Q29,2))</f>
        <v xml:space="preserve"> </v>
      </c>
      <c r="S29" s="54"/>
    </row>
    <row r="30" spans="1:19" ht="20.100000000000001" customHeight="1" x14ac:dyDescent="0.2">
      <c r="A30" s="127">
        <f>'ALL Other SINs - Proposal'!A30</f>
        <v>0</v>
      </c>
      <c r="B30" s="121">
        <f>'ALL Other SINs - Proposal'!B30</f>
        <v>0</v>
      </c>
      <c r="C30" s="121">
        <f>'ALL Other SINs - Proposal'!C30</f>
        <v>0</v>
      </c>
      <c r="D30" s="121">
        <f>'ALL Other SINs - Proposal'!D30</f>
        <v>0</v>
      </c>
      <c r="E30" s="121">
        <f>'ALL Other SINs - Proposal'!E30</f>
        <v>0</v>
      </c>
      <c r="F30" s="171">
        <f>'ALL Other SINs - Proposal'!F30</f>
        <v>0</v>
      </c>
      <c r="G30" s="51">
        <f>'ALL Other SINs - Proposal'!G30</f>
        <v>0</v>
      </c>
      <c r="H30" s="125">
        <f>'ALL Other SINs - Proposal'!H30</f>
        <v>0</v>
      </c>
      <c r="I30" s="125">
        <f>'ALL Other SINs - Proposal'!I30</f>
        <v>0</v>
      </c>
      <c r="J30" s="125">
        <f>'ALL Other SINs - Proposal'!J30</f>
        <v>0</v>
      </c>
      <c r="K30" s="125">
        <f>'ALL Other SINs - Proposal'!K30</f>
        <v>0</v>
      </c>
      <c r="L30" s="125">
        <f>'ALL Other SINs - Proposal'!L30</f>
        <v>0</v>
      </c>
      <c r="M30" s="206">
        <f>'ALL Other SINs - Proposal'!M30</f>
        <v>0</v>
      </c>
      <c r="N30" s="251">
        <f>'ALL Other SINs - Proposal'!V30</f>
        <v>0</v>
      </c>
      <c r="O30" s="201" t="str">
        <f>'Price Analysis'!N30</f>
        <v xml:space="preserve"> </v>
      </c>
      <c r="P30" s="53" t="str">
        <f>IF(ISBLANK('ALL Other SINs - Proposal'!AA30)," ",'ALL Other SINs - Proposal'!AA30)</f>
        <v xml:space="preserve"> </v>
      </c>
      <c r="Q30" s="95" t="str">
        <f>'ALL Other SINs - Proposal'!AC30</f>
        <v xml:space="preserve"> </v>
      </c>
      <c r="R30" s="100" t="str">
        <f>IF(ISBLANK('ALL Other SINs - Proposal'!AA30)," ",ROUND(Q30,2))</f>
        <v xml:space="preserve"> </v>
      </c>
      <c r="S30" s="54"/>
    </row>
    <row r="31" spans="1:19" ht="20.100000000000001" customHeight="1" x14ac:dyDescent="0.2">
      <c r="A31" s="127">
        <f>'ALL Other SINs - Proposal'!A31</f>
        <v>0</v>
      </c>
      <c r="B31" s="121">
        <f>'ALL Other SINs - Proposal'!B31</f>
        <v>0</v>
      </c>
      <c r="C31" s="121">
        <f>'ALL Other SINs - Proposal'!C31</f>
        <v>0</v>
      </c>
      <c r="D31" s="121">
        <f>'ALL Other SINs - Proposal'!D31</f>
        <v>0</v>
      </c>
      <c r="E31" s="121">
        <f>'ALL Other SINs - Proposal'!E31</f>
        <v>0</v>
      </c>
      <c r="F31" s="171">
        <f>'ALL Other SINs - Proposal'!F31</f>
        <v>0</v>
      </c>
      <c r="G31" s="51">
        <f>'ALL Other SINs - Proposal'!G31</f>
        <v>0</v>
      </c>
      <c r="H31" s="125">
        <f>'ALL Other SINs - Proposal'!H31</f>
        <v>0</v>
      </c>
      <c r="I31" s="125">
        <f>'ALL Other SINs - Proposal'!I31</f>
        <v>0</v>
      </c>
      <c r="J31" s="125">
        <f>'ALL Other SINs - Proposal'!J31</f>
        <v>0</v>
      </c>
      <c r="K31" s="125">
        <f>'ALL Other SINs - Proposal'!K31</f>
        <v>0</v>
      </c>
      <c r="L31" s="125">
        <f>'ALL Other SINs - Proposal'!L31</f>
        <v>0</v>
      </c>
      <c r="M31" s="206">
        <f>'ALL Other SINs - Proposal'!M31</f>
        <v>0</v>
      </c>
      <c r="N31" s="251">
        <f>'ALL Other SINs - Proposal'!V31</f>
        <v>0</v>
      </c>
      <c r="O31" s="201" t="str">
        <f>'Price Analysis'!N31</f>
        <v xml:space="preserve"> </v>
      </c>
      <c r="P31" s="53" t="str">
        <f>IF(ISBLANK('ALL Other SINs - Proposal'!AA31)," ",'ALL Other SINs - Proposal'!AA31)</f>
        <v xml:space="preserve"> </v>
      </c>
      <c r="Q31" s="95" t="str">
        <f>'ALL Other SINs - Proposal'!AC31</f>
        <v xml:space="preserve"> </v>
      </c>
      <c r="R31" s="100" t="str">
        <f>IF(ISBLANK('ALL Other SINs - Proposal'!AA31)," ",ROUND(Q31,2))</f>
        <v xml:space="preserve"> </v>
      </c>
      <c r="S31" s="54"/>
    </row>
    <row r="32" spans="1:19" ht="20.100000000000001" customHeight="1" x14ac:dyDescent="0.2">
      <c r="A32" s="127">
        <f>'ALL Other SINs - Proposal'!A32</f>
        <v>0</v>
      </c>
      <c r="B32" s="121">
        <f>'ALL Other SINs - Proposal'!B32</f>
        <v>0</v>
      </c>
      <c r="C32" s="121">
        <f>'ALL Other SINs - Proposal'!C32</f>
        <v>0</v>
      </c>
      <c r="D32" s="121">
        <f>'ALL Other SINs - Proposal'!D32</f>
        <v>0</v>
      </c>
      <c r="E32" s="121">
        <f>'ALL Other SINs - Proposal'!E32</f>
        <v>0</v>
      </c>
      <c r="F32" s="171">
        <f>'ALL Other SINs - Proposal'!F32</f>
        <v>0</v>
      </c>
      <c r="G32" s="51">
        <f>'ALL Other SINs - Proposal'!G32</f>
        <v>0</v>
      </c>
      <c r="H32" s="125">
        <f>'ALL Other SINs - Proposal'!H32</f>
        <v>0</v>
      </c>
      <c r="I32" s="125">
        <f>'ALL Other SINs - Proposal'!I32</f>
        <v>0</v>
      </c>
      <c r="J32" s="125">
        <f>'ALL Other SINs - Proposal'!J32</f>
        <v>0</v>
      </c>
      <c r="K32" s="125">
        <f>'ALL Other SINs - Proposal'!K32</f>
        <v>0</v>
      </c>
      <c r="L32" s="125">
        <f>'ALL Other SINs - Proposal'!L32</f>
        <v>0</v>
      </c>
      <c r="M32" s="206">
        <f>'ALL Other SINs - Proposal'!M32</f>
        <v>0</v>
      </c>
      <c r="N32" s="251">
        <f>'ALL Other SINs - Proposal'!V32</f>
        <v>0</v>
      </c>
      <c r="O32" s="201" t="str">
        <f>'Price Analysis'!N32</f>
        <v xml:space="preserve"> </v>
      </c>
      <c r="P32" s="53" t="str">
        <f>IF(ISBLANK('ALL Other SINs - Proposal'!AA32)," ",'ALL Other SINs - Proposal'!AA32)</f>
        <v xml:space="preserve"> </v>
      </c>
      <c r="Q32" s="95" t="str">
        <f>'ALL Other SINs - Proposal'!AC32</f>
        <v xml:space="preserve"> </v>
      </c>
      <c r="R32" s="100" t="str">
        <f>IF(ISBLANK('ALL Other SINs - Proposal'!AA32)," ",ROUND(Q32,2))</f>
        <v xml:space="preserve"> </v>
      </c>
      <c r="S32" s="54"/>
    </row>
    <row r="33" spans="1:19" ht="20.100000000000001" customHeight="1" x14ac:dyDescent="0.2">
      <c r="A33" s="127">
        <f>'ALL Other SINs - Proposal'!A33</f>
        <v>0</v>
      </c>
      <c r="B33" s="121">
        <f>'ALL Other SINs - Proposal'!B33</f>
        <v>0</v>
      </c>
      <c r="C33" s="121">
        <f>'ALL Other SINs - Proposal'!C33</f>
        <v>0</v>
      </c>
      <c r="D33" s="121">
        <f>'ALL Other SINs - Proposal'!D33</f>
        <v>0</v>
      </c>
      <c r="E33" s="121">
        <f>'ALL Other SINs - Proposal'!E33</f>
        <v>0</v>
      </c>
      <c r="F33" s="171">
        <f>'ALL Other SINs - Proposal'!F33</f>
        <v>0</v>
      </c>
      <c r="G33" s="51">
        <f>'ALL Other SINs - Proposal'!G33</f>
        <v>0</v>
      </c>
      <c r="H33" s="125">
        <f>'ALL Other SINs - Proposal'!H33</f>
        <v>0</v>
      </c>
      <c r="I33" s="125">
        <f>'ALL Other SINs - Proposal'!I33</f>
        <v>0</v>
      </c>
      <c r="J33" s="125">
        <f>'ALL Other SINs - Proposal'!J33</f>
        <v>0</v>
      </c>
      <c r="K33" s="125">
        <f>'ALL Other SINs - Proposal'!K33</f>
        <v>0</v>
      </c>
      <c r="L33" s="125">
        <f>'ALL Other SINs - Proposal'!L33</f>
        <v>0</v>
      </c>
      <c r="M33" s="206">
        <f>'ALL Other SINs - Proposal'!M33</f>
        <v>0</v>
      </c>
      <c r="N33" s="251">
        <f>'ALL Other SINs - Proposal'!V33</f>
        <v>0</v>
      </c>
      <c r="O33" s="201" t="str">
        <f>'Price Analysis'!N33</f>
        <v xml:space="preserve"> </v>
      </c>
      <c r="P33" s="53" t="str">
        <f>IF(ISBLANK('ALL Other SINs - Proposal'!AA33)," ",'ALL Other SINs - Proposal'!AA33)</f>
        <v xml:space="preserve"> </v>
      </c>
      <c r="Q33" s="95" t="str">
        <f>'ALL Other SINs - Proposal'!AC33</f>
        <v xml:space="preserve"> </v>
      </c>
      <c r="R33" s="100" t="str">
        <f>IF(ISBLANK('ALL Other SINs - Proposal'!AA33)," ",ROUND(Q33,2))</f>
        <v xml:space="preserve"> </v>
      </c>
      <c r="S33" s="54"/>
    </row>
    <row r="34" spans="1:19" ht="20.100000000000001" customHeight="1" x14ac:dyDescent="0.2">
      <c r="A34" s="127">
        <f>'ALL Other SINs - Proposal'!A34</f>
        <v>0</v>
      </c>
      <c r="B34" s="121">
        <f>'ALL Other SINs - Proposal'!B34</f>
        <v>0</v>
      </c>
      <c r="C34" s="121">
        <f>'ALL Other SINs - Proposal'!C34</f>
        <v>0</v>
      </c>
      <c r="D34" s="121">
        <f>'ALL Other SINs - Proposal'!D34</f>
        <v>0</v>
      </c>
      <c r="E34" s="121">
        <f>'ALL Other SINs - Proposal'!E34</f>
        <v>0</v>
      </c>
      <c r="F34" s="171">
        <f>'ALL Other SINs - Proposal'!F34</f>
        <v>0</v>
      </c>
      <c r="G34" s="51">
        <f>'ALL Other SINs - Proposal'!G34</f>
        <v>0</v>
      </c>
      <c r="H34" s="125">
        <f>'ALL Other SINs - Proposal'!H34</f>
        <v>0</v>
      </c>
      <c r="I34" s="125">
        <f>'ALL Other SINs - Proposal'!I34</f>
        <v>0</v>
      </c>
      <c r="J34" s="125">
        <f>'ALL Other SINs - Proposal'!J34</f>
        <v>0</v>
      </c>
      <c r="K34" s="125">
        <f>'ALL Other SINs - Proposal'!K34</f>
        <v>0</v>
      </c>
      <c r="L34" s="125">
        <f>'ALL Other SINs - Proposal'!L34</f>
        <v>0</v>
      </c>
      <c r="M34" s="206">
        <f>'ALL Other SINs - Proposal'!M34</f>
        <v>0</v>
      </c>
      <c r="N34" s="251">
        <f>'ALL Other SINs - Proposal'!V34</f>
        <v>0</v>
      </c>
      <c r="O34" s="201" t="str">
        <f>'Price Analysis'!N34</f>
        <v xml:space="preserve"> </v>
      </c>
      <c r="P34" s="53" t="str">
        <f>IF(ISBLANK('ALL Other SINs - Proposal'!AA34)," ",'ALL Other SINs - Proposal'!AA34)</f>
        <v xml:space="preserve"> </v>
      </c>
      <c r="Q34" s="95" t="str">
        <f>'ALL Other SINs - Proposal'!AC34</f>
        <v xml:space="preserve"> </v>
      </c>
      <c r="R34" s="100" t="str">
        <f>IF(ISBLANK('ALL Other SINs - Proposal'!AA34)," ",ROUND(Q34,2))</f>
        <v xml:space="preserve"> </v>
      </c>
      <c r="S34" s="54"/>
    </row>
    <row r="35" spans="1:19" ht="20.100000000000001" customHeight="1" x14ac:dyDescent="0.2">
      <c r="A35" s="127">
        <f>'ALL Other SINs - Proposal'!A35</f>
        <v>0</v>
      </c>
      <c r="B35" s="121">
        <f>'ALL Other SINs - Proposal'!B35</f>
        <v>0</v>
      </c>
      <c r="C35" s="121">
        <f>'ALL Other SINs - Proposal'!C35</f>
        <v>0</v>
      </c>
      <c r="D35" s="121">
        <f>'ALL Other SINs - Proposal'!D35</f>
        <v>0</v>
      </c>
      <c r="E35" s="121">
        <f>'ALL Other SINs - Proposal'!E35</f>
        <v>0</v>
      </c>
      <c r="F35" s="171">
        <f>'ALL Other SINs - Proposal'!F35</f>
        <v>0</v>
      </c>
      <c r="G35" s="51">
        <f>'ALL Other SINs - Proposal'!G35</f>
        <v>0</v>
      </c>
      <c r="H35" s="125">
        <f>'ALL Other SINs - Proposal'!H35</f>
        <v>0</v>
      </c>
      <c r="I35" s="125">
        <f>'ALL Other SINs - Proposal'!I35</f>
        <v>0</v>
      </c>
      <c r="J35" s="125">
        <f>'ALL Other SINs - Proposal'!J35</f>
        <v>0</v>
      </c>
      <c r="K35" s="125">
        <f>'ALL Other SINs - Proposal'!K35</f>
        <v>0</v>
      </c>
      <c r="L35" s="125">
        <f>'ALL Other SINs - Proposal'!L35</f>
        <v>0</v>
      </c>
      <c r="M35" s="206">
        <f>'ALL Other SINs - Proposal'!M35</f>
        <v>0</v>
      </c>
      <c r="N35" s="251">
        <f>'ALL Other SINs - Proposal'!V35</f>
        <v>0</v>
      </c>
      <c r="O35" s="201" t="str">
        <f>'Price Analysis'!N35</f>
        <v xml:space="preserve"> </v>
      </c>
      <c r="P35" s="53" t="str">
        <f>IF(ISBLANK('ALL Other SINs - Proposal'!AA35)," ",'ALL Other SINs - Proposal'!AA35)</f>
        <v xml:space="preserve"> </v>
      </c>
      <c r="Q35" s="95" t="str">
        <f>'ALL Other SINs - Proposal'!AC35</f>
        <v xml:space="preserve"> </v>
      </c>
      <c r="R35" s="100" t="str">
        <f>IF(ISBLANK('ALL Other SINs - Proposal'!AA35)," ",ROUND(Q35,2))</f>
        <v xml:space="preserve"> </v>
      </c>
      <c r="S35" s="54"/>
    </row>
    <row r="36" spans="1:19" ht="20.100000000000001" customHeight="1" x14ac:dyDescent="0.2">
      <c r="A36" s="127">
        <f>'ALL Other SINs - Proposal'!A36</f>
        <v>0</v>
      </c>
      <c r="B36" s="121">
        <f>'ALL Other SINs - Proposal'!B36</f>
        <v>0</v>
      </c>
      <c r="C36" s="121">
        <f>'ALL Other SINs - Proposal'!C36</f>
        <v>0</v>
      </c>
      <c r="D36" s="121">
        <f>'ALL Other SINs - Proposal'!D36</f>
        <v>0</v>
      </c>
      <c r="E36" s="121">
        <f>'ALL Other SINs - Proposal'!E36</f>
        <v>0</v>
      </c>
      <c r="F36" s="171">
        <f>'ALL Other SINs - Proposal'!F36</f>
        <v>0</v>
      </c>
      <c r="G36" s="51">
        <f>'ALL Other SINs - Proposal'!G36</f>
        <v>0</v>
      </c>
      <c r="H36" s="125">
        <f>'ALL Other SINs - Proposal'!H36</f>
        <v>0</v>
      </c>
      <c r="I36" s="125">
        <f>'ALL Other SINs - Proposal'!I36</f>
        <v>0</v>
      </c>
      <c r="J36" s="125">
        <f>'ALL Other SINs - Proposal'!J36</f>
        <v>0</v>
      </c>
      <c r="K36" s="125">
        <f>'ALL Other SINs - Proposal'!K36</f>
        <v>0</v>
      </c>
      <c r="L36" s="125">
        <f>'ALL Other SINs - Proposal'!L36</f>
        <v>0</v>
      </c>
      <c r="M36" s="206">
        <f>'ALL Other SINs - Proposal'!M36</f>
        <v>0</v>
      </c>
      <c r="N36" s="251">
        <f>'ALL Other SINs - Proposal'!V36</f>
        <v>0</v>
      </c>
      <c r="O36" s="201" t="str">
        <f>'Price Analysis'!N36</f>
        <v xml:space="preserve"> </v>
      </c>
      <c r="P36" s="53" t="str">
        <f>IF(ISBLANK('ALL Other SINs - Proposal'!AA36)," ",'ALL Other SINs - Proposal'!AA36)</f>
        <v xml:space="preserve"> </v>
      </c>
      <c r="Q36" s="95" t="str">
        <f>'ALL Other SINs - Proposal'!AC36</f>
        <v xml:space="preserve"> </v>
      </c>
      <c r="R36" s="100" t="str">
        <f>IF(ISBLANK('ALL Other SINs - Proposal'!AA36)," ",ROUND(Q36,2))</f>
        <v xml:space="preserve"> </v>
      </c>
      <c r="S36" s="54"/>
    </row>
    <row r="37" spans="1:19" ht="20.100000000000001" customHeight="1" x14ac:dyDescent="0.2">
      <c r="A37" s="127">
        <f>'ALL Other SINs - Proposal'!A37</f>
        <v>0</v>
      </c>
      <c r="B37" s="121">
        <f>'ALL Other SINs - Proposal'!B37</f>
        <v>0</v>
      </c>
      <c r="C37" s="121">
        <f>'ALL Other SINs - Proposal'!C37</f>
        <v>0</v>
      </c>
      <c r="D37" s="121">
        <f>'ALL Other SINs - Proposal'!D37</f>
        <v>0</v>
      </c>
      <c r="E37" s="121">
        <f>'ALL Other SINs - Proposal'!E37</f>
        <v>0</v>
      </c>
      <c r="F37" s="171">
        <f>'ALL Other SINs - Proposal'!F37</f>
        <v>0</v>
      </c>
      <c r="G37" s="51">
        <f>'ALL Other SINs - Proposal'!G37</f>
        <v>0</v>
      </c>
      <c r="H37" s="125">
        <f>'ALL Other SINs - Proposal'!H37</f>
        <v>0</v>
      </c>
      <c r="I37" s="125">
        <f>'ALL Other SINs - Proposal'!I37</f>
        <v>0</v>
      </c>
      <c r="J37" s="125">
        <f>'ALL Other SINs - Proposal'!J37</f>
        <v>0</v>
      </c>
      <c r="K37" s="125">
        <f>'ALL Other SINs - Proposal'!K37</f>
        <v>0</v>
      </c>
      <c r="L37" s="125">
        <f>'ALL Other SINs - Proposal'!L37</f>
        <v>0</v>
      </c>
      <c r="M37" s="206">
        <f>'ALL Other SINs - Proposal'!M37</f>
        <v>0</v>
      </c>
      <c r="N37" s="251">
        <f>'ALL Other SINs - Proposal'!V37</f>
        <v>0</v>
      </c>
      <c r="O37" s="201" t="str">
        <f>'Price Analysis'!N37</f>
        <v xml:space="preserve"> </v>
      </c>
      <c r="P37" s="53" t="str">
        <f>IF(ISBLANK('ALL Other SINs - Proposal'!AA37)," ",'ALL Other SINs - Proposal'!AA37)</f>
        <v xml:space="preserve"> </v>
      </c>
      <c r="Q37" s="95" t="str">
        <f>'ALL Other SINs - Proposal'!AC37</f>
        <v xml:space="preserve"> </v>
      </c>
      <c r="R37" s="100" t="str">
        <f>IF(ISBLANK('ALL Other SINs - Proposal'!AA37)," ",ROUND(Q37,2))</f>
        <v xml:space="preserve"> </v>
      </c>
      <c r="S37" s="54"/>
    </row>
    <row r="38" spans="1:19" ht="20.100000000000001" customHeight="1" x14ac:dyDescent="0.2">
      <c r="A38" s="127">
        <f>'ALL Other SINs - Proposal'!A38</f>
        <v>0</v>
      </c>
      <c r="B38" s="121">
        <f>'ALL Other SINs - Proposal'!B38</f>
        <v>0</v>
      </c>
      <c r="C38" s="121">
        <f>'ALL Other SINs - Proposal'!C38</f>
        <v>0</v>
      </c>
      <c r="D38" s="121">
        <f>'ALL Other SINs - Proposal'!D38</f>
        <v>0</v>
      </c>
      <c r="E38" s="121">
        <f>'ALL Other SINs - Proposal'!E38</f>
        <v>0</v>
      </c>
      <c r="F38" s="171">
        <f>'ALL Other SINs - Proposal'!F38</f>
        <v>0</v>
      </c>
      <c r="G38" s="51">
        <f>'ALL Other SINs - Proposal'!G38</f>
        <v>0</v>
      </c>
      <c r="H38" s="125">
        <f>'ALL Other SINs - Proposal'!H38</f>
        <v>0</v>
      </c>
      <c r="I38" s="125">
        <f>'ALL Other SINs - Proposal'!I38</f>
        <v>0</v>
      </c>
      <c r="J38" s="125">
        <f>'ALL Other SINs - Proposal'!J38</f>
        <v>0</v>
      </c>
      <c r="K38" s="125">
        <f>'ALL Other SINs - Proposal'!K38</f>
        <v>0</v>
      </c>
      <c r="L38" s="125">
        <f>'ALL Other SINs - Proposal'!L38</f>
        <v>0</v>
      </c>
      <c r="M38" s="206">
        <f>'ALL Other SINs - Proposal'!M38</f>
        <v>0</v>
      </c>
      <c r="N38" s="251">
        <f>'ALL Other SINs - Proposal'!V38</f>
        <v>0</v>
      </c>
      <c r="O38" s="201" t="str">
        <f>'Price Analysis'!N38</f>
        <v xml:space="preserve"> </v>
      </c>
      <c r="P38" s="53" t="str">
        <f>IF(ISBLANK('ALL Other SINs - Proposal'!AA38)," ",'ALL Other SINs - Proposal'!AA38)</f>
        <v xml:space="preserve"> </v>
      </c>
      <c r="Q38" s="95" t="str">
        <f>'ALL Other SINs - Proposal'!AC38</f>
        <v xml:space="preserve"> </v>
      </c>
      <c r="R38" s="100" t="str">
        <f>IF(ISBLANK('ALL Other SINs - Proposal'!AA38)," ",ROUND(Q38,2))</f>
        <v xml:space="preserve"> </v>
      </c>
      <c r="S38" s="54"/>
    </row>
    <row r="39" spans="1:19" ht="20.100000000000001" customHeight="1" x14ac:dyDescent="0.2">
      <c r="A39" s="127">
        <f>'ALL Other SINs - Proposal'!A39</f>
        <v>0</v>
      </c>
      <c r="B39" s="121">
        <f>'ALL Other SINs - Proposal'!B39</f>
        <v>0</v>
      </c>
      <c r="C39" s="121">
        <f>'ALL Other SINs - Proposal'!C39</f>
        <v>0</v>
      </c>
      <c r="D39" s="121">
        <f>'ALL Other SINs - Proposal'!D39</f>
        <v>0</v>
      </c>
      <c r="E39" s="121">
        <f>'ALL Other SINs - Proposal'!E39</f>
        <v>0</v>
      </c>
      <c r="F39" s="171">
        <f>'ALL Other SINs - Proposal'!F39</f>
        <v>0</v>
      </c>
      <c r="G39" s="51">
        <f>'ALL Other SINs - Proposal'!G39</f>
        <v>0</v>
      </c>
      <c r="H39" s="125">
        <f>'ALL Other SINs - Proposal'!H39</f>
        <v>0</v>
      </c>
      <c r="I39" s="125">
        <f>'ALL Other SINs - Proposal'!I39</f>
        <v>0</v>
      </c>
      <c r="J39" s="125">
        <f>'ALL Other SINs - Proposal'!J39</f>
        <v>0</v>
      </c>
      <c r="K39" s="125">
        <f>'ALL Other SINs - Proposal'!K39</f>
        <v>0</v>
      </c>
      <c r="L39" s="125">
        <f>'ALL Other SINs - Proposal'!L39</f>
        <v>0</v>
      </c>
      <c r="M39" s="206">
        <f>'ALL Other SINs - Proposal'!M39</f>
        <v>0</v>
      </c>
      <c r="N39" s="251">
        <f>'ALL Other SINs - Proposal'!V39</f>
        <v>0</v>
      </c>
      <c r="O39" s="201" t="str">
        <f>'Price Analysis'!N39</f>
        <v xml:space="preserve"> </v>
      </c>
      <c r="P39" s="53" t="str">
        <f>IF(ISBLANK('ALL Other SINs - Proposal'!AA39)," ",'ALL Other SINs - Proposal'!AA39)</f>
        <v xml:space="preserve"> </v>
      </c>
      <c r="Q39" s="95" t="str">
        <f>'ALL Other SINs - Proposal'!AC39</f>
        <v xml:space="preserve"> </v>
      </c>
      <c r="R39" s="100" t="str">
        <f>IF(ISBLANK('ALL Other SINs - Proposal'!AA39)," ",ROUND(Q39,2))</f>
        <v xml:space="preserve"> </v>
      </c>
      <c r="S39" s="54"/>
    </row>
    <row r="40" spans="1:19" ht="20.100000000000001" customHeight="1" x14ac:dyDescent="0.2">
      <c r="A40" s="127">
        <f>'ALL Other SINs - Proposal'!A40</f>
        <v>0</v>
      </c>
      <c r="B40" s="121">
        <f>'ALL Other SINs - Proposal'!B40</f>
        <v>0</v>
      </c>
      <c r="C40" s="121">
        <f>'ALL Other SINs - Proposal'!C40</f>
        <v>0</v>
      </c>
      <c r="D40" s="121">
        <f>'ALL Other SINs - Proposal'!D40</f>
        <v>0</v>
      </c>
      <c r="E40" s="121">
        <f>'ALL Other SINs - Proposal'!E40</f>
        <v>0</v>
      </c>
      <c r="F40" s="171">
        <f>'ALL Other SINs - Proposal'!F40</f>
        <v>0</v>
      </c>
      <c r="G40" s="51">
        <f>'ALL Other SINs - Proposal'!G40</f>
        <v>0</v>
      </c>
      <c r="H40" s="125">
        <f>'ALL Other SINs - Proposal'!H40</f>
        <v>0</v>
      </c>
      <c r="I40" s="125">
        <f>'ALL Other SINs - Proposal'!I40</f>
        <v>0</v>
      </c>
      <c r="J40" s="125">
        <f>'ALL Other SINs - Proposal'!J40</f>
        <v>0</v>
      </c>
      <c r="K40" s="125">
        <f>'ALL Other SINs - Proposal'!K40</f>
        <v>0</v>
      </c>
      <c r="L40" s="125">
        <f>'ALL Other SINs - Proposal'!L40</f>
        <v>0</v>
      </c>
      <c r="M40" s="206">
        <f>'ALL Other SINs - Proposal'!M40</f>
        <v>0</v>
      </c>
      <c r="N40" s="251">
        <f>'ALL Other SINs - Proposal'!V40</f>
        <v>0</v>
      </c>
      <c r="O40" s="201" t="str">
        <f>'Price Analysis'!N40</f>
        <v xml:space="preserve"> </v>
      </c>
      <c r="P40" s="53" t="str">
        <f>IF(ISBLANK('ALL Other SINs - Proposal'!AA40)," ",'ALL Other SINs - Proposal'!AA40)</f>
        <v xml:space="preserve"> </v>
      </c>
      <c r="Q40" s="95" t="str">
        <f>'ALL Other SINs - Proposal'!AC40</f>
        <v xml:space="preserve"> </v>
      </c>
      <c r="R40" s="100" t="str">
        <f>IF(ISBLANK('ALL Other SINs - Proposal'!AA40)," ",ROUND(Q40,2))</f>
        <v xml:space="preserve"> </v>
      </c>
      <c r="S40" s="54"/>
    </row>
    <row r="41" spans="1:19" ht="20.100000000000001" customHeight="1" x14ac:dyDescent="0.2">
      <c r="A41" s="127">
        <f>'ALL Other SINs - Proposal'!A41</f>
        <v>0</v>
      </c>
      <c r="B41" s="121">
        <f>'ALL Other SINs - Proposal'!B41</f>
        <v>0</v>
      </c>
      <c r="C41" s="121">
        <f>'ALL Other SINs - Proposal'!C41</f>
        <v>0</v>
      </c>
      <c r="D41" s="121">
        <f>'ALL Other SINs - Proposal'!D41</f>
        <v>0</v>
      </c>
      <c r="E41" s="121">
        <f>'ALL Other SINs - Proposal'!E41</f>
        <v>0</v>
      </c>
      <c r="F41" s="171">
        <f>'ALL Other SINs - Proposal'!F41</f>
        <v>0</v>
      </c>
      <c r="G41" s="51">
        <f>'ALL Other SINs - Proposal'!G41</f>
        <v>0</v>
      </c>
      <c r="H41" s="125">
        <f>'ALL Other SINs - Proposal'!H41</f>
        <v>0</v>
      </c>
      <c r="I41" s="125">
        <f>'ALL Other SINs - Proposal'!I41</f>
        <v>0</v>
      </c>
      <c r="J41" s="125">
        <f>'ALL Other SINs - Proposal'!J41</f>
        <v>0</v>
      </c>
      <c r="K41" s="125">
        <f>'ALL Other SINs - Proposal'!K41</f>
        <v>0</v>
      </c>
      <c r="L41" s="125">
        <f>'ALL Other SINs - Proposal'!L41</f>
        <v>0</v>
      </c>
      <c r="M41" s="206">
        <f>'ALL Other SINs - Proposal'!M41</f>
        <v>0</v>
      </c>
      <c r="N41" s="251">
        <f>'ALL Other SINs - Proposal'!V41</f>
        <v>0</v>
      </c>
      <c r="O41" s="201" t="str">
        <f>'Price Analysis'!N41</f>
        <v xml:space="preserve"> </v>
      </c>
      <c r="P41" s="53" t="str">
        <f>IF(ISBLANK('ALL Other SINs - Proposal'!AA41)," ",'ALL Other SINs - Proposal'!AA41)</f>
        <v xml:space="preserve"> </v>
      </c>
      <c r="Q41" s="95" t="str">
        <f>'ALL Other SINs - Proposal'!AC41</f>
        <v xml:space="preserve"> </v>
      </c>
      <c r="R41" s="100" t="str">
        <f>IF(ISBLANK('ALL Other SINs - Proposal'!AA41)," ",ROUND(Q41,2))</f>
        <v xml:space="preserve"> </v>
      </c>
      <c r="S41" s="54"/>
    </row>
    <row r="42" spans="1:19" ht="20.100000000000001" customHeight="1" x14ac:dyDescent="0.2">
      <c r="A42" s="127">
        <f>'ALL Other SINs - Proposal'!A42</f>
        <v>0</v>
      </c>
      <c r="B42" s="121">
        <f>'ALL Other SINs - Proposal'!B42</f>
        <v>0</v>
      </c>
      <c r="C42" s="121">
        <f>'ALL Other SINs - Proposal'!C42</f>
        <v>0</v>
      </c>
      <c r="D42" s="121">
        <f>'ALL Other SINs - Proposal'!D42</f>
        <v>0</v>
      </c>
      <c r="E42" s="121">
        <f>'ALL Other SINs - Proposal'!E42</f>
        <v>0</v>
      </c>
      <c r="F42" s="171">
        <f>'ALL Other SINs - Proposal'!F42</f>
        <v>0</v>
      </c>
      <c r="G42" s="51">
        <f>'ALL Other SINs - Proposal'!G42</f>
        <v>0</v>
      </c>
      <c r="H42" s="125">
        <f>'ALL Other SINs - Proposal'!H42</f>
        <v>0</v>
      </c>
      <c r="I42" s="125">
        <f>'ALL Other SINs - Proposal'!I42</f>
        <v>0</v>
      </c>
      <c r="J42" s="125">
        <f>'ALL Other SINs - Proposal'!J42</f>
        <v>0</v>
      </c>
      <c r="K42" s="125">
        <f>'ALL Other SINs - Proposal'!K42</f>
        <v>0</v>
      </c>
      <c r="L42" s="125">
        <f>'ALL Other SINs - Proposal'!L42</f>
        <v>0</v>
      </c>
      <c r="M42" s="206">
        <f>'ALL Other SINs - Proposal'!M42</f>
        <v>0</v>
      </c>
      <c r="N42" s="251">
        <f>'ALL Other SINs - Proposal'!V42</f>
        <v>0</v>
      </c>
      <c r="O42" s="201" t="str">
        <f>'Price Analysis'!N42</f>
        <v xml:space="preserve"> </v>
      </c>
      <c r="P42" s="53" t="str">
        <f>IF(ISBLANK('ALL Other SINs - Proposal'!AA42)," ",'ALL Other SINs - Proposal'!AA42)</f>
        <v xml:space="preserve"> </v>
      </c>
      <c r="Q42" s="95" t="str">
        <f>'ALL Other SINs - Proposal'!AC42</f>
        <v xml:space="preserve"> </v>
      </c>
      <c r="R42" s="100" t="str">
        <f>IF(ISBLANK('ALL Other SINs - Proposal'!AA42)," ",ROUND(Q42,2))</f>
        <v xml:space="preserve"> </v>
      </c>
      <c r="S42" s="54"/>
    </row>
    <row r="43" spans="1:19" ht="20.100000000000001" customHeight="1" x14ac:dyDescent="0.2">
      <c r="A43" s="127">
        <f>'ALL Other SINs - Proposal'!A43</f>
        <v>0</v>
      </c>
      <c r="B43" s="121">
        <f>'ALL Other SINs - Proposal'!B43</f>
        <v>0</v>
      </c>
      <c r="C43" s="121">
        <f>'ALL Other SINs - Proposal'!C43</f>
        <v>0</v>
      </c>
      <c r="D43" s="121">
        <f>'ALL Other SINs - Proposal'!D43</f>
        <v>0</v>
      </c>
      <c r="E43" s="121">
        <f>'ALL Other SINs - Proposal'!E43</f>
        <v>0</v>
      </c>
      <c r="F43" s="171">
        <f>'ALL Other SINs - Proposal'!F43</f>
        <v>0</v>
      </c>
      <c r="G43" s="51">
        <f>'ALL Other SINs - Proposal'!G43</f>
        <v>0</v>
      </c>
      <c r="H43" s="125">
        <f>'ALL Other SINs - Proposal'!H43</f>
        <v>0</v>
      </c>
      <c r="I43" s="125">
        <f>'ALL Other SINs - Proposal'!I43</f>
        <v>0</v>
      </c>
      <c r="J43" s="125">
        <f>'ALL Other SINs - Proposal'!J43</f>
        <v>0</v>
      </c>
      <c r="K43" s="125">
        <f>'ALL Other SINs - Proposal'!K43</f>
        <v>0</v>
      </c>
      <c r="L43" s="125">
        <f>'ALL Other SINs - Proposal'!L43</f>
        <v>0</v>
      </c>
      <c r="M43" s="206">
        <f>'ALL Other SINs - Proposal'!M43</f>
        <v>0</v>
      </c>
      <c r="N43" s="251">
        <f>'ALL Other SINs - Proposal'!V43</f>
        <v>0</v>
      </c>
      <c r="O43" s="201" t="str">
        <f>'Price Analysis'!N43</f>
        <v xml:space="preserve"> </v>
      </c>
      <c r="P43" s="53" t="str">
        <f>IF(ISBLANK('ALL Other SINs - Proposal'!AA43)," ",'ALL Other SINs - Proposal'!AA43)</f>
        <v xml:space="preserve"> </v>
      </c>
      <c r="Q43" s="95" t="str">
        <f>'ALL Other SINs - Proposal'!AC43</f>
        <v xml:space="preserve"> </v>
      </c>
      <c r="R43" s="100" t="str">
        <f>IF(ISBLANK('ALL Other SINs - Proposal'!AA43)," ",ROUND(Q43,2))</f>
        <v xml:space="preserve"> </v>
      </c>
      <c r="S43" s="54"/>
    </row>
    <row r="44" spans="1:19" ht="20.100000000000001" customHeight="1" x14ac:dyDescent="0.2">
      <c r="A44" s="127">
        <f>'ALL Other SINs - Proposal'!A44</f>
        <v>0</v>
      </c>
      <c r="B44" s="121">
        <f>'ALL Other SINs - Proposal'!B44</f>
        <v>0</v>
      </c>
      <c r="C44" s="121">
        <f>'ALL Other SINs - Proposal'!C44</f>
        <v>0</v>
      </c>
      <c r="D44" s="121">
        <f>'ALL Other SINs - Proposal'!D44</f>
        <v>0</v>
      </c>
      <c r="E44" s="121">
        <f>'ALL Other SINs - Proposal'!E44</f>
        <v>0</v>
      </c>
      <c r="F44" s="171">
        <f>'ALL Other SINs - Proposal'!F44</f>
        <v>0</v>
      </c>
      <c r="G44" s="51">
        <f>'ALL Other SINs - Proposal'!G44</f>
        <v>0</v>
      </c>
      <c r="H44" s="125">
        <f>'ALL Other SINs - Proposal'!H44</f>
        <v>0</v>
      </c>
      <c r="I44" s="125">
        <f>'ALL Other SINs - Proposal'!I44</f>
        <v>0</v>
      </c>
      <c r="J44" s="125">
        <f>'ALL Other SINs - Proposal'!J44</f>
        <v>0</v>
      </c>
      <c r="K44" s="125">
        <f>'ALL Other SINs - Proposal'!K44</f>
        <v>0</v>
      </c>
      <c r="L44" s="125">
        <f>'ALL Other SINs - Proposal'!L44</f>
        <v>0</v>
      </c>
      <c r="M44" s="206">
        <f>'ALL Other SINs - Proposal'!M44</f>
        <v>0</v>
      </c>
      <c r="N44" s="251">
        <f>'ALL Other SINs - Proposal'!V44</f>
        <v>0</v>
      </c>
      <c r="O44" s="201" t="str">
        <f>'Price Analysis'!N44</f>
        <v xml:space="preserve"> </v>
      </c>
      <c r="P44" s="53" t="str">
        <f>IF(ISBLANK('ALL Other SINs - Proposal'!AA44)," ",'ALL Other SINs - Proposal'!AA44)</f>
        <v xml:space="preserve"> </v>
      </c>
      <c r="Q44" s="95" t="str">
        <f>'ALL Other SINs - Proposal'!AC44</f>
        <v xml:space="preserve"> </v>
      </c>
      <c r="R44" s="100" t="str">
        <f>IF(ISBLANK('ALL Other SINs - Proposal'!AA44)," ",ROUND(Q44,2))</f>
        <v xml:space="preserve"> </v>
      </c>
      <c r="S44" s="54"/>
    </row>
    <row r="45" spans="1:19" ht="20.100000000000001" customHeight="1" x14ac:dyDescent="0.2">
      <c r="A45" s="127">
        <f>'ALL Other SINs - Proposal'!A45</f>
        <v>0</v>
      </c>
      <c r="B45" s="121">
        <f>'ALL Other SINs - Proposal'!B45</f>
        <v>0</v>
      </c>
      <c r="C45" s="121">
        <f>'ALL Other SINs - Proposal'!C45</f>
        <v>0</v>
      </c>
      <c r="D45" s="121">
        <f>'ALL Other SINs - Proposal'!D45</f>
        <v>0</v>
      </c>
      <c r="E45" s="121">
        <f>'ALL Other SINs - Proposal'!E45</f>
        <v>0</v>
      </c>
      <c r="F45" s="171">
        <f>'ALL Other SINs - Proposal'!F45</f>
        <v>0</v>
      </c>
      <c r="G45" s="51">
        <f>'ALL Other SINs - Proposal'!G45</f>
        <v>0</v>
      </c>
      <c r="H45" s="125">
        <f>'ALL Other SINs - Proposal'!H45</f>
        <v>0</v>
      </c>
      <c r="I45" s="125">
        <f>'ALL Other SINs - Proposal'!I45</f>
        <v>0</v>
      </c>
      <c r="J45" s="125">
        <f>'ALL Other SINs - Proposal'!J45</f>
        <v>0</v>
      </c>
      <c r="K45" s="125">
        <f>'ALL Other SINs - Proposal'!K45</f>
        <v>0</v>
      </c>
      <c r="L45" s="125">
        <f>'ALL Other SINs - Proposal'!L45</f>
        <v>0</v>
      </c>
      <c r="M45" s="206">
        <f>'ALL Other SINs - Proposal'!M45</f>
        <v>0</v>
      </c>
      <c r="N45" s="251">
        <f>'ALL Other SINs - Proposal'!V45</f>
        <v>0</v>
      </c>
      <c r="O45" s="201" t="str">
        <f>'Price Analysis'!N45</f>
        <v xml:space="preserve"> </v>
      </c>
      <c r="P45" s="53" t="str">
        <f>IF(ISBLANK('ALL Other SINs - Proposal'!AA45)," ",'ALL Other SINs - Proposal'!AA45)</f>
        <v xml:space="preserve"> </v>
      </c>
      <c r="Q45" s="95" t="str">
        <f>'ALL Other SINs - Proposal'!AC45</f>
        <v xml:space="preserve"> </v>
      </c>
      <c r="R45" s="100" t="str">
        <f>IF(ISBLANK('ALL Other SINs - Proposal'!AA45)," ",ROUND(Q45,2))</f>
        <v xml:space="preserve"> </v>
      </c>
      <c r="S45" s="54"/>
    </row>
    <row r="46" spans="1:19" ht="20.100000000000001" customHeight="1" x14ac:dyDescent="0.2">
      <c r="A46" s="127">
        <f>'ALL Other SINs - Proposal'!A46</f>
        <v>0</v>
      </c>
      <c r="B46" s="121">
        <f>'ALL Other SINs - Proposal'!B46</f>
        <v>0</v>
      </c>
      <c r="C46" s="121">
        <f>'ALL Other SINs - Proposal'!C46</f>
        <v>0</v>
      </c>
      <c r="D46" s="121">
        <f>'ALL Other SINs - Proposal'!D46</f>
        <v>0</v>
      </c>
      <c r="E46" s="121">
        <f>'ALL Other SINs - Proposal'!E46</f>
        <v>0</v>
      </c>
      <c r="F46" s="171">
        <f>'ALL Other SINs - Proposal'!F46</f>
        <v>0</v>
      </c>
      <c r="G46" s="51">
        <f>'ALL Other SINs - Proposal'!G46</f>
        <v>0</v>
      </c>
      <c r="H46" s="125">
        <f>'ALL Other SINs - Proposal'!H46</f>
        <v>0</v>
      </c>
      <c r="I46" s="125">
        <f>'ALL Other SINs - Proposal'!I46</f>
        <v>0</v>
      </c>
      <c r="J46" s="125">
        <f>'ALL Other SINs - Proposal'!J46</f>
        <v>0</v>
      </c>
      <c r="K46" s="125">
        <f>'ALL Other SINs - Proposal'!K46</f>
        <v>0</v>
      </c>
      <c r="L46" s="125">
        <f>'ALL Other SINs - Proposal'!L46</f>
        <v>0</v>
      </c>
      <c r="M46" s="206">
        <f>'ALL Other SINs - Proposal'!M46</f>
        <v>0</v>
      </c>
      <c r="N46" s="251">
        <f>'ALL Other SINs - Proposal'!V46</f>
        <v>0</v>
      </c>
      <c r="O46" s="201" t="str">
        <f>'Price Analysis'!N46</f>
        <v xml:space="preserve"> </v>
      </c>
      <c r="P46" s="53" t="str">
        <f>IF(ISBLANK('ALL Other SINs - Proposal'!AA46)," ",'ALL Other SINs - Proposal'!AA46)</f>
        <v xml:space="preserve"> </v>
      </c>
      <c r="Q46" s="95" t="str">
        <f>'ALL Other SINs - Proposal'!AC46</f>
        <v xml:space="preserve"> </v>
      </c>
      <c r="R46" s="100" t="str">
        <f>IF(ISBLANK('ALL Other SINs - Proposal'!AA46)," ",ROUND(Q46,2))</f>
        <v xml:space="preserve"> </v>
      </c>
      <c r="S46" s="54"/>
    </row>
    <row r="47" spans="1:19" ht="20.100000000000001" customHeight="1" x14ac:dyDescent="0.2">
      <c r="A47" s="127">
        <f>'ALL Other SINs - Proposal'!A47</f>
        <v>0</v>
      </c>
      <c r="B47" s="121">
        <f>'ALL Other SINs - Proposal'!B47</f>
        <v>0</v>
      </c>
      <c r="C47" s="121">
        <f>'ALL Other SINs - Proposal'!C47</f>
        <v>0</v>
      </c>
      <c r="D47" s="121">
        <f>'ALL Other SINs - Proposal'!D47</f>
        <v>0</v>
      </c>
      <c r="E47" s="121">
        <f>'ALL Other SINs - Proposal'!E47</f>
        <v>0</v>
      </c>
      <c r="F47" s="171">
        <f>'ALL Other SINs - Proposal'!F47</f>
        <v>0</v>
      </c>
      <c r="G47" s="51">
        <f>'ALL Other SINs - Proposal'!G47</f>
        <v>0</v>
      </c>
      <c r="H47" s="125">
        <f>'ALL Other SINs - Proposal'!H47</f>
        <v>0</v>
      </c>
      <c r="I47" s="125">
        <f>'ALL Other SINs - Proposal'!I47</f>
        <v>0</v>
      </c>
      <c r="J47" s="125">
        <f>'ALL Other SINs - Proposal'!J47</f>
        <v>0</v>
      </c>
      <c r="K47" s="125">
        <f>'ALL Other SINs - Proposal'!K47</f>
        <v>0</v>
      </c>
      <c r="L47" s="125">
        <f>'ALL Other SINs - Proposal'!L47</f>
        <v>0</v>
      </c>
      <c r="M47" s="206">
        <f>'ALL Other SINs - Proposal'!M47</f>
        <v>0</v>
      </c>
      <c r="N47" s="251">
        <f>'ALL Other SINs - Proposal'!V47</f>
        <v>0</v>
      </c>
      <c r="O47" s="201" t="str">
        <f>'Price Analysis'!N47</f>
        <v xml:space="preserve"> </v>
      </c>
      <c r="P47" s="53" t="str">
        <f>IF(ISBLANK('ALL Other SINs - Proposal'!AA47)," ",'ALL Other SINs - Proposal'!AA47)</f>
        <v xml:space="preserve"> </v>
      </c>
      <c r="Q47" s="95" t="str">
        <f>'ALL Other SINs - Proposal'!AC47</f>
        <v xml:space="preserve"> </v>
      </c>
      <c r="R47" s="100" t="str">
        <f>IF(ISBLANK('ALL Other SINs - Proposal'!AA47)," ",ROUND(Q47,2))</f>
        <v xml:space="preserve"> </v>
      </c>
      <c r="S47" s="54"/>
    </row>
    <row r="48" spans="1:19" ht="20.100000000000001" customHeight="1" x14ac:dyDescent="0.2">
      <c r="A48" s="127">
        <f>'ALL Other SINs - Proposal'!A48</f>
        <v>0</v>
      </c>
      <c r="B48" s="121">
        <f>'ALL Other SINs - Proposal'!B48</f>
        <v>0</v>
      </c>
      <c r="C48" s="121">
        <f>'ALL Other SINs - Proposal'!C48</f>
        <v>0</v>
      </c>
      <c r="D48" s="121">
        <f>'ALL Other SINs - Proposal'!D48</f>
        <v>0</v>
      </c>
      <c r="E48" s="121">
        <f>'ALL Other SINs - Proposal'!E48</f>
        <v>0</v>
      </c>
      <c r="F48" s="171">
        <f>'ALL Other SINs - Proposal'!F48</f>
        <v>0</v>
      </c>
      <c r="G48" s="51">
        <f>'ALL Other SINs - Proposal'!G48</f>
        <v>0</v>
      </c>
      <c r="H48" s="125">
        <f>'ALL Other SINs - Proposal'!H48</f>
        <v>0</v>
      </c>
      <c r="I48" s="125">
        <f>'ALL Other SINs - Proposal'!I48</f>
        <v>0</v>
      </c>
      <c r="J48" s="125">
        <f>'ALL Other SINs - Proposal'!J48</f>
        <v>0</v>
      </c>
      <c r="K48" s="125">
        <f>'ALL Other SINs - Proposal'!K48</f>
        <v>0</v>
      </c>
      <c r="L48" s="125">
        <f>'ALL Other SINs - Proposal'!L48</f>
        <v>0</v>
      </c>
      <c r="M48" s="206">
        <f>'ALL Other SINs - Proposal'!M48</f>
        <v>0</v>
      </c>
      <c r="N48" s="251">
        <f>'ALL Other SINs - Proposal'!V48</f>
        <v>0</v>
      </c>
      <c r="O48" s="201" t="str">
        <f>'Price Analysis'!N48</f>
        <v xml:space="preserve"> </v>
      </c>
      <c r="P48" s="53" t="str">
        <f>IF(ISBLANK('ALL Other SINs - Proposal'!AA48)," ",'ALL Other SINs - Proposal'!AA48)</f>
        <v xml:space="preserve"> </v>
      </c>
      <c r="Q48" s="95" t="str">
        <f>'ALL Other SINs - Proposal'!AC48</f>
        <v xml:space="preserve"> </v>
      </c>
      <c r="R48" s="100" t="str">
        <f>IF(ISBLANK('ALL Other SINs - Proposal'!AA48)," ",ROUND(Q48,2))</f>
        <v xml:space="preserve"> </v>
      </c>
      <c r="S48" s="54"/>
    </row>
    <row r="49" spans="1:19" ht="20.100000000000001" customHeight="1" x14ac:dyDescent="0.2">
      <c r="A49" s="127">
        <f>'ALL Other SINs - Proposal'!A49</f>
        <v>0</v>
      </c>
      <c r="B49" s="121">
        <f>'ALL Other SINs - Proposal'!B49</f>
        <v>0</v>
      </c>
      <c r="C49" s="121">
        <f>'ALL Other SINs - Proposal'!C49</f>
        <v>0</v>
      </c>
      <c r="D49" s="121">
        <f>'ALL Other SINs - Proposal'!D49</f>
        <v>0</v>
      </c>
      <c r="E49" s="121">
        <f>'ALL Other SINs - Proposal'!E49</f>
        <v>0</v>
      </c>
      <c r="F49" s="171">
        <f>'ALL Other SINs - Proposal'!F49</f>
        <v>0</v>
      </c>
      <c r="G49" s="51">
        <f>'ALL Other SINs - Proposal'!G49</f>
        <v>0</v>
      </c>
      <c r="H49" s="125">
        <f>'ALL Other SINs - Proposal'!H49</f>
        <v>0</v>
      </c>
      <c r="I49" s="125">
        <f>'ALL Other SINs - Proposal'!I49</f>
        <v>0</v>
      </c>
      <c r="J49" s="125">
        <f>'ALL Other SINs - Proposal'!J49</f>
        <v>0</v>
      </c>
      <c r="K49" s="125">
        <f>'ALL Other SINs - Proposal'!K49</f>
        <v>0</v>
      </c>
      <c r="L49" s="125">
        <f>'ALL Other SINs - Proposal'!L49</f>
        <v>0</v>
      </c>
      <c r="M49" s="206">
        <f>'ALL Other SINs - Proposal'!M49</f>
        <v>0</v>
      </c>
      <c r="N49" s="251">
        <f>'ALL Other SINs - Proposal'!V49</f>
        <v>0</v>
      </c>
      <c r="O49" s="201" t="str">
        <f>'Price Analysis'!N49</f>
        <v xml:space="preserve"> </v>
      </c>
      <c r="P49" s="53" t="str">
        <f>IF(ISBLANK('ALL Other SINs - Proposal'!AA49)," ",'ALL Other SINs - Proposal'!AA49)</f>
        <v xml:space="preserve"> </v>
      </c>
      <c r="Q49" s="95" t="str">
        <f>'ALL Other SINs - Proposal'!AC49</f>
        <v xml:space="preserve"> </v>
      </c>
      <c r="R49" s="100" t="str">
        <f>IF(ISBLANK('ALL Other SINs - Proposal'!AA49)," ",ROUND(Q49,2))</f>
        <v xml:space="preserve"> </v>
      </c>
      <c r="S49" s="54"/>
    </row>
    <row r="50" spans="1:19" ht="20.100000000000001" customHeight="1" x14ac:dyDescent="0.2">
      <c r="A50" s="127">
        <f>'ALL Other SINs - Proposal'!A50</f>
        <v>0</v>
      </c>
      <c r="B50" s="121">
        <f>'ALL Other SINs - Proposal'!B50</f>
        <v>0</v>
      </c>
      <c r="C50" s="121">
        <f>'ALL Other SINs - Proposal'!C50</f>
        <v>0</v>
      </c>
      <c r="D50" s="121">
        <f>'ALL Other SINs - Proposal'!D50</f>
        <v>0</v>
      </c>
      <c r="E50" s="121">
        <f>'ALL Other SINs - Proposal'!E50</f>
        <v>0</v>
      </c>
      <c r="F50" s="171">
        <f>'ALL Other SINs - Proposal'!F50</f>
        <v>0</v>
      </c>
      <c r="G50" s="51">
        <f>'ALL Other SINs - Proposal'!G50</f>
        <v>0</v>
      </c>
      <c r="H50" s="125">
        <f>'ALL Other SINs - Proposal'!H50</f>
        <v>0</v>
      </c>
      <c r="I50" s="125">
        <f>'ALL Other SINs - Proposal'!I50</f>
        <v>0</v>
      </c>
      <c r="J50" s="125">
        <f>'ALL Other SINs - Proposal'!J50</f>
        <v>0</v>
      </c>
      <c r="K50" s="125">
        <f>'ALL Other SINs - Proposal'!K50</f>
        <v>0</v>
      </c>
      <c r="L50" s="125">
        <f>'ALL Other SINs - Proposal'!L50</f>
        <v>0</v>
      </c>
      <c r="M50" s="206">
        <f>'ALL Other SINs - Proposal'!M50</f>
        <v>0</v>
      </c>
      <c r="N50" s="251">
        <f>'ALL Other SINs - Proposal'!V50</f>
        <v>0</v>
      </c>
      <c r="O50" s="201" t="str">
        <f>'Price Analysis'!N50</f>
        <v xml:space="preserve"> </v>
      </c>
      <c r="P50" s="53" t="str">
        <f>IF(ISBLANK('ALL Other SINs - Proposal'!AA50)," ",'ALL Other SINs - Proposal'!AA50)</f>
        <v xml:space="preserve"> </v>
      </c>
      <c r="Q50" s="95" t="str">
        <f>'ALL Other SINs - Proposal'!AC50</f>
        <v xml:space="preserve"> </v>
      </c>
      <c r="R50" s="100" t="str">
        <f>IF(ISBLANK('ALL Other SINs - Proposal'!AA50)," ",ROUND(Q50,2))</f>
        <v xml:space="preserve"> </v>
      </c>
      <c r="S50" s="54"/>
    </row>
    <row r="51" spans="1:19" ht="20.100000000000001" customHeight="1" x14ac:dyDescent="0.2">
      <c r="A51" s="127">
        <f>'ALL Other SINs - Proposal'!A51</f>
        <v>0</v>
      </c>
      <c r="B51" s="121">
        <f>'ALL Other SINs - Proposal'!B51</f>
        <v>0</v>
      </c>
      <c r="C51" s="121">
        <f>'ALL Other SINs - Proposal'!C51</f>
        <v>0</v>
      </c>
      <c r="D51" s="121">
        <f>'ALL Other SINs - Proposal'!D51</f>
        <v>0</v>
      </c>
      <c r="E51" s="121">
        <f>'ALL Other SINs - Proposal'!E51</f>
        <v>0</v>
      </c>
      <c r="F51" s="171">
        <f>'ALL Other SINs - Proposal'!F51</f>
        <v>0</v>
      </c>
      <c r="G51" s="51">
        <f>'ALL Other SINs - Proposal'!G51</f>
        <v>0</v>
      </c>
      <c r="H51" s="125">
        <f>'ALL Other SINs - Proposal'!H51</f>
        <v>0</v>
      </c>
      <c r="I51" s="125">
        <f>'ALL Other SINs - Proposal'!I51</f>
        <v>0</v>
      </c>
      <c r="J51" s="125">
        <f>'ALL Other SINs - Proposal'!J51</f>
        <v>0</v>
      </c>
      <c r="K51" s="125">
        <f>'ALL Other SINs - Proposal'!K51</f>
        <v>0</v>
      </c>
      <c r="L51" s="125">
        <f>'ALL Other SINs - Proposal'!L51</f>
        <v>0</v>
      </c>
      <c r="M51" s="206">
        <f>'ALL Other SINs - Proposal'!M51</f>
        <v>0</v>
      </c>
      <c r="N51" s="251">
        <f>'ALL Other SINs - Proposal'!V51</f>
        <v>0</v>
      </c>
      <c r="O51" s="201" t="str">
        <f>'Price Analysis'!N51</f>
        <v xml:space="preserve"> </v>
      </c>
      <c r="P51" s="53" t="str">
        <f>IF(ISBLANK('ALL Other SINs - Proposal'!AA51)," ",'ALL Other SINs - Proposal'!AA51)</f>
        <v xml:space="preserve"> </v>
      </c>
      <c r="Q51" s="95" t="str">
        <f>'ALL Other SINs - Proposal'!AC51</f>
        <v xml:space="preserve"> </v>
      </c>
      <c r="R51" s="100" t="str">
        <f>IF(ISBLANK('ALL Other SINs - Proposal'!AA51)," ",ROUND(Q51,2))</f>
        <v xml:space="preserve"> </v>
      </c>
      <c r="S51" s="54"/>
    </row>
    <row r="52" spans="1:19" ht="20.100000000000001" customHeight="1" x14ac:dyDescent="0.2">
      <c r="A52" s="127">
        <f>'ALL Other SINs - Proposal'!A52</f>
        <v>0</v>
      </c>
      <c r="B52" s="121">
        <f>'ALL Other SINs - Proposal'!B52</f>
        <v>0</v>
      </c>
      <c r="C52" s="121">
        <f>'ALL Other SINs - Proposal'!C52</f>
        <v>0</v>
      </c>
      <c r="D52" s="121">
        <f>'ALL Other SINs - Proposal'!D52</f>
        <v>0</v>
      </c>
      <c r="E52" s="121">
        <f>'ALL Other SINs - Proposal'!E52</f>
        <v>0</v>
      </c>
      <c r="F52" s="171">
        <f>'ALL Other SINs - Proposal'!F52</f>
        <v>0</v>
      </c>
      <c r="G52" s="51">
        <f>'ALL Other SINs - Proposal'!G52</f>
        <v>0</v>
      </c>
      <c r="H52" s="125">
        <f>'ALL Other SINs - Proposal'!H52</f>
        <v>0</v>
      </c>
      <c r="I52" s="125">
        <f>'ALL Other SINs - Proposal'!I52</f>
        <v>0</v>
      </c>
      <c r="J52" s="125">
        <f>'ALL Other SINs - Proposal'!J52</f>
        <v>0</v>
      </c>
      <c r="K52" s="125">
        <f>'ALL Other SINs - Proposal'!K52</f>
        <v>0</v>
      </c>
      <c r="L52" s="125">
        <f>'ALL Other SINs - Proposal'!L52</f>
        <v>0</v>
      </c>
      <c r="M52" s="206">
        <f>'ALL Other SINs - Proposal'!M52</f>
        <v>0</v>
      </c>
      <c r="N52" s="251">
        <f>'ALL Other SINs - Proposal'!V52</f>
        <v>0</v>
      </c>
      <c r="O52" s="201" t="str">
        <f>'Price Analysis'!N52</f>
        <v xml:space="preserve"> </v>
      </c>
      <c r="P52" s="53" t="str">
        <f>IF(ISBLANK('ALL Other SINs - Proposal'!AA52)," ",'ALL Other SINs - Proposal'!AA52)</f>
        <v xml:space="preserve"> </v>
      </c>
      <c r="Q52" s="95" t="str">
        <f>'ALL Other SINs - Proposal'!AC52</f>
        <v xml:space="preserve"> </v>
      </c>
      <c r="R52" s="100" t="str">
        <f>IF(ISBLANK('ALL Other SINs - Proposal'!AA52)," ",ROUND(Q52,2))</f>
        <v xml:space="preserve"> </v>
      </c>
      <c r="S52" s="54"/>
    </row>
    <row r="53" spans="1:19" ht="20.100000000000001" customHeight="1" x14ac:dyDescent="0.2">
      <c r="A53" s="127">
        <f>'ALL Other SINs - Proposal'!A53</f>
        <v>0</v>
      </c>
      <c r="B53" s="121">
        <f>'ALL Other SINs - Proposal'!B53</f>
        <v>0</v>
      </c>
      <c r="C53" s="121">
        <f>'ALL Other SINs - Proposal'!C53</f>
        <v>0</v>
      </c>
      <c r="D53" s="121">
        <f>'ALL Other SINs - Proposal'!D53</f>
        <v>0</v>
      </c>
      <c r="E53" s="121">
        <f>'ALL Other SINs - Proposal'!E53</f>
        <v>0</v>
      </c>
      <c r="F53" s="171">
        <f>'ALL Other SINs - Proposal'!F53</f>
        <v>0</v>
      </c>
      <c r="G53" s="51">
        <f>'ALL Other SINs - Proposal'!G53</f>
        <v>0</v>
      </c>
      <c r="H53" s="125">
        <f>'ALL Other SINs - Proposal'!H53</f>
        <v>0</v>
      </c>
      <c r="I53" s="125">
        <f>'ALL Other SINs - Proposal'!I53</f>
        <v>0</v>
      </c>
      <c r="J53" s="125">
        <f>'ALL Other SINs - Proposal'!J53</f>
        <v>0</v>
      </c>
      <c r="K53" s="125">
        <f>'ALL Other SINs - Proposal'!K53</f>
        <v>0</v>
      </c>
      <c r="L53" s="125">
        <f>'ALL Other SINs - Proposal'!L53</f>
        <v>0</v>
      </c>
      <c r="M53" s="206">
        <f>'ALL Other SINs - Proposal'!M53</f>
        <v>0</v>
      </c>
      <c r="N53" s="251">
        <f>'ALL Other SINs - Proposal'!V53</f>
        <v>0</v>
      </c>
      <c r="O53" s="201" t="str">
        <f>'Price Analysis'!N53</f>
        <v xml:space="preserve"> </v>
      </c>
      <c r="P53" s="53" t="str">
        <f>IF(ISBLANK('ALL Other SINs - Proposal'!AA53)," ",'ALL Other SINs - Proposal'!AA53)</f>
        <v xml:space="preserve"> </v>
      </c>
      <c r="Q53" s="95" t="str">
        <f>'ALL Other SINs - Proposal'!AC53</f>
        <v xml:space="preserve"> </v>
      </c>
      <c r="R53" s="100" t="str">
        <f>IF(ISBLANK('ALL Other SINs - Proposal'!AA53)," ",ROUND(Q53,2))</f>
        <v xml:space="preserve"> </v>
      </c>
      <c r="S53" s="54"/>
    </row>
    <row r="54" spans="1:19" ht="20.100000000000001" customHeight="1" x14ac:dyDescent="0.2">
      <c r="A54" s="127">
        <f>'ALL Other SINs - Proposal'!A54</f>
        <v>0</v>
      </c>
      <c r="B54" s="121">
        <f>'ALL Other SINs - Proposal'!B54</f>
        <v>0</v>
      </c>
      <c r="C54" s="121">
        <f>'ALL Other SINs - Proposal'!C54</f>
        <v>0</v>
      </c>
      <c r="D54" s="121">
        <f>'ALL Other SINs - Proposal'!D54</f>
        <v>0</v>
      </c>
      <c r="E54" s="121">
        <f>'ALL Other SINs - Proposal'!E54</f>
        <v>0</v>
      </c>
      <c r="F54" s="171">
        <f>'ALL Other SINs - Proposal'!F54</f>
        <v>0</v>
      </c>
      <c r="G54" s="51">
        <f>'ALL Other SINs - Proposal'!G54</f>
        <v>0</v>
      </c>
      <c r="H54" s="125">
        <f>'ALL Other SINs - Proposal'!H54</f>
        <v>0</v>
      </c>
      <c r="I54" s="125">
        <f>'ALL Other SINs - Proposal'!I54</f>
        <v>0</v>
      </c>
      <c r="J54" s="125">
        <f>'ALL Other SINs - Proposal'!J54</f>
        <v>0</v>
      </c>
      <c r="K54" s="125">
        <f>'ALL Other SINs - Proposal'!K54</f>
        <v>0</v>
      </c>
      <c r="L54" s="125">
        <f>'ALL Other SINs - Proposal'!L54</f>
        <v>0</v>
      </c>
      <c r="M54" s="206">
        <f>'ALL Other SINs - Proposal'!M54</f>
        <v>0</v>
      </c>
      <c r="N54" s="251">
        <f>'ALL Other SINs - Proposal'!V54</f>
        <v>0</v>
      </c>
      <c r="O54" s="201" t="str">
        <f>'Price Analysis'!N54</f>
        <v xml:space="preserve"> </v>
      </c>
      <c r="P54" s="53" t="str">
        <f>IF(ISBLANK('ALL Other SINs - Proposal'!AA54)," ",'ALL Other SINs - Proposal'!AA54)</f>
        <v xml:space="preserve"> </v>
      </c>
      <c r="Q54" s="95" t="str">
        <f>'ALL Other SINs - Proposal'!AC54</f>
        <v xml:space="preserve"> </v>
      </c>
      <c r="R54" s="100" t="str">
        <f>IF(ISBLANK('ALL Other SINs - Proposal'!AA54)," ",ROUND(Q54,2))</f>
        <v xml:space="preserve"> </v>
      </c>
      <c r="S54" s="54"/>
    </row>
    <row r="55" spans="1:19" ht="20.100000000000001" customHeight="1" x14ac:dyDescent="0.2">
      <c r="A55" s="127">
        <f>'ALL Other SINs - Proposal'!A55</f>
        <v>0</v>
      </c>
      <c r="B55" s="121">
        <f>'ALL Other SINs - Proposal'!B55</f>
        <v>0</v>
      </c>
      <c r="C55" s="121">
        <f>'ALL Other SINs - Proposal'!C55</f>
        <v>0</v>
      </c>
      <c r="D55" s="121">
        <f>'ALL Other SINs - Proposal'!D55</f>
        <v>0</v>
      </c>
      <c r="E55" s="121">
        <f>'ALL Other SINs - Proposal'!E55</f>
        <v>0</v>
      </c>
      <c r="F55" s="171">
        <f>'ALL Other SINs - Proposal'!F55</f>
        <v>0</v>
      </c>
      <c r="G55" s="51">
        <f>'ALL Other SINs - Proposal'!G55</f>
        <v>0</v>
      </c>
      <c r="H55" s="125">
        <f>'ALL Other SINs - Proposal'!H55</f>
        <v>0</v>
      </c>
      <c r="I55" s="125">
        <f>'ALL Other SINs - Proposal'!I55</f>
        <v>0</v>
      </c>
      <c r="J55" s="125">
        <f>'ALL Other SINs - Proposal'!J55</f>
        <v>0</v>
      </c>
      <c r="K55" s="125">
        <f>'ALL Other SINs - Proposal'!K55</f>
        <v>0</v>
      </c>
      <c r="L55" s="125">
        <f>'ALL Other SINs - Proposal'!L55</f>
        <v>0</v>
      </c>
      <c r="M55" s="206">
        <f>'ALL Other SINs - Proposal'!M55</f>
        <v>0</v>
      </c>
      <c r="N55" s="251">
        <f>'ALL Other SINs - Proposal'!V55</f>
        <v>0</v>
      </c>
      <c r="O55" s="201" t="str">
        <f>'Price Analysis'!N55</f>
        <v xml:space="preserve"> </v>
      </c>
      <c r="P55" s="53" t="str">
        <f>IF(ISBLANK('ALL Other SINs - Proposal'!AA55)," ",'ALL Other SINs - Proposal'!AA55)</f>
        <v xml:space="preserve"> </v>
      </c>
      <c r="Q55" s="95" t="str">
        <f>'ALL Other SINs - Proposal'!AC55</f>
        <v xml:space="preserve"> </v>
      </c>
      <c r="R55" s="100" t="str">
        <f>IF(ISBLANK('ALL Other SINs - Proposal'!AA55)," ",ROUND(Q55,2))</f>
        <v xml:space="preserve"> </v>
      </c>
      <c r="S55" s="54"/>
    </row>
    <row r="56" spans="1:19" ht="20.100000000000001" customHeight="1" x14ac:dyDescent="0.2">
      <c r="A56" s="127">
        <f>'ALL Other SINs - Proposal'!A56</f>
        <v>0</v>
      </c>
      <c r="B56" s="121">
        <f>'ALL Other SINs - Proposal'!B56</f>
        <v>0</v>
      </c>
      <c r="C56" s="121">
        <f>'ALL Other SINs - Proposal'!C56</f>
        <v>0</v>
      </c>
      <c r="D56" s="121">
        <f>'ALL Other SINs - Proposal'!D56</f>
        <v>0</v>
      </c>
      <c r="E56" s="121">
        <f>'ALL Other SINs - Proposal'!E56</f>
        <v>0</v>
      </c>
      <c r="F56" s="171">
        <f>'ALL Other SINs - Proposal'!F56</f>
        <v>0</v>
      </c>
      <c r="G56" s="51">
        <f>'ALL Other SINs - Proposal'!G56</f>
        <v>0</v>
      </c>
      <c r="H56" s="125">
        <f>'ALL Other SINs - Proposal'!H56</f>
        <v>0</v>
      </c>
      <c r="I56" s="125">
        <f>'ALL Other SINs - Proposal'!I56</f>
        <v>0</v>
      </c>
      <c r="J56" s="125">
        <f>'ALL Other SINs - Proposal'!J56</f>
        <v>0</v>
      </c>
      <c r="K56" s="125">
        <f>'ALL Other SINs - Proposal'!K56</f>
        <v>0</v>
      </c>
      <c r="L56" s="125">
        <f>'ALL Other SINs - Proposal'!L56</f>
        <v>0</v>
      </c>
      <c r="M56" s="206">
        <f>'ALL Other SINs - Proposal'!M56</f>
        <v>0</v>
      </c>
      <c r="N56" s="251">
        <f>'ALL Other SINs - Proposal'!V56</f>
        <v>0</v>
      </c>
      <c r="O56" s="201" t="str">
        <f>'Price Analysis'!N56</f>
        <v xml:space="preserve"> </v>
      </c>
      <c r="P56" s="53" t="str">
        <f>IF(ISBLANK('ALL Other SINs - Proposal'!AA56)," ",'ALL Other SINs - Proposal'!AA56)</f>
        <v xml:space="preserve"> </v>
      </c>
      <c r="Q56" s="95" t="str">
        <f>'ALL Other SINs - Proposal'!AC56</f>
        <v xml:space="preserve"> </v>
      </c>
      <c r="R56" s="100" t="str">
        <f>IF(ISBLANK('ALL Other SINs - Proposal'!AA56)," ",ROUND(Q56,2))</f>
        <v xml:space="preserve"> </v>
      </c>
      <c r="S56" s="54"/>
    </row>
    <row r="57" spans="1:19" ht="20.100000000000001" customHeight="1" x14ac:dyDescent="0.2">
      <c r="A57" s="127">
        <f>'ALL Other SINs - Proposal'!A57</f>
        <v>0</v>
      </c>
      <c r="B57" s="121">
        <f>'ALL Other SINs - Proposal'!B57</f>
        <v>0</v>
      </c>
      <c r="C57" s="121">
        <f>'ALL Other SINs - Proposal'!C57</f>
        <v>0</v>
      </c>
      <c r="D57" s="121">
        <f>'ALL Other SINs - Proposal'!D57</f>
        <v>0</v>
      </c>
      <c r="E57" s="121">
        <f>'ALL Other SINs - Proposal'!E57</f>
        <v>0</v>
      </c>
      <c r="F57" s="171">
        <f>'ALL Other SINs - Proposal'!F57</f>
        <v>0</v>
      </c>
      <c r="G57" s="51">
        <f>'ALL Other SINs - Proposal'!G57</f>
        <v>0</v>
      </c>
      <c r="H57" s="125">
        <f>'ALL Other SINs - Proposal'!H57</f>
        <v>0</v>
      </c>
      <c r="I57" s="125">
        <f>'ALL Other SINs - Proposal'!I57</f>
        <v>0</v>
      </c>
      <c r="J57" s="125">
        <f>'ALL Other SINs - Proposal'!J57</f>
        <v>0</v>
      </c>
      <c r="K57" s="125">
        <f>'ALL Other SINs - Proposal'!K57</f>
        <v>0</v>
      </c>
      <c r="L57" s="125">
        <f>'ALL Other SINs - Proposal'!L57</f>
        <v>0</v>
      </c>
      <c r="M57" s="206">
        <f>'ALL Other SINs - Proposal'!M57</f>
        <v>0</v>
      </c>
      <c r="N57" s="251">
        <f>'ALL Other SINs - Proposal'!V57</f>
        <v>0</v>
      </c>
      <c r="O57" s="201" t="str">
        <f>'Price Analysis'!N57</f>
        <v xml:space="preserve"> </v>
      </c>
      <c r="P57" s="53" t="str">
        <f>IF(ISBLANK('ALL Other SINs - Proposal'!AA57)," ",'ALL Other SINs - Proposal'!AA57)</f>
        <v xml:space="preserve"> </v>
      </c>
      <c r="Q57" s="95" t="str">
        <f>'ALL Other SINs - Proposal'!AC57</f>
        <v xml:space="preserve"> </v>
      </c>
      <c r="R57" s="100" t="str">
        <f>IF(ISBLANK('ALL Other SINs - Proposal'!AA57)," ",ROUND(Q57,2))</f>
        <v xml:space="preserve"> </v>
      </c>
      <c r="S57" s="54"/>
    </row>
    <row r="58" spans="1:19" ht="20.100000000000001" customHeight="1" x14ac:dyDescent="0.2">
      <c r="A58" s="127">
        <f>'ALL Other SINs - Proposal'!A58</f>
        <v>0</v>
      </c>
      <c r="B58" s="121">
        <f>'ALL Other SINs - Proposal'!B58</f>
        <v>0</v>
      </c>
      <c r="C58" s="121">
        <f>'ALL Other SINs - Proposal'!C58</f>
        <v>0</v>
      </c>
      <c r="D58" s="121">
        <f>'ALL Other SINs - Proposal'!D58</f>
        <v>0</v>
      </c>
      <c r="E58" s="121">
        <f>'ALL Other SINs - Proposal'!E58</f>
        <v>0</v>
      </c>
      <c r="F58" s="171">
        <f>'ALL Other SINs - Proposal'!F58</f>
        <v>0</v>
      </c>
      <c r="G58" s="51">
        <f>'ALL Other SINs - Proposal'!G58</f>
        <v>0</v>
      </c>
      <c r="H58" s="125">
        <f>'ALL Other SINs - Proposal'!H58</f>
        <v>0</v>
      </c>
      <c r="I58" s="125">
        <f>'ALL Other SINs - Proposal'!I58</f>
        <v>0</v>
      </c>
      <c r="J58" s="125">
        <f>'ALL Other SINs - Proposal'!J58</f>
        <v>0</v>
      </c>
      <c r="K58" s="125">
        <f>'ALL Other SINs - Proposal'!K58</f>
        <v>0</v>
      </c>
      <c r="L58" s="125">
        <f>'ALL Other SINs - Proposal'!L58</f>
        <v>0</v>
      </c>
      <c r="M58" s="206">
        <f>'ALL Other SINs - Proposal'!M58</f>
        <v>0</v>
      </c>
      <c r="N58" s="251">
        <f>'ALL Other SINs - Proposal'!V58</f>
        <v>0</v>
      </c>
      <c r="O58" s="201" t="str">
        <f>'Price Analysis'!N58</f>
        <v xml:space="preserve"> </v>
      </c>
      <c r="P58" s="53" t="str">
        <f>IF(ISBLANK('ALL Other SINs - Proposal'!AA58)," ",'ALL Other SINs - Proposal'!AA58)</f>
        <v xml:space="preserve"> </v>
      </c>
      <c r="Q58" s="95" t="str">
        <f>'ALL Other SINs - Proposal'!AC58</f>
        <v xml:space="preserve"> </v>
      </c>
      <c r="R58" s="100" t="str">
        <f>IF(ISBLANK('ALL Other SINs - Proposal'!AA58)," ",ROUND(Q58,2))</f>
        <v xml:space="preserve"> </v>
      </c>
      <c r="S58" s="54"/>
    </row>
    <row r="59" spans="1:19" ht="20.100000000000001" customHeight="1" x14ac:dyDescent="0.2">
      <c r="A59" s="127">
        <f>'ALL Other SINs - Proposal'!A59</f>
        <v>0</v>
      </c>
      <c r="B59" s="121">
        <f>'ALL Other SINs - Proposal'!B59</f>
        <v>0</v>
      </c>
      <c r="C59" s="121">
        <f>'ALL Other SINs - Proposal'!C59</f>
        <v>0</v>
      </c>
      <c r="D59" s="121">
        <f>'ALL Other SINs - Proposal'!D59</f>
        <v>0</v>
      </c>
      <c r="E59" s="121">
        <f>'ALL Other SINs - Proposal'!E59</f>
        <v>0</v>
      </c>
      <c r="F59" s="171">
        <f>'ALL Other SINs - Proposal'!F59</f>
        <v>0</v>
      </c>
      <c r="G59" s="51">
        <f>'ALL Other SINs - Proposal'!G59</f>
        <v>0</v>
      </c>
      <c r="H59" s="125">
        <f>'ALL Other SINs - Proposal'!H59</f>
        <v>0</v>
      </c>
      <c r="I59" s="125">
        <f>'ALL Other SINs - Proposal'!I59</f>
        <v>0</v>
      </c>
      <c r="J59" s="125">
        <f>'ALL Other SINs - Proposal'!J59</f>
        <v>0</v>
      </c>
      <c r="K59" s="125">
        <f>'ALL Other SINs - Proposal'!K59</f>
        <v>0</v>
      </c>
      <c r="L59" s="125">
        <f>'ALL Other SINs - Proposal'!L59</f>
        <v>0</v>
      </c>
      <c r="M59" s="206">
        <f>'ALL Other SINs - Proposal'!M59</f>
        <v>0</v>
      </c>
      <c r="N59" s="251">
        <f>'ALL Other SINs - Proposal'!V59</f>
        <v>0</v>
      </c>
      <c r="O59" s="201" t="str">
        <f>'Price Analysis'!N59</f>
        <v xml:space="preserve"> </v>
      </c>
      <c r="P59" s="53" t="str">
        <f>IF(ISBLANK('ALL Other SINs - Proposal'!AA59)," ",'ALL Other SINs - Proposal'!AA59)</f>
        <v xml:space="preserve"> </v>
      </c>
      <c r="Q59" s="95" t="str">
        <f>'ALL Other SINs - Proposal'!AC59</f>
        <v xml:space="preserve"> </v>
      </c>
      <c r="R59" s="100" t="str">
        <f>IF(ISBLANK('ALL Other SINs - Proposal'!AA59)," ",ROUND(Q59,2))</f>
        <v xml:space="preserve"> </v>
      </c>
      <c r="S59" s="54"/>
    </row>
    <row r="60" spans="1:19" ht="20.100000000000001" customHeight="1" x14ac:dyDescent="0.2">
      <c r="A60" s="127">
        <f>'ALL Other SINs - Proposal'!A60</f>
        <v>0</v>
      </c>
      <c r="B60" s="121">
        <f>'ALL Other SINs - Proposal'!B60</f>
        <v>0</v>
      </c>
      <c r="C60" s="121">
        <f>'ALL Other SINs - Proposal'!C60</f>
        <v>0</v>
      </c>
      <c r="D60" s="121">
        <f>'ALL Other SINs - Proposal'!D60</f>
        <v>0</v>
      </c>
      <c r="E60" s="121">
        <f>'ALL Other SINs - Proposal'!E60</f>
        <v>0</v>
      </c>
      <c r="F60" s="171">
        <f>'ALL Other SINs - Proposal'!F60</f>
        <v>0</v>
      </c>
      <c r="G60" s="51">
        <f>'ALL Other SINs - Proposal'!G60</f>
        <v>0</v>
      </c>
      <c r="H60" s="125">
        <f>'ALL Other SINs - Proposal'!H60</f>
        <v>0</v>
      </c>
      <c r="I60" s="125">
        <f>'ALL Other SINs - Proposal'!I60</f>
        <v>0</v>
      </c>
      <c r="J60" s="125">
        <f>'ALL Other SINs - Proposal'!J60</f>
        <v>0</v>
      </c>
      <c r="K60" s="125">
        <f>'ALL Other SINs - Proposal'!K60</f>
        <v>0</v>
      </c>
      <c r="L60" s="125">
        <f>'ALL Other SINs - Proposal'!L60</f>
        <v>0</v>
      </c>
      <c r="M60" s="206">
        <f>'ALL Other SINs - Proposal'!M60</f>
        <v>0</v>
      </c>
      <c r="N60" s="251">
        <f>'ALL Other SINs - Proposal'!V60</f>
        <v>0</v>
      </c>
      <c r="O60" s="201" t="str">
        <f>'Price Analysis'!N60</f>
        <v xml:space="preserve"> </v>
      </c>
      <c r="P60" s="53" t="str">
        <f>IF(ISBLANK('ALL Other SINs - Proposal'!AA60)," ",'ALL Other SINs - Proposal'!AA60)</f>
        <v xml:space="preserve"> </v>
      </c>
      <c r="Q60" s="95" t="str">
        <f>'ALL Other SINs - Proposal'!AC60</f>
        <v xml:space="preserve"> </v>
      </c>
      <c r="R60" s="100" t="str">
        <f>IF(ISBLANK('ALL Other SINs - Proposal'!AA60)," ",ROUND(Q60,2))</f>
        <v xml:space="preserve"> </v>
      </c>
      <c r="S60" s="54"/>
    </row>
    <row r="61" spans="1:19" ht="20.100000000000001" customHeight="1" x14ac:dyDescent="0.2">
      <c r="A61" s="127">
        <f>'ALL Other SINs - Proposal'!A61</f>
        <v>0</v>
      </c>
      <c r="B61" s="121">
        <f>'ALL Other SINs - Proposal'!B61</f>
        <v>0</v>
      </c>
      <c r="C61" s="121">
        <f>'ALL Other SINs - Proposal'!C61</f>
        <v>0</v>
      </c>
      <c r="D61" s="121">
        <f>'ALL Other SINs - Proposal'!D61</f>
        <v>0</v>
      </c>
      <c r="E61" s="121">
        <f>'ALL Other SINs - Proposal'!E61</f>
        <v>0</v>
      </c>
      <c r="F61" s="171">
        <f>'ALL Other SINs - Proposal'!F61</f>
        <v>0</v>
      </c>
      <c r="G61" s="51">
        <f>'ALL Other SINs - Proposal'!G61</f>
        <v>0</v>
      </c>
      <c r="H61" s="125">
        <f>'ALL Other SINs - Proposal'!H61</f>
        <v>0</v>
      </c>
      <c r="I61" s="125">
        <f>'ALL Other SINs - Proposal'!I61</f>
        <v>0</v>
      </c>
      <c r="J61" s="125">
        <f>'ALL Other SINs - Proposal'!J61</f>
        <v>0</v>
      </c>
      <c r="K61" s="125">
        <f>'ALL Other SINs - Proposal'!K61</f>
        <v>0</v>
      </c>
      <c r="L61" s="125">
        <f>'ALL Other SINs - Proposal'!L61</f>
        <v>0</v>
      </c>
      <c r="M61" s="206">
        <f>'ALL Other SINs - Proposal'!M61</f>
        <v>0</v>
      </c>
      <c r="N61" s="251">
        <f>'ALL Other SINs - Proposal'!V61</f>
        <v>0</v>
      </c>
      <c r="O61" s="201" t="str">
        <f>'Price Analysis'!N61</f>
        <v xml:space="preserve"> </v>
      </c>
      <c r="P61" s="53" t="str">
        <f>IF(ISBLANK('ALL Other SINs - Proposal'!AA61)," ",'ALL Other SINs - Proposal'!AA61)</f>
        <v xml:space="preserve"> </v>
      </c>
      <c r="Q61" s="95" t="str">
        <f>'ALL Other SINs - Proposal'!AC61</f>
        <v xml:space="preserve"> </v>
      </c>
      <c r="R61" s="100" t="str">
        <f>IF(ISBLANK('ALL Other SINs - Proposal'!AA61)," ",ROUND(Q61,2))</f>
        <v xml:space="preserve"> </v>
      </c>
      <c r="S61" s="54"/>
    </row>
    <row r="62" spans="1:19" ht="20.100000000000001" customHeight="1" x14ac:dyDescent="0.2">
      <c r="A62" s="127">
        <f>'ALL Other SINs - Proposal'!A62</f>
        <v>0</v>
      </c>
      <c r="B62" s="121">
        <f>'ALL Other SINs - Proposal'!B62</f>
        <v>0</v>
      </c>
      <c r="C62" s="121">
        <f>'ALL Other SINs - Proposal'!C62</f>
        <v>0</v>
      </c>
      <c r="D62" s="121">
        <f>'ALL Other SINs - Proposal'!D62</f>
        <v>0</v>
      </c>
      <c r="E62" s="121">
        <f>'ALL Other SINs - Proposal'!E62</f>
        <v>0</v>
      </c>
      <c r="F62" s="171">
        <f>'ALL Other SINs - Proposal'!F62</f>
        <v>0</v>
      </c>
      <c r="G62" s="51">
        <f>'ALL Other SINs - Proposal'!G62</f>
        <v>0</v>
      </c>
      <c r="H62" s="125">
        <f>'ALL Other SINs - Proposal'!H62</f>
        <v>0</v>
      </c>
      <c r="I62" s="125">
        <f>'ALL Other SINs - Proposal'!I62</f>
        <v>0</v>
      </c>
      <c r="J62" s="125">
        <f>'ALL Other SINs - Proposal'!J62</f>
        <v>0</v>
      </c>
      <c r="K62" s="125">
        <f>'ALL Other SINs - Proposal'!K62</f>
        <v>0</v>
      </c>
      <c r="L62" s="125">
        <f>'ALL Other SINs - Proposal'!L62</f>
        <v>0</v>
      </c>
      <c r="M62" s="206">
        <f>'ALL Other SINs - Proposal'!M62</f>
        <v>0</v>
      </c>
      <c r="N62" s="251">
        <f>'ALL Other SINs - Proposal'!V62</f>
        <v>0</v>
      </c>
      <c r="O62" s="201" t="str">
        <f>'Price Analysis'!N62</f>
        <v xml:space="preserve"> </v>
      </c>
      <c r="P62" s="53" t="str">
        <f>IF(ISBLANK('ALL Other SINs - Proposal'!AA62)," ",'ALL Other SINs - Proposal'!AA62)</f>
        <v xml:space="preserve"> </v>
      </c>
      <c r="Q62" s="95" t="str">
        <f>'ALL Other SINs - Proposal'!AC62</f>
        <v xml:space="preserve"> </v>
      </c>
      <c r="R62" s="100" t="str">
        <f>IF(ISBLANK('ALL Other SINs - Proposal'!AA62)," ",ROUND(Q62,2))</f>
        <v xml:space="preserve"> </v>
      </c>
      <c r="S62" s="54"/>
    </row>
    <row r="63" spans="1:19" ht="20.100000000000001" customHeight="1" x14ac:dyDescent="0.2">
      <c r="A63" s="127">
        <f>'ALL Other SINs - Proposal'!A63</f>
        <v>0</v>
      </c>
      <c r="B63" s="121">
        <f>'ALL Other SINs - Proposal'!B63</f>
        <v>0</v>
      </c>
      <c r="C63" s="121">
        <f>'ALL Other SINs - Proposal'!C63</f>
        <v>0</v>
      </c>
      <c r="D63" s="121">
        <f>'ALL Other SINs - Proposal'!D63</f>
        <v>0</v>
      </c>
      <c r="E63" s="121">
        <f>'ALL Other SINs - Proposal'!E63</f>
        <v>0</v>
      </c>
      <c r="F63" s="171">
        <f>'ALL Other SINs - Proposal'!F63</f>
        <v>0</v>
      </c>
      <c r="G63" s="51">
        <f>'ALL Other SINs - Proposal'!G63</f>
        <v>0</v>
      </c>
      <c r="H63" s="125">
        <f>'ALL Other SINs - Proposal'!H63</f>
        <v>0</v>
      </c>
      <c r="I63" s="125">
        <f>'ALL Other SINs - Proposal'!I63</f>
        <v>0</v>
      </c>
      <c r="J63" s="125">
        <f>'ALL Other SINs - Proposal'!J63</f>
        <v>0</v>
      </c>
      <c r="K63" s="125">
        <f>'ALL Other SINs - Proposal'!K63</f>
        <v>0</v>
      </c>
      <c r="L63" s="125">
        <f>'ALL Other SINs - Proposal'!L63</f>
        <v>0</v>
      </c>
      <c r="M63" s="206">
        <f>'ALL Other SINs - Proposal'!M63</f>
        <v>0</v>
      </c>
      <c r="N63" s="251">
        <f>'ALL Other SINs - Proposal'!V63</f>
        <v>0</v>
      </c>
      <c r="O63" s="201" t="str">
        <f>'Price Analysis'!N63</f>
        <v xml:space="preserve"> </v>
      </c>
      <c r="P63" s="53" t="str">
        <f>IF(ISBLANK('ALL Other SINs - Proposal'!AA63)," ",'ALL Other SINs - Proposal'!AA63)</f>
        <v xml:space="preserve"> </v>
      </c>
      <c r="Q63" s="95" t="str">
        <f>'ALL Other SINs - Proposal'!AC63</f>
        <v xml:space="preserve"> </v>
      </c>
      <c r="R63" s="100" t="str">
        <f>IF(ISBLANK('ALL Other SINs - Proposal'!AA63)," ",ROUND(Q63,2))</f>
        <v xml:space="preserve"> </v>
      </c>
      <c r="S63" s="54"/>
    </row>
    <row r="64" spans="1:19" ht="20.100000000000001" customHeight="1" x14ac:dyDescent="0.2">
      <c r="A64" s="127">
        <f>'ALL Other SINs - Proposal'!A64</f>
        <v>0</v>
      </c>
      <c r="B64" s="121">
        <f>'ALL Other SINs - Proposal'!B64</f>
        <v>0</v>
      </c>
      <c r="C64" s="121">
        <f>'ALL Other SINs - Proposal'!C64</f>
        <v>0</v>
      </c>
      <c r="D64" s="121">
        <f>'ALL Other SINs - Proposal'!D64</f>
        <v>0</v>
      </c>
      <c r="E64" s="121">
        <f>'ALL Other SINs - Proposal'!E64</f>
        <v>0</v>
      </c>
      <c r="F64" s="171">
        <f>'ALL Other SINs - Proposal'!F64</f>
        <v>0</v>
      </c>
      <c r="G64" s="51">
        <f>'ALL Other SINs - Proposal'!G64</f>
        <v>0</v>
      </c>
      <c r="H64" s="125">
        <f>'ALL Other SINs - Proposal'!H64</f>
        <v>0</v>
      </c>
      <c r="I64" s="125">
        <f>'ALL Other SINs - Proposal'!I64</f>
        <v>0</v>
      </c>
      <c r="J64" s="125">
        <f>'ALL Other SINs - Proposal'!J64</f>
        <v>0</v>
      </c>
      <c r="K64" s="125">
        <f>'ALL Other SINs - Proposal'!K64</f>
        <v>0</v>
      </c>
      <c r="L64" s="125">
        <f>'ALL Other SINs - Proposal'!L64</f>
        <v>0</v>
      </c>
      <c r="M64" s="206">
        <f>'ALL Other SINs - Proposal'!M64</f>
        <v>0</v>
      </c>
      <c r="N64" s="251">
        <f>'ALL Other SINs - Proposal'!V64</f>
        <v>0</v>
      </c>
      <c r="O64" s="201" t="str">
        <f>'Price Analysis'!N64</f>
        <v xml:space="preserve"> </v>
      </c>
      <c r="P64" s="53" t="str">
        <f>IF(ISBLANK('ALL Other SINs - Proposal'!AA64)," ",'ALL Other SINs - Proposal'!AA64)</f>
        <v xml:space="preserve"> </v>
      </c>
      <c r="Q64" s="95" t="str">
        <f>'ALL Other SINs - Proposal'!AC64</f>
        <v xml:space="preserve"> </v>
      </c>
      <c r="R64" s="100" t="str">
        <f>IF(ISBLANK('ALL Other SINs - Proposal'!AA64)," ",ROUND(Q64,2))</f>
        <v xml:space="preserve"> </v>
      </c>
      <c r="S64" s="54"/>
    </row>
    <row r="65" spans="1:19" ht="20.100000000000001" customHeight="1" x14ac:dyDescent="0.2">
      <c r="A65" s="127">
        <f>'ALL Other SINs - Proposal'!A65</f>
        <v>0</v>
      </c>
      <c r="B65" s="121">
        <f>'ALL Other SINs - Proposal'!B65</f>
        <v>0</v>
      </c>
      <c r="C65" s="121">
        <f>'ALL Other SINs - Proposal'!C65</f>
        <v>0</v>
      </c>
      <c r="D65" s="121">
        <f>'ALL Other SINs - Proposal'!D65</f>
        <v>0</v>
      </c>
      <c r="E65" s="121">
        <f>'ALL Other SINs - Proposal'!E65</f>
        <v>0</v>
      </c>
      <c r="F65" s="171">
        <f>'ALL Other SINs - Proposal'!F65</f>
        <v>0</v>
      </c>
      <c r="G65" s="51">
        <f>'ALL Other SINs - Proposal'!G65</f>
        <v>0</v>
      </c>
      <c r="H65" s="125">
        <f>'ALL Other SINs - Proposal'!H65</f>
        <v>0</v>
      </c>
      <c r="I65" s="125">
        <f>'ALL Other SINs - Proposal'!I65</f>
        <v>0</v>
      </c>
      <c r="J65" s="125">
        <f>'ALL Other SINs - Proposal'!J65</f>
        <v>0</v>
      </c>
      <c r="K65" s="125">
        <f>'ALL Other SINs - Proposal'!K65</f>
        <v>0</v>
      </c>
      <c r="L65" s="125">
        <f>'ALL Other SINs - Proposal'!L65</f>
        <v>0</v>
      </c>
      <c r="M65" s="206">
        <f>'ALL Other SINs - Proposal'!M65</f>
        <v>0</v>
      </c>
      <c r="N65" s="251">
        <f>'ALL Other SINs - Proposal'!V65</f>
        <v>0</v>
      </c>
      <c r="O65" s="201" t="str">
        <f>'Price Analysis'!N65</f>
        <v xml:space="preserve"> </v>
      </c>
      <c r="P65" s="53" t="str">
        <f>IF(ISBLANK('ALL Other SINs - Proposal'!AA65)," ",'ALL Other SINs - Proposal'!AA65)</f>
        <v xml:space="preserve"> </v>
      </c>
      <c r="Q65" s="95" t="str">
        <f>'ALL Other SINs - Proposal'!AC65</f>
        <v xml:space="preserve"> </v>
      </c>
      <c r="R65" s="100" t="str">
        <f>IF(ISBLANK('ALL Other SINs - Proposal'!AA65)," ",ROUND(Q65,2))</f>
        <v xml:space="preserve"> </v>
      </c>
      <c r="S65" s="54"/>
    </row>
    <row r="66" spans="1:19" ht="20.100000000000001" customHeight="1" x14ac:dyDescent="0.2">
      <c r="A66" s="127">
        <f>'ALL Other SINs - Proposal'!A66</f>
        <v>0</v>
      </c>
      <c r="B66" s="121">
        <f>'ALL Other SINs - Proposal'!B66</f>
        <v>0</v>
      </c>
      <c r="C66" s="121">
        <f>'ALL Other SINs - Proposal'!C66</f>
        <v>0</v>
      </c>
      <c r="D66" s="121">
        <f>'ALL Other SINs - Proposal'!D66</f>
        <v>0</v>
      </c>
      <c r="E66" s="121">
        <f>'ALL Other SINs - Proposal'!E66</f>
        <v>0</v>
      </c>
      <c r="F66" s="171">
        <f>'ALL Other SINs - Proposal'!F66</f>
        <v>0</v>
      </c>
      <c r="G66" s="51">
        <f>'ALL Other SINs - Proposal'!G66</f>
        <v>0</v>
      </c>
      <c r="H66" s="125">
        <f>'ALL Other SINs - Proposal'!H66</f>
        <v>0</v>
      </c>
      <c r="I66" s="125">
        <f>'ALL Other SINs - Proposal'!I66</f>
        <v>0</v>
      </c>
      <c r="J66" s="125">
        <f>'ALL Other SINs - Proposal'!J66</f>
        <v>0</v>
      </c>
      <c r="K66" s="125">
        <f>'ALL Other SINs - Proposal'!K66</f>
        <v>0</v>
      </c>
      <c r="L66" s="125">
        <f>'ALL Other SINs - Proposal'!L66</f>
        <v>0</v>
      </c>
      <c r="M66" s="206">
        <f>'ALL Other SINs - Proposal'!M66</f>
        <v>0</v>
      </c>
      <c r="N66" s="251">
        <f>'ALL Other SINs - Proposal'!V66</f>
        <v>0</v>
      </c>
      <c r="O66" s="201" t="str">
        <f>'Price Analysis'!N66</f>
        <v xml:space="preserve"> </v>
      </c>
      <c r="P66" s="53" t="str">
        <f>IF(ISBLANK('ALL Other SINs - Proposal'!AA66)," ",'ALL Other SINs - Proposal'!AA66)</f>
        <v xml:space="preserve"> </v>
      </c>
      <c r="Q66" s="95" t="str">
        <f>'ALL Other SINs - Proposal'!AC66</f>
        <v xml:space="preserve"> </v>
      </c>
      <c r="R66" s="100" t="str">
        <f>IF(ISBLANK('ALL Other SINs - Proposal'!AA66)," ",ROUND(Q66,2))</f>
        <v xml:space="preserve"> </v>
      </c>
      <c r="S66" s="54"/>
    </row>
    <row r="67" spans="1:19" ht="20.100000000000001" customHeight="1" x14ac:dyDescent="0.2">
      <c r="A67" s="127">
        <f>'ALL Other SINs - Proposal'!A67</f>
        <v>0</v>
      </c>
      <c r="B67" s="121">
        <f>'ALL Other SINs - Proposal'!B67</f>
        <v>0</v>
      </c>
      <c r="C67" s="121">
        <f>'ALL Other SINs - Proposal'!C67</f>
        <v>0</v>
      </c>
      <c r="D67" s="121">
        <f>'ALL Other SINs - Proposal'!D67</f>
        <v>0</v>
      </c>
      <c r="E67" s="121">
        <f>'ALL Other SINs - Proposal'!E67</f>
        <v>0</v>
      </c>
      <c r="F67" s="171">
        <f>'ALL Other SINs - Proposal'!F67</f>
        <v>0</v>
      </c>
      <c r="G67" s="51">
        <f>'ALL Other SINs - Proposal'!G67</f>
        <v>0</v>
      </c>
      <c r="H67" s="125">
        <f>'ALL Other SINs - Proposal'!H67</f>
        <v>0</v>
      </c>
      <c r="I67" s="125">
        <f>'ALL Other SINs - Proposal'!I67</f>
        <v>0</v>
      </c>
      <c r="J67" s="125">
        <f>'ALL Other SINs - Proposal'!J67</f>
        <v>0</v>
      </c>
      <c r="K67" s="125">
        <f>'ALL Other SINs - Proposal'!K67</f>
        <v>0</v>
      </c>
      <c r="L67" s="125">
        <f>'ALL Other SINs - Proposal'!L67</f>
        <v>0</v>
      </c>
      <c r="M67" s="206">
        <f>'ALL Other SINs - Proposal'!M67</f>
        <v>0</v>
      </c>
      <c r="N67" s="251">
        <f>'ALL Other SINs - Proposal'!V67</f>
        <v>0</v>
      </c>
      <c r="O67" s="201" t="str">
        <f>'Price Analysis'!N67</f>
        <v xml:space="preserve"> </v>
      </c>
      <c r="P67" s="53" t="str">
        <f>IF(ISBLANK('ALL Other SINs - Proposal'!AA67)," ",'ALL Other SINs - Proposal'!AA67)</f>
        <v xml:space="preserve"> </v>
      </c>
      <c r="Q67" s="95" t="str">
        <f>'ALL Other SINs - Proposal'!AC67</f>
        <v xml:space="preserve"> </v>
      </c>
      <c r="R67" s="100" t="str">
        <f>IF(ISBLANK('ALL Other SINs - Proposal'!AA67)," ",ROUND(Q67,2))</f>
        <v xml:space="preserve"> </v>
      </c>
      <c r="S67" s="54"/>
    </row>
    <row r="68" spans="1:19" ht="20.100000000000001" customHeight="1" x14ac:dyDescent="0.2">
      <c r="A68" s="127">
        <f>'ALL Other SINs - Proposal'!A68</f>
        <v>0</v>
      </c>
      <c r="B68" s="121">
        <f>'ALL Other SINs - Proposal'!B68</f>
        <v>0</v>
      </c>
      <c r="C68" s="121">
        <f>'ALL Other SINs - Proposal'!C68</f>
        <v>0</v>
      </c>
      <c r="D68" s="121">
        <f>'ALL Other SINs - Proposal'!D68</f>
        <v>0</v>
      </c>
      <c r="E68" s="121">
        <f>'ALL Other SINs - Proposal'!E68</f>
        <v>0</v>
      </c>
      <c r="F68" s="171">
        <f>'ALL Other SINs - Proposal'!F68</f>
        <v>0</v>
      </c>
      <c r="G68" s="51">
        <f>'ALL Other SINs - Proposal'!G68</f>
        <v>0</v>
      </c>
      <c r="H68" s="125">
        <f>'ALL Other SINs - Proposal'!H68</f>
        <v>0</v>
      </c>
      <c r="I68" s="125">
        <f>'ALL Other SINs - Proposal'!I68</f>
        <v>0</v>
      </c>
      <c r="J68" s="125">
        <f>'ALL Other SINs - Proposal'!J68</f>
        <v>0</v>
      </c>
      <c r="K68" s="125">
        <f>'ALL Other SINs - Proposal'!K68</f>
        <v>0</v>
      </c>
      <c r="L68" s="125">
        <f>'ALL Other SINs - Proposal'!L68</f>
        <v>0</v>
      </c>
      <c r="M68" s="206">
        <f>'ALL Other SINs - Proposal'!M68</f>
        <v>0</v>
      </c>
      <c r="N68" s="251">
        <f>'ALL Other SINs - Proposal'!V68</f>
        <v>0</v>
      </c>
      <c r="O68" s="201" t="str">
        <f>'Price Analysis'!N68</f>
        <v xml:space="preserve"> </v>
      </c>
      <c r="P68" s="53" t="str">
        <f>IF(ISBLANK('ALL Other SINs - Proposal'!AA68)," ",'ALL Other SINs - Proposal'!AA68)</f>
        <v xml:space="preserve"> </v>
      </c>
      <c r="Q68" s="95" t="str">
        <f>'ALL Other SINs - Proposal'!AC68</f>
        <v xml:space="preserve"> </v>
      </c>
      <c r="R68" s="100" t="str">
        <f>IF(ISBLANK('ALL Other SINs - Proposal'!AA68)," ",ROUND(Q68,2))</f>
        <v xml:space="preserve"> </v>
      </c>
      <c r="S68" s="54"/>
    </row>
    <row r="69" spans="1:19" ht="20.100000000000001" customHeight="1" x14ac:dyDescent="0.2">
      <c r="A69" s="127">
        <f>'ALL Other SINs - Proposal'!A69</f>
        <v>0</v>
      </c>
      <c r="B69" s="121">
        <f>'ALL Other SINs - Proposal'!B69</f>
        <v>0</v>
      </c>
      <c r="C69" s="121">
        <f>'ALL Other SINs - Proposal'!C69</f>
        <v>0</v>
      </c>
      <c r="D69" s="121">
        <f>'ALL Other SINs - Proposal'!D69</f>
        <v>0</v>
      </c>
      <c r="E69" s="121">
        <f>'ALL Other SINs - Proposal'!E69</f>
        <v>0</v>
      </c>
      <c r="F69" s="171">
        <f>'ALL Other SINs - Proposal'!F69</f>
        <v>0</v>
      </c>
      <c r="G69" s="51">
        <f>'ALL Other SINs - Proposal'!G69</f>
        <v>0</v>
      </c>
      <c r="H69" s="125">
        <f>'ALL Other SINs - Proposal'!H69</f>
        <v>0</v>
      </c>
      <c r="I69" s="125">
        <f>'ALL Other SINs - Proposal'!I69</f>
        <v>0</v>
      </c>
      <c r="J69" s="125">
        <f>'ALL Other SINs - Proposal'!J69</f>
        <v>0</v>
      </c>
      <c r="K69" s="125">
        <f>'ALL Other SINs - Proposal'!K69</f>
        <v>0</v>
      </c>
      <c r="L69" s="125">
        <f>'ALL Other SINs - Proposal'!L69</f>
        <v>0</v>
      </c>
      <c r="M69" s="206">
        <f>'ALL Other SINs - Proposal'!M69</f>
        <v>0</v>
      </c>
      <c r="N69" s="251">
        <f>'ALL Other SINs - Proposal'!V69</f>
        <v>0</v>
      </c>
      <c r="O69" s="201" t="str">
        <f>'Price Analysis'!N69</f>
        <v xml:space="preserve"> </v>
      </c>
      <c r="P69" s="53" t="str">
        <f>IF(ISBLANK('ALL Other SINs - Proposal'!AA69)," ",'ALL Other SINs - Proposal'!AA69)</f>
        <v xml:space="preserve"> </v>
      </c>
      <c r="Q69" s="95" t="str">
        <f>'ALL Other SINs - Proposal'!AC69</f>
        <v xml:space="preserve"> </v>
      </c>
      <c r="R69" s="100" t="str">
        <f>IF(ISBLANK('ALL Other SINs - Proposal'!AA69)," ",ROUND(Q69,2))</f>
        <v xml:space="preserve"> </v>
      </c>
      <c r="S69" s="54"/>
    </row>
    <row r="70" spans="1:19" ht="20.100000000000001" customHeight="1" x14ac:dyDescent="0.2">
      <c r="A70" s="127">
        <f>'ALL Other SINs - Proposal'!A70</f>
        <v>0</v>
      </c>
      <c r="B70" s="121">
        <f>'ALL Other SINs - Proposal'!B70</f>
        <v>0</v>
      </c>
      <c r="C70" s="121">
        <f>'ALL Other SINs - Proposal'!C70</f>
        <v>0</v>
      </c>
      <c r="D70" s="121">
        <f>'ALL Other SINs - Proposal'!D70</f>
        <v>0</v>
      </c>
      <c r="E70" s="121">
        <f>'ALL Other SINs - Proposal'!E70</f>
        <v>0</v>
      </c>
      <c r="F70" s="171">
        <f>'ALL Other SINs - Proposal'!F70</f>
        <v>0</v>
      </c>
      <c r="G70" s="51">
        <f>'ALL Other SINs - Proposal'!G70</f>
        <v>0</v>
      </c>
      <c r="H70" s="125">
        <f>'ALL Other SINs - Proposal'!H70</f>
        <v>0</v>
      </c>
      <c r="I70" s="125">
        <f>'ALL Other SINs - Proposal'!I70</f>
        <v>0</v>
      </c>
      <c r="J70" s="125">
        <f>'ALL Other SINs - Proposal'!J70</f>
        <v>0</v>
      </c>
      <c r="K70" s="125">
        <f>'ALL Other SINs - Proposal'!K70</f>
        <v>0</v>
      </c>
      <c r="L70" s="125">
        <f>'ALL Other SINs - Proposal'!L70</f>
        <v>0</v>
      </c>
      <c r="M70" s="206">
        <f>'ALL Other SINs - Proposal'!M70</f>
        <v>0</v>
      </c>
      <c r="N70" s="251">
        <f>'ALL Other SINs - Proposal'!V70</f>
        <v>0</v>
      </c>
      <c r="O70" s="201" t="str">
        <f>'Price Analysis'!N70</f>
        <v xml:space="preserve"> </v>
      </c>
      <c r="P70" s="53" t="str">
        <f>IF(ISBLANK('ALL Other SINs - Proposal'!AA70)," ",'ALL Other SINs - Proposal'!AA70)</f>
        <v xml:space="preserve"> </v>
      </c>
      <c r="Q70" s="95" t="str">
        <f>'ALL Other SINs - Proposal'!AC70</f>
        <v xml:space="preserve"> </v>
      </c>
      <c r="R70" s="100" t="str">
        <f>IF(ISBLANK('ALL Other SINs - Proposal'!AA70)," ",ROUND(Q70,2))</f>
        <v xml:space="preserve"> </v>
      </c>
      <c r="S70" s="54"/>
    </row>
    <row r="71" spans="1:19" ht="20.100000000000001" customHeight="1" x14ac:dyDescent="0.2">
      <c r="A71" s="127">
        <f>'ALL Other SINs - Proposal'!A71</f>
        <v>0</v>
      </c>
      <c r="B71" s="121">
        <f>'ALL Other SINs - Proposal'!B71</f>
        <v>0</v>
      </c>
      <c r="C71" s="121">
        <f>'ALL Other SINs - Proposal'!C71</f>
        <v>0</v>
      </c>
      <c r="D71" s="121">
        <f>'ALL Other SINs - Proposal'!D71</f>
        <v>0</v>
      </c>
      <c r="E71" s="121">
        <f>'ALL Other SINs - Proposal'!E71</f>
        <v>0</v>
      </c>
      <c r="F71" s="171">
        <f>'ALL Other SINs - Proposal'!F71</f>
        <v>0</v>
      </c>
      <c r="G71" s="51">
        <f>'ALL Other SINs - Proposal'!G71</f>
        <v>0</v>
      </c>
      <c r="H71" s="125">
        <f>'ALL Other SINs - Proposal'!H71</f>
        <v>0</v>
      </c>
      <c r="I71" s="125">
        <f>'ALL Other SINs - Proposal'!I71</f>
        <v>0</v>
      </c>
      <c r="J71" s="125">
        <f>'ALL Other SINs - Proposal'!J71</f>
        <v>0</v>
      </c>
      <c r="K71" s="125">
        <f>'ALL Other SINs - Proposal'!K71</f>
        <v>0</v>
      </c>
      <c r="L71" s="125">
        <f>'ALL Other SINs - Proposal'!L71</f>
        <v>0</v>
      </c>
      <c r="M71" s="206">
        <f>'ALL Other SINs - Proposal'!M71</f>
        <v>0</v>
      </c>
      <c r="N71" s="251">
        <f>'ALL Other SINs - Proposal'!V71</f>
        <v>0</v>
      </c>
      <c r="O71" s="201" t="str">
        <f>'Price Analysis'!N71</f>
        <v xml:space="preserve"> </v>
      </c>
      <c r="P71" s="53" t="str">
        <f>IF(ISBLANK('ALL Other SINs - Proposal'!AA71)," ",'ALL Other SINs - Proposal'!AA71)</f>
        <v xml:space="preserve"> </v>
      </c>
      <c r="Q71" s="95" t="str">
        <f>'ALL Other SINs - Proposal'!AC71</f>
        <v xml:space="preserve"> </v>
      </c>
      <c r="R71" s="100" t="str">
        <f>IF(ISBLANK('ALL Other SINs - Proposal'!AA71)," ",ROUND(Q71,2))</f>
        <v xml:space="preserve"> </v>
      </c>
      <c r="S71" s="54"/>
    </row>
    <row r="72" spans="1:19" ht="20.100000000000001" customHeight="1" x14ac:dyDescent="0.2">
      <c r="A72" s="127">
        <f>'ALL Other SINs - Proposal'!A72</f>
        <v>0</v>
      </c>
      <c r="B72" s="121">
        <f>'ALL Other SINs - Proposal'!B72</f>
        <v>0</v>
      </c>
      <c r="C72" s="121">
        <f>'ALL Other SINs - Proposal'!C72</f>
        <v>0</v>
      </c>
      <c r="D72" s="121">
        <f>'ALL Other SINs - Proposal'!D72</f>
        <v>0</v>
      </c>
      <c r="E72" s="121">
        <f>'ALL Other SINs - Proposal'!E72</f>
        <v>0</v>
      </c>
      <c r="F72" s="171">
        <f>'ALL Other SINs - Proposal'!F72</f>
        <v>0</v>
      </c>
      <c r="G72" s="51">
        <f>'ALL Other SINs - Proposal'!G72</f>
        <v>0</v>
      </c>
      <c r="H72" s="125">
        <f>'ALL Other SINs - Proposal'!H72</f>
        <v>0</v>
      </c>
      <c r="I72" s="125">
        <f>'ALL Other SINs - Proposal'!I72</f>
        <v>0</v>
      </c>
      <c r="J72" s="125">
        <f>'ALL Other SINs - Proposal'!J72</f>
        <v>0</v>
      </c>
      <c r="K72" s="125">
        <f>'ALL Other SINs - Proposal'!K72</f>
        <v>0</v>
      </c>
      <c r="L72" s="125">
        <f>'ALL Other SINs - Proposal'!L72</f>
        <v>0</v>
      </c>
      <c r="M72" s="206">
        <f>'ALL Other SINs - Proposal'!M72</f>
        <v>0</v>
      </c>
      <c r="N72" s="251">
        <f>'ALL Other SINs - Proposal'!V72</f>
        <v>0</v>
      </c>
      <c r="O72" s="201" t="str">
        <f>'Price Analysis'!N72</f>
        <v xml:space="preserve"> </v>
      </c>
      <c r="P72" s="53" t="str">
        <f>IF(ISBLANK('ALL Other SINs - Proposal'!AA72)," ",'ALL Other SINs - Proposal'!AA72)</f>
        <v xml:space="preserve"> </v>
      </c>
      <c r="Q72" s="95" t="str">
        <f>'ALL Other SINs - Proposal'!AC72</f>
        <v xml:space="preserve"> </v>
      </c>
      <c r="R72" s="100" t="str">
        <f>IF(ISBLANK('ALL Other SINs - Proposal'!AA72)," ",ROUND(Q72,2))</f>
        <v xml:space="preserve"> </v>
      </c>
      <c r="S72" s="54"/>
    </row>
    <row r="73" spans="1:19" ht="20.100000000000001" customHeight="1" x14ac:dyDescent="0.2">
      <c r="A73" s="127">
        <f>'ALL Other SINs - Proposal'!A73</f>
        <v>0</v>
      </c>
      <c r="B73" s="121">
        <f>'ALL Other SINs - Proposal'!B73</f>
        <v>0</v>
      </c>
      <c r="C73" s="121">
        <f>'ALL Other SINs - Proposal'!C73</f>
        <v>0</v>
      </c>
      <c r="D73" s="121">
        <f>'ALL Other SINs - Proposal'!D73</f>
        <v>0</v>
      </c>
      <c r="E73" s="121">
        <f>'ALL Other SINs - Proposal'!E73</f>
        <v>0</v>
      </c>
      <c r="F73" s="171">
        <f>'ALL Other SINs - Proposal'!F73</f>
        <v>0</v>
      </c>
      <c r="G73" s="51">
        <f>'ALL Other SINs - Proposal'!G73</f>
        <v>0</v>
      </c>
      <c r="H73" s="125">
        <f>'ALL Other SINs - Proposal'!H73</f>
        <v>0</v>
      </c>
      <c r="I73" s="125">
        <f>'ALL Other SINs - Proposal'!I73</f>
        <v>0</v>
      </c>
      <c r="J73" s="125">
        <f>'ALL Other SINs - Proposal'!J73</f>
        <v>0</v>
      </c>
      <c r="K73" s="125">
        <f>'ALL Other SINs - Proposal'!K73</f>
        <v>0</v>
      </c>
      <c r="L73" s="125">
        <f>'ALL Other SINs - Proposal'!L73</f>
        <v>0</v>
      </c>
      <c r="M73" s="206">
        <f>'ALL Other SINs - Proposal'!M73</f>
        <v>0</v>
      </c>
      <c r="N73" s="251">
        <f>'ALL Other SINs - Proposal'!V73</f>
        <v>0</v>
      </c>
      <c r="O73" s="201" t="str">
        <f>'Price Analysis'!N73</f>
        <v xml:space="preserve"> </v>
      </c>
      <c r="P73" s="53" t="str">
        <f>IF(ISBLANK('ALL Other SINs - Proposal'!AA73)," ",'ALL Other SINs - Proposal'!AA73)</f>
        <v xml:space="preserve"> </v>
      </c>
      <c r="Q73" s="95" t="str">
        <f>'ALL Other SINs - Proposal'!AC73</f>
        <v xml:space="preserve"> </v>
      </c>
      <c r="R73" s="100" t="str">
        <f>IF(ISBLANK('ALL Other SINs - Proposal'!AA73)," ",ROUND(Q73,2))</f>
        <v xml:space="preserve"> </v>
      </c>
      <c r="S73" s="54"/>
    </row>
    <row r="74" spans="1:19" ht="20.100000000000001" customHeight="1" x14ac:dyDescent="0.2">
      <c r="A74" s="127">
        <f>'ALL Other SINs - Proposal'!A74</f>
        <v>0</v>
      </c>
      <c r="B74" s="121">
        <f>'ALL Other SINs - Proposal'!B74</f>
        <v>0</v>
      </c>
      <c r="C74" s="121">
        <f>'ALL Other SINs - Proposal'!C74</f>
        <v>0</v>
      </c>
      <c r="D74" s="121">
        <f>'ALL Other SINs - Proposal'!D74</f>
        <v>0</v>
      </c>
      <c r="E74" s="121">
        <f>'ALL Other SINs - Proposal'!E74</f>
        <v>0</v>
      </c>
      <c r="F74" s="171">
        <f>'ALL Other SINs - Proposal'!F74</f>
        <v>0</v>
      </c>
      <c r="G74" s="51">
        <f>'ALL Other SINs - Proposal'!G74</f>
        <v>0</v>
      </c>
      <c r="H74" s="125">
        <f>'ALL Other SINs - Proposal'!H74</f>
        <v>0</v>
      </c>
      <c r="I74" s="125">
        <f>'ALL Other SINs - Proposal'!I74</f>
        <v>0</v>
      </c>
      <c r="J74" s="125">
        <f>'ALL Other SINs - Proposal'!J74</f>
        <v>0</v>
      </c>
      <c r="K74" s="125">
        <f>'ALL Other SINs - Proposal'!K74</f>
        <v>0</v>
      </c>
      <c r="L74" s="125">
        <f>'ALL Other SINs - Proposal'!L74</f>
        <v>0</v>
      </c>
      <c r="M74" s="206">
        <f>'ALL Other SINs - Proposal'!M74</f>
        <v>0</v>
      </c>
      <c r="N74" s="251">
        <f>'ALL Other SINs - Proposal'!V74</f>
        <v>0</v>
      </c>
      <c r="O74" s="201" t="str">
        <f>'Price Analysis'!N74</f>
        <v xml:space="preserve"> </v>
      </c>
      <c r="P74" s="53" t="str">
        <f>IF(ISBLANK('ALL Other SINs - Proposal'!AA74)," ",'ALL Other SINs - Proposal'!AA74)</f>
        <v xml:space="preserve"> </v>
      </c>
      <c r="Q74" s="95" t="str">
        <f>'ALL Other SINs - Proposal'!AC74</f>
        <v xml:space="preserve"> </v>
      </c>
      <c r="R74" s="100" t="str">
        <f>IF(ISBLANK('ALL Other SINs - Proposal'!AA74)," ",ROUND(Q74,2))</f>
        <v xml:space="preserve"> </v>
      </c>
      <c r="S74" s="54"/>
    </row>
    <row r="75" spans="1:19" ht="20.100000000000001" customHeight="1" x14ac:dyDescent="0.2">
      <c r="A75" s="127">
        <f>'ALL Other SINs - Proposal'!A75</f>
        <v>0</v>
      </c>
      <c r="B75" s="121">
        <f>'ALL Other SINs - Proposal'!B75</f>
        <v>0</v>
      </c>
      <c r="C75" s="121">
        <f>'ALL Other SINs - Proposal'!C75</f>
        <v>0</v>
      </c>
      <c r="D75" s="121">
        <f>'ALL Other SINs - Proposal'!D75</f>
        <v>0</v>
      </c>
      <c r="E75" s="121">
        <f>'ALL Other SINs - Proposal'!E75</f>
        <v>0</v>
      </c>
      <c r="F75" s="171">
        <f>'ALL Other SINs - Proposal'!F75</f>
        <v>0</v>
      </c>
      <c r="G75" s="51">
        <f>'ALL Other SINs - Proposal'!G75</f>
        <v>0</v>
      </c>
      <c r="H75" s="125">
        <f>'ALL Other SINs - Proposal'!H75</f>
        <v>0</v>
      </c>
      <c r="I75" s="125">
        <f>'ALL Other SINs - Proposal'!I75</f>
        <v>0</v>
      </c>
      <c r="J75" s="125">
        <f>'ALL Other SINs - Proposal'!J75</f>
        <v>0</v>
      </c>
      <c r="K75" s="125">
        <f>'ALL Other SINs - Proposal'!K75</f>
        <v>0</v>
      </c>
      <c r="L75" s="125">
        <f>'ALL Other SINs - Proposal'!L75</f>
        <v>0</v>
      </c>
      <c r="M75" s="206">
        <f>'ALL Other SINs - Proposal'!M75</f>
        <v>0</v>
      </c>
      <c r="N75" s="251">
        <f>'ALL Other SINs - Proposal'!V75</f>
        <v>0</v>
      </c>
      <c r="O75" s="201" t="str">
        <f>'Price Analysis'!N75</f>
        <v xml:space="preserve"> </v>
      </c>
      <c r="P75" s="53" t="str">
        <f>IF(ISBLANK('ALL Other SINs - Proposal'!AA75)," ",'ALL Other SINs - Proposal'!AA75)</f>
        <v xml:space="preserve"> </v>
      </c>
      <c r="Q75" s="95" t="str">
        <f>'ALL Other SINs - Proposal'!AC75</f>
        <v xml:space="preserve"> </v>
      </c>
      <c r="R75" s="100" t="str">
        <f>IF(ISBLANK('ALL Other SINs - Proposal'!AA75)," ",ROUND(Q75,2))</f>
        <v xml:space="preserve"> </v>
      </c>
      <c r="S75" s="54"/>
    </row>
    <row r="76" spans="1:19" ht="20.100000000000001" customHeight="1" x14ac:dyDescent="0.2">
      <c r="A76" s="127">
        <f>'ALL Other SINs - Proposal'!A76</f>
        <v>0</v>
      </c>
      <c r="B76" s="121">
        <f>'ALL Other SINs - Proposal'!B76</f>
        <v>0</v>
      </c>
      <c r="C76" s="121">
        <f>'ALL Other SINs - Proposal'!C76</f>
        <v>0</v>
      </c>
      <c r="D76" s="121">
        <f>'ALL Other SINs - Proposal'!D76</f>
        <v>0</v>
      </c>
      <c r="E76" s="121">
        <f>'ALL Other SINs - Proposal'!E76</f>
        <v>0</v>
      </c>
      <c r="F76" s="171">
        <f>'ALL Other SINs - Proposal'!F76</f>
        <v>0</v>
      </c>
      <c r="G76" s="51">
        <f>'ALL Other SINs - Proposal'!G76</f>
        <v>0</v>
      </c>
      <c r="H76" s="125">
        <f>'ALL Other SINs - Proposal'!H76</f>
        <v>0</v>
      </c>
      <c r="I76" s="125">
        <f>'ALL Other SINs - Proposal'!I76</f>
        <v>0</v>
      </c>
      <c r="J76" s="125">
        <f>'ALL Other SINs - Proposal'!J76</f>
        <v>0</v>
      </c>
      <c r="K76" s="125">
        <f>'ALL Other SINs - Proposal'!K76</f>
        <v>0</v>
      </c>
      <c r="L76" s="125">
        <f>'ALL Other SINs - Proposal'!L76</f>
        <v>0</v>
      </c>
      <c r="M76" s="206">
        <f>'ALL Other SINs - Proposal'!M76</f>
        <v>0</v>
      </c>
      <c r="N76" s="251">
        <f>'ALL Other SINs - Proposal'!V76</f>
        <v>0</v>
      </c>
      <c r="O76" s="201" t="str">
        <f>'Price Analysis'!N76</f>
        <v xml:space="preserve"> </v>
      </c>
      <c r="P76" s="53" t="str">
        <f>IF(ISBLANK('ALL Other SINs - Proposal'!AA76)," ",'ALL Other SINs - Proposal'!AA76)</f>
        <v xml:space="preserve"> </v>
      </c>
      <c r="Q76" s="95" t="str">
        <f>'ALL Other SINs - Proposal'!AC76</f>
        <v xml:space="preserve"> </v>
      </c>
      <c r="R76" s="100" t="str">
        <f>IF(ISBLANK('ALL Other SINs - Proposal'!AA76)," ",ROUND(Q76,2))</f>
        <v xml:space="preserve"> </v>
      </c>
      <c r="S76" s="54"/>
    </row>
    <row r="77" spans="1:19" ht="20.100000000000001" customHeight="1" x14ac:dyDescent="0.2">
      <c r="A77" s="127">
        <f>'ALL Other SINs - Proposal'!A77</f>
        <v>0</v>
      </c>
      <c r="B77" s="121">
        <f>'ALL Other SINs - Proposal'!B77</f>
        <v>0</v>
      </c>
      <c r="C77" s="121">
        <f>'ALL Other SINs - Proposal'!C77</f>
        <v>0</v>
      </c>
      <c r="D77" s="121">
        <f>'ALL Other SINs - Proposal'!D77</f>
        <v>0</v>
      </c>
      <c r="E77" s="121">
        <f>'ALL Other SINs - Proposal'!E77</f>
        <v>0</v>
      </c>
      <c r="F77" s="171">
        <f>'ALL Other SINs - Proposal'!F77</f>
        <v>0</v>
      </c>
      <c r="G77" s="51">
        <f>'ALL Other SINs - Proposal'!G77</f>
        <v>0</v>
      </c>
      <c r="H77" s="125">
        <f>'ALL Other SINs - Proposal'!H77</f>
        <v>0</v>
      </c>
      <c r="I77" s="125">
        <f>'ALL Other SINs - Proposal'!I77</f>
        <v>0</v>
      </c>
      <c r="J77" s="125">
        <f>'ALL Other SINs - Proposal'!J77</f>
        <v>0</v>
      </c>
      <c r="K77" s="125">
        <f>'ALL Other SINs - Proposal'!K77</f>
        <v>0</v>
      </c>
      <c r="L77" s="125">
        <f>'ALL Other SINs - Proposal'!L77</f>
        <v>0</v>
      </c>
      <c r="M77" s="206">
        <f>'ALL Other SINs - Proposal'!M77</f>
        <v>0</v>
      </c>
      <c r="N77" s="251">
        <f>'ALL Other SINs - Proposal'!V77</f>
        <v>0</v>
      </c>
      <c r="O77" s="201" t="str">
        <f>'Price Analysis'!N77</f>
        <v xml:space="preserve"> </v>
      </c>
      <c r="P77" s="53" t="str">
        <f>IF(ISBLANK('ALL Other SINs - Proposal'!AA77)," ",'ALL Other SINs - Proposal'!AA77)</f>
        <v xml:space="preserve"> </v>
      </c>
      <c r="Q77" s="95" t="str">
        <f>'ALL Other SINs - Proposal'!AC77</f>
        <v xml:space="preserve"> </v>
      </c>
      <c r="R77" s="100" t="str">
        <f>IF(ISBLANK('ALL Other SINs - Proposal'!AA77)," ",ROUND(Q77,2))</f>
        <v xml:space="preserve"> </v>
      </c>
      <c r="S77" s="54"/>
    </row>
    <row r="78" spans="1:19" ht="20.100000000000001" customHeight="1" x14ac:dyDescent="0.2">
      <c r="A78" s="127">
        <f>'ALL Other SINs - Proposal'!A78</f>
        <v>0</v>
      </c>
      <c r="B78" s="121">
        <f>'ALL Other SINs - Proposal'!B78</f>
        <v>0</v>
      </c>
      <c r="C78" s="121">
        <f>'ALL Other SINs - Proposal'!C78</f>
        <v>0</v>
      </c>
      <c r="D78" s="121">
        <f>'ALL Other SINs - Proposal'!D78</f>
        <v>0</v>
      </c>
      <c r="E78" s="121">
        <f>'ALL Other SINs - Proposal'!E78</f>
        <v>0</v>
      </c>
      <c r="F78" s="171">
        <f>'ALL Other SINs - Proposal'!F78</f>
        <v>0</v>
      </c>
      <c r="G78" s="51">
        <f>'ALL Other SINs - Proposal'!G78</f>
        <v>0</v>
      </c>
      <c r="H78" s="125">
        <f>'ALL Other SINs - Proposal'!H78</f>
        <v>0</v>
      </c>
      <c r="I78" s="125">
        <f>'ALL Other SINs - Proposal'!I78</f>
        <v>0</v>
      </c>
      <c r="J78" s="125">
        <f>'ALL Other SINs - Proposal'!J78</f>
        <v>0</v>
      </c>
      <c r="K78" s="125">
        <f>'ALL Other SINs - Proposal'!K78</f>
        <v>0</v>
      </c>
      <c r="L78" s="125">
        <f>'ALL Other SINs - Proposal'!L78</f>
        <v>0</v>
      </c>
      <c r="M78" s="206">
        <f>'ALL Other SINs - Proposal'!M78</f>
        <v>0</v>
      </c>
      <c r="N78" s="251">
        <f>'ALL Other SINs - Proposal'!V78</f>
        <v>0</v>
      </c>
      <c r="O78" s="201" t="str">
        <f>'Price Analysis'!N78</f>
        <v xml:space="preserve"> </v>
      </c>
      <c r="P78" s="53" t="str">
        <f>IF(ISBLANK('ALL Other SINs - Proposal'!AA78)," ",'ALL Other SINs - Proposal'!AA78)</f>
        <v xml:space="preserve"> </v>
      </c>
      <c r="Q78" s="95" t="str">
        <f>'ALL Other SINs - Proposal'!AC78</f>
        <v xml:space="preserve"> </v>
      </c>
      <c r="R78" s="100" t="str">
        <f>IF(ISBLANK('ALL Other SINs - Proposal'!AA78)," ",ROUND(Q78,2))</f>
        <v xml:space="preserve"> </v>
      </c>
      <c r="S78" s="54"/>
    </row>
    <row r="79" spans="1:19" ht="20.100000000000001" customHeight="1" x14ac:dyDescent="0.2">
      <c r="A79" s="127">
        <f>'ALL Other SINs - Proposal'!A79</f>
        <v>0</v>
      </c>
      <c r="B79" s="121">
        <f>'ALL Other SINs - Proposal'!B79</f>
        <v>0</v>
      </c>
      <c r="C79" s="121">
        <f>'ALL Other SINs - Proposal'!C79</f>
        <v>0</v>
      </c>
      <c r="D79" s="121">
        <f>'ALL Other SINs - Proposal'!D79</f>
        <v>0</v>
      </c>
      <c r="E79" s="121">
        <f>'ALL Other SINs - Proposal'!E79</f>
        <v>0</v>
      </c>
      <c r="F79" s="171">
        <f>'ALL Other SINs - Proposal'!F79</f>
        <v>0</v>
      </c>
      <c r="G79" s="51">
        <f>'ALL Other SINs - Proposal'!G79</f>
        <v>0</v>
      </c>
      <c r="H79" s="125">
        <f>'ALL Other SINs - Proposal'!H79</f>
        <v>0</v>
      </c>
      <c r="I79" s="125">
        <f>'ALL Other SINs - Proposal'!I79</f>
        <v>0</v>
      </c>
      <c r="J79" s="125">
        <f>'ALL Other SINs - Proposal'!J79</f>
        <v>0</v>
      </c>
      <c r="K79" s="125">
        <f>'ALL Other SINs - Proposal'!K79</f>
        <v>0</v>
      </c>
      <c r="L79" s="125">
        <f>'ALL Other SINs - Proposal'!L79</f>
        <v>0</v>
      </c>
      <c r="M79" s="206">
        <f>'ALL Other SINs - Proposal'!M79</f>
        <v>0</v>
      </c>
      <c r="N79" s="251">
        <f>'ALL Other SINs - Proposal'!V79</f>
        <v>0</v>
      </c>
      <c r="O79" s="201" t="str">
        <f>'Price Analysis'!N79</f>
        <v xml:space="preserve"> </v>
      </c>
      <c r="P79" s="53" t="str">
        <f>IF(ISBLANK('ALL Other SINs - Proposal'!AA79)," ",'ALL Other SINs - Proposal'!AA79)</f>
        <v xml:space="preserve"> </v>
      </c>
      <c r="Q79" s="95" t="str">
        <f>'ALL Other SINs - Proposal'!AC79</f>
        <v xml:space="preserve"> </v>
      </c>
      <c r="R79" s="100" t="str">
        <f>IF(ISBLANK('ALL Other SINs - Proposal'!AA79)," ",ROUND(Q79,2))</f>
        <v xml:space="preserve"> </v>
      </c>
      <c r="S79" s="54"/>
    </row>
    <row r="80" spans="1:19" ht="20.100000000000001" customHeight="1" x14ac:dyDescent="0.2">
      <c r="A80" s="127">
        <f>'ALL Other SINs - Proposal'!A80</f>
        <v>0</v>
      </c>
      <c r="B80" s="121">
        <f>'ALL Other SINs - Proposal'!B80</f>
        <v>0</v>
      </c>
      <c r="C80" s="121">
        <f>'ALL Other SINs - Proposal'!C80</f>
        <v>0</v>
      </c>
      <c r="D80" s="121">
        <f>'ALL Other SINs - Proposal'!D80</f>
        <v>0</v>
      </c>
      <c r="E80" s="121">
        <f>'ALL Other SINs - Proposal'!E80</f>
        <v>0</v>
      </c>
      <c r="F80" s="171">
        <f>'ALL Other SINs - Proposal'!F80</f>
        <v>0</v>
      </c>
      <c r="G80" s="51">
        <f>'ALL Other SINs - Proposal'!G80</f>
        <v>0</v>
      </c>
      <c r="H80" s="125">
        <f>'ALL Other SINs - Proposal'!H80</f>
        <v>0</v>
      </c>
      <c r="I80" s="125">
        <f>'ALL Other SINs - Proposal'!I80</f>
        <v>0</v>
      </c>
      <c r="J80" s="125">
        <f>'ALL Other SINs - Proposal'!J80</f>
        <v>0</v>
      </c>
      <c r="K80" s="125">
        <f>'ALL Other SINs - Proposal'!K80</f>
        <v>0</v>
      </c>
      <c r="L80" s="125">
        <f>'ALL Other SINs - Proposal'!L80</f>
        <v>0</v>
      </c>
      <c r="M80" s="206">
        <f>'ALL Other SINs - Proposal'!M80</f>
        <v>0</v>
      </c>
      <c r="N80" s="251">
        <f>'ALL Other SINs - Proposal'!V80</f>
        <v>0</v>
      </c>
      <c r="O80" s="201" t="str">
        <f>'Price Analysis'!N80</f>
        <v xml:space="preserve"> </v>
      </c>
      <c r="P80" s="53" t="str">
        <f>IF(ISBLANK('ALL Other SINs - Proposal'!AA80)," ",'ALL Other SINs - Proposal'!AA80)</f>
        <v xml:space="preserve"> </v>
      </c>
      <c r="Q80" s="95" t="str">
        <f>'ALL Other SINs - Proposal'!AC80</f>
        <v xml:space="preserve"> </v>
      </c>
      <c r="R80" s="100" t="str">
        <f>IF(ISBLANK('ALL Other SINs - Proposal'!AA80)," ",ROUND(Q80,2))</f>
        <v xml:space="preserve"> </v>
      </c>
      <c r="S80" s="54"/>
    </row>
    <row r="81" spans="1:19" ht="20.100000000000001" customHeight="1" x14ac:dyDescent="0.2">
      <c r="A81" s="127">
        <f>'ALL Other SINs - Proposal'!A81</f>
        <v>0</v>
      </c>
      <c r="B81" s="121">
        <f>'ALL Other SINs - Proposal'!B81</f>
        <v>0</v>
      </c>
      <c r="C81" s="121">
        <f>'ALL Other SINs - Proposal'!C81</f>
        <v>0</v>
      </c>
      <c r="D81" s="121">
        <f>'ALL Other SINs - Proposal'!D81</f>
        <v>0</v>
      </c>
      <c r="E81" s="121">
        <f>'ALL Other SINs - Proposal'!E81</f>
        <v>0</v>
      </c>
      <c r="F81" s="171">
        <f>'ALL Other SINs - Proposal'!F81</f>
        <v>0</v>
      </c>
      <c r="G81" s="51">
        <f>'ALL Other SINs - Proposal'!G81</f>
        <v>0</v>
      </c>
      <c r="H81" s="125">
        <f>'ALL Other SINs - Proposal'!H81</f>
        <v>0</v>
      </c>
      <c r="I81" s="125">
        <f>'ALL Other SINs - Proposal'!I81</f>
        <v>0</v>
      </c>
      <c r="J81" s="125">
        <f>'ALL Other SINs - Proposal'!J81</f>
        <v>0</v>
      </c>
      <c r="K81" s="125">
        <f>'ALL Other SINs - Proposal'!K81</f>
        <v>0</v>
      </c>
      <c r="L81" s="125">
        <f>'ALL Other SINs - Proposal'!L81</f>
        <v>0</v>
      </c>
      <c r="M81" s="206">
        <f>'ALL Other SINs - Proposal'!M81</f>
        <v>0</v>
      </c>
      <c r="N81" s="251">
        <f>'ALL Other SINs - Proposal'!V81</f>
        <v>0</v>
      </c>
      <c r="O81" s="201" t="str">
        <f>'Price Analysis'!N81</f>
        <v xml:space="preserve"> </v>
      </c>
      <c r="P81" s="53" t="str">
        <f>IF(ISBLANK('ALL Other SINs - Proposal'!AA81)," ",'ALL Other SINs - Proposal'!AA81)</f>
        <v xml:space="preserve"> </v>
      </c>
      <c r="Q81" s="95" t="str">
        <f>'ALL Other SINs - Proposal'!AC81</f>
        <v xml:space="preserve"> </v>
      </c>
      <c r="R81" s="100" t="str">
        <f>IF(ISBLANK('ALL Other SINs - Proposal'!AA81)," ",ROUND(Q81,2))</f>
        <v xml:space="preserve"> </v>
      </c>
      <c r="S81" s="54"/>
    </row>
    <row r="82" spans="1:19" ht="20.100000000000001" customHeight="1" x14ac:dyDescent="0.2">
      <c r="A82" s="127">
        <f>'ALL Other SINs - Proposal'!A82</f>
        <v>0</v>
      </c>
      <c r="B82" s="121">
        <f>'ALL Other SINs - Proposal'!B82</f>
        <v>0</v>
      </c>
      <c r="C82" s="121">
        <f>'ALL Other SINs - Proposal'!C82</f>
        <v>0</v>
      </c>
      <c r="D82" s="121">
        <f>'ALL Other SINs - Proposal'!D82</f>
        <v>0</v>
      </c>
      <c r="E82" s="121">
        <f>'ALL Other SINs - Proposal'!E82</f>
        <v>0</v>
      </c>
      <c r="F82" s="171">
        <f>'ALL Other SINs - Proposal'!F82</f>
        <v>0</v>
      </c>
      <c r="G82" s="51">
        <f>'ALL Other SINs - Proposal'!G82</f>
        <v>0</v>
      </c>
      <c r="H82" s="125">
        <f>'ALL Other SINs - Proposal'!H82</f>
        <v>0</v>
      </c>
      <c r="I82" s="125">
        <f>'ALL Other SINs - Proposal'!I82</f>
        <v>0</v>
      </c>
      <c r="J82" s="125">
        <f>'ALL Other SINs - Proposal'!J82</f>
        <v>0</v>
      </c>
      <c r="K82" s="125">
        <f>'ALL Other SINs - Proposal'!K82</f>
        <v>0</v>
      </c>
      <c r="L82" s="125">
        <f>'ALL Other SINs - Proposal'!L82</f>
        <v>0</v>
      </c>
      <c r="M82" s="206">
        <f>'ALL Other SINs - Proposal'!M82</f>
        <v>0</v>
      </c>
      <c r="N82" s="251">
        <f>'ALL Other SINs - Proposal'!V82</f>
        <v>0</v>
      </c>
      <c r="O82" s="201" t="str">
        <f>'Price Analysis'!N82</f>
        <v xml:space="preserve"> </v>
      </c>
      <c r="P82" s="53" t="str">
        <f>IF(ISBLANK('ALL Other SINs - Proposal'!AA82)," ",'ALL Other SINs - Proposal'!AA82)</f>
        <v xml:space="preserve"> </v>
      </c>
      <c r="Q82" s="95" t="str">
        <f>'ALL Other SINs - Proposal'!AC82</f>
        <v xml:space="preserve"> </v>
      </c>
      <c r="R82" s="100" t="str">
        <f>IF(ISBLANK('ALL Other SINs - Proposal'!AA82)," ",ROUND(Q82,2))</f>
        <v xml:space="preserve"> </v>
      </c>
      <c r="S82" s="54"/>
    </row>
    <row r="83" spans="1:19" ht="20.100000000000001" customHeight="1" x14ac:dyDescent="0.2">
      <c r="A83" s="127">
        <f>'ALL Other SINs - Proposal'!A83</f>
        <v>0</v>
      </c>
      <c r="B83" s="121">
        <f>'ALL Other SINs - Proposal'!B83</f>
        <v>0</v>
      </c>
      <c r="C83" s="121">
        <f>'ALL Other SINs - Proposal'!C83</f>
        <v>0</v>
      </c>
      <c r="D83" s="121">
        <f>'ALL Other SINs - Proposal'!D83</f>
        <v>0</v>
      </c>
      <c r="E83" s="121">
        <f>'ALL Other SINs - Proposal'!E83</f>
        <v>0</v>
      </c>
      <c r="F83" s="171">
        <f>'ALL Other SINs - Proposal'!F83</f>
        <v>0</v>
      </c>
      <c r="G83" s="51">
        <f>'ALL Other SINs - Proposal'!G83</f>
        <v>0</v>
      </c>
      <c r="H83" s="125">
        <f>'ALL Other SINs - Proposal'!H83</f>
        <v>0</v>
      </c>
      <c r="I83" s="125">
        <f>'ALL Other SINs - Proposal'!I83</f>
        <v>0</v>
      </c>
      <c r="J83" s="125">
        <f>'ALL Other SINs - Proposal'!J83</f>
        <v>0</v>
      </c>
      <c r="K83" s="125">
        <f>'ALL Other SINs - Proposal'!K83</f>
        <v>0</v>
      </c>
      <c r="L83" s="125">
        <f>'ALL Other SINs - Proposal'!L83</f>
        <v>0</v>
      </c>
      <c r="M83" s="206">
        <f>'ALL Other SINs - Proposal'!M83</f>
        <v>0</v>
      </c>
      <c r="N83" s="251">
        <f>'ALL Other SINs - Proposal'!V83</f>
        <v>0</v>
      </c>
      <c r="O83" s="201" t="str">
        <f>'Price Analysis'!N83</f>
        <v xml:space="preserve"> </v>
      </c>
      <c r="P83" s="53" t="str">
        <f>IF(ISBLANK('ALL Other SINs - Proposal'!AA83)," ",'ALL Other SINs - Proposal'!AA83)</f>
        <v xml:space="preserve"> </v>
      </c>
      <c r="Q83" s="95" t="str">
        <f>'ALL Other SINs - Proposal'!AC83</f>
        <v xml:space="preserve"> </v>
      </c>
      <c r="R83" s="100" t="str">
        <f>IF(ISBLANK('ALL Other SINs - Proposal'!AA83)," ",ROUND(Q83,2))</f>
        <v xml:space="preserve"> </v>
      </c>
      <c r="S83" s="54"/>
    </row>
    <row r="84" spans="1:19" ht="20.100000000000001" customHeight="1" x14ac:dyDescent="0.2">
      <c r="A84" s="127">
        <f>'ALL Other SINs - Proposal'!A84</f>
        <v>0</v>
      </c>
      <c r="B84" s="121">
        <f>'ALL Other SINs - Proposal'!B84</f>
        <v>0</v>
      </c>
      <c r="C84" s="121">
        <f>'ALL Other SINs - Proposal'!C84</f>
        <v>0</v>
      </c>
      <c r="D84" s="121">
        <f>'ALL Other SINs - Proposal'!D84</f>
        <v>0</v>
      </c>
      <c r="E84" s="121">
        <f>'ALL Other SINs - Proposal'!E84</f>
        <v>0</v>
      </c>
      <c r="F84" s="171">
        <f>'ALL Other SINs - Proposal'!F84</f>
        <v>0</v>
      </c>
      <c r="G84" s="51">
        <f>'ALL Other SINs - Proposal'!G84</f>
        <v>0</v>
      </c>
      <c r="H84" s="125">
        <f>'ALL Other SINs - Proposal'!H84</f>
        <v>0</v>
      </c>
      <c r="I84" s="125">
        <f>'ALL Other SINs - Proposal'!I84</f>
        <v>0</v>
      </c>
      <c r="J84" s="125">
        <f>'ALL Other SINs - Proposal'!J84</f>
        <v>0</v>
      </c>
      <c r="K84" s="125">
        <f>'ALL Other SINs - Proposal'!K84</f>
        <v>0</v>
      </c>
      <c r="L84" s="125">
        <f>'ALL Other SINs - Proposal'!L84</f>
        <v>0</v>
      </c>
      <c r="M84" s="206">
        <f>'ALL Other SINs - Proposal'!M84</f>
        <v>0</v>
      </c>
      <c r="N84" s="251">
        <f>'ALL Other SINs - Proposal'!V84</f>
        <v>0</v>
      </c>
      <c r="O84" s="201" t="str">
        <f>'Price Analysis'!N84</f>
        <v xml:space="preserve"> </v>
      </c>
      <c r="P84" s="53" t="str">
        <f>IF(ISBLANK('ALL Other SINs - Proposal'!AA84)," ",'ALL Other SINs - Proposal'!AA84)</f>
        <v xml:space="preserve"> </v>
      </c>
      <c r="Q84" s="95" t="str">
        <f>'ALL Other SINs - Proposal'!AC84</f>
        <v xml:space="preserve"> </v>
      </c>
      <c r="R84" s="100" t="str">
        <f>IF(ISBLANK('ALL Other SINs - Proposal'!AA84)," ",ROUND(Q84,2))</f>
        <v xml:space="preserve"> </v>
      </c>
      <c r="S84" s="54"/>
    </row>
    <row r="85" spans="1:19" ht="20.100000000000001" customHeight="1" x14ac:dyDescent="0.2">
      <c r="A85" s="127">
        <f>'ALL Other SINs - Proposal'!A85</f>
        <v>0</v>
      </c>
      <c r="B85" s="121">
        <f>'ALL Other SINs - Proposal'!B85</f>
        <v>0</v>
      </c>
      <c r="C85" s="121">
        <f>'ALL Other SINs - Proposal'!C85</f>
        <v>0</v>
      </c>
      <c r="D85" s="121">
        <f>'ALL Other SINs - Proposal'!D85</f>
        <v>0</v>
      </c>
      <c r="E85" s="121">
        <f>'ALL Other SINs - Proposal'!E85</f>
        <v>0</v>
      </c>
      <c r="F85" s="171">
        <f>'ALL Other SINs - Proposal'!F85</f>
        <v>0</v>
      </c>
      <c r="G85" s="51">
        <f>'ALL Other SINs - Proposal'!G85</f>
        <v>0</v>
      </c>
      <c r="H85" s="125">
        <f>'ALL Other SINs - Proposal'!H85</f>
        <v>0</v>
      </c>
      <c r="I85" s="125">
        <f>'ALL Other SINs - Proposal'!I85</f>
        <v>0</v>
      </c>
      <c r="J85" s="125">
        <f>'ALL Other SINs - Proposal'!J85</f>
        <v>0</v>
      </c>
      <c r="K85" s="125">
        <f>'ALL Other SINs - Proposal'!K85</f>
        <v>0</v>
      </c>
      <c r="L85" s="125">
        <f>'ALL Other SINs - Proposal'!L85</f>
        <v>0</v>
      </c>
      <c r="M85" s="206">
        <f>'ALL Other SINs - Proposal'!M85</f>
        <v>0</v>
      </c>
      <c r="N85" s="251">
        <f>'ALL Other SINs - Proposal'!V85</f>
        <v>0</v>
      </c>
      <c r="O85" s="201" t="str">
        <f>'Price Analysis'!N85</f>
        <v xml:space="preserve"> </v>
      </c>
      <c r="P85" s="53" t="str">
        <f>IF(ISBLANK('ALL Other SINs - Proposal'!AA85)," ",'ALL Other SINs - Proposal'!AA85)</f>
        <v xml:space="preserve"> </v>
      </c>
      <c r="Q85" s="95" t="str">
        <f>'ALL Other SINs - Proposal'!AC85</f>
        <v xml:space="preserve"> </v>
      </c>
      <c r="R85" s="100" t="str">
        <f>IF(ISBLANK('ALL Other SINs - Proposal'!AA85)," ",ROUND(Q85,2))</f>
        <v xml:space="preserve"> </v>
      </c>
      <c r="S85" s="54"/>
    </row>
    <row r="86" spans="1:19" ht="20.100000000000001" customHeight="1" x14ac:dyDescent="0.2">
      <c r="A86" s="127">
        <f>'ALL Other SINs - Proposal'!A86</f>
        <v>0</v>
      </c>
      <c r="B86" s="121">
        <f>'ALL Other SINs - Proposal'!B86</f>
        <v>0</v>
      </c>
      <c r="C86" s="121">
        <f>'ALL Other SINs - Proposal'!C86</f>
        <v>0</v>
      </c>
      <c r="D86" s="121">
        <f>'ALL Other SINs - Proposal'!D86</f>
        <v>0</v>
      </c>
      <c r="E86" s="121">
        <f>'ALL Other SINs - Proposal'!E86</f>
        <v>0</v>
      </c>
      <c r="F86" s="171">
        <f>'ALL Other SINs - Proposal'!F86</f>
        <v>0</v>
      </c>
      <c r="G86" s="51">
        <f>'ALL Other SINs - Proposal'!G86</f>
        <v>0</v>
      </c>
      <c r="H86" s="125">
        <f>'ALL Other SINs - Proposal'!H86</f>
        <v>0</v>
      </c>
      <c r="I86" s="125">
        <f>'ALL Other SINs - Proposal'!I86</f>
        <v>0</v>
      </c>
      <c r="J86" s="125">
        <f>'ALL Other SINs - Proposal'!J86</f>
        <v>0</v>
      </c>
      <c r="K86" s="125">
        <f>'ALL Other SINs - Proposal'!K86</f>
        <v>0</v>
      </c>
      <c r="L86" s="125">
        <f>'ALL Other SINs - Proposal'!L86</f>
        <v>0</v>
      </c>
      <c r="M86" s="206">
        <f>'ALL Other SINs - Proposal'!M86</f>
        <v>0</v>
      </c>
      <c r="N86" s="251">
        <f>'ALL Other SINs - Proposal'!V86</f>
        <v>0</v>
      </c>
      <c r="O86" s="201" t="str">
        <f>'Price Analysis'!N86</f>
        <v xml:space="preserve"> </v>
      </c>
      <c r="P86" s="53" t="str">
        <f>IF(ISBLANK('ALL Other SINs - Proposal'!AA86)," ",'ALL Other SINs - Proposal'!AA86)</f>
        <v xml:space="preserve"> </v>
      </c>
      <c r="Q86" s="95" t="str">
        <f>'ALL Other SINs - Proposal'!AC86</f>
        <v xml:space="preserve"> </v>
      </c>
      <c r="R86" s="100" t="str">
        <f>IF(ISBLANK('ALL Other SINs - Proposal'!AA86)," ",ROUND(Q86,2))</f>
        <v xml:space="preserve"> </v>
      </c>
      <c r="S86" s="54"/>
    </row>
    <row r="87" spans="1:19" ht="20.100000000000001" customHeight="1" x14ac:dyDescent="0.2">
      <c r="A87" s="127">
        <f>'ALL Other SINs - Proposal'!A87</f>
        <v>0</v>
      </c>
      <c r="B87" s="121">
        <f>'ALL Other SINs - Proposal'!B87</f>
        <v>0</v>
      </c>
      <c r="C87" s="121">
        <f>'ALL Other SINs - Proposal'!C87</f>
        <v>0</v>
      </c>
      <c r="D87" s="121">
        <f>'ALL Other SINs - Proposal'!D87</f>
        <v>0</v>
      </c>
      <c r="E87" s="121">
        <f>'ALL Other SINs - Proposal'!E87</f>
        <v>0</v>
      </c>
      <c r="F87" s="171">
        <f>'ALL Other SINs - Proposal'!F87</f>
        <v>0</v>
      </c>
      <c r="G87" s="51">
        <f>'ALL Other SINs - Proposal'!G87</f>
        <v>0</v>
      </c>
      <c r="H87" s="125">
        <f>'ALL Other SINs - Proposal'!H87</f>
        <v>0</v>
      </c>
      <c r="I87" s="125">
        <f>'ALL Other SINs - Proposal'!I87</f>
        <v>0</v>
      </c>
      <c r="J87" s="125">
        <f>'ALL Other SINs - Proposal'!J87</f>
        <v>0</v>
      </c>
      <c r="K87" s="125">
        <f>'ALL Other SINs - Proposal'!K87</f>
        <v>0</v>
      </c>
      <c r="L87" s="125">
        <f>'ALL Other SINs - Proposal'!L87</f>
        <v>0</v>
      </c>
      <c r="M87" s="206">
        <f>'ALL Other SINs - Proposal'!M87</f>
        <v>0</v>
      </c>
      <c r="N87" s="251">
        <f>'ALL Other SINs - Proposal'!V87</f>
        <v>0</v>
      </c>
      <c r="O87" s="201" t="str">
        <f>'Price Analysis'!N87</f>
        <v xml:space="preserve"> </v>
      </c>
      <c r="P87" s="53" t="str">
        <f>IF(ISBLANK('ALL Other SINs - Proposal'!AA87)," ",'ALL Other SINs - Proposal'!AA87)</f>
        <v xml:space="preserve"> </v>
      </c>
      <c r="Q87" s="95" t="str">
        <f>'ALL Other SINs - Proposal'!AC87</f>
        <v xml:space="preserve"> </v>
      </c>
      <c r="R87" s="100" t="str">
        <f>IF(ISBLANK('ALL Other SINs - Proposal'!AA87)," ",ROUND(Q87,2))</f>
        <v xml:space="preserve"> </v>
      </c>
      <c r="S87" s="54"/>
    </row>
    <row r="88" spans="1:19" ht="20.100000000000001" customHeight="1" x14ac:dyDescent="0.2">
      <c r="A88" s="127">
        <f>'ALL Other SINs - Proposal'!A88</f>
        <v>0</v>
      </c>
      <c r="B88" s="121">
        <f>'ALL Other SINs - Proposal'!B88</f>
        <v>0</v>
      </c>
      <c r="C88" s="121">
        <f>'ALL Other SINs - Proposal'!C88</f>
        <v>0</v>
      </c>
      <c r="D88" s="121">
        <f>'ALL Other SINs - Proposal'!D88</f>
        <v>0</v>
      </c>
      <c r="E88" s="121">
        <f>'ALL Other SINs - Proposal'!E88</f>
        <v>0</v>
      </c>
      <c r="F88" s="171">
        <f>'ALL Other SINs - Proposal'!F88</f>
        <v>0</v>
      </c>
      <c r="G88" s="51">
        <f>'ALL Other SINs - Proposal'!G88</f>
        <v>0</v>
      </c>
      <c r="H88" s="125">
        <f>'ALL Other SINs - Proposal'!H88</f>
        <v>0</v>
      </c>
      <c r="I88" s="125">
        <f>'ALL Other SINs - Proposal'!I88</f>
        <v>0</v>
      </c>
      <c r="J88" s="125">
        <f>'ALL Other SINs - Proposal'!J88</f>
        <v>0</v>
      </c>
      <c r="K88" s="125">
        <f>'ALL Other SINs - Proposal'!K88</f>
        <v>0</v>
      </c>
      <c r="L88" s="125">
        <f>'ALL Other SINs - Proposal'!L88</f>
        <v>0</v>
      </c>
      <c r="M88" s="206">
        <f>'ALL Other SINs - Proposal'!M88</f>
        <v>0</v>
      </c>
      <c r="N88" s="251">
        <f>'ALL Other SINs - Proposal'!V88</f>
        <v>0</v>
      </c>
      <c r="O88" s="201" t="str">
        <f>'Price Analysis'!N88</f>
        <v xml:space="preserve"> </v>
      </c>
      <c r="P88" s="53" t="str">
        <f>IF(ISBLANK('ALL Other SINs - Proposal'!AA88)," ",'ALL Other SINs - Proposal'!AA88)</f>
        <v xml:space="preserve"> </v>
      </c>
      <c r="Q88" s="95" t="str">
        <f>'ALL Other SINs - Proposal'!AC88</f>
        <v xml:space="preserve"> </v>
      </c>
      <c r="R88" s="100" t="str">
        <f>IF(ISBLANK('ALL Other SINs - Proposal'!AA88)," ",ROUND(Q88,2))</f>
        <v xml:space="preserve"> </v>
      </c>
      <c r="S88" s="54"/>
    </row>
    <row r="89" spans="1:19" ht="20.100000000000001" customHeight="1" x14ac:dyDescent="0.2">
      <c r="A89" s="127">
        <f>'ALL Other SINs - Proposal'!A89</f>
        <v>0</v>
      </c>
      <c r="B89" s="121">
        <f>'ALL Other SINs - Proposal'!B89</f>
        <v>0</v>
      </c>
      <c r="C89" s="121">
        <f>'ALL Other SINs - Proposal'!C89</f>
        <v>0</v>
      </c>
      <c r="D89" s="121">
        <f>'ALL Other SINs - Proposal'!D89</f>
        <v>0</v>
      </c>
      <c r="E89" s="121">
        <f>'ALL Other SINs - Proposal'!E89</f>
        <v>0</v>
      </c>
      <c r="F89" s="171">
        <f>'ALL Other SINs - Proposal'!F89</f>
        <v>0</v>
      </c>
      <c r="G89" s="51">
        <f>'ALL Other SINs - Proposal'!G89</f>
        <v>0</v>
      </c>
      <c r="H89" s="125">
        <f>'ALL Other SINs - Proposal'!H89</f>
        <v>0</v>
      </c>
      <c r="I89" s="125">
        <f>'ALL Other SINs - Proposal'!I89</f>
        <v>0</v>
      </c>
      <c r="J89" s="125">
        <f>'ALL Other SINs - Proposal'!J89</f>
        <v>0</v>
      </c>
      <c r="K89" s="125">
        <f>'ALL Other SINs - Proposal'!K89</f>
        <v>0</v>
      </c>
      <c r="L89" s="125">
        <f>'ALL Other SINs - Proposal'!L89</f>
        <v>0</v>
      </c>
      <c r="M89" s="206">
        <f>'ALL Other SINs - Proposal'!M89</f>
        <v>0</v>
      </c>
      <c r="N89" s="251">
        <f>'ALL Other SINs - Proposal'!V89</f>
        <v>0</v>
      </c>
      <c r="O89" s="201" t="str">
        <f>'Price Analysis'!N89</f>
        <v xml:space="preserve"> </v>
      </c>
      <c r="P89" s="53" t="str">
        <f>IF(ISBLANK('ALL Other SINs - Proposal'!AA89)," ",'ALL Other SINs - Proposal'!AA89)</f>
        <v xml:space="preserve"> </v>
      </c>
      <c r="Q89" s="95" t="str">
        <f>'ALL Other SINs - Proposal'!AC89</f>
        <v xml:space="preserve"> </v>
      </c>
      <c r="R89" s="100" t="str">
        <f>IF(ISBLANK('ALL Other SINs - Proposal'!AA89)," ",ROUND(Q89,2))</f>
        <v xml:space="preserve"> </v>
      </c>
      <c r="S89" s="54"/>
    </row>
    <row r="90" spans="1:19" ht="20.100000000000001" customHeight="1" x14ac:dyDescent="0.2">
      <c r="A90" s="127">
        <f>'ALL Other SINs - Proposal'!A90</f>
        <v>0</v>
      </c>
      <c r="B90" s="121">
        <f>'ALL Other SINs - Proposal'!B90</f>
        <v>0</v>
      </c>
      <c r="C90" s="121">
        <f>'ALL Other SINs - Proposal'!C90</f>
        <v>0</v>
      </c>
      <c r="D90" s="121">
        <f>'ALL Other SINs - Proposal'!D90</f>
        <v>0</v>
      </c>
      <c r="E90" s="121">
        <f>'ALL Other SINs - Proposal'!E90</f>
        <v>0</v>
      </c>
      <c r="F90" s="171">
        <f>'ALL Other SINs - Proposal'!F90</f>
        <v>0</v>
      </c>
      <c r="G90" s="51">
        <f>'ALL Other SINs - Proposal'!G90</f>
        <v>0</v>
      </c>
      <c r="H90" s="125">
        <f>'ALL Other SINs - Proposal'!H90</f>
        <v>0</v>
      </c>
      <c r="I90" s="125">
        <f>'ALL Other SINs - Proposal'!I90</f>
        <v>0</v>
      </c>
      <c r="J90" s="125">
        <f>'ALL Other SINs - Proposal'!J90</f>
        <v>0</v>
      </c>
      <c r="K90" s="125">
        <f>'ALL Other SINs - Proposal'!K90</f>
        <v>0</v>
      </c>
      <c r="L90" s="125">
        <f>'ALL Other SINs - Proposal'!L90</f>
        <v>0</v>
      </c>
      <c r="M90" s="206">
        <f>'ALL Other SINs - Proposal'!M90</f>
        <v>0</v>
      </c>
      <c r="N90" s="251">
        <f>'ALL Other SINs - Proposal'!V90</f>
        <v>0</v>
      </c>
      <c r="O90" s="201" t="str">
        <f>'Price Analysis'!N90</f>
        <v xml:space="preserve"> </v>
      </c>
      <c r="P90" s="53" t="str">
        <f>IF(ISBLANK('ALL Other SINs - Proposal'!AA90)," ",'ALL Other SINs - Proposal'!AA90)</f>
        <v xml:space="preserve"> </v>
      </c>
      <c r="Q90" s="95" t="str">
        <f>'ALL Other SINs - Proposal'!AC90</f>
        <v xml:space="preserve"> </v>
      </c>
      <c r="R90" s="100" t="str">
        <f>IF(ISBLANK('ALL Other SINs - Proposal'!AA90)," ",ROUND(Q90,2))</f>
        <v xml:space="preserve"> </v>
      </c>
      <c r="S90" s="54"/>
    </row>
    <row r="91" spans="1:19" ht="20.100000000000001" customHeight="1" x14ac:dyDescent="0.2">
      <c r="A91" s="127">
        <f>'ALL Other SINs - Proposal'!A91</f>
        <v>0</v>
      </c>
      <c r="B91" s="121">
        <f>'ALL Other SINs - Proposal'!B91</f>
        <v>0</v>
      </c>
      <c r="C91" s="121">
        <f>'ALL Other SINs - Proposal'!C91</f>
        <v>0</v>
      </c>
      <c r="D91" s="121">
        <f>'ALL Other SINs - Proposal'!D91</f>
        <v>0</v>
      </c>
      <c r="E91" s="121">
        <f>'ALL Other SINs - Proposal'!E91</f>
        <v>0</v>
      </c>
      <c r="F91" s="171">
        <f>'ALL Other SINs - Proposal'!F91</f>
        <v>0</v>
      </c>
      <c r="G91" s="51">
        <f>'ALL Other SINs - Proposal'!G91</f>
        <v>0</v>
      </c>
      <c r="H91" s="125">
        <f>'ALL Other SINs - Proposal'!H91</f>
        <v>0</v>
      </c>
      <c r="I91" s="125">
        <f>'ALL Other SINs - Proposal'!I91</f>
        <v>0</v>
      </c>
      <c r="J91" s="125">
        <f>'ALL Other SINs - Proposal'!J91</f>
        <v>0</v>
      </c>
      <c r="K91" s="125">
        <f>'ALL Other SINs - Proposal'!K91</f>
        <v>0</v>
      </c>
      <c r="L91" s="125">
        <f>'ALL Other SINs - Proposal'!L91</f>
        <v>0</v>
      </c>
      <c r="M91" s="206">
        <f>'ALL Other SINs - Proposal'!M91</f>
        <v>0</v>
      </c>
      <c r="N91" s="251">
        <f>'ALL Other SINs - Proposal'!V91</f>
        <v>0</v>
      </c>
      <c r="O91" s="201" t="str">
        <f>'Price Analysis'!N91</f>
        <v xml:space="preserve"> </v>
      </c>
      <c r="P91" s="53" t="str">
        <f>IF(ISBLANK('ALL Other SINs - Proposal'!AA91)," ",'ALL Other SINs - Proposal'!AA91)</f>
        <v xml:space="preserve"> </v>
      </c>
      <c r="Q91" s="95" t="str">
        <f>'ALL Other SINs - Proposal'!AC91</f>
        <v xml:space="preserve"> </v>
      </c>
      <c r="R91" s="100" t="str">
        <f>IF(ISBLANK('ALL Other SINs - Proposal'!AA91)," ",ROUND(Q91,2))</f>
        <v xml:space="preserve"> </v>
      </c>
      <c r="S91" s="54"/>
    </row>
    <row r="92" spans="1:19" ht="20.100000000000001" customHeight="1" x14ac:dyDescent="0.2">
      <c r="A92" s="127">
        <f>'ALL Other SINs - Proposal'!A92</f>
        <v>0</v>
      </c>
      <c r="B92" s="121">
        <f>'ALL Other SINs - Proposal'!B92</f>
        <v>0</v>
      </c>
      <c r="C92" s="121">
        <f>'ALL Other SINs - Proposal'!C92</f>
        <v>0</v>
      </c>
      <c r="D92" s="121">
        <f>'ALL Other SINs - Proposal'!D92</f>
        <v>0</v>
      </c>
      <c r="E92" s="121">
        <f>'ALL Other SINs - Proposal'!E92</f>
        <v>0</v>
      </c>
      <c r="F92" s="171">
        <f>'ALL Other SINs - Proposal'!F92</f>
        <v>0</v>
      </c>
      <c r="G92" s="51">
        <f>'ALL Other SINs - Proposal'!G92</f>
        <v>0</v>
      </c>
      <c r="H92" s="125">
        <f>'ALL Other SINs - Proposal'!H92</f>
        <v>0</v>
      </c>
      <c r="I92" s="125">
        <f>'ALL Other SINs - Proposal'!I92</f>
        <v>0</v>
      </c>
      <c r="J92" s="125">
        <f>'ALL Other SINs - Proposal'!J92</f>
        <v>0</v>
      </c>
      <c r="K92" s="125">
        <f>'ALL Other SINs - Proposal'!K92</f>
        <v>0</v>
      </c>
      <c r="L92" s="125">
        <f>'ALL Other SINs - Proposal'!L92</f>
        <v>0</v>
      </c>
      <c r="M92" s="206">
        <f>'ALL Other SINs - Proposal'!M92</f>
        <v>0</v>
      </c>
      <c r="N92" s="251">
        <f>'ALL Other SINs - Proposal'!V92</f>
        <v>0</v>
      </c>
      <c r="O92" s="201" t="str">
        <f>'Price Analysis'!N92</f>
        <v xml:space="preserve"> </v>
      </c>
      <c r="P92" s="53" t="str">
        <f>IF(ISBLANK('ALL Other SINs - Proposal'!AA92)," ",'ALL Other SINs - Proposal'!AA92)</f>
        <v xml:space="preserve"> </v>
      </c>
      <c r="Q92" s="95" t="str">
        <f>'ALL Other SINs - Proposal'!AC92</f>
        <v xml:space="preserve"> </v>
      </c>
      <c r="R92" s="100" t="str">
        <f>IF(ISBLANK('ALL Other SINs - Proposal'!AA92)," ",ROUND(Q92,2))</f>
        <v xml:space="preserve"> </v>
      </c>
      <c r="S92" s="54"/>
    </row>
    <row r="93" spans="1:19" ht="20.100000000000001" customHeight="1" x14ac:dyDescent="0.2">
      <c r="A93" s="127">
        <f>'ALL Other SINs - Proposal'!A93</f>
        <v>0</v>
      </c>
      <c r="B93" s="121">
        <f>'ALL Other SINs - Proposal'!B93</f>
        <v>0</v>
      </c>
      <c r="C93" s="121">
        <f>'ALL Other SINs - Proposal'!C93</f>
        <v>0</v>
      </c>
      <c r="D93" s="121">
        <f>'ALL Other SINs - Proposal'!D93</f>
        <v>0</v>
      </c>
      <c r="E93" s="121">
        <f>'ALL Other SINs - Proposal'!E93</f>
        <v>0</v>
      </c>
      <c r="F93" s="171">
        <f>'ALL Other SINs - Proposal'!F93</f>
        <v>0</v>
      </c>
      <c r="G93" s="51">
        <f>'ALL Other SINs - Proposal'!G93</f>
        <v>0</v>
      </c>
      <c r="H93" s="125">
        <f>'ALL Other SINs - Proposal'!H93</f>
        <v>0</v>
      </c>
      <c r="I93" s="125">
        <f>'ALL Other SINs - Proposal'!I93</f>
        <v>0</v>
      </c>
      <c r="J93" s="125">
        <f>'ALL Other SINs - Proposal'!J93</f>
        <v>0</v>
      </c>
      <c r="K93" s="125">
        <f>'ALL Other SINs - Proposal'!K93</f>
        <v>0</v>
      </c>
      <c r="L93" s="125">
        <f>'ALL Other SINs - Proposal'!L93</f>
        <v>0</v>
      </c>
      <c r="M93" s="206">
        <f>'ALL Other SINs - Proposal'!M93</f>
        <v>0</v>
      </c>
      <c r="N93" s="251">
        <f>'ALL Other SINs - Proposal'!V93</f>
        <v>0</v>
      </c>
      <c r="O93" s="201" t="str">
        <f>'Price Analysis'!N93</f>
        <v xml:space="preserve"> </v>
      </c>
      <c r="P93" s="53" t="str">
        <f>IF(ISBLANK('ALL Other SINs - Proposal'!AA93)," ",'ALL Other SINs - Proposal'!AA93)</f>
        <v xml:space="preserve"> </v>
      </c>
      <c r="Q93" s="95" t="str">
        <f>'ALL Other SINs - Proposal'!AC93</f>
        <v xml:space="preserve"> </v>
      </c>
      <c r="R93" s="100" t="str">
        <f>IF(ISBLANK('ALL Other SINs - Proposal'!AA93)," ",ROUND(Q93,2))</f>
        <v xml:space="preserve"> </v>
      </c>
      <c r="S93" s="54"/>
    </row>
    <row r="94" spans="1:19" ht="20.100000000000001" customHeight="1" x14ac:dyDescent="0.2">
      <c r="A94" s="127">
        <f>'ALL Other SINs - Proposal'!A94</f>
        <v>0</v>
      </c>
      <c r="B94" s="121">
        <f>'ALL Other SINs - Proposal'!B94</f>
        <v>0</v>
      </c>
      <c r="C94" s="121">
        <f>'ALL Other SINs - Proposal'!C94</f>
        <v>0</v>
      </c>
      <c r="D94" s="121">
        <f>'ALL Other SINs - Proposal'!D94</f>
        <v>0</v>
      </c>
      <c r="E94" s="121">
        <f>'ALL Other SINs - Proposal'!E94</f>
        <v>0</v>
      </c>
      <c r="F94" s="171">
        <f>'ALL Other SINs - Proposal'!F94</f>
        <v>0</v>
      </c>
      <c r="G94" s="51">
        <f>'ALL Other SINs - Proposal'!G94</f>
        <v>0</v>
      </c>
      <c r="H94" s="125">
        <f>'ALL Other SINs - Proposal'!H94</f>
        <v>0</v>
      </c>
      <c r="I94" s="125">
        <f>'ALL Other SINs - Proposal'!I94</f>
        <v>0</v>
      </c>
      <c r="J94" s="125">
        <f>'ALL Other SINs - Proposal'!J94</f>
        <v>0</v>
      </c>
      <c r="K94" s="125">
        <f>'ALL Other SINs - Proposal'!K94</f>
        <v>0</v>
      </c>
      <c r="L94" s="125">
        <f>'ALL Other SINs - Proposal'!L94</f>
        <v>0</v>
      </c>
      <c r="M94" s="206">
        <f>'ALL Other SINs - Proposal'!M94</f>
        <v>0</v>
      </c>
      <c r="N94" s="251">
        <f>'ALL Other SINs - Proposal'!V94</f>
        <v>0</v>
      </c>
      <c r="O94" s="201" t="str">
        <f>'Price Analysis'!N94</f>
        <v xml:space="preserve"> </v>
      </c>
      <c r="P94" s="53" t="str">
        <f>IF(ISBLANK('ALL Other SINs - Proposal'!AA94)," ",'ALL Other SINs - Proposal'!AA94)</f>
        <v xml:space="preserve"> </v>
      </c>
      <c r="Q94" s="95" t="str">
        <f>'ALL Other SINs - Proposal'!AC94</f>
        <v xml:space="preserve"> </v>
      </c>
      <c r="R94" s="100" t="str">
        <f>IF(ISBLANK('ALL Other SINs - Proposal'!AA94)," ",ROUND(Q94,2))</f>
        <v xml:space="preserve"> </v>
      </c>
      <c r="S94" s="54"/>
    </row>
    <row r="95" spans="1:19" ht="20.100000000000001" customHeight="1" x14ac:dyDescent="0.2">
      <c r="A95" s="127">
        <f>'ALL Other SINs - Proposal'!A95</f>
        <v>0</v>
      </c>
      <c r="B95" s="121">
        <f>'ALL Other SINs - Proposal'!B95</f>
        <v>0</v>
      </c>
      <c r="C95" s="121">
        <f>'ALL Other SINs - Proposal'!C95</f>
        <v>0</v>
      </c>
      <c r="D95" s="121">
        <f>'ALL Other SINs - Proposal'!D95</f>
        <v>0</v>
      </c>
      <c r="E95" s="121">
        <f>'ALL Other SINs - Proposal'!E95</f>
        <v>0</v>
      </c>
      <c r="F95" s="171">
        <f>'ALL Other SINs - Proposal'!F95</f>
        <v>0</v>
      </c>
      <c r="G95" s="51">
        <f>'ALL Other SINs - Proposal'!G95</f>
        <v>0</v>
      </c>
      <c r="H95" s="125">
        <f>'ALL Other SINs - Proposal'!H95</f>
        <v>0</v>
      </c>
      <c r="I95" s="125">
        <f>'ALL Other SINs - Proposal'!I95</f>
        <v>0</v>
      </c>
      <c r="J95" s="125">
        <f>'ALL Other SINs - Proposal'!J95</f>
        <v>0</v>
      </c>
      <c r="K95" s="125">
        <f>'ALL Other SINs - Proposal'!K95</f>
        <v>0</v>
      </c>
      <c r="L95" s="125">
        <f>'ALL Other SINs - Proposal'!L95</f>
        <v>0</v>
      </c>
      <c r="M95" s="206">
        <f>'ALL Other SINs - Proposal'!M95</f>
        <v>0</v>
      </c>
      <c r="N95" s="251">
        <f>'ALL Other SINs - Proposal'!V95</f>
        <v>0</v>
      </c>
      <c r="O95" s="201" t="str">
        <f>'Price Analysis'!N95</f>
        <v xml:space="preserve"> </v>
      </c>
      <c r="P95" s="53" t="str">
        <f>IF(ISBLANK('ALL Other SINs - Proposal'!AA95)," ",'ALL Other SINs - Proposal'!AA95)</f>
        <v xml:space="preserve"> </v>
      </c>
      <c r="Q95" s="95" t="str">
        <f>'ALL Other SINs - Proposal'!AC95</f>
        <v xml:space="preserve"> </v>
      </c>
      <c r="R95" s="100" t="str">
        <f>IF(ISBLANK('ALL Other SINs - Proposal'!AA95)," ",ROUND(Q95,2))</f>
        <v xml:space="preserve"> </v>
      </c>
      <c r="S95" s="54"/>
    </row>
    <row r="96" spans="1:19" ht="20.100000000000001" customHeight="1" x14ac:dyDescent="0.2">
      <c r="A96" s="127">
        <f>'ALL Other SINs - Proposal'!A96</f>
        <v>0</v>
      </c>
      <c r="B96" s="121">
        <f>'ALL Other SINs - Proposal'!B96</f>
        <v>0</v>
      </c>
      <c r="C96" s="121">
        <f>'ALL Other SINs - Proposal'!C96</f>
        <v>0</v>
      </c>
      <c r="D96" s="121">
        <f>'ALL Other SINs - Proposal'!D96</f>
        <v>0</v>
      </c>
      <c r="E96" s="121">
        <f>'ALL Other SINs - Proposal'!E96</f>
        <v>0</v>
      </c>
      <c r="F96" s="171">
        <f>'ALL Other SINs - Proposal'!F96</f>
        <v>0</v>
      </c>
      <c r="G96" s="51">
        <f>'ALL Other SINs - Proposal'!G96</f>
        <v>0</v>
      </c>
      <c r="H96" s="125">
        <f>'ALL Other SINs - Proposal'!H96</f>
        <v>0</v>
      </c>
      <c r="I96" s="125">
        <f>'ALL Other SINs - Proposal'!I96</f>
        <v>0</v>
      </c>
      <c r="J96" s="125">
        <f>'ALL Other SINs - Proposal'!J96</f>
        <v>0</v>
      </c>
      <c r="K96" s="125">
        <f>'ALL Other SINs - Proposal'!K96</f>
        <v>0</v>
      </c>
      <c r="L96" s="125">
        <f>'ALL Other SINs - Proposal'!L96</f>
        <v>0</v>
      </c>
      <c r="M96" s="206">
        <f>'ALL Other SINs - Proposal'!M96</f>
        <v>0</v>
      </c>
      <c r="N96" s="251">
        <f>'ALL Other SINs - Proposal'!V96</f>
        <v>0</v>
      </c>
      <c r="O96" s="201" t="str">
        <f>'Price Analysis'!N96</f>
        <v xml:space="preserve"> </v>
      </c>
      <c r="P96" s="53" t="str">
        <f>IF(ISBLANK('ALL Other SINs - Proposal'!AA96)," ",'ALL Other SINs - Proposal'!AA96)</f>
        <v xml:space="preserve"> </v>
      </c>
      <c r="Q96" s="95" t="str">
        <f>'ALL Other SINs - Proposal'!AC96</f>
        <v xml:space="preserve"> </v>
      </c>
      <c r="R96" s="100" t="str">
        <f>IF(ISBLANK('ALL Other SINs - Proposal'!AA96)," ",ROUND(Q96,2))</f>
        <v xml:space="preserve"> </v>
      </c>
      <c r="S96" s="54"/>
    </row>
    <row r="97" spans="1:19" ht="20.100000000000001" customHeight="1" x14ac:dyDescent="0.2">
      <c r="A97" s="127">
        <f>'ALL Other SINs - Proposal'!A97</f>
        <v>0</v>
      </c>
      <c r="B97" s="121">
        <f>'ALL Other SINs - Proposal'!B97</f>
        <v>0</v>
      </c>
      <c r="C97" s="121">
        <f>'ALL Other SINs - Proposal'!C97</f>
        <v>0</v>
      </c>
      <c r="D97" s="121">
        <f>'ALL Other SINs - Proposal'!D97</f>
        <v>0</v>
      </c>
      <c r="E97" s="121">
        <f>'ALL Other SINs - Proposal'!E97</f>
        <v>0</v>
      </c>
      <c r="F97" s="171">
        <f>'ALL Other SINs - Proposal'!F97</f>
        <v>0</v>
      </c>
      <c r="G97" s="51">
        <f>'ALL Other SINs - Proposal'!G97</f>
        <v>0</v>
      </c>
      <c r="H97" s="125">
        <f>'ALL Other SINs - Proposal'!H97</f>
        <v>0</v>
      </c>
      <c r="I97" s="125">
        <f>'ALL Other SINs - Proposal'!I97</f>
        <v>0</v>
      </c>
      <c r="J97" s="125">
        <f>'ALL Other SINs - Proposal'!J97</f>
        <v>0</v>
      </c>
      <c r="K97" s="125">
        <f>'ALL Other SINs - Proposal'!K97</f>
        <v>0</v>
      </c>
      <c r="L97" s="125">
        <f>'ALL Other SINs - Proposal'!L97</f>
        <v>0</v>
      </c>
      <c r="M97" s="206">
        <f>'ALL Other SINs - Proposal'!M97</f>
        <v>0</v>
      </c>
      <c r="N97" s="251">
        <f>'ALL Other SINs - Proposal'!V97</f>
        <v>0</v>
      </c>
      <c r="O97" s="201" t="str">
        <f>'Price Analysis'!N97</f>
        <v xml:space="preserve"> </v>
      </c>
      <c r="P97" s="53" t="str">
        <f>IF(ISBLANK('ALL Other SINs - Proposal'!AA97)," ",'ALL Other SINs - Proposal'!AA97)</f>
        <v xml:space="preserve"> </v>
      </c>
      <c r="Q97" s="95" t="str">
        <f>'ALL Other SINs - Proposal'!AC97</f>
        <v xml:space="preserve"> </v>
      </c>
      <c r="R97" s="100" t="str">
        <f>IF(ISBLANK('ALL Other SINs - Proposal'!AA97)," ",ROUND(Q97,2))</f>
        <v xml:space="preserve"> </v>
      </c>
      <c r="S97" s="54"/>
    </row>
    <row r="98" spans="1:19" ht="20.100000000000001" customHeight="1" x14ac:dyDescent="0.2">
      <c r="A98" s="127">
        <f>'ALL Other SINs - Proposal'!A98</f>
        <v>0</v>
      </c>
      <c r="B98" s="121">
        <f>'ALL Other SINs - Proposal'!B98</f>
        <v>0</v>
      </c>
      <c r="C98" s="121">
        <f>'ALL Other SINs - Proposal'!C98</f>
        <v>0</v>
      </c>
      <c r="D98" s="121">
        <f>'ALL Other SINs - Proposal'!D98</f>
        <v>0</v>
      </c>
      <c r="E98" s="121">
        <f>'ALL Other SINs - Proposal'!E98</f>
        <v>0</v>
      </c>
      <c r="F98" s="171">
        <f>'ALL Other SINs - Proposal'!F98</f>
        <v>0</v>
      </c>
      <c r="G98" s="51">
        <f>'ALL Other SINs - Proposal'!G98</f>
        <v>0</v>
      </c>
      <c r="H98" s="125">
        <f>'ALL Other SINs - Proposal'!H98</f>
        <v>0</v>
      </c>
      <c r="I98" s="125">
        <f>'ALL Other SINs - Proposal'!I98</f>
        <v>0</v>
      </c>
      <c r="J98" s="125">
        <f>'ALL Other SINs - Proposal'!J98</f>
        <v>0</v>
      </c>
      <c r="K98" s="125">
        <f>'ALL Other SINs - Proposal'!K98</f>
        <v>0</v>
      </c>
      <c r="L98" s="125">
        <f>'ALL Other SINs - Proposal'!L98</f>
        <v>0</v>
      </c>
      <c r="M98" s="206">
        <f>'ALL Other SINs - Proposal'!M98</f>
        <v>0</v>
      </c>
      <c r="N98" s="251">
        <f>'ALL Other SINs - Proposal'!V98</f>
        <v>0</v>
      </c>
      <c r="O98" s="201" t="str">
        <f>'Price Analysis'!N98</f>
        <v xml:space="preserve"> </v>
      </c>
      <c r="P98" s="53" t="str">
        <f>IF(ISBLANK('ALL Other SINs - Proposal'!AA98)," ",'ALL Other SINs - Proposal'!AA98)</f>
        <v xml:space="preserve"> </v>
      </c>
      <c r="Q98" s="95" t="str">
        <f>'ALL Other SINs - Proposal'!AC98</f>
        <v xml:space="preserve"> </v>
      </c>
      <c r="R98" s="100" t="str">
        <f>IF(ISBLANK('ALL Other SINs - Proposal'!AA98)," ",ROUND(Q98,2))</f>
        <v xml:space="preserve"> </v>
      </c>
      <c r="S98" s="54"/>
    </row>
    <row r="99" spans="1:19" ht="20.100000000000001" customHeight="1" x14ac:dyDescent="0.2">
      <c r="A99" s="127">
        <f>'ALL Other SINs - Proposal'!A99</f>
        <v>0</v>
      </c>
      <c r="B99" s="121">
        <f>'ALL Other SINs - Proposal'!B99</f>
        <v>0</v>
      </c>
      <c r="C99" s="121">
        <f>'ALL Other SINs - Proposal'!C99</f>
        <v>0</v>
      </c>
      <c r="D99" s="121">
        <f>'ALL Other SINs - Proposal'!D99</f>
        <v>0</v>
      </c>
      <c r="E99" s="121">
        <f>'ALL Other SINs - Proposal'!E99</f>
        <v>0</v>
      </c>
      <c r="F99" s="171">
        <f>'ALL Other SINs - Proposal'!F99</f>
        <v>0</v>
      </c>
      <c r="G99" s="51">
        <f>'ALL Other SINs - Proposal'!G99</f>
        <v>0</v>
      </c>
      <c r="H99" s="125">
        <f>'ALL Other SINs - Proposal'!H99</f>
        <v>0</v>
      </c>
      <c r="I99" s="125">
        <f>'ALL Other SINs - Proposal'!I99</f>
        <v>0</v>
      </c>
      <c r="J99" s="125">
        <f>'ALL Other SINs - Proposal'!J99</f>
        <v>0</v>
      </c>
      <c r="K99" s="125">
        <f>'ALL Other SINs - Proposal'!K99</f>
        <v>0</v>
      </c>
      <c r="L99" s="125">
        <f>'ALL Other SINs - Proposal'!L99</f>
        <v>0</v>
      </c>
      <c r="M99" s="206">
        <f>'ALL Other SINs - Proposal'!M99</f>
        <v>0</v>
      </c>
      <c r="N99" s="251">
        <f>'ALL Other SINs - Proposal'!V99</f>
        <v>0</v>
      </c>
      <c r="O99" s="201" t="str">
        <f>'Price Analysis'!N99</f>
        <v xml:space="preserve"> </v>
      </c>
      <c r="P99" s="53" t="str">
        <f>IF(ISBLANK('ALL Other SINs - Proposal'!AA99)," ",'ALL Other SINs - Proposal'!AA99)</f>
        <v xml:space="preserve"> </v>
      </c>
      <c r="Q99" s="95" t="str">
        <f>'ALL Other SINs - Proposal'!AC99</f>
        <v xml:space="preserve"> </v>
      </c>
      <c r="R99" s="100" t="str">
        <f>IF(ISBLANK('ALL Other SINs - Proposal'!AA99)," ",ROUND(Q99,2))</f>
        <v xml:space="preserve"> </v>
      </c>
      <c r="S99" s="54"/>
    </row>
    <row r="100" spans="1:19" ht="20.100000000000001" customHeight="1" x14ac:dyDescent="0.2">
      <c r="A100" s="127">
        <f>'ALL Other SINs - Proposal'!A100</f>
        <v>0</v>
      </c>
      <c r="B100" s="121">
        <f>'ALL Other SINs - Proposal'!B100</f>
        <v>0</v>
      </c>
      <c r="C100" s="121">
        <f>'ALL Other SINs - Proposal'!C100</f>
        <v>0</v>
      </c>
      <c r="D100" s="121">
        <f>'ALL Other SINs - Proposal'!D100</f>
        <v>0</v>
      </c>
      <c r="E100" s="121">
        <f>'ALL Other SINs - Proposal'!E100</f>
        <v>0</v>
      </c>
      <c r="F100" s="171">
        <f>'ALL Other SINs - Proposal'!F100</f>
        <v>0</v>
      </c>
      <c r="G100" s="51">
        <f>'ALL Other SINs - Proposal'!G100</f>
        <v>0</v>
      </c>
      <c r="H100" s="125">
        <f>'ALL Other SINs - Proposal'!H100</f>
        <v>0</v>
      </c>
      <c r="I100" s="125">
        <f>'ALL Other SINs - Proposal'!I100</f>
        <v>0</v>
      </c>
      <c r="J100" s="125">
        <f>'ALL Other SINs - Proposal'!J100</f>
        <v>0</v>
      </c>
      <c r="K100" s="125">
        <f>'ALL Other SINs - Proposal'!K100</f>
        <v>0</v>
      </c>
      <c r="L100" s="125">
        <f>'ALL Other SINs - Proposal'!L100</f>
        <v>0</v>
      </c>
      <c r="M100" s="206">
        <f>'ALL Other SINs - Proposal'!M100</f>
        <v>0</v>
      </c>
      <c r="N100" s="251">
        <f>'ALL Other SINs - Proposal'!V100</f>
        <v>0</v>
      </c>
      <c r="O100" s="201" t="str">
        <f>'Price Analysis'!N100</f>
        <v xml:space="preserve"> </v>
      </c>
      <c r="P100" s="53" t="str">
        <f>IF(ISBLANK('ALL Other SINs - Proposal'!AA100)," ",'ALL Other SINs - Proposal'!AA100)</f>
        <v xml:space="preserve"> </v>
      </c>
      <c r="Q100" s="95" t="str">
        <f>'ALL Other SINs - Proposal'!AC100</f>
        <v xml:space="preserve"> </v>
      </c>
      <c r="R100" s="100" t="str">
        <f>IF(ISBLANK('ALL Other SINs - Proposal'!AA100)," ",ROUND(Q100,2))</f>
        <v xml:space="preserve"> </v>
      </c>
      <c r="S100" s="54"/>
    </row>
    <row r="101" spans="1:19" ht="20.100000000000001" customHeight="1" x14ac:dyDescent="0.2">
      <c r="A101" s="127">
        <f>'ALL Other SINs - Proposal'!A101</f>
        <v>0</v>
      </c>
      <c r="B101" s="121">
        <f>'ALL Other SINs - Proposal'!B101</f>
        <v>0</v>
      </c>
      <c r="C101" s="121">
        <f>'ALL Other SINs - Proposal'!C101</f>
        <v>0</v>
      </c>
      <c r="D101" s="121">
        <f>'ALL Other SINs - Proposal'!D101</f>
        <v>0</v>
      </c>
      <c r="E101" s="121">
        <f>'ALL Other SINs - Proposal'!E101</f>
        <v>0</v>
      </c>
      <c r="F101" s="171">
        <f>'ALL Other SINs - Proposal'!F101</f>
        <v>0</v>
      </c>
      <c r="G101" s="51">
        <f>'ALL Other SINs - Proposal'!G101</f>
        <v>0</v>
      </c>
      <c r="H101" s="125">
        <f>'ALL Other SINs - Proposal'!H101</f>
        <v>0</v>
      </c>
      <c r="I101" s="125">
        <f>'ALL Other SINs - Proposal'!I101</f>
        <v>0</v>
      </c>
      <c r="J101" s="125">
        <f>'ALL Other SINs - Proposal'!J101</f>
        <v>0</v>
      </c>
      <c r="K101" s="125">
        <f>'ALL Other SINs - Proposal'!K101</f>
        <v>0</v>
      </c>
      <c r="L101" s="125">
        <f>'ALL Other SINs - Proposal'!L101</f>
        <v>0</v>
      </c>
      <c r="M101" s="206">
        <f>'ALL Other SINs - Proposal'!M101</f>
        <v>0</v>
      </c>
      <c r="N101" s="251">
        <f>'ALL Other SINs - Proposal'!V101</f>
        <v>0</v>
      </c>
      <c r="O101" s="201" t="str">
        <f>'Price Analysis'!N101</f>
        <v xml:space="preserve"> </v>
      </c>
      <c r="P101" s="53" t="str">
        <f>IF(ISBLANK('ALL Other SINs - Proposal'!AA101)," ",'ALL Other SINs - Proposal'!AA101)</f>
        <v xml:space="preserve"> </v>
      </c>
      <c r="Q101" s="95" t="str">
        <f>'ALL Other SINs - Proposal'!AC101</f>
        <v xml:space="preserve"> </v>
      </c>
      <c r="R101" s="100" t="str">
        <f>IF(ISBLANK('ALL Other SINs - Proposal'!AA101)," ",ROUND(Q101,2))</f>
        <v xml:space="preserve"> </v>
      </c>
      <c r="S101" s="54"/>
    </row>
    <row r="102" spans="1:19" ht="20.100000000000001" customHeight="1" x14ac:dyDescent="0.2">
      <c r="A102" s="127">
        <f>'ALL Other SINs - Proposal'!A102</f>
        <v>0</v>
      </c>
      <c r="B102" s="121">
        <f>'ALL Other SINs - Proposal'!B102</f>
        <v>0</v>
      </c>
      <c r="C102" s="121">
        <f>'ALL Other SINs - Proposal'!C102</f>
        <v>0</v>
      </c>
      <c r="D102" s="121">
        <f>'ALL Other SINs - Proposal'!D102</f>
        <v>0</v>
      </c>
      <c r="E102" s="121">
        <f>'ALL Other SINs - Proposal'!E102</f>
        <v>0</v>
      </c>
      <c r="F102" s="171">
        <f>'ALL Other SINs - Proposal'!F102</f>
        <v>0</v>
      </c>
      <c r="G102" s="51">
        <f>'ALL Other SINs - Proposal'!G102</f>
        <v>0</v>
      </c>
      <c r="H102" s="125">
        <f>'ALL Other SINs - Proposal'!H102</f>
        <v>0</v>
      </c>
      <c r="I102" s="125">
        <f>'ALL Other SINs - Proposal'!I102</f>
        <v>0</v>
      </c>
      <c r="J102" s="125">
        <f>'ALL Other SINs - Proposal'!J102</f>
        <v>0</v>
      </c>
      <c r="K102" s="125">
        <f>'ALL Other SINs - Proposal'!K102</f>
        <v>0</v>
      </c>
      <c r="L102" s="125">
        <f>'ALL Other SINs - Proposal'!L102</f>
        <v>0</v>
      </c>
      <c r="M102" s="206">
        <f>'ALL Other SINs - Proposal'!M102</f>
        <v>0</v>
      </c>
      <c r="N102" s="251">
        <f>'ALL Other SINs - Proposal'!V102</f>
        <v>0</v>
      </c>
      <c r="O102" s="201" t="str">
        <f>'Price Analysis'!N102</f>
        <v xml:space="preserve"> </v>
      </c>
      <c r="P102" s="53" t="str">
        <f>IF(ISBLANK('ALL Other SINs - Proposal'!AA102)," ",'ALL Other SINs - Proposal'!AA102)</f>
        <v xml:space="preserve"> </v>
      </c>
      <c r="Q102" s="95" t="str">
        <f>'ALL Other SINs - Proposal'!AC102</f>
        <v xml:space="preserve"> </v>
      </c>
      <c r="R102" s="100" t="str">
        <f>IF(ISBLANK('ALL Other SINs - Proposal'!AA102)," ",ROUND(Q102,2))</f>
        <v xml:space="preserve"> </v>
      </c>
      <c r="S102" s="54"/>
    </row>
    <row r="103" spans="1:19" ht="20.100000000000001" customHeight="1" x14ac:dyDescent="0.2">
      <c r="A103" s="127">
        <f>'ALL Other SINs - Proposal'!A103</f>
        <v>0</v>
      </c>
      <c r="B103" s="121">
        <f>'ALL Other SINs - Proposal'!B103</f>
        <v>0</v>
      </c>
      <c r="C103" s="121">
        <f>'ALL Other SINs - Proposal'!C103</f>
        <v>0</v>
      </c>
      <c r="D103" s="121">
        <f>'ALL Other SINs - Proposal'!D103</f>
        <v>0</v>
      </c>
      <c r="E103" s="121">
        <f>'ALL Other SINs - Proposal'!E103</f>
        <v>0</v>
      </c>
      <c r="F103" s="171">
        <f>'ALL Other SINs - Proposal'!F103</f>
        <v>0</v>
      </c>
      <c r="G103" s="51">
        <f>'ALL Other SINs - Proposal'!G103</f>
        <v>0</v>
      </c>
      <c r="H103" s="125">
        <f>'ALL Other SINs - Proposal'!H103</f>
        <v>0</v>
      </c>
      <c r="I103" s="125">
        <f>'ALL Other SINs - Proposal'!I103</f>
        <v>0</v>
      </c>
      <c r="J103" s="125">
        <f>'ALL Other SINs - Proposal'!J103</f>
        <v>0</v>
      </c>
      <c r="K103" s="125">
        <f>'ALL Other SINs - Proposal'!K103</f>
        <v>0</v>
      </c>
      <c r="L103" s="125">
        <f>'ALL Other SINs - Proposal'!L103</f>
        <v>0</v>
      </c>
      <c r="M103" s="206">
        <f>'ALL Other SINs - Proposal'!M103</f>
        <v>0</v>
      </c>
      <c r="N103" s="251">
        <f>'ALL Other SINs - Proposal'!V103</f>
        <v>0</v>
      </c>
      <c r="O103" s="201" t="str">
        <f>'Price Analysis'!N103</f>
        <v xml:space="preserve"> </v>
      </c>
      <c r="P103" s="53" t="str">
        <f>IF(ISBLANK('ALL Other SINs - Proposal'!AA103)," ",'ALL Other SINs - Proposal'!AA103)</f>
        <v xml:space="preserve"> </v>
      </c>
      <c r="Q103" s="95" t="str">
        <f>'ALL Other SINs - Proposal'!AC103</f>
        <v xml:space="preserve"> </v>
      </c>
      <c r="R103" s="100" t="str">
        <f>IF(ISBLANK('ALL Other SINs - Proposal'!AA103)," ",ROUND(Q103,2))</f>
        <v xml:space="preserve"> </v>
      </c>
      <c r="S103" s="54"/>
    </row>
    <row r="104" spans="1:19" ht="20.100000000000001" customHeight="1" x14ac:dyDescent="0.2">
      <c r="A104" s="127">
        <f>'ALL Other SINs - Proposal'!A104</f>
        <v>0</v>
      </c>
      <c r="B104" s="121">
        <f>'ALL Other SINs - Proposal'!B104</f>
        <v>0</v>
      </c>
      <c r="C104" s="121">
        <f>'ALL Other SINs - Proposal'!C104</f>
        <v>0</v>
      </c>
      <c r="D104" s="121">
        <f>'ALL Other SINs - Proposal'!D104</f>
        <v>0</v>
      </c>
      <c r="E104" s="121">
        <f>'ALL Other SINs - Proposal'!E104</f>
        <v>0</v>
      </c>
      <c r="F104" s="171">
        <f>'ALL Other SINs - Proposal'!F104</f>
        <v>0</v>
      </c>
      <c r="G104" s="51">
        <f>'ALL Other SINs - Proposal'!G104</f>
        <v>0</v>
      </c>
      <c r="H104" s="125">
        <f>'ALL Other SINs - Proposal'!H104</f>
        <v>0</v>
      </c>
      <c r="I104" s="125">
        <f>'ALL Other SINs - Proposal'!I104</f>
        <v>0</v>
      </c>
      <c r="J104" s="125">
        <f>'ALL Other SINs - Proposal'!J104</f>
        <v>0</v>
      </c>
      <c r="K104" s="125">
        <f>'ALL Other SINs - Proposal'!K104</f>
        <v>0</v>
      </c>
      <c r="L104" s="125">
        <f>'ALL Other SINs - Proposal'!L104</f>
        <v>0</v>
      </c>
      <c r="M104" s="206">
        <f>'ALL Other SINs - Proposal'!M104</f>
        <v>0</v>
      </c>
      <c r="N104" s="251">
        <f>'ALL Other SINs - Proposal'!V104</f>
        <v>0</v>
      </c>
      <c r="O104" s="201" t="str">
        <f>'Price Analysis'!N104</f>
        <v xml:space="preserve"> </v>
      </c>
      <c r="P104" s="53" t="str">
        <f>IF(ISBLANK('ALL Other SINs - Proposal'!AA104)," ",'ALL Other SINs - Proposal'!AA104)</f>
        <v xml:space="preserve"> </v>
      </c>
      <c r="Q104" s="95" t="str">
        <f>'ALL Other SINs - Proposal'!AC104</f>
        <v xml:space="preserve"> </v>
      </c>
      <c r="R104" s="100" t="str">
        <f>IF(ISBLANK('ALL Other SINs - Proposal'!AA104)," ",ROUND(Q104,2))</f>
        <v xml:space="preserve"> </v>
      </c>
      <c r="S104" s="54"/>
    </row>
    <row r="105" spans="1:19" ht="20.100000000000001" customHeight="1" x14ac:dyDescent="0.2">
      <c r="A105" s="127">
        <f>'ALL Other SINs - Proposal'!A105</f>
        <v>0</v>
      </c>
      <c r="B105" s="121">
        <f>'ALL Other SINs - Proposal'!B105</f>
        <v>0</v>
      </c>
      <c r="C105" s="121">
        <f>'ALL Other SINs - Proposal'!C105</f>
        <v>0</v>
      </c>
      <c r="D105" s="121">
        <f>'ALL Other SINs - Proposal'!D105</f>
        <v>0</v>
      </c>
      <c r="E105" s="121">
        <f>'ALL Other SINs - Proposal'!E105</f>
        <v>0</v>
      </c>
      <c r="F105" s="171">
        <f>'ALL Other SINs - Proposal'!F105</f>
        <v>0</v>
      </c>
      <c r="G105" s="51">
        <f>'ALL Other SINs - Proposal'!G105</f>
        <v>0</v>
      </c>
      <c r="H105" s="125">
        <f>'ALL Other SINs - Proposal'!H105</f>
        <v>0</v>
      </c>
      <c r="I105" s="125">
        <f>'ALL Other SINs - Proposal'!I105</f>
        <v>0</v>
      </c>
      <c r="J105" s="125">
        <f>'ALL Other SINs - Proposal'!J105</f>
        <v>0</v>
      </c>
      <c r="K105" s="125">
        <f>'ALL Other SINs - Proposal'!K105</f>
        <v>0</v>
      </c>
      <c r="L105" s="125">
        <f>'ALL Other SINs - Proposal'!L105</f>
        <v>0</v>
      </c>
      <c r="M105" s="206">
        <f>'ALL Other SINs - Proposal'!M105</f>
        <v>0</v>
      </c>
      <c r="N105" s="251">
        <f>'ALL Other SINs - Proposal'!V105</f>
        <v>0</v>
      </c>
      <c r="O105" s="201" t="str">
        <f>'Price Analysis'!N105</f>
        <v xml:space="preserve"> </v>
      </c>
      <c r="P105" s="53" t="str">
        <f>IF(ISBLANK('ALL Other SINs - Proposal'!AA105)," ",'ALL Other SINs - Proposal'!AA105)</f>
        <v xml:space="preserve"> </v>
      </c>
      <c r="Q105" s="95" t="str">
        <f>'ALL Other SINs - Proposal'!AC105</f>
        <v xml:space="preserve"> </v>
      </c>
      <c r="R105" s="100" t="str">
        <f>IF(ISBLANK('ALL Other SINs - Proposal'!AA105)," ",ROUND(Q105,2))</f>
        <v xml:space="preserve"> </v>
      </c>
      <c r="S105" s="54"/>
    </row>
    <row r="106" spans="1:19" ht="20.100000000000001" customHeight="1" x14ac:dyDescent="0.2">
      <c r="A106" s="127">
        <f>'ALL Other SINs - Proposal'!A106</f>
        <v>0</v>
      </c>
      <c r="B106" s="121">
        <f>'ALL Other SINs - Proposal'!B106</f>
        <v>0</v>
      </c>
      <c r="C106" s="121">
        <f>'ALL Other SINs - Proposal'!C106</f>
        <v>0</v>
      </c>
      <c r="D106" s="121">
        <f>'ALL Other SINs - Proposal'!D106</f>
        <v>0</v>
      </c>
      <c r="E106" s="121">
        <f>'ALL Other SINs - Proposal'!E106</f>
        <v>0</v>
      </c>
      <c r="F106" s="171">
        <f>'ALL Other SINs - Proposal'!F106</f>
        <v>0</v>
      </c>
      <c r="G106" s="51">
        <f>'ALL Other SINs - Proposal'!G106</f>
        <v>0</v>
      </c>
      <c r="H106" s="125">
        <f>'ALL Other SINs - Proposal'!H106</f>
        <v>0</v>
      </c>
      <c r="I106" s="125">
        <f>'ALL Other SINs - Proposal'!I106</f>
        <v>0</v>
      </c>
      <c r="J106" s="125">
        <f>'ALL Other SINs - Proposal'!J106</f>
        <v>0</v>
      </c>
      <c r="K106" s="125">
        <f>'ALL Other SINs - Proposal'!K106</f>
        <v>0</v>
      </c>
      <c r="L106" s="125">
        <f>'ALL Other SINs - Proposal'!L106</f>
        <v>0</v>
      </c>
      <c r="M106" s="206">
        <f>'ALL Other SINs - Proposal'!M106</f>
        <v>0</v>
      </c>
      <c r="N106" s="251">
        <f>'ALL Other SINs - Proposal'!V106</f>
        <v>0</v>
      </c>
      <c r="O106" s="201" t="str">
        <f>'Price Analysis'!N106</f>
        <v xml:space="preserve"> </v>
      </c>
      <c r="P106" s="53" t="str">
        <f>IF(ISBLANK('ALL Other SINs - Proposal'!AA106)," ",'ALL Other SINs - Proposal'!AA106)</f>
        <v xml:space="preserve"> </v>
      </c>
      <c r="Q106" s="95" t="str">
        <f>'ALL Other SINs - Proposal'!AC106</f>
        <v xml:space="preserve"> </v>
      </c>
      <c r="R106" s="100" t="str">
        <f>IF(ISBLANK('ALL Other SINs - Proposal'!AA106)," ",ROUND(Q106,2))</f>
        <v xml:space="preserve"> </v>
      </c>
      <c r="S106" s="54"/>
    </row>
    <row r="107" spans="1:19" ht="20.100000000000001" customHeight="1" x14ac:dyDescent="0.2">
      <c r="A107" s="127">
        <f>'ALL Other SINs - Proposal'!A107</f>
        <v>0</v>
      </c>
      <c r="B107" s="121">
        <f>'ALL Other SINs - Proposal'!B107</f>
        <v>0</v>
      </c>
      <c r="C107" s="121">
        <f>'ALL Other SINs - Proposal'!C107</f>
        <v>0</v>
      </c>
      <c r="D107" s="121">
        <f>'ALL Other SINs - Proposal'!D107</f>
        <v>0</v>
      </c>
      <c r="E107" s="121">
        <f>'ALL Other SINs - Proposal'!E107</f>
        <v>0</v>
      </c>
      <c r="F107" s="171">
        <f>'ALL Other SINs - Proposal'!F107</f>
        <v>0</v>
      </c>
      <c r="G107" s="51">
        <f>'ALL Other SINs - Proposal'!G107</f>
        <v>0</v>
      </c>
      <c r="H107" s="125">
        <f>'ALL Other SINs - Proposal'!H107</f>
        <v>0</v>
      </c>
      <c r="I107" s="125">
        <f>'ALL Other SINs - Proposal'!I107</f>
        <v>0</v>
      </c>
      <c r="J107" s="125">
        <f>'ALL Other SINs - Proposal'!J107</f>
        <v>0</v>
      </c>
      <c r="K107" s="125">
        <f>'ALL Other SINs - Proposal'!K107</f>
        <v>0</v>
      </c>
      <c r="L107" s="125">
        <f>'ALL Other SINs - Proposal'!L107</f>
        <v>0</v>
      </c>
      <c r="M107" s="206">
        <f>'ALL Other SINs - Proposal'!M107</f>
        <v>0</v>
      </c>
      <c r="N107" s="251">
        <f>'ALL Other SINs - Proposal'!V107</f>
        <v>0</v>
      </c>
      <c r="O107" s="201" t="str">
        <f>'Price Analysis'!N107</f>
        <v xml:space="preserve"> </v>
      </c>
      <c r="P107" s="53" t="str">
        <f>IF(ISBLANK('ALL Other SINs - Proposal'!AA107)," ",'ALL Other SINs - Proposal'!AA107)</f>
        <v xml:space="preserve"> </v>
      </c>
      <c r="Q107" s="95" t="str">
        <f>'ALL Other SINs - Proposal'!AC107</f>
        <v xml:space="preserve"> </v>
      </c>
      <c r="R107" s="100" t="str">
        <f>IF(ISBLANK('ALL Other SINs - Proposal'!AA107)," ",ROUND(Q107,2))</f>
        <v xml:space="preserve"> </v>
      </c>
      <c r="S107" s="54"/>
    </row>
    <row r="108" spans="1:19" ht="20.100000000000001" customHeight="1" x14ac:dyDescent="0.2">
      <c r="A108" s="127">
        <f>'ALL Other SINs - Proposal'!A108</f>
        <v>0</v>
      </c>
      <c r="B108" s="121">
        <f>'ALL Other SINs - Proposal'!B108</f>
        <v>0</v>
      </c>
      <c r="C108" s="121">
        <f>'ALL Other SINs - Proposal'!C108</f>
        <v>0</v>
      </c>
      <c r="D108" s="121">
        <f>'ALL Other SINs - Proposal'!D108</f>
        <v>0</v>
      </c>
      <c r="E108" s="121">
        <f>'ALL Other SINs - Proposal'!E108</f>
        <v>0</v>
      </c>
      <c r="F108" s="171">
        <f>'ALL Other SINs - Proposal'!F108</f>
        <v>0</v>
      </c>
      <c r="G108" s="51">
        <f>'ALL Other SINs - Proposal'!G108</f>
        <v>0</v>
      </c>
      <c r="H108" s="125">
        <f>'ALL Other SINs - Proposal'!H108</f>
        <v>0</v>
      </c>
      <c r="I108" s="125">
        <f>'ALL Other SINs - Proposal'!I108</f>
        <v>0</v>
      </c>
      <c r="J108" s="125">
        <f>'ALL Other SINs - Proposal'!J108</f>
        <v>0</v>
      </c>
      <c r="K108" s="125">
        <f>'ALL Other SINs - Proposal'!K108</f>
        <v>0</v>
      </c>
      <c r="L108" s="125">
        <f>'ALL Other SINs - Proposal'!L108</f>
        <v>0</v>
      </c>
      <c r="M108" s="206">
        <f>'ALL Other SINs - Proposal'!M108</f>
        <v>0</v>
      </c>
      <c r="N108" s="251">
        <f>'ALL Other SINs - Proposal'!V108</f>
        <v>0</v>
      </c>
      <c r="O108" s="201" t="str">
        <f>'Price Analysis'!N108</f>
        <v xml:space="preserve"> </v>
      </c>
      <c r="P108" s="53" t="str">
        <f>IF(ISBLANK('ALL Other SINs - Proposal'!AA108)," ",'ALL Other SINs - Proposal'!AA108)</f>
        <v xml:space="preserve"> </v>
      </c>
      <c r="Q108" s="95" t="str">
        <f>'ALL Other SINs - Proposal'!AC108</f>
        <v xml:space="preserve"> </v>
      </c>
      <c r="R108" s="100" t="str">
        <f>IF(ISBLANK('ALL Other SINs - Proposal'!AA108)," ",ROUND(Q108,2))</f>
        <v xml:space="preserve"> </v>
      </c>
      <c r="S108" s="54"/>
    </row>
    <row r="109" spans="1:19" ht="20.100000000000001" customHeight="1" x14ac:dyDescent="0.2">
      <c r="A109" s="127">
        <f>'ALL Other SINs - Proposal'!A109</f>
        <v>0</v>
      </c>
      <c r="B109" s="121">
        <f>'ALL Other SINs - Proposal'!B109</f>
        <v>0</v>
      </c>
      <c r="C109" s="121">
        <f>'ALL Other SINs - Proposal'!C109</f>
        <v>0</v>
      </c>
      <c r="D109" s="121">
        <f>'ALL Other SINs - Proposal'!D109</f>
        <v>0</v>
      </c>
      <c r="E109" s="121">
        <f>'ALL Other SINs - Proposal'!E109</f>
        <v>0</v>
      </c>
      <c r="F109" s="171">
        <f>'ALL Other SINs - Proposal'!F109</f>
        <v>0</v>
      </c>
      <c r="G109" s="51">
        <f>'ALL Other SINs - Proposal'!G109</f>
        <v>0</v>
      </c>
      <c r="H109" s="125">
        <f>'ALL Other SINs - Proposal'!H109</f>
        <v>0</v>
      </c>
      <c r="I109" s="125">
        <f>'ALL Other SINs - Proposal'!I109</f>
        <v>0</v>
      </c>
      <c r="J109" s="125">
        <f>'ALL Other SINs - Proposal'!J109</f>
        <v>0</v>
      </c>
      <c r="K109" s="125">
        <f>'ALL Other SINs - Proposal'!K109</f>
        <v>0</v>
      </c>
      <c r="L109" s="125">
        <f>'ALL Other SINs - Proposal'!L109</f>
        <v>0</v>
      </c>
      <c r="M109" s="206">
        <f>'ALL Other SINs - Proposal'!M109</f>
        <v>0</v>
      </c>
      <c r="N109" s="251">
        <f>'ALL Other SINs - Proposal'!V109</f>
        <v>0</v>
      </c>
      <c r="O109" s="201" t="str">
        <f>'Price Analysis'!N109</f>
        <v xml:space="preserve"> </v>
      </c>
      <c r="P109" s="53" t="str">
        <f>IF(ISBLANK('ALL Other SINs - Proposal'!AA109)," ",'ALL Other SINs - Proposal'!AA109)</f>
        <v xml:space="preserve"> </v>
      </c>
      <c r="Q109" s="95" t="str">
        <f>'ALL Other SINs - Proposal'!AC109</f>
        <v xml:space="preserve"> </v>
      </c>
      <c r="R109" s="100" t="str">
        <f>IF(ISBLANK('ALL Other SINs - Proposal'!AA109)," ",ROUND(Q109,2))</f>
        <v xml:space="preserve"> </v>
      </c>
      <c r="S109" s="54"/>
    </row>
    <row r="110" spans="1:19" ht="20.100000000000001" customHeight="1" x14ac:dyDescent="0.2">
      <c r="A110" s="127">
        <f>'ALL Other SINs - Proposal'!A110</f>
        <v>0</v>
      </c>
      <c r="B110" s="121">
        <f>'ALL Other SINs - Proposal'!B110</f>
        <v>0</v>
      </c>
      <c r="C110" s="121">
        <f>'ALL Other SINs - Proposal'!C110</f>
        <v>0</v>
      </c>
      <c r="D110" s="121">
        <f>'ALL Other SINs - Proposal'!D110</f>
        <v>0</v>
      </c>
      <c r="E110" s="121">
        <f>'ALL Other SINs - Proposal'!E110</f>
        <v>0</v>
      </c>
      <c r="F110" s="171">
        <f>'ALL Other SINs - Proposal'!F110</f>
        <v>0</v>
      </c>
      <c r="G110" s="51">
        <f>'ALL Other SINs - Proposal'!G110</f>
        <v>0</v>
      </c>
      <c r="H110" s="125">
        <f>'ALL Other SINs - Proposal'!H110</f>
        <v>0</v>
      </c>
      <c r="I110" s="125">
        <f>'ALL Other SINs - Proposal'!I110</f>
        <v>0</v>
      </c>
      <c r="J110" s="125">
        <f>'ALL Other SINs - Proposal'!J110</f>
        <v>0</v>
      </c>
      <c r="K110" s="125">
        <f>'ALL Other SINs - Proposal'!K110</f>
        <v>0</v>
      </c>
      <c r="L110" s="125">
        <f>'ALL Other SINs - Proposal'!L110</f>
        <v>0</v>
      </c>
      <c r="M110" s="206">
        <f>'ALL Other SINs - Proposal'!M110</f>
        <v>0</v>
      </c>
      <c r="N110" s="251">
        <f>'ALL Other SINs - Proposal'!V110</f>
        <v>0</v>
      </c>
      <c r="O110" s="201" t="str">
        <f>'Price Analysis'!N110</f>
        <v xml:space="preserve"> </v>
      </c>
      <c r="P110" s="53" t="str">
        <f>IF(ISBLANK('ALL Other SINs - Proposal'!AA110)," ",'ALL Other SINs - Proposal'!AA110)</f>
        <v xml:space="preserve"> </v>
      </c>
      <c r="Q110" s="95" t="str">
        <f>'ALL Other SINs - Proposal'!AC110</f>
        <v xml:space="preserve"> </v>
      </c>
      <c r="R110" s="100" t="str">
        <f>IF(ISBLANK('ALL Other SINs - Proposal'!AA110)," ",ROUND(Q110,2))</f>
        <v xml:space="preserve"> </v>
      </c>
      <c r="S110" s="54"/>
    </row>
    <row r="111" spans="1:19" ht="20.100000000000001" customHeight="1" x14ac:dyDescent="0.2">
      <c r="A111" s="127">
        <f>'ALL Other SINs - Proposal'!A111</f>
        <v>0</v>
      </c>
      <c r="B111" s="121">
        <f>'ALL Other SINs - Proposal'!B111</f>
        <v>0</v>
      </c>
      <c r="C111" s="121">
        <f>'ALL Other SINs - Proposal'!C111</f>
        <v>0</v>
      </c>
      <c r="D111" s="121">
        <f>'ALL Other SINs - Proposal'!D111</f>
        <v>0</v>
      </c>
      <c r="E111" s="121">
        <f>'ALL Other SINs - Proposal'!E111</f>
        <v>0</v>
      </c>
      <c r="F111" s="171">
        <f>'ALL Other SINs - Proposal'!F111</f>
        <v>0</v>
      </c>
      <c r="G111" s="51">
        <f>'ALL Other SINs - Proposal'!G111</f>
        <v>0</v>
      </c>
      <c r="H111" s="125">
        <f>'ALL Other SINs - Proposal'!H111</f>
        <v>0</v>
      </c>
      <c r="I111" s="125">
        <f>'ALL Other SINs - Proposal'!I111</f>
        <v>0</v>
      </c>
      <c r="J111" s="125">
        <f>'ALL Other SINs - Proposal'!J111</f>
        <v>0</v>
      </c>
      <c r="K111" s="125">
        <f>'ALL Other SINs - Proposal'!K111</f>
        <v>0</v>
      </c>
      <c r="L111" s="125">
        <f>'ALL Other SINs - Proposal'!L111</f>
        <v>0</v>
      </c>
      <c r="M111" s="206">
        <f>'ALL Other SINs - Proposal'!M111</f>
        <v>0</v>
      </c>
      <c r="N111" s="251">
        <f>'ALL Other SINs - Proposal'!V111</f>
        <v>0</v>
      </c>
      <c r="O111" s="201" t="str">
        <f>'Price Analysis'!N111</f>
        <v xml:space="preserve"> </v>
      </c>
      <c r="P111" s="53" t="str">
        <f>IF(ISBLANK('ALL Other SINs - Proposal'!AA111)," ",'ALL Other SINs - Proposal'!AA111)</f>
        <v xml:space="preserve"> </v>
      </c>
      <c r="Q111" s="95" t="str">
        <f>'ALL Other SINs - Proposal'!AC111</f>
        <v xml:space="preserve"> </v>
      </c>
      <c r="R111" s="100" t="str">
        <f>IF(ISBLANK('ALL Other SINs - Proposal'!AA111)," ",ROUND(Q111,2))</f>
        <v xml:space="preserve"> </v>
      </c>
      <c r="S111" s="54"/>
    </row>
    <row r="112" spans="1:19" ht="20.100000000000001" customHeight="1" x14ac:dyDescent="0.2">
      <c r="A112" s="127">
        <f>'ALL Other SINs - Proposal'!A112</f>
        <v>0</v>
      </c>
      <c r="B112" s="121">
        <f>'ALL Other SINs - Proposal'!B112</f>
        <v>0</v>
      </c>
      <c r="C112" s="121">
        <f>'ALL Other SINs - Proposal'!C112</f>
        <v>0</v>
      </c>
      <c r="D112" s="121">
        <f>'ALL Other SINs - Proposal'!D112</f>
        <v>0</v>
      </c>
      <c r="E112" s="121">
        <f>'ALL Other SINs - Proposal'!E112</f>
        <v>0</v>
      </c>
      <c r="F112" s="171">
        <f>'ALL Other SINs - Proposal'!F112</f>
        <v>0</v>
      </c>
      <c r="G112" s="51">
        <f>'ALL Other SINs - Proposal'!G112</f>
        <v>0</v>
      </c>
      <c r="H112" s="125">
        <f>'ALL Other SINs - Proposal'!H112</f>
        <v>0</v>
      </c>
      <c r="I112" s="125">
        <f>'ALL Other SINs - Proposal'!I112</f>
        <v>0</v>
      </c>
      <c r="J112" s="125">
        <f>'ALL Other SINs - Proposal'!J112</f>
        <v>0</v>
      </c>
      <c r="K112" s="125">
        <f>'ALL Other SINs - Proposal'!K112</f>
        <v>0</v>
      </c>
      <c r="L112" s="125">
        <f>'ALL Other SINs - Proposal'!L112</f>
        <v>0</v>
      </c>
      <c r="M112" s="206">
        <f>'ALL Other SINs - Proposal'!M112</f>
        <v>0</v>
      </c>
      <c r="N112" s="251">
        <f>'ALL Other SINs - Proposal'!V112</f>
        <v>0</v>
      </c>
      <c r="O112" s="201" t="str">
        <f>'Price Analysis'!N112</f>
        <v xml:space="preserve"> </v>
      </c>
      <c r="P112" s="53" t="str">
        <f>IF(ISBLANK('ALL Other SINs - Proposal'!AA112)," ",'ALL Other SINs - Proposal'!AA112)</f>
        <v xml:space="preserve"> </v>
      </c>
      <c r="Q112" s="95" t="str">
        <f>'ALL Other SINs - Proposal'!AC112</f>
        <v xml:space="preserve"> </v>
      </c>
      <c r="R112" s="100" t="str">
        <f>IF(ISBLANK('ALL Other SINs - Proposal'!AA112)," ",ROUND(Q112,2))</f>
        <v xml:space="preserve"> </v>
      </c>
      <c r="S112" s="54"/>
    </row>
    <row r="113" spans="1:19" ht="20.100000000000001" customHeight="1" x14ac:dyDescent="0.2">
      <c r="A113" s="127">
        <f>'ALL Other SINs - Proposal'!A113</f>
        <v>0</v>
      </c>
      <c r="B113" s="121">
        <f>'ALL Other SINs - Proposal'!B113</f>
        <v>0</v>
      </c>
      <c r="C113" s="121">
        <f>'ALL Other SINs - Proposal'!C113</f>
        <v>0</v>
      </c>
      <c r="D113" s="121">
        <f>'ALL Other SINs - Proposal'!D113</f>
        <v>0</v>
      </c>
      <c r="E113" s="121">
        <f>'ALL Other SINs - Proposal'!E113</f>
        <v>0</v>
      </c>
      <c r="F113" s="171">
        <f>'ALL Other SINs - Proposal'!F113</f>
        <v>0</v>
      </c>
      <c r="G113" s="51">
        <f>'ALL Other SINs - Proposal'!G113</f>
        <v>0</v>
      </c>
      <c r="H113" s="125">
        <f>'ALL Other SINs - Proposal'!H113</f>
        <v>0</v>
      </c>
      <c r="I113" s="125">
        <f>'ALL Other SINs - Proposal'!I113</f>
        <v>0</v>
      </c>
      <c r="J113" s="125">
        <f>'ALL Other SINs - Proposal'!J113</f>
        <v>0</v>
      </c>
      <c r="K113" s="125">
        <f>'ALL Other SINs - Proposal'!K113</f>
        <v>0</v>
      </c>
      <c r="L113" s="125">
        <f>'ALL Other SINs - Proposal'!L113</f>
        <v>0</v>
      </c>
      <c r="M113" s="206">
        <f>'ALL Other SINs - Proposal'!M113</f>
        <v>0</v>
      </c>
      <c r="N113" s="251">
        <f>'ALL Other SINs - Proposal'!V113</f>
        <v>0</v>
      </c>
      <c r="O113" s="201" t="str">
        <f>'Price Analysis'!N113</f>
        <v xml:space="preserve"> </v>
      </c>
      <c r="P113" s="53" t="str">
        <f>IF(ISBLANK('ALL Other SINs - Proposal'!AA113)," ",'ALL Other SINs - Proposal'!AA113)</f>
        <v xml:space="preserve"> </v>
      </c>
      <c r="Q113" s="95" t="str">
        <f>'ALL Other SINs - Proposal'!AC113</f>
        <v xml:space="preserve"> </v>
      </c>
      <c r="R113" s="100" t="str">
        <f>IF(ISBLANK('ALL Other SINs - Proposal'!AA113)," ",ROUND(Q113,2))</f>
        <v xml:space="preserve"> </v>
      </c>
      <c r="S113" s="54"/>
    </row>
    <row r="114" spans="1:19" ht="20.100000000000001" customHeight="1" x14ac:dyDescent="0.2">
      <c r="A114" s="127">
        <f>'ALL Other SINs - Proposal'!A114</f>
        <v>0</v>
      </c>
      <c r="B114" s="121">
        <f>'ALL Other SINs - Proposal'!B114</f>
        <v>0</v>
      </c>
      <c r="C114" s="121">
        <f>'ALL Other SINs - Proposal'!C114</f>
        <v>0</v>
      </c>
      <c r="D114" s="121">
        <f>'ALL Other SINs - Proposal'!D114</f>
        <v>0</v>
      </c>
      <c r="E114" s="121">
        <f>'ALL Other SINs - Proposal'!E114</f>
        <v>0</v>
      </c>
      <c r="F114" s="171">
        <f>'ALL Other SINs - Proposal'!F114</f>
        <v>0</v>
      </c>
      <c r="G114" s="51">
        <f>'ALL Other SINs - Proposal'!G114</f>
        <v>0</v>
      </c>
      <c r="H114" s="125">
        <f>'ALL Other SINs - Proposal'!H114</f>
        <v>0</v>
      </c>
      <c r="I114" s="125">
        <f>'ALL Other SINs - Proposal'!I114</f>
        <v>0</v>
      </c>
      <c r="J114" s="125">
        <f>'ALL Other SINs - Proposal'!J114</f>
        <v>0</v>
      </c>
      <c r="K114" s="125">
        <f>'ALL Other SINs - Proposal'!K114</f>
        <v>0</v>
      </c>
      <c r="L114" s="125">
        <f>'ALL Other SINs - Proposal'!L114</f>
        <v>0</v>
      </c>
      <c r="M114" s="206">
        <f>'ALL Other SINs - Proposal'!M114</f>
        <v>0</v>
      </c>
      <c r="N114" s="251">
        <f>'ALL Other SINs - Proposal'!V114</f>
        <v>0</v>
      </c>
      <c r="O114" s="201" t="str">
        <f>'Price Analysis'!N114</f>
        <v xml:space="preserve"> </v>
      </c>
      <c r="P114" s="53" t="str">
        <f>IF(ISBLANK('ALL Other SINs - Proposal'!AA114)," ",'ALL Other SINs - Proposal'!AA114)</f>
        <v xml:space="preserve"> </v>
      </c>
      <c r="Q114" s="95" t="str">
        <f>'ALL Other SINs - Proposal'!AC114</f>
        <v xml:space="preserve"> </v>
      </c>
      <c r="R114" s="100" t="str">
        <f>IF(ISBLANK('ALL Other SINs - Proposal'!AA114)," ",ROUND(Q114,2))</f>
        <v xml:space="preserve"> </v>
      </c>
      <c r="S114" s="54"/>
    </row>
    <row r="115" spans="1:19" ht="20.100000000000001" customHeight="1" x14ac:dyDescent="0.2">
      <c r="A115" s="127">
        <f>'ALL Other SINs - Proposal'!A115</f>
        <v>0</v>
      </c>
      <c r="B115" s="121">
        <f>'ALL Other SINs - Proposal'!B115</f>
        <v>0</v>
      </c>
      <c r="C115" s="121">
        <f>'ALL Other SINs - Proposal'!C115</f>
        <v>0</v>
      </c>
      <c r="D115" s="121">
        <f>'ALL Other SINs - Proposal'!D115</f>
        <v>0</v>
      </c>
      <c r="E115" s="121">
        <f>'ALL Other SINs - Proposal'!E115</f>
        <v>0</v>
      </c>
      <c r="F115" s="171">
        <f>'ALL Other SINs - Proposal'!F115</f>
        <v>0</v>
      </c>
      <c r="G115" s="51">
        <f>'ALL Other SINs - Proposal'!G115</f>
        <v>0</v>
      </c>
      <c r="H115" s="125">
        <f>'ALL Other SINs - Proposal'!H115</f>
        <v>0</v>
      </c>
      <c r="I115" s="125">
        <f>'ALL Other SINs - Proposal'!I115</f>
        <v>0</v>
      </c>
      <c r="J115" s="125">
        <f>'ALL Other SINs - Proposal'!J115</f>
        <v>0</v>
      </c>
      <c r="K115" s="125">
        <f>'ALL Other SINs - Proposal'!K115</f>
        <v>0</v>
      </c>
      <c r="L115" s="125">
        <f>'ALL Other SINs - Proposal'!L115</f>
        <v>0</v>
      </c>
      <c r="M115" s="206">
        <f>'ALL Other SINs - Proposal'!M115</f>
        <v>0</v>
      </c>
      <c r="N115" s="251">
        <f>'ALL Other SINs - Proposal'!V115</f>
        <v>0</v>
      </c>
      <c r="O115" s="201" t="str">
        <f>'Price Analysis'!N115</f>
        <v xml:space="preserve"> </v>
      </c>
      <c r="P115" s="53" t="str">
        <f>IF(ISBLANK('ALL Other SINs - Proposal'!AA115)," ",'ALL Other SINs - Proposal'!AA115)</f>
        <v xml:space="preserve"> </v>
      </c>
      <c r="Q115" s="95" t="str">
        <f>'ALL Other SINs - Proposal'!AC115</f>
        <v xml:space="preserve"> </v>
      </c>
      <c r="R115" s="100" t="str">
        <f>IF(ISBLANK('ALL Other SINs - Proposal'!AA115)," ",ROUND(Q115,2))</f>
        <v xml:space="preserve"> </v>
      </c>
      <c r="S115" s="54"/>
    </row>
    <row r="116" spans="1:19" ht="20.100000000000001" customHeight="1" x14ac:dyDescent="0.2">
      <c r="A116" s="127">
        <f>'ALL Other SINs - Proposal'!A116</f>
        <v>0</v>
      </c>
      <c r="B116" s="121">
        <f>'ALL Other SINs - Proposal'!B116</f>
        <v>0</v>
      </c>
      <c r="C116" s="121">
        <f>'ALL Other SINs - Proposal'!C116</f>
        <v>0</v>
      </c>
      <c r="D116" s="121">
        <f>'ALL Other SINs - Proposal'!D116</f>
        <v>0</v>
      </c>
      <c r="E116" s="121">
        <f>'ALL Other SINs - Proposal'!E116</f>
        <v>0</v>
      </c>
      <c r="F116" s="171">
        <f>'ALL Other SINs - Proposal'!F116</f>
        <v>0</v>
      </c>
      <c r="G116" s="51">
        <f>'ALL Other SINs - Proposal'!G116</f>
        <v>0</v>
      </c>
      <c r="H116" s="125">
        <f>'ALL Other SINs - Proposal'!H116</f>
        <v>0</v>
      </c>
      <c r="I116" s="125">
        <f>'ALL Other SINs - Proposal'!I116</f>
        <v>0</v>
      </c>
      <c r="J116" s="125">
        <f>'ALL Other SINs - Proposal'!J116</f>
        <v>0</v>
      </c>
      <c r="K116" s="125">
        <f>'ALL Other SINs - Proposal'!K116</f>
        <v>0</v>
      </c>
      <c r="L116" s="125">
        <f>'ALL Other SINs - Proposal'!L116</f>
        <v>0</v>
      </c>
      <c r="M116" s="206">
        <f>'ALL Other SINs - Proposal'!M116</f>
        <v>0</v>
      </c>
      <c r="N116" s="251">
        <f>'ALL Other SINs - Proposal'!V116</f>
        <v>0</v>
      </c>
      <c r="O116" s="201" t="str">
        <f>'Price Analysis'!N116</f>
        <v xml:space="preserve"> </v>
      </c>
      <c r="P116" s="53" t="str">
        <f>IF(ISBLANK('ALL Other SINs - Proposal'!AA116)," ",'ALL Other SINs - Proposal'!AA116)</f>
        <v xml:space="preserve"> </v>
      </c>
      <c r="Q116" s="95" t="str">
        <f>'ALL Other SINs - Proposal'!AC116</f>
        <v xml:space="preserve"> </v>
      </c>
      <c r="R116" s="100" t="str">
        <f>IF(ISBLANK('ALL Other SINs - Proposal'!AA116)," ",ROUND(Q116,2))</f>
        <v xml:space="preserve"> </v>
      </c>
      <c r="S116" s="54"/>
    </row>
    <row r="117" spans="1:19" ht="20.100000000000001" customHeight="1" x14ac:dyDescent="0.2">
      <c r="A117" s="127">
        <f>'ALL Other SINs - Proposal'!A117</f>
        <v>0</v>
      </c>
      <c r="B117" s="121">
        <f>'ALL Other SINs - Proposal'!B117</f>
        <v>0</v>
      </c>
      <c r="C117" s="121">
        <f>'ALL Other SINs - Proposal'!C117</f>
        <v>0</v>
      </c>
      <c r="D117" s="121">
        <f>'ALL Other SINs - Proposal'!D117</f>
        <v>0</v>
      </c>
      <c r="E117" s="121">
        <f>'ALL Other SINs - Proposal'!E117</f>
        <v>0</v>
      </c>
      <c r="F117" s="171">
        <f>'ALL Other SINs - Proposal'!F117</f>
        <v>0</v>
      </c>
      <c r="G117" s="51">
        <f>'ALL Other SINs - Proposal'!G117</f>
        <v>0</v>
      </c>
      <c r="H117" s="125">
        <f>'ALL Other SINs - Proposal'!H117</f>
        <v>0</v>
      </c>
      <c r="I117" s="125">
        <f>'ALL Other SINs - Proposal'!I117</f>
        <v>0</v>
      </c>
      <c r="J117" s="125">
        <f>'ALL Other SINs - Proposal'!J117</f>
        <v>0</v>
      </c>
      <c r="K117" s="125">
        <f>'ALL Other SINs - Proposal'!K117</f>
        <v>0</v>
      </c>
      <c r="L117" s="125">
        <f>'ALL Other SINs - Proposal'!L117</f>
        <v>0</v>
      </c>
      <c r="M117" s="206">
        <f>'ALL Other SINs - Proposal'!M117</f>
        <v>0</v>
      </c>
      <c r="N117" s="251">
        <f>'ALL Other SINs - Proposal'!V117</f>
        <v>0</v>
      </c>
      <c r="O117" s="201" t="str">
        <f>'Price Analysis'!N117</f>
        <v xml:space="preserve"> </v>
      </c>
      <c r="P117" s="53" t="str">
        <f>IF(ISBLANK('ALL Other SINs - Proposal'!AA117)," ",'ALL Other SINs - Proposal'!AA117)</f>
        <v xml:space="preserve"> </v>
      </c>
      <c r="Q117" s="95" t="str">
        <f>'ALL Other SINs - Proposal'!AC117</f>
        <v xml:space="preserve"> </v>
      </c>
      <c r="R117" s="100" t="str">
        <f>IF(ISBLANK('ALL Other SINs - Proposal'!AA117)," ",ROUND(Q117,2))</f>
        <v xml:space="preserve"> </v>
      </c>
      <c r="S117" s="54"/>
    </row>
    <row r="118" spans="1:19" ht="20.100000000000001" customHeight="1" x14ac:dyDescent="0.2">
      <c r="A118" s="127">
        <f>'ALL Other SINs - Proposal'!A118</f>
        <v>0</v>
      </c>
      <c r="B118" s="121">
        <f>'ALL Other SINs - Proposal'!B118</f>
        <v>0</v>
      </c>
      <c r="C118" s="121">
        <f>'ALL Other SINs - Proposal'!C118</f>
        <v>0</v>
      </c>
      <c r="D118" s="121">
        <f>'ALL Other SINs - Proposal'!D118</f>
        <v>0</v>
      </c>
      <c r="E118" s="121">
        <f>'ALL Other SINs - Proposal'!E118</f>
        <v>0</v>
      </c>
      <c r="F118" s="171">
        <f>'ALL Other SINs - Proposal'!F118</f>
        <v>0</v>
      </c>
      <c r="G118" s="51">
        <f>'ALL Other SINs - Proposal'!G118</f>
        <v>0</v>
      </c>
      <c r="H118" s="125">
        <f>'ALL Other SINs - Proposal'!H118</f>
        <v>0</v>
      </c>
      <c r="I118" s="125">
        <f>'ALL Other SINs - Proposal'!I118</f>
        <v>0</v>
      </c>
      <c r="J118" s="125">
        <f>'ALL Other SINs - Proposal'!J118</f>
        <v>0</v>
      </c>
      <c r="K118" s="125">
        <f>'ALL Other SINs - Proposal'!K118</f>
        <v>0</v>
      </c>
      <c r="L118" s="125">
        <f>'ALL Other SINs - Proposal'!L118</f>
        <v>0</v>
      </c>
      <c r="M118" s="206">
        <f>'ALL Other SINs - Proposal'!M118</f>
        <v>0</v>
      </c>
      <c r="N118" s="251">
        <f>'ALL Other SINs - Proposal'!V118</f>
        <v>0</v>
      </c>
      <c r="O118" s="201" t="str">
        <f>'Price Analysis'!N118</f>
        <v xml:space="preserve"> </v>
      </c>
      <c r="P118" s="53" t="str">
        <f>IF(ISBLANK('ALL Other SINs - Proposal'!AA118)," ",'ALL Other SINs - Proposal'!AA118)</f>
        <v xml:space="preserve"> </v>
      </c>
      <c r="Q118" s="95" t="str">
        <f>'ALL Other SINs - Proposal'!AC118</f>
        <v xml:space="preserve"> </v>
      </c>
      <c r="R118" s="100" t="str">
        <f>IF(ISBLANK('ALL Other SINs - Proposal'!AA118)," ",ROUND(Q118,2))</f>
        <v xml:space="preserve"> </v>
      </c>
      <c r="S118" s="54"/>
    </row>
    <row r="119" spans="1:19" ht="20.100000000000001" customHeight="1" x14ac:dyDescent="0.2">
      <c r="A119" s="127">
        <f>'ALL Other SINs - Proposal'!A119</f>
        <v>0</v>
      </c>
      <c r="B119" s="121">
        <f>'ALL Other SINs - Proposal'!B119</f>
        <v>0</v>
      </c>
      <c r="C119" s="121">
        <f>'ALL Other SINs - Proposal'!C119</f>
        <v>0</v>
      </c>
      <c r="D119" s="121">
        <f>'ALL Other SINs - Proposal'!D119</f>
        <v>0</v>
      </c>
      <c r="E119" s="121">
        <f>'ALL Other SINs - Proposal'!E119</f>
        <v>0</v>
      </c>
      <c r="F119" s="171">
        <f>'ALL Other SINs - Proposal'!F119</f>
        <v>0</v>
      </c>
      <c r="G119" s="51">
        <f>'ALL Other SINs - Proposal'!G119</f>
        <v>0</v>
      </c>
      <c r="H119" s="125">
        <f>'ALL Other SINs - Proposal'!H119</f>
        <v>0</v>
      </c>
      <c r="I119" s="125">
        <f>'ALL Other SINs - Proposal'!I119</f>
        <v>0</v>
      </c>
      <c r="J119" s="125">
        <f>'ALL Other SINs - Proposal'!J119</f>
        <v>0</v>
      </c>
      <c r="K119" s="125">
        <f>'ALL Other SINs - Proposal'!K119</f>
        <v>0</v>
      </c>
      <c r="L119" s="125">
        <f>'ALL Other SINs - Proposal'!L119</f>
        <v>0</v>
      </c>
      <c r="M119" s="206">
        <f>'ALL Other SINs - Proposal'!M119</f>
        <v>0</v>
      </c>
      <c r="N119" s="251">
        <f>'ALL Other SINs - Proposal'!V119</f>
        <v>0</v>
      </c>
      <c r="O119" s="201" t="str">
        <f>'Price Analysis'!N119</f>
        <v xml:space="preserve"> </v>
      </c>
      <c r="P119" s="53" t="str">
        <f>IF(ISBLANK('ALL Other SINs - Proposal'!AA119)," ",'ALL Other SINs - Proposal'!AA119)</f>
        <v xml:space="preserve"> </v>
      </c>
      <c r="Q119" s="95" t="str">
        <f>'ALL Other SINs - Proposal'!AC119</f>
        <v xml:space="preserve"> </v>
      </c>
      <c r="R119" s="100" t="str">
        <f>IF(ISBLANK('ALL Other SINs - Proposal'!AA119)," ",ROUND(Q119,2))</f>
        <v xml:space="preserve"> </v>
      </c>
      <c r="S119" s="54"/>
    </row>
    <row r="120" spans="1:19" ht="20.100000000000001" customHeight="1" x14ac:dyDescent="0.2">
      <c r="A120" s="127">
        <f>'ALL Other SINs - Proposal'!A120</f>
        <v>0</v>
      </c>
      <c r="B120" s="121">
        <f>'ALL Other SINs - Proposal'!B120</f>
        <v>0</v>
      </c>
      <c r="C120" s="121">
        <f>'ALL Other SINs - Proposal'!C120</f>
        <v>0</v>
      </c>
      <c r="D120" s="121">
        <f>'ALL Other SINs - Proposal'!D120</f>
        <v>0</v>
      </c>
      <c r="E120" s="121">
        <f>'ALL Other SINs - Proposal'!E120</f>
        <v>0</v>
      </c>
      <c r="F120" s="171">
        <f>'ALL Other SINs - Proposal'!F120</f>
        <v>0</v>
      </c>
      <c r="G120" s="51">
        <f>'ALL Other SINs - Proposal'!G120</f>
        <v>0</v>
      </c>
      <c r="H120" s="125">
        <f>'ALL Other SINs - Proposal'!H120</f>
        <v>0</v>
      </c>
      <c r="I120" s="125">
        <f>'ALL Other SINs - Proposal'!I120</f>
        <v>0</v>
      </c>
      <c r="J120" s="125">
        <f>'ALL Other SINs - Proposal'!J120</f>
        <v>0</v>
      </c>
      <c r="K120" s="125">
        <f>'ALL Other SINs - Proposal'!K120</f>
        <v>0</v>
      </c>
      <c r="L120" s="125">
        <f>'ALL Other SINs - Proposal'!L120</f>
        <v>0</v>
      </c>
      <c r="M120" s="206">
        <f>'ALL Other SINs - Proposal'!M120</f>
        <v>0</v>
      </c>
      <c r="N120" s="251">
        <f>'ALL Other SINs - Proposal'!V120</f>
        <v>0</v>
      </c>
      <c r="O120" s="201" t="str">
        <f>'Price Analysis'!N120</f>
        <v xml:space="preserve"> </v>
      </c>
      <c r="P120" s="53" t="str">
        <f>IF(ISBLANK('ALL Other SINs - Proposal'!AA120)," ",'ALL Other SINs - Proposal'!AA120)</f>
        <v xml:space="preserve"> </v>
      </c>
      <c r="Q120" s="95" t="str">
        <f>'ALL Other SINs - Proposal'!AC120</f>
        <v xml:space="preserve"> </v>
      </c>
      <c r="R120" s="100" t="str">
        <f>IF(ISBLANK('ALL Other SINs - Proposal'!AA120)," ",ROUND(Q120,2))</f>
        <v xml:space="preserve"> </v>
      </c>
      <c r="S120" s="54"/>
    </row>
    <row r="121" spans="1:19" ht="20.100000000000001" customHeight="1" x14ac:dyDescent="0.2">
      <c r="A121" s="127">
        <f>'ALL Other SINs - Proposal'!A121</f>
        <v>0</v>
      </c>
      <c r="B121" s="121">
        <f>'ALL Other SINs - Proposal'!B121</f>
        <v>0</v>
      </c>
      <c r="C121" s="121">
        <f>'ALL Other SINs - Proposal'!C121</f>
        <v>0</v>
      </c>
      <c r="D121" s="121">
        <f>'ALL Other SINs - Proposal'!D121</f>
        <v>0</v>
      </c>
      <c r="E121" s="121">
        <f>'ALL Other SINs - Proposal'!E121</f>
        <v>0</v>
      </c>
      <c r="F121" s="171">
        <f>'ALL Other SINs - Proposal'!F121</f>
        <v>0</v>
      </c>
      <c r="G121" s="51">
        <f>'ALL Other SINs - Proposal'!G121</f>
        <v>0</v>
      </c>
      <c r="H121" s="125">
        <f>'ALL Other SINs - Proposal'!H121</f>
        <v>0</v>
      </c>
      <c r="I121" s="125">
        <f>'ALL Other SINs - Proposal'!I121</f>
        <v>0</v>
      </c>
      <c r="J121" s="125">
        <f>'ALL Other SINs - Proposal'!J121</f>
        <v>0</v>
      </c>
      <c r="K121" s="125">
        <f>'ALL Other SINs - Proposal'!K121</f>
        <v>0</v>
      </c>
      <c r="L121" s="125">
        <f>'ALL Other SINs - Proposal'!L121</f>
        <v>0</v>
      </c>
      <c r="M121" s="206">
        <f>'ALL Other SINs - Proposal'!M121</f>
        <v>0</v>
      </c>
      <c r="N121" s="251">
        <f>'ALL Other SINs - Proposal'!V121</f>
        <v>0</v>
      </c>
      <c r="O121" s="201" t="str">
        <f>'Price Analysis'!N121</f>
        <v xml:space="preserve"> </v>
      </c>
      <c r="P121" s="53" t="str">
        <f>IF(ISBLANK('ALL Other SINs - Proposal'!AA121)," ",'ALL Other SINs - Proposal'!AA121)</f>
        <v xml:space="preserve"> </v>
      </c>
      <c r="Q121" s="95" t="str">
        <f>'ALL Other SINs - Proposal'!AC121</f>
        <v xml:space="preserve"> </v>
      </c>
      <c r="R121" s="100" t="str">
        <f>IF(ISBLANK('ALL Other SINs - Proposal'!AA121)," ",ROUND(Q121,2))</f>
        <v xml:space="preserve"> </v>
      </c>
      <c r="S121" s="54"/>
    </row>
    <row r="122" spans="1:19" ht="20.100000000000001" customHeight="1" x14ac:dyDescent="0.2">
      <c r="A122" s="127">
        <f>'ALL Other SINs - Proposal'!A122</f>
        <v>0</v>
      </c>
      <c r="B122" s="121">
        <f>'ALL Other SINs - Proposal'!B122</f>
        <v>0</v>
      </c>
      <c r="C122" s="121">
        <f>'ALL Other SINs - Proposal'!C122</f>
        <v>0</v>
      </c>
      <c r="D122" s="121">
        <f>'ALL Other SINs - Proposal'!D122</f>
        <v>0</v>
      </c>
      <c r="E122" s="121">
        <f>'ALL Other SINs - Proposal'!E122</f>
        <v>0</v>
      </c>
      <c r="F122" s="171">
        <f>'ALL Other SINs - Proposal'!F122</f>
        <v>0</v>
      </c>
      <c r="G122" s="51">
        <f>'ALL Other SINs - Proposal'!G122</f>
        <v>0</v>
      </c>
      <c r="H122" s="125">
        <f>'ALL Other SINs - Proposal'!H122</f>
        <v>0</v>
      </c>
      <c r="I122" s="125">
        <f>'ALL Other SINs - Proposal'!I122</f>
        <v>0</v>
      </c>
      <c r="J122" s="125">
        <f>'ALL Other SINs - Proposal'!J122</f>
        <v>0</v>
      </c>
      <c r="K122" s="125">
        <f>'ALL Other SINs - Proposal'!K122</f>
        <v>0</v>
      </c>
      <c r="L122" s="125">
        <f>'ALL Other SINs - Proposal'!L122</f>
        <v>0</v>
      </c>
      <c r="M122" s="206">
        <f>'ALL Other SINs - Proposal'!M122</f>
        <v>0</v>
      </c>
      <c r="N122" s="251">
        <f>'ALL Other SINs - Proposal'!V122</f>
        <v>0</v>
      </c>
      <c r="O122" s="201" t="str">
        <f>'Price Analysis'!N122</f>
        <v xml:space="preserve"> </v>
      </c>
      <c r="P122" s="53" t="str">
        <f>IF(ISBLANK('ALL Other SINs - Proposal'!AA122)," ",'ALL Other SINs - Proposal'!AA122)</f>
        <v xml:space="preserve"> </v>
      </c>
      <c r="Q122" s="95" t="str">
        <f>'ALL Other SINs - Proposal'!AC122</f>
        <v xml:space="preserve"> </v>
      </c>
      <c r="R122" s="100" t="str">
        <f>IF(ISBLANK('ALL Other SINs - Proposal'!AA122)," ",ROUND(Q122,2))</f>
        <v xml:space="preserve"> </v>
      </c>
      <c r="S122" s="54"/>
    </row>
    <row r="123" spans="1:19" ht="20.100000000000001" customHeight="1" x14ac:dyDescent="0.2">
      <c r="A123" s="127">
        <f>'ALL Other SINs - Proposal'!A123</f>
        <v>0</v>
      </c>
      <c r="B123" s="121">
        <f>'ALL Other SINs - Proposal'!B123</f>
        <v>0</v>
      </c>
      <c r="C123" s="121">
        <f>'ALL Other SINs - Proposal'!C123</f>
        <v>0</v>
      </c>
      <c r="D123" s="121">
        <f>'ALL Other SINs - Proposal'!D123</f>
        <v>0</v>
      </c>
      <c r="E123" s="121">
        <f>'ALL Other SINs - Proposal'!E123</f>
        <v>0</v>
      </c>
      <c r="F123" s="171">
        <f>'ALL Other SINs - Proposal'!F123</f>
        <v>0</v>
      </c>
      <c r="G123" s="51">
        <f>'ALL Other SINs - Proposal'!G123</f>
        <v>0</v>
      </c>
      <c r="H123" s="125">
        <f>'ALL Other SINs - Proposal'!H123</f>
        <v>0</v>
      </c>
      <c r="I123" s="125">
        <f>'ALL Other SINs - Proposal'!I123</f>
        <v>0</v>
      </c>
      <c r="J123" s="125">
        <f>'ALL Other SINs - Proposal'!J123</f>
        <v>0</v>
      </c>
      <c r="K123" s="125">
        <f>'ALL Other SINs - Proposal'!K123</f>
        <v>0</v>
      </c>
      <c r="L123" s="125">
        <f>'ALL Other SINs - Proposal'!L123</f>
        <v>0</v>
      </c>
      <c r="M123" s="206">
        <f>'ALL Other SINs - Proposal'!M123</f>
        <v>0</v>
      </c>
      <c r="N123" s="251">
        <f>'ALL Other SINs - Proposal'!V123</f>
        <v>0</v>
      </c>
      <c r="O123" s="201" t="str">
        <f>'Price Analysis'!N123</f>
        <v xml:space="preserve"> </v>
      </c>
      <c r="P123" s="53" t="str">
        <f>IF(ISBLANK('ALL Other SINs - Proposal'!AA123)," ",'ALL Other SINs - Proposal'!AA123)</f>
        <v xml:space="preserve"> </v>
      </c>
      <c r="Q123" s="95" t="str">
        <f>'ALL Other SINs - Proposal'!AC123</f>
        <v xml:space="preserve"> </v>
      </c>
      <c r="R123" s="100" t="str">
        <f>IF(ISBLANK('ALL Other SINs - Proposal'!AA123)," ",ROUND(Q123,2))</f>
        <v xml:space="preserve"> </v>
      </c>
      <c r="S123" s="54"/>
    </row>
    <row r="124" spans="1:19" ht="20.100000000000001" customHeight="1" x14ac:dyDescent="0.2">
      <c r="A124" s="127">
        <f>'ALL Other SINs - Proposal'!A124</f>
        <v>0</v>
      </c>
      <c r="B124" s="121">
        <f>'ALL Other SINs - Proposal'!B124</f>
        <v>0</v>
      </c>
      <c r="C124" s="121">
        <f>'ALL Other SINs - Proposal'!C124</f>
        <v>0</v>
      </c>
      <c r="D124" s="121">
        <f>'ALL Other SINs - Proposal'!D124</f>
        <v>0</v>
      </c>
      <c r="E124" s="121">
        <f>'ALL Other SINs - Proposal'!E124</f>
        <v>0</v>
      </c>
      <c r="F124" s="171">
        <f>'ALL Other SINs - Proposal'!F124</f>
        <v>0</v>
      </c>
      <c r="G124" s="51">
        <f>'ALL Other SINs - Proposal'!G124</f>
        <v>0</v>
      </c>
      <c r="H124" s="125">
        <f>'ALL Other SINs - Proposal'!H124</f>
        <v>0</v>
      </c>
      <c r="I124" s="125">
        <f>'ALL Other SINs - Proposal'!I124</f>
        <v>0</v>
      </c>
      <c r="J124" s="125">
        <f>'ALL Other SINs - Proposal'!J124</f>
        <v>0</v>
      </c>
      <c r="K124" s="125">
        <f>'ALL Other SINs - Proposal'!K124</f>
        <v>0</v>
      </c>
      <c r="L124" s="125">
        <f>'ALL Other SINs - Proposal'!L124</f>
        <v>0</v>
      </c>
      <c r="M124" s="206">
        <f>'ALL Other SINs - Proposal'!M124</f>
        <v>0</v>
      </c>
      <c r="N124" s="251">
        <f>'ALL Other SINs - Proposal'!V124</f>
        <v>0</v>
      </c>
      <c r="O124" s="201" t="str">
        <f>'Price Analysis'!N124</f>
        <v xml:space="preserve"> </v>
      </c>
      <c r="P124" s="53" t="str">
        <f>IF(ISBLANK('ALL Other SINs - Proposal'!AA124)," ",'ALL Other SINs - Proposal'!AA124)</f>
        <v xml:space="preserve"> </v>
      </c>
      <c r="Q124" s="95" t="str">
        <f>'ALL Other SINs - Proposal'!AC124</f>
        <v xml:space="preserve"> </v>
      </c>
      <c r="R124" s="100" t="str">
        <f>IF(ISBLANK('ALL Other SINs - Proposal'!AA124)," ",ROUND(Q124,2))</f>
        <v xml:space="preserve"> </v>
      </c>
      <c r="S124" s="54"/>
    </row>
    <row r="125" spans="1:19" ht="20.100000000000001" customHeight="1" x14ac:dyDescent="0.2">
      <c r="A125" s="127">
        <f>'ALL Other SINs - Proposal'!A125</f>
        <v>0</v>
      </c>
      <c r="B125" s="121">
        <f>'ALL Other SINs - Proposal'!B125</f>
        <v>0</v>
      </c>
      <c r="C125" s="121">
        <f>'ALL Other SINs - Proposal'!C125</f>
        <v>0</v>
      </c>
      <c r="D125" s="121">
        <f>'ALL Other SINs - Proposal'!D125</f>
        <v>0</v>
      </c>
      <c r="E125" s="121">
        <f>'ALL Other SINs - Proposal'!E125</f>
        <v>0</v>
      </c>
      <c r="F125" s="171">
        <f>'ALL Other SINs - Proposal'!F125</f>
        <v>0</v>
      </c>
      <c r="G125" s="51">
        <f>'ALL Other SINs - Proposal'!G125</f>
        <v>0</v>
      </c>
      <c r="H125" s="125">
        <f>'ALL Other SINs - Proposal'!H125</f>
        <v>0</v>
      </c>
      <c r="I125" s="125">
        <f>'ALL Other SINs - Proposal'!I125</f>
        <v>0</v>
      </c>
      <c r="J125" s="125">
        <f>'ALL Other SINs - Proposal'!J125</f>
        <v>0</v>
      </c>
      <c r="K125" s="125">
        <f>'ALL Other SINs - Proposal'!K125</f>
        <v>0</v>
      </c>
      <c r="L125" s="125">
        <f>'ALL Other SINs - Proposal'!L125</f>
        <v>0</v>
      </c>
      <c r="M125" s="206">
        <f>'ALL Other SINs - Proposal'!M125</f>
        <v>0</v>
      </c>
      <c r="N125" s="251">
        <f>'ALL Other SINs - Proposal'!V125</f>
        <v>0</v>
      </c>
      <c r="O125" s="201" t="str">
        <f>'Price Analysis'!N125</f>
        <v xml:space="preserve"> </v>
      </c>
      <c r="P125" s="53" t="str">
        <f>IF(ISBLANK('ALL Other SINs - Proposal'!AA125)," ",'ALL Other SINs - Proposal'!AA125)</f>
        <v xml:space="preserve"> </v>
      </c>
      <c r="Q125" s="95" t="str">
        <f>'ALL Other SINs - Proposal'!AC125</f>
        <v xml:space="preserve"> </v>
      </c>
      <c r="R125" s="100" t="str">
        <f>IF(ISBLANK('ALL Other SINs - Proposal'!AA125)," ",ROUND(Q125,2))</f>
        <v xml:space="preserve"> </v>
      </c>
      <c r="S125" s="54"/>
    </row>
    <row r="126" spans="1:19" ht="20.100000000000001" customHeight="1" x14ac:dyDescent="0.2">
      <c r="A126" s="127">
        <f>'ALL Other SINs - Proposal'!A126</f>
        <v>0</v>
      </c>
      <c r="B126" s="121">
        <f>'ALL Other SINs - Proposal'!B126</f>
        <v>0</v>
      </c>
      <c r="C126" s="121">
        <f>'ALL Other SINs - Proposal'!C126</f>
        <v>0</v>
      </c>
      <c r="D126" s="121">
        <f>'ALL Other SINs - Proposal'!D126</f>
        <v>0</v>
      </c>
      <c r="E126" s="121">
        <f>'ALL Other SINs - Proposal'!E126</f>
        <v>0</v>
      </c>
      <c r="F126" s="171">
        <f>'ALL Other SINs - Proposal'!F126</f>
        <v>0</v>
      </c>
      <c r="G126" s="51">
        <f>'ALL Other SINs - Proposal'!G126</f>
        <v>0</v>
      </c>
      <c r="H126" s="125">
        <f>'ALL Other SINs - Proposal'!H126</f>
        <v>0</v>
      </c>
      <c r="I126" s="125">
        <f>'ALL Other SINs - Proposal'!I126</f>
        <v>0</v>
      </c>
      <c r="J126" s="125">
        <f>'ALL Other SINs - Proposal'!J126</f>
        <v>0</v>
      </c>
      <c r="K126" s="125">
        <f>'ALL Other SINs - Proposal'!K126</f>
        <v>0</v>
      </c>
      <c r="L126" s="125">
        <f>'ALL Other SINs - Proposal'!L126</f>
        <v>0</v>
      </c>
      <c r="M126" s="206">
        <f>'ALL Other SINs - Proposal'!M126</f>
        <v>0</v>
      </c>
      <c r="N126" s="251">
        <f>'ALL Other SINs - Proposal'!V126</f>
        <v>0</v>
      </c>
      <c r="O126" s="201" t="str">
        <f>'Price Analysis'!N126</f>
        <v xml:space="preserve"> </v>
      </c>
      <c r="P126" s="53" t="str">
        <f>IF(ISBLANK('ALL Other SINs - Proposal'!AA126)," ",'ALL Other SINs - Proposal'!AA126)</f>
        <v xml:space="preserve"> </v>
      </c>
      <c r="Q126" s="95" t="str">
        <f>'ALL Other SINs - Proposal'!AC126</f>
        <v xml:space="preserve"> </v>
      </c>
      <c r="R126" s="100" t="str">
        <f>IF(ISBLANK('ALL Other SINs - Proposal'!AA126)," ",ROUND(Q126,2))</f>
        <v xml:space="preserve"> </v>
      </c>
      <c r="S126" s="54"/>
    </row>
    <row r="127" spans="1:19" ht="20.100000000000001" customHeight="1" x14ac:dyDescent="0.2">
      <c r="A127" s="127">
        <f>'ALL Other SINs - Proposal'!A127</f>
        <v>0</v>
      </c>
      <c r="B127" s="121">
        <f>'ALL Other SINs - Proposal'!B127</f>
        <v>0</v>
      </c>
      <c r="C127" s="121">
        <f>'ALL Other SINs - Proposal'!C127</f>
        <v>0</v>
      </c>
      <c r="D127" s="121">
        <f>'ALL Other SINs - Proposal'!D127</f>
        <v>0</v>
      </c>
      <c r="E127" s="121">
        <f>'ALL Other SINs - Proposal'!E127</f>
        <v>0</v>
      </c>
      <c r="F127" s="171">
        <f>'ALL Other SINs - Proposal'!F127</f>
        <v>0</v>
      </c>
      <c r="G127" s="51">
        <f>'ALL Other SINs - Proposal'!G127</f>
        <v>0</v>
      </c>
      <c r="H127" s="125">
        <f>'ALL Other SINs - Proposal'!H127</f>
        <v>0</v>
      </c>
      <c r="I127" s="125">
        <f>'ALL Other SINs - Proposal'!I127</f>
        <v>0</v>
      </c>
      <c r="J127" s="125">
        <f>'ALL Other SINs - Proposal'!J127</f>
        <v>0</v>
      </c>
      <c r="K127" s="125">
        <f>'ALL Other SINs - Proposal'!K127</f>
        <v>0</v>
      </c>
      <c r="L127" s="125">
        <f>'ALL Other SINs - Proposal'!L127</f>
        <v>0</v>
      </c>
      <c r="M127" s="206">
        <f>'ALL Other SINs - Proposal'!M127</f>
        <v>0</v>
      </c>
      <c r="N127" s="251">
        <f>'ALL Other SINs - Proposal'!V127</f>
        <v>0</v>
      </c>
      <c r="O127" s="201" t="str">
        <f>'Price Analysis'!N127</f>
        <v xml:space="preserve"> </v>
      </c>
      <c r="P127" s="53" t="str">
        <f>IF(ISBLANK('ALL Other SINs - Proposal'!AA127)," ",'ALL Other SINs - Proposal'!AA127)</f>
        <v xml:space="preserve"> </v>
      </c>
      <c r="Q127" s="95" t="str">
        <f>'ALL Other SINs - Proposal'!AC127</f>
        <v xml:space="preserve"> </v>
      </c>
      <c r="R127" s="100" t="str">
        <f>IF(ISBLANK('ALL Other SINs - Proposal'!AA127)," ",ROUND(Q127,2))</f>
        <v xml:space="preserve"> </v>
      </c>
      <c r="S127" s="54"/>
    </row>
    <row r="128" spans="1:19" ht="20.100000000000001" customHeight="1" x14ac:dyDescent="0.2">
      <c r="A128" s="127">
        <f>'ALL Other SINs - Proposal'!A128</f>
        <v>0</v>
      </c>
      <c r="B128" s="121">
        <f>'ALL Other SINs - Proposal'!B128</f>
        <v>0</v>
      </c>
      <c r="C128" s="121">
        <f>'ALL Other SINs - Proposal'!C128</f>
        <v>0</v>
      </c>
      <c r="D128" s="121">
        <f>'ALL Other SINs - Proposal'!D128</f>
        <v>0</v>
      </c>
      <c r="E128" s="121">
        <f>'ALL Other SINs - Proposal'!E128</f>
        <v>0</v>
      </c>
      <c r="F128" s="171">
        <f>'ALL Other SINs - Proposal'!F128</f>
        <v>0</v>
      </c>
      <c r="G128" s="51">
        <f>'ALL Other SINs - Proposal'!G128</f>
        <v>0</v>
      </c>
      <c r="H128" s="125">
        <f>'ALL Other SINs - Proposal'!H128</f>
        <v>0</v>
      </c>
      <c r="I128" s="125">
        <f>'ALL Other SINs - Proposal'!I128</f>
        <v>0</v>
      </c>
      <c r="J128" s="125">
        <f>'ALL Other SINs - Proposal'!J128</f>
        <v>0</v>
      </c>
      <c r="K128" s="125">
        <f>'ALL Other SINs - Proposal'!K128</f>
        <v>0</v>
      </c>
      <c r="L128" s="125">
        <f>'ALL Other SINs - Proposal'!L128</f>
        <v>0</v>
      </c>
      <c r="M128" s="206">
        <f>'ALL Other SINs - Proposal'!M128</f>
        <v>0</v>
      </c>
      <c r="N128" s="251">
        <f>'ALL Other SINs - Proposal'!V128</f>
        <v>0</v>
      </c>
      <c r="O128" s="201" t="str">
        <f>'Price Analysis'!N128</f>
        <v xml:space="preserve"> </v>
      </c>
      <c r="P128" s="53" t="str">
        <f>IF(ISBLANK('ALL Other SINs - Proposal'!AA128)," ",'ALL Other SINs - Proposal'!AA128)</f>
        <v xml:space="preserve"> </v>
      </c>
      <c r="Q128" s="95" t="str">
        <f>'ALL Other SINs - Proposal'!AC128</f>
        <v xml:space="preserve"> </v>
      </c>
      <c r="R128" s="100" t="str">
        <f>IF(ISBLANK('ALL Other SINs - Proposal'!AA128)," ",ROUND(Q128,2))</f>
        <v xml:space="preserve"> </v>
      </c>
      <c r="S128" s="54"/>
    </row>
    <row r="129" spans="1:19" ht="20.100000000000001" customHeight="1" x14ac:dyDescent="0.2">
      <c r="A129" s="127">
        <f>'ALL Other SINs - Proposal'!A129</f>
        <v>0</v>
      </c>
      <c r="B129" s="121">
        <f>'ALL Other SINs - Proposal'!B129</f>
        <v>0</v>
      </c>
      <c r="C129" s="121">
        <f>'ALL Other SINs - Proposal'!C129</f>
        <v>0</v>
      </c>
      <c r="D129" s="121">
        <f>'ALL Other SINs - Proposal'!D129</f>
        <v>0</v>
      </c>
      <c r="E129" s="121">
        <f>'ALL Other SINs - Proposal'!E129</f>
        <v>0</v>
      </c>
      <c r="F129" s="171">
        <f>'ALL Other SINs - Proposal'!F129</f>
        <v>0</v>
      </c>
      <c r="G129" s="51">
        <f>'ALL Other SINs - Proposal'!G129</f>
        <v>0</v>
      </c>
      <c r="H129" s="125">
        <f>'ALL Other SINs - Proposal'!H129</f>
        <v>0</v>
      </c>
      <c r="I129" s="125">
        <f>'ALL Other SINs - Proposal'!I129</f>
        <v>0</v>
      </c>
      <c r="J129" s="125">
        <f>'ALL Other SINs - Proposal'!J129</f>
        <v>0</v>
      </c>
      <c r="K129" s="125">
        <f>'ALL Other SINs - Proposal'!K129</f>
        <v>0</v>
      </c>
      <c r="L129" s="125">
        <f>'ALL Other SINs - Proposal'!L129</f>
        <v>0</v>
      </c>
      <c r="M129" s="206">
        <f>'ALL Other SINs - Proposal'!M129</f>
        <v>0</v>
      </c>
      <c r="N129" s="251">
        <f>'ALL Other SINs - Proposal'!V129</f>
        <v>0</v>
      </c>
      <c r="O129" s="201" t="str">
        <f>'Price Analysis'!N129</f>
        <v xml:space="preserve"> </v>
      </c>
      <c r="P129" s="53" t="str">
        <f>IF(ISBLANK('ALL Other SINs - Proposal'!AA129)," ",'ALL Other SINs - Proposal'!AA129)</f>
        <v xml:space="preserve"> </v>
      </c>
      <c r="Q129" s="95" t="str">
        <f>'ALL Other SINs - Proposal'!AC129</f>
        <v xml:space="preserve"> </v>
      </c>
      <c r="R129" s="100" t="str">
        <f>IF(ISBLANK('ALL Other SINs - Proposal'!AA129)," ",ROUND(Q129,2))</f>
        <v xml:space="preserve"> </v>
      </c>
      <c r="S129" s="54"/>
    </row>
    <row r="130" spans="1:19" ht="20.100000000000001" customHeight="1" x14ac:dyDescent="0.2">
      <c r="A130" s="127">
        <f>'ALL Other SINs - Proposal'!A130</f>
        <v>0</v>
      </c>
      <c r="B130" s="121">
        <f>'ALL Other SINs - Proposal'!B130</f>
        <v>0</v>
      </c>
      <c r="C130" s="121">
        <f>'ALL Other SINs - Proposal'!C130</f>
        <v>0</v>
      </c>
      <c r="D130" s="121">
        <f>'ALL Other SINs - Proposal'!D130</f>
        <v>0</v>
      </c>
      <c r="E130" s="121">
        <f>'ALL Other SINs - Proposal'!E130</f>
        <v>0</v>
      </c>
      <c r="F130" s="171">
        <f>'ALL Other SINs - Proposal'!F130</f>
        <v>0</v>
      </c>
      <c r="G130" s="51">
        <f>'ALL Other SINs - Proposal'!G130</f>
        <v>0</v>
      </c>
      <c r="H130" s="125">
        <f>'ALL Other SINs - Proposal'!H130</f>
        <v>0</v>
      </c>
      <c r="I130" s="125">
        <f>'ALL Other SINs - Proposal'!I130</f>
        <v>0</v>
      </c>
      <c r="J130" s="125">
        <f>'ALL Other SINs - Proposal'!J130</f>
        <v>0</v>
      </c>
      <c r="K130" s="125">
        <f>'ALL Other SINs - Proposal'!K130</f>
        <v>0</v>
      </c>
      <c r="L130" s="125">
        <f>'ALL Other SINs - Proposal'!L130</f>
        <v>0</v>
      </c>
      <c r="M130" s="206">
        <f>'ALL Other SINs - Proposal'!M130</f>
        <v>0</v>
      </c>
      <c r="N130" s="251">
        <f>'ALL Other SINs - Proposal'!V130</f>
        <v>0</v>
      </c>
      <c r="O130" s="201" t="str">
        <f>'Price Analysis'!N130</f>
        <v xml:space="preserve"> </v>
      </c>
      <c r="P130" s="53" t="str">
        <f>IF(ISBLANK('ALL Other SINs - Proposal'!AA130)," ",'ALL Other SINs - Proposal'!AA130)</f>
        <v xml:space="preserve"> </v>
      </c>
      <c r="Q130" s="95" t="str">
        <f>'ALL Other SINs - Proposal'!AC130</f>
        <v xml:space="preserve"> </v>
      </c>
      <c r="R130" s="100" t="str">
        <f>IF(ISBLANK('ALL Other SINs - Proposal'!AA130)," ",ROUND(Q130,2))</f>
        <v xml:space="preserve"> </v>
      </c>
      <c r="S130" s="54"/>
    </row>
    <row r="131" spans="1:19" ht="20.100000000000001" customHeight="1" x14ac:dyDescent="0.2">
      <c r="A131" s="127">
        <f>'ALL Other SINs - Proposal'!A131</f>
        <v>0</v>
      </c>
      <c r="B131" s="121">
        <f>'ALL Other SINs - Proposal'!B131</f>
        <v>0</v>
      </c>
      <c r="C131" s="121">
        <f>'ALL Other SINs - Proposal'!C131</f>
        <v>0</v>
      </c>
      <c r="D131" s="121">
        <f>'ALL Other SINs - Proposal'!D131</f>
        <v>0</v>
      </c>
      <c r="E131" s="121">
        <f>'ALL Other SINs - Proposal'!E131</f>
        <v>0</v>
      </c>
      <c r="F131" s="171">
        <f>'ALL Other SINs - Proposal'!F131</f>
        <v>0</v>
      </c>
      <c r="G131" s="51">
        <f>'ALL Other SINs - Proposal'!G131</f>
        <v>0</v>
      </c>
      <c r="H131" s="125">
        <f>'ALL Other SINs - Proposal'!H131</f>
        <v>0</v>
      </c>
      <c r="I131" s="125">
        <f>'ALL Other SINs - Proposal'!I131</f>
        <v>0</v>
      </c>
      <c r="J131" s="125">
        <f>'ALL Other SINs - Proposal'!J131</f>
        <v>0</v>
      </c>
      <c r="K131" s="125">
        <f>'ALL Other SINs - Proposal'!K131</f>
        <v>0</v>
      </c>
      <c r="L131" s="125">
        <f>'ALL Other SINs - Proposal'!L131</f>
        <v>0</v>
      </c>
      <c r="M131" s="206">
        <f>'ALL Other SINs - Proposal'!M131</f>
        <v>0</v>
      </c>
      <c r="N131" s="251">
        <f>'ALL Other SINs - Proposal'!V131</f>
        <v>0</v>
      </c>
      <c r="O131" s="201" t="str">
        <f>'Price Analysis'!N131</f>
        <v xml:space="preserve"> </v>
      </c>
      <c r="P131" s="53" t="str">
        <f>IF(ISBLANK('ALL Other SINs - Proposal'!AA131)," ",'ALL Other SINs - Proposal'!AA131)</f>
        <v xml:space="preserve"> </v>
      </c>
      <c r="Q131" s="95" t="str">
        <f>'ALL Other SINs - Proposal'!AC131</f>
        <v xml:space="preserve"> </v>
      </c>
      <c r="R131" s="100" t="str">
        <f>IF(ISBLANK('ALL Other SINs - Proposal'!AA131)," ",ROUND(Q131,2))</f>
        <v xml:space="preserve"> </v>
      </c>
      <c r="S131" s="54"/>
    </row>
    <row r="132" spans="1:19" ht="20.100000000000001" customHeight="1" x14ac:dyDescent="0.2">
      <c r="A132" s="127">
        <f>'ALL Other SINs - Proposal'!A132</f>
        <v>0</v>
      </c>
      <c r="B132" s="121">
        <f>'ALL Other SINs - Proposal'!B132</f>
        <v>0</v>
      </c>
      <c r="C132" s="121">
        <f>'ALL Other SINs - Proposal'!C132</f>
        <v>0</v>
      </c>
      <c r="D132" s="121">
        <f>'ALL Other SINs - Proposal'!D132</f>
        <v>0</v>
      </c>
      <c r="E132" s="121">
        <f>'ALL Other SINs - Proposal'!E132</f>
        <v>0</v>
      </c>
      <c r="F132" s="171">
        <f>'ALL Other SINs - Proposal'!F132</f>
        <v>0</v>
      </c>
      <c r="G132" s="51">
        <f>'ALL Other SINs - Proposal'!G132</f>
        <v>0</v>
      </c>
      <c r="H132" s="125">
        <f>'ALL Other SINs - Proposal'!H132</f>
        <v>0</v>
      </c>
      <c r="I132" s="125">
        <f>'ALL Other SINs - Proposal'!I132</f>
        <v>0</v>
      </c>
      <c r="J132" s="125">
        <f>'ALL Other SINs - Proposal'!J132</f>
        <v>0</v>
      </c>
      <c r="K132" s="125">
        <f>'ALL Other SINs - Proposal'!K132</f>
        <v>0</v>
      </c>
      <c r="L132" s="125">
        <f>'ALL Other SINs - Proposal'!L132</f>
        <v>0</v>
      </c>
      <c r="M132" s="206">
        <f>'ALL Other SINs - Proposal'!M132</f>
        <v>0</v>
      </c>
      <c r="N132" s="251">
        <f>'ALL Other SINs - Proposal'!V132</f>
        <v>0</v>
      </c>
      <c r="O132" s="201" t="str">
        <f>'Price Analysis'!N132</f>
        <v xml:space="preserve"> </v>
      </c>
      <c r="P132" s="53" t="str">
        <f>IF(ISBLANK('ALL Other SINs - Proposal'!AA132)," ",'ALL Other SINs - Proposal'!AA132)</f>
        <v xml:space="preserve"> </v>
      </c>
      <c r="Q132" s="95" t="str">
        <f>'ALL Other SINs - Proposal'!AC132</f>
        <v xml:space="preserve"> </v>
      </c>
      <c r="R132" s="100" t="str">
        <f>IF(ISBLANK('ALL Other SINs - Proposal'!AA132)," ",ROUND(Q132,2))</f>
        <v xml:space="preserve"> </v>
      </c>
      <c r="S132" s="54"/>
    </row>
    <row r="133" spans="1:19" ht="20.100000000000001" customHeight="1" x14ac:dyDescent="0.2">
      <c r="A133" s="127">
        <f>'ALL Other SINs - Proposal'!A133</f>
        <v>0</v>
      </c>
      <c r="B133" s="121">
        <f>'ALL Other SINs - Proposal'!B133</f>
        <v>0</v>
      </c>
      <c r="C133" s="121">
        <f>'ALL Other SINs - Proposal'!C133</f>
        <v>0</v>
      </c>
      <c r="D133" s="121">
        <f>'ALL Other SINs - Proposal'!D133</f>
        <v>0</v>
      </c>
      <c r="E133" s="121">
        <f>'ALL Other SINs - Proposal'!E133</f>
        <v>0</v>
      </c>
      <c r="F133" s="171">
        <f>'ALL Other SINs - Proposal'!F133</f>
        <v>0</v>
      </c>
      <c r="G133" s="51">
        <f>'ALL Other SINs - Proposal'!G133</f>
        <v>0</v>
      </c>
      <c r="H133" s="125">
        <f>'ALL Other SINs - Proposal'!H133</f>
        <v>0</v>
      </c>
      <c r="I133" s="125">
        <f>'ALL Other SINs - Proposal'!I133</f>
        <v>0</v>
      </c>
      <c r="J133" s="125">
        <f>'ALL Other SINs - Proposal'!J133</f>
        <v>0</v>
      </c>
      <c r="K133" s="125">
        <f>'ALL Other SINs - Proposal'!K133</f>
        <v>0</v>
      </c>
      <c r="L133" s="125">
        <f>'ALL Other SINs - Proposal'!L133</f>
        <v>0</v>
      </c>
      <c r="M133" s="206">
        <f>'ALL Other SINs - Proposal'!M133</f>
        <v>0</v>
      </c>
      <c r="N133" s="251">
        <f>'ALL Other SINs - Proposal'!V133</f>
        <v>0</v>
      </c>
      <c r="O133" s="201" t="str">
        <f>'Price Analysis'!N133</f>
        <v xml:space="preserve"> </v>
      </c>
      <c r="P133" s="53" t="str">
        <f>IF(ISBLANK('ALL Other SINs - Proposal'!AA133)," ",'ALL Other SINs - Proposal'!AA133)</f>
        <v xml:space="preserve"> </v>
      </c>
      <c r="Q133" s="95" t="str">
        <f>'ALL Other SINs - Proposal'!AC133</f>
        <v xml:space="preserve"> </v>
      </c>
      <c r="R133" s="100" t="str">
        <f>IF(ISBLANK('ALL Other SINs - Proposal'!AA133)," ",ROUND(Q133,2))</f>
        <v xml:space="preserve"> </v>
      </c>
      <c r="S133" s="54"/>
    </row>
    <row r="134" spans="1:19" ht="20.100000000000001" customHeight="1" x14ac:dyDescent="0.2">
      <c r="A134" s="127">
        <f>'ALL Other SINs - Proposal'!A134</f>
        <v>0</v>
      </c>
      <c r="B134" s="121">
        <f>'ALL Other SINs - Proposal'!B134</f>
        <v>0</v>
      </c>
      <c r="C134" s="121">
        <f>'ALL Other SINs - Proposal'!C134</f>
        <v>0</v>
      </c>
      <c r="D134" s="121">
        <f>'ALL Other SINs - Proposal'!D134</f>
        <v>0</v>
      </c>
      <c r="E134" s="121">
        <f>'ALL Other SINs - Proposal'!E134</f>
        <v>0</v>
      </c>
      <c r="F134" s="171">
        <f>'ALL Other SINs - Proposal'!F134</f>
        <v>0</v>
      </c>
      <c r="G134" s="51">
        <f>'ALL Other SINs - Proposal'!G134</f>
        <v>0</v>
      </c>
      <c r="H134" s="125">
        <f>'ALL Other SINs - Proposal'!H134</f>
        <v>0</v>
      </c>
      <c r="I134" s="125">
        <f>'ALL Other SINs - Proposal'!I134</f>
        <v>0</v>
      </c>
      <c r="J134" s="125">
        <f>'ALL Other SINs - Proposal'!J134</f>
        <v>0</v>
      </c>
      <c r="K134" s="125">
        <f>'ALL Other SINs - Proposal'!K134</f>
        <v>0</v>
      </c>
      <c r="L134" s="125">
        <f>'ALL Other SINs - Proposal'!L134</f>
        <v>0</v>
      </c>
      <c r="M134" s="206">
        <f>'ALL Other SINs - Proposal'!M134</f>
        <v>0</v>
      </c>
      <c r="N134" s="251">
        <f>'ALL Other SINs - Proposal'!V134</f>
        <v>0</v>
      </c>
      <c r="O134" s="201" t="str">
        <f>'Price Analysis'!N134</f>
        <v xml:space="preserve"> </v>
      </c>
      <c r="P134" s="53" t="str">
        <f>IF(ISBLANK('ALL Other SINs - Proposal'!AA134)," ",'ALL Other SINs - Proposal'!AA134)</f>
        <v xml:space="preserve"> </v>
      </c>
      <c r="Q134" s="95" t="str">
        <f>'ALL Other SINs - Proposal'!AC134</f>
        <v xml:space="preserve"> </v>
      </c>
      <c r="R134" s="100" t="str">
        <f>IF(ISBLANK('ALL Other SINs - Proposal'!AA134)," ",ROUND(Q134,2))</f>
        <v xml:space="preserve"> </v>
      </c>
      <c r="S134" s="54"/>
    </row>
    <row r="135" spans="1:19" ht="20.100000000000001" customHeight="1" x14ac:dyDescent="0.2">
      <c r="A135" s="127">
        <f>'ALL Other SINs - Proposal'!A135</f>
        <v>0</v>
      </c>
      <c r="B135" s="121">
        <f>'ALL Other SINs - Proposal'!B135</f>
        <v>0</v>
      </c>
      <c r="C135" s="121">
        <f>'ALL Other SINs - Proposal'!C135</f>
        <v>0</v>
      </c>
      <c r="D135" s="121">
        <f>'ALL Other SINs - Proposal'!D135</f>
        <v>0</v>
      </c>
      <c r="E135" s="121">
        <f>'ALL Other SINs - Proposal'!E135</f>
        <v>0</v>
      </c>
      <c r="F135" s="171">
        <f>'ALL Other SINs - Proposal'!F135</f>
        <v>0</v>
      </c>
      <c r="G135" s="51">
        <f>'ALL Other SINs - Proposal'!G135</f>
        <v>0</v>
      </c>
      <c r="H135" s="125">
        <f>'ALL Other SINs - Proposal'!H135</f>
        <v>0</v>
      </c>
      <c r="I135" s="125">
        <f>'ALL Other SINs - Proposal'!I135</f>
        <v>0</v>
      </c>
      <c r="J135" s="125">
        <f>'ALL Other SINs - Proposal'!J135</f>
        <v>0</v>
      </c>
      <c r="K135" s="125">
        <f>'ALL Other SINs - Proposal'!K135</f>
        <v>0</v>
      </c>
      <c r="L135" s="125">
        <f>'ALL Other SINs - Proposal'!L135</f>
        <v>0</v>
      </c>
      <c r="M135" s="206">
        <f>'ALL Other SINs - Proposal'!M135</f>
        <v>0</v>
      </c>
      <c r="N135" s="251">
        <f>'ALL Other SINs - Proposal'!V135</f>
        <v>0</v>
      </c>
      <c r="O135" s="201" t="str">
        <f>'Price Analysis'!N135</f>
        <v xml:space="preserve"> </v>
      </c>
      <c r="P135" s="53" t="str">
        <f>IF(ISBLANK('ALL Other SINs - Proposal'!AA135)," ",'ALL Other SINs - Proposal'!AA135)</f>
        <v xml:space="preserve"> </v>
      </c>
      <c r="Q135" s="95" t="str">
        <f>'ALL Other SINs - Proposal'!AC135</f>
        <v xml:space="preserve"> </v>
      </c>
      <c r="R135" s="100" t="str">
        <f>IF(ISBLANK('ALL Other SINs - Proposal'!AA135)," ",ROUND(Q135,2))</f>
        <v xml:space="preserve"> </v>
      </c>
      <c r="S135" s="54"/>
    </row>
    <row r="136" spans="1:19" ht="20.100000000000001" customHeight="1" x14ac:dyDescent="0.2">
      <c r="A136" s="127">
        <f>'ALL Other SINs - Proposal'!A136</f>
        <v>0</v>
      </c>
      <c r="B136" s="121">
        <f>'ALL Other SINs - Proposal'!B136</f>
        <v>0</v>
      </c>
      <c r="C136" s="121">
        <f>'ALL Other SINs - Proposal'!C136</f>
        <v>0</v>
      </c>
      <c r="D136" s="121">
        <f>'ALL Other SINs - Proposal'!D136</f>
        <v>0</v>
      </c>
      <c r="E136" s="121">
        <f>'ALL Other SINs - Proposal'!E136</f>
        <v>0</v>
      </c>
      <c r="F136" s="171">
        <f>'ALL Other SINs - Proposal'!F136</f>
        <v>0</v>
      </c>
      <c r="G136" s="51">
        <f>'ALL Other SINs - Proposal'!G136</f>
        <v>0</v>
      </c>
      <c r="H136" s="125">
        <f>'ALL Other SINs - Proposal'!H136</f>
        <v>0</v>
      </c>
      <c r="I136" s="125">
        <f>'ALL Other SINs - Proposal'!I136</f>
        <v>0</v>
      </c>
      <c r="J136" s="125">
        <f>'ALL Other SINs - Proposal'!J136</f>
        <v>0</v>
      </c>
      <c r="K136" s="125">
        <f>'ALL Other SINs - Proposal'!K136</f>
        <v>0</v>
      </c>
      <c r="L136" s="125">
        <f>'ALL Other SINs - Proposal'!L136</f>
        <v>0</v>
      </c>
      <c r="M136" s="206">
        <f>'ALL Other SINs - Proposal'!M136</f>
        <v>0</v>
      </c>
      <c r="N136" s="251">
        <f>'ALL Other SINs - Proposal'!V136</f>
        <v>0</v>
      </c>
      <c r="O136" s="201" t="str">
        <f>'Price Analysis'!N136</f>
        <v xml:space="preserve"> </v>
      </c>
      <c r="P136" s="53" t="str">
        <f>IF(ISBLANK('ALL Other SINs - Proposal'!AA136)," ",'ALL Other SINs - Proposal'!AA136)</f>
        <v xml:space="preserve"> </v>
      </c>
      <c r="Q136" s="95" t="str">
        <f>'ALL Other SINs - Proposal'!AC136</f>
        <v xml:space="preserve"> </v>
      </c>
      <c r="R136" s="100" t="str">
        <f>IF(ISBLANK('ALL Other SINs - Proposal'!AA136)," ",ROUND(Q136,2))</f>
        <v xml:space="preserve"> </v>
      </c>
      <c r="S136" s="54"/>
    </row>
    <row r="137" spans="1:19" ht="20.100000000000001" customHeight="1" x14ac:dyDescent="0.2">
      <c r="A137" s="127">
        <f>'ALL Other SINs - Proposal'!A137</f>
        <v>0</v>
      </c>
      <c r="B137" s="121">
        <f>'ALL Other SINs - Proposal'!B137</f>
        <v>0</v>
      </c>
      <c r="C137" s="121">
        <f>'ALL Other SINs - Proposal'!C137</f>
        <v>0</v>
      </c>
      <c r="D137" s="121">
        <f>'ALL Other SINs - Proposal'!D137</f>
        <v>0</v>
      </c>
      <c r="E137" s="121">
        <f>'ALL Other SINs - Proposal'!E137</f>
        <v>0</v>
      </c>
      <c r="F137" s="171">
        <f>'ALL Other SINs - Proposal'!F137</f>
        <v>0</v>
      </c>
      <c r="G137" s="51">
        <f>'ALL Other SINs - Proposal'!G137</f>
        <v>0</v>
      </c>
      <c r="H137" s="125">
        <f>'ALL Other SINs - Proposal'!H137</f>
        <v>0</v>
      </c>
      <c r="I137" s="125">
        <f>'ALL Other SINs - Proposal'!I137</f>
        <v>0</v>
      </c>
      <c r="J137" s="125">
        <f>'ALL Other SINs - Proposal'!J137</f>
        <v>0</v>
      </c>
      <c r="K137" s="125">
        <f>'ALL Other SINs - Proposal'!K137</f>
        <v>0</v>
      </c>
      <c r="L137" s="125">
        <f>'ALL Other SINs - Proposal'!L137</f>
        <v>0</v>
      </c>
      <c r="M137" s="206">
        <f>'ALL Other SINs - Proposal'!M137</f>
        <v>0</v>
      </c>
      <c r="N137" s="251">
        <f>'ALL Other SINs - Proposal'!V137</f>
        <v>0</v>
      </c>
      <c r="O137" s="201" t="str">
        <f>'Price Analysis'!N137</f>
        <v xml:space="preserve"> </v>
      </c>
      <c r="P137" s="53" t="str">
        <f>IF(ISBLANK('ALL Other SINs - Proposal'!AA137)," ",'ALL Other SINs - Proposal'!AA137)</f>
        <v xml:space="preserve"> </v>
      </c>
      <c r="Q137" s="95" t="str">
        <f>'ALL Other SINs - Proposal'!AC137</f>
        <v xml:space="preserve"> </v>
      </c>
      <c r="R137" s="100" t="str">
        <f>IF(ISBLANK('ALL Other SINs - Proposal'!AA137)," ",ROUND(Q137,2))</f>
        <v xml:space="preserve"> </v>
      </c>
      <c r="S137" s="54"/>
    </row>
    <row r="138" spans="1:19" ht="20.100000000000001" customHeight="1" x14ac:dyDescent="0.2">
      <c r="A138" s="127">
        <f>'ALL Other SINs - Proposal'!A138</f>
        <v>0</v>
      </c>
      <c r="B138" s="121">
        <f>'ALL Other SINs - Proposal'!B138</f>
        <v>0</v>
      </c>
      <c r="C138" s="121">
        <f>'ALL Other SINs - Proposal'!C138</f>
        <v>0</v>
      </c>
      <c r="D138" s="121">
        <f>'ALL Other SINs - Proposal'!D138</f>
        <v>0</v>
      </c>
      <c r="E138" s="121">
        <f>'ALL Other SINs - Proposal'!E138</f>
        <v>0</v>
      </c>
      <c r="F138" s="171">
        <f>'ALL Other SINs - Proposal'!F138</f>
        <v>0</v>
      </c>
      <c r="G138" s="51">
        <f>'ALL Other SINs - Proposal'!G138</f>
        <v>0</v>
      </c>
      <c r="H138" s="125">
        <f>'ALL Other SINs - Proposal'!H138</f>
        <v>0</v>
      </c>
      <c r="I138" s="125">
        <f>'ALL Other SINs - Proposal'!I138</f>
        <v>0</v>
      </c>
      <c r="J138" s="125">
        <f>'ALL Other SINs - Proposal'!J138</f>
        <v>0</v>
      </c>
      <c r="K138" s="125">
        <f>'ALL Other SINs - Proposal'!K138</f>
        <v>0</v>
      </c>
      <c r="L138" s="125">
        <f>'ALL Other SINs - Proposal'!L138</f>
        <v>0</v>
      </c>
      <c r="M138" s="206">
        <f>'ALL Other SINs - Proposal'!M138</f>
        <v>0</v>
      </c>
      <c r="N138" s="251">
        <f>'ALL Other SINs - Proposal'!V138</f>
        <v>0</v>
      </c>
      <c r="O138" s="201" t="str">
        <f>'Price Analysis'!N138</f>
        <v xml:space="preserve"> </v>
      </c>
      <c r="P138" s="53" t="str">
        <f>IF(ISBLANK('ALL Other SINs - Proposal'!AA138)," ",'ALL Other SINs - Proposal'!AA138)</f>
        <v xml:space="preserve"> </v>
      </c>
      <c r="Q138" s="95" t="str">
        <f>'ALL Other SINs - Proposal'!AC138</f>
        <v xml:space="preserve"> </v>
      </c>
      <c r="R138" s="100" t="str">
        <f>IF(ISBLANK('ALL Other SINs - Proposal'!AA138)," ",ROUND(Q138,2))</f>
        <v xml:space="preserve"> </v>
      </c>
      <c r="S138" s="54"/>
    </row>
    <row r="139" spans="1:19" ht="20.100000000000001" customHeight="1" x14ac:dyDescent="0.2">
      <c r="A139" s="127">
        <f>'ALL Other SINs - Proposal'!A139</f>
        <v>0</v>
      </c>
      <c r="B139" s="121">
        <f>'ALL Other SINs - Proposal'!B139</f>
        <v>0</v>
      </c>
      <c r="C139" s="121">
        <f>'ALL Other SINs - Proposal'!C139</f>
        <v>0</v>
      </c>
      <c r="D139" s="121">
        <f>'ALL Other SINs - Proposal'!D139</f>
        <v>0</v>
      </c>
      <c r="E139" s="121">
        <f>'ALL Other SINs - Proposal'!E139</f>
        <v>0</v>
      </c>
      <c r="F139" s="171">
        <f>'ALL Other SINs - Proposal'!F139</f>
        <v>0</v>
      </c>
      <c r="G139" s="51">
        <f>'ALL Other SINs - Proposal'!G139</f>
        <v>0</v>
      </c>
      <c r="H139" s="125">
        <f>'ALL Other SINs - Proposal'!H139</f>
        <v>0</v>
      </c>
      <c r="I139" s="125">
        <f>'ALL Other SINs - Proposal'!I139</f>
        <v>0</v>
      </c>
      <c r="J139" s="125">
        <f>'ALL Other SINs - Proposal'!J139</f>
        <v>0</v>
      </c>
      <c r="K139" s="125">
        <f>'ALL Other SINs - Proposal'!K139</f>
        <v>0</v>
      </c>
      <c r="L139" s="125">
        <f>'ALL Other SINs - Proposal'!L139</f>
        <v>0</v>
      </c>
      <c r="M139" s="206">
        <f>'ALL Other SINs - Proposal'!M139</f>
        <v>0</v>
      </c>
      <c r="N139" s="251">
        <f>'ALL Other SINs - Proposal'!V139</f>
        <v>0</v>
      </c>
      <c r="O139" s="201" t="str">
        <f>'Price Analysis'!N139</f>
        <v xml:space="preserve"> </v>
      </c>
      <c r="P139" s="53" t="str">
        <f>IF(ISBLANK('ALL Other SINs - Proposal'!AA139)," ",'ALL Other SINs - Proposal'!AA139)</f>
        <v xml:space="preserve"> </v>
      </c>
      <c r="Q139" s="95" t="str">
        <f>'ALL Other SINs - Proposal'!AC139</f>
        <v xml:space="preserve"> </v>
      </c>
      <c r="R139" s="100" t="str">
        <f>IF(ISBLANK('ALL Other SINs - Proposal'!AA139)," ",ROUND(Q139,2))</f>
        <v xml:space="preserve"> </v>
      </c>
      <c r="S139" s="54"/>
    </row>
    <row r="140" spans="1:19" ht="20.100000000000001" customHeight="1" x14ac:dyDescent="0.2">
      <c r="A140" s="127">
        <f>'ALL Other SINs - Proposal'!A140</f>
        <v>0</v>
      </c>
      <c r="B140" s="121">
        <f>'ALL Other SINs - Proposal'!B140</f>
        <v>0</v>
      </c>
      <c r="C140" s="121">
        <f>'ALL Other SINs - Proposal'!C140</f>
        <v>0</v>
      </c>
      <c r="D140" s="121">
        <f>'ALL Other SINs - Proposal'!D140</f>
        <v>0</v>
      </c>
      <c r="E140" s="121">
        <f>'ALL Other SINs - Proposal'!E140</f>
        <v>0</v>
      </c>
      <c r="F140" s="171">
        <f>'ALL Other SINs - Proposal'!F140</f>
        <v>0</v>
      </c>
      <c r="G140" s="51">
        <f>'ALL Other SINs - Proposal'!G140</f>
        <v>0</v>
      </c>
      <c r="H140" s="125">
        <f>'ALL Other SINs - Proposal'!H140</f>
        <v>0</v>
      </c>
      <c r="I140" s="125">
        <f>'ALL Other SINs - Proposal'!I140</f>
        <v>0</v>
      </c>
      <c r="J140" s="125">
        <f>'ALL Other SINs - Proposal'!J140</f>
        <v>0</v>
      </c>
      <c r="K140" s="125">
        <f>'ALL Other SINs - Proposal'!K140</f>
        <v>0</v>
      </c>
      <c r="L140" s="125">
        <f>'ALL Other SINs - Proposal'!L140</f>
        <v>0</v>
      </c>
      <c r="M140" s="206">
        <f>'ALL Other SINs - Proposal'!M140</f>
        <v>0</v>
      </c>
      <c r="N140" s="251">
        <f>'ALL Other SINs - Proposal'!V140</f>
        <v>0</v>
      </c>
      <c r="O140" s="201" t="str">
        <f>'Price Analysis'!N140</f>
        <v xml:space="preserve"> </v>
      </c>
      <c r="P140" s="53" t="str">
        <f>IF(ISBLANK('ALL Other SINs - Proposal'!AA140)," ",'ALL Other SINs - Proposal'!AA140)</f>
        <v xml:space="preserve"> </v>
      </c>
      <c r="Q140" s="95" t="str">
        <f>'ALL Other SINs - Proposal'!AC140</f>
        <v xml:space="preserve"> </v>
      </c>
      <c r="R140" s="100" t="str">
        <f>IF(ISBLANK('ALL Other SINs - Proposal'!AA140)," ",ROUND(Q140,2))</f>
        <v xml:space="preserve"> </v>
      </c>
      <c r="S140" s="54"/>
    </row>
    <row r="141" spans="1:19" ht="20.100000000000001" customHeight="1" x14ac:dyDescent="0.2">
      <c r="A141" s="127">
        <f>'ALL Other SINs - Proposal'!A141</f>
        <v>0</v>
      </c>
      <c r="B141" s="121">
        <f>'ALL Other SINs - Proposal'!B141</f>
        <v>0</v>
      </c>
      <c r="C141" s="121">
        <f>'ALL Other SINs - Proposal'!C141</f>
        <v>0</v>
      </c>
      <c r="D141" s="121">
        <f>'ALL Other SINs - Proposal'!D141</f>
        <v>0</v>
      </c>
      <c r="E141" s="121">
        <f>'ALL Other SINs - Proposal'!E141</f>
        <v>0</v>
      </c>
      <c r="F141" s="171">
        <f>'ALL Other SINs - Proposal'!F141</f>
        <v>0</v>
      </c>
      <c r="G141" s="51">
        <f>'ALL Other SINs - Proposal'!G141</f>
        <v>0</v>
      </c>
      <c r="H141" s="125">
        <f>'ALL Other SINs - Proposal'!H141</f>
        <v>0</v>
      </c>
      <c r="I141" s="125">
        <f>'ALL Other SINs - Proposal'!I141</f>
        <v>0</v>
      </c>
      <c r="J141" s="125">
        <f>'ALL Other SINs - Proposal'!J141</f>
        <v>0</v>
      </c>
      <c r="K141" s="125">
        <f>'ALL Other SINs - Proposal'!K141</f>
        <v>0</v>
      </c>
      <c r="L141" s="125">
        <f>'ALL Other SINs - Proposal'!L141</f>
        <v>0</v>
      </c>
      <c r="M141" s="206">
        <f>'ALL Other SINs - Proposal'!M141</f>
        <v>0</v>
      </c>
      <c r="N141" s="251">
        <f>'ALL Other SINs - Proposal'!V141</f>
        <v>0</v>
      </c>
      <c r="O141" s="201" t="str">
        <f>'Price Analysis'!N141</f>
        <v xml:space="preserve"> </v>
      </c>
      <c r="P141" s="53" t="str">
        <f>IF(ISBLANK('ALL Other SINs - Proposal'!AA141)," ",'ALL Other SINs - Proposal'!AA141)</f>
        <v xml:space="preserve"> </v>
      </c>
      <c r="Q141" s="95" t="str">
        <f>'ALL Other SINs - Proposal'!AC141</f>
        <v xml:space="preserve"> </v>
      </c>
      <c r="R141" s="100" t="str">
        <f>IF(ISBLANK('ALL Other SINs - Proposal'!AA141)," ",ROUND(Q141,2))</f>
        <v xml:space="preserve"> </v>
      </c>
      <c r="S141" s="54"/>
    </row>
    <row r="142" spans="1:19" ht="20.100000000000001" customHeight="1" x14ac:dyDescent="0.2">
      <c r="A142" s="127">
        <f>'ALL Other SINs - Proposal'!A142</f>
        <v>0</v>
      </c>
      <c r="B142" s="121">
        <f>'ALL Other SINs - Proposal'!B142</f>
        <v>0</v>
      </c>
      <c r="C142" s="121">
        <f>'ALL Other SINs - Proposal'!C142</f>
        <v>0</v>
      </c>
      <c r="D142" s="121">
        <f>'ALL Other SINs - Proposal'!D142</f>
        <v>0</v>
      </c>
      <c r="E142" s="121">
        <f>'ALL Other SINs - Proposal'!E142</f>
        <v>0</v>
      </c>
      <c r="F142" s="171">
        <f>'ALL Other SINs - Proposal'!F142</f>
        <v>0</v>
      </c>
      <c r="G142" s="51">
        <f>'ALL Other SINs - Proposal'!G142</f>
        <v>0</v>
      </c>
      <c r="H142" s="125">
        <f>'ALL Other SINs - Proposal'!H142</f>
        <v>0</v>
      </c>
      <c r="I142" s="125">
        <f>'ALL Other SINs - Proposal'!I142</f>
        <v>0</v>
      </c>
      <c r="J142" s="125">
        <f>'ALL Other SINs - Proposal'!J142</f>
        <v>0</v>
      </c>
      <c r="K142" s="125">
        <f>'ALL Other SINs - Proposal'!K142</f>
        <v>0</v>
      </c>
      <c r="L142" s="125">
        <f>'ALL Other SINs - Proposal'!L142</f>
        <v>0</v>
      </c>
      <c r="M142" s="206">
        <f>'ALL Other SINs - Proposal'!M142</f>
        <v>0</v>
      </c>
      <c r="N142" s="251">
        <f>'ALL Other SINs - Proposal'!V142</f>
        <v>0</v>
      </c>
      <c r="O142" s="201" t="str">
        <f>'Price Analysis'!N142</f>
        <v xml:space="preserve"> </v>
      </c>
      <c r="P142" s="53" t="str">
        <f>IF(ISBLANK('ALL Other SINs - Proposal'!AA142)," ",'ALL Other SINs - Proposal'!AA142)</f>
        <v xml:space="preserve"> </v>
      </c>
      <c r="Q142" s="95" t="str">
        <f>'ALL Other SINs - Proposal'!AC142</f>
        <v xml:space="preserve"> </v>
      </c>
      <c r="R142" s="100" t="str">
        <f>IF(ISBLANK('ALL Other SINs - Proposal'!AA142)," ",ROUND(Q142,2))</f>
        <v xml:space="preserve"> </v>
      </c>
      <c r="S142" s="54"/>
    </row>
    <row r="143" spans="1:19" ht="20.100000000000001" customHeight="1" x14ac:dyDescent="0.2">
      <c r="A143" s="127">
        <f>'ALL Other SINs - Proposal'!A143</f>
        <v>0</v>
      </c>
      <c r="B143" s="121">
        <f>'ALL Other SINs - Proposal'!B143</f>
        <v>0</v>
      </c>
      <c r="C143" s="121">
        <f>'ALL Other SINs - Proposal'!C143</f>
        <v>0</v>
      </c>
      <c r="D143" s="121">
        <f>'ALL Other SINs - Proposal'!D143</f>
        <v>0</v>
      </c>
      <c r="E143" s="121">
        <f>'ALL Other SINs - Proposal'!E143</f>
        <v>0</v>
      </c>
      <c r="F143" s="171">
        <f>'ALL Other SINs - Proposal'!F143</f>
        <v>0</v>
      </c>
      <c r="G143" s="51">
        <f>'ALL Other SINs - Proposal'!G143</f>
        <v>0</v>
      </c>
      <c r="H143" s="125">
        <f>'ALL Other SINs - Proposal'!H143</f>
        <v>0</v>
      </c>
      <c r="I143" s="125">
        <f>'ALL Other SINs - Proposal'!I143</f>
        <v>0</v>
      </c>
      <c r="J143" s="125">
        <f>'ALL Other SINs - Proposal'!J143</f>
        <v>0</v>
      </c>
      <c r="K143" s="125">
        <f>'ALL Other SINs - Proposal'!K143</f>
        <v>0</v>
      </c>
      <c r="L143" s="125">
        <f>'ALL Other SINs - Proposal'!L143</f>
        <v>0</v>
      </c>
      <c r="M143" s="206">
        <f>'ALL Other SINs - Proposal'!M143</f>
        <v>0</v>
      </c>
      <c r="N143" s="251">
        <f>'ALL Other SINs - Proposal'!V143</f>
        <v>0</v>
      </c>
      <c r="O143" s="201" t="str">
        <f>'Price Analysis'!N143</f>
        <v xml:space="preserve"> </v>
      </c>
      <c r="P143" s="53" t="str">
        <f>IF(ISBLANK('ALL Other SINs - Proposal'!AA143)," ",'ALL Other SINs - Proposal'!AA143)</f>
        <v xml:space="preserve"> </v>
      </c>
      <c r="Q143" s="95" t="str">
        <f>'ALL Other SINs - Proposal'!AC143</f>
        <v xml:space="preserve"> </v>
      </c>
      <c r="R143" s="100" t="str">
        <f>IF(ISBLANK('ALL Other SINs - Proposal'!AA143)," ",ROUND(Q143,2))</f>
        <v xml:space="preserve"> </v>
      </c>
      <c r="S143" s="54"/>
    </row>
    <row r="144" spans="1:19" ht="20.100000000000001" customHeight="1" x14ac:dyDescent="0.2">
      <c r="A144" s="127">
        <f>'ALL Other SINs - Proposal'!A144</f>
        <v>0</v>
      </c>
      <c r="B144" s="121">
        <f>'ALL Other SINs - Proposal'!B144</f>
        <v>0</v>
      </c>
      <c r="C144" s="121">
        <f>'ALL Other SINs - Proposal'!C144</f>
        <v>0</v>
      </c>
      <c r="D144" s="121">
        <f>'ALL Other SINs - Proposal'!D144</f>
        <v>0</v>
      </c>
      <c r="E144" s="121">
        <f>'ALL Other SINs - Proposal'!E144</f>
        <v>0</v>
      </c>
      <c r="F144" s="171">
        <f>'ALL Other SINs - Proposal'!F144</f>
        <v>0</v>
      </c>
      <c r="G144" s="51">
        <f>'ALL Other SINs - Proposal'!G144</f>
        <v>0</v>
      </c>
      <c r="H144" s="125">
        <f>'ALL Other SINs - Proposal'!H144</f>
        <v>0</v>
      </c>
      <c r="I144" s="125">
        <f>'ALL Other SINs - Proposal'!I144</f>
        <v>0</v>
      </c>
      <c r="J144" s="125">
        <f>'ALL Other SINs - Proposal'!J144</f>
        <v>0</v>
      </c>
      <c r="K144" s="125">
        <f>'ALL Other SINs - Proposal'!K144</f>
        <v>0</v>
      </c>
      <c r="L144" s="125">
        <f>'ALL Other SINs - Proposal'!L144</f>
        <v>0</v>
      </c>
      <c r="M144" s="206">
        <f>'ALL Other SINs - Proposal'!M144</f>
        <v>0</v>
      </c>
      <c r="N144" s="251">
        <f>'ALL Other SINs - Proposal'!V144</f>
        <v>0</v>
      </c>
      <c r="O144" s="201" t="str">
        <f>'Price Analysis'!N144</f>
        <v xml:space="preserve"> </v>
      </c>
      <c r="P144" s="53" t="str">
        <f>IF(ISBLANK('ALL Other SINs - Proposal'!AA144)," ",'ALL Other SINs - Proposal'!AA144)</f>
        <v xml:space="preserve"> </v>
      </c>
      <c r="Q144" s="95" t="str">
        <f>'ALL Other SINs - Proposal'!AC144</f>
        <v xml:space="preserve"> </v>
      </c>
      <c r="R144" s="100" t="str">
        <f>IF(ISBLANK('ALL Other SINs - Proposal'!AA144)," ",ROUND(Q144,2))</f>
        <v xml:space="preserve"> </v>
      </c>
      <c r="S144" s="54"/>
    </row>
    <row r="145" spans="1:19" ht="20.100000000000001" customHeight="1" x14ac:dyDescent="0.2">
      <c r="A145" s="127">
        <f>'ALL Other SINs - Proposal'!A145</f>
        <v>0</v>
      </c>
      <c r="B145" s="121">
        <f>'ALL Other SINs - Proposal'!B145</f>
        <v>0</v>
      </c>
      <c r="C145" s="121">
        <f>'ALL Other SINs - Proposal'!C145</f>
        <v>0</v>
      </c>
      <c r="D145" s="121">
        <f>'ALL Other SINs - Proposal'!D145</f>
        <v>0</v>
      </c>
      <c r="E145" s="121">
        <f>'ALL Other SINs - Proposal'!E145</f>
        <v>0</v>
      </c>
      <c r="F145" s="171">
        <f>'ALL Other SINs - Proposal'!F145</f>
        <v>0</v>
      </c>
      <c r="G145" s="51">
        <f>'ALL Other SINs - Proposal'!G145</f>
        <v>0</v>
      </c>
      <c r="H145" s="125">
        <f>'ALL Other SINs - Proposal'!H145</f>
        <v>0</v>
      </c>
      <c r="I145" s="125">
        <f>'ALL Other SINs - Proposal'!I145</f>
        <v>0</v>
      </c>
      <c r="J145" s="125">
        <f>'ALL Other SINs - Proposal'!J145</f>
        <v>0</v>
      </c>
      <c r="K145" s="125">
        <f>'ALL Other SINs - Proposal'!K145</f>
        <v>0</v>
      </c>
      <c r="L145" s="125">
        <f>'ALL Other SINs - Proposal'!L145</f>
        <v>0</v>
      </c>
      <c r="M145" s="206">
        <f>'ALL Other SINs - Proposal'!M145</f>
        <v>0</v>
      </c>
      <c r="N145" s="251">
        <f>'ALL Other SINs - Proposal'!V145</f>
        <v>0</v>
      </c>
      <c r="O145" s="201" t="str">
        <f>'Price Analysis'!N145</f>
        <v xml:space="preserve"> </v>
      </c>
      <c r="P145" s="53" t="str">
        <f>IF(ISBLANK('ALL Other SINs - Proposal'!AA145)," ",'ALL Other SINs - Proposal'!AA145)</f>
        <v xml:space="preserve"> </v>
      </c>
      <c r="Q145" s="95" t="str">
        <f>'ALL Other SINs - Proposal'!AC145</f>
        <v xml:space="preserve"> </v>
      </c>
      <c r="R145" s="100" t="str">
        <f>IF(ISBLANK('ALL Other SINs - Proposal'!AA145)," ",ROUND(Q145,2))</f>
        <v xml:space="preserve"> </v>
      </c>
      <c r="S145" s="54"/>
    </row>
    <row r="146" spans="1:19" ht="20.100000000000001" customHeight="1" x14ac:dyDescent="0.2">
      <c r="A146" s="127">
        <f>'ALL Other SINs - Proposal'!A146</f>
        <v>0</v>
      </c>
      <c r="B146" s="121">
        <f>'ALL Other SINs - Proposal'!B146</f>
        <v>0</v>
      </c>
      <c r="C146" s="121">
        <f>'ALL Other SINs - Proposal'!C146</f>
        <v>0</v>
      </c>
      <c r="D146" s="121">
        <f>'ALL Other SINs - Proposal'!D146</f>
        <v>0</v>
      </c>
      <c r="E146" s="121">
        <f>'ALL Other SINs - Proposal'!E146</f>
        <v>0</v>
      </c>
      <c r="F146" s="171">
        <f>'ALL Other SINs - Proposal'!F146</f>
        <v>0</v>
      </c>
      <c r="G146" s="51">
        <f>'ALL Other SINs - Proposal'!G146</f>
        <v>0</v>
      </c>
      <c r="H146" s="125">
        <f>'ALL Other SINs - Proposal'!H146</f>
        <v>0</v>
      </c>
      <c r="I146" s="125">
        <f>'ALL Other SINs - Proposal'!I146</f>
        <v>0</v>
      </c>
      <c r="J146" s="125">
        <f>'ALL Other SINs - Proposal'!J146</f>
        <v>0</v>
      </c>
      <c r="K146" s="125">
        <f>'ALL Other SINs - Proposal'!K146</f>
        <v>0</v>
      </c>
      <c r="L146" s="125">
        <f>'ALL Other SINs - Proposal'!L146</f>
        <v>0</v>
      </c>
      <c r="M146" s="206">
        <f>'ALL Other SINs - Proposal'!M146</f>
        <v>0</v>
      </c>
      <c r="N146" s="251">
        <f>'ALL Other SINs - Proposal'!V146</f>
        <v>0</v>
      </c>
      <c r="O146" s="201" t="str">
        <f>'Price Analysis'!N146</f>
        <v xml:space="preserve"> </v>
      </c>
      <c r="P146" s="53" t="str">
        <f>IF(ISBLANK('ALL Other SINs - Proposal'!AA146)," ",'ALL Other SINs - Proposal'!AA146)</f>
        <v xml:space="preserve"> </v>
      </c>
      <c r="Q146" s="95" t="str">
        <f>'ALL Other SINs - Proposal'!AC146</f>
        <v xml:space="preserve"> </v>
      </c>
      <c r="R146" s="100" t="str">
        <f>IF(ISBLANK('ALL Other SINs - Proposal'!AA146)," ",ROUND(Q146,2))</f>
        <v xml:space="preserve"> </v>
      </c>
      <c r="S146" s="54"/>
    </row>
    <row r="147" spans="1:19" ht="20.100000000000001" customHeight="1" x14ac:dyDescent="0.2">
      <c r="A147" s="127">
        <f>'ALL Other SINs - Proposal'!A147</f>
        <v>0</v>
      </c>
      <c r="B147" s="121">
        <f>'ALL Other SINs - Proposal'!B147</f>
        <v>0</v>
      </c>
      <c r="C147" s="121">
        <f>'ALL Other SINs - Proposal'!C147</f>
        <v>0</v>
      </c>
      <c r="D147" s="121">
        <f>'ALL Other SINs - Proposal'!D147</f>
        <v>0</v>
      </c>
      <c r="E147" s="121">
        <f>'ALL Other SINs - Proposal'!E147</f>
        <v>0</v>
      </c>
      <c r="F147" s="171">
        <f>'ALL Other SINs - Proposal'!F147</f>
        <v>0</v>
      </c>
      <c r="G147" s="51">
        <f>'ALL Other SINs - Proposal'!G147</f>
        <v>0</v>
      </c>
      <c r="H147" s="125">
        <f>'ALL Other SINs - Proposal'!H147</f>
        <v>0</v>
      </c>
      <c r="I147" s="125">
        <f>'ALL Other SINs - Proposal'!I147</f>
        <v>0</v>
      </c>
      <c r="J147" s="125">
        <f>'ALL Other SINs - Proposal'!J147</f>
        <v>0</v>
      </c>
      <c r="K147" s="125">
        <f>'ALL Other SINs - Proposal'!K147</f>
        <v>0</v>
      </c>
      <c r="L147" s="125">
        <f>'ALL Other SINs - Proposal'!L147</f>
        <v>0</v>
      </c>
      <c r="M147" s="206">
        <f>'ALL Other SINs - Proposal'!M147</f>
        <v>0</v>
      </c>
      <c r="N147" s="251">
        <f>'ALL Other SINs - Proposal'!V147</f>
        <v>0</v>
      </c>
      <c r="O147" s="201" t="str">
        <f>'Price Analysis'!N147</f>
        <v xml:space="preserve"> </v>
      </c>
      <c r="P147" s="53" t="str">
        <f>IF(ISBLANK('ALL Other SINs - Proposal'!AA147)," ",'ALL Other SINs - Proposal'!AA147)</f>
        <v xml:space="preserve"> </v>
      </c>
      <c r="Q147" s="95" t="str">
        <f>'ALL Other SINs - Proposal'!AC147</f>
        <v xml:space="preserve"> </v>
      </c>
      <c r="R147" s="100" t="str">
        <f>IF(ISBLANK('ALL Other SINs - Proposal'!AA147)," ",ROUND(Q147,2))</f>
        <v xml:space="preserve"> </v>
      </c>
      <c r="S147" s="54"/>
    </row>
    <row r="148" spans="1:19" ht="20.100000000000001" customHeight="1" x14ac:dyDescent="0.2">
      <c r="A148" s="127">
        <f>'ALL Other SINs - Proposal'!A148</f>
        <v>0</v>
      </c>
      <c r="B148" s="121">
        <f>'ALL Other SINs - Proposal'!B148</f>
        <v>0</v>
      </c>
      <c r="C148" s="121">
        <f>'ALL Other SINs - Proposal'!C148</f>
        <v>0</v>
      </c>
      <c r="D148" s="121">
        <f>'ALL Other SINs - Proposal'!D148</f>
        <v>0</v>
      </c>
      <c r="E148" s="121">
        <f>'ALL Other SINs - Proposal'!E148</f>
        <v>0</v>
      </c>
      <c r="F148" s="171">
        <f>'ALL Other SINs - Proposal'!F148</f>
        <v>0</v>
      </c>
      <c r="G148" s="51">
        <f>'ALL Other SINs - Proposal'!G148</f>
        <v>0</v>
      </c>
      <c r="H148" s="125">
        <f>'ALL Other SINs - Proposal'!H148</f>
        <v>0</v>
      </c>
      <c r="I148" s="125">
        <f>'ALL Other SINs - Proposal'!I148</f>
        <v>0</v>
      </c>
      <c r="J148" s="125">
        <f>'ALL Other SINs - Proposal'!J148</f>
        <v>0</v>
      </c>
      <c r="K148" s="125">
        <f>'ALL Other SINs - Proposal'!K148</f>
        <v>0</v>
      </c>
      <c r="L148" s="125">
        <f>'ALL Other SINs - Proposal'!L148</f>
        <v>0</v>
      </c>
      <c r="M148" s="206">
        <f>'ALL Other SINs - Proposal'!M148</f>
        <v>0</v>
      </c>
      <c r="N148" s="251">
        <f>'ALL Other SINs - Proposal'!V148</f>
        <v>0</v>
      </c>
      <c r="O148" s="201" t="str">
        <f>'Price Analysis'!N148</f>
        <v xml:space="preserve"> </v>
      </c>
      <c r="P148" s="53" t="str">
        <f>IF(ISBLANK('ALL Other SINs - Proposal'!AA148)," ",'ALL Other SINs - Proposal'!AA148)</f>
        <v xml:space="preserve"> </v>
      </c>
      <c r="Q148" s="95" t="str">
        <f>'ALL Other SINs - Proposal'!AC148</f>
        <v xml:space="preserve"> </v>
      </c>
      <c r="R148" s="100" t="str">
        <f>IF(ISBLANK('ALL Other SINs - Proposal'!AA148)," ",ROUND(Q148,2))</f>
        <v xml:space="preserve"> </v>
      </c>
      <c r="S148" s="54"/>
    </row>
    <row r="149" spans="1:19" ht="20.100000000000001" customHeight="1" x14ac:dyDescent="0.2">
      <c r="A149" s="127">
        <f>'ALL Other SINs - Proposal'!A149</f>
        <v>0</v>
      </c>
      <c r="B149" s="121">
        <f>'ALL Other SINs - Proposal'!B149</f>
        <v>0</v>
      </c>
      <c r="C149" s="121">
        <f>'ALL Other SINs - Proposal'!C149</f>
        <v>0</v>
      </c>
      <c r="D149" s="121">
        <f>'ALL Other SINs - Proposal'!D149</f>
        <v>0</v>
      </c>
      <c r="E149" s="121">
        <f>'ALL Other SINs - Proposal'!E149</f>
        <v>0</v>
      </c>
      <c r="F149" s="171">
        <f>'ALL Other SINs - Proposal'!F149</f>
        <v>0</v>
      </c>
      <c r="G149" s="51">
        <f>'ALL Other SINs - Proposal'!G149</f>
        <v>0</v>
      </c>
      <c r="H149" s="125">
        <f>'ALL Other SINs - Proposal'!H149</f>
        <v>0</v>
      </c>
      <c r="I149" s="125">
        <f>'ALL Other SINs - Proposal'!I149</f>
        <v>0</v>
      </c>
      <c r="J149" s="125">
        <f>'ALL Other SINs - Proposal'!J149</f>
        <v>0</v>
      </c>
      <c r="K149" s="125">
        <f>'ALL Other SINs - Proposal'!K149</f>
        <v>0</v>
      </c>
      <c r="L149" s="125">
        <f>'ALL Other SINs - Proposal'!L149</f>
        <v>0</v>
      </c>
      <c r="M149" s="206">
        <f>'ALL Other SINs - Proposal'!M149</f>
        <v>0</v>
      </c>
      <c r="N149" s="251">
        <f>'ALL Other SINs - Proposal'!V149</f>
        <v>0</v>
      </c>
      <c r="O149" s="201" t="str">
        <f>'Price Analysis'!N149</f>
        <v xml:space="preserve"> </v>
      </c>
      <c r="P149" s="53" t="str">
        <f>IF(ISBLANK('ALL Other SINs - Proposal'!AA149)," ",'ALL Other SINs - Proposal'!AA149)</f>
        <v xml:space="preserve"> </v>
      </c>
      <c r="Q149" s="95" t="str">
        <f>'ALL Other SINs - Proposal'!AC149</f>
        <v xml:space="preserve"> </v>
      </c>
      <c r="R149" s="100" t="str">
        <f>IF(ISBLANK('ALL Other SINs - Proposal'!AA149)," ",ROUND(Q149,2))</f>
        <v xml:space="preserve"> </v>
      </c>
      <c r="S149" s="54"/>
    </row>
    <row r="150" spans="1:19" ht="20.100000000000001" customHeight="1" x14ac:dyDescent="0.2">
      <c r="A150" s="127">
        <f>'ALL Other SINs - Proposal'!A150</f>
        <v>0</v>
      </c>
      <c r="B150" s="121">
        <f>'ALL Other SINs - Proposal'!B150</f>
        <v>0</v>
      </c>
      <c r="C150" s="121">
        <f>'ALL Other SINs - Proposal'!C150</f>
        <v>0</v>
      </c>
      <c r="D150" s="121">
        <f>'ALL Other SINs - Proposal'!D150</f>
        <v>0</v>
      </c>
      <c r="E150" s="121">
        <f>'ALL Other SINs - Proposal'!E150</f>
        <v>0</v>
      </c>
      <c r="F150" s="171">
        <f>'ALL Other SINs - Proposal'!F150</f>
        <v>0</v>
      </c>
      <c r="G150" s="51">
        <f>'ALL Other SINs - Proposal'!G150</f>
        <v>0</v>
      </c>
      <c r="H150" s="125">
        <f>'ALL Other SINs - Proposal'!H150</f>
        <v>0</v>
      </c>
      <c r="I150" s="125">
        <f>'ALL Other SINs - Proposal'!I150</f>
        <v>0</v>
      </c>
      <c r="J150" s="125">
        <f>'ALL Other SINs - Proposal'!J150</f>
        <v>0</v>
      </c>
      <c r="K150" s="125">
        <f>'ALL Other SINs - Proposal'!K150</f>
        <v>0</v>
      </c>
      <c r="L150" s="125">
        <f>'ALL Other SINs - Proposal'!L150</f>
        <v>0</v>
      </c>
      <c r="M150" s="206">
        <f>'ALL Other SINs - Proposal'!M150</f>
        <v>0</v>
      </c>
      <c r="N150" s="251">
        <f>'ALL Other SINs - Proposal'!V150</f>
        <v>0</v>
      </c>
      <c r="O150" s="201" t="str">
        <f>'Price Analysis'!N150</f>
        <v xml:space="preserve"> </v>
      </c>
      <c r="P150" s="53" t="str">
        <f>IF(ISBLANK('ALL Other SINs - Proposal'!AA150)," ",'ALL Other SINs - Proposal'!AA150)</f>
        <v xml:space="preserve"> </v>
      </c>
      <c r="Q150" s="95" t="str">
        <f>'ALL Other SINs - Proposal'!AC150</f>
        <v xml:space="preserve"> </v>
      </c>
      <c r="R150" s="100" t="str">
        <f>IF(ISBLANK('ALL Other SINs - Proposal'!AA150)," ",ROUND(Q150,2))</f>
        <v xml:space="preserve"> </v>
      </c>
      <c r="S150" s="54"/>
    </row>
    <row r="151" spans="1:19" ht="20.100000000000001" customHeight="1" x14ac:dyDescent="0.2">
      <c r="A151" s="127">
        <f>'ALL Other SINs - Proposal'!A151</f>
        <v>0</v>
      </c>
      <c r="B151" s="121">
        <f>'ALL Other SINs - Proposal'!B151</f>
        <v>0</v>
      </c>
      <c r="C151" s="121">
        <f>'ALL Other SINs - Proposal'!C151</f>
        <v>0</v>
      </c>
      <c r="D151" s="121">
        <f>'ALL Other SINs - Proposal'!D151</f>
        <v>0</v>
      </c>
      <c r="E151" s="121">
        <f>'ALL Other SINs - Proposal'!E151</f>
        <v>0</v>
      </c>
      <c r="F151" s="171">
        <f>'ALL Other SINs - Proposal'!F151</f>
        <v>0</v>
      </c>
      <c r="G151" s="51">
        <f>'ALL Other SINs - Proposal'!G151</f>
        <v>0</v>
      </c>
      <c r="H151" s="125">
        <f>'ALL Other SINs - Proposal'!H151</f>
        <v>0</v>
      </c>
      <c r="I151" s="125">
        <f>'ALL Other SINs - Proposal'!I151</f>
        <v>0</v>
      </c>
      <c r="J151" s="125">
        <f>'ALL Other SINs - Proposal'!J151</f>
        <v>0</v>
      </c>
      <c r="K151" s="125">
        <f>'ALL Other SINs - Proposal'!K151</f>
        <v>0</v>
      </c>
      <c r="L151" s="125">
        <f>'ALL Other SINs - Proposal'!L151</f>
        <v>0</v>
      </c>
      <c r="M151" s="206">
        <f>'ALL Other SINs - Proposal'!M151</f>
        <v>0</v>
      </c>
      <c r="N151" s="251">
        <f>'ALL Other SINs - Proposal'!V151</f>
        <v>0</v>
      </c>
      <c r="O151" s="201" t="str">
        <f>'Price Analysis'!N151</f>
        <v xml:space="preserve"> </v>
      </c>
      <c r="P151" s="53" t="str">
        <f>IF(ISBLANK('ALL Other SINs - Proposal'!AA151)," ",'ALL Other SINs - Proposal'!AA151)</f>
        <v xml:space="preserve"> </v>
      </c>
      <c r="Q151" s="95" t="str">
        <f>'ALL Other SINs - Proposal'!AC151</f>
        <v xml:space="preserve"> </v>
      </c>
      <c r="R151" s="100" t="str">
        <f>IF(ISBLANK('ALL Other SINs - Proposal'!AA151)," ",ROUND(Q151,2))</f>
        <v xml:space="preserve"> </v>
      </c>
      <c r="S151" s="54"/>
    </row>
    <row r="152" spans="1:19" ht="20.100000000000001" customHeight="1" x14ac:dyDescent="0.2">
      <c r="A152" s="127">
        <f>'ALL Other SINs - Proposal'!A152</f>
        <v>0</v>
      </c>
      <c r="B152" s="121">
        <f>'ALL Other SINs - Proposal'!B152</f>
        <v>0</v>
      </c>
      <c r="C152" s="121">
        <f>'ALL Other SINs - Proposal'!C152</f>
        <v>0</v>
      </c>
      <c r="D152" s="121">
        <f>'ALL Other SINs - Proposal'!D152</f>
        <v>0</v>
      </c>
      <c r="E152" s="121">
        <f>'ALL Other SINs - Proposal'!E152</f>
        <v>0</v>
      </c>
      <c r="F152" s="171">
        <f>'ALL Other SINs - Proposal'!F152</f>
        <v>0</v>
      </c>
      <c r="G152" s="51">
        <f>'ALL Other SINs - Proposal'!G152</f>
        <v>0</v>
      </c>
      <c r="H152" s="125">
        <f>'ALL Other SINs - Proposal'!H152</f>
        <v>0</v>
      </c>
      <c r="I152" s="125">
        <f>'ALL Other SINs - Proposal'!I152</f>
        <v>0</v>
      </c>
      <c r="J152" s="125">
        <f>'ALL Other SINs - Proposal'!J152</f>
        <v>0</v>
      </c>
      <c r="K152" s="125">
        <f>'ALL Other SINs - Proposal'!K152</f>
        <v>0</v>
      </c>
      <c r="L152" s="125">
        <f>'ALL Other SINs - Proposal'!L152</f>
        <v>0</v>
      </c>
      <c r="M152" s="206">
        <f>'ALL Other SINs - Proposal'!M152</f>
        <v>0</v>
      </c>
      <c r="N152" s="251">
        <f>'ALL Other SINs - Proposal'!V152</f>
        <v>0</v>
      </c>
      <c r="O152" s="201" t="str">
        <f>'Price Analysis'!N152</f>
        <v xml:space="preserve"> </v>
      </c>
      <c r="P152" s="53" t="str">
        <f>IF(ISBLANK('ALL Other SINs - Proposal'!AA152)," ",'ALL Other SINs - Proposal'!AA152)</f>
        <v xml:space="preserve"> </v>
      </c>
      <c r="Q152" s="95" t="str">
        <f>'ALL Other SINs - Proposal'!AC152</f>
        <v xml:space="preserve"> </v>
      </c>
      <c r="R152" s="100" t="str">
        <f>IF(ISBLANK('ALL Other SINs - Proposal'!AA152)," ",ROUND(Q152,2))</f>
        <v xml:space="preserve"> </v>
      </c>
      <c r="S152" s="54"/>
    </row>
    <row r="153" spans="1:19" ht="20.100000000000001" customHeight="1" x14ac:dyDescent="0.2">
      <c r="A153" s="127">
        <f>'ALL Other SINs - Proposal'!A153</f>
        <v>0</v>
      </c>
      <c r="B153" s="121">
        <f>'ALL Other SINs - Proposal'!B153</f>
        <v>0</v>
      </c>
      <c r="C153" s="121">
        <f>'ALL Other SINs - Proposal'!C153</f>
        <v>0</v>
      </c>
      <c r="D153" s="121">
        <f>'ALL Other SINs - Proposal'!D153</f>
        <v>0</v>
      </c>
      <c r="E153" s="121">
        <f>'ALL Other SINs - Proposal'!E153</f>
        <v>0</v>
      </c>
      <c r="F153" s="171">
        <f>'ALL Other SINs - Proposal'!F153</f>
        <v>0</v>
      </c>
      <c r="G153" s="51">
        <f>'ALL Other SINs - Proposal'!G153</f>
        <v>0</v>
      </c>
      <c r="H153" s="125">
        <f>'ALL Other SINs - Proposal'!H153</f>
        <v>0</v>
      </c>
      <c r="I153" s="125">
        <f>'ALL Other SINs - Proposal'!I153</f>
        <v>0</v>
      </c>
      <c r="J153" s="125">
        <f>'ALL Other SINs - Proposal'!J153</f>
        <v>0</v>
      </c>
      <c r="K153" s="125">
        <f>'ALL Other SINs - Proposal'!K153</f>
        <v>0</v>
      </c>
      <c r="L153" s="125">
        <f>'ALL Other SINs - Proposal'!L153</f>
        <v>0</v>
      </c>
      <c r="M153" s="206">
        <f>'ALL Other SINs - Proposal'!M153</f>
        <v>0</v>
      </c>
      <c r="N153" s="251">
        <f>'ALL Other SINs - Proposal'!V153</f>
        <v>0</v>
      </c>
      <c r="O153" s="201" t="str">
        <f>'Price Analysis'!N153</f>
        <v xml:space="preserve"> </v>
      </c>
      <c r="P153" s="53" t="str">
        <f>IF(ISBLANK('ALL Other SINs - Proposal'!AA153)," ",'ALL Other SINs - Proposal'!AA153)</f>
        <v xml:space="preserve"> </v>
      </c>
      <c r="Q153" s="95" t="str">
        <f>'ALL Other SINs - Proposal'!AC153</f>
        <v xml:space="preserve"> </v>
      </c>
      <c r="R153" s="100" t="str">
        <f>IF(ISBLANK('ALL Other SINs - Proposal'!AA153)," ",ROUND(Q153,2))</f>
        <v xml:space="preserve"> </v>
      </c>
      <c r="S153" s="54"/>
    </row>
    <row r="154" spans="1:19" ht="20.100000000000001" customHeight="1" x14ac:dyDescent="0.2">
      <c r="A154" s="127">
        <f>'ALL Other SINs - Proposal'!A154</f>
        <v>0</v>
      </c>
      <c r="B154" s="121">
        <f>'ALL Other SINs - Proposal'!B154</f>
        <v>0</v>
      </c>
      <c r="C154" s="121">
        <f>'ALL Other SINs - Proposal'!C154</f>
        <v>0</v>
      </c>
      <c r="D154" s="121">
        <f>'ALL Other SINs - Proposal'!D154</f>
        <v>0</v>
      </c>
      <c r="E154" s="121">
        <f>'ALL Other SINs - Proposal'!E154</f>
        <v>0</v>
      </c>
      <c r="F154" s="171">
        <f>'ALL Other SINs - Proposal'!F154</f>
        <v>0</v>
      </c>
      <c r="G154" s="51">
        <f>'ALL Other SINs - Proposal'!G154</f>
        <v>0</v>
      </c>
      <c r="H154" s="125">
        <f>'ALL Other SINs - Proposal'!H154</f>
        <v>0</v>
      </c>
      <c r="I154" s="125">
        <f>'ALL Other SINs - Proposal'!I154</f>
        <v>0</v>
      </c>
      <c r="J154" s="125">
        <f>'ALL Other SINs - Proposal'!J154</f>
        <v>0</v>
      </c>
      <c r="K154" s="125">
        <f>'ALL Other SINs - Proposal'!K154</f>
        <v>0</v>
      </c>
      <c r="L154" s="125">
        <f>'ALL Other SINs - Proposal'!L154</f>
        <v>0</v>
      </c>
      <c r="M154" s="206">
        <f>'ALL Other SINs - Proposal'!M154</f>
        <v>0</v>
      </c>
      <c r="N154" s="251">
        <f>'ALL Other SINs - Proposal'!V154</f>
        <v>0</v>
      </c>
      <c r="O154" s="201" t="str">
        <f>'Price Analysis'!N154</f>
        <v xml:space="preserve"> </v>
      </c>
      <c r="P154" s="53" t="str">
        <f>IF(ISBLANK('ALL Other SINs - Proposal'!AA154)," ",'ALL Other SINs - Proposal'!AA154)</f>
        <v xml:space="preserve"> </v>
      </c>
      <c r="Q154" s="95" t="str">
        <f>'ALL Other SINs - Proposal'!AC154</f>
        <v xml:space="preserve"> </v>
      </c>
      <c r="R154" s="100" t="str">
        <f>IF(ISBLANK('ALL Other SINs - Proposal'!AA154)," ",ROUND(Q154,2))</f>
        <v xml:space="preserve"> </v>
      </c>
      <c r="S154" s="54"/>
    </row>
    <row r="155" spans="1:19" ht="20.100000000000001" customHeight="1" x14ac:dyDescent="0.2">
      <c r="A155" s="127">
        <f>'ALL Other SINs - Proposal'!A155</f>
        <v>0</v>
      </c>
      <c r="B155" s="121">
        <f>'ALL Other SINs - Proposal'!B155</f>
        <v>0</v>
      </c>
      <c r="C155" s="121">
        <f>'ALL Other SINs - Proposal'!C155</f>
        <v>0</v>
      </c>
      <c r="D155" s="121">
        <f>'ALL Other SINs - Proposal'!D155</f>
        <v>0</v>
      </c>
      <c r="E155" s="121">
        <f>'ALL Other SINs - Proposal'!E155</f>
        <v>0</v>
      </c>
      <c r="F155" s="171">
        <f>'ALL Other SINs - Proposal'!F155</f>
        <v>0</v>
      </c>
      <c r="G155" s="51">
        <f>'ALL Other SINs - Proposal'!G155</f>
        <v>0</v>
      </c>
      <c r="H155" s="125">
        <f>'ALL Other SINs - Proposal'!H155</f>
        <v>0</v>
      </c>
      <c r="I155" s="125">
        <f>'ALL Other SINs - Proposal'!I155</f>
        <v>0</v>
      </c>
      <c r="J155" s="125">
        <f>'ALL Other SINs - Proposal'!J155</f>
        <v>0</v>
      </c>
      <c r="K155" s="125">
        <f>'ALL Other SINs - Proposal'!K155</f>
        <v>0</v>
      </c>
      <c r="L155" s="125">
        <f>'ALL Other SINs - Proposal'!L155</f>
        <v>0</v>
      </c>
      <c r="M155" s="206">
        <f>'ALL Other SINs - Proposal'!M155</f>
        <v>0</v>
      </c>
      <c r="N155" s="251">
        <f>'ALL Other SINs - Proposal'!V155</f>
        <v>0</v>
      </c>
      <c r="O155" s="201" t="str">
        <f>'Price Analysis'!N155</f>
        <v xml:space="preserve"> </v>
      </c>
      <c r="P155" s="53" t="str">
        <f>IF(ISBLANK('ALL Other SINs - Proposal'!AA155)," ",'ALL Other SINs - Proposal'!AA155)</f>
        <v xml:space="preserve"> </v>
      </c>
      <c r="Q155" s="95" t="str">
        <f>'ALL Other SINs - Proposal'!AC155</f>
        <v xml:space="preserve"> </v>
      </c>
      <c r="R155" s="100" t="str">
        <f>IF(ISBLANK('ALL Other SINs - Proposal'!AA155)," ",ROUND(Q155,2))</f>
        <v xml:space="preserve"> </v>
      </c>
      <c r="S155" s="54"/>
    </row>
    <row r="156" spans="1:19" ht="20.100000000000001" customHeight="1" x14ac:dyDescent="0.2">
      <c r="A156" s="127">
        <f>'ALL Other SINs - Proposal'!A156</f>
        <v>0</v>
      </c>
      <c r="B156" s="121">
        <f>'ALL Other SINs - Proposal'!B156</f>
        <v>0</v>
      </c>
      <c r="C156" s="121">
        <f>'ALL Other SINs - Proposal'!C156</f>
        <v>0</v>
      </c>
      <c r="D156" s="121">
        <f>'ALL Other SINs - Proposal'!D156</f>
        <v>0</v>
      </c>
      <c r="E156" s="121">
        <f>'ALL Other SINs - Proposal'!E156</f>
        <v>0</v>
      </c>
      <c r="F156" s="171">
        <f>'ALL Other SINs - Proposal'!F156</f>
        <v>0</v>
      </c>
      <c r="G156" s="51">
        <f>'ALL Other SINs - Proposal'!G156</f>
        <v>0</v>
      </c>
      <c r="H156" s="125">
        <f>'ALL Other SINs - Proposal'!H156</f>
        <v>0</v>
      </c>
      <c r="I156" s="125">
        <f>'ALL Other SINs - Proposal'!I156</f>
        <v>0</v>
      </c>
      <c r="J156" s="125">
        <f>'ALL Other SINs - Proposal'!J156</f>
        <v>0</v>
      </c>
      <c r="K156" s="125">
        <f>'ALL Other SINs - Proposal'!K156</f>
        <v>0</v>
      </c>
      <c r="L156" s="125">
        <f>'ALL Other SINs - Proposal'!L156</f>
        <v>0</v>
      </c>
      <c r="M156" s="206">
        <f>'ALL Other SINs - Proposal'!M156</f>
        <v>0</v>
      </c>
      <c r="N156" s="251">
        <f>'ALL Other SINs - Proposal'!V156</f>
        <v>0</v>
      </c>
      <c r="O156" s="201" t="str">
        <f>'Price Analysis'!N156</f>
        <v xml:space="preserve"> </v>
      </c>
      <c r="P156" s="53" t="str">
        <f>IF(ISBLANK('ALL Other SINs - Proposal'!AA156)," ",'ALL Other SINs - Proposal'!AA156)</f>
        <v xml:space="preserve"> </v>
      </c>
      <c r="Q156" s="95" t="str">
        <f>'ALL Other SINs - Proposal'!AC156</f>
        <v xml:space="preserve"> </v>
      </c>
      <c r="R156" s="100" t="str">
        <f>IF(ISBLANK('ALL Other SINs - Proposal'!AA156)," ",ROUND(Q156,2))</f>
        <v xml:space="preserve"> </v>
      </c>
      <c r="S156" s="54"/>
    </row>
    <row r="157" spans="1:19" ht="20.100000000000001" customHeight="1" x14ac:dyDescent="0.2">
      <c r="A157" s="127">
        <f>'ALL Other SINs - Proposal'!A157</f>
        <v>0</v>
      </c>
      <c r="B157" s="121">
        <f>'ALL Other SINs - Proposal'!B157</f>
        <v>0</v>
      </c>
      <c r="C157" s="121">
        <f>'ALL Other SINs - Proposal'!C157</f>
        <v>0</v>
      </c>
      <c r="D157" s="121">
        <f>'ALL Other SINs - Proposal'!D157</f>
        <v>0</v>
      </c>
      <c r="E157" s="121">
        <f>'ALL Other SINs - Proposal'!E157</f>
        <v>0</v>
      </c>
      <c r="F157" s="171">
        <f>'ALL Other SINs - Proposal'!F157</f>
        <v>0</v>
      </c>
      <c r="G157" s="51">
        <f>'ALL Other SINs - Proposal'!G157</f>
        <v>0</v>
      </c>
      <c r="H157" s="125">
        <f>'ALL Other SINs - Proposal'!H157</f>
        <v>0</v>
      </c>
      <c r="I157" s="125">
        <f>'ALL Other SINs - Proposal'!I157</f>
        <v>0</v>
      </c>
      <c r="J157" s="125">
        <f>'ALL Other SINs - Proposal'!J157</f>
        <v>0</v>
      </c>
      <c r="K157" s="125">
        <f>'ALL Other SINs - Proposal'!K157</f>
        <v>0</v>
      </c>
      <c r="L157" s="125">
        <f>'ALL Other SINs - Proposal'!L157</f>
        <v>0</v>
      </c>
      <c r="M157" s="206">
        <f>'ALL Other SINs - Proposal'!M157</f>
        <v>0</v>
      </c>
      <c r="N157" s="251">
        <f>'ALL Other SINs - Proposal'!V157</f>
        <v>0</v>
      </c>
      <c r="O157" s="201" t="str">
        <f>'Price Analysis'!N157</f>
        <v xml:space="preserve"> </v>
      </c>
      <c r="P157" s="53" t="str">
        <f>IF(ISBLANK('ALL Other SINs - Proposal'!AA157)," ",'ALL Other SINs - Proposal'!AA157)</f>
        <v xml:space="preserve"> </v>
      </c>
      <c r="Q157" s="95" t="str">
        <f>'ALL Other SINs - Proposal'!AC157</f>
        <v xml:space="preserve"> </v>
      </c>
      <c r="R157" s="100" t="str">
        <f>IF(ISBLANK('ALL Other SINs - Proposal'!AA157)," ",ROUND(Q157,2))</f>
        <v xml:space="preserve"> </v>
      </c>
      <c r="S157" s="54"/>
    </row>
    <row r="158" spans="1:19" ht="20.100000000000001" customHeight="1" x14ac:dyDescent="0.2">
      <c r="A158" s="127">
        <f>'ALL Other SINs - Proposal'!A158</f>
        <v>0</v>
      </c>
      <c r="B158" s="121">
        <f>'ALL Other SINs - Proposal'!B158</f>
        <v>0</v>
      </c>
      <c r="C158" s="121">
        <f>'ALL Other SINs - Proposal'!C158</f>
        <v>0</v>
      </c>
      <c r="D158" s="121">
        <f>'ALL Other SINs - Proposal'!D158</f>
        <v>0</v>
      </c>
      <c r="E158" s="121">
        <f>'ALL Other SINs - Proposal'!E158</f>
        <v>0</v>
      </c>
      <c r="F158" s="171">
        <f>'ALL Other SINs - Proposal'!F158</f>
        <v>0</v>
      </c>
      <c r="G158" s="51">
        <f>'ALL Other SINs - Proposal'!G158</f>
        <v>0</v>
      </c>
      <c r="H158" s="125">
        <f>'ALL Other SINs - Proposal'!H158</f>
        <v>0</v>
      </c>
      <c r="I158" s="125">
        <f>'ALL Other SINs - Proposal'!I158</f>
        <v>0</v>
      </c>
      <c r="J158" s="125">
        <f>'ALL Other SINs - Proposal'!J158</f>
        <v>0</v>
      </c>
      <c r="K158" s="125">
        <f>'ALL Other SINs - Proposal'!K158</f>
        <v>0</v>
      </c>
      <c r="L158" s="125">
        <f>'ALL Other SINs - Proposal'!L158</f>
        <v>0</v>
      </c>
      <c r="M158" s="206">
        <f>'ALL Other SINs - Proposal'!M158</f>
        <v>0</v>
      </c>
      <c r="N158" s="251">
        <f>'ALL Other SINs - Proposal'!V158</f>
        <v>0</v>
      </c>
      <c r="O158" s="201" t="str">
        <f>'Price Analysis'!N158</f>
        <v xml:space="preserve"> </v>
      </c>
      <c r="P158" s="53" t="str">
        <f>IF(ISBLANK('ALL Other SINs - Proposal'!AA158)," ",'ALL Other SINs - Proposal'!AA158)</f>
        <v xml:space="preserve"> </v>
      </c>
      <c r="Q158" s="95" t="str">
        <f>'ALL Other SINs - Proposal'!AC158</f>
        <v xml:space="preserve"> </v>
      </c>
      <c r="R158" s="100" t="str">
        <f>IF(ISBLANK('ALL Other SINs - Proposal'!AA158)," ",ROUND(Q158,2))</f>
        <v xml:space="preserve"> </v>
      </c>
      <c r="S158" s="54"/>
    </row>
    <row r="159" spans="1:19" ht="20.100000000000001" customHeight="1" x14ac:dyDescent="0.2">
      <c r="A159" s="127">
        <f>'ALL Other SINs - Proposal'!A159</f>
        <v>0</v>
      </c>
      <c r="B159" s="121">
        <f>'ALL Other SINs - Proposal'!B159</f>
        <v>0</v>
      </c>
      <c r="C159" s="121">
        <f>'ALL Other SINs - Proposal'!C159</f>
        <v>0</v>
      </c>
      <c r="D159" s="121">
        <f>'ALL Other SINs - Proposal'!D159</f>
        <v>0</v>
      </c>
      <c r="E159" s="121">
        <f>'ALL Other SINs - Proposal'!E159</f>
        <v>0</v>
      </c>
      <c r="F159" s="171">
        <f>'ALL Other SINs - Proposal'!F159</f>
        <v>0</v>
      </c>
      <c r="G159" s="51">
        <f>'ALL Other SINs - Proposal'!G159</f>
        <v>0</v>
      </c>
      <c r="H159" s="125">
        <f>'ALL Other SINs - Proposal'!H159</f>
        <v>0</v>
      </c>
      <c r="I159" s="125">
        <f>'ALL Other SINs - Proposal'!I159</f>
        <v>0</v>
      </c>
      <c r="J159" s="125">
        <f>'ALL Other SINs - Proposal'!J159</f>
        <v>0</v>
      </c>
      <c r="K159" s="125">
        <f>'ALL Other SINs - Proposal'!K159</f>
        <v>0</v>
      </c>
      <c r="L159" s="125">
        <f>'ALL Other SINs - Proposal'!L159</f>
        <v>0</v>
      </c>
      <c r="M159" s="206">
        <f>'ALL Other SINs - Proposal'!M159</f>
        <v>0</v>
      </c>
      <c r="N159" s="251">
        <f>'ALL Other SINs - Proposal'!V159</f>
        <v>0</v>
      </c>
      <c r="O159" s="201" t="str">
        <f>'Price Analysis'!N159</f>
        <v xml:space="preserve"> </v>
      </c>
      <c r="P159" s="53" t="str">
        <f>IF(ISBLANK('ALL Other SINs - Proposal'!AA159)," ",'ALL Other SINs - Proposal'!AA159)</f>
        <v xml:space="preserve"> </v>
      </c>
      <c r="Q159" s="95" t="str">
        <f>'ALL Other SINs - Proposal'!AC159</f>
        <v xml:space="preserve"> </v>
      </c>
      <c r="R159" s="100" t="str">
        <f>IF(ISBLANK('ALL Other SINs - Proposal'!AA159)," ",ROUND(Q159,2))</f>
        <v xml:space="preserve"> </v>
      </c>
      <c r="S159" s="54"/>
    </row>
    <row r="160" spans="1:19" ht="20.100000000000001" customHeight="1" x14ac:dyDescent="0.2">
      <c r="A160" s="127">
        <f>'ALL Other SINs - Proposal'!A160</f>
        <v>0</v>
      </c>
      <c r="B160" s="121">
        <f>'ALL Other SINs - Proposal'!B160</f>
        <v>0</v>
      </c>
      <c r="C160" s="121">
        <f>'ALL Other SINs - Proposal'!C160</f>
        <v>0</v>
      </c>
      <c r="D160" s="121">
        <f>'ALL Other SINs - Proposal'!D160</f>
        <v>0</v>
      </c>
      <c r="E160" s="121">
        <f>'ALL Other SINs - Proposal'!E160</f>
        <v>0</v>
      </c>
      <c r="F160" s="171">
        <f>'ALL Other SINs - Proposal'!F160</f>
        <v>0</v>
      </c>
      <c r="G160" s="51">
        <f>'ALL Other SINs - Proposal'!G160</f>
        <v>0</v>
      </c>
      <c r="H160" s="125">
        <f>'ALL Other SINs - Proposal'!H160</f>
        <v>0</v>
      </c>
      <c r="I160" s="125">
        <f>'ALL Other SINs - Proposal'!I160</f>
        <v>0</v>
      </c>
      <c r="J160" s="125">
        <f>'ALL Other SINs - Proposal'!J160</f>
        <v>0</v>
      </c>
      <c r="K160" s="125">
        <f>'ALL Other SINs - Proposal'!K160</f>
        <v>0</v>
      </c>
      <c r="L160" s="125">
        <f>'ALL Other SINs - Proposal'!L160</f>
        <v>0</v>
      </c>
      <c r="M160" s="206">
        <f>'ALL Other SINs - Proposal'!M160</f>
        <v>0</v>
      </c>
      <c r="N160" s="251">
        <f>'ALL Other SINs - Proposal'!V160</f>
        <v>0</v>
      </c>
      <c r="O160" s="201" t="str">
        <f>'Price Analysis'!N160</f>
        <v xml:space="preserve"> </v>
      </c>
      <c r="P160" s="53" t="str">
        <f>IF(ISBLANK('ALL Other SINs - Proposal'!AA160)," ",'ALL Other SINs - Proposal'!AA160)</f>
        <v xml:space="preserve"> </v>
      </c>
      <c r="Q160" s="95" t="str">
        <f>'ALL Other SINs - Proposal'!AC160</f>
        <v xml:space="preserve"> </v>
      </c>
      <c r="R160" s="100" t="str">
        <f>IF(ISBLANK('ALL Other SINs - Proposal'!AA160)," ",ROUND(Q160,2))</f>
        <v xml:space="preserve"> </v>
      </c>
      <c r="S160" s="54"/>
    </row>
    <row r="161" spans="1:19" ht="20.100000000000001" customHeight="1" x14ac:dyDescent="0.2">
      <c r="A161" s="127">
        <f>'ALL Other SINs - Proposal'!A161</f>
        <v>0</v>
      </c>
      <c r="B161" s="121">
        <f>'ALL Other SINs - Proposal'!B161</f>
        <v>0</v>
      </c>
      <c r="C161" s="121">
        <f>'ALL Other SINs - Proposal'!C161</f>
        <v>0</v>
      </c>
      <c r="D161" s="121">
        <f>'ALL Other SINs - Proposal'!D161</f>
        <v>0</v>
      </c>
      <c r="E161" s="121">
        <f>'ALL Other SINs - Proposal'!E161</f>
        <v>0</v>
      </c>
      <c r="F161" s="171">
        <f>'ALL Other SINs - Proposal'!F161</f>
        <v>0</v>
      </c>
      <c r="G161" s="51">
        <f>'ALL Other SINs - Proposal'!G161</f>
        <v>0</v>
      </c>
      <c r="H161" s="125">
        <f>'ALL Other SINs - Proposal'!H161</f>
        <v>0</v>
      </c>
      <c r="I161" s="125">
        <f>'ALL Other SINs - Proposal'!I161</f>
        <v>0</v>
      </c>
      <c r="J161" s="125">
        <f>'ALL Other SINs - Proposal'!J161</f>
        <v>0</v>
      </c>
      <c r="K161" s="125">
        <f>'ALL Other SINs - Proposal'!K161</f>
        <v>0</v>
      </c>
      <c r="L161" s="125">
        <f>'ALL Other SINs - Proposal'!L161</f>
        <v>0</v>
      </c>
      <c r="M161" s="206">
        <f>'ALL Other SINs - Proposal'!M161</f>
        <v>0</v>
      </c>
      <c r="N161" s="251">
        <f>'ALL Other SINs - Proposal'!V161</f>
        <v>0</v>
      </c>
      <c r="O161" s="201" t="str">
        <f>'Price Analysis'!N161</f>
        <v xml:space="preserve"> </v>
      </c>
      <c r="P161" s="53" t="str">
        <f>IF(ISBLANK('ALL Other SINs - Proposal'!AA161)," ",'ALL Other SINs - Proposal'!AA161)</f>
        <v xml:space="preserve"> </v>
      </c>
      <c r="Q161" s="95" t="str">
        <f>'ALL Other SINs - Proposal'!AC161</f>
        <v xml:space="preserve"> </v>
      </c>
      <c r="R161" s="100" t="str">
        <f>IF(ISBLANK('ALL Other SINs - Proposal'!AA161)," ",ROUND(Q161,2))</f>
        <v xml:space="preserve"> </v>
      </c>
      <c r="S161" s="54"/>
    </row>
    <row r="162" spans="1:19" ht="20.100000000000001" customHeight="1" x14ac:dyDescent="0.2">
      <c r="A162" s="127">
        <f>'ALL Other SINs - Proposal'!A162</f>
        <v>0</v>
      </c>
      <c r="B162" s="121">
        <f>'ALL Other SINs - Proposal'!B162</f>
        <v>0</v>
      </c>
      <c r="C162" s="121">
        <f>'ALL Other SINs - Proposal'!C162</f>
        <v>0</v>
      </c>
      <c r="D162" s="121">
        <f>'ALL Other SINs - Proposal'!D162</f>
        <v>0</v>
      </c>
      <c r="E162" s="121">
        <f>'ALL Other SINs - Proposal'!E162</f>
        <v>0</v>
      </c>
      <c r="F162" s="171">
        <f>'ALL Other SINs - Proposal'!F162</f>
        <v>0</v>
      </c>
      <c r="G162" s="51">
        <f>'ALL Other SINs - Proposal'!G162</f>
        <v>0</v>
      </c>
      <c r="H162" s="125">
        <f>'ALL Other SINs - Proposal'!H162</f>
        <v>0</v>
      </c>
      <c r="I162" s="125">
        <f>'ALL Other SINs - Proposal'!I162</f>
        <v>0</v>
      </c>
      <c r="J162" s="125">
        <f>'ALL Other SINs - Proposal'!J162</f>
        <v>0</v>
      </c>
      <c r="K162" s="125">
        <f>'ALL Other SINs - Proposal'!K162</f>
        <v>0</v>
      </c>
      <c r="L162" s="125">
        <f>'ALL Other SINs - Proposal'!L162</f>
        <v>0</v>
      </c>
      <c r="M162" s="206">
        <f>'ALL Other SINs - Proposal'!M162</f>
        <v>0</v>
      </c>
      <c r="N162" s="251">
        <f>'ALL Other SINs - Proposal'!V162</f>
        <v>0</v>
      </c>
      <c r="O162" s="201" t="str">
        <f>'Price Analysis'!N162</f>
        <v xml:space="preserve"> </v>
      </c>
      <c r="P162" s="53" t="str">
        <f>IF(ISBLANK('ALL Other SINs - Proposal'!AA162)," ",'ALL Other SINs - Proposal'!AA162)</f>
        <v xml:space="preserve"> </v>
      </c>
      <c r="Q162" s="95" t="str">
        <f>'ALL Other SINs - Proposal'!AC162</f>
        <v xml:space="preserve"> </v>
      </c>
      <c r="R162" s="100" t="str">
        <f>IF(ISBLANK('ALL Other SINs - Proposal'!AA162)," ",ROUND(Q162,2))</f>
        <v xml:space="preserve"> </v>
      </c>
      <c r="S162" s="54"/>
    </row>
    <row r="163" spans="1:19" ht="20.100000000000001" customHeight="1" x14ac:dyDescent="0.2">
      <c r="A163" s="127">
        <f>'ALL Other SINs - Proposal'!A163</f>
        <v>0</v>
      </c>
      <c r="B163" s="121">
        <f>'ALL Other SINs - Proposal'!B163</f>
        <v>0</v>
      </c>
      <c r="C163" s="121">
        <f>'ALL Other SINs - Proposal'!C163</f>
        <v>0</v>
      </c>
      <c r="D163" s="121">
        <f>'ALL Other SINs - Proposal'!D163</f>
        <v>0</v>
      </c>
      <c r="E163" s="121">
        <f>'ALL Other SINs - Proposal'!E163</f>
        <v>0</v>
      </c>
      <c r="F163" s="171">
        <f>'ALL Other SINs - Proposal'!F163</f>
        <v>0</v>
      </c>
      <c r="G163" s="51">
        <f>'ALL Other SINs - Proposal'!G163</f>
        <v>0</v>
      </c>
      <c r="H163" s="125">
        <f>'ALL Other SINs - Proposal'!H163</f>
        <v>0</v>
      </c>
      <c r="I163" s="125">
        <f>'ALL Other SINs - Proposal'!I163</f>
        <v>0</v>
      </c>
      <c r="J163" s="125">
        <f>'ALL Other SINs - Proposal'!J163</f>
        <v>0</v>
      </c>
      <c r="K163" s="125">
        <f>'ALL Other SINs - Proposal'!K163</f>
        <v>0</v>
      </c>
      <c r="L163" s="125">
        <f>'ALL Other SINs - Proposal'!L163</f>
        <v>0</v>
      </c>
      <c r="M163" s="206">
        <f>'ALL Other SINs - Proposal'!M163</f>
        <v>0</v>
      </c>
      <c r="N163" s="251">
        <f>'ALL Other SINs - Proposal'!V163</f>
        <v>0</v>
      </c>
      <c r="O163" s="201" t="str">
        <f>'Price Analysis'!N163</f>
        <v xml:space="preserve"> </v>
      </c>
      <c r="P163" s="53" t="str">
        <f>IF(ISBLANK('ALL Other SINs - Proposal'!AA163)," ",'ALL Other SINs - Proposal'!AA163)</f>
        <v xml:space="preserve"> </v>
      </c>
      <c r="Q163" s="95" t="str">
        <f>'ALL Other SINs - Proposal'!AC163</f>
        <v xml:space="preserve"> </v>
      </c>
      <c r="R163" s="100" t="str">
        <f>IF(ISBLANK('ALL Other SINs - Proposal'!AA163)," ",ROUND(Q163,2))</f>
        <v xml:space="preserve"> </v>
      </c>
      <c r="S163" s="54"/>
    </row>
    <row r="164" spans="1:19" ht="20.100000000000001" customHeight="1" x14ac:dyDescent="0.2">
      <c r="A164" s="127">
        <f>'ALL Other SINs - Proposal'!A164</f>
        <v>0</v>
      </c>
      <c r="B164" s="121">
        <f>'ALL Other SINs - Proposal'!B164</f>
        <v>0</v>
      </c>
      <c r="C164" s="121">
        <f>'ALL Other SINs - Proposal'!C164</f>
        <v>0</v>
      </c>
      <c r="D164" s="121">
        <f>'ALL Other SINs - Proposal'!D164</f>
        <v>0</v>
      </c>
      <c r="E164" s="121">
        <f>'ALL Other SINs - Proposal'!E164</f>
        <v>0</v>
      </c>
      <c r="F164" s="171">
        <f>'ALL Other SINs - Proposal'!F164</f>
        <v>0</v>
      </c>
      <c r="G164" s="51">
        <f>'ALL Other SINs - Proposal'!G164</f>
        <v>0</v>
      </c>
      <c r="H164" s="125">
        <f>'ALL Other SINs - Proposal'!H164</f>
        <v>0</v>
      </c>
      <c r="I164" s="125">
        <f>'ALL Other SINs - Proposal'!I164</f>
        <v>0</v>
      </c>
      <c r="J164" s="125">
        <f>'ALL Other SINs - Proposal'!J164</f>
        <v>0</v>
      </c>
      <c r="K164" s="125">
        <f>'ALL Other SINs - Proposal'!K164</f>
        <v>0</v>
      </c>
      <c r="L164" s="125">
        <f>'ALL Other SINs - Proposal'!L164</f>
        <v>0</v>
      </c>
      <c r="M164" s="206">
        <f>'ALL Other SINs - Proposal'!M164</f>
        <v>0</v>
      </c>
      <c r="N164" s="251">
        <f>'ALL Other SINs - Proposal'!V164</f>
        <v>0</v>
      </c>
      <c r="O164" s="201" t="str">
        <f>'Price Analysis'!N164</f>
        <v xml:space="preserve"> </v>
      </c>
      <c r="P164" s="53" t="str">
        <f>IF(ISBLANK('ALL Other SINs - Proposal'!AA164)," ",'ALL Other SINs - Proposal'!AA164)</f>
        <v xml:space="preserve"> </v>
      </c>
      <c r="Q164" s="95" t="str">
        <f>'ALL Other SINs - Proposal'!AC164</f>
        <v xml:space="preserve"> </v>
      </c>
      <c r="R164" s="100" t="str">
        <f>IF(ISBLANK('ALL Other SINs - Proposal'!AA164)," ",ROUND(Q164,2))</f>
        <v xml:space="preserve"> </v>
      </c>
      <c r="S164" s="54"/>
    </row>
    <row r="165" spans="1:19" ht="20.100000000000001" customHeight="1" x14ac:dyDescent="0.2">
      <c r="A165" s="127">
        <f>'ALL Other SINs - Proposal'!A165</f>
        <v>0</v>
      </c>
      <c r="B165" s="121">
        <f>'ALL Other SINs - Proposal'!B165</f>
        <v>0</v>
      </c>
      <c r="C165" s="121">
        <f>'ALL Other SINs - Proposal'!C165</f>
        <v>0</v>
      </c>
      <c r="D165" s="121">
        <f>'ALL Other SINs - Proposal'!D165</f>
        <v>0</v>
      </c>
      <c r="E165" s="121">
        <f>'ALL Other SINs - Proposal'!E165</f>
        <v>0</v>
      </c>
      <c r="F165" s="171">
        <f>'ALL Other SINs - Proposal'!F165</f>
        <v>0</v>
      </c>
      <c r="G165" s="51">
        <f>'ALL Other SINs - Proposal'!G165</f>
        <v>0</v>
      </c>
      <c r="H165" s="125">
        <f>'ALL Other SINs - Proposal'!H165</f>
        <v>0</v>
      </c>
      <c r="I165" s="125">
        <f>'ALL Other SINs - Proposal'!I165</f>
        <v>0</v>
      </c>
      <c r="J165" s="125">
        <f>'ALL Other SINs - Proposal'!J165</f>
        <v>0</v>
      </c>
      <c r="K165" s="125">
        <f>'ALL Other SINs - Proposal'!K165</f>
        <v>0</v>
      </c>
      <c r="L165" s="125">
        <f>'ALL Other SINs - Proposal'!L165</f>
        <v>0</v>
      </c>
      <c r="M165" s="206">
        <f>'ALL Other SINs - Proposal'!M165</f>
        <v>0</v>
      </c>
      <c r="N165" s="251">
        <f>'ALL Other SINs - Proposal'!V165</f>
        <v>0</v>
      </c>
      <c r="O165" s="201" t="str">
        <f>'Price Analysis'!N165</f>
        <v xml:space="preserve"> </v>
      </c>
      <c r="P165" s="53" t="str">
        <f>IF(ISBLANK('ALL Other SINs - Proposal'!AA165)," ",'ALL Other SINs - Proposal'!AA165)</f>
        <v xml:space="preserve"> </v>
      </c>
      <c r="Q165" s="95" t="str">
        <f>'ALL Other SINs - Proposal'!AC165</f>
        <v xml:space="preserve"> </v>
      </c>
      <c r="R165" s="100" t="str">
        <f>IF(ISBLANK('ALL Other SINs - Proposal'!AA165)," ",ROUND(Q165,2))</f>
        <v xml:space="preserve"> </v>
      </c>
      <c r="S165" s="54"/>
    </row>
    <row r="166" spans="1:19" ht="20.100000000000001" customHeight="1" x14ac:dyDescent="0.2">
      <c r="A166" s="127">
        <f>'ALL Other SINs - Proposal'!A166</f>
        <v>0</v>
      </c>
      <c r="B166" s="121">
        <f>'ALL Other SINs - Proposal'!B166</f>
        <v>0</v>
      </c>
      <c r="C166" s="121">
        <f>'ALL Other SINs - Proposal'!C166</f>
        <v>0</v>
      </c>
      <c r="D166" s="121">
        <f>'ALL Other SINs - Proposal'!D166</f>
        <v>0</v>
      </c>
      <c r="E166" s="121">
        <f>'ALL Other SINs - Proposal'!E166</f>
        <v>0</v>
      </c>
      <c r="F166" s="171">
        <f>'ALL Other SINs - Proposal'!F166</f>
        <v>0</v>
      </c>
      <c r="G166" s="51">
        <f>'ALL Other SINs - Proposal'!G166</f>
        <v>0</v>
      </c>
      <c r="H166" s="125">
        <f>'ALL Other SINs - Proposal'!H166</f>
        <v>0</v>
      </c>
      <c r="I166" s="125">
        <f>'ALL Other SINs - Proposal'!I166</f>
        <v>0</v>
      </c>
      <c r="J166" s="125">
        <f>'ALL Other SINs - Proposal'!J166</f>
        <v>0</v>
      </c>
      <c r="K166" s="125">
        <f>'ALL Other SINs - Proposal'!K166</f>
        <v>0</v>
      </c>
      <c r="L166" s="125">
        <f>'ALL Other SINs - Proposal'!L166</f>
        <v>0</v>
      </c>
      <c r="M166" s="206">
        <f>'ALL Other SINs - Proposal'!M166</f>
        <v>0</v>
      </c>
      <c r="N166" s="251">
        <f>'ALL Other SINs - Proposal'!V166</f>
        <v>0</v>
      </c>
      <c r="O166" s="201" t="str">
        <f>'Price Analysis'!N166</f>
        <v xml:space="preserve"> </v>
      </c>
      <c r="P166" s="53" t="str">
        <f>IF(ISBLANK('ALL Other SINs - Proposal'!AA166)," ",'ALL Other SINs - Proposal'!AA166)</f>
        <v xml:space="preserve"> </v>
      </c>
      <c r="Q166" s="95" t="str">
        <f>'ALL Other SINs - Proposal'!AC166</f>
        <v xml:space="preserve"> </v>
      </c>
      <c r="R166" s="100" t="str">
        <f>IF(ISBLANK('ALL Other SINs - Proposal'!AA166)," ",ROUND(Q166,2))</f>
        <v xml:space="preserve"> </v>
      </c>
      <c r="S166" s="54"/>
    </row>
    <row r="167" spans="1:19" ht="20.100000000000001" customHeight="1" x14ac:dyDescent="0.2">
      <c r="A167" s="127">
        <f>'ALL Other SINs - Proposal'!A167</f>
        <v>0</v>
      </c>
      <c r="B167" s="121">
        <f>'ALL Other SINs - Proposal'!B167</f>
        <v>0</v>
      </c>
      <c r="C167" s="121">
        <f>'ALL Other SINs - Proposal'!C167</f>
        <v>0</v>
      </c>
      <c r="D167" s="121">
        <f>'ALL Other SINs - Proposal'!D167</f>
        <v>0</v>
      </c>
      <c r="E167" s="121">
        <f>'ALL Other SINs - Proposal'!E167</f>
        <v>0</v>
      </c>
      <c r="F167" s="171">
        <f>'ALL Other SINs - Proposal'!F167</f>
        <v>0</v>
      </c>
      <c r="G167" s="51">
        <f>'ALL Other SINs - Proposal'!G167</f>
        <v>0</v>
      </c>
      <c r="H167" s="125">
        <f>'ALL Other SINs - Proposal'!H167</f>
        <v>0</v>
      </c>
      <c r="I167" s="125">
        <f>'ALL Other SINs - Proposal'!I167</f>
        <v>0</v>
      </c>
      <c r="J167" s="125">
        <f>'ALL Other SINs - Proposal'!J167</f>
        <v>0</v>
      </c>
      <c r="K167" s="125">
        <f>'ALL Other SINs - Proposal'!K167</f>
        <v>0</v>
      </c>
      <c r="L167" s="125">
        <f>'ALL Other SINs - Proposal'!L167</f>
        <v>0</v>
      </c>
      <c r="M167" s="206">
        <f>'ALL Other SINs - Proposal'!M167</f>
        <v>0</v>
      </c>
      <c r="N167" s="251">
        <f>'ALL Other SINs - Proposal'!V167</f>
        <v>0</v>
      </c>
      <c r="O167" s="201" t="str">
        <f>'Price Analysis'!N167</f>
        <v xml:space="preserve"> </v>
      </c>
      <c r="P167" s="53" t="str">
        <f>IF(ISBLANK('ALL Other SINs - Proposal'!AA167)," ",'ALL Other SINs - Proposal'!AA167)</f>
        <v xml:space="preserve"> </v>
      </c>
      <c r="Q167" s="95" t="str">
        <f>'ALL Other SINs - Proposal'!AC167</f>
        <v xml:space="preserve"> </v>
      </c>
      <c r="R167" s="100" t="str">
        <f>IF(ISBLANK('ALL Other SINs - Proposal'!AA167)," ",ROUND(Q167,2))</f>
        <v xml:space="preserve"> </v>
      </c>
      <c r="S167" s="54"/>
    </row>
    <row r="168" spans="1:19" ht="20.100000000000001" customHeight="1" x14ac:dyDescent="0.2">
      <c r="A168" s="127">
        <f>'ALL Other SINs - Proposal'!A168</f>
        <v>0</v>
      </c>
      <c r="B168" s="121">
        <f>'ALL Other SINs - Proposal'!B168</f>
        <v>0</v>
      </c>
      <c r="C168" s="121">
        <f>'ALL Other SINs - Proposal'!C168</f>
        <v>0</v>
      </c>
      <c r="D168" s="121">
        <f>'ALL Other SINs - Proposal'!D168</f>
        <v>0</v>
      </c>
      <c r="E168" s="121">
        <f>'ALL Other SINs - Proposal'!E168</f>
        <v>0</v>
      </c>
      <c r="F168" s="171">
        <f>'ALL Other SINs - Proposal'!F168</f>
        <v>0</v>
      </c>
      <c r="G168" s="51">
        <f>'ALL Other SINs - Proposal'!G168</f>
        <v>0</v>
      </c>
      <c r="H168" s="125">
        <f>'ALL Other SINs - Proposal'!H168</f>
        <v>0</v>
      </c>
      <c r="I168" s="125">
        <f>'ALL Other SINs - Proposal'!I168</f>
        <v>0</v>
      </c>
      <c r="J168" s="125">
        <f>'ALL Other SINs - Proposal'!J168</f>
        <v>0</v>
      </c>
      <c r="K168" s="125">
        <f>'ALL Other SINs - Proposal'!K168</f>
        <v>0</v>
      </c>
      <c r="L168" s="125">
        <f>'ALL Other SINs - Proposal'!L168</f>
        <v>0</v>
      </c>
      <c r="M168" s="206">
        <f>'ALL Other SINs - Proposal'!M168</f>
        <v>0</v>
      </c>
      <c r="N168" s="251">
        <f>'ALL Other SINs - Proposal'!V168</f>
        <v>0</v>
      </c>
      <c r="O168" s="201" t="str">
        <f>'Price Analysis'!N168</f>
        <v xml:space="preserve"> </v>
      </c>
      <c r="P168" s="53" t="str">
        <f>IF(ISBLANK('ALL Other SINs - Proposal'!AA168)," ",'ALL Other SINs - Proposal'!AA168)</f>
        <v xml:space="preserve"> </v>
      </c>
      <c r="Q168" s="95" t="str">
        <f>'ALL Other SINs - Proposal'!AC168</f>
        <v xml:space="preserve"> </v>
      </c>
      <c r="R168" s="100" t="str">
        <f>IF(ISBLANK('ALL Other SINs - Proposal'!AA168)," ",ROUND(Q168,2))</f>
        <v xml:space="preserve"> </v>
      </c>
      <c r="S168" s="54"/>
    </row>
    <row r="169" spans="1:19" ht="20.100000000000001" customHeight="1" x14ac:dyDescent="0.2">
      <c r="A169" s="127">
        <f>'ALL Other SINs - Proposal'!A169</f>
        <v>0</v>
      </c>
      <c r="B169" s="121">
        <f>'ALL Other SINs - Proposal'!B169</f>
        <v>0</v>
      </c>
      <c r="C169" s="121">
        <f>'ALL Other SINs - Proposal'!C169</f>
        <v>0</v>
      </c>
      <c r="D169" s="121">
        <f>'ALL Other SINs - Proposal'!D169</f>
        <v>0</v>
      </c>
      <c r="E169" s="121">
        <f>'ALL Other SINs - Proposal'!E169</f>
        <v>0</v>
      </c>
      <c r="F169" s="171">
        <f>'ALL Other SINs - Proposal'!F169</f>
        <v>0</v>
      </c>
      <c r="G169" s="51">
        <f>'ALL Other SINs - Proposal'!G169</f>
        <v>0</v>
      </c>
      <c r="H169" s="125">
        <f>'ALL Other SINs - Proposal'!H169</f>
        <v>0</v>
      </c>
      <c r="I169" s="125">
        <f>'ALL Other SINs - Proposal'!I169</f>
        <v>0</v>
      </c>
      <c r="J169" s="125">
        <f>'ALL Other SINs - Proposal'!J169</f>
        <v>0</v>
      </c>
      <c r="K169" s="125">
        <f>'ALL Other SINs - Proposal'!K169</f>
        <v>0</v>
      </c>
      <c r="L169" s="125">
        <f>'ALL Other SINs - Proposal'!L169</f>
        <v>0</v>
      </c>
      <c r="M169" s="206">
        <f>'ALL Other SINs - Proposal'!M169</f>
        <v>0</v>
      </c>
      <c r="N169" s="251">
        <f>'ALL Other SINs - Proposal'!V169</f>
        <v>0</v>
      </c>
      <c r="O169" s="201" t="str">
        <f>'Price Analysis'!N169</f>
        <v xml:space="preserve"> </v>
      </c>
      <c r="P169" s="53" t="str">
        <f>IF(ISBLANK('ALL Other SINs - Proposal'!AA169)," ",'ALL Other SINs - Proposal'!AA169)</f>
        <v xml:space="preserve"> </v>
      </c>
      <c r="Q169" s="95" t="str">
        <f>'ALL Other SINs - Proposal'!AC169</f>
        <v xml:space="preserve"> </v>
      </c>
      <c r="R169" s="100" t="str">
        <f>IF(ISBLANK('ALL Other SINs - Proposal'!AA169)," ",ROUND(Q169,2))</f>
        <v xml:space="preserve"> </v>
      </c>
      <c r="S169" s="54"/>
    </row>
    <row r="170" spans="1:19" ht="20.100000000000001" customHeight="1" x14ac:dyDescent="0.2">
      <c r="A170" s="127">
        <f>'ALL Other SINs - Proposal'!A170</f>
        <v>0</v>
      </c>
      <c r="B170" s="121">
        <f>'ALL Other SINs - Proposal'!B170</f>
        <v>0</v>
      </c>
      <c r="C170" s="121">
        <f>'ALL Other SINs - Proposal'!C170</f>
        <v>0</v>
      </c>
      <c r="D170" s="121">
        <f>'ALL Other SINs - Proposal'!D170</f>
        <v>0</v>
      </c>
      <c r="E170" s="121">
        <f>'ALL Other SINs - Proposal'!E170</f>
        <v>0</v>
      </c>
      <c r="F170" s="171">
        <f>'ALL Other SINs - Proposal'!F170</f>
        <v>0</v>
      </c>
      <c r="G170" s="51">
        <f>'ALL Other SINs - Proposal'!G170</f>
        <v>0</v>
      </c>
      <c r="H170" s="125">
        <f>'ALL Other SINs - Proposal'!H170</f>
        <v>0</v>
      </c>
      <c r="I170" s="125">
        <f>'ALL Other SINs - Proposal'!I170</f>
        <v>0</v>
      </c>
      <c r="J170" s="125">
        <f>'ALL Other SINs - Proposal'!J170</f>
        <v>0</v>
      </c>
      <c r="K170" s="125">
        <f>'ALL Other SINs - Proposal'!K170</f>
        <v>0</v>
      </c>
      <c r="L170" s="125">
        <f>'ALL Other SINs - Proposal'!L170</f>
        <v>0</v>
      </c>
      <c r="M170" s="206">
        <f>'ALL Other SINs - Proposal'!M170</f>
        <v>0</v>
      </c>
      <c r="N170" s="251">
        <f>'ALL Other SINs - Proposal'!V170</f>
        <v>0</v>
      </c>
      <c r="O170" s="201" t="str">
        <f>'Price Analysis'!N170</f>
        <v xml:space="preserve"> </v>
      </c>
      <c r="P170" s="53" t="str">
        <f>IF(ISBLANK('ALL Other SINs - Proposal'!AA170)," ",'ALL Other SINs - Proposal'!AA170)</f>
        <v xml:space="preserve"> </v>
      </c>
      <c r="Q170" s="95" t="str">
        <f>'ALL Other SINs - Proposal'!AC170</f>
        <v xml:space="preserve"> </v>
      </c>
      <c r="R170" s="100" t="str">
        <f>IF(ISBLANK('ALL Other SINs - Proposal'!AA170)," ",ROUND(Q170,2))</f>
        <v xml:space="preserve"> </v>
      </c>
      <c r="S170" s="54"/>
    </row>
    <row r="171" spans="1:19" ht="20.100000000000001" customHeight="1" x14ac:dyDescent="0.2">
      <c r="A171" s="127">
        <f>'ALL Other SINs - Proposal'!A171</f>
        <v>0</v>
      </c>
      <c r="B171" s="121">
        <f>'ALL Other SINs - Proposal'!B171</f>
        <v>0</v>
      </c>
      <c r="C171" s="121">
        <f>'ALL Other SINs - Proposal'!C171</f>
        <v>0</v>
      </c>
      <c r="D171" s="121">
        <f>'ALL Other SINs - Proposal'!D171</f>
        <v>0</v>
      </c>
      <c r="E171" s="121">
        <f>'ALL Other SINs - Proposal'!E171</f>
        <v>0</v>
      </c>
      <c r="F171" s="171">
        <f>'ALL Other SINs - Proposal'!F171</f>
        <v>0</v>
      </c>
      <c r="G171" s="51">
        <f>'ALL Other SINs - Proposal'!G171</f>
        <v>0</v>
      </c>
      <c r="H171" s="125">
        <f>'ALL Other SINs - Proposal'!H171</f>
        <v>0</v>
      </c>
      <c r="I171" s="125">
        <f>'ALL Other SINs - Proposal'!I171</f>
        <v>0</v>
      </c>
      <c r="J171" s="125">
        <f>'ALL Other SINs - Proposal'!J171</f>
        <v>0</v>
      </c>
      <c r="K171" s="125">
        <f>'ALL Other SINs - Proposal'!K171</f>
        <v>0</v>
      </c>
      <c r="L171" s="125">
        <f>'ALL Other SINs - Proposal'!L171</f>
        <v>0</v>
      </c>
      <c r="M171" s="206">
        <f>'ALL Other SINs - Proposal'!M171</f>
        <v>0</v>
      </c>
      <c r="N171" s="251">
        <f>'ALL Other SINs - Proposal'!V171</f>
        <v>0</v>
      </c>
      <c r="O171" s="201" t="str">
        <f>'Price Analysis'!N171</f>
        <v xml:space="preserve"> </v>
      </c>
      <c r="P171" s="53" t="str">
        <f>IF(ISBLANK('ALL Other SINs - Proposal'!AA171)," ",'ALL Other SINs - Proposal'!AA171)</f>
        <v xml:space="preserve"> </v>
      </c>
      <c r="Q171" s="95" t="str">
        <f>'ALL Other SINs - Proposal'!AC171</f>
        <v xml:space="preserve"> </v>
      </c>
      <c r="R171" s="100" t="str">
        <f>IF(ISBLANK('ALL Other SINs - Proposal'!AA171)," ",ROUND(Q171,2))</f>
        <v xml:space="preserve"> </v>
      </c>
      <c r="S171" s="54"/>
    </row>
    <row r="172" spans="1:19" ht="20.100000000000001" customHeight="1" x14ac:dyDescent="0.2">
      <c r="A172" s="127">
        <f>'ALL Other SINs - Proposal'!A172</f>
        <v>0</v>
      </c>
      <c r="B172" s="121">
        <f>'ALL Other SINs - Proposal'!B172</f>
        <v>0</v>
      </c>
      <c r="C172" s="121">
        <f>'ALL Other SINs - Proposal'!C172</f>
        <v>0</v>
      </c>
      <c r="D172" s="121">
        <f>'ALL Other SINs - Proposal'!D172</f>
        <v>0</v>
      </c>
      <c r="E172" s="121">
        <f>'ALL Other SINs - Proposal'!E172</f>
        <v>0</v>
      </c>
      <c r="F172" s="171">
        <f>'ALL Other SINs - Proposal'!F172</f>
        <v>0</v>
      </c>
      <c r="G172" s="51">
        <f>'ALL Other SINs - Proposal'!G172</f>
        <v>0</v>
      </c>
      <c r="H172" s="125">
        <f>'ALL Other SINs - Proposal'!H172</f>
        <v>0</v>
      </c>
      <c r="I172" s="125">
        <f>'ALL Other SINs - Proposal'!I172</f>
        <v>0</v>
      </c>
      <c r="J172" s="125">
        <f>'ALL Other SINs - Proposal'!J172</f>
        <v>0</v>
      </c>
      <c r="K172" s="125">
        <f>'ALL Other SINs - Proposal'!K172</f>
        <v>0</v>
      </c>
      <c r="L172" s="125">
        <f>'ALL Other SINs - Proposal'!L172</f>
        <v>0</v>
      </c>
      <c r="M172" s="206">
        <f>'ALL Other SINs - Proposal'!M172</f>
        <v>0</v>
      </c>
      <c r="N172" s="251">
        <f>'ALL Other SINs - Proposal'!V172</f>
        <v>0</v>
      </c>
      <c r="O172" s="201" t="str">
        <f>'Price Analysis'!N172</f>
        <v xml:space="preserve"> </v>
      </c>
      <c r="P172" s="53" t="str">
        <f>IF(ISBLANK('ALL Other SINs - Proposal'!AA172)," ",'ALL Other SINs - Proposal'!AA172)</f>
        <v xml:space="preserve"> </v>
      </c>
      <c r="Q172" s="95" t="str">
        <f>'ALL Other SINs - Proposal'!AC172</f>
        <v xml:space="preserve"> </v>
      </c>
      <c r="R172" s="100" t="str">
        <f>IF(ISBLANK('ALL Other SINs - Proposal'!AA172)," ",ROUND(Q172,2))</f>
        <v xml:space="preserve"> </v>
      </c>
      <c r="S172" s="54"/>
    </row>
    <row r="173" spans="1:19" ht="20.100000000000001" customHeight="1" x14ac:dyDescent="0.2">
      <c r="A173" s="127">
        <f>'ALL Other SINs - Proposal'!A173</f>
        <v>0</v>
      </c>
      <c r="B173" s="121">
        <f>'ALL Other SINs - Proposal'!B173</f>
        <v>0</v>
      </c>
      <c r="C173" s="121">
        <f>'ALL Other SINs - Proposal'!C173</f>
        <v>0</v>
      </c>
      <c r="D173" s="121">
        <f>'ALL Other SINs - Proposal'!D173</f>
        <v>0</v>
      </c>
      <c r="E173" s="121">
        <f>'ALL Other SINs - Proposal'!E173</f>
        <v>0</v>
      </c>
      <c r="F173" s="171">
        <f>'ALL Other SINs - Proposal'!F173</f>
        <v>0</v>
      </c>
      <c r="G173" s="51">
        <f>'ALL Other SINs - Proposal'!G173</f>
        <v>0</v>
      </c>
      <c r="H173" s="125">
        <f>'ALL Other SINs - Proposal'!H173</f>
        <v>0</v>
      </c>
      <c r="I173" s="125">
        <f>'ALL Other SINs - Proposal'!I173</f>
        <v>0</v>
      </c>
      <c r="J173" s="125">
        <f>'ALL Other SINs - Proposal'!J173</f>
        <v>0</v>
      </c>
      <c r="K173" s="125">
        <f>'ALL Other SINs - Proposal'!K173</f>
        <v>0</v>
      </c>
      <c r="L173" s="125">
        <f>'ALL Other SINs - Proposal'!L173</f>
        <v>0</v>
      </c>
      <c r="M173" s="206">
        <f>'ALL Other SINs - Proposal'!M173</f>
        <v>0</v>
      </c>
      <c r="N173" s="251">
        <f>'ALL Other SINs - Proposal'!V173</f>
        <v>0</v>
      </c>
      <c r="O173" s="201" t="str">
        <f>'Price Analysis'!N173</f>
        <v xml:space="preserve"> </v>
      </c>
      <c r="P173" s="53" t="str">
        <f>IF(ISBLANK('ALL Other SINs - Proposal'!AA173)," ",'ALL Other SINs - Proposal'!AA173)</f>
        <v xml:space="preserve"> </v>
      </c>
      <c r="Q173" s="95" t="str">
        <f>'ALL Other SINs - Proposal'!AC173</f>
        <v xml:space="preserve"> </v>
      </c>
      <c r="R173" s="100" t="str">
        <f>IF(ISBLANK('ALL Other SINs - Proposal'!AA173)," ",ROUND(Q173,2))</f>
        <v xml:space="preserve"> </v>
      </c>
      <c r="S173" s="54"/>
    </row>
    <row r="174" spans="1:19" ht="20.100000000000001" customHeight="1" x14ac:dyDescent="0.2">
      <c r="A174" s="127">
        <f>'ALL Other SINs - Proposal'!A174</f>
        <v>0</v>
      </c>
      <c r="B174" s="121">
        <f>'ALL Other SINs - Proposal'!B174</f>
        <v>0</v>
      </c>
      <c r="C174" s="121">
        <f>'ALL Other SINs - Proposal'!C174</f>
        <v>0</v>
      </c>
      <c r="D174" s="121">
        <f>'ALL Other SINs - Proposal'!D174</f>
        <v>0</v>
      </c>
      <c r="E174" s="121">
        <f>'ALL Other SINs - Proposal'!E174</f>
        <v>0</v>
      </c>
      <c r="F174" s="171">
        <f>'ALL Other SINs - Proposal'!F174</f>
        <v>0</v>
      </c>
      <c r="G174" s="51">
        <f>'ALL Other SINs - Proposal'!G174</f>
        <v>0</v>
      </c>
      <c r="H174" s="125">
        <f>'ALL Other SINs - Proposal'!H174</f>
        <v>0</v>
      </c>
      <c r="I174" s="125">
        <f>'ALL Other SINs - Proposal'!I174</f>
        <v>0</v>
      </c>
      <c r="J174" s="125">
        <f>'ALL Other SINs - Proposal'!J174</f>
        <v>0</v>
      </c>
      <c r="K174" s="125">
        <f>'ALL Other SINs - Proposal'!K174</f>
        <v>0</v>
      </c>
      <c r="L174" s="125">
        <f>'ALL Other SINs - Proposal'!L174</f>
        <v>0</v>
      </c>
      <c r="M174" s="206">
        <f>'ALL Other SINs - Proposal'!M174</f>
        <v>0</v>
      </c>
      <c r="N174" s="251">
        <f>'ALL Other SINs - Proposal'!V174</f>
        <v>0</v>
      </c>
      <c r="O174" s="201" t="str">
        <f>'Price Analysis'!N174</f>
        <v xml:space="preserve"> </v>
      </c>
      <c r="P174" s="53" t="str">
        <f>IF(ISBLANK('ALL Other SINs - Proposal'!AA174)," ",'ALL Other SINs - Proposal'!AA174)</f>
        <v xml:space="preserve"> </v>
      </c>
      <c r="Q174" s="95" t="str">
        <f>'ALL Other SINs - Proposal'!AC174</f>
        <v xml:space="preserve"> </v>
      </c>
      <c r="R174" s="100" t="str">
        <f>IF(ISBLANK('ALL Other SINs - Proposal'!AA174)," ",ROUND(Q174,2))</f>
        <v xml:space="preserve"> </v>
      </c>
      <c r="S174" s="54"/>
    </row>
    <row r="175" spans="1:19" ht="20.100000000000001" customHeight="1" x14ac:dyDescent="0.2">
      <c r="A175" s="127">
        <f>'ALL Other SINs - Proposal'!A175</f>
        <v>0</v>
      </c>
      <c r="B175" s="121">
        <f>'ALL Other SINs - Proposal'!B175</f>
        <v>0</v>
      </c>
      <c r="C175" s="121">
        <f>'ALL Other SINs - Proposal'!C175</f>
        <v>0</v>
      </c>
      <c r="D175" s="121">
        <f>'ALL Other SINs - Proposal'!D175</f>
        <v>0</v>
      </c>
      <c r="E175" s="121">
        <f>'ALL Other SINs - Proposal'!E175</f>
        <v>0</v>
      </c>
      <c r="F175" s="171">
        <f>'ALL Other SINs - Proposal'!F175</f>
        <v>0</v>
      </c>
      <c r="G175" s="51">
        <f>'ALL Other SINs - Proposal'!G175</f>
        <v>0</v>
      </c>
      <c r="H175" s="125">
        <f>'ALL Other SINs - Proposal'!H175</f>
        <v>0</v>
      </c>
      <c r="I175" s="125">
        <f>'ALL Other SINs - Proposal'!I175</f>
        <v>0</v>
      </c>
      <c r="J175" s="125">
        <f>'ALL Other SINs - Proposal'!J175</f>
        <v>0</v>
      </c>
      <c r="K175" s="125">
        <f>'ALL Other SINs - Proposal'!K175</f>
        <v>0</v>
      </c>
      <c r="L175" s="125">
        <f>'ALL Other SINs - Proposal'!L175</f>
        <v>0</v>
      </c>
      <c r="M175" s="206">
        <f>'ALL Other SINs - Proposal'!M175</f>
        <v>0</v>
      </c>
      <c r="N175" s="251">
        <f>'ALL Other SINs - Proposal'!V175</f>
        <v>0</v>
      </c>
      <c r="O175" s="201" t="str">
        <f>'Price Analysis'!N175</f>
        <v xml:space="preserve"> </v>
      </c>
      <c r="P175" s="53" t="str">
        <f>IF(ISBLANK('ALL Other SINs - Proposal'!AA175)," ",'ALL Other SINs - Proposal'!AA175)</f>
        <v xml:space="preserve"> </v>
      </c>
      <c r="Q175" s="95" t="str">
        <f>'ALL Other SINs - Proposal'!AC175</f>
        <v xml:space="preserve"> </v>
      </c>
      <c r="R175" s="100" t="str">
        <f>IF(ISBLANK('ALL Other SINs - Proposal'!AA175)," ",ROUND(Q175,2))</f>
        <v xml:space="preserve"> </v>
      </c>
      <c r="S175" s="54"/>
    </row>
    <row r="176" spans="1:19" ht="20.100000000000001" customHeight="1" x14ac:dyDescent="0.2">
      <c r="A176" s="127">
        <f>'ALL Other SINs - Proposal'!A176</f>
        <v>0</v>
      </c>
      <c r="B176" s="121">
        <f>'ALL Other SINs - Proposal'!B176</f>
        <v>0</v>
      </c>
      <c r="C176" s="121">
        <f>'ALL Other SINs - Proposal'!C176</f>
        <v>0</v>
      </c>
      <c r="D176" s="121">
        <f>'ALL Other SINs - Proposal'!D176</f>
        <v>0</v>
      </c>
      <c r="E176" s="121">
        <f>'ALL Other SINs - Proposal'!E176</f>
        <v>0</v>
      </c>
      <c r="F176" s="171">
        <f>'ALL Other SINs - Proposal'!F176</f>
        <v>0</v>
      </c>
      <c r="G176" s="51">
        <f>'ALL Other SINs - Proposal'!G176</f>
        <v>0</v>
      </c>
      <c r="H176" s="125">
        <f>'ALL Other SINs - Proposal'!H176</f>
        <v>0</v>
      </c>
      <c r="I176" s="125">
        <f>'ALL Other SINs - Proposal'!I176</f>
        <v>0</v>
      </c>
      <c r="J176" s="125">
        <f>'ALL Other SINs - Proposal'!J176</f>
        <v>0</v>
      </c>
      <c r="K176" s="125">
        <f>'ALL Other SINs - Proposal'!K176</f>
        <v>0</v>
      </c>
      <c r="L176" s="125">
        <f>'ALL Other SINs - Proposal'!L176</f>
        <v>0</v>
      </c>
      <c r="M176" s="206">
        <f>'ALL Other SINs - Proposal'!M176</f>
        <v>0</v>
      </c>
      <c r="N176" s="251">
        <f>'ALL Other SINs - Proposal'!V176</f>
        <v>0</v>
      </c>
      <c r="O176" s="201" t="str">
        <f>'Price Analysis'!N176</f>
        <v xml:space="preserve"> </v>
      </c>
      <c r="P176" s="53" t="str">
        <f>IF(ISBLANK('ALL Other SINs - Proposal'!AA176)," ",'ALL Other SINs - Proposal'!AA176)</f>
        <v xml:space="preserve"> </v>
      </c>
      <c r="Q176" s="95" t="str">
        <f>'ALL Other SINs - Proposal'!AC176</f>
        <v xml:space="preserve"> </v>
      </c>
      <c r="R176" s="100" t="str">
        <f>IF(ISBLANK('ALL Other SINs - Proposal'!AA176)," ",ROUND(Q176,2))</f>
        <v xml:space="preserve"> </v>
      </c>
      <c r="S176" s="54"/>
    </row>
    <row r="177" spans="1:19" ht="20.100000000000001" customHeight="1" x14ac:dyDescent="0.2">
      <c r="A177" s="127">
        <f>'ALL Other SINs - Proposal'!A177</f>
        <v>0</v>
      </c>
      <c r="B177" s="121">
        <f>'ALL Other SINs - Proposal'!B177</f>
        <v>0</v>
      </c>
      <c r="C177" s="121">
        <f>'ALL Other SINs - Proposal'!C177</f>
        <v>0</v>
      </c>
      <c r="D177" s="121">
        <f>'ALL Other SINs - Proposal'!D177</f>
        <v>0</v>
      </c>
      <c r="E177" s="121">
        <f>'ALL Other SINs - Proposal'!E177</f>
        <v>0</v>
      </c>
      <c r="F177" s="171">
        <f>'ALL Other SINs - Proposal'!F177</f>
        <v>0</v>
      </c>
      <c r="G177" s="51">
        <f>'ALL Other SINs - Proposal'!G177</f>
        <v>0</v>
      </c>
      <c r="H177" s="125">
        <f>'ALL Other SINs - Proposal'!H177</f>
        <v>0</v>
      </c>
      <c r="I177" s="125">
        <f>'ALL Other SINs - Proposal'!I177</f>
        <v>0</v>
      </c>
      <c r="J177" s="125">
        <f>'ALL Other SINs - Proposal'!J177</f>
        <v>0</v>
      </c>
      <c r="K177" s="125">
        <f>'ALL Other SINs - Proposal'!K177</f>
        <v>0</v>
      </c>
      <c r="L177" s="125">
        <f>'ALL Other SINs - Proposal'!L177</f>
        <v>0</v>
      </c>
      <c r="M177" s="206">
        <f>'ALL Other SINs - Proposal'!M177</f>
        <v>0</v>
      </c>
      <c r="N177" s="251">
        <f>'ALL Other SINs - Proposal'!V177</f>
        <v>0</v>
      </c>
      <c r="O177" s="201" t="str">
        <f>'Price Analysis'!N177</f>
        <v xml:space="preserve"> </v>
      </c>
      <c r="P177" s="53" t="str">
        <f>IF(ISBLANK('ALL Other SINs - Proposal'!AA177)," ",'ALL Other SINs - Proposal'!AA177)</f>
        <v xml:space="preserve"> </v>
      </c>
      <c r="Q177" s="95" t="str">
        <f>'ALL Other SINs - Proposal'!AC177</f>
        <v xml:space="preserve"> </v>
      </c>
      <c r="R177" s="100" t="str">
        <f>IF(ISBLANK('ALL Other SINs - Proposal'!AA177)," ",ROUND(Q177,2))</f>
        <v xml:space="preserve"> </v>
      </c>
      <c r="S177" s="54"/>
    </row>
    <row r="178" spans="1:19" ht="20.100000000000001" customHeight="1" x14ac:dyDescent="0.2">
      <c r="A178" s="127">
        <f>'ALL Other SINs - Proposal'!A178</f>
        <v>0</v>
      </c>
      <c r="B178" s="121">
        <f>'ALL Other SINs - Proposal'!B178</f>
        <v>0</v>
      </c>
      <c r="C178" s="121">
        <f>'ALL Other SINs - Proposal'!C178</f>
        <v>0</v>
      </c>
      <c r="D178" s="121">
        <f>'ALL Other SINs - Proposal'!D178</f>
        <v>0</v>
      </c>
      <c r="E178" s="121">
        <f>'ALL Other SINs - Proposal'!E178</f>
        <v>0</v>
      </c>
      <c r="F178" s="171">
        <f>'ALL Other SINs - Proposal'!F178</f>
        <v>0</v>
      </c>
      <c r="G178" s="51">
        <f>'ALL Other SINs - Proposal'!G178</f>
        <v>0</v>
      </c>
      <c r="H178" s="125">
        <f>'ALL Other SINs - Proposal'!H178</f>
        <v>0</v>
      </c>
      <c r="I178" s="125">
        <f>'ALL Other SINs - Proposal'!I178</f>
        <v>0</v>
      </c>
      <c r="J178" s="125">
        <f>'ALL Other SINs - Proposal'!J178</f>
        <v>0</v>
      </c>
      <c r="K178" s="125">
        <f>'ALL Other SINs - Proposal'!K178</f>
        <v>0</v>
      </c>
      <c r="L178" s="125">
        <f>'ALL Other SINs - Proposal'!L178</f>
        <v>0</v>
      </c>
      <c r="M178" s="206">
        <f>'ALL Other SINs - Proposal'!M178</f>
        <v>0</v>
      </c>
      <c r="N178" s="251">
        <f>'ALL Other SINs - Proposal'!V178</f>
        <v>0</v>
      </c>
      <c r="O178" s="201" t="str">
        <f>'Price Analysis'!N178</f>
        <v xml:space="preserve"> </v>
      </c>
      <c r="P178" s="53" t="str">
        <f>IF(ISBLANK('ALL Other SINs - Proposal'!AA178)," ",'ALL Other SINs - Proposal'!AA178)</f>
        <v xml:space="preserve"> </v>
      </c>
      <c r="Q178" s="95" t="str">
        <f>'ALL Other SINs - Proposal'!AC178</f>
        <v xml:space="preserve"> </v>
      </c>
      <c r="R178" s="100" t="str">
        <f>IF(ISBLANK('ALL Other SINs - Proposal'!AA178)," ",ROUND(Q178,2))</f>
        <v xml:space="preserve"> </v>
      </c>
      <c r="S178" s="54"/>
    </row>
    <row r="179" spans="1:19" ht="20.100000000000001" customHeight="1" x14ac:dyDescent="0.2">
      <c r="A179" s="127">
        <f>'ALL Other SINs - Proposal'!A179</f>
        <v>0</v>
      </c>
      <c r="B179" s="121">
        <f>'ALL Other SINs - Proposal'!B179</f>
        <v>0</v>
      </c>
      <c r="C179" s="121">
        <f>'ALL Other SINs - Proposal'!C179</f>
        <v>0</v>
      </c>
      <c r="D179" s="121">
        <f>'ALL Other SINs - Proposal'!D179</f>
        <v>0</v>
      </c>
      <c r="E179" s="121">
        <f>'ALL Other SINs - Proposal'!E179</f>
        <v>0</v>
      </c>
      <c r="F179" s="171">
        <f>'ALL Other SINs - Proposal'!F179</f>
        <v>0</v>
      </c>
      <c r="G179" s="51">
        <f>'ALL Other SINs - Proposal'!G179</f>
        <v>0</v>
      </c>
      <c r="H179" s="125">
        <f>'ALL Other SINs - Proposal'!H179</f>
        <v>0</v>
      </c>
      <c r="I179" s="125">
        <f>'ALL Other SINs - Proposal'!I179</f>
        <v>0</v>
      </c>
      <c r="J179" s="125">
        <f>'ALL Other SINs - Proposal'!J179</f>
        <v>0</v>
      </c>
      <c r="K179" s="125">
        <f>'ALL Other SINs - Proposal'!K179</f>
        <v>0</v>
      </c>
      <c r="L179" s="125">
        <f>'ALL Other SINs - Proposal'!L179</f>
        <v>0</v>
      </c>
      <c r="M179" s="206">
        <f>'ALL Other SINs - Proposal'!M179</f>
        <v>0</v>
      </c>
      <c r="N179" s="251">
        <f>'ALL Other SINs - Proposal'!V179</f>
        <v>0</v>
      </c>
      <c r="O179" s="201" t="str">
        <f>'Price Analysis'!N179</f>
        <v xml:space="preserve"> </v>
      </c>
      <c r="P179" s="53" t="str">
        <f>IF(ISBLANK('ALL Other SINs - Proposal'!AA179)," ",'ALL Other SINs - Proposal'!AA179)</f>
        <v xml:space="preserve"> </v>
      </c>
      <c r="Q179" s="95" t="str">
        <f>'ALL Other SINs - Proposal'!AC179</f>
        <v xml:space="preserve"> </v>
      </c>
      <c r="R179" s="100" t="str">
        <f>IF(ISBLANK('ALL Other SINs - Proposal'!AA179)," ",ROUND(Q179,2))</f>
        <v xml:space="preserve"> </v>
      </c>
      <c r="S179" s="54"/>
    </row>
    <row r="180" spans="1:19" ht="20.100000000000001" customHeight="1" x14ac:dyDescent="0.2">
      <c r="A180" s="127">
        <f>'ALL Other SINs - Proposal'!A180</f>
        <v>0</v>
      </c>
      <c r="B180" s="121">
        <f>'ALL Other SINs - Proposal'!B180</f>
        <v>0</v>
      </c>
      <c r="C180" s="121">
        <f>'ALL Other SINs - Proposal'!C180</f>
        <v>0</v>
      </c>
      <c r="D180" s="121">
        <f>'ALL Other SINs - Proposal'!D180</f>
        <v>0</v>
      </c>
      <c r="E180" s="121">
        <f>'ALL Other SINs - Proposal'!E180</f>
        <v>0</v>
      </c>
      <c r="F180" s="171">
        <f>'ALL Other SINs - Proposal'!F180</f>
        <v>0</v>
      </c>
      <c r="G180" s="51">
        <f>'ALL Other SINs - Proposal'!G180</f>
        <v>0</v>
      </c>
      <c r="H180" s="125">
        <f>'ALL Other SINs - Proposal'!H180</f>
        <v>0</v>
      </c>
      <c r="I180" s="125">
        <f>'ALL Other SINs - Proposal'!I180</f>
        <v>0</v>
      </c>
      <c r="J180" s="125">
        <f>'ALL Other SINs - Proposal'!J180</f>
        <v>0</v>
      </c>
      <c r="K180" s="125">
        <f>'ALL Other SINs - Proposal'!K180</f>
        <v>0</v>
      </c>
      <c r="L180" s="125">
        <f>'ALL Other SINs - Proposal'!L180</f>
        <v>0</v>
      </c>
      <c r="M180" s="206">
        <f>'ALL Other SINs - Proposal'!M180</f>
        <v>0</v>
      </c>
      <c r="N180" s="251">
        <f>'ALL Other SINs - Proposal'!V180</f>
        <v>0</v>
      </c>
      <c r="O180" s="201" t="str">
        <f>'Price Analysis'!N180</f>
        <v xml:space="preserve"> </v>
      </c>
      <c r="P180" s="53" t="str">
        <f>IF(ISBLANK('ALL Other SINs - Proposal'!AA180)," ",'ALL Other SINs - Proposal'!AA180)</f>
        <v xml:space="preserve"> </v>
      </c>
      <c r="Q180" s="95" t="str">
        <f>'ALL Other SINs - Proposal'!AC180</f>
        <v xml:space="preserve"> </v>
      </c>
      <c r="R180" s="100" t="str">
        <f>IF(ISBLANK('ALL Other SINs - Proposal'!AA180)," ",ROUND(Q180,2))</f>
        <v xml:space="preserve"> </v>
      </c>
      <c r="S180" s="54"/>
    </row>
    <row r="181" spans="1:19" ht="20.100000000000001" customHeight="1" x14ac:dyDescent="0.2">
      <c r="A181" s="127">
        <f>'ALL Other SINs - Proposal'!A181</f>
        <v>0</v>
      </c>
      <c r="B181" s="121">
        <f>'ALL Other SINs - Proposal'!B181</f>
        <v>0</v>
      </c>
      <c r="C181" s="121">
        <f>'ALL Other SINs - Proposal'!C181</f>
        <v>0</v>
      </c>
      <c r="D181" s="121">
        <f>'ALL Other SINs - Proposal'!D181</f>
        <v>0</v>
      </c>
      <c r="E181" s="121">
        <f>'ALL Other SINs - Proposal'!E181</f>
        <v>0</v>
      </c>
      <c r="F181" s="171">
        <f>'ALL Other SINs - Proposal'!F181</f>
        <v>0</v>
      </c>
      <c r="G181" s="51">
        <f>'ALL Other SINs - Proposal'!G181</f>
        <v>0</v>
      </c>
      <c r="H181" s="125">
        <f>'ALL Other SINs - Proposal'!H181</f>
        <v>0</v>
      </c>
      <c r="I181" s="125">
        <f>'ALL Other SINs - Proposal'!I181</f>
        <v>0</v>
      </c>
      <c r="J181" s="125">
        <f>'ALL Other SINs - Proposal'!J181</f>
        <v>0</v>
      </c>
      <c r="K181" s="125">
        <f>'ALL Other SINs - Proposal'!K181</f>
        <v>0</v>
      </c>
      <c r="L181" s="125">
        <f>'ALL Other SINs - Proposal'!L181</f>
        <v>0</v>
      </c>
      <c r="M181" s="206">
        <f>'ALL Other SINs - Proposal'!M181</f>
        <v>0</v>
      </c>
      <c r="N181" s="251">
        <f>'ALL Other SINs - Proposal'!V181</f>
        <v>0</v>
      </c>
      <c r="O181" s="201" t="str">
        <f>'Price Analysis'!N181</f>
        <v xml:space="preserve"> </v>
      </c>
      <c r="P181" s="53" t="str">
        <f>IF(ISBLANK('ALL Other SINs - Proposal'!AA181)," ",'ALL Other SINs - Proposal'!AA181)</f>
        <v xml:space="preserve"> </v>
      </c>
      <c r="Q181" s="95" t="str">
        <f>'ALL Other SINs - Proposal'!AC181</f>
        <v xml:space="preserve"> </v>
      </c>
      <c r="R181" s="100" t="str">
        <f>IF(ISBLANK('ALL Other SINs - Proposal'!AA181)," ",ROUND(Q181,2))</f>
        <v xml:space="preserve"> </v>
      </c>
      <c r="S181" s="54"/>
    </row>
    <row r="182" spans="1:19" ht="20.100000000000001" customHeight="1" x14ac:dyDescent="0.2">
      <c r="A182" s="127">
        <f>'ALL Other SINs - Proposal'!A182</f>
        <v>0</v>
      </c>
      <c r="B182" s="121">
        <f>'ALL Other SINs - Proposal'!B182</f>
        <v>0</v>
      </c>
      <c r="C182" s="121">
        <f>'ALL Other SINs - Proposal'!C182</f>
        <v>0</v>
      </c>
      <c r="D182" s="121">
        <f>'ALL Other SINs - Proposal'!D182</f>
        <v>0</v>
      </c>
      <c r="E182" s="121">
        <f>'ALL Other SINs - Proposal'!E182</f>
        <v>0</v>
      </c>
      <c r="F182" s="171">
        <f>'ALL Other SINs - Proposal'!F182</f>
        <v>0</v>
      </c>
      <c r="G182" s="51">
        <f>'ALL Other SINs - Proposal'!G182</f>
        <v>0</v>
      </c>
      <c r="H182" s="125">
        <f>'ALL Other SINs - Proposal'!H182</f>
        <v>0</v>
      </c>
      <c r="I182" s="125">
        <f>'ALL Other SINs - Proposal'!I182</f>
        <v>0</v>
      </c>
      <c r="J182" s="125">
        <f>'ALL Other SINs - Proposal'!J182</f>
        <v>0</v>
      </c>
      <c r="K182" s="125">
        <f>'ALL Other SINs - Proposal'!K182</f>
        <v>0</v>
      </c>
      <c r="L182" s="125">
        <f>'ALL Other SINs - Proposal'!L182</f>
        <v>0</v>
      </c>
      <c r="M182" s="206">
        <f>'ALL Other SINs - Proposal'!M182</f>
        <v>0</v>
      </c>
      <c r="N182" s="251">
        <f>'ALL Other SINs - Proposal'!V182</f>
        <v>0</v>
      </c>
      <c r="O182" s="201" t="str">
        <f>'Price Analysis'!N182</f>
        <v xml:space="preserve"> </v>
      </c>
      <c r="P182" s="53" t="str">
        <f>IF(ISBLANK('ALL Other SINs - Proposal'!AA182)," ",'ALL Other SINs - Proposal'!AA182)</f>
        <v xml:space="preserve"> </v>
      </c>
      <c r="Q182" s="95" t="str">
        <f>'ALL Other SINs - Proposal'!AC182</f>
        <v xml:space="preserve"> </v>
      </c>
      <c r="R182" s="100" t="str">
        <f>IF(ISBLANK('ALL Other SINs - Proposal'!AA182)," ",ROUND(Q182,2))</f>
        <v xml:space="preserve"> </v>
      </c>
      <c r="S182" s="54"/>
    </row>
    <row r="183" spans="1:19" ht="20.100000000000001" customHeight="1" x14ac:dyDescent="0.2">
      <c r="A183" s="127">
        <f>'ALL Other SINs - Proposal'!A183</f>
        <v>0</v>
      </c>
      <c r="B183" s="121">
        <f>'ALL Other SINs - Proposal'!B183</f>
        <v>0</v>
      </c>
      <c r="C183" s="121">
        <f>'ALL Other SINs - Proposal'!C183</f>
        <v>0</v>
      </c>
      <c r="D183" s="121">
        <f>'ALL Other SINs - Proposal'!D183</f>
        <v>0</v>
      </c>
      <c r="E183" s="121">
        <f>'ALL Other SINs - Proposal'!E183</f>
        <v>0</v>
      </c>
      <c r="F183" s="171">
        <f>'ALL Other SINs - Proposal'!F183</f>
        <v>0</v>
      </c>
      <c r="G183" s="51">
        <f>'ALL Other SINs - Proposal'!G183</f>
        <v>0</v>
      </c>
      <c r="H183" s="125">
        <f>'ALL Other SINs - Proposal'!H183</f>
        <v>0</v>
      </c>
      <c r="I183" s="125">
        <f>'ALL Other SINs - Proposal'!I183</f>
        <v>0</v>
      </c>
      <c r="J183" s="125">
        <f>'ALL Other SINs - Proposal'!J183</f>
        <v>0</v>
      </c>
      <c r="K183" s="125">
        <f>'ALL Other SINs - Proposal'!K183</f>
        <v>0</v>
      </c>
      <c r="L183" s="125">
        <f>'ALL Other SINs - Proposal'!L183</f>
        <v>0</v>
      </c>
      <c r="M183" s="206">
        <f>'ALL Other SINs - Proposal'!M183</f>
        <v>0</v>
      </c>
      <c r="N183" s="251">
        <f>'ALL Other SINs - Proposal'!V183</f>
        <v>0</v>
      </c>
      <c r="O183" s="201" t="str">
        <f>'Price Analysis'!N183</f>
        <v xml:space="preserve"> </v>
      </c>
      <c r="P183" s="53" t="str">
        <f>IF(ISBLANK('ALL Other SINs - Proposal'!AA183)," ",'ALL Other SINs - Proposal'!AA183)</f>
        <v xml:space="preserve"> </v>
      </c>
      <c r="Q183" s="95" t="str">
        <f>'ALL Other SINs - Proposal'!AC183</f>
        <v xml:space="preserve"> </v>
      </c>
      <c r="R183" s="100" t="str">
        <f>IF(ISBLANK('ALL Other SINs - Proposal'!AA183)," ",ROUND(Q183,2))</f>
        <v xml:space="preserve"> </v>
      </c>
      <c r="S183" s="54"/>
    </row>
    <row r="184" spans="1:19" ht="20.100000000000001" customHeight="1" x14ac:dyDescent="0.2">
      <c r="A184" s="127">
        <f>'ALL Other SINs - Proposal'!A184</f>
        <v>0</v>
      </c>
      <c r="B184" s="121">
        <f>'ALL Other SINs - Proposal'!B184</f>
        <v>0</v>
      </c>
      <c r="C184" s="121">
        <f>'ALL Other SINs - Proposal'!C184</f>
        <v>0</v>
      </c>
      <c r="D184" s="121">
        <f>'ALL Other SINs - Proposal'!D184</f>
        <v>0</v>
      </c>
      <c r="E184" s="121">
        <f>'ALL Other SINs - Proposal'!E184</f>
        <v>0</v>
      </c>
      <c r="F184" s="171">
        <f>'ALL Other SINs - Proposal'!F184</f>
        <v>0</v>
      </c>
      <c r="G184" s="51">
        <f>'ALL Other SINs - Proposal'!G184</f>
        <v>0</v>
      </c>
      <c r="H184" s="125">
        <f>'ALL Other SINs - Proposal'!H184</f>
        <v>0</v>
      </c>
      <c r="I184" s="125">
        <f>'ALL Other SINs - Proposal'!I184</f>
        <v>0</v>
      </c>
      <c r="J184" s="125">
        <f>'ALL Other SINs - Proposal'!J184</f>
        <v>0</v>
      </c>
      <c r="K184" s="125">
        <f>'ALL Other SINs - Proposal'!K184</f>
        <v>0</v>
      </c>
      <c r="L184" s="125">
        <f>'ALL Other SINs - Proposal'!L184</f>
        <v>0</v>
      </c>
      <c r="M184" s="206">
        <f>'ALL Other SINs - Proposal'!M184</f>
        <v>0</v>
      </c>
      <c r="N184" s="251">
        <f>'ALL Other SINs - Proposal'!V184</f>
        <v>0</v>
      </c>
      <c r="O184" s="201" t="str">
        <f>'Price Analysis'!N184</f>
        <v xml:space="preserve"> </v>
      </c>
      <c r="P184" s="53" t="str">
        <f>IF(ISBLANK('ALL Other SINs - Proposal'!AA184)," ",'ALL Other SINs - Proposal'!AA184)</f>
        <v xml:space="preserve"> </v>
      </c>
      <c r="Q184" s="95" t="str">
        <f>'ALL Other SINs - Proposal'!AC184</f>
        <v xml:space="preserve"> </v>
      </c>
      <c r="R184" s="100" t="str">
        <f>IF(ISBLANK('ALL Other SINs - Proposal'!AA184)," ",ROUND(Q184,2))</f>
        <v xml:space="preserve"> </v>
      </c>
      <c r="S184" s="54"/>
    </row>
    <row r="185" spans="1:19" ht="20.100000000000001" customHeight="1" x14ac:dyDescent="0.2">
      <c r="A185" s="127">
        <f>'ALL Other SINs - Proposal'!A185</f>
        <v>0</v>
      </c>
      <c r="B185" s="121">
        <f>'ALL Other SINs - Proposal'!B185</f>
        <v>0</v>
      </c>
      <c r="C185" s="121">
        <f>'ALL Other SINs - Proposal'!C185</f>
        <v>0</v>
      </c>
      <c r="D185" s="121">
        <f>'ALL Other SINs - Proposal'!D185</f>
        <v>0</v>
      </c>
      <c r="E185" s="121">
        <f>'ALL Other SINs - Proposal'!E185</f>
        <v>0</v>
      </c>
      <c r="F185" s="171">
        <f>'ALL Other SINs - Proposal'!F185</f>
        <v>0</v>
      </c>
      <c r="G185" s="51">
        <f>'ALL Other SINs - Proposal'!G185</f>
        <v>0</v>
      </c>
      <c r="H185" s="125">
        <f>'ALL Other SINs - Proposal'!H185</f>
        <v>0</v>
      </c>
      <c r="I185" s="125">
        <f>'ALL Other SINs - Proposal'!I185</f>
        <v>0</v>
      </c>
      <c r="J185" s="125">
        <f>'ALL Other SINs - Proposal'!J185</f>
        <v>0</v>
      </c>
      <c r="K185" s="125">
        <f>'ALL Other SINs - Proposal'!K185</f>
        <v>0</v>
      </c>
      <c r="L185" s="125">
        <f>'ALL Other SINs - Proposal'!L185</f>
        <v>0</v>
      </c>
      <c r="M185" s="206">
        <f>'ALL Other SINs - Proposal'!M185</f>
        <v>0</v>
      </c>
      <c r="N185" s="251">
        <f>'ALL Other SINs - Proposal'!V185</f>
        <v>0</v>
      </c>
      <c r="O185" s="201" t="str">
        <f>'Price Analysis'!N185</f>
        <v xml:space="preserve"> </v>
      </c>
      <c r="P185" s="53" t="str">
        <f>IF(ISBLANK('ALL Other SINs - Proposal'!AA185)," ",'ALL Other SINs - Proposal'!AA185)</f>
        <v xml:space="preserve"> </v>
      </c>
      <c r="Q185" s="95" t="str">
        <f>'ALL Other SINs - Proposal'!AC185</f>
        <v xml:space="preserve"> </v>
      </c>
      <c r="R185" s="100" t="str">
        <f>IF(ISBLANK('ALL Other SINs - Proposal'!AA185)," ",ROUND(Q185,2))</f>
        <v xml:space="preserve"> </v>
      </c>
      <c r="S185" s="54"/>
    </row>
    <row r="186" spans="1:19" ht="20.100000000000001" customHeight="1" x14ac:dyDescent="0.2">
      <c r="A186" s="127">
        <f>'ALL Other SINs - Proposal'!A186</f>
        <v>0</v>
      </c>
      <c r="B186" s="121">
        <f>'ALL Other SINs - Proposal'!B186</f>
        <v>0</v>
      </c>
      <c r="C186" s="121">
        <f>'ALL Other SINs - Proposal'!C186</f>
        <v>0</v>
      </c>
      <c r="D186" s="121">
        <f>'ALL Other SINs - Proposal'!D186</f>
        <v>0</v>
      </c>
      <c r="E186" s="121">
        <f>'ALL Other SINs - Proposal'!E186</f>
        <v>0</v>
      </c>
      <c r="F186" s="171">
        <f>'ALL Other SINs - Proposal'!F186</f>
        <v>0</v>
      </c>
      <c r="G186" s="51">
        <f>'ALL Other SINs - Proposal'!G186</f>
        <v>0</v>
      </c>
      <c r="H186" s="125">
        <f>'ALL Other SINs - Proposal'!H186</f>
        <v>0</v>
      </c>
      <c r="I186" s="125">
        <f>'ALL Other SINs - Proposal'!I186</f>
        <v>0</v>
      </c>
      <c r="J186" s="125">
        <f>'ALL Other SINs - Proposal'!J186</f>
        <v>0</v>
      </c>
      <c r="K186" s="125">
        <f>'ALL Other SINs - Proposal'!K186</f>
        <v>0</v>
      </c>
      <c r="L186" s="125">
        <f>'ALL Other SINs - Proposal'!L186</f>
        <v>0</v>
      </c>
      <c r="M186" s="206">
        <f>'ALL Other SINs - Proposal'!M186</f>
        <v>0</v>
      </c>
      <c r="N186" s="251">
        <f>'ALL Other SINs - Proposal'!V186</f>
        <v>0</v>
      </c>
      <c r="O186" s="201" t="str">
        <f>'Price Analysis'!N186</f>
        <v xml:space="preserve"> </v>
      </c>
      <c r="P186" s="53" t="str">
        <f>IF(ISBLANK('ALL Other SINs - Proposal'!AA186)," ",'ALL Other SINs - Proposal'!AA186)</f>
        <v xml:space="preserve"> </v>
      </c>
      <c r="Q186" s="95" t="str">
        <f>'ALL Other SINs - Proposal'!AC186</f>
        <v xml:space="preserve"> </v>
      </c>
      <c r="R186" s="100" t="str">
        <f>IF(ISBLANK('ALL Other SINs - Proposal'!AA186)," ",ROUND(Q186,2))</f>
        <v xml:space="preserve"> </v>
      </c>
      <c r="S186" s="54"/>
    </row>
    <row r="187" spans="1:19" ht="20.100000000000001" customHeight="1" x14ac:dyDescent="0.2">
      <c r="A187" s="127">
        <f>'ALL Other SINs - Proposal'!A187</f>
        <v>0</v>
      </c>
      <c r="B187" s="121">
        <f>'ALL Other SINs - Proposal'!B187</f>
        <v>0</v>
      </c>
      <c r="C187" s="121">
        <f>'ALL Other SINs - Proposal'!C187</f>
        <v>0</v>
      </c>
      <c r="D187" s="121">
        <f>'ALL Other SINs - Proposal'!D187</f>
        <v>0</v>
      </c>
      <c r="E187" s="121">
        <f>'ALL Other SINs - Proposal'!E187</f>
        <v>0</v>
      </c>
      <c r="F187" s="171">
        <f>'ALL Other SINs - Proposal'!F187</f>
        <v>0</v>
      </c>
      <c r="G187" s="51">
        <f>'ALL Other SINs - Proposal'!G187</f>
        <v>0</v>
      </c>
      <c r="H187" s="125">
        <f>'ALL Other SINs - Proposal'!H187</f>
        <v>0</v>
      </c>
      <c r="I187" s="125">
        <f>'ALL Other SINs - Proposal'!I187</f>
        <v>0</v>
      </c>
      <c r="J187" s="125">
        <f>'ALL Other SINs - Proposal'!J187</f>
        <v>0</v>
      </c>
      <c r="K187" s="125">
        <f>'ALL Other SINs - Proposal'!K187</f>
        <v>0</v>
      </c>
      <c r="L187" s="125">
        <f>'ALL Other SINs - Proposal'!L187</f>
        <v>0</v>
      </c>
      <c r="M187" s="206">
        <f>'ALL Other SINs - Proposal'!M187</f>
        <v>0</v>
      </c>
      <c r="N187" s="251">
        <f>'ALL Other SINs - Proposal'!V187</f>
        <v>0</v>
      </c>
      <c r="O187" s="201" t="str">
        <f>'Price Analysis'!N187</f>
        <v xml:space="preserve"> </v>
      </c>
      <c r="P187" s="53" t="str">
        <f>IF(ISBLANK('ALL Other SINs - Proposal'!AA187)," ",'ALL Other SINs - Proposal'!AA187)</f>
        <v xml:space="preserve"> </v>
      </c>
      <c r="Q187" s="95" t="str">
        <f>'ALL Other SINs - Proposal'!AC187</f>
        <v xml:space="preserve"> </v>
      </c>
      <c r="R187" s="100" t="str">
        <f>IF(ISBLANK('ALL Other SINs - Proposal'!AA187)," ",ROUND(Q187,2))</f>
        <v xml:space="preserve"> </v>
      </c>
      <c r="S187" s="54"/>
    </row>
    <row r="188" spans="1:19" ht="20.100000000000001" customHeight="1" x14ac:dyDescent="0.2">
      <c r="A188" s="127">
        <f>'ALL Other SINs - Proposal'!A188</f>
        <v>0</v>
      </c>
      <c r="B188" s="121">
        <f>'ALL Other SINs - Proposal'!B188</f>
        <v>0</v>
      </c>
      <c r="C188" s="121">
        <f>'ALL Other SINs - Proposal'!C188</f>
        <v>0</v>
      </c>
      <c r="D188" s="121">
        <f>'ALL Other SINs - Proposal'!D188</f>
        <v>0</v>
      </c>
      <c r="E188" s="121">
        <f>'ALL Other SINs - Proposal'!E188</f>
        <v>0</v>
      </c>
      <c r="F188" s="171">
        <f>'ALL Other SINs - Proposal'!F188</f>
        <v>0</v>
      </c>
      <c r="G188" s="51">
        <f>'ALL Other SINs - Proposal'!G188</f>
        <v>0</v>
      </c>
      <c r="H188" s="125">
        <f>'ALL Other SINs - Proposal'!H188</f>
        <v>0</v>
      </c>
      <c r="I188" s="125">
        <f>'ALL Other SINs - Proposal'!I188</f>
        <v>0</v>
      </c>
      <c r="J188" s="125">
        <f>'ALL Other SINs - Proposal'!J188</f>
        <v>0</v>
      </c>
      <c r="K188" s="125">
        <f>'ALL Other SINs - Proposal'!K188</f>
        <v>0</v>
      </c>
      <c r="L188" s="125">
        <f>'ALL Other SINs - Proposal'!L188</f>
        <v>0</v>
      </c>
      <c r="M188" s="206">
        <f>'ALL Other SINs - Proposal'!M188</f>
        <v>0</v>
      </c>
      <c r="N188" s="251">
        <f>'ALL Other SINs - Proposal'!V188</f>
        <v>0</v>
      </c>
      <c r="O188" s="201" t="str">
        <f>'Price Analysis'!N188</f>
        <v xml:space="preserve"> </v>
      </c>
      <c r="P188" s="53" t="str">
        <f>IF(ISBLANK('ALL Other SINs - Proposal'!AA188)," ",'ALL Other SINs - Proposal'!AA188)</f>
        <v xml:space="preserve"> </v>
      </c>
      <c r="Q188" s="95" t="str">
        <f>'ALL Other SINs - Proposal'!AC188</f>
        <v xml:space="preserve"> </v>
      </c>
      <c r="R188" s="100" t="str">
        <f>IF(ISBLANK('ALL Other SINs - Proposal'!AA188)," ",ROUND(Q188,2))</f>
        <v xml:space="preserve"> </v>
      </c>
      <c r="S188" s="54"/>
    </row>
    <row r="189" spans="1:19" ht="20.100000000000001" customHeight="1" x14ac:dyDescent="0.2">
      <c r="A189" s="127">
        <f>'ALL Other SINs - Proposal'!A189</f>
        <v>0</v>
      </c>
      <c r="B189" s="121">
        <f>'ALL Other SINs - Proposal'!B189</f>
        <v>0</v>
      </c>
      <c r="C189" s="121">
        <f>'ALL Other SINs - Proposal'!C189</f>
        <v>0</v>
      </c>
      <c r="D189" s="121">
        <f>'ALL Other SINs - Proposal'!D189</f>
        <v>0</v>
      </c>
      <c r="E189" s="121">
        <f>'ALL Other SINs - Proposal'!E189</f>
        <v>0</v>
      </c>
      <c r="F189" s="171">
        <f>'ALL Other SINs - Proposal'!F189</f>
        <v>0</v>
      </c>
      <c r="G189" s="51">
        <f>'ALL Other SINs - Proposal'!G189</f>
        <v>0</v>
      </c>
      <c r="H189" s="125">
        <f>'ALL Other SINs - Proposal'!H189</f>
        <v>0</v>
      </c>
      <c r="I189" s="125">
        <f>'ALL Other SINs - Proposal'!I189</f>
        <v>0</v>
      </c>
      <c r="J189" s="125">
        <f>'ALL Other SINs - Proposal'!J189</f>
        <v>0</v>
      </c>
      <c r="K189" s="125">
        <f>'ALL Other SINs - Proposal'!K189</f>
        <v>0</v>
      </c>
      <c r="L189" s="125">
        <f>'ALL Other SINs - Proposal'!L189</f>
        <v>0</v>
      </c>
      <c r="M189" s="206">
        <f>'ALL Other SINs - Proposal'!M189</f>
        <v>0</v>
      </c>
      <c r="N189" s="251">
        <f>'ALL Other SINs - Proposal'!V189</f>
        <v>0</v>
      </c>
      <c r="O189" s="201" t="str">
        <f>'Price Analysis'!N189</f>
        <v xml:space="preserve"> </v>
      </c>
      <c r="P189" s="53" t="str">
        <f>IF(ISBLANK('ALL Other SINs - Proposal'!AA189)," ",'ALL Other SINs - Proposal'!AA189)</f>
        <v xml:space="preserve"> </v>
      </c>
      <c r="Q189" s="95" t="str">
        <f>'ALL Other SINs - Proposal'!AC189</f>
        <v xml:space="preserve"> </v>
      </c>
      <c r="R189" s="100" t="str">
        <f>IF(ISBLANK('ALL Other SINs - Proposal'!AA189)," ",ROUND(Q189,2))</f>
        <v xml:space="preserve"> </v>
      </c>
      <c r="S189" s="54"/>
    </row>
    <row r="190" spans="1:19" ht="20.100000000000001" customHeight="1" x14ac:dyDescent="0.2">
      <c r="A190" s="127">
        <f>'ALL Other SINs - Proposal'!A190</f>
        <v>0</v>
      </c>
      <c r="B190" s="121">
        <f>'ALL Other SINs - Proposal'!B190</f>
        <v>0</v>
      </c>
      <c r="C190" s="121">
        <f>'ALL Other SINs - Proposal'!C190</f>
        <v>0</v>
      </c>
      <c r="D190" s="121">
        <f>'ALL Other SINs - Proposal'!D190</f>
        <v>0</v>
      </c>
      <c r="E190" s="121">
        <f>'ALL Other SINs - Proposal'!E190</f>
        <v>0</v>
      </c>
      <c r="F190" s="171">
        <f>'ALL Other SINs - Proposal'!F190</f>
        <v>0</v>
      </c>
      <c r="G190" s="51">
        <f>'ALL Other SINs - Proposal'!G190</f>
        <v>0</v>
      </c>
      <c r="H190" s="125">
        <f>'ALL Other SINs - Proposal'!H190</f>
        <v>0</v>
      </c>
      <c r="I190" s="125">
        <f>'ALL Other SINs - Proposal'!I190</f>
        <v>0</v>
      </c>
      <c r="J190" s="125">
        <f>'ALL Other SINs - Proposal'!J190</f>
        <v>0</v>
      </c>
      <c r="K190" s="125">
        <f>'ALL Other SINs - Proposal'!K190</f>
        <v>0</v>
      </c>
      <c r="L190" s="125">
        <f>'ALL Other SINs - Proposal'!L190</f>
        <v>0</v>
      </c>
      <c r="M190" s="206">
        <f>'ALL Other SINs - Proposal'!M190</f>
        <v>0</v>
      </c>
      <c r="N190" s="251">
        <f>'ALL Other SINs - Proposal'!V190</f>
        <v>0</v>
      </c>
      <c r="O190" s="201" t="str">
        <f>'Price Analysis'!N190</f>
        <v xml:space="preserve"> </v>
      </c>
      <c r="P190" s="53" t="str">
        <f>IF(ISBLANK('ALL Other SINs - Proposal'!AA190)," ",'ALL Other SINs - Proposal'!AA190)</f>
        <v xml:space="preserve"> </v>
      </c>
      <c r="Q190" s="95" t="str">
        <f>'ALL Other SINs - Proposal'!AC190</f>
        <v xml:space="preserve"> </v>
      </c>
      <c r="R190" s="100" t="str">
        <f>IF(ISBLANK('ALL Other SINs - Proposal'!AA190)," ",ROUND(Q190,2))</f>
        <v xml:space="preserve"> </v>
      </c>
      <c r="S190" s="54"/>
    </row>
    <row r="191" spans="1:19" ht="20.100000000000001" customHeight="1" x14ac:dyDescent="0.2">
      <c r="A191" s="127">
        <f>'ALL Other SINs - Proposal'!A191</f>
        <v>0</v>
      </c>
      <c r="B191" s="121">
        <f>'ALL Other SINs - Proposal'!B191</f>
        <v>0</v>
      </c>
      <c r="C191" s="121">
        <f>'ALL Other SINs - Proposal'!C191</f>
        <v>0</v>
      </c>
      <c r="D191" s="121">
        <f>'ALL Other SINs - Proposal'!D191</f>
        <v>0</v>
      </c>
      <c r="E191" s="121">
        <f>'ALL Other SINs - Proposal'!E191</f>
        <v>0</v>
      </c>
      <c r="F191" s="171">
        <f>'ALL Other SINs - Proposal'!F191</f>
        <v>0</v>
      </c>
      <c r="G191" s="51">
        <f>'ALL Other SINs - Proposal'!G191</f>
        <v>0</v>
      </c>
      <c r="H191" s="125">
        <f>'ALL Other SINs - Proposal'!H191</f>
        <v>0</v>
      </c>
      <c r="I191" s="125">
        <f>'ALL Other SINs - Proposal'!I191</f>
        <v>0</v>
      </c>
      <c r="J191" s="125">
        <f>'ALL Other SINs - Proposal'!J191</f>
        <v>0</v>
      </c>
      <c r="K191" s="125">
        <f>'ALL Other SINs - Proposal'!K191</f>
        <v>0</v>
      </c>
      <c r="L191" s="125">
        <f>'ALL Other SINs - Proposal'!L191</f>
        <v>0</v>
      </c>
      <c r="M191" s="206">
        <f>'ALL Other SINs - Proposal'!M191</f>
        <v>0</v>
      </c>
      <c r="N191" s="251">
        <f>'ALL Other SINs - Proposal'!V191</f>
        <v>0</v>
      </c>
      <c r="O191" s="201" t="str">
        <f>'Price Analysis'!N191</f>
        <v xml:space="preserve"> </v>
      </c>
      <c r="P191" s="53" t="str">
        <f>IF(ISBLANK('ALL Other SINs - Proposal'!AA191)," ",'ALL Other SINs - Proposal'!AA191)</f>
        <v xml:space="preserve"> </v>
      </c>
      <c r="Q191" s="95" t="str">
        <f>'ALL Other SINs - Proposal'!AC191</f>
        <v xml:space="preserve"> </v>
      </c>
      <c r="R191" s="100" t="str">
        <f>IF(ISBLANK('ALL Other SINs - Proposal'!AA191)," ",ROUND(Q191,2))</f>
        <v xml:space="preserve"> </v>
      </c>
      <c r="S191" s="54"/>
    </row>
    <row r="192" spans="1:19" ht="20.100000000000001" customHeight="1" x14ac:dyDescent="0.2">
      <c r="A192" s="127">
        <f>'ALL Other SINs - Proposal'!A192</f>
        <v>0</v>
      </c>
      <c r="B192" s="121">
        <f>'ALL Other SINs - Proposal'!B192</f>
        <v>0</v>
      </c>
      <c r="C192" s="121">
        <f>'ALL Other SINs - Proposal'!C192</f>
        <v>0</v>
      </c>
      <c r="D192" s="121">
        <f>'ALL Other SINs - Proposal'!D192</f>
        <v>0</v>
      </c>
      <c r="E192" s="121">
        <f>'ALL Other SINs - Proposal'!E192</f>
        <v>0</v>
      </c>
      <c r="F192" s="171">
        <f>'ALL Other SINs - Proposal'!F192</f>
        <v>0</v>
      </c>
      <c r="G192" s="51">
        <f>'ALL Other SINs - Proposal'!G192</f>
        <v>0</v>
      </c>
      <c r="H192" s="125">
        <f>'ALL Other SINs - Proposal'!H192</f>
        <v>0</v>
      </c>
      <c r="I192" s="125">
        <f>'ALL Other SINs - Proposal'!I192</f>
        <v>0</v>
      </c>
      <c r="J192" s="125">
        <f>'ALL Other SINs - Proposal'!J192</f>
        <v>0</v>
      </c>
      <c r="K192" s="125">
        <f>'ALL Other SINs - Proposal'!K192</f>
        <v>0</v>
      </c>
      <c r="L192" s="125">
        <f>'ALL Other SINs - Proposal'!L192</f>
        <v>0</v>
      </c>
      <c r="M192" s="206">
        <f>'ALL Other SINs - Proposal'!M192</f>
        <v>0</v>
      </c>
      <c r="N192" s="251">
        <f>'ALL Other SINs - Proposal'!V192</f>
        <v>0</v>
      </c>
      <c r="O192" s="201" t="str">
        <f>'Price Analysis'!N192</f>
        <v xml:space="preserve"> </v>
      </c>
      <c r="P192" s="53" t="str">
        <f>IF(ISBLANK('ALL Other SINs - Proposal'!AA192)," ",'ALL Other SINs - Proposal'!AA192)</f>
        <v xml:space="preserve"> </v>
      </c>
      <c r="Q192" s="95" t="str">
        <f>'ALL Other SINs - Proposal'!AC192</f>
        <v xml:space="preserve"> </v>
      </c>
      <c r="R192" s="100" t="str">
        <f>IF(ISBLANK('ALL Other SINs - Proposal'!AA192)," ",ROUND(Q192,2))</f>
        <v xml:space="preserve"> </v>
      </c>
      <c r="S192" s="54"/>
    </row>
    <row r="193" spans="1:19" ht="20.100000000000001" customHeight="1" x14ac:dyDescent="0.2">
      <c r="A193" s="127">
        <f>'ALL Other SINs - Proposal'!A193</f>
        <v>0</v>
      </c>
      <c r="B193" s="121">
        <f>'ALL Other SINs - Proposal'!B193</f>
        <v>0</v>
      </c>
      <c r="C193" s="121">
        <f>'ALL Other SINs - Proposal'!C193</f>
        <v>0</v>
      </c>
      <c r="D193" s="121">
        <f>'ALL Other SINs - Proposal'!D193</f>
        <v>0</v>
      </c>
      <c r="E193" s="121">
        <f>'ALL Other SINs - Proposal'!E193</f>
        <v>0</v>
      </c>
      <c r="F193" s="171">
        <f>'ALL Other SINs - Proposal'!F193</f>
        <v>0</v>
      </c>
      <c r="G193" s="51">
        <f>'ALL Other SINs - Proposal'!G193</f>
        <v>0</v>
      </c>
      <c r="H193" s="125">
        <f>'ALL Other SINs - Proposal'!H193</f>
        <v>0</v>
      </c>
      <c r="I193" s="125">
        <f>'ALL Other SINs - Proposal'!I193</f>
        <v>0</v>
      </c>
      <c r="J193" s="125">
        <f>'ALL Other SINs - Proposal'!J193</f>
        <v>0</v>
      </c>
      <c r="K193" s="125">
        <f>'ALL Other SINs - Proposal'!K193</f>
        <v>0</v>
      </c>
      <c r="L193" s="125">
        <f>'ALL Other SINs - Proposal'!L193</f>
        <v>0</v>
      </c>
      <c r="M193" s="206">
        <f>'ALL Other SINs - Proposal'!M193</f>
        <v>0</v>
      </c>
      <c r="N193" s="251">
        <f>'ALL Other SINs - Proposal'!V193</f>
        <v>0</v>
      </c>
      <c r="O193" s="201" t="str">
        <f>'Price Analysis'!N193</f>
        <v xml:space="preserve"> </v>
      </c>
      <c r="P193" s="53" t="str">
        <f>IF(ISBLANK('ALL Other SINs - Proposal'!AA193)," ",'ALL Other SINs - Proposal'!AA193)</f>
        <v xml:space="preserve"> </v>
      </c>
      <c r="Q193" s="95" t="str">
        <f>'ALL Other SINs - Proposal'!AC193</f>
        <v xml:space="preserve"> </v>
      </c>
      <c r="R193" s="100" t="str">
        <f>IF(ISBLANK('ALL Other SINs - Proposal'!AA193)," ",ROUND(Q193,2))</f>
        <v xml:space="preserve"> </v>
      </c>
      <c r="S193" s="54"/>
    </row>
    <row r="194" spans="1:19" ht="20.100000000000001" customHeight="1" x14ac:dyDescent="0.2">
      <c r="A194" s="127">
        <f>'ALL Other SINs - Proposal'!A194</f>
        <v>0</v>
      </c>
      <c r="B194" s="121">
        <f>'ALL Other SINs - Proposal'!B194</f>
        <v>0</v>
      </c>
      <c r="C194" s="121">
        <f>'ALL Other SINs - Proposal'!C194</f>
        <v>0</v>
      </c>
      <c r="D194" s="121">
        <f>'ALL Other SINs - Proposal'!D194</f>
        <v>0</v>
      </c>
      <c r="E194" s="121">
        <f>'ALL Other SINs - Proposal'!E194</f>
        <v>0</v>
      </c>
      <c r="F194" s="171">
        <f>'ALL Other SINs - Proposal'!F194</f>
        <v>0</v>
      </c>
      <c r="G194" s="51">
        <f>'ALL Other SINs - Proposal'!G194</f>
        <v>0</v>
      </c>
      <c r="H194" s="125">
        <f>'ALL Other SINs - Proposal'!H194</f>
        <v>0</v>
      </c>
      <c r="I194" s="125">
        <f>'ALL Other SINs - Proposal'!I194</f>
        <v>0</v>
      </c>
      <c r="J194" s="125">
        <f>'ALL Other SINs - Proposal'!J194</f>
        <v>0</v>
      </c>
      <c r="K194" s="125">
        <f>'ALL Other SINs - Proposal'!K194</f>
        <v>0</v>
      </c>
      <c r="L194" s="125">
        <f>'ALL Other SINs - Proposal'!L194</f>
        <v>0</v>
      </c>
      <c r="M194" s="206">
        <f>'ALL Other SINs - Proposal'!M194</f>
        <v>0</v>
      </c>
      <c r="N194" s="251">
        <f>'ALL Other SINs - Proposal'!V194</f>
        <v>0</v>
      </c>
      <c r="O194" s="201" t="str">
        <f>'Price Analysis'!N194</f>
        <v xml:space="preserve"> </v>
      </c>
      <c r="P194" s="53" t="str">
        <f>IF(ISBLANK('ALL Other SINs - Proposal'!AA194)," ",'ALL Other SINs - Proposal'!AA194)</f>
        <v xml:space="preserve"> </v>
      </c>
      <c r="Q194" s="95" t="str">
        <f>'ALL Other SINs - Proposal'!AC194</f>
        <v xml:space="preserve"> </v>
      </c>
      <c r="R194" s="100" t="str">
        <f>IF(ISBLANK('ALL Other SINs - Proposal'!AA194)," ",ROUND(Q194,2))</f>
        <v xml:space="preserve"> </v>
      </c>
      <c r="S194" s="54"/>
    </row>
    <row r="195" spans="1:19" ht="20.100000000000001" customHeight="1" x14ac:dyDescent="0.2">
      <c r="A195" s="127">
        <f>'ALL Other SINs - Proposal'!A195</f>
        <v>0</v>
      </c>
      <c r="B195" s="121">
        <f>'ALL Other SINs - Proposal'!B195</f>
        <v>0</v>
      </c>
      <c r="C195" s="121">
        <f>'ALL Other SINs - Proposal'!C195</f>
        <v>0</v>
      </c>
      <c r="D195" s="121">
        <f>'ALL Other SINs - Proposal'!D195</f>
        <v>0</v>
      </c>
      <c r="E195" s="121">
        <f>'ALL Other SINs - Proposal'!E195</f>
        <v>0</v>
      </c>
      <c r="F195" s="171">
        <f>'ALL Other SINs - Proposal'!F195</f>
        <v>0</v>
      </c>
      <c r="G195" s="51">
        <f>'ALL Other SINs - Proposal'!G195</f>
        <v>0</v>
      </c>
      <c r="H195" s="125">
        <f>'ALL Other SINs - Proposal'!H195</f>
        <v>0</v>
      </c>
      <c r="I195" s="125">
        <f>'ALL Other SINs - Proposal'!I195</f>
        <v>0</v>
      </c>
      <c r="J195" s="125">
        <f>'ALL Other SINs - Proposal'!J195</f>
        <v>0</v>
      </c>
      <c r="K195" s="125">
        <f>'ALL Other SINs - Proposal'!K195</f>
        <v>0</v>
      </c>
      <c r="L195" s="125">
        <f>'ALL Other SINs - Proposal'!L195</f>
        <v>0</v>
      </c>
      <c r="M195" s="206">
        <f>'ALL Other SINs - Proposal'!M195</f>
        <v>0</v>
      </c>
      <c r="N195" s="251">
        <f>'ALL Other SINs - Proposal'!V195</f>
        <v>0</v>
      </c>
      <c r="O195" s="201" t="str">
        <f>'Price Analysis'!N195</f>
        <v xml:space="preserve"> </v>
      </c>
      <c r="P195" s="53" t="str">
        <f>IF(ISBLANK('ALL Other SINs - Proposal'!AA195)," ",'ALL Other SINs - Proposal'!AA195)</f>
        <v xml:space="preserve"> </v>
      </c>
      <c r="Q195" s="95" t="str">
        <f>'ALL Other SINs - Proposal'!AC195</f>
        <v xml:space="preserve"> </v>
      </c>
      <c r="R195" s="100" t="str">
        <f>IF(ISBLANK('ALL Other SINs - Proposal'!AA195)," ",ROUND(Q195,2))</f>
        <v xml:space="preserve"> </v>
      </c>
      <c r="S195" s="54"/>
    </row>
    <row r="196" spans="1:19" ht="20.100000000000001" customHeight="1" x14ac:dyDescent="0.2">
      <c r="A196" s="127">
        <f>'ALL Other SINs - Proposal'!A196</f>
        <v>0</v>
      </c>
      <c r="B196" s="121">
        <f>'ALL Other SINs - Proposal'!B196</f>
        <v>0</v>
      </c>
      <c r="C196" s="121">
        <f>'ALL Other SINs - Proposal'!C196</f>
        <v>0</v>
      </c>
      <c r="D196" s="121">
        <f>'ALL Other SINs - Proposal'!D196</f>
        <v>0</v>
      </c>
      <c r="E196" s="121">
        <f>'ALL Other SINs - Proposal'!E196</f>
        <v>0</v>
      </c>
      <c r="F196" s="171">
        <f>'ALL Other SINs - Proposal'!F196</f>
        <v>0</v>
      </c>
      <c r="G196" s="51">
        <f>'ALL Other SINs - Proposal'!G196</f>
        <v>0</v>
      </c>
      <c r="H196" s="125">
        <f>'ALL Other SINs - Proposal'!H196</f>
        <v>0</v>
      </c>
      <c r="I196" s="125">
        <f>'ALL Other SINs - Proposal'!I196</f>
        <v>0</v>
      </c>
      <c r="J196" s="125">
        <f>'ALL Other SINs - Proposal'!J196</f>
        <v>0</v>
      </c>
      <c r="K196" s="125">
        <f>'ALL Other SINs - Proposal'!K196</f>
        <v>0</v>
      </c>
      <c r="L196" s="125">
        <f>'ALL Other SINs - Proposal'!L196</f>
        <v>0</v>
      </c>
      <c r="M196" s="206">
        <f>'ALL Other SINs - Proposal'!M196</f>
        <v>0</v>
      </c>
      <c r="N196" s="251">
        <f>'ALL Other SINs - Proposal'!V196</f>
        <v>0</v>
      </c>
      <c r="O196" s="201" t="str">
        <f>'Price Analysis'!N196</f>
        <v xml:space="preserve"> </v>
      </c>
      <c r="P196" s="53" t="str">
        <f>IF(ISBLANK('ALL Other SINs - Proposal'!AA196)," ",'ALL Other SINs - Proposal'!AA196)</f>
        <v xml:space="preserve"> </v>
      </c>
      <c r="Q196" s="95" t="str">
        <f>'ALL Other SINs - Proposal'!AC196</f>
        <v xml:space="preserve"> </v>
      </c>
      <c r="R196" s="100" t="str">
        <f>IF(ISBLANK('ALL Other SINs - Proposal'!AA196)," ",ROUND(Q196,2))</f>
        <v xml:space="preserve"> </v>
      </c>
      <c r="S196" s="54"/>
    </row>
    <row r="197" spans="1:19" ht="20.100000000000001" customHeight="1" x14ac:dyDescent="0.2">
      <c r="A197" s="127">
        <f>'ALL Other SINs - Proposal'!A197</f>
        <v>0</v>
      </c>
      <c r="B197" s="121">
        <f>'ALL Other SINs - Proposal'!B197</f>
        <v>0</v>
      </c>
      <c r="C197" s="121">
        <f>'ALL Other SINs - Proposal'!C197</f>
        <v>0</v>
      </c>
      <c r="D197" s="121">
        <f>'ALL Other SINs - Proposal'!D197</f>
        <v>0</v>
      </c>
      <c r="E197" s="121">
        <f>'ALL Other SINs - Proposal'!E197</f>
        <v>0</v>
      </c>
      <c r="F197" s="171">
        <f>'ALL Other SINs - Proposal'!F197</f>
        <v>0</v>
      </c>
      <c r="G197" s="51">
        <f>'ALL Other SINs - Proposal'!G197</f>
        <v>0</v>
      </c>
      <c r="H197" s="125">
        <f>'ALL Other SINs - Proposal'!H197</f>
        <v>0</v>
      </c>
      <c r="I197" s="125">
        <f>'ALL Other SINs - Proposal'!I197</f>
        <v>0</v>
      </c>
      <c r="J197" s="125">
        <f>'ALL Other SINs - Proposal'!J197</f>
        <v>0</v>
      </c>
      <c r="K197" s="125">
        <f>'ALL Other SINs - Proposal'!K197</f>
        <v>0</v>
      </c>
      <c r="L197" s="125">
        <f>'ALL Other SINs - Proposal'!L197</f>
        <v>0</v>
      </c>
      <c r="M197" s="206">
        <f>'ALL Other SINs - Proposal'!M197</f>
        <v>0</v>
      </c>
      <c r="N197" s="251">
        <f>'ALL Other SINs - Proposal'!V197</f>
        <v>0</v>
      </c>
      <c r="O197" s="201" t="str">
        <f>'Price Analysis'!N197</f>
        <v xml:space="preserve"> </v>
      </c>
      <c r="P197" s="53" t="str">
        <f>IF(ISBLANK('ALL Other SINs - Proposal'!AA197)," ",'ALL Other SINs - Proposal'!AA197)</f>
        <v xml:space="preserve"> </v>
      </c>
      <c r="Q197" s="95" t="str">
        <f>'ALL Other SINs - Proposal'!AC197</f>
        <v xml:space="preserve"> </v>
      </c>
      <c r="R197" s="100" t="str">
        <f>IF(ISBLANK('ALL Other SINs - Proposal'!AA197)," ",ROUND(Q197,2))</f>
        <v xml:space="preserve"> </v>
      </c>
      <c r="S197" s="54"/>
    </row>
    <row r="198" spans="1:19" ht="20.100000000000001" customHeight="1" x14ac:dyDescent="0.2">
      <c r="A198" s="127">
        <f>'ALL Other SINs - Proposal'!A198</f>
        <v>0</v>
      </c>
      <c r="B198" s="121">
        <f>'ALL Other SINs - Proposal'!B198</f>
        <v>0</v>
      </c>
      <c r="C198" s="121">
        <f>'ALL Other SINs - Proposal'!C198</f>
        <v>0</v>
      </c>
      <c r="D198" s="121">
        <f>'ALL Other SINs - Proposal'!D198</f>
        <v>0</v>
      </c>
      <c r="E198" s="121">
        <f>'ALL Other SINs - Proposal'!E198</f>
        <v>0</v>
      </c>
      <c r="F198" s="171">
        <f>'ALL Other SINs - Proposal'!F198</f>
        <v>0</v>
      </c>
      <c r="G198" s="51">
        <f>'ALL Other SINs - Proposal'!G198</f>
        <v>0</v>
      </c>
      <c r="H198" s="125">
        <f>'ALL Other SINs - Proposal'!H198</f>
        <v>0</v>
      </c>
      <c r="I198" s="125">
        <f>'ALL Other SINs - Proposal'!I198</f>
        <v>0</v>
      </c>
      <c r="J198" s="125">
        <f>'ALL Other SINs - Proposal'!J198</f>
        <v>0</v>
      </c>
      <c r="K198" s="125">
        <f>'ALL Other SINs - Proposal'!K198</f>
        <v>0</v>
      </c>
      <c r="L198" s="125">
        <f>'ALL Other SINs - Proposal'!L198</f>
        <v>0</v>
      </c>
      <c r="M198" s="206">
        <f>'ALL Other SINs - Proposal'!M198</f>
        <v>0</v>
      </c>
      <c r="N198" s="251">
        <f>'ALL Other SINs - Proposal'!V198</f>
        <v>0</v>
      </c>
      <c r="O198" s="201" t="str">
        <f>'Price Analysis'!N198</f>
        <v xml:space="preserve"> </v>
      </c>
      <c r="P198" s="53" t="str">
        <f>IF(ISBLANK('ALL Other SINs - Proposal'!AA198)," ",'ALL Other SINs - Proposal'!AA198)</f>
        <v xml:space="preserve"> </v>
      </c>
      <c r="Q198" s="95" t="str">
        <f>'ALL Other SINs - Proposal'!AC198</f>
        <v xml:space="preserve"> </v>
      </c>
      <c r="R198" s="100" t="str">
        <f>IF(ISBLANK('ALL Other SINs - Proposal'!AA198)," ",ROUND(Q198,2))</f>
        <v xml:space="preserve"> </v>
      </c>
      <c r="S198" s="54"/>
    </row>
    <row r="199" spans="1:19" ht="20.100000000000001" customHeight="1" x14ac:dyDescent="0.2">
      <c r="A199" s="127">
        <f>'ALL Other SINs - Proposal'!A199</f>
        <v>0</v>
      </c>
      <c r="B199" s="121">
        <f>'ALL Other SINs - Proposal'!B199</f>
        <v>0</v>
      </c>
      <c r="C199" s="121">
        <f>'ALL Other SINs - Proposal'!C199</f>
        <v>0</v>
      </c>
      <c r="D199" s="121">
        <f>'ALL Other SINs - Proposal'!D199</f>
        <v>0</v>
      </c>
      <c r="E199" s="121">
        <f>'ALL Other SINs - Proposal'!E199</f>
        <v>0</v>
      </c>
      <c r="F199" s="171">
        <f>'ALL Other SINs - Proposal'!F199</f>
        <v>0</v>
      </c>
      <c r="G199" s="51">
        <f>'ALL Other SINs - Proposal'!G199</f>
        <v>0</v>
      </c>
      <c r="H199" s="125">
        <f>'ALL Other SINs - Proposal'!H199</f>
        <v>0</v>
      </c>
      <c r="I199" s="125">
        <f>'ALL Other SINs - Proposal'!I199</f>
        <v>0</v>
      </c>
      <c r="J199" s="125">
        <f>'ALL Other SINs - Proposal'!J199</f>
        <v>0</v>
      </c>
      <c r="K199" s="125">
        <f>'ALL Other SINs - Proposal'!K199</f>
        <v>0</v>
      </c>
      <c r="L199" s="125">
        <f>'ALL Other SINs - Proposal'!L199</f>
        <v>0</v>
      </c>
      <c r="M199" s="206">
        <f>'ALL Other SINs - Proposal'!M199</f>
        <v>0</v>
      </c>
      <c r="N199" s="251">
        <f>'ALL Other SINs - Proposal'!V199</f>
        <v>0</v>
      </c>
      <c r="O199" s="201" t="str">
        <f>'Price Analysis'!N199</f>
        <v xml:space="preserve"> </v>
      </c>
      <c r="P199" s="53" t="str">
        <f>IF(ISBLANK('ALL Other SINs - Proposal'!AA199)," ",'ALL Other SINs - Proposal'!AA199)</f>
        <v xml:space="preserve"> </v>
      </c>
      <c r="Q199" s="95" t="str">
        <f>'ALL Other SINs - Proposal'!AC199</f>
        <v xml:space="preserve"> </v>
      </c>
      <c r="R199" s="100" t="str">
        <f>IF(ISBLANK('ALL Other SINs - Proposal'!AA199)," ",ROUND(Q199,2))</f>
        <v xml:space="preserve"> </v>
      </c>
      <c r="S199" s="54"/>
    </row>
    <row r="200" spans="1:19" ht="20.100000000000001" customHeight="1" x14ac:dyDescent="0.2">
      <c r="A200" s="127">
        <f>'ALL Other SINs - Proposal'!A200</f>
        <v>0</v>
      </c>
      <c r="B200" s="121">
        <f>'ALL Other SINs - Proposal'!B200</f>
        <v>0</v>
      </c>
      <c r="C200" s="121">
        <f>'ALL Other SINs - Proposal'!C200</f>
        <v>0</v>
      </c>
      <c r="D200" s="121">
        <f>'ALL Other SINs - Proposal'!D200</f>
        <v>0</v>
      </c>
      <c r="E200" s="121">
        <f>'ALL Other SINs - Proposal'!E200</f>
        <v>0</v>
      </c>
      <c r="F200" s="171">
        <f>'ALL Other SINs - Proposal'!F200</f>
        <v>0</v>
      </c>
      <c r="G200" s="51">
        <f>'ALL Other SINs - Proposal'!G200</f>
        <v>0</v>
      </c>
      <c r="H200" s="125">
        <f>'ALL Other SINs - Proposal'!H200</f>
        <v>0</v>
      </c>
      <c r="I200" s="125">
        <f>'ALL Other SINs - Proposal'!I200</f>
        <v>0</v>
      </c>
      <c r="J200" s="125">
        <f>'ALL Other SINs - Proposal'!J200</f>
        <v>0</v>
      </c>
      <c r="K200" s="125">
        <f>'ALL Other SINs - Proposal'!K200</f>
        <v>0</v>
      </c>
      <c r="L200" s="125">
        <f>'ALL Other SINs - Proposal'!L200</f>
        <v>0</v>
      </c>
      <c r="M200" s="206">
        <f>'ALL Other SINs - Proposal'!M200</f>
        <v>0</v>
      </c>
      <c r="N200" s="251">
        <f>'ALL Other SINs - Proposal'!V200</f>
        <v>0</v>
      </c>
      <c r="O200" s="201" t="str">
        <f>'Price Analysis'!N200</f>
        <v xml:space="preserve"> </v>
      </c>
      <c r="P200" s="53" t="str">
        <f>IF(ISBLANK('ALL Other SINs - Proposal'!AA200)," ",'ALL Other SINs - Proposal'!AA200)</f>
        <v xml:space="preserve"> </v>
      </c>
      <c r="Q200" s="95" t="str">
        <f>'ALL Other SINs - Proposal'!AC200</f>
        <v xml:space="preserve"> </v>
      </c>
      <c r="R200" s="100" t="str">
        <f>IF(ISBLANK('ALL Other SINs - Proposal'!AA200)," ",ROUND(Q200,2))</f>
        <v xml:space="preserve"> </v>
      </c>
      <c r="S200" s="54"/>
    </row>
    <row r="201" spans="1:19" ht="20.100000000000001" customHeight="1" x14ac:dyDescent="0.2">
      <c r="A201" s="127">
        <f>'ALL Other SINs - Proposal'!A201</f>
        <v>0</v>
      </c>
      <c r="B201" s="121">
        <f>'ALL Other SINs - Proposal'!B201</f>
        <v>0</v>
      </c>
      <c r="C201" s="121">
        <f>'ALL Other SINs - Proposal'!C201</f>
        <v>0</v>
      </c>
      <c r="D201" s="121">
        <f>'ALL Other SINs - Proposal'!D201</f>
        <v>0</v>
      </c>
      <c r="E201" s="121">
        <f>'ALL Other SINs - Proposal'!E201</f>
        <v>0</v>
      </c>
      <c r="F201" s="171">
        <f>'ALL Other SINs - Proposal'!F201</f>
        <v>0</v>
      </c>
      <c r="G201" s="51">
        <f>'ALL Other SINs - Proposal'!G201</f>
        <v>0</v>
      </c>
      <c r="H201" s="125">
        <f>'ALL Other SINs - Proposal'!H201</f>
        <v>0</v>
      </c>
      <c r="I201" s="125">
        <f>'ALL Other SINs - Proposal'!I201</f>
        <v>0</v>
      </c>
      <c r="J201" s="125">
        <f>'ALL Other SINs - Proposal'!J201</f>
        <v>0</v>
      </c>
      <c r="K201" s="125">
        <f>'ALL Other SINs - Proposal'!K201</f>
        <v>0</v>
      </c>
      <c r="L201" s="125">
        <f>'ALL Other SINs - Proposal'!L201</f>
        <v>0</v>
      </c>
      <c r="M201" s="206">
        <f>'ALL Other SINs - Proposal'!M201</f>
        <v>0</v>
      </c>
      <c r="N201" s="251">
        <f>'ALL Other SINs - Proposal'!V201</f>
        <v>0</v>
      </c>
      <c r="O201" s="201" t="str">
        <f>'Price Analysis'!N201</f>
        <v xml:space="preserve"> </v>
      </c>
      <c r="P201" s="53" t="str">
        <f>IF(ISBLANK('ALL Other SINs - Proposal'!AA201)," ",'ALL Other SINs - Proposal'!AA201)</f>
        <v xml:space="preserve"> </v>
      </c>
      <c r="Q201" s="95" t="str">
        <f>'ALL Other SINs - Proposal'!AC201</f>
        <v xml:space="preserve"> </v>
      </c>
      <c r="R201" s="100" t="str">
        <f>IF(ISBLANK('ALL Other SINs - Proposal'!AA201)," ",ROUND(Q201,2))</f>
        <v xml:space="preserve"> </v>
      </c>
      <c r="S201" s="54"/>
    </row>
    <row r="202" spans="1:19" ht="20.100000000000001" customHeight="1" x14ac:dyDescent="0.2">
      <c r="A202" s="127">
        <f>'ALL Other SINs - Proposal'!A202</f>
        <v>0</v>
      </c>
      <c r="B202" s="121">
        <f>'ALL Other SINs - Proposal'!B202</f>
        <v>0</v>
      </c>
      <c r="C202" s="121">
        <f>'ALL Other SINs - Proposal'!C202</f>
        <v>0</v>
      </c>
      <c r="D202" s="121">
        <f>'ALL Other SINs - Proposal'!D202</f>
        <v>0</v>
      </c>
      <c r="E202" s="121">
        <f>'ALL Other SINs - Proposal'!E202</f>
        <v>0</v>
      </c>
      <c r="F202" s="171">
        <f>'ALL Other SINs - Proposal'!F202</f>
        <v>0</v>
      </c>
      <c r="G202" s="51">
        <f>'ALL Other SINs - Proposal'!G202</f>
        <v>0</v>
      </c>
      <c r="H202" s="125">
        <f>'ALL Other SINs - Proposal'!H202</f>
        <v>0</v>
      </c>
      <c r="I202" s="125">
        <f>'ALL Other SINs - Proposal'!I202</f>
        <v>0</v>
      </c>
      <c r="J202" s="125">
        <f>'ALL Other SINs - Proposal'!J202</f>
        <v>0</v>
      </c>
      <c r="K202" s="125">
        <f>'ALL Other SINs - Proposal'!K202</f>
        <v>0</v>
      </c>
      <c r="L202" s="125">
        <f>'ALL Other SINs - Proposal'!L202</f>
        <v>0</v>
      </c>
      <c r="M202" s="206">
        <f>'ALL Other SINs - Proposal'!M202</f>
        <v>0</v>
      </c>
      <c r="N202" s="251">
        <f>'ALL Other SINs - Proposal'!V202</f>
        <v>0</v>
      </c>
      <c r="O202" s="201" t="str">
        <f>'Price Analysis'!N202</f>
        <v xml:space="preserve"> </v>
      </c>
      <c r="P202" s="53" t="str">
        <f>IF(ISBLANK('ALL Other SINs - Proposal'!AA202)," ",'ALL Other SINs - Proposal'!AA202)</f>
        <v xml:space="preserve"> </v>
      </c>
      <c r="Q202" s="95" t="str">
        <f>'ALL Other SINs - Proposal'!AC202</f>
        <v xml:space="preserve"> </v>
      </c>
      <c r="R202" s="100" t="str">
        <f>IF(ISBLANK('ALL Other SINs - Proposal'!AA202)," ",ROUND(Q202,2))</f>
        <v xml:space="preserve"> </v>
      </c>
      <c r="S202" s="54"/>
    </row>
    <row r="203" spans="1:19" ht="20.100000000000001" customHeight="1" x14ac:dyDescent="0.2">
      <c r="A203" s="127">
        <f>'ALL Other SINs - Proposal'!A203</f>
        <v>0</v>
      </c>
      <c r="B203" s="121">
        <f>'ALL Other SINs - Proposal'!B203</f>
        <v>0</v>
      </c>
      <c r="C203" s="121">
        <f>'ALL Other SINs - Proposal'!C203</f>
        <v>0</v>
      </c>
      <c r="D203" s="121">
        <f>'ALL Other SINs - Proposal'!D203</f>
        <v>0</v>
      </c>
      <c r="E203" s="121">
        <f>'ALL Other SINs - Proposal'!E203</f>
        <v>0</v>
      </c>
      <c r="F203" s="171">
        <f>'ALL Other SINs - Proposal'!F203</f>
        <v>0</v>
      </c>
      <c r="G203" s="51">
        <f>'ALL Other SINs - Proposal'!G203</f>
        <v>0</v>
      </c>
      <c r="H203" s="125">
        <f>'ALL Other SINs - Proposal'!H203</f>
        <v>0</v>
      </c>
      <c r="I203" s="125">
        <f>'ALL Other SINs - Proposal'!I203</f>
        <v>0</v>
      </c>
      <c r="J203" s="125">
        <f>'ALL Other SINs - Proposal'!J203</f>
        <v>0</v>
      </c>
      <c r="K203" s="125">
        <f>'ALL Other SINs - Proposal'!K203</f>
        <v>0</v>
      </c>
      <c r="L203" s="125">
        <f>'ALL Other SINs - Proposal'!L203</f>
        <v>0</v>
      </c>
      <c r="M203" s="206">
        <f>'ALL Other SINs - Proposal'!M203</f>
        <v>0</v>
      </c>
      <c r="N203" s="251">
        <f>'ALL Other SINs - Proposal'!V203</f>
        <v>0</v>
      </c>
      <c r="O203" s="201" t="str">
        <f>'Price Analysis'!N203</f>
        <v xml:space="preserve"> </v>
      </c>
      <c r="P203" s="53" t="str">
        <f>IF(ISBLANK('ALL Other SINs - Proposal'!AA203)," ",'ALL Other SINs - Proposal'!AA203)</f>
        <v xml:space="preserve"> </v>
      </c>
      <c r="Q203" s="95" t="str">
        <f>'ALL Other SINs - Proposal'!AC203</f>
        <v xml:space="preserve"> </v>
      </c>
      <c r="R203" s="100" t="str">
        <f>IF(ISBLANK('ALL Other SINs - Proposal'!AA203)," ",ROUND(Q203,2))</f>
        <v xml:space="preserve"> </v>
      </c>
      <c r="S203" s="54"/>
    </row>
    <row r="204" spans="1:19" ht="20.100000000000001" customHeight="1" x14ac:dyDescent="0.2">
      <c r="A204" s="127">
        <f>'ALL Other SINs - Proposal'!A204</f>
        <v>0</v>
      </c>
      <c r="B204" s="121">
        <f>'ALL Other SINs - Proposal'!B204</f>
        <v>0</v>
      </c>
      <c r="C204" s="121">
        <f>'ALL Other SINs - Proposal'!C204</f>
        <v>0</v>
      </c>
      <c r="D204" s="121">
        <f>'ALL Other SINs - Proposal'!D204</f>
        <v>0</v>
      </c>
      <c r="E204" s="121">
        <f>'ALL Other SINs - Proposal'!E204</f>
        <v>0</v>
      </c>
      <c r="F204" s="171">
        <f>'ALL Other SINs - Proposal'!F204</f>
        <v>0</v>
      </c>
      <c r="G204" s="51">
        <f>'ALL Other SINs - Proposal'!G204</f>
        <v>0</v>
      </c>
      <c r="H204" s="125">
        <f>'ALL Other SINs - Proposal'!H204</f>
        <v>0</v>
      </c>
      <c r="I204" s="125">
        <f>'ALL Other SINs - Proposal'!I204</f>
        <v>0</v>
      </c>
      <c r="J204" s="125">
        <f>'ALL Other SINs - Proposal'!J204</f>
        <v>0</v>
      </c>
      <c r="K204" s="125">
        <f>'ALL Other SINs - Proposal'!K204</f>
        <v>0</v>
      </c>
      <c r="L204" s="125">
        <f>'ALL Other SINs - Proposal'!L204</f>
        <v>0</v>
      </c>
      <c r="M204" s="206">
        <f>'ALL Other SINs - Proposal'!M204</f>
        <v>0</v>
      </c>
      <c r="N204" s="251">
        <f>'ALL Other SINs - Proposal'!V204</f>
        <v>0</v>
      </c>
      <c r="O204" s="201" t="str">
        <f>'Price Analysis'!N204</f>
        <v xml:space="preserve"> </v>
      </c>
      <c r="P204" s="53" t="str">
        <f>IF(ISBLANK('ALL Other SINs - Proposal'!AA204)," ",'ALL Other SINs - Proposal'!AA204)</f>
        <v xml:space="preserve"> </v>
      </c>
      <c r="Q204" s="95" t="str">
        <f>'ALL Other SINs - Proposal'!AC204</f>
        <v xml:space="preserve"> </v>
      </c>
      <c r="R204" s="100" t="str">
        <f>IF(ISBLANK('ALL Other SINs - Proposal'!AA204)," ",ROUND(Q204,2))</f>
        <v xml:space="preserve"> </v>
      </c>
      <c r="S204" s="54"/>
    </row>
    <row r="205" spans="1:19" ht="20.100000000000001" customHeight="1" x14ac:dyDescent="0.2">
      <c r="A205" s="127">
        <f>'ALL Other SINs - Proposal'!A205</f>
        <v>0</v>
      </c>
      <c r="B205" s="121">
        <f>'ALL Other SINs - Proposal'!B205</f>
        <v>0</v>
      </c>
      <c r="C205" s="121">
        <f>'ALL Other SINs - Proposal'!C205</f>
        <v>0</v>
      </c>
      <c r="D205" s="121">
        <f>'ALL Other SINs - Proposal'!D205</f>
        <v>0</v>
      </c>
      <c r="E205" s="121">
        <f>'ALL Other SINs - Proposal'!E205</f>
        <v>0</v>
      </c>
      <c r="F205" s="171">
        <f>'ALL Other SINs - Proposal'!F205</f>
        <v>0</v>
      </c>
      <c r="G205" s="51">
        <f>'ALL Other SINs - Proposal'!G205</f>
        <v>0</v>
      </c>
      <c r="H205" s="125">
        <f>'ALL Other SINs - Proposal'!H205</f>
        <v>0</v>
      </c>
      <c r="I205" s="125">
        <f>'ALL Other SINs - Proposal'!I205</f>
        <v>0</v>
      </c>
      <c r="J205" s="125">
        <f>'ALL Other SINs - Proposal'!J205</f>
        <v>0</v>
      </c>
      <c r="K205" s="125">
        <f>'ALL Other SINs - Proposal'!K205</f>
        <v>0</v>
      </c>
      <c r="L205" s="125">
        <f>'ALL Other SINs - Proposal'!L205</f>
        <v>0</v>
      </c>
      <c r="M205" s="206">
        <f>'ALL Other SINs - Proposal'!M205</f>
        <v>0</v>
      </c>
      <c r="N205" s="251">
        <f>'ALL Other SINs - Proposal'!V205</f>
        <v>0</v>
      </c>
      <c r="O205" s="201" t="str">
        <f>'Price Analysis'!N205</f>
        <v xml:space="preserve"> </v>
      </c>
      <c r="P205" s="53" t="str">
        <f>IF(ISBLANK('ALL Other SINs - Proposal'!AA205)," ",'ALL Other SINs - Proposal'!AA205)</f>
        <v xml:space="preserve"> </v>
      </c>
      <c r="Q205" s="95" t="str">
        <f>'ALL Other SINs - Proposal'!AC205</f>
        <v xml:space="preserve"> </v>
      </c>
      <c r="R205" s="100" t="str">
        <f>IF(ISBLANK('ALL Other SINs - Proposal'!AA205)," ",ROUND(Q205,2))</f>
        <v xml:space="preserve"> </v>
      </c>
      <c r="S205" s="54"/>
    </row>
    <row r="206" spans="1:19" ht="20.100000000000001" customHeight="1" x14ac:dyDescent="0.2">
      <c r="A206" s="127">
        <f>'ALL Other SINs - Proposal'!A206</f>
        <v>0</v>
      </c>
      <c r="B206" s="121">
        <f>'ALL Other SINs - Proposal'!B206</f>
        <v>0</v>
      </c>
      <c r="C206" s="121">
        <f>'ALL Other SINs - Proposal'!C206</f>
        <v>0</v>
      </c>
      <c r="D206" s="121">
        <f>'ALL Other SINs - Proposal'!D206</f>
        <v>0</v>
      </c>
      <c r="E206" s="121">
        <f>'ALL Other SINs - Proposal'!E206</f>
        <v>0</v>
      </c>
      <c r="F206" s="171">
        <f>'ALL Other SINs - Proposal'!F206</f>
        <v>0</v>
      </c>
      <c r="G206" s="51">
        <f>'ALL Other SINs - Proposal'!G206</f>
        <v>0</v>
      </c>
      <c r="H206" s="125">
        <f>'ALL Other SINs - Proposal'!H206</f>
        <v>0</v>
      </c>
      <c r="I206" s="125">
        <f>'ALL Other SINs - Proposal'!I206</f>
        <v>0</v>
      </c>
      <c r="J206" s="125">
        <f>'ALL Other SINs - Proposal'!J206</f>
        <v>0</v>
      </c>
      <c r="K206" s="125">
        <f>'ALL Other SINs - Proposal'!K206</f>
        <v>0</v>
      </c>
      <c r="L206" s="125">
        <f>'ALL Other SINs - Proposal'!L206</f>
        <v>0</v>
      </c>
      <c r="M206" s="206">
        <f>'ALL Other SINs - Proposal'!M206</f>
        <v>0</v>
      </c>
      <c r="N206" s="251">
        <f>'ALL Other SINs - Proposal'!V206</f>
        <v>0</v>
      </c>
      <c r="O206" s="201" t="str">
        <f>'Price Analysis'!N206</f>
        <v xml:space="preserve"> </v>
      </c>
      <c r="P206" s="53" t="str">
        <f>IF(ISBLANK('ALL Other SINs - Proposal'!AA206)," ",'ALL Other SINs - Proposal'!AA206)</f>
        <v xml:space="preserve"> </v>
      </c>
      <c r="Q206" s="95" t="str">
        <f>'ALL Other SINs - Proposal'!AC206</f>
        <v xml:space="preserve"> </v>
      </c>
      <c r="R206" s="100" t="str">
        <f>IF(ISBLANK('ALL Other SINs - Proposal'!AA206)," ",ROUND(Q206,2))</f>
        <v xml:space="preserve"> </v>
      </c>
      <c r="S206" s="54"/>
    </row>
    <row r="207" spans="1:19" ht="20.100000000000001" customHeight="1" x14ac:dyDescent="0.2">
      <c r="A207" s="127">
        <f>'ALL Other SINs - Proposal'!A207</f>
        <v>0</v>
      </c>
      <c r="B207" s="121">
        <f>'ALL Other SINs - Proposal'!B207</f>
        <v>0</v>
      </c>
      <c r="C207" s="121">
        <f>'ALL Other SINs - Proposal'!C207</f>
        <v>0</v>
      </c>
      <c r="D207" s="121">
        <f>'ALL Other SINs - Proposal'!D207</f>
        <v>0</v>
      </c>
      <c r="E207" s="121">
        <f>'ALL Other SINs - Proposal'!E207</f>
        <v>0</v>
      </c>
      <c r="F207" s="171">
        <f>'ALL Other SINs - Proposal'!F207</f>
        <v>0</v>
      </c>
      <c r="G207" s="51">
        <f>'ALL Other SINs - Proposal'!G207</f>
        <v>0</v>
      </c>
      <c r="H207" s="125">
        <f>'ALL Other SINs - Proposal'!H207</f>
        <v>0</v>
      </c>
      <c r="I207" s="125">
        <f>'ALL Other SINs - Proposal'!I207</f>
        <v>0</v>
      </c>
      <c r="J207" s="125">
        <f>'ALL Other SINs - Proposal'!J207</f>
        <v>0</v>
      </c>
      <c r="K207" s="125">
        <f>'ALL Other SINs - Proposal'!K207</f>
        <v>0</v>
      </c>
      <c r="L207" s="125">
        <f>'ALL Other SINs - Proposal'!L207</f>
        <v>0</v>
      </c>
      <c r="M207" s="206">
        <f>'ALL Other SINs - Proposal'!M207</f>
        <v>0</v>
      </c>
      <c r="N207" s="251">
        <f>'ALL Other SINs - Proposal'!V207</f>
        <v>0</v>
      </c>
      <c r="O207" s="201" t="str">
        <f>'Price Analysis'!N207</f>
        <v xml:space="preserve"> </v>
      </c>
      <c r="P207" s="53" t="str">
        <f>IF(ISBLANK('ALL Other SINs - Proposal'!AA207)," ",'ALL Other SINs - Proposal'!AA207)</f>
        <v xml:space="preserve"> </v>
      </c>
      <c r="Q207" s="95" t="str">
        <f>'ALL Other SINs - Proposal'!AC207</f>
        <v xml:space="preserve"> </v>
      </c>
      <c r="R207" s="100" t="str">
        <f>IF(ISBLANK('ALL Other SINs - Proposal'!AA207)," ",ROUND(Q207,2))</f>
        <v xml:space="preserve"> </v>
      </c>
      <c r="S207" s="54"/>
    </row>
    <row r="208" spans="1:19" ht="20.100000000000001" customHeight="1" x14ac:dyDescent="0.2">
      <c r="A208" s="127">
        <f>'ALL Other SINs - Proposal'!A208</f>
        <v>0</v>
      </c>
      <c r="B208" s="121">
        <f>'ALL Other SINs - Proposal'!B208</f>
        <v>0</v>
      </c>
      <c r="C208" s="121">
        <f>'ALL Other SINs - Proposal'!C208</f>
        <v>0</v>
      </c>
      <c r="D208" s="121">
        <f>'ALL Other SINs - Proposal'!D208</f>
        <v>0</v>
      </c>
      <c r="E208" s="121">
        <f>'ALL Other SINs - Proposal'!E208</f>
        <v>0</v>
      </c>
      <c r="F208" s="171">
        <f>'ALL Other SINs - Proposal'!F208</f>
        <v>0</v>
      </c>
      <c r="G208" s="51">
        <f>'ALL Other SINs - Proposal'!G208</f>
        <v>0</v>
      </c>
      <c r="H208" s="125">
        <f>'ALL Other SINs - Proposal'!H208</f>
        <v>0</v>
      </c>
      <c r="I208" s="125">
        <f>'ALL Other SINs - Proposal'!I208</f>
        <v>0</v>
      </c>
      <c r="J208" s="125">
        <f>'ALL Other SINs - Proposal'!J208</f>
        <v>0</v>
      </c>
      <c r="K208" s="125">
        <f>'ALL Other SINs - Proposal'!K208</f>
        <v>0</v>
      </c>
      <c r="L208" s="125">
        <f>'ALL Other SINs - Proposal'!L208</f>
        <v>0</v>
      </c>
      <c r="M208" s="206">
        <f>'ALL Other SINs - Proposal'!M208</f>
        <v>0</v>
      </c>
      <c r="N208" s="251">
        <f>'ALL Other SINs - Proposal'!V208</f>
        <v>0</v>
      </c>
      <c r="O208" s="201" t="str">
        <f>'Price Analysis'!N208</f>
        <v xml:space="preserve"> </v>
      </c>
      <c r="P208" s="53" t="str">
        <f>IF(ISBLANK('ALL Other SINs - Proposal'!AA208)," ",'ALL Other SINs - Proposal'!AA208)</f>
        <v xml:space="preserve"> </v>
      </c>
      <c r="Q208" s="95" t="str">
        <f>'ALL Other SINs - Proposal'!AC208</f>
        <v xml:space="preserve"> </v>
      </c>
      <c r="R208" s="100" t="str">
        <f>IF(ISBLANK('ALL Other SINs - Proposal'!AA208)," ",ROUND(Q208,2))</f>
        <v xml:space="preserve"> </v>
      </c>
      <c r="S208" s="54"/>
    </row>
    <row r="209" spans="1:19" ht="20.100000000000001" customHeight="1" x14ac:dyDescent="0.2">
      <c r="A209" s="127">
        <f>'ALL Other SINs - Proposal'!A209</f>
        <v>0</v>
      </c>
      <c r="B209" s="121">
        <f>'ALL Other SINs - Proposal'!B209</f>
        <v>0</v>
      </c>
      <c r="C209" s="121">
        <f>'ALL Other SINs - Proposal'!C209</f>
        <v>0</v>
      </c>
      <c r="D209" s="121">
        <f>'ALL Other SINs - Proposal'!D209</f>
        <v>0</v>
      </c>
      <c r="E209" s="121">
        <f>'ALL Other SINs - Proposal'!E209</f>
        <v>0</v>
      </c>
      <c r="F209" s="171">
        <f>'ALL Other SINs - Proposal'!F209</f>
        <v>0</v>
      </c>
      <c r="G209" s="51">
        <f>'ALL Other SINs - Proposal'!G209</f>
        <v>0</v>
      </c>
      <c r="H209" s="125">
        <f>'ALL Other SINs - Proposal'!H209</f>
        <v>0</v>
      </c>
      <c r="I209" s="125">
        <f>'ALL Other SINs - Proposal'!I209</f>
        <v>0</v>
      </c>
      <c r="J209" s="125">
        <f>'ALL Other SINs - Proposal'!J209</f>
        <v>0</v>
      </c>
      <c r="K209" s="125">
        <f>'ALL Other SINs - Proposal'!K209</f>
        <v>0</v>
      </c>
      <c r="L209" s="125">
        <f>'ALL Other SINs - Proposal'!L209</f>
        <v>0</v>
      </c>
      <c r="M209" s="206">
        <f>'ALL Other SINs - Proposal'!M209</f>
        <v>0</v>
      </c>
      <c r="N209" s="251">
        <f>'ALL Other SINs - Proposal'!V209</f>
        <v>0</v>
      </c>
      <c r="O209" s="201" t="str">
        <f>'Price Analysis'!N209</f>
        <v xml:space="preserve"> </v>
      </c>
      <c r="P209" s="53" t="str">
        <f>IF(ISBLANK('ALL Other SINs - Proposal'!AA209)," ",'ALL Other SINs - Proposal'!AA209)</f>
        <v xml:space="preserve"> </v>
      </c>
      <c r="Q209" s="95" t="str">
        <f>'ALL Other SINs - Proposal'!AC209</f>
        <v xml:space="preserve"> </v>
      </c>
      <c r="R209" s="100" t="str">
        <f>IF(ISBLANK('ALL Other SINs - Proposal'!AA209)," ",ROUND(Q209,2))</f>
        <v xml:space="preserve"> </v>
      </c>
      <c r="S209" s="54"/>
    </row>
    <row r="210" spans="1:19" ht="20.100000000000001" customHeight="1" x14ac:dyDescent="0.2">
      <c r="A210" s="127">
        <f>'ALL Other SINs - Proposal'!A210</f>
        <v>0</v>
      </c>
      <c r="B210" s="121">
        <f>'ALL Other SINs - Proposal'!B210</f>
        <v>0</v>
      </c>
      <c r="C210" s="121">
        <f>'ALL Other SINs - Proposal'!C210</f>
        <v>0</v>
      </c>
      <c r="D210" s="121">
        <f>'ALL Other SINs - Proposal'!D210</f>
        <v>0</v>
      </c>
      <c r="E210" s="121">
        <f>'ALL Other SINs - Proposal'!E210</f>
        <v>0</v>
      </c>
      <c r="F210" s="171">
        <f>'ALL Other SINs - Proposal'!F210</f>
        <v>0</v>
      </c>
      <c r="G210" s="51">
        <f>'ALL Other SINs - Proposal'!G210</f>
        <v>0</v>
      </c>
      <c r="H210" s="125">
        <f>'ALL Other SINs - Proposal'!H210</f>
        <v>0</v>
      </c>
      <c r="I210" s="125">
        <f>'ALL Other SINs - Proposal'!I210</f>
        <v>0</v>
      </c>
      <c r="J210" s="125">
        <f>'ALL Other SINs - Proposal'!J210</f>
        <v>0</v>
      </c>
      <c r="K210" s="125">
        <f>'ALL Other SINs - Proposal'!K210</f>
        <v>0</v>
      </c>
      <c r="L210" s="125">
        <f>'ALL Other SINs - Proposal'!L210</f>
        <v>0</v>
      </c>
      <c r="M210" s="206">
        <f>'ALL Other SINs - Proposal'!M210</f>
        <v>0</v>
      </c>
      <c r="N210" s="251">
        <f>'ALL Other SINs - Proposal'!V210</f>
        <v>0</v>
      </c>
      <c r="O210" s="201" t="str">
        <f>'Price Analysis'!N210</f>
        <v xml:space="preserve"> </v>
      </c>
      <c r="P210" s="53" t="str">
        <f>IF(ISBLANK('ALL Other SINs - Proposal'!AA210)," ",'ALL Other SINs - Proposal'!AA210)</f>
        <v xml:space="preserve"> </v>
      </c>
      <c r="Q210" s="95" t="str">
        <f>'ALL Other SINs - Proposal'!AC210</f>
        <v xml:space="preserve"> </v>
      </c>
      <c r="R210" s="100" t="str">
        <f>IF(ISBLANK('ALL Other SINs - Proposal'!AA210)," ",ROUND(Q210,2))</f>
        <v xml:space="preserve"> </v>
      </c>
      <c r="S210" s="54"/>
    </row>
    <row r="211" spans="1:19" ht="20.100000000000001" customHeight="1" x14ac:dyDescent="0.2">
      <c r="A211" s="127">
        <f>'ALL Other SINs - Proposal'!A211</f>
        <v>0</v>
      </c>
      <c r="B211" s="121">
        <f>'ALL Other SINs - Proposal'!B211</f>
        <v>0</v>
      </c>
      <c r="C211" s="121">
        <f>'ALL Other SINs - Proposal'!C211</f>
        <v>0</v>
      </c>
      <c r="D211" s="121">
        <f>'ALL Other SINs - Proposal'!D211</f>
        <v>0</v>
      </c>
      <c r="E211" s="121">
        <f>'ALL Other SINs - Proposal'!E211</f>
        <v>0</v>
      </c>
      <c r="F211" s="171">
        <f>'ALL Other SINs - Proposal'!F211</f>
        <v>0</v>
      </c>
      <c r="G211" s="51">
        <f>'ALL Other SINs - Proposal'!G211</f>
        <v>0</v>
      </c>
      <c r="H211" s="125">
        <f>'ALL Other SINs - Proposal'!H211</f>
        <v>0</v>
      </c>
      <c r="I211" s="125">
        <f>'ALL Other SINs - Proposal'!I211</f>
        <v>0</v>
      </c>
      <c r="J211" s="125">
        <f>'ALL Other SINs - Proposal'!J211</f>
        <v>0</v>
      </c>
      <c r="K211" s="125">
        <f>'ALL Other SINs - Proposal'!K211</f>
        <v>0</v>
      </c>
      <c r="L211" s="125">
        <f>'ALL Other SINs - Proposal'!L211</f>
        <v>0</v>
      </c>
      <c r="M211" s="206">
        <f>'ALL Other SINs - Proposal'!M211</f>
        <v>0</v>
      </c>
      <c r="N211" s="251">
        <f>'ALL Other SINs - Proposal'!V211</f>
        <v>0</v>
      </c>
      <c r="O211" s="201" t="str">
        <f>'Price Analysis'!N211</f>
        <v xml:space="preserve"> </v>
      </c>
      <c r="P211" s="53" t="str">
        <f>IF(ISBLANK('ALL Other SINs - Proposal'!AA211)," ",'ALL Other SINs - Proposal'!AA211)</f>
        <v xml:space="preserve"> </v>
      </c>
      <c r="Q211" s="95" t="str">
        <f>'ALL Other SINs - Proposal'!AC211</f>
        <v xml:space="preserve"> </v>
      </c>
      <c r="R211" s="100" t="str">
        <f>IF(ISBLANK('ALL Other SINs - Proposal'!AA211)," ",ROUND(Q211,2))</f>
        <v xml:space="preserve"> </v>
      </c>
      <c r="S211" s="54"/>
    </row>
    <row r="212" spans="1:19" ht="20.100000000000001" customHeight="1" x14ac:dyDescent="0.2">
      <c r="A212" s="127">
        <f>'ALL Other SINs - Proposal'!A212</f>
        <v>0</v>
      </c>
      <c r="B212" s="121">
        <f>'ALL Other SINs - Proposal'!B212</f>
        <v>0</v>
      </c>
      <c r="C212" s="121">
        <f>'ALL Other SINs - Proposal'!C212</f>
        <v>0</v>
      </c>
      <c r="D212" s="121">
        <f>'ALL Other SINs - Proposal'!D212</f>
        <v>0</v>
      </c>
      <c r="E212" s="121">
        <f>'ALL Other SINs - Proposal'!E212</f>
        <v>0</v>
      </c>
      <c r="F212" s="171">
        <f>'ALL Other SINs - Proposal'!F212</f>
        <v>0</v>
      </c>
      <c r="G212" s="51">
        <f>'ALL Other SINs - Proposal'!G212</f>
        <v>0</v>
      </c>
      <c r="H212" s="125">
        <f>'ALL Other SINs - Proposal'!H212</f>
        <v>0</v>
      </c>
      <c r="I212" s="125">
        <f>'ALL Other SINs - Proposal'!I212</f>
        <v>0</v>
      </c>
      <c r="J212" s="125">
        <f>'ALL Other SINs - Proposal'!J212</f>
        <v>0</v>
      </c>
      <c r="K212" s="125">
        <f>'ALL Other SINs - Proposal'!K212</f>
        <v>0</v>
      </c>
      <c r="L212" s="125">
        <f>'ALL Other SINs - Proposal'!L212</f>
        <v>0</v>
      </c>
      <c r="M212" s="206">
        <f>'ALL Other SINs - Proposal'!M212</f>
        <v>0</v>
      </c>
      <c r="N212" s="251">
        <f>'ALL Other SINs - Proposal'!V212</f>
        <v>0</v>
      </c>
      <c r="O212" s="201" t="str">
        <f>'Price Analysis'!N212</f>
        <v xml:space="preserve"> </v>
      </c>
      <c r="P212" s="53" t="str">
        <f>IF(ISBLANK('ALL Other SINs - Proposal'!AA212)," ",'ALL Other SINs - Proposal'!AA212)</f>
        <v xml:space="preserve"> </v>
      </c>
      <c r="Q212" s="95" t="str">
        <f>'ALL Other SINs - Proposal'!AC212</f>
        <v xml:space="preserve"> </v>
      </c>
      <c r="R212" s="100" t="str">
        <f>IF(ISBLANK('ALL Other SINs - Proposal'!AA212)," ",ROUND(Q212,2))</f>
        <v xml:space="preserve"> </v>
      </c>
      <c r="S212" s="54"/>
    </row>
    <row r="213" spans="1:19" ht="20.100000000000001" customHeight="1" x14ac:dyDescent="0.2">
      <c r="A213" s="127">
        <f>'ALL Other SINs - Proposal'!A213</f>
        <v>0</v>
      </c>
      <c r="B213" s="121">
        <f>'ALL Other SINs - Proposal'!B213</f>
        <v>0</v>
      </c>
      <c r="C213" s="121">
        <f>'ALL Other SINs - Proposal'!C213</f>
        <v>0</v>
      </c>
      <c r="D213" s="121">
        <f>'ALL Other SINs - Proposal'!D213</f>
        <v>0</v>
      </c>
      <c r="E213" s="121">
        <f>'ALL Other SINs - Proposal'!E213</f>
        <v>0</v>
      </c>
      <c r="F213" s="171">
        <f>'ALL Other SINs - Proposal'!F213</f>
        <v>0</v>
      </c>
      <c r="G213" s="51">
        <f>'ALL Other SINs - Proposal'!G213</f>
        <v>0</v>
      </c>
      <c r="H213" s="125">
        <f>'ALL Other SINs - Proposal'!H213</f>
        <v>0</v>
      </c>
      <c r="I213" s="125">
        <f>'ALL Other SINs - Proposal'!I213</f>
        <v>0</v>
      </c>
      <c r="J213" s="125">
        <f>'ALL Other SINs - Proposal'!J213</f>
        <v>0</v>
      </c>
      <c r="K213" s="125">
        <f>'ALL Other SINs - Proposal'!K213</f>
        <v>0</v>
      </c>
      <c r="L213" s="125">
        <f>'ALL Other SINs - Proposal'!L213</f>
        <v>0</v>
      </c>
      <c r="M213" s="206">
        <f>'ALL Other SINs - Proposal'!M213</f>
        <v>0</v>
      </c>
      <c r="N213" s="251">
        <f>'ALL Other SINs - Proposal'!V213</f>
        <v>0</v>
      </c>
      <c r="O213" s="201" t="str">
        <f>'Price Analysis'!N213</f>
        <v xml:space="preserve"> </v>
      </c>
      <c r="P213" s="53" t="str">
        <f>IF(ISBLANK('ALL Other SINs - Proposal'!AA213)," ",'ALL Other SINs - Proposal'!AA213)</f>
        <v xml:space="preserve"> </v>
      </c>
      <c r="Q213" s="95" t="str">
        <f>'ALL Other SINs - Proposal'!AC213</f>
        <v xml:space="preserve"> </v>
      </c>
      <c r="R213" s="100" t="str">
        <f>IF(ISBLANK('ALL Other SINs - Proposal'!AA213)," ",ROUND(Q213,2))</f>
        <v xml:space="preserve"> </v>
      </c>
      <c r="S213" s="54"/>
    </row>
    <row r="214" spans="1:19" ht="20.100000000000001" customHeight="1" x14ac:dyDescent="0.2">
      <c r="A214" s="127">
        <f>'ALL Other SINs - Proposal'!A214</f>
        <v>0</v>
      </c>
      <c r="B214" s="121">
        <f>'ALL Other SINs - Proposal'!B214</f>
        <v>0</v>
      </c>
      <c r="C214" s="121">
        <f>'ALL Other SINs - Proposal'!C214</f>
        <v>0</v>
      </c>
      <c r="D214" s="121">
        <f>'ALL Other SINs - Proposal'!D214</f>
        <v>0</v>
      </c>
      <c r="E214" s="121">
        <f>'ALL Other SINs - Proposal'!E214</f>
        <v>0</v>
      </c>
      <c r="F214" s="171">
        <f>'ALL Other SINs - Proposal'!F214</f>
        <v>0</v>
      </c>
      <c r="G214" s="51">
        <f>'ALL Other SINs - Proposal'!G214</f>
        <v>0</v>
      </c>
      <c r="H214" s="125">
        <f>'ALL Other SINs - Proposal'!H214</f>
        <v>0</v>
      </c>
      <c r="I214" s="125">
        <f>'ALL Other SINs - Proposal'!I214</f>
        <v>0</v>
      </c>
      <c r="J214" s="125">
        <f>'ALL Other SINs - Proposal'!J214</f>
        <v>0</v>
      </c>
      <c r="K214" s="125">
        <f>'ALL Other SINs - Proposal'!K214</f>
        <v>0</v>
      </c>
      <c r="L214" s="125">
        <f>'ALL Other SINs - Proposal'!L214</f>
        <v>0</v>
      </c>
      <c r="M214" s="206">
        <f>'ALL Other SINs - Proposal'!M214</f>
        <v>0</v>
      </c>
      <c r="N214" s="251">
        <f>'ALL Other SINs - Proposal'!V214</f>
        <v>0</v>
      </c>
      <c r="O214" s="201" t="str">
        <f>'Price Analysis'!N214</f>
        <v xml:space="preserve"> </v>
      </c>
      <c r="P214" s="53" t="str">
        <f>IF(ISBLANK('ALL Other SINs - Proposal'!AA214)," ",'ALL Other SINs - Proposal'!AA214)</f>
        <v xml:space="preserve"> </v>
      </c>
      <c r="Q214" s="95" t="str">
        <f>'ALL Other SINs - Proposal'!AC214</f>
        <v xml:space="preserve"> </v>
      </c>
      <c r="R214" s="100" t="str">
        <f>IF(ISBLANK('ALL Other SINs - Proposal'!AA214)," ",ROUND(Q214,2))</f>
        <v xml:space="preserve"> </v>
      </c>
      <c r="S214" s="54"/>
    </row>
    <row r="215" spans="1:19" ht="20.100000000000001" customHeight="1" x14ac:dyDescent="0.2">
      <c r="A215" s="127">
        <f>'ALL Other SINs - Proposal'!A215</f>
        <v>0</v>
      </c>
      <c r="B215" s="121">
        <f>'ALL Other SINs - Proposal'!B215</f>
        <v>0</v>
      </c>
      <c r="C215" s="121">
        <f>'ALL Other SINs - Proposal'!C215</f>
        <v>0</v>
      </c>
      <c r="D215" s="121">
        <f>'ALL Other SINs - Proposal'!D215</f>
        <v>0</v>
      </c>
      <c r="E215" s="121">
        <f>'ALL Other SINs - Proposal'!E215</f>
        <v>0</v>
      </c>
      <c r="F215" s="171">
        <f>'ALL Other SINs - Proposal'!F215</f>
        <v>0</v>
      </c>
      <c r="G215" s="51">
        <f>'ALL Other SINs - Proposal'!G215</f>
        <v>0</v>
      </c>
      <c r="H215" s="125">
        <f>'ALL Other SINs - Proposal'!H215</f>
        <v>0</v>
      </c>
      <c r="I215" s="125">
        <f>'ALL Other SINs - Proposal'!I215</f>
        <v>0</v>
      </c>
      <c r="J215" s="125">
        <f>'ALL Other SINs - Proposal'!J215</f>
        <v>0</v>
      </c>
      <c r="K215" s="125">
        <f>'ALL Other SINs - Proposal'!K215</f>
        <v>0</v>
      </c>
      <c r="L215" s="125">
        <f>'ALL Other SINs - Proposal'!L215</f>
        <v>0</v>
      </c>
      <c r="M215" s="206">
        <f>'ALL Other SINs - Proposal'!M215</f>
        <v>0</v>
      </c>
      <c r="N215" s="251">
        <f>'ALL Other SINs - Proposal'!V215</f>
        <v>0</v>
      </c>
      <c r="O215" s="201" t="str">
        <f>'Price Analysis'!N215</f>
        <v xml:space="preserve"> </v>
      </c>
      <c r="P215" s="53" t="str">
        <f>IF(ISBLANK('ALL Other SINs - Proposal'!AA215)," ",'ALL Other SINs - Proposal'!AA215)</f>
        <v xml:space="preserve"> </v>
      </c>
      <c r="Q215" s="95" t="str">
        <f>'ALL Other SINs - Proposal'!AC215</f>
        <v xml:space="preserve"> </v>
      </c>
      <c r="R215" s="100" t="str">
        <f>IF(ISBLANK('ALL Other SINs - Proposal'!AA215)," ",ROUND(Q215,2))</f>
        <v xml:space="preserve"> </v>
      </c>
      <c r="S215" s="54"/>
    </row>
    <row r="216" spans="1:19" ht="20.100000000000001" customHeight="1" x14ac:dyDescent="0.2">
      <c r="A216" s="127">
        <f>'ALL Other SINs - Proposal'!A216</f>
        <v>0</v>
      </c>
      <c r="B216" s="121">
        <f>'ALL Other SINs - Proposal'!B216</f>
        <v>0</v>
      </c>
      <c r="C216" s="121">
        <f>'ALL Other SINs - Proposal'!C216</f>
        <v>0</v>
      </c>
      <c r="D216" s="121">
        <f>'ALL Other SINs - Proposal'!D216</f>
        <v>0</v>
      </c>
      <c r="E216" s="121">
        <f>'ALL Other SINs - Proposal'!E216</f>
        <v>0</v>
      </c>
      <c r="F216" s="171">
        <f>'ALL Other SINs - Proposal'!F216</f>
        <v>0</v>
      </c>
      <c r="G216" s="51">
        <f>'ALL Other SINs - Proposal'!G216</f>
        <v>0</v>
      </c>
      <c r="H216" s="125">
        <f>'ALL Other SINs - Proposal'!H216</f>
        <v>0</v>
      </c>
      <c r="I216" s="125">
        <f>'ALL Other SINs - Proposal'!I216</f>
        <v>0</v>
      </c>
      <c r="J216" s="125">
        <f>'ALL Other SINs - Proposal'!J216</f>
        <v>0</v>
      </c>
      <c r="K216" s="125">
        <f>'ALL Other SINs - Proposal'!K216</f>
        <v>0</v>
      </c>
      <c r="L216" s="125">
        <f>'ALL Other SINs - Proposal'!L216</f>
        <v>0</v>
      </c>
      <c r="M216" s="206">
        <f>'ALL Other SINs - Proposal'!M216</f>
        <v>0</v>
      </c>
      <c r="N216" s="251">
        <f>'ALL Other SINs - Proposal'!V216</f>
        <v>0</v>
      </c>
      <c r="O216" s="201" t="str">
        <f>'Price Analysis'!N216</f>
        <v xml:space="preserve"> </v>
      </c>
      <c r="P216" s="53" t="str">
        <f>IF(ISBLANK('ALL Other SINs - Proposal'!AA216)," ",'ALL Other SINs - Proposal'!AA216)</f>
        <v xml:space="preserve"> </v>
      </c>
      <c r="Q216" s="95" t="str">
        <f>'ALL Other SINs - Proposal'!AC216</f>
        <v xml:space="preserve"> </v>
      </c>
      <c r="R216" s="100" t="str">
        <f>IF(ISBLANK('ALL Other SINs - Proposal'!AA216)," ",ROUND(Q216,2))</f>
        <v xml:space="preserve"> </v>
      </c>
      <c r="S216" s="54"/>
    </row>
    <row r="217" spans="1:19" ht="20.100000000000001" customHeight="1" x14ac:dyDescent="0.2">
      <c r="A217" s="127">
        <f>'ALL Other SINs - Proposal'!A217</f>
        <v>0</v>
      </c>
      <c r="B217" s="121">
        <f>'ALL Other SINs - Proposal'!B217</f>
        <v>0</v>
      </c>
      <c r="C217" s="121">
        <f>'ALL Other SINs - Proposal'!C217</f>
        <v>0</v>
      </c>
      <c r="D217" s="121">
        <f>'ALL Other SINs - Proposal'!D217</f>
        <v>0</v>
      </c>
      <c r="E217" s="121">
        <f>'ALL Other SINs - Proposal'!E217</f>
        <v>0</v>
      </c>
      <c r="F217" s="171">
        <f>'ALL Other SINs - Proposal'!F217</f>
        <v>0</v>
      </c>
      <c r="G217" s="51">
        <f>'ALL Other SINs - Proposal'!G217</f>
        <v>0</v>
      </c>
      <c r="H217" s="125">
        <f>'ALL Other SINs - Proposal'!H217</f>
        <v>0</v>
      </c>
      <c r="I217" s="125">
        <f>'ALL Other SINs - Proposal'!I217</f>
        <v>0</v>
      </c>
      <c r="J217" s="125">
        <f>'ALL Other SINs - Proposal'!J217</f>
        <v>0</v>
      </c>
      <c r="K217" s="125">
        <f>'ALL Other SINs - Proposal'!K217</f>
        <v>0</v>
      </c>
      <c r="L217" s="125">
        <f>'ALL Other SINs - Proposal'!L217</f>
        <v>0</v>
      </c>
      <c r="M217" s="206">
        <f>'ALL Other SINs - Proposal'!M217</f>
        <v>0</v>
      </c>
      <c r="N217" s="251">
        <f>'ALL Other SINs - Proposal'!V217</f>
        <v>0</v>
      </c>
      <c r="O217" s="201" t="str">
        <f>'Price Analysis'!N217</f>
        <v xml:space="preserve"> </v>
      </c>
      <c r="P217" s="53" t="str">
        <f>IF(ISBLANK('ALL Other SINs - Proposal'!AA217)," ",'ALL Other SINs - Proposal'!AA217)</f>
        <v xml:space="preserve"> </v>
      </c>
      <c r="Q217" s="95" t="str">
        <f>'ALL Other SINs - Proposal'!AC217</f>
        <v xml:space="preserve"> </v>
      </c>
      <c r="R217" s="100" t="str">
        <f>IF(ISBLANK('ALL Other SINs - Proposal'!AA217)," ",ROUND(Q217,2))</f>
        <v xml:space="preserve"> </v>
      </c>
      <c r="S217" s="54"/>
    </row>
    <row r="218" spans="1:19" ht="20.100000000000001" customHeight="1" x14ac:dyDescent="0.2">
      <c r="A218" s="127">
        <f>'ALL Other SINs - Proposal'!A218</f>
        <v>0</v>
      </c>
      <c r="B218" s="121">
        <f>'ALL Other SINs - Proposal'!B218</f>
        <v>0</v>
      </c>
      <c r="C218" s="121">
        <f>'ALL Other SINs - Proposal'!C218</f>
        <v>0</v>
      </c>
      <c r="D218" s="121">
        <f>'ALL Other SINs - Proposal'!D218</f>
        <v>0</v>
      </c>
      <c r="E218" s="121">
        <f>'ALL Other SINs - Proposal'!E218</f>
        <v>0</v>
      </c>
      <c r="F218" s="171">
        <f>'ALL Other SINs - Proposal'!F218</f>
        <v>0</v>
      </c>
      <c r="G218" s="51">
        <f>'ALL Other SINs - Proposal'!G218</f>
        <v>0</v>
      </c>
      <c r="H218" s="125">
        <f>'ALL Other SINs - Proposal'!H218</f>
        <v>0</v>
      </c>
      <c r="I218" s="125">
        <f>'ALL Other SINs - Proposal'!I218</f>
        <v>0</v>
      </c>
      <c r="J218" s="125">
        <f>'ALL Other SINs - Proposal'!J218</f>
        <v>0</v>
      </c>
      <c r="K218" s="125">
        <f>'ALL Other SINs - Proposal'!K218</f>
        <v>0</v>
      </c>
      <c r="L218" s="125">
        <f>'ALL Other SINs - Proposal'!L218</f>
        <v>0</v>
      </c>
      <c r="M218" s="206">
        <f>'ALL Other SINs - Proposal'!M218</f>
        <v>0</v>
      </c>
      <c r="N218" s="251">
        <f>'ALL Other SINs - Proposal'!V218</f>
        <v>0</v>
      </c>
      <c r="O218" s="201" t="str">
        <f>'Price Analysis'!N218</f>
        <v xml:space="preserve"> </v>
      </c>
      <c r="P218" s="53" t="str">
        <f>IF(ISBLANK('ALL Other SINs - Proposal'!AA218)," ",'ALL Other SINs - Proposal'!AA218)</f>
        <v xml:space="preserve"> </v>
      </c>
      <c r="Q218" s="95" t="str">
        <f>'ALL Other SINs - Proposal'!AC218</f>
        <v xml:space="preserve"> </v>
      </c>
      <c r="R218" s="100" t="str">
        <f>IF(ISBLANK('ALL Other SINs - Proposal'!AA218)," ",ROUND(Q218,2))</f>
        <v xml:space="preserve"> </v>
      </c>
      <c r="S218" s="54"/>
    </row>
    <row r="219" spans="1:19" ht="20.100000000000001" customHeight="1" x14ac:dyDescent="0.2">
      <c r="A219" s="127">
        <f>'ALL Other SINs - Proposal'!A219</f>
        <v>0</v>
      </c>
      <c r="B219" s="121">
        <f>'ALL Other SINs - Proposal'!B219</f>
        <v>0</v>
      </c>
      <c r="C219" s="121">
        <f>'ALL Other SINs - Proposal'!C219</f>
        <v>0</v>
      </c>
      <c r="D219" s="121">
        <f>'ALL Other SINs - Proposal'!D219</f>
        <v>0</v>
      </c>
      <c r="E219" s="121">
        <f>'ALL Other SINs - Proposal'!E219</f>
        <v>0</v>
      </c>
      <c r="F219" s="171">
        <f>'ALL Other SINs - Proposal'!F219</f>
        <v>0</v>
      </c>
      <c r="G219" s="51">
        <f>'ALL Other SINs - Proposal'!G219</f>
        <v>0</v>
      </c>
      <c r="H219" s="125">
        <f>'ALL Other SINs - Proposal'!H219</f>
        <v>0</v>
      </c>
      <c r="I219" s="125">
        <f>'ALL Other SINs - Proposal'!I219</f>
        <v>0</v>
      </c>
      <c r="J219" s="125">
        <f>'ALL Other SINs - Proposal'!J219</f>
        <v>0</v>
      </c>
      <c r="K219" s="125">
        <f>'ALL Other SINs - Proposal'!K219</f>
        <v>0</v>
      </c>
      <c r="L219" s="125">
        <f>'ALL Other SINs - Proposal'!L219</f>
        <v>0</v>
      </c>
      <c r="M219" s="206">
        <f>'ALL Other SINs - Proposal'!M219</f>
        <v>0</v>
      </c>
      <c r="N219" s="251">
        <f>'ALL Other SINs - Proposal'!V219</f>
        <v>0</v>
      </c>
      <c r="O219" s="201" t="str">
        <f>'Price Analysis'!N219</f>
        <v xml:space="preserve"> </v>
      </c>
      <c r="P219" s="53" t="str">
        <f>IF(ISBLANK('ALL Other SINs - Proposal'!AA219)," ",'ALL Other SINs - Proposal'!AA219)</f>
        <v xml:space="preserve"> </v>
      </c>
      <c r="Q219" s="95" t="str">
        <f>'ALL Other SINs - Proposal'!AC219</f>
        <v xml:space="preserve"> </v>
      </c>
      <c r="R219" s="100" t="str">
        <f>IF(ISBLANK('ALL Other SINs - Proposal'!AA219)," ",ROUND(Q219,2))</f>
        <v xml:space="preserve"> </v>
      </c>
      <c r="S219" s="54"/>
    </row>
    <row r="220" spans="1:19" ht="20.100000000000001" customHeight="1" x14ac:dyDescent="0.2">
      <c r="A220" s="127">
        <f>'ALL Other SINs - Proposal'!A220</f>
        <v>0</v>
      </c>
      <c r="B220" s="121">
        <f>'ALL Other SINs - Proposal'!B220</f>
        <v>0</v>
      </c>
      <c r="C220" s="121">
        <f>'ALL Other SINs - Proposal'!C220</f>
        <v>0</v>
      </c>
      <c r="D220" s="121">
        <f>'ALL Other SINs - Proposal'!D220</f>
        <v>0</v>
      </c>
      <c r="E220" s="121">
        <f>'ALL Other SINs - Proposal'!E220</f>
        <v>0</v>
      </c>
      <c r="F220" s="171">
        <f>'ALL Other SINs - Proposal'!F220</f>
        <v>0</v>
      </c>
      <c r="G220" s="51">
        <f>'ALL Other SINs - Proposal'!G220</f>
        <v>0</v>
      </c>
      <c r="H220" s="125">
        <f>'ALL Other SINs - Proposal'!H220</f>
        <v>0</v>
      </c>
      <c r="I220" s="125">
        <f>'ALL Other SINs - Proposal'!I220</f>
        <v>0</v>
      </c>
      <c r="J220" s="125">
        <f>'ALL Other SINs - Proposal'!J220</f>
        <v>0</v>
      </c>
      <c r="K220" s="125">
        <f>'ALL Other SINs - Proposal'!K220</f>
        <v>0</v>
      </c>
      <c r="L220" s="125">
        <f>'ALL Other SINs - Proposal'!L220</f>
        <v>0</v>
      </c>
      <c r="M220" s="206">
        <f>'ALL Other SINs - Proposal'!M220</f>
        <v>0</v>
      </c>
      <c r="N220" s="251">
        <f>'ALL Other SINs - Proposal'!V220</f>
        <v>0</v>
      </c>
      <c r="O220" s="201" t="str">
        <f>'Price Analysis'!N220</f>
        <v xml:space="preserve"> </v>
      </c>
      <c r="P220" s="53" t="str">
        <f>IF(ISBLANK('ALL Other SINs - Proposal'!AA220)," ",'ALL Other SINs - Proposal'!AA220)</f>
        <v xml:space="preserve"> </v>
      </c>
      <c r="Q220" s="95" t="str">
        <f>'ALL Other SINs - Proposal'!AC220</f>
        <v xml:space="preserve"> </v>
      </c>
      <c r="R220" s="100" t="str">
        <f>IF(ISBLANK('ALL Other SINs - Proposal'!AA220)," ",ROUND(Q220,2))</f>
        <v xml:space="preserve"> </v>
      </c>
      <c r="S220" s="54"/>
    </row>
    <row r="221" spans="1:19" ht="20.100000000000001" customHeight="1" x14ac:dyDescent="0.2">
      <c r="A221" s="127">
        <f>'ALL Other SINs - Proposal'!A221</f>
        <v>0</v>
      </c>
      <c r="B221" s="121">
        <f>'ALL Other SINs - Proposal'!B221</f>
        <v>0</v>
      </c>
      <c r="C221" s="121">
        <f>'ALL Other SINs - Proposal'!C221</f>
        <v>0</v>
      </c>
      <c r="D221" s="121">
        <f>'ALL Other SINs - Proposal'!D221</f>
        <v>0</v>
      </c>
      <c r="E221" s="121">
        <f>'ALL Other SINs - Proposal'!E221</f>
        <v>0</v>
      </c>
      <c r="F221" s="171">
        <f>'ALL Other SINs - Proposal'!F221</f>
        <v>0</v>
      </c>
      <c r="G221" s="51">
        <f>'ALL Other SINs - Proposal'!G221</f>
        <v>0</v>
      </c>
      <c r="H221" s="125">
        <f>'ALL Other SINs - Proposal'!H221</f>
        <v>0</v>
      </c>
      <c r="I221" s="125">
        <f>'ALL Other SINs - Proposal'!I221</f>
        <v>0</v>
      </c>
      <c r="J221" s="125">
        <f>'ALL Other SINs - Proposal'!J221</f>
        <v>0</v>
      </c>
      <c r="K221" s="125">
        <f>'ALL Other SINs - Proposal'!K221</f>
        <v>0</v>
      </c>
      <c r="L221" s="125">
        <f>'ALL Other SINs - Proposal'!L221</f>
        <v>0</v>
      </c>
      <c r="M221" s="206">
        <f>'ALL Other SINs - Proposal'!M221</f>
        <v>0</v>
      </c>
      <c r="N221" s="251">
        <f>'ALL Other SINs - Proposal'!V221</f>
        <v>0</v>
      </c>
      <c r="O221" s="201" t="str">
        <f>'Price Analysis'!N221</f>
        <v xml:space="preserve"> </v>
      </c>
      <c r="P221" s="53" t="str">
        <f>IF(ISBLANK('ALL Other SINs - Proposal'!AA221)," ",'ALL Other SINs - Proposal'!AA221)</f>
        <v xml:space="preserve"> </v>
      </c>
      <c r="Q221" s="95" t="str">
        <f>'ALL Other SINs - Proposal'!AC221</f>
        <v xml:space="preserve"> </v>
      </c>
      <c r="R221" s="100" t="str">
        <f>IF(ISBLANK('ALL Other SINs - Proposal'!AA221)," ",ROUND(Q221,2))</f>
        <v xml:space="preserve"> </v>
      </c>
      <c r="S221" s="54"/>
    </row>
    <row r="222" spans="1:19" ht="20.100000000000001" customHeight="1" x14ac:dyDescent="0.2">
      <c r="A222" s="127">
        <f>'ALL Other SINs - Proposal'!A222</f>
        <v>0</v>
      </c>
      <c r="B222" s="121">
        <f>'ALL Other SINs - Proposal'!B222</f>
        <v>0</v>
      </c>
      <c r="C222" s="121">
        <f>'ALL Other SINs - Proposal'!C222</f>
        <v>0</v>
      </c>
      <c r="D222" s="121">
        <f>'ALL Other SINs - Proposal'!D222</f>
        <v>0</v>
      </c>
      <c r="E222" s="121">
        <f>'ALL Other SINs - Proposal'!E222</f>
        <v>0</v>
      </c>
      <c r="F222" s="171">
        <f>'ALL Other SINs - Proposal'!F222</f>
        <v>0</v>
      </c>
      <c r="G222" s="51">
        <f>'ALL Other SINs - Proposal'!G222</f>
        <v>0</v>
      </c>
      <c r="H222" s="125">
        <f>'ALL Other SINs - Proposal'!H222</f>
        <v>0</v>
      </c>
      <c r="I222" s="125">
        <f>'ALL Other SINs - Proposal'!I222</f>
        <v>0</v>
      </c>
      <c r="J222" s="125">
        <f>'ALL Other SINs - Proposal'!J222</f>
        <v>0</v>
      </c>
      <c r="K222" s="125">
        <f>'ALL Other SINs - Proposal'!K222</f>
        <v>0</v>
      </c>
      <c r="L222" s="125">
        <f>'ALL Other SINs - Proposal'!L222</f>
        <v>0</v>
      </c>
      <c r="M222" s="206">
        <f>'ALL Other SINs - Proposal'!M222</f>
        <v>0</v>
      </c>
      <c r="N222" s="251">
        <f>'ALL Other SINs - Proposal'!V222</f>
        <v>0</v>
      </c>
      <c r="O222" s="201" t="str">
        <f>'Price Analysis'!N222</f>
        <v xml:space="preserve"> </v>
      </c>
      <c r="P222" s="53" t="str">
        <f>IF(ISBLANK('ALL Other SINs - Proposal'!AA222)," ",'ALL Other SINs - Proposal'!AA222)</f>
        <v xml:space="preserve"> </v>
      </c>
      <c r="Q222" s="95" t="str">
        <f>'ALL Other SINs - Proposal'!AC222</f>
        <v xml:space="preserve"> </v>
      </c>
      <c r="R222" s="100" t="str">
        <f>IF(ISBLANK('ALL Other SINs - Proposal'!AA222)," ",ROUND(Q222,2))</f>
        <v xml:space="preserve"> </v>
      </c>
      <c r="S222" s="54"/>
    </row>
    <row r="223" spans="1:19" ht="20.100000000000001" customHeight="1" x14ac:dyDescent="0.2">
      <c r="A223" s="127">
        <f>'ALL Other SINs - Proposal'!A223</f>
        <v>0</v>
      </c>
      <c r="B223" s="121">
        <f>'ALL Other SINs - Proposal'!B223</f>
        <v>0</v>
      </c>
      <c r="C223" s="121">
        <f>'ALL Other SINs - Proposal'!C223</f>
        <v>0</v>
      </c>
      <c r="D223" s="121">
        <f>'ALL Other SINs - Proposal'!D223</f>
        <v>0</v>
      </c>
      <c r="E223" s="121">
        <f>'ALL Other SINs - Proposal'!E223</f>
        <v>0</v>
      </c>
      <c r="F223" s="171">
        <f>'ALL Other SINs - Proposal'!F223</f>
        <v>0</v>
      </c>
      <c r="G223" s="51">
        <f>'ALL Other SINs - Proposal'!G223</f>
        <v>0</v>
      </c>
      <c r="H223" s="125">
        <f>'ALL Other SINs - Proposal'!H223</f>
        <v>0</v>
      </c>
      <c r="I223" s="125">
        <f>'ALL Other SINs - Proposal'!I223</f>
        <v>0</v>
      </c>
      <c r="J223" s="125">
        <f>'ALL Other SINs - Proposal'!J223</f>
        <v>0</v>
      </c>
      <c r="K223" s="125">
        <f>'ALL Other SINs - Proposal'!K223</f>
        <v>0</v>
      </c>
      <c r="L223" s="125">
        <f>'ALL Other SINs - Proposal'!L223</f>
        <v>0</v>
      </c>
      <c r="M223" s="206">
        <f>'ALL Other SINs - Proposal'!M223</f>
        <v>0</v>
      </c>
      <c r="N223" s="251">
        <f>'ALL Other SINs - Proposal'!V223</f>
        <v>0</v>
      </c>
      <c r="O223" s="201" t="str">
        <f>'Price Analysis'!N223</f>
        <v xml:space="preserve"> </v>
      </c>
      <c r="P223" s="53" t="str">
        <f>IF(ISBLANK('ALL Other SINs - Proposal'!AA223)," ",'ALL Other SINs - Proposal'!AA223)</f>
        <v xml:space="preserve"> </v>
      </c>
      <c r="Q223" s="95" t="str">
        <f>'ALL Other SINs - Proposal'!AC223</f>
        <v xml:space="preserve"> </v>
      </c>
      <c r="R223" s="100" t="str">
        <f>IF(ISBLANK('ALL Other SINs - Proposal'!AA223)," ",ROUND(Q223,2))</f>
        <v xml:space="preserve"> </v>
      </c>
      <c r="S223" s="54"/>
    </row>
    <row r="224" spans="1:19" ht="20.100000000000001" customHeight="1" x14ac:dyDescent="0.2">
      <c r="A224" s="127">
        <f>'ALL Other SINs - Proposal'!A224</f>
        <v>0</v>
      </c>
      <c r="B224" s="121">
        <f>'ALL Other SINs - Proposal'!B224</f>
        <v>0</v>
      </c>
      <c r="C224" s="121">
        <f>'ALL Other SINs - Proposal'!C224</f>
        <v>0</v>
      </c>
      <c r="D224" s="121">
        <f>'ALL Other SINs - Proposal'!D224</f>
        <v>0</v>
      </c>
      <c r="E224" s="121">
        <f>'ALL Other SINs - Proposal'!E224</f>
        <v>0</v>
      </c>
      <c r="F224" s="171">
        <f>'ALL Other SINs - Proposal'!F224</f>
        <v>0</v>
      </c>
      <c r="G224" s="51">
        <f>'ALL Other SINs - Proposal'!G224</f>
        <v>0</v>
      </c>
      <c r="H224" s="125">
        <f>'ALL Other SINs - Proposal'!H224</f>
        <v>0</v>
      </c>
      <c r="I224" s="125">
        <f>'ALL Other SINs - Proposal'!I224</f>
        <v>0</v>
      </c>
      <c r="J224" s="125">
        <f>'ALL Other SINs - Proposal'!J224</f>
        <v>0</v>
      </c>
      <c r="K224" s="125">
        <f>'ALL Other SINs - Proposal'!K224</f>
        <v>0</v>
      </c>
      <c r="L224" s="125">
        <f>'ALL Other SINs - Proposal'!L224</f>
        <v>0</v>
      </c>
      <c r="M224" s="206">
        <f>'ALL Other SINs - Proposal'!M224</f>
        <v>0</v>
      </c>
      <c r="N224" s="251">
        <f>'ALL Other SINs - Proposal'!V224</f>
        <v>0</v>
      </c>
      <c r="O224" s="201" t="str">
        <f>'Price Analysis'!N224</f>
        <v xml:space="preserve"> </v>
      </c>
      <c r="P224" s="53" t="str">
        <f>IF(ISBLANK('ALL Other SINs - Proposal'!AA224)," ",'ALL Other SINs - Proposal'!AA224)</f>
        <v xml:space="preserve"> </v>
      </c>
      <c r="Q224" s="95" t="str">
        <f>'ALL Other SINs - Proposal'!AC224</f>
        <v xml:space="preserve"> </v>
      </c>
      <c r="R224" s="100" t="str">
        <f>IF(ISBLANK('ALL Other SINs - Proposal'!AA224)," ",ROUND(Q224,2))</f>
        <v xml:space="preserve"> </v>
      </c>
      <c r="S224" s="54"/>
    </row>
    <row r="225" spans="1:19" ht="20.100000000000001" customHeight="1" x14ac:dyDescent="0.2">
      <c r="A225" s="127">
        <f>'ALL Other SINs - Proposal'!A225</f>
        <v>0</v>
      </c>
      <c r="B225" s="121">
        <f>'ALL Other SINs - Proposal'!B225</f>
        <v>0</v>
      </c>
      <c r="C225" s="121">
        <f>'ALL Other SINs - Proposal'!C225</f>
        <v>0</v>
      </c>
      <c r="D225" s="121">
        <f>'ALL Other SINs - Proposal'!D225</f>
        <v>0</v>
      </c>
      <c r="E225" s="121">
        <f>'ALL Other SINs - Proposal'!E225</f>
        <v>0</v>
      </c>
      <c r="F225" s="171">
        <f>'ALL Other SINs - Proposal'!F225</f>
        <v>0</v>
      </c>
      <c r="G225" s="51">
        <f>'ALL Other SINs - Proposal'!G225</f>
        <v>0</v>
      </c>
      <c r="H225" s="125">
        <f>'ALL Other SINs - Proposal'!H225</f>
        <v>0</v>
      </c>
      <c r="I225" s="125">
        <f>'ALL Other SINs - Proposal'!I225</f>
        <v>0</v>
      </c>
      <c r="J225" s="125">
        <f>'ALL Other SINs - Proposal'!J225</f>
        <v>0</v>
      </c>
      <c r="K225" s="125">
        <f>'ALL Other SINs - Proposal'!K225</f>
        <v>0</v>
      </c>
      <c r="L225" s="125">
        <f>'ALL Other SINs - Proposal'!L225</f>
        <v>0</v>
      </c>
      <c r="M225" s="206">
        <f>'ALL Other SINs - Proposal'!M225</f>
        <v>0</v>
      </c>
      <c r="N225" s="251">
        <f>'ALL Other SINs - Proposal'!V225</f>
        <v>0</v>
      </c>
      <c r="O225" s="201" t="str">
        <f>'Price Analysis'!N225</f>
        <v xml:space="preserve"> </v>
      </c>
      <c r="P225" s="53" t="str">
        <f>IF(ISBLANK('ALL Other SINs - Proposal'!AA225)," ",'ALL Other SINs - Proposal'!AA225)</f>
        <v xml:space="preserve"> </v>
      </c>
      <c r="Q225" s="95" t="str">
        <f>'ALL Other SINs - Proposal'!AC225</f>
        <v xml:space="preserve"> </v>
      </c>
      <c r="R225" s="100" t="str">
        <f>IF(ISBLANK('ALL Other SINs - Proposal'!AA225)," ",ROUND(Q225,2))</f>
        <v xml:space="preserve"> </v>
      </c>
      <c r="S225" s="54"/>
    </row>
    <row r="226" spans="1:19" ht="20.100000000000001" customHeight="1" x14ac:dyDescent="0.2">
      <c r="A226" s="127">
        <f>'ALL Other SINs - Proposal'!A226</f>
        <v>0</v>
      </c>
      <c r="B226" s="121">
        <f>'ALL Other SINs - Proposal'!B226</f>
        <v>0</v>
      </c>
      <c r="C226" s="121">
        <f>'ALL Other SINs - Proposal'!C226</f>
        <v>0</v>
      </c>
      <c r="D226" s="121">
        <f>'ALL Other SINs - Proposal'!D226</f>
        <v>0</v>
      </c>
      <c r="E226" s="121">
        <f>'ALL Other SINs - Proposal'!E226</f>
        <v>0</v>
      </c>
      <c r="F226" s="171">
        <f>'ALL Other SINs - Proposal'!F226</f>
        <v>0</v>
      </c>
      <c r="G226" s="51">
        <f>'ALL Other SINs - Proposal'!G226</f>
        <v>0</v>
      </c>
      <c r="H226" s="125">
        <f>'ALL Other SINs - Proposal'!H226</f>
        <v>0</v>
      </c>
      <c r="I226" s="125">
        <f>'ALL Other SINs - Proposal'!I226</f>
        <v>0</v>
      </c>
      <c r="J226" s="125">
        <f>'ALL Other SINs - Proposal'!J226</f>
        <v>0</v>
      </c>
      <c r="K226" s="125">
        <f>'ALL Other SINs - Proposal'!K226</f>
        <v>0</v>
      </c>
      <c r="L226" s="125">
        <f>'ALL Other SINs - Proposal'!L226</f>
        <v>0</v>
      </c>
      <c r="M226" s="206">
        <f>'ALL Other SINs - Proposal'!M226</f>
        <v>0</v>
      </c>
      <c r="N226" s="251">
        <f>'ALL Other SINs - Proposal'!V226</f>
        <v>0</v>
      </c>
      <c r="O226" s="201" t="str">
        <f>'Price Analysis'!N226</f>
        <v xml:space="preserve"> </v>
      </c>
      <c r="P226" s="53" t="str">
        <f>IF(ISBLANK('ALL Other SINs - Proposal'!AA226)," ",'ALL Other SINs - Proposal'!AA226)</f>
        <v xml:space="preserve"> </v>
      </c>
      <c r="Q226" s="95" t="str">
        <f>'ALL Other SINs - Proposal'!AC226</f>
        <v xml:space="preserve"> </v>
      </c>
      <c r="R226" s="100" t="str">
        <f>IF(ISBLANK('ALL Other SINs - Proposal'!AA226)," ",ROUND(Q226,2))</f>
        <v xml:space="preserve"> </v>
      </c>
      <c r="S226" s="54"/>
    </row>
    <row r="227" spans="1:19" ht="20.100000000000001" customHeight="1" x14ac:dyDescent="0.2">
      <c r="A227" s="127">
        <f>'ALL Other SINs - Proposal'!A227</f>
        <v>0</v>
      </c>
      <c r="B227" s="121">
        <f>'ALL Other SINs - Proposal'!B227</f>
        <v>0</v>
      </c>
      <c r="C227" s="121">
        <f>'ALL Other SINs - Proposal'!C227</f>
        <v>0</v>
      </c>
      <c r="D227" s="121">
        <f>'ALL Other SINs - Proposal'!D227</f>
        <v>0</v>
      </c>
      <c r="E227" s="121">
        <f>'ALL Other SINs - Proposal'!E227</f>
        <v>0</v>
      </c>
      <c r="F227" s="171">
        <f>'ALL Other SINs - Proposal'!F227</f>
        <v>0</v>
      </c>
      <c r="G227" s="51">
        <f>'ALL Other SINs - Proposal'!G227</f>
        <v>0</v>
      </c>
      <c r="H227" s="125">
        <f>'ALL Other SINs - Proposal'!H227</f>
        <v>0</v>
      </c>
      <c r="I227" s="125">
        <f>'ALL Other SINs - Proposal'!I227</f>
        <v>0</v>
      </c>
      <c r="J227" s="125">
        <f>'ALL Other SINs - Proposal'!J227</f>
        <v>0</v>
      </c>
      <c r="K227" s="125">
        <f>'ALL Other SINs - Proposal'!K227</f>
        <v>0</v>
      </c>
      <c r="L227" s="125">
        <f>'ALL Other SINs - Proposal'!L227</f>
        <v>0</v>
      </c>
      <c r="M227" s="206">
        <f>'ALL Other SINs - Proposal'!M227</f>
        <v>0</v>
      </c>
      <c r="N227" s="251">
        <f>'ALL Other SINs - Proposal'!V227</f>
        <v>0</v>
      </c>
      <c r="O227" s="201" t="str">
        <f>'Price Analysis'!N227</f>
        <v xml:space="preserve"> </v>
      </c>
      <c r="P227" s="53" t="str">
        <f>IF(ISBLANK('ALL Other SINs - Proposal'!AA227)," ",'ALL Other SINs - Proposal'!AA227)</f>
        <v xml:space="preserve"> </v>
      </c>
      <c r="Q227" s="95" t="str">
        <f>'ALL Other SINs - Proposal'!AC227</f>
        <v xml:space="preserve"> </v>
      </c>
      <c r="R227" s="100" t="str">
        <f>IF(ISBLANK('ALL Other SINs - Proposal'!AA227)," ",ROUND(Q227,2))</f>
        <v xml:space="preserve"> </v>
      </c>
      <c r="S227" s="54"/>
    </row>
    <row r="228" spans="1:19" ht="20.100000000000001" customHeight="1" x14ac:dyDescent="0.2">
      <c r="A228" s="127">
        <f>'ALL Other SINs - Proposal'!A228</f>
        <v>0</v>
      </c>
      <c r="B228" s="121">
        <f>'ALL Other SINs - Proposal'!B228</f>
        <v>0</v>
      </c>
      <c r="C228" s="121">
        <f>'ALL Other SINs - Proposal'!C228</f>
        <v>0</v>
      </c>
      <c r="D228" s="121">
        <f>'ALL Other SINs - Proposal'!D228</f>
        <v>0</v>
      </c>
      <c r="E228" s="121">
        <f>'ALL Other SINs - Proposal'!E228</f>
        <v>0</v>
      </c>
      <c r="F228" s="171">
        <f>'ALL Other SINs - Proposal'!F228</f>
        <v>0</v>
      </c>
      <c r="G228" s="51">
        <f>'ALL Other SINs - Proposal'!G228</f>
        <v>0</v>
      </c>
      <c r="H228" s="125">
        <f>'ALL Other SINs - Proposal'!H228</f>
        <v>0</v>
      </c>
      <c r="I228" s="125">
        <f>'ALL Other SINs - Proposal'!I228</f>
        <v>0</v>
      </c>
      <c r="J228" s="125">
        <f>'ALL Other SINs - Proposal'!J228</f>
        <v>0</v>
      </c>
      <c r="K228" s="125">
        <f>'ALL Other SINs - Proposal'!K228</f>
        <v>0</v>
      </c>
      <c r="L228" s="125">
        <f>'ALL Other SINs - Proposal'!L228</f>
        <v>0</v>
      </c>
      <c r="M228" s="206">
        <f>'ALL Other SINs - Proposal'!M228</f>
        <v>0</v>
      </c>
      <c r="N228" s="251">
        <f>'ALL Other SINs - Proposal'!V228</f>
        <v>0</v>
      </c>
      <c r="O228" s="201" t="str">
        <f>'Price Analysis'!N228</f>
        <v xml:space="preserve"> </v>
      </c>
      <c r="P228" s="53" t="str">
        <f>IF(ISBLANK('ALL Other SINs - Proposal'!AA228)," ",'ALL Other SINs - Proposal'!AA228)</f>
        <v xml:space="preserve"> </v>
      </c>
      <c r="Q228" s="95" t="str">
        <f>'ALL Other SINs - Proposal'!AC228</f>
        <v xml:space="preserve"> </v>
      </c>
      <c r="R228" s="100" t="str">
        <f>IF(ISBLANK('ALL Other SINs - Proposal'!AA228)," ",ROUND(Q228,2))</f>
        <v xml:space="preserve"> </v>
      </c>
      <c r="S228" s="54"/>
    </row>
    <row r="229" spans="1:19" ht="20.100000000000001" customHeight="1" x14ac:dyDescent="0.2">
      <c r="A229" s="127">
        <f>'ALL Other SINs - Proposal'!A229</f>
        <v>0</v>
      </c>
      <c r="B229" s="121">
        <f>'ALL Other SINs - Proposal'!B229</f>
        <v>0</v>
      </c>
      <c r="C229" s="121">
        <f>'ALL Other SINs - Proposal'!C229</f>
        <v>0</v>
      </c>
      <c r="D229" s="121">
        <f>'ALL Other SINs - Proposal'!D229</f>
        <v>0</v>
      </c>
      <c r="E229" s="121">
        <f>'ALL Other SINs - Proposal'!E229</f>
        <v>0</v>
      </c>
      <c r="F229" s="171">
        <f>'ALL Other SINs - Proposal'!F229</f>
        <v>0</v>
      </c>
      <c r="G229" s="51">
        <f>'ALL Other SINs - Proposal'!G229</f>
        <v>0</v>
      </c>
      <c r="H229" s="125">
        <f>'ALL Other SINs - Proposal'!H229</f>
        <v>0</v>
      </c>
      <c r="I229" s="125">
        <f>'ALL Other SINs - Proposal'!I229</f>
        <v>0</v>
      </c>
      <c r="J229" s="125">
        <f>'ALL Other SINs - Proposal'!J229</f>
        <v>0</v>
      </c>
      <c r="K229" s="125">
        <f>'ALL Other SINs - Proposal'!K229</f>
        <v>0</v>
      </c>
      <c r="L229" s="125">
        <f>'ALL Other SINs - Proposal'!L229</f>
        <v>0</v>
      </c>
      <c r="M229" s="206">
        <f>'ALL Other SINs - Proposal'!M229</f>
        <v>0</v>
      </c>
      <c r="N229" s="251">
        <f>'ALL Other SINs - Proposal'!V229</f>
        <v>0</v>
      </c>
      <c r="O229" s="201" t="str">
        <f>'Price Analysis'!N229</f>
        <v xml:space="preserve"> </v>
      </c>
      <c r="P229" s="53" t="str">
        <f>IF(ISBLANK('ALL Other SINs - Proposal'!AA229)," ",'ALL Other SINs - Proposal'!AA229)</f>
        <v xml:space="preserve"> </v>
      </c>
      <c r="Q229" s="95" t="str">
        <f>'ALL Other SINs - Proposal'!AC229</f>
        <v xml:space="preserve"> </v>
      </c>
      <c r="R229" s="100" t="str">
        <f>IF(ISBLANK('ALL Other SINs - Proposal'!AA229)," ",ROUND(Q229,2))</f>
        <v xml:space="preserve"> </v>
      </c>
      <c r="S229" s="54"/>
    </row>
    <row r="230" spans="1:19" ht="20.100000000000001" customHeight="1" x14ac:dyDescent="0.2">
      <c r="A230" s="127">
        <f>'ALL Other SINs - Proposal'!A230</f>
        <v>0</v>
      </c>
      <c r="B230" s="121">
        <f>'ALL Other SINs - Proposal'!B230</f>
        <v>0</v>
      </c>
      <c r="C230" s="121">
        <f>'ALL Other SINs - Proposal'!C230</f>
        <v>0</v>
      </c>
      <c r="D230" s="121">
        <f>'ALL Other SINs - Proposal'!D230</f>
        <v>0</v>
      </c>
      <c r="E230" s="121">
        <f>'ALL Other SINs - Proposal'!E230</f>
        <v>0</v>
      </c>
      <c r="F230" s="171">
        <f>'ALL Other SINs - Proposal'!F230</f>
        <v>0</v>
      </c>
      <c r="G230" s="51">
        <f>'ALL Other SINs - Proposal'!G230</f>
        <v>0</v>
      </c>
      <c r="H230" s="125">
        <f>'ALL Other SINs - Proposal'!H230</f>
        <v>0</v>
      </c>
      <c r="I230" s="125">
        <f>'ALL Other SINs - Proposal'!I230</f>
        <v>0</v>
      </c>
      <c r="J230" s="125">
        <f>'ALL Other SINs - Proposal'!J230</f>
        <v>0</v>
      </c>
      <c r="K230" s="125">
        <f>'ALL Other SINs - Proposal'!K230</f>
        <v>0</v>
      </c>
      <c r="L230" s="125">
        <f>'ALL Other SINs - Proposal'!L230</f>
        <v>0</v>
      </c>
      <c r="M230" s="206">
        <f>'ALL Other SINs - Proposal'!M230</f>
        <v>0</v>
      </c>
      <c r="N230" s="251">
        <f>'ALL Other SINs - Proposal'!V230</f>
        <v>0</v>
      </c>
      <c r="O230" s="201" t="str">
        <f>'Price Analysis'!N230</f>
        <v xml:space="preserve"> </v>
      </c>
      <c r="P230" s="53" t="str">
        <f>IF(ISBLANK('ALL Other SINs - Proposal'!AA230)," ",'ALL Other SINs - Proposal'!AA230)</f>
        <v xml:space="preserve"> </v>
      </c>
      <c r="Q230" s="95" t="str">
        <f>'ALL Other SINs - Proposal'!AC230</f>
        <v xml:space="preserve"> </v>
      </c>
      <c r="R230" s="100" t="str">
        <f>IF(ISBLANK('ALL Other SINs - Proposal'!AA230)," ",ROUND(Q230,2))</f>
        <v xml:space="preserve"> </v>
      </c>
      <c r="S230" s="54"/>
    </row>
    <row r="231" spans="1:19" ht="20.100000000000001" customHeight="1" x14ac:dyDescent="0.2">
      <c r="A231" s="127">
        <f>'ALL Other SINs - Proposal'!A231</f>
        <v>0</v>
      </c>
      <c r="B231" s="121">
        <f>'ALL Other SINs - Proposal'!B231</f>
        <v>0</v>
      </c>
      <c r="C231" s="121">
        <f>'ALL Other SINs - Proposal'!C231</f>
        <v>0</v>
      </c>
      <c r="D231" s="121">
        <f>'ALL Other SINs - Proposal'!D231</f>
        <v>0</v>
      </c>
      <c r="E231" s="121">
        <f>'ALL Other SINs - Proposal'!E231</f>
        <v>0</v>
      </c>
      <c r="F231" s="171">
        <f>'ALL Other SINs - Proposal'!F231</f>
        <v>0</v>
      </c>
      <c r="G231" s="51">
        <f>'ALL Other SINs - Proposal'!G231</f>
        <v>0</v>
      </c>
      <c r="H231" s="125">
        <f>'ALL Other SINs - Proposal'!H231</f>
        <v>0</v>
      </c>
      <c r="I231" s="125">
        <f>'ALL Other SINs - Proposal'!I231</f>
        <v>0</v>
      </c>
      <c r="J231" s="125">
        <f>'ALL Other SINs - Proposal'!J231</f>
        <v>0</v>
      </c>
      <c r="K231" s="125">
        <f>'ALL Other SINs - Proposal'!K231</f>
        <v>0</v>
      </c>
      <c r="L231" s="125">
        <f>'ALL Other SINs - Proposal'!L231</f>
        <v>0</v>
      </c>
      <c r="M231" s="206">
        <f>'ALL Other SINs - Proposal'!M231</f>
        <v>0</v>
      </c>
      <c r="N231" s="251">
        <f>'ALL Other SINs - Proposal'!V231</f>
        <v>0</v>
      </c>
      <c r="O231" s="201" t="str">
        <f>'Price Analysis'!N231</f>
        <v xml:space="preserve"> </v>
      </c>
      <c r="P231" s="53" t="str">
        <f>IF(ISBLANK('ALL Other SINs - Proposal'!AA231)," ",'ALL Other SINs - Proposal'!AA231)</f>
        <v xml:space="preserve"> </v>
      </c>
      <c r="Q231" s="95" t="str">
        <f>'ALL Other SINs - Proposal'!AC231</f>
        <v xml:space="preserve"> </v>
      </c>
      <c r="R231" s="100" t="str">
        <f>IF(ISBLANK('ALL Other SINs - Proposal'!AA231)," ",ROUND(Q231,2))</f>
        <v xml:space="preserve"> </v>
      </c>
      <c r="S231" s="54"/>
    </row>
    <row r="232" spans="1:19" ht="20.100000000000001" customHeight="1" x14ac:dyDescent="0.2">
      <c r="A232" s="127">
        <f>'ALL Other SINs - Proposal'!A232</f>
        <v>0</v>
      </c>
      <c r="B232" s="121">
        <f>'ALL Other SINs - Proposal'!B232</f>
        <v>0</v>
      </c>
      <c r="C232" s="121">
        <f>'ALL Other SINs - Proposal'!C232</f>
        <v>0</v>
      </c>
      <c r="D232" s="121">
        <f>'ALL Other SINs - Proposal'!D232</f>
        <v>0</v>
      </c>
      <c r="E232" s="121">
        <f>'ALL Other SINs - Proposal'!E232</f>
        <v>0</v>
      </c>
      <c r="F232" s="171">
        <f>'ALL Other SINs - Proposal'!F232</f>
        <v>0</v>
      </c>
      <c r="G232" s="51">
        <f>'ALL Other SINs - Proposal'!G232</f>
        <v>0</v>
      </c>
      <c r="H232" s="125">
        <f>'ALL Other SINs - Proposal'!H232</f>
        <v>0</v>
      </c>
      <c r="I232" s="125">
        <f>'ALL Other SINs - Proposal'!I232</f>
        <v>0</v>
      </c>
      <c r="J232" s="125">
        <f>'ALL Other SINs - Proposal'!J232</f>
        <v>0</v>
      </c>
      <c r="K232" s="125">
        <f>'ALL Other SINs - Proposal'!K232</f>
        <v>0</v>
      </c>
      <c r="L232" s="125">
        <f>'ALL Other SINs - Proposal'!L232</f>
        <v>0</v>
      </c>
      <c r="M232" s="206">
        <f>'ALL Other SINs - Proposal'!M232</f>
        <v>0</v>
      </c>
      <c r="N232" s="251">
        <f>'ALL Other SINs - Proposal'!V232</f>
        <v>0</v>
      </c>
      <c r="O232" s="201" t="str">
        <f>'Price Analysis'!N232</f>
        <v xml:space="preserve"> </v>
      </c>
      <c r="P232" s="53" t="str">
        <f>IF(ISBLANK('ALL Other SINs - Proposal'!AA232)," ",'ALL Other SINs - Proposal'!AA232)</f>
        <v xml:space="preserve"> </v>
      </c>
      <c r="Q232" s="95" t="str">
        <f>'ALL Other SINs - Proposal'!AC232</f>
        <v xml:space="preserve"> </v>
      </c>
      <c r="R232" s="100" t="str">
        <f>IF(ISBLANK('ALL Other SINs - Proposal'!AA232)," ",ROUND(Q232,2))</f>
        <v xml:space="preserve"> </v>
      </c>
      <c r="S232" s="54"/>
    </row>
    <row r="233" spans="1:19" ht="20.100000000000001" customHeight="1" x14ac:dyDescent="0.2">
      <c r="A233" s="127">
        <f>'ALL Other SINs - Proposal'!A233</f>
        <v>0</v>
      </c>
      <c r="B233" s="121">
        <f>'ALL Other SINs - Proposal'!B233</f>
        <v>0</v>
      </c>
      <c r="C233" s="121">
        <f>'ALL Other SINs - Proposal'!C233</f>
        <v>0</v>
      </c>
      <c r="D233" s="121">
        <f>'ALL Other SINs - Proposal'!D233</f>
        <v>0</v>
      </c>
      <c r="E233" s="121">
        <f>'ALL Other SINs - Proposal'!E233</f>
        <v>0</v>
      </c>
      <c r="F233" s="171">
        <f>'ALL Other SINs - Proposal'!F233</f>
        <v>0</v>
      </c>
      <c r="G233" s="51">
        <f>'ALL Other SINs - Proposal'!G233</f>
        <v>0</v>
      </c>
      <c r="H233" s="125">
        <f>'ALL Other SINs - Proposal'!H233</f>
        <v>0</v>
      </c>
      <c r="I233" s="125">
        <f>'ALL Other SINs - Proposal'!I233</f>
        <v>0</v>
      </c>
      <c r="J233" s="125">
        <f>'ALL Other SINs - Proposal'!J233</f>
        <v>0</v>
      </c>
      <c r="K233" s="125">
        <f>'ALL Other SINs - Proposal'!K233</f>
        <v>0</v>
      </c>
      <c r="L233" s="125">
        <f>'ALL Other SINs - Proposal'!L233</f>
        <v>0</v>
      </c>
      <c r="M233" s="206">
        <f>'ALL Other SINs - Proposal'!M233</f>
        <v>0</v>
      </c>
      <c r="N233" s="251">
        <f>'ALL Other SINs - Proposal'!V233</f>
        <v>0</v>
      </c>
      <c r="O233" s="201" t="str">
        <f>'Price Analysis'!N233</f>
        <v xml:space="preserve"> </v>
      </c>
      <c r="P233" s="53" t="str">
        <f>IF(ISBLANK('ALL Other SINs - Proposal'!AA233)," ",'ALL Other SINs - Proposal'!AA233)</f>
        <v xml:space="preserve"> </v>
      </c>
      <c r="Q233" s="95" t="str">
        <f>'ALL Other SINs - Proposal'!AC233</f>
        <v xml:space="preserve"> </v>
      </c>
      <c r="R233" s="100" t="str">
        <f>IF(ISBLANK('ALL Other SINs - Proposal'!AA233)," ",ROUND(Q233,2))</f>
        <v xml:space="preserve"> </v>
      </c>
      <c r="S233" s="54"/>
    </row>
    <row r="234" spans="1:19" ht="20.100000000000001" customHeight="1" x14ac:dyDescent="0.2">
      <c r="A234" s="127">
        <f>'ALL Other SINs - Proposal'!A234</f>
        <v>0</v>
      </c>
      <c r="B234" s="121">
        <f>'ALL Other SINs - Proposal'!B234</f>
        <v>0</v>
      </c>
      <c r="C234" s="121">
        <f>'ALL Other SINs - Proposal'!C234</f>
        <v>0</v>
      </c>
      <c r="D234" s="121">
        <f>'ALL Other SINs - Proposal'!D234</f>
        <v>0</v>
      </c>
      <c r="E234" s="121">
        <f>'ALL Other SINs - Proposal'!E234</f>
        <v>0</v>
      </c>
      <c r="F234" s="171">
        <f>'ALL Other SINs - Proposal'!F234</f>
        <v>0</v>
      </c>
      <c r="G234" s="51">
        <f>'ALL Other SINs - Proposal'!G234</f>
        <v>0</v>
      </c>
      <c r="H234" s="125">
        <f>'ALL Other SINs - Proposal'!H234</f>
        <v>0</v>
      </c>
      <c r="I234" s="125">
        <f>'ALL Other SINs - Proposal'!I234</f>
        <v>0</v>
      </c>
      <c r="J234" s="125">
        <f>'ALL Other SINs - Proposal'!J234</f>
        <v>0</v>
      </c>
      <c r="K234" s="125">
        <f>'ALL Other SINs - Proposal'!K234</f>
        <v>0</v>
      </c>
      <c r="L234" s="125">
        <f>'ALL Other SINs - Proposal'!L234</f>
        <v>0</v>
      </c>
      <c r="M234" s="206">
        <f>'ALL Other SINs - Proposal'!M234</f>
        <v>0</v>
      </c>
      <c r="N234" s="251">
        <f>'ALL Other SINs - Proposal'!V234</f>
        <v>0</v>
      </c>
      <c r="O234" s="201" t="str">
        <f>'Price Analysis'!N234</f>
        <v xml:space="preserve"> </v>
      </c>
      <c r="P234" s="53" t="str">
        <f>IF(ISBLANK('ALL Other SINs - Proposal'!AA234)," ",'ALL Other SINs - Proposal'!AA234)</f>
        <v xml:space="preserve"> </v>
      </c>
      <c r="Q234" s="95" t="str">
        <f>'ALL Other SINs - Proposal'!AC234</f>
        <v xml:space="preserve"> </v>
      </c>
      <c r="R234" s="100" t="str">
        <f>IF(ISBLANK('ALL Other SINs - Proposal'!AA234)," ",ROUND(Q234,2))</f>
        <v xml:space="preserve"> </v>
      </c>
      <c r="S234" s="54"/>
    </row>
    <row r="235" spans="1:19" ht="20.100000000000001" customHeight="1" x14ac:dyDescent="0.2">
      <c r="A235" s="127">
        <f>'ALL Other SINs - Proposal'!A235</f>
        <v>0</v>
      </c>
      <c r="B235" s="121">
        <f>'ALL Other SINs - Proposal'!B235</f>
        <v>0</v>
      </c>
      <c r="C235" s="121">
        <f>'ALL Other SINs - Proposal'!C235</f>
        <v>0</v>
      </c>
      <c r="D235" s="121">
        <f>'ALL Other SINs - Proposal'!D235</f>
        <v>0</v>
      </c>
      <c r="E235" s="121">
        <f>'ALL Other SINs - Proposal'!E235</f>
        <v>0</v>
      </c>
      <c r="F235" s="171">
        <f>'ALL Other SINs - Proposal'!F235</f>
        <v>0</v>
      </c>
      <c r="G235" s="51">
        <f>'ALL Other SINs - Proposal'!G235</f>
        <v>0</v>
      </c>
      <c r="H235" s="125">
        <f>'ALL Other SINs - Proposal'!H235</f>
        <v>0</v>
      </c>
      <c r="I235" s="125">
        <f>'ALL Other SINs - Proposal'!I235</f>
        <v>0</v>
      </c>
      <c r="J235" s="125">
        <f>'ALL Other SINs - Proposal'!J235</f>
        <v>0</v>
      </c>
      <c r="K235" s="125">
        <f>'ALL Other SINs - Proposal'!K235</f>
        <v>0</v>
      </c>
      <c r="L235" s="125">
        <f>'ALL Other SINs - Proposal'!L235</f>
        <v>0</v>
      </c>
      <c r="M235" s="206">
        <f>'ALL Other SINs - Proposal'!M235</f>
        <v>0</v>
      </c>
      <c r="N235" s="251">
        <f>'ALL Other SINs - Proposal'!V235</f>
        <v>0</v>
      </c>
      <c r="O235" s="201" t="str">
        <f>'Price Analysis'!N235</f>
        <v xml:space="preserve"> </v>
      </c>
      <c r="P235" s="53" t="str">
        <f>IF(ISBLANK('ALL Other SINs - Proposal'!AA235)," ",'ALL Other SINs - Proposal'!AA235)</f>
        <v xml:space="preserve"> </v>
      </c>
      <c r="Q235" s="95" t="str">
        <f>'ALL Other SINs - Proposal'!AC235</f>
        <v xml:space="preserve"> </v>
      </c>
      <c r="R235" s="100" t="str">
        <f>IF(ISBLANK('ALL Other SINs - Proposal'!AA235)," ",ROUND(Q235,2))</f>
        <v xml:space="preserve"> </v>
      </c>
      <c r="S235" s="54"/>
    </row>
    <row r="236" spans="1:19" ht="20.100000000000001" customHeight="1" x14ac:dyDescent="0.2">
      <c r="A236" s="127">
        <f>'ALL Other SINs - Proposal'!A236</f>
        <v>0</v>
      </c>
      <c r="B236" s="121">
        <f>'ALL Other SINs - Proposal'!B236</f>
        <v>0</v>
      </c>
      <c r="C236" s="121">
        <f>'ALL Other SINs - Proposal'!C236</f>
        <v>0</v>
      </c>
      <c r="D236" s="121">
        <f>'ALL Other SINs - Proposal'!D236</f>
        <v>0</v>
      </c>
      <c r="E236" s="121">
        <f>'ALL Other SINs - Proposal'!E236</f>
        <v>0</v>
      </c>
      <c r="F236" s="171">
        <f>'ALL Other SINs - Proposal'!F236</f>
        <v>0</v>
      </c>
      <c r="G236" s="51">
        <f>'ALL Other SINs - Proposal'!G236</f>
        <v>0</v>
      </c>
      <c r="H236" s="125">
        <f>'ALL Other SINs - Proposal'!H236</f>
        <v>0</v>
      </c>
      <c r="I236" s="125">
        <f>'ALL Other SINs - Proposal'!I236</f>
        <v>0</v>
      </c>
      <c r="J236" s="125">
        <f>'ALL Other SINs - Proposal'!J236</f>
        <v>0</v>
      </c>
      <c r="K236" s="125">
        <f>'ALL Other SINs - Proposal'!K236</f>
        <v>0</v>
      </c>
      <c r="L236" s="125">
        <f>'ALL Other SINs - Proposal'!L236</f>
        <v>0</v>
      </c>
      <c r="M236" s="206">
        <f>'ALL Other SINs - Proposal'!M236</f>
        <v>0</v>
      </c>
      <c r="N236" s="251">
        <f>'ALL Other SINs - Proposal'!V236</f>
        <v>0</v>
      </c>
      <c r="O236" s="201" t="str">
        <f>'Price Analysis'!N236</f>
        <v xml:space="preserve"> </v>
      </c>
      <c r="P236" s="53" t="str">
        <f>IF(ISBLANK('ALL Other SINs - Proposal'!AA236)," ",'ALL Other SINs - Proposal'!AA236)</f>
        <v xml:space="preserve"> </v>
      </c>
      <c r="Q236" s="95" t="str">
        <f>'ALL Other SINs - Proposal'!AC236</f>
        <v xml:space="preserve"> </v>
      </c>
      <c r="R236" s="100" t="str">
        <f>IF(ISBLANK('ALL Other SINs - Proposal'!AA236)," ",ROUND(Q236,2))</f>
        <v xml:space="preserve"> </v>
      </c>
      <c r="S236" s="54"/>
    </row>
    <row r="237" spans="1:19" ht="20.100000000000001" customHeight="1" x14ac:dyDescent="0.2">
      <c r="A237" s="127">
        <f>'ALL Other SINs - Proposal'!A237</f>
        <v>0</v>
      </c>
      <c r="B237" s="121">
        <f>'ALL Other SINs - Proposal'!B237</f>
        <v>0</v>
      </c>
      <c r="C237" s="121">
        <f>'ALL Other SINs - Proposal'!C237</f>
        <v>0</v>
      </c>
      <c r="D237" s="121">
        <f>'ALL Other SINs - Proposal'!D237</f>
        <v>0</v>
      </c>
      <c r="E237" s="121">
        <f>'ALL Other SINs - Proposal'!E237</f>
        <v>0</v>
      </c>
      <c r="F237" s="171">
        <f>'ALL Other SINs - Proposal'!F237</f>
        <v>0</v>
      </c>
      <c r="G237" s="51">
        <f>'ALL Other SINs - Proposal'!G237</f>
        <v>0</v>
      </c>
      <c r="H237" s="125">
        <f>'ALL Other SINs - Proposal'!H237</f>
        <v>0</v>
      </c>
      <c r="I237" s="125">
        <f>'ALL Other SINs - Proposal'!I237</f>
        <v>0</v>
      </c>
      <c r="J237" s="125">
        <f>'ALL Other SINs - Proposal'!J237</f>
        <v>0</v>
      </c>
      <c r="K237" s="125">
        <f>'ALL Other SINs - Proposal'!K237</f>
        <v>0</v>
      </c>
      <c r="L237" s="125">
        <f>'ALL Other SINs - Proposal'!L237</f>
        <v>0</v>
      </c>
      <c r="M237" s="206">
        <f>'ALL Other SINs - Proposal'!M237</f>
        <v>0</v>
      </c>
      <c r="N237" s="251">
        <f>'ALL Other SINs - Proposal'!V237</f>
        <v>0</v>
      </c>
      <c r="O237" s="201" t="str">
        <f>'Price Analysis'!N237</f>
        <v xml:space="preserve"> </v>
      </c>
      <c r="P237" s="53" t="str">
        <f>IF(ISBLANK('ALL Other SINs - Proposal'!AA237)," ",'ALL Other SINs - Proposal'!AA237)</f>
        <v xml:space="preserve"> </v>
      </c>
      <c r="Q237" s="95" t="str">
        <f>'ALL Other SINs - Proposal'!AC237</f>
        <v xml:space="preserve"> </v>
      </c>
      <c r="R237" s="100" t="str">
        <f>IF(ISBLANK('ALL Other SINs - Proposal'!AA237)," ",ROUND(Q237,2))</f>
        <v xml:space="preserve"> </v>
      </c>
      <c r="S237" s="54"/>
    </row>
    <row r="238" spans="1:19" ht="20.100000000000001" customHeight="1" x14ac:dyDescent="0.2">
      <c r="A238" s="127">
        <f>'ALL Other SINs - Proposal'!A238</f>
        <v>0</v>
      </c>
      <c r="B238" s="121">
        <f>'ALL Other SINs - Proposal'!B238</f>
        <v>0</v>
      </c>
      <c r="C238" s="121">
        <f>'ALL Other SINs - Proposal'!C238</f>
        <v>0</v>
      </c>
      <c r="D238" s="121">
        <f>'ALL Other SINs - Proposal'!D238</f>
        <v>0</v>
      </c>
      <c r="E238" s="121">
        <f>'ALL Other SINs - Proposal'!E238</f>
        <v>0</v>
      </c>
      <c r="F238" s="171">
        <f>'ALL Other SINs - Proposal'!F238</f>
        <v>0</v>
      </c>
      <c r="G238" s="51">
        <f>'ALL Other SINs - Proposal'!G238</f>
        <v>0</v>
      </c>
      <c r="H238" s="125">
        <f>'ALL Other SINs - Proposal'!H238</f>
        <v>0</v>
      </c>
      <c r="I238" s="125">
        <f>'ALL Other SINs - Proposal'!I238</f>
        <v>0</v>
      </c>
      <c r="J238" s="125">
        <f>'ALL Other SINs - Proposal'!J238</f>
        <v>0</v>
      </c>
      <c r="K238" s="125">
        <f>'ALL Other SINs - Proposal'!K238</f>
        <v>0</v>
      </c>
      <c r="L238" s="125">
        <f>'ALL Other SINs - Proposal'!L238</f>
        <v>0</v>
      </c>
      <c r="M238" s="206">
        <f>'ALL Other SINs - Proposal'!M238</f>
        <v>0</v>
      </c>
      <c r="N238" s="251">
        <f>'ALL Other SINs - Proposal'!V238</f>
        <v>0</v>
      </c>
      <c r="O238" s="201" t="str">
        <f>'Price Analysis'!N238</f>
        <v xml:space="preserve"> </v>
      </c>
      <c r="P238" s="53" t="str">
        <f>IF(ISBLANK('ALL Other SINs - Proposal'!AA238)," ",'ALL Other SINs - Proposal'!AA238)</f>
        <v xml:space="preserve"> </v>
      </c>
      <c r="Q238" s="95" t="str">
        <f>'ALL Other SINs - Proposal'!AC238</f>
        <v xml:space="preserve"> </v>
      </c>
      <c r="R238" s="100" t="str">
        <f>IF(ISBLANK('ALL Other SINs - Proposal'!AA238)," ",ROUND(Q238,2))</f>
        <v xml:space="preserve"> </v>
      </c>
      <c r="S238" s="54"/>
    </row>
    <row r="239" spans="1:19" ht="20.100000000000001" customHeight="1" x14ac:dyDescent="0.2">
      <c r="A239" s="127">
        <f>'ALL Other SINs - Proposal'!A239</f>
        <v>0</v>
      </c>
      <c r="B239" s="121">
        <f>'ALL Other SINs - Proposal'!B239</f>
        <v>0</v>
      </c>
      <c r="C239" s="121">
        <f>'ALL Other SINs - Proposal'!C239</f>
        <v>0</v>
      </c>
      <c r="D239" s="121">
        <f>'ALL Other SINs - Proposal'!D239</f>
        <v>0</v>
      </c>
      <c r="E239" s="121">
        <f>'ALL Other SINs - Proposal'!E239</f>
        <v>0</v>
      </c>
      <c r="F239" s="171">
        <f>'ALL Other SINs - Proposal'!F239</f>
        <v>0</v>
      </c>
      <c r="G239" s="51">
        <f>'ALL Other SINs - Proposal'!G239</f>
        <v>0</v>
      </c>
      <c r="H239" s="125">
        <f>'ALL Other SINs - Proposal'!H239</f>
        <v>0</v>
      </c>
      <c r="I239" s="125">
        <f>'ALL Other SINs - Proposal'!I239</f>
        <v>0</v>
      </c>
      <c r="J239" s="125">
        <f>'ALL Other SINs - Proposal'!J239</f>
        <v>0</v>
      </c>
      <c r="K239" s="125">
        <f>'ALL Other SINs - Proposal'!K239</f>
        <v>0</v>
      </c>
      <c r="L239" s="125">
        <f>'ALL Other SINs - Proposal'!L239</f>
        <v>0</v>
      </c>
      <c r="M239" s="206">
        <f>'ALL Other SINs - Proposal'!M239</f>
        <v>0</v>
      </c>
      <c r="N239" s="251">
        <f>'ALL Other SINs - Proposal'!V239</f>
        <v>0</v>
      </c>
      <c r="O239" s="201" t="str">
        <f>'Price Analysis'!N239</f>
        <v xml:space="preserve"> </v>
      </c>
      <c r="P239" s="53" t="str">
        <f>IF(ISBLANK('ALL Other SINs - Proposal'!AA239)," ",'ALL Other SINs - Proposal'!AA239)</f>
        <v xml:space="preserve"> </v>
      </c>
      <c r="Q239" s="95" t="str">
        <f>'ALL Other SINs - Proposal'!AC239</f>
        <v xml:space="preserve"> </v>
      </c>
      <c r="R239" s="100" t="str">
        <f>IF(ISBLANK('ALL Other SINs - Proposal'!AA239)," ",ROUND(Q239,2))</f>
        <v xml:space="preserve"> </v>
      </c>
      <c r="S239" s="54"/>
    </row>
    <row r="240" spans="1:19" ht="20.100000000000001" customHeight="1" x14ac:dyDescent="0.2">
      <c r="A240" s="127">
        <f>'ALL Other SINs - Proposal'!A240</f>
        <v>0</v>
      </c>
      <c r="B240" s="121">
        <f>'ALL Other SINs - Proposal'!B240</f>
        <v>0</v>
      </c>
      <c r="C240" s="121">
        <f>'ALL Other SINs - Proposal'!C240</f>
        <v>0</v>
      </c>
      <c r="D240" s="121">
        <f>'ALL Other SINs - Proposal'!D240</f>
        <v>0</v>
      </c>
      <c r="E240" s="121">
        <f>'ALL Other SINs - Proposal'!E240</f>
        <v>0</v>
      </c>
      <c r="F240" s="171">
        <f>'ALL Other SINs - Proposal'!F240</f>
        <v>0</v>
      </c>
      <c r="G240" s="51">
        <f>'ALL Other SINs - Proposal'!G240</f>
        <v>0</v>
      </c>
      <c r="H240" s="125">
        <f>'ALL Other SINs - Proposal'!H240</f>
        <v>0</v>
      </c>
      <c r="I240" s="125">
        <f>'ALL Other SINs - Proposal'!I240</f>
        <v>0</v>
      </c>
      <c r="J240" s="125">
        <f>'ALL Other SINs - Proposal'!J240</f>
        <v>0</v>
      </c>
      <c r="K240" s="125">
        <f>'ALL Other SINs - Proposal'!K240</f>
        <v>0</v>
      </c>
      <c r="L240" s="125">
        <f>'ALL Other SINs - Proposal'!L240</f>
        <v>0</v>
      </c>
      <c r="M240" s="206">
        <f>'ALL Other SINs - Proposal'!M240</f>
        <v>0</v>
      </c>
      <c r="N240" s="251">
        <f>'ALL Other SINs - Proposal'!V240</f>
        <v>0</v>
      </c>
      <c r="O240" s="201" t="str">
        <f>'Price Analysis'!N240</f>
        <v xml:space="preserve"> </v>
      </c>
      <c r="P240" s="53" t="str">
        <f>IF(ISBLANK('ALL Other SINs - Proposal'!AA240)," ",'ALL Other SINs - Proposal'!AA240)</f>
        <v xml:space="preserve"> </v>
      </c>
      <c r="Q240" s="95" t="str">
        <f>'ALL Other SINs - Proposal'!AC240</f>
        <v xml:space="preserve"> </v>
      </c>
      <c r="R240" s="100" t="str">
        <f>IF(ISBLANK('ALL Other SINs - Proposal'!AA240)," ",ROUND(Q240,2))</f>
        <v xml:space="preserve"> </v>
      </c>
      <c r="S240" s="54"/>
    </row>
    <row r="241" spans="1:19" ht="20.100000000000001" customHeight="1" x14ac:dyDescent="0.2">
      <c r="A241" s="127">
        <f>'ALL Other SINs - Proposal'!A241</f>
        <v>0</v>
      </c>
      <c r="B241" s="121">
        <f>'ALL Other SINs - Proposal'!B241</f>
        <v>0</v>
      </c>
      <c r="C241" s="121">
        <f>'ALL Other SINs - Proposal'!C241</f>
        <v>0</v>
      </c>
      <c r="D241" s="121">
        <f>'ALL Other SINs - Proposal'!D241</f>
        <v>0</v>
      </c>
      <c r="E241" s="121">
        <f>'ALL Other SINs - Proposal'!E241</f>
        <v>0</v>
      </c>
      <c r="F241" s="171">
        <f>'ALL Other SINs - Proposal'!F241</f>
        <v>0</v>
      </c>
      <c r="G241" s="51">
        <f>'ALL Other SINs - Proposal'!G241</f>
        <v>0</v>
      </c>
      <c r="H241" s="125">
        <f>'ALL Other SINs - Proposal'!H241</f>
        <v>0</v>
      </c>
      <c r="I241" s="125">
        <f>'ALL Other SINs - Proposal'!I241</f>
        <v>0</v>
      </c>
      <c r="J241" s="125">
        <f>'ALL Other SINs - Proposal'!J241</f>
        <v>0</v>
      </c>
      <c r="K241" s="125">
        <f>'ALL Other SINs - Proposal'!K241</f>
        <v>0</v>
      </c>
      <c r="L241" s="125">
        <f>'ALL Other SINs - Proposal'!L241</f>
        <v>0</v>
      </c>
      <c r="M241" s="206">
        <f>'ALL Other SINs - Proposal'!M241</f>
        <v>0</v>
      </c>
      <c r="N241" s="251">
        <f>'ALL Other SINs - Proposal'!V241</f>
        <v>0</v>
      </c>
      <c r="O241" s="201" t="str">
        <f>'Price Analysis'!N241</f>
        <v xml:space="preserve"> </v>
      </c>
      <c r="P241" s="53" t="str">
        <f>IF(ISBLANK('ALL Other SINs - Proposal'!AA241)," ",'ALL Other SINs - Proposal'!AA241)</f>
        <v xml:space="preserve"> </v>
      </c>
      <c r="Q241" s="95" t="str">
        <f>'ALL Other SINs - Proposal'!AC241</f>
        <v xml:space="preserve"> </v>
      </c>
      <c r="R241" s="100" t="str">
        <f>IF(ISBLANK('ALL Other SINs - Proposal'!AA241)," ",ROUND(Q241,2))</f>
        <v xml:space="preserve"> </v>
      </c>
      <c r="S241" s="54"/>
    </row>
    <row r="242" spans="1:19" ht="20.100000000000001" customHeight="1" x14ac:dyDescent="0.2">
      <c r="A242" s="127">
        <f>'ALL Other SINs - Proposal'!A242</f>
        <v>0</v>
      </c>
      <c r="B242" s="121">
        <f>'ALL Other SINs - Proposal'!B242</f>
        <v>0</v>
      </c>
      <c r="C242" s="121">
        <f>'ALL Other SINs - Proposal'!C242</f>
        <v>0</v>
      </c>
      <c r="D242" s="121">
        <f>'ALL Other SINs - Proposal'!D242</f>
        <v>0</v>
      </c>
      <c r="E242" s="121">
        <f>'ALL Other SINs - Proposal'!E242</f>
        <v>0</v>
      </c>
      <c r="F242" s="171">
        <f>'ALL Other SINs - Proposal'!F242</f>
        <v>0</v>
      </c>
      <c r="G242" s="51">
        <f>'ALL Other SINs - Proposal'!G242</f>
        <v>0</v>
      </c>
      <c r="H242" s="125">
        <f>'ALL Other SINs - Proposal'!H242</f>
        <v>0</v>
      </c>
      <c r="I242" s="125">
        <f>'ALL Other SINs - Proposal'!I242</f>
        <v>0</v>
      </c>
      <c r="J242" s="125">
        <f>'ALL Other SINs - Proposal'!J242</f>
        <v>0</v>
      </c>
      <c r="K242" s="125">
        <f>'ALL Other SINs - Proposal'!K242</f>
        <v>0</v>
      </c>
      <c r="L242" s="125">
        <f>'ALL Other SINs - Proposal'!L242</f>
        <v>0</v>
      </c>
      <c r="M242" s="206">
        <f>'ALL Other SINs - Proposal'!M242</f>
        <v>0</v>
      </c>
      <c r="N242" s="251">
        <f>'ALL Other SINs - Proposal'!V242</f>
        <v>0</v>
      </c>
      <c r="O242" s="201" t="str">
        <f>'Price Analysis'!N242</f>
        <v xml:space="preserve"> </v>
      </c>
      <c r="P242" s="53" t="str">
        <f>IF(ISBLANK('ALL Other SINs - Proposal'!AA242)," ",'ALL Other SINs - Proposal'!AA242)</f>
        <v xml:space="preserve"> </v>
      </c>
      <c r="Q242" s="95" t="str">
        <f>'ALL Other SINs - Proposal'!AC242</f>
        <v xml:space="preserve"> </v>
      </c>
      <c r="R242" s="100" t="str">
        <f>IF(ISBLANK('ALL Other SINs - Proposal'!AA242)," ",ROUND(Q242,2))</f>
        <v xml:space="preserve"> </v>
      </c>
      <c r="S242" s="54"/>
    </row>
    <row r="243" spans="1:19" ht="20.100000000000001" customHeight="1" x14ac:dyDescent="0.2">
      <c r="A243" s="127">
        <f>'ALL Other SINs - Proposal'!A243</f>
        <v>0</v>
      </c>
      <c r="B243" s="121">
        <f>'ALL Other SINs - Proposal'!B243</f>
        <v>0</v>
      </c>
      <c r="C243" s="121">
        <f>'ALL Other SINs - Proposal'!C243</f>
        <v>0</v>
      </c>
      <c r="D243" s="121">
        <f>'ALL Other SINs - Proposal'!D243</f>
        <v>0</v>
      </c>
      <c r="E243" s="121">
        <f>'ALL Other SINs - Proposal'!E243</f>
        <v>0</v>
      </c>
      <c r="F243" s="171">
        <f>'ALL Other SINs - Proposal'!F243</f>
        <v>0</v>
      </c>
      <c r="G243" s="51">
        <f>'ALL Other SINs - Proposal'!G243</f>
        <v>0</v>
      </c>
      <c r="H243" s="125">
        <f>'ALL Other SINs - Proposal'!H243</f>
        <v>0</v>
      </c>
      <c r="I243" s="125">
        <f>'ALL Other SINs - Proposal'!I243</f>
        <v>0</v>
      </c>
      <c r="J243" s="125">
        <f>'ALL Other SINs - Proposal'!J243</f>
        <v>0</v>
      </c>
      <c r="K243" s="125">
        <f>'ALL Other SINs - Proposal'!K243</f>
        <v>0</v>
      </c>
      <c r="L243" s="125">
        <f>'ALL Other SINs - Proposal'!L243</f>
        <v>0</v>
      </c>
      <c r="M243" s="206">
        <f>'ALL Other SINs - Proposal'!M243</f>
        <v>0</v>
      </c>
      <c r="N243" s="251">
        <f>'ALL Other SINs - Proposal'!V243</f>
        <v>0</v>
      </c>
      <c r="O243" s="201" t="str">
        <f>'Price Analysis'!N243</f>
        <v xml:space="preserve"> </v>
      </c>
      <c r="P243" s="53" t="str">
        <f>IF(ISBLANK('ALL Other SINs - Proposal'!AA243)," ",'ALL Other SINs - Proposal'!AA243)</f>
        <v xml:space="preserve"> </v>
      </c>
      <c r="Q243" s="95" t="str">
        <f>'ALL Other SINs - Proposal'!AC243</f>
        <v xml:space="preserve"> </v>
      </c>
      <c r="R243" s="100" t="str">
        <f>IF(ISBLANK('ALL Other SINs - Proposal'!AA243)," ",ROUND(Q243,2))</f>
        <v xml:space="preserve"> </v>
      </c>
      <c r="S243" s="54"/>
    </row>
    <row r="244" spans="1:19" ht="20.100000000000001" customHeight="1" x14ac:dyDescent="0.2">
      <c r="A244" s="127">
        <f>'ALL Other SINs - Proposal'!A244</f>
        <v>0</v>
      </c>
      <c r="B244" s="121">
        <f>'ALL Other SINs - Proposal'!B244</f>
        <v>0</v>
      </c>
      <c r="C244" s="121">
        <f>'ALL Other SINs - Proposal'!C244</f>
        <v>0</v>
      </c>
      <c r="D244" s="121">
        <f>'ALL Other SINs - Proposal'!D244</f>
        <v>0</v>
      </c>
      <c r="E244" s="121">
        <f>'ALL Other SINs - Proposal'!E244</f>
        <v>0</v>
      </c>
      <c r="F244" s="171">
        <f>'ALL Other SINs - Proposal'!F244</f>
        <v>0</v>
      </c>
      <c r="G244" s="51">
        <f>'ALL Other SINs - Proposal'!G244</f>
        <v>0</v>
      </c>
      <c r="H244" s="125">
        <f>'ALL Other SINs - Proposal'!H244</f>
        <v>0</v>
      </c>
      <c r="I244" s="125">
        <f>'ALL Other SINs - Proposal'!I244</f>
        <v>0</v>
      </c>
      <c r="J244" s="125">
        <f>'ALL Other SINs - Proposal'!J244</f>
        <v>0</v>
      </c>
      <c r="K244" s="125">
        <f>'ALL Other SINs - Proposal'!K244</f>
        <v>0</v>
      </c>
      <c r="L244" s="125">
        <f>'ALL Other SINs - Proposal'!L244</f>
        <v>0</v>
      </c>
      <c r="M244" s="206">
        <f>'ALL Other SINs - Proposal'!M244</f>
        <v>0</v>
      </c>
      <c r="N244" s="251">
        <f>'ALL Other SINs - Proposal'!V244</f>
        <v>0</v>
      </c>
      <c r="O244" s="201" t="str">
        <f>'Price Analysis'!N244</f>
        <v xml:space="preserve"> </v>
      </c>
      <c r="P244" s="53" t="str">
        <f>IF(ISBLANK('ALL Other SINs - Proposal'!AA244)," ",'ALL Other SINs - Proposal'!AA244)</f>
        <v xml:space="preserve"> </v>
      </c>
      <c r="Q244" s="95" t="str">
        <f>'ALL Other SINs - Proposal'!AC244</f>
        <v xml:space="preserve"> </v>
      </c>
      <c r="R244" s="100" t="str">
        <f>IF(ISBLANK('ALL Other SINs - Proposal'!AA244)," ",ROUND(Q244,2))</f>
        <v xml:space="preserve"> </v>
      </c>
      <c r="S244" s="54"/>
    </row>
    <row r="245" spans="1:19" ht="20.100000000000001" customHeight="1" x14ac:dyDescent="0.2">
      <c r="A245" s="127">
        <f>'ALL Other SINs - Proposal'!A245</f>
        <v>0</v>
      </c>
      <c r="B245" s="121">
        <f>'ALL Other SINs - Proposal'!B245</f>
        <v>0</v>
      </c>
      <c r="C245" s="121">
        <f>'ALL Other SINs - Proposal'!C245</f>
        <v>0</v>
      </c>
      <c r="D245" s="121">
        <f>'ALL Other SINs - Proposal'!D245</f>
        <v>0</v>
      </c>
      <c r="E245" s="121">
        <f>'ALL Other SINs - Proposal'!E245</f>
        <v>0</v>
      </c>
      <c r="F245" s="171">
        <f>'ALL Other SINs - Proposal'!F245</f>
        <v>0</v>
      </c>
      <c r="G245" s="51">
        <f>'ALL Other SINs - Proposal'!G245</f>
        <v>0</v>
      </c>
      <c r="H245" s="125">
        <f>'ALL Other SINs - Proposal'!H245</f>
        <v>0</v>
      </c>
      <c r="I245" s="125">
        <f>'ALL Other SINs - Proposal'!I245</f>
        <v>0</v>
      </c>
      <c r="J245" s="125">
        <f>'ALL Other SINs - Proposal'!J245</f>
        <v>0</v>
      </c>
      <c r="K245" s="125">
        <f>'ALL Other SINs - Proposal'!K245</f>
        <v>0</v>
      </c>
      <c r="L245" s="125">
        <f>'ALL Other SINs - Proposal'!L245</f>
        <v>0</v>
      </c>
      <c r="M245" s="206">
        <f>'ALL Other SINs - Proposal'!M245</f>
        <v>0</v>
      </c>
      <c r="N245" s="251">
        <f>'ALL Other SINs - Proposal'!V245</f>
        <v>0</v>
      </c>
      <c r="O245" s="201" t="str">
        <f>'Price Analysis'!N245</f>
        <v xml:space="preserve"> </v>
      </c>
      <c r="P245" s="53" t="str">
        <f>IF(ISBLANK('ALL Other SINs - Proposal'!AA245)," ",'ALL Other SINs - Proposal'!AA245)</f>
        <v xml:space="preserve"> </v>
      </c>
      <c r="Q245" s="95" t="str">
        <f>'ALL Other SINs - Proposal'!AC245</f>
        <v xml:space="preserve"> </v>
      </c>
      <c r="R245" s="100" t="str">
        <f>IF(ISBLANK('ALL Other SINs - Proposal'!AA245)," ",ROUND(Q245,2))</f>
        <v xml:space="preserve"> </v>
      </c>
      <c r="S245" s="54"/>
    </row>
    <row r="246" spans="1:19" ht="20.100000000000001" customHeight="1" x14ac:dyDescent="0.2">
      <c r="A246" s="127">
        <f>'ALL Other SINs - Proposal'!A246</f>
        <v>0</v>
      </c>
      <c r="B246" s="121">
        <f>'ALL Other SINs - Proposal'!B246</f>
        <v>0</v>
      </c>
      <c r="C246" s="121">
        <f>'ALL Other SINs - Proposal'!C246</f>
        <v>0</v>
      </c>
      <c r="D246" s="121">
        <f>'ALL Other SINs - Proposal'!D246</f>
        <v>0</v>
      </c>
      <c r="E246" s="121">
        <f>'ALL Other SINs - Proposal'!E246</f>
        <v>0</v>
      </c>
      <c r="F246" s="171">
        <f>'ALL Other SINs - Proposal'!F246</f>
        <v>0</v>
      </c>
      <c r="G246" s="51">
        <f>'ALL Other SINs - Proposal'!G246</f>
        <v>0</v>
      </c>
      <c r="H246" s="125">
        <f>'ALL Other SINs - Proposal'!H246</f>
        <v>0</v>
      </c>
      <c r="I246" s="125">
        <f>'ALL Other SINs - Proposal'!I246</f>
        <v>0</v>
      </c>
      <c r="J246" s="125">
        <f>'ALL Other SINs - Proposal'!J246</f>
        <v>0</v>
      </c>
      <c r="K246" s="125">
        <f>'ALL Other SINs - Proposal'!K246</f>
        <v>0</v>
      </c>
      <c r="L246" s="125">
        <f>'ALL Other SINs - Proposal'!L246</f>
        <v>0</v>
      </c>
      <c r="M246" s="206">
        <f>'ALL Other SINs - Proposal'!M246</f>
        <v>0</v>
      </c>
      <c r="N246" s="251">
        <f>'ALL Other SINs - Proposal'!V246</f>
        <v>0</v>
      </c>
      <c r="O246" s="201" t="str">
        <f>'Price Analysis'!N246</f>
        <v xml:space="preserve"> </v>
      </c>
      <c r="P246" s="53" t="str">
        <f>IF(ISBLANK('ALL Other SINs - Proposal'!AA246)," ",'ALL Other SINs - Proposal'!AA246)</f>
        <v xml:space="preserve"> </v>
      </c>
      <c r="Q246" s="95" t="str">
        <f>'ALL Other SINs - Proposal'!AC246</f>
        <v xml:space="preserve"> </v>
      </c>
      <c r="R246" s="100" t="str">
        <f>IF(ISBLANK('ALL Other SINs - Proposal'!AA246)," ",ROUND(Q246,2))</f>
        <v xml:space="preserve"> </v>
      </c>
      <c r="S246" s="54"/>
    </row>
    <row r="247" spans="1:19" ht="20.100000000000001" customHeight="1" x14ac:dyDescent="0.2">
      <c r="A247" s="127">
        <f>'ALL Other SINs - Proposal'!A247</f>
        <v>0</v>
      </c>
      <c r="B247" s="121">
        <f>'ALL Other SINs - Proposal'!B247</f>
        <v>0</v>
      </c>
      <c r="C247" s="121">
        <f>'ALL Other SINs - Proposal'!C247</f>
        <v>0</v>
      </c>
      <c r="D247" s="121">
        <f>'ALL Other SINs - Proposal'!D247</f>
        <v>0</v>
      </c>
      <c r="E247" s="121">
        <f>'ALL Other SINs - Proposal'!E247</f>
        <v>0</v>
      </c>
      <c r="F247" s="171">
        <f>'ALL Other SINs - Proposal'!F247</f>
        <v>0</v>
      </c>
      <c r="G247" s="51">
        <f>'ALL Other SINs - Proposal'!G247</f>
        <v>0</v>
      </c>
      <c r="H247" s="125">
        <f>'ALL Other SINs - Proposal'!H247</f>
        <v>0</v>
      </c>
      <c r="I247" s="125">
        <f>'ALL Other SINs - Proposal'!I247</f>
        <v>0</v>
      </c>
      <c r="J247" s="125">
        <f>'ALL Other SINs - Proposal'!J247</f>
        <v>0</v>
      </c>
      <c r="K247" s="125">
        <f>'ALL Other SINs - Proposal'!K247</f>
        <v>0</v>
      </c>
      <c r="L247" s="125">
        <f>'ALL Other SINs - Proposal'!L247</f>
        <v>0</v>
      </c>
      <c r="M247" s="206">
        <f>'ALL Other SINs - Proposal'!M247</f>
        <v>0</v>
      </c>
      <c r="N247" s="251">
        <f>'ALL Other SINs - Proposal'!V247</f>
        <v>0</v>
      </c>
      <c r="O247" s="201" t="str">
        <f>'Price Analysis'!N247</f>
        <v xml:space="preserve"> </v>
      </c>
      <c r="P247" s="53" t="str">
        <f>IF(ISBLANK('ALL Other SINs - Proposal'!AA247)," ",'ALL Other SINs - Proposal'!AA247)</f>
        <v xml:space="preserve"> </v>
      </c>
      <c r="Q247" s="95" t="str">
        <f>'ALL Other SINs - Proposal'!AC247</f>
        <v xml:space="preserve"> </v>
      </c>
      <c r="R247" s="100" t="str">
        <f>IF(ISBLANK('ALL Other SINs - Proposal'!AA247)," ",ROUND(Q247,2))</f>
        <v xml:space="preserve"> </v>
      </c>
      <c r="S247" s="54"/>
    </row>
    <row r="248" spans="1:19" ht="20.100000000000001" customHeight="1" x14ac:dyDescent="0.2">
      <c r="A248" s="127">
        <f>'ALL Other SINs - Proposal'!A248</f>
        <v>0</v>
      </c>
      <c r="B248" s="121">
        <f>'ALL Other SINs - Proposal'!B248</f>
        <v>0</v>
      </c>
      <c r="C248" s="121">
        <f>'ALL Other SINs - Proposal'!C248</f>
        <v>0</v>
      </c>
      <c r="D248" s="121">
        <f>'ALL Other SINs - Proposal'!D248</f>
        <v>0</v>
      </c>
      <c r="E248" s="121">
        <f>'ALL Other SINs - Proposal'!E248</f>
        <v>0</v>
      </c>
      <c r="F248" s="171">
        <f>'ALL Other SINs - Proposal'!F248</f>
        <v>0</v>
      </c>
      <c r="G248" s="51">
        <f>'ALL Other SINs - Proposal'!G248</f>
        <v>0</v>
      </c>
      <c r="H248" s="125">
        <f>'ALL Other SINs - Proposal'!H248</f>
        <v>0</v>
      </c>
      <c r="I248" s="125">
        <f>'ALL Other SINs - Proposal'!I248</f>
        <v>0</v>
      </c>
      <c r="J248" s="125">
        <f>'ALL Other SINs - Proposal'!J248</f>
        <v>0</v>
      </c>
      <c r="K248" s="125">
        <f>'ALL Other SINs - Proposal'!K248</f>
        <v>0</v>
      </c>
      <c r="L248" s="125">
        <f>'ALL Other SINs - Proposal'!L248</f>
        <v>0</v>
      </c>
      <c r="M248" s="206">
        <f>'ALL Other SINs - Proposal'!M248</f>
        <v>0</v>
      </c>
      <c r="N248" s="251">
        <f>'ALL Other SINs - Proposal'!V248</f>
        <v>0</v>
      </c>
      <c r="O248" s="201" t="str">
        <f>'Price Analysis'!N248</f>
        <v xml:space="preserve"> </v>
      </c>
      <c r="P248" s="53" t="str">
        <f>IF(ISBLANK('ALL Other SINs - Proposal'!AA248)," ",'ALL Other SINs - Proposal'!AA248)</f>
        <v xml:space="preserve"> </v>
      </c>
      <c r="Q248" s="95" t="str">
        <f>'ALL Other SINs - Proposal'!AC248</f>
        <v xml:space="preserve"> </v>
      </c>
      <c r="R248" s="100" t="str">
        <f>IF(ISBLANK('ALL Other SINs - Proposal'!AA248)," ",ROUND(Q248,2))</f>
        <v xml:space="preserve"> </v>
      </c>
      <c r="S248" s="54"/>
    </row>
    <row r="249" spans="1:19" ht="20.100000000000001" customHeight="1" x14ac:dyDescent="0.2">
      <c r="A249" s="127">
        <f>'ALL Other SINs - Proposal'!A249</f>
        <v>0</v>
      </c>
      <c r="B249" s="121">
        <f>'ALL Other SINs - Proposal'!B249</f>
        <v>0</v>
      </c>
      <c r="C249" s="121">
        <f>'ALL Other SINs - Proposal'!C249</f>
        <v>0</v>
      </c>
      <c r="D249" s="121">
        <f>'ALL Other SINs - Proposal'!D249</f>
        <v>0</v>
      </c>
      <c r="E249" s="121">
        <f>'ALL Other SINs - Proposal'!E249</f>
        <v>0</v>
      </c>
      <c r="F249" s="171">
        <f>'ALL Other SINs - Proposal'!F249</f>
        <v>0</v>
      </c>
      <c r="G249" s="51">
        <f>'ALL Other SINs - Proposal'!G249</f>
        <v>0</v>
      </c>
      <c r="H249" s="125">
        <f>'ALL Other SINs - Proposal'!H249</f>
        <v>0</v>
      </c>
      <c r="I249" s="125">
        <f>'ALL Other SINs - Proposal'!I249</f>
        <v>0</v>
      </c>
      <c r="J249" s="125">
        <f>'ALL Other SINs - Proposal'!J249</f>
        <v>0</v>
      </c>
      <c r="K249" s="125">
        <f>'ALL Other SINs - Proposal'!K249</f>
        <v>0</v>
      </c>
      <c r="L249" s="125">
        <f>'ALL Other SINs - Proposal'!L249</f>
        <v>0</v>
      </c>
      <c r="M249" s="206">
        <f>'ALL Other SINs - Proposal'!M249</f>
        <v>0</v>
      </c>
      <c r="N249" s="251">
        <f>'ALL Other SINs - Proposal'!V249</f>
        <v>0</v>
      </c>
      <c r="O249" s="201" t="str">
        <f>'Price Analysis'!N249</f>
        <v xml:space="preserve"> </v>
      </c>
      <c r="P249" s="53" t="str">
        <f>IF(ISBLANK('ALL Other SINs - Proposal'!AA249)," ",'ALL Other SINs - Proposal'!AA249)</f>
        <v xml:space="preserve"> </v>
      </c>
      <c r="Q249" s="95" t="str">
        <f>'ALL Other SINs - Proposal'!AC249</f>
        <v xml:space="preserve"> </v>
      </c>
      <c r="R249" s="100" t="str">
        <f>IF(ISBLANK('ALL Other SINs - Proposal'!AA249)," ",ROUND(Q249,2))</f>
        <v xml:space="preserve"> </v>
      </c>
      <c r="S249" s="54"/>
    </row>
    <row r="250" spans="1:19" ht="20.100000000000001" customHeight="1" x14ac:dyDescent="0.2">
      <c r="A250" s="127">
        <f>'ALL Other SINs - Proposal'!A250</f>
        <v>0</v>
      </c>
      <c r="B250" s="121">
        <f>'ALL Other SINs - Proposal'!B250</f>
        <v>0</v>
      </c>
      <c r="C250" s="121">
        <f>'ALL Other SINs - Proposal'!C250</f>
        <v>0</v>
      </c>
      <c r="D250" s="121">
        <f>'ALL Other SINs - Proposal'!D250</f>
        <v>0</v>
      </c>
      <c r="E250" s="121">
        <f>'ALL Other SINs - Proposal'!E250</f>
        <v>0</v>
      </c>
      <c r="F250" s="171">
        <f>'ALL Other SINs - Proposal'!F250</f>
        <v>0</v>
      </c>
      <c r="G250" s="51">
        <f>'ALL Other SINs - Proposal'!G250</f>
        <v>0</v>
      </c>
      <c r="H250" s="125">
        <f>'ALL Other SINs - Proposal'!H250</f>
        <v>0</v>
      </c>
      <c r="I250" s="125">
        <f>'ALL Other SINs - Proposal'!I250</f>
        <v>0</v>
      </c>
      <c r="J250" s="125">
        <f>'ALL Other SINs - Proposal'!J250</f>
        <v>0</v>
      </c>
      <c r="K250" s="125">
        <f>'ALL Other SINs - Proposal'!K250</f>
        <v>0</v>
      </c>
      <c r="L250" s="125">
        <f>'ALL Other SINs - Proposal'!L250</f>
        <v>0</v>
      </c>
      <c r="M250" s="206">
        <f>'ALL Other SINs - Proposal'!M250</f>
        <v>0</v>
      </c>
      <c r="N250" s="251">
        <f>'ALL Other SINs - Proposal'!V250</f>
        <v>0</v>
      </c>
      <c r="O250" s="201" t="str">
        <f>'Price Analysis'!N250</f>
        <v xml:space="preserve"> </v>
      </c>
      <c r="P250" s="53" t="str">
        <f>IF(ISBLANK('ALL Other SINs - Proposal'!AA250)," ",'ALL Other SINs - Proposal'!AA250)</f>
        <v xml:space="preserve"> </v>
      </c>
      <c r="Q250" s="95" t="str">
        <f>'ALL Other SINs - Proposal'!AC250</f>
        <v xml:space="preserve"> </v>
      </c>
      <c r="R250" s="100" t="str">
        <f>IF(ISBLANK('ALL Other SINs - Proposal'!AA250)," ",ROUND(Q250,2))</f>
        <v xml:space="preserve"> </v>
      </c>
      <c r="S250" s="54"/>
    </row>
    <row r="251" spans="1:19" ht="20.100000000000001" customHeight="1" x14ac:dyDescent="0.2">
      <c r="A251" s="127">
        <f>'ALL Other SINs - Proposal'!A251</f>
        <v>0</v>
      </c>
      <c r="B251" s="121">
        <f>'ALL Other SINs - Proposal'!B251</f>
        <v>0</v>
      </c>
      <c r="C251" s="121">
        <f>'ALL Other SINs - Proposal'!C251</f>
        <v>0</v>
      </c>
      <c r="D251" s="121">
        <f>'ALL Other SINs - Proposal'!D251</f>
        <v>0</v>
      </c>
      <c r="E251" s="121">
        <f>'ALL Other SINs - Proposal'!E251</f>
        <v>0</v>
      </c>
      <c r="F251" s="171">
        <f>'ALL Other SINs - Proposal'!F251</f>
        <v>0</v>
      </c>
      <c r="G251" s="51">
        <f>'ALL Other SINs - Proposal'!G251</f>
        <v>0</v>
      </c>
      <c r="H251" s="125">
        <f>'ALL Other SINs - Proposal'!H251</f>
        <v>0</v>
      </c>
      <c r="I251" s="125">
        <f>'ALL Other SINs - Proposal'!I251</f>
        <v>0</v>
      </c>
      <c r="J251" s="125">
        <f>'ALL Other SINs - Proposal'!J251</f>
        <v>0</v>
      </c>
      <c r="K251" s="125">
        <f>'ALL Other SINs - Proposal'!K251</f>
        <v>0</v>
      </c>
      <c r="L251" s="125">
        <f>'ALL Other SINs - Proposal'!L251</f>
        <v>0</v>
      </c>
      <c r="M251" s="206">
        <f>'ALL Other SINs - Proposal'!M251</f>
        <v>0</v>
      </c>
      <c r="N251" s="251">
        <f>'ALL Other SINs - Proposal'!V251</f>
        <v>0</v>
      </c>
      <c r="O251" s="201" t="str">
        <f>'Price Analysis'!N251</f>
        <v xml:space="preserve"> </v>
      </c>
      <c r="P251" s="53" t="str">
        <f>IF(ISBLANK('ALL Other SINs - Proposal'!AA251)," ",'ALL Other SINs - Proposal'!AA251)</f>
        <v xml:space="preserve"> </v>
      </c>
      <c r="Q251" s="95" t="str">
        <f>'ALL Other SINs - Proposal'!AC251</f>
        <v xml:space="preserve"> </v>
      </c>
      <c r="R251" s="100" t="str">
        <f>IF(ISBLANK('ALL Other SINs - Proposal'!AA251)," ",ROUND(Q251,2))</f>
        <v xml:space="preserve"> </v>
      </c>
      <c r="S251" s="54"/>
    </row>
    <row r="252" spans="1:19" ht="20.100000000000001" customHeight="1" x14ac:dyDescent="0.2">
      <c r="A252" s="127">
        <f>'ALL Other SINs - Proposal'!A252</f>
        <v>0</v>
      </c>
      <c r="B252" s="121">
        <f>'ALL Other SINs - Proposal'!B252</f>
        <v>0</v>
      </c>
      <c r="C252" s="121">
        <f>'ALL Other SINs - Proposal'!C252</f>
        <v>0</v>
      </c>
      <c r="D252" s="121">
        <f>'ALL Other SINs - Proposal'!D252</f>
        <v>0</v>
      </c>
      <c r="E252" s="121">
        <f>'ALL Other SINs - Proposal'!E252</f>
        <v>0</v>
      </c>
      <c r="F252" s="171">
        <f>'ALL Other SINs - Proposal'!F252</f>
        <v>0</v>
      </c>
      <c r="G252" s="51">
        <f>'ALL Other SINs - Proposal'!G252</f>
        <v>0</v>
      </c>
      <c r="H252" s="125">
        <f>'ALL Other SINs - Proposal'!H252</f>
        <v>0</v>
      </c>
      <c r="I252" s="125">
        <f>'ALL Other SINs - Proposal'!I252</f>
        <v>0</v>
      </c>
      <c r="J252" s="125">
        <f>'ALL Other SINs - Proposal'!J252</f>
        <v>0</v>
      </c>
      <c r="K252" s="125">
        <f>'ALL Other SINs - Proposal'!K252</f>
        <v>0</v>
      </c>
      <c r="L252" s="125">
        <f>'ALL Other SINs - Proposal'!L252</f>
        <v>0</v>
      </c>
      <c r="M252" s="206">
        <f>'ALL Other SINs - Proposal'!M252</f>
        <v>0</v>
      </c>
      <c r="N252" s="251">
        <f>'ALL Other SINs - Proposal'!V252</f>
        <v>0</v>
      </c>
      <c r="O252" s="201" t="str">
        <f>'Price Analysis'!N252</f>
        <v xml:space="preserve"> </v>
      </c>
      <c r="P252" s="53" t="str">
        <f>IF(ISBLANK('ALL Other SINs - Proposal'!AA252)," ",'ALL Other SINs - Proposal'!AA252)</f>
        <v xml:space="preserve"> </v>
      </c>
      <c r="Q252" s="95" t="str">
        <f>'ALL Other SINs - Proposal'!AC252</f>
        <v xml:space="preserve"> </v>
      </c>
      <c r="R252" s="100" t="str">
        <f>IF(ISBLANK('ALL Other SINs - Proposal'!AA252)," ",ROUND(Q252,2))</f>
        <v xml:space="preserve"> </v>
      </c>
      <c r="S252" s="54"/>
    </row>
    <row r="253" spans="1:19" ht="20.100000000000001" customHeight="1" x14ac:dyDescent="0.2">
      <c r="A253" s="127">
        <f>'ALL Other SINs - Proposal'!A253</f>
        <v>0</v>
      </c>
      <c r="B253" s="121">
        <f>'ALL Other SINs - Proposal'!B253</f>
        <v>0</v>
      </c>
      <c r="C253" s="121">
        <f>'ALL Other SINs - Proposal'!C253</f>
        <v>0</v>
      </c>
      <c r="D253" s="121">
        <f>'ALL Other SINs - Proposal'!D253</f>
        <v>0</v>
      </c>
      <c r="E253" s="121">
        <f>'ALL Other SINs - Proposal'!E253</f>
        <v>0</v>
      </c>
      <c r="F253" s="171">
        <f>'ALL Other SINs - Proposal'!F253</f>
        <v>0</v>
      </c>
      <c r="G253" s="51">
        <f>'ALL Other SINs - Proposal'!G253</f>
        <v>0</v>
      </c>
      <c r="H253" s="125">
        <f>'ALL Other SINs - Proposal'!H253</f>
        <v>0</v>
      </c>
      <c r="I253" s="125">
        <f>'ALL Other SINs - Proposal'!I253</f>
        <v>0</v>
      </c>
      <c r="J253" s="125">
        <f>'ALL Other SINs - Proposal'!J253</f>
        <v>0</v>
      </c>
      <c r="K253" s="125">
        <f>'ALL Other SINs - Proposal'!K253</f>
        <v>0</v>
      </c>
      <c r="L253" s="125">
        <f>'ALL Other SINs - Proposal'!L253</f>
        <v>0</v>
      </c>
      <c r="M253" s="206">
        <f>'ALL Other SINs - Proposal'!M253</f>
        <v>0</v>
      </c>
      <c r="N253" s="251">
        <f>'ALL Other SINs - Proposal'!V253</f>
        <v>0</v>
      </c>
      <c r="O253" s="201" t="str">
        <f>'Price Analysis'!N253</f>
        <v xml:space="preserve"> </v>
      </c>
      <c r="P253" s="53" t="str">
        <f>IF(ISBLANK('ALL Other SINs - Proposal'!AA253)," ",'ALL Other SINs - Proposal'!AA253)</f>
        <v xml:space="preserve"> </v>
      </c>
      <c r="Q253" s="95" t="str">
        <f>'ALL Other SINs - Proposal'!AC253</f>
        <v xml:space="preserve"> </v>
      </c>
      <c r="R253" s="100" t="str">
        <f>IF(ISBLANK('ALL Other SINs - Proposal'!AA253)," ",ROUND(Q253,2))</f>
        <v xml:space="preserve"> </v>
      </c>
      <c r="S253" s="54"/>
    </row>
    <row r="254" spans="1:19" ht="20.100000000000001" customHeight="1" x14ac:dyDescent="0.2">
      <c r="A254" s="127">
        <f>'ALL Other SINs - Proposal'!A254</f>
        <v>0</v>
      </c>
      <c r="B254" s="121">
        <f>'ALL Other SINs - Proposal'!B254</f>
        <v>0</v>
      </c>
      <c r="C254" s="121">
        <f>'ALL Other SINs - Proposal'!C254</f>
        <v>0</v>
      </c>
      <c r="D254" s="121">
        <f>'ALL Other SINs - Proposal'!D254</f>
        <v>0</v>
      </c>
      <c r="E254" s="121">
        <f>'ALL Other SINs - Proposal'!E254</f>
        <v>0</v>
      </c>
      <c r="F254" s="171">
        <f>'ALL Other SINs - Proposal'!F254</f>
        <v>0</v>
      </c>
      <c r="G254" s="51">
        <f>'ALL Other SINs - Proposal'!G254</f>
        <v>0</v>
      </c>
      <c r="H254" s="125">
        <f>'ALL Other SINs - Proposal'!H254</f>
        <v>0</v>
      </c>
      <c r="I254" s="125">
        <f>'ALL Other SINs - Proposal'!I254</f>
        <v>0</v>
      </c>
      <c r="J254" s="125">
        <f>'ALL Other SINs - Proposal'!J254</f>
        <v>0</v>
      </c>
      <c r="K254" s="125">
        <f>'ALL Other SINs - Proposal'!K254</f>
        <v>0</v>
      </c>
      <c r="L254" s="125">
        <f>'ALL Other SINs - Proposal'!L254</f>
        <v>0</v>
      </c>
      <c r="M254" s="206">
        <f>'ALL Other SINs - Proposal'!M254</f>
        <v>0</v>
      </c>
      <c r="N254" s="251">
        <f>'ALL Other SINs - Proposal'!V254</f>
        <v>0</v>
      </c>
      <c r="O254" s="201" t="str">
        <f>'Price Analysis'!N254</f>
        <v xml:space="preserve"> </v>
      </c>
      <c r="P254" s="53" t="str">
        <f>IF(ISBLANK('ALL Other SINs - Proposal'!AA254)," ",'ALL Other SINs - Proposal'!AA254)</f>
        <v xml:space="preserve"> </v>
      </c>
      <c r="Q254" s="95" t="str">
        <f>'ALL Other SINs - Proposal'!AC254</f>
        <v xml:space="preserve"> </v>
      </c>
      <c r="R254" s="100" t="str">
        <f>IF(ISBLANK('ALL Other SINs - Proposal'!AA254)," ",ROUND(Q254,2))</f>
        <v xml:space="preserve"> </v>
      </c>
      <c r="S254" s="54"/>
    </row>
    <row r="255" spans="1:19" ht="20.100000000000001" customHeight="1" x14ac:dyDescent="0.2">
      <c r="A255" s="127">
        <f>'ALL Other SINs - Proposal'!A255</f>
        <v>0</v>
      </c>
      <c r="B255" s="121">
        <f>'ALL Other SINs - Proposal'!B255</f>
        <v>0</v>
      </c>
      <c r="C255" s="121">
        <f>'ALL Other SINs - Proposal'!C255</f>
        <v>0</v>
      </c>
      <c r="D255" s="121">
        <f>'ALL Other SINs - Proposal'!D255</f>
        <v>0</v>
      </c>
      <c r="E255" s="121">
        <f>'ALL Other SINs - Proposal'!E255</f>
        <v>0</v>
      </c>
      <c r="F255" s="171">
        <f>'ALL Other SINs - Proposal'!F255</f>
        <v>0</v>
      </c>
      <c r="G255" s="51">
        <f>'ALL Other SINs - Proposal'!G255</f>
        <v>0</v>
      </c>
      <c r="H255" s="125">
        <f>'ALL Other SINs - Proposal'!H255</f>
        <v>0</v>
      </c>
      <c r="I255" s="125">
        <f>'ALL Other SINs - Proposal'!I255</f>
        <v>0</v>
      </c>
      <c r="J255" s="125">
        <f>'ALL Other SINs - Proposal'!J255</f>
        <v>0</v>
      </c>
      <c r="K255" s="125">
        <f>'ALL Other SINs - Proposal'!K255</f>
        <v>0</v>
      </c>
      <c r="L255" s="125">
        <f>'ALL Other SINs - Proposal'!L255</f>
        <v>0</v>
      </c>
      <c r="M255" s="206">
        <f>'ALL Other SINs - Proposal'!M255</f>
        <v>0</v>
      </c>
      <c r="N255" s="251">
        <f>'ALL Other SINs - Proposal'!V255</f>
        <v>0</v>
      </c>
      <c r="O255" s="201" t="str">
        <f>'Price Analysis'!N255</f>
        <v xml:space="preserve"> </v>
      </c>
      <c r="P255" s="53" t="str">
        <f>IF(ISBLANK('ALL Other SINs - Proposal'!AA255)," ",'ALL Other SINs - Proposal'!AA255)</f>
        <v xml:space="preserve"> </v>
      </c>
      <c r="Q255" s="95" t="str">
        <f>'ALL Other SINs - Proposal'!AC255</f>
        <v xml:space="preserve"> </v>
      </c>
      <c r="R255" s="100" t="str">
        <f>IF(ISBLANK('ALL Other SINs - Proposal'!AA255)," ",ROUND(Q255,2))</f>
        <v xml:space="preserve"> </v>
      </c>
      <c r="S255" s="54"/>
    </row>
    <row r="256" spans="1:19" ht="20.100000000000001" customHeight="1" x14ac:dyDescent="0.2">
      <c r="A256" s="127">
        <f>'ALL Other SINs - Proposal'!A256</f>
        <v>0</v>
      </c>
      <c r="B256" s="121">
        <f>'ALL Other SINs - Proposal'!B256</f>
        <v>0</v>
      </c>
      <c r="C256" s="121">
        <f>'ALL Other SINs - Proposal'!C256</f>
        <v>0</v>
      </c>
      <c r="D256" s="121">
        <f>'ALL Other SINs - Proposal'!D256</f>
        <v>0</v>
      </c>
      <c r="E256" s="121">
        <f>'ALL Other SINs - Proposal'!E256</f>
        <v>0</v>
      </c>
      <c r="F256" s="171">
        <f>'ALL Other SINs - Proposal'!F256</f>
        <v>0</v>
      </c>
      <c r="G256" s="51">
        <f>'ALL Other SINs - Proposal'!G256</f>
        <v>0</v>
      </c>
      <c r="H256" s="125">
        <f>'ALL Other SINs - Proposal'!H256</f>
        <v>0</v>
      </c>
      <c r="I256" s="125">
        <f>'ALL Other SINs - Proposal'!I256</f>
        <v>0</v>
      </c>
      <c r="J256" s="125">
        <f>'ALL Other SINs - Proposal'!J256</f>
        <v>0</v>
      </c>
      <c r="K256" s="125">
        <f>'ALL Other SINs - Proposal'!K256</f>
        <v>0</v>
      </c>
      <c r="L256" s="125">
        <f>'ALL Other SINs - Proposal'!L256</f>
        <v>0</v>
      </c>
      <c r="M256" s="206">
        <f>'ALL Other SINs - Proposal'!M256</f>
        <v>0</v>
      </c>
      <c r="N256" s="251">
        <f>'ALL Other SINs - Proposal'!V256</f>
        <v>0</v>
      </c>
      <c r="O256" s="201" t="str">
        <f>'Price Analysis'!N256</f>
        <v xml:space="preserve"> </v>
      </c>
      <c r="P256" s="53" t="str">
        <f>IF(ISBLANK('ALL Other SINs - Proposal'!AA256)," ",'ALL Other SINs - Proposal'!AA256)</f>
        <v xml:space="preserve"> </v>
      </c>
      <c r="Q256" s="95" t="str">
        <f>'ALL Other SINs - Proposal'!AC256</f>
        <v xml:space="preserve"> </v>
      </c>
      <c r="R256" s="100" t="str">
        <f>IF(ISBLANK('ALL Other SINs - Proposal'!AA256)," ",ROUND(Q256,2))</f>
        <v xml:space="preserve"> </v>
      </c>
      <c r="S256" s="54"/>
    </row>
    <row r="257" spans="1:19" ht="20.100000000000001" customHeight="1" x14ac:dyDescent="0.2">
      <c r="A257" s="127">
        <f>'ALL Other SINs - Proposal'!A257</f>
        <v>0</v>
      </c>
      <c r="B257" s="121">
        <f>'ALL Other SINs - Proposal'!B257</f>
        <v>0</v>
      </c>
      <c r="C257" s="121">
        <f>'ALL Other SINs - Proposal'!C257</f>
        <v>0</v>
      </c>
      <c r="D257" s="121">
        <f>'ALL Other SINs - Proposal'!D257</f>
        <v>0</v>
      </c>
      <c r="E257" s="121">
        <f>'ALL Other SINs - Proposal'!E257</f>
        <v>0</v>
      </c>
      <c r="F257" s="171">
        <f>'ALL Other SINs - Proposal'!F257</f>
        <v>0</v>
      </c>
      <c r="G257" s="51">
        <f>'ALL Other SINs - Proposal'!G257</f>
        <v>0</v>
      </c>
      <c r="H257" s="125">
        <f>'ALL Other SINs - Proposal'!H257</f>
        <v>0</v>
      </c>
      <c r="I257" s="125">
        <f>'ALL Other SINs - Proposal'!I257</f>
        <v>0</v>
      </c>
      <c r="J257" s="125">
        <f>'ALL Other SINs - Proposal'!J257</f>
        <v>0</v>
      </c>
      <c r="K257" s="125">
        <f>'ALL Other SINs - Proposal'!K257</f>
        <v>0</v>
      </c>
      <c r="L257" s="125">
        <f>'ALL Other SINs - Proposal'!L257</f>
        <v>0</v>
      </c>
      <c r="M257" s="206">
        <f>'ALL Other SINs - Proposal'!M257</f>
        <v>0</v>
      </c>
      <c r="N257" s="251">
        <f>'ALL Other SINs - Proposal'!V257</f>
        <v>0</v>
      </c>
      <c r="O257" s="201" t="str">
        <f>'Price Analysis'!N257</f>
        <v xml:space="preserve"> </v>
      </c>
      <c r="P257" s="53" t="str">
        <f>IF(ISBLANK('ALL Other SINs - Proposal'!AA257)," ",'ALL Other SINs - Proposal'!AA257)</f>
        <v xml:space="preserve"> </v>
      </c>
      <c r="Q257" s="95" t="str">
        <f>'ALL Other SINs - Proposal'!AC257</f>
        <v xml:space="preserve"> </v>
      </c>
      <c r="R257" s="100" t="str">
        <f>IF(ISBLANK('ALL Other SINs - Proposal'!AA257)," ",ROUND(Q257,2))</f>
        <v xml:space="preserve"> </v>
      </c>
      <c r="S257" s="54"/>
    </row>
    <row r="258" spans="1:19" ht="20.100000000000001" customHeight="1" x14ac:dyDescent="0.2">
      <c r="A258" s="127">
        <f>'ALL Other SINs - Proposal'!A258</f>
        <v>0</v>
      </c>
      <c r="B258" s="121">
        <f>'ALL Other SINs - Proposal'!B258</f>
        <v>0</v>
      </c>
      <c r="C258" s="121">
        <f>'ALL Other SINs - Proposal'!C258</f>
        <v>0</v>
      </c>
      <c r="D258" s="121">
        <f>'ALL Other SINs - Proposal'!D258</f>
        <v>0</v>
      </c>
      <c r="E258" s="121">
        <f>'ALL Other SINs - Proposal'!E258</f>
        <v>0</v>
      </c>
      <c r="F258" s="171">
        <f>'ALL Other SINs - Proposal'!F258</f>
        <v>0</v>
      </c>
      <c r="G258" s="51">
        <f>'ALL Other SINs - Proposal'!G258</f>
        <v>0</v>
      </c>
      <c r="H258" s="125">
        <f>'ALL Other SINs - Proposal'!H258</f>
        <v>0</v>
      </c>
      <c r="I258" s="125">
        <f>'ALL Other SINs - Proposal'!I258</f>
        <v>0</v>
      </c>
      <c r="J258" s="125">
        <f>'ALL Other SINs - Proposal'!J258</f>
        <v>0</v>
      </c>
      <c r="K258" s="125">
        <f>'ALL Other SINs - Proposal'!K258</f>
        <v>0</v>
      </c>
      <c r="L258" s="125">
        <f>'ALL Other SINs - Proposal'!L258</f>
        <v>0</v>
      </c>
      <c r="M258" s="206">
        <f>'ALL Other SINs - Proposal'!M258</f>
        <v>0</v>
      </c>
      <c r="N258" s="251">
        <f>'ALL Other SINs - Proposal'!V258</f>
        <v>0</v>
      </c>
      <c r="O258" s="201" t="str">
        <f>'Price Analysis'!N258</f>
        <v xml:space="preserve"> </v>
      </c>
      <c r="P258" s="53" t="str">
        <f>IF(ISBLANK('ALL Other SINs - Proposal'!AA258)," ",'ALL Other SINs - Proposal'!AA258)</f>
        <v xml:space="preserve"> </v>
      </c>
      <c r="Q258" s="95" t="str">
        <f>'ALL Other SINs - Proposal'!AC258</f>
        <v xml:space="preserve"> </v>
      </c>
      <c r="R258" s="100" t="str">
        <f>IF(ISBLANK('ALL Other SINs - Proposal'!AA258)," ",ROUND(Q258,2))</f>
        <v xml:space="preserve"> </v>
      </c>
      <c r="S258" s="54"/>
    </row>
    <row r="259" spans="1:19" ht="20.100000000000001" customHeight="1" x14ac:dyDescent="0.2">
      <c r="A259" s="127">
        <f>'ALL Other SINs - Proposal'!A259</f>
        <v>0</v>
      </c>
      <c r="B259" s="121">
        <f>'ALL Other SINs - Proposal'!B259</f>
        <v>0</v>
      </c>
      <c r="C259" s="121">
        <f>'ALL Other SINs - Proposal'!C259</f>
        <v>0</v>
      </c>
      <c r="D259" s="121">
        <f>'ALL Other SINs - Proposal'!D259</f>
        <v>0</v>
      </c>
      <c r="E259" s="121">
        <f>'ALL Other SINs - Proposal'!E259</f>
        <v>0</v>
      </c>
      <c r="F259" s="171">
        <f>'ALL Other SINs - Proposal'!F259</f>
        <v>0</v>
      </c>
      <c r="G259" s="51">
        <f>'ALL Other SINs - Proposal'!G259</f>
        <v>0</v>
      </c>
      <c r="H259" s="125">
        <f>'ALL Other SINs - Proposal'!H259</f>
        <v>0</v>
      </c>
      <c r="I259" s="125">
        <f>'ALL Other SINs - Proposal'!I259</f>
        <v>0</v>
      </c>
      <c r="J259" s="125">
        <f>'ALL Other SINs - Proposal'!J259</f>
        <v>0</v>
      </c>
      <c r="K259" s="125">
        <f>'ALL Other SINs - Proposal'!K259</f>
        <v>0</v>
      </c>
      <c r="L259" s="125">
        <f>'ALL Other SINs - Proposal'!L259</f>
        <v>0</v>
      </c>
      <c r="M259" s="206">
        <f>'ALL Other SINs - Proposal'!M259</f>
        <v>0</v>
      </c>
      <c r="N259" s="251">
        <f>'ALL Other SINs - Proposal'!V259</f>
        <v>0</v>
      </c>
      <c r="O259" s="201" t="str">
        <f>'Price Analysis'!N259</f>
        <v xml:space="preserve"> </v>
      </c>
      <c r="P259" s="53" t="str">
        <f>IF(ISBLANK('ALL Other SINs - Proposal'!AA259)," ",'ALL Other SINs - Proposal'!AA259)</f>
        <v xml:space="preserve"> </v>
      </c>
      <c r="Q259" s="95" t="str">
        <f>'ALL Other SINs - Proposal'!AC259</f>
        <v xml:space="preserve"> </v>
      </c>
      <c r="R259" s="100" t="str">
        <f>IF(ISBLANK('ALL Other SINs - Proposal'!AA259)," ",ROUND(Q259,2))</f>
        <v xml:space="preserve"> </v>
      </c>
      <c r="S259" s="54"/>
    </row>
    <row r="260" spans="1:19" ht="20.100000000000001" customHeight="1" x14ac:dyDescent="0.2">
      <c r="A260" s="127">
        <f>'ALL Other SINs - Proposal'!A260</f>
        <v>0</v>
      </c>
      <c r="B260" s="121">
        <f>'ALL Other SINs - Proposal'!B260</f>
        <v>0</v>
      </c>
      <c r="C260" s="121">
        <f>'ALL Other SINs - Proposal'!C260</f>
        <v>0</v>
      </c>
      <c r="D260" s="121">
        <f>'ALL Other SINs - Proposal'!D260</f>
        <v>0</v>
      </c>
      <c r="E260" s="121">
        <f>'ALL Other SINs - Proposal'!E260</f>
        <v>0</v>
      </c>
      <c r="F260" s="171">
        <f>'ALL Other SINs - Proposal'!F260</f>
        <v>0</v>
      </c>
      <c r="G260" s="51">
        <f>'ALL Other SINs - Proposal'!G260</f>
        <v>0</v>
      </c>
      <c r="H260" s="125">
        <f>'ALL Other SINs - Proposal'!H260</f>
        <v>0</v>
      </c>
      <c r="I260" s="125">
        <f>'ALL Other SINs - Proposal'!I260</f>
        <v>0</v>
      </c>
      <c r="J260" s="125">
        <f>'ALL Other SINs - Proposal'!J260</f>
        <v>0</v>
      </c>
      <c r="K260" s="125">
        <f>'ALL Other SINs - Proposal'!K260</f>
        <v>0</v>
      </c>
      <c r="L260" s="125">
        <f>'ALL Other SINs - Proposal'!L260</f>
        <v>0</v>
      </c>
      <c r="M260" s="206">
        <f>'ALL Other SINs - Proposal'!M260</f>
        <v>0</v>
      </c>
      <c r="N260" s="251">
        <f>'ALL Other SINs - Proposal'!V260</f>
        <v>0</v>
      </c>
      <c r="O260" s="201" t="str">
        <f>'Price Analysis'!N260</f>
        <v xml:space="preserve"> </v>
      </c>
      <c r="P260" s="53" t="str">
        <f>IF(ISBLANK('ALL Other SINs - Proposal'!AA260)," ",'ALL Other SINs - Proposal'!AA260)</f>
        <v xml:space="preserve"> </v>
      </c>
      <c r="Q260" s="95" t="str">
        <f>'ALL Other SINs - Proposal'!AC260</f>
        <v xml:space="preserve"> </v>
      </c>
      <c r="R260" s="100" t="str">
        <f>IF(ISBLANK('ALL Other SINs - Proposal'!AA260)," ",ROUND(Q260,2))</f>
        <v xml:space="preserve"> </v>
      </c>
      <c r="S260" s="54"/>
    </row>
    <row r="261" spans="1:19" ht="20.100000000000001" customHeight="1" x14ac:dyDescent="0.2">
      <c r="A261" s="127">
        <f>'ALL Other SINs - Proposal'!A261</f>
        <v>0</v>
      </c>
      <c r="B261" s="121">
        <f>'ALL Other SINs - Proposal'!B261</f>
        <v>0</v>
      </c>
      <c r="C261" s="121">
        <f>'ALL Other SINs - Proposal'!C261</f>
        <v>0</v>
      </c>
      <c r="D261" s="121">
        <f>'ALL Other SINs - Proposal'!D261</f>
        <v>0</v>
      </c>
      <c r="E261" s="121">
        <f>'ALL Other SINs - Proposal'!E261</f>
        <v>0</v>
      </c>
      <c r="F261" s="171">
        <f>'ALL Other SINs - Proposal'!F261</f>
        <v>0</v>
      </c>
      <c r="G261" s="51">
        <f>'ALL Other SINs - Proposal'!G261</f>
        <v>0</v>
      </c>
      <c r="H261" s="125">
        <f>'ALL Other SINs - Proposal'!H261</f>
        <v>0</v>
      </c>
      <c r="I261" s="125">
        <f>'ALL Other SINs - Proposal'!I261</f>
        <v>0</v>
      </c>
      <c r="J261" s="125">
        <f>'ALL Other SINs - Proposal'!J261</f>
        <v>0</v>
      </c>
      <c r="K261" s="125">
        <f>'ALL Other SINs - Proposal'!K261</f>
        <v>0</v>
      </c>
      <c r="L261" s="125">
        <f>'ALL Other SINs - Proposal'!L261</f>
        <v>0</v>
      </c>
      <c r="M261" s="206">
        <f>'ALL Other SINs - Proposal'!M261</f>
        <v>0</v>
      </c>
      <c r="N261" s="251">
        <f>'ALL Other SINs - Proposal'!V261</f>
        <v>0</v>
      </c>
      <c r="O261" s="201" t="str">
        <f>'Price Analysis'!N261</f>
        <v xml:space="preserve"> </v>
      </c>
      <c r="P261" s="53" t="str">
        <f>IF(ISBLANK('ALL Other SINs - Proposal'!AA261)," ",'ALL Other SINs - Proposal'!AA261)</f>
        <v xml:space="preserve"> </v>
      </c>
      <c r="Q261" s="95" t="str">
        <f>'ALL Other SINs - Proposal'!AC261</f>
        <v xml:space="preserve"> </v>
      </c>
      <c r="R261" s="100" t="str">
        <f>IF(ISBLANK('ALL Other SINs - Proposal'!AA261)," ",ROUND(Q261,2))</f>
        <v xml:space="preserve"> </v>
      </c>
      <c r="S261" s="54"/>
    </row>
    <row r="262" spans="1:19" ht="20.100000000000001" customHeight="1" x14ac:dyDescent="0.2">
      <c r="A262" s="127">
        <f>'ALL Other SINs - Proposal'!A262</f>
        <v>0</v>
      </c>
      <c r="B262" s="121">
        <f>'ALL Other SINs - Proposal'!B262</f>
        <v>0</v>
      </c>
      <c r="C262" s="121">
        <f>'ALL Other SINs - Proposal'!C262</f>
        <v>0</v>
      </c>
      <c r="D262" s="121">
        <f>'ALL Other SINs - Proposal'!D262</f>
        <v>0</v>
      </c>
      <c r="E262" s="121">
        <f>'ALL Other SINs - Proposal'!E262</f>
        <v>0</v>
      </c>
      <c r="F262" s="171">
        <f>'ALL Other SINs - Proposal'!F262</f>
        <v>0</v>
      </c>
      <c r="G262" s="51">
        <f>'ALL Other SINs - Proposal'!G262</f>
        <v>0</v>
      </c>
      <c r="H262" s="125">
        <f>'ALL Other SINs - Proposal'!H262</f>
        <v>0</v>
      </c>
      <c r="I262" s="125">
        <f>'ALL Other SINs - Proposal'!I262</f>
        <v>0</v>
      </c>
      <c r="J262" s="125">
        <f>'ALL Other SINs - Proposal'!J262</f>
        <v>0</v>
      </c>
      <c r="K262" s="125">
        <f>'ALL Other SINs - Proposal'!K262</f>
        <v>0</v>
      </c>
      <c r="L262" s="125">
        <f>'ALL Other SINs - Proposal'!L262</f>
        <v>0</v>
      </c>
      <c r="M262" s="206">
        <f>'ALL Other SINs - Proposal'!M262</f>
        <v>0</v>
      </c>
      <c r="N262" s="251">
        <f>'ALL Other SINs - Proposal'!V262</f>
        <v>0</v>
      </c>
      <c r="O262" s="201" t="str">
        <f>'Price Analysis'!N262</f>
        <v xml:space="preserve"> </v>
      </c>
      <c r="P262" s="53" t="str">
        <f>IF(ISBLANK('ALL Other SINs - Proposal'!AA262)," ",'ALL Other SINs - Proposal'!AA262)</f>
        <v xml:space="preserve"> </v>
      </c>
      <c r="Q262" s="95" t="str">
        <f>'ALL Other SINs - Proposal'!AC262</f>
        <v xml:space="preserve"> </v>
      </c>
      <c r="R262" s="100" t="str">
        <f>IF(ISBLANK('ALL Other SINs - Proposal'!AA262)," ",ROUND(Q262,2))</f>
        <v xml:space="preserve"> </v>
      </c>
      <c r="S262" s="54"/>
    </row>
    <row r="263" spans="1:19" ht="20.100000000000001" customHeight="1" x14ac:dyDescent="0.2">
      <c r="A263" s="127">
        <f>'ALL Other SINs - Proposal'!A263</f>
        <v>0</v>
      </c>
      <c r="B263" s="121">
        <f>'ALL Other SINs - Proposal'!B263</f>
        <v>0</v>
      </c>
      <c r="C263" s="121">
        <f>'ALL Other SINs - Proposal'!C263</f>
        <v>0</v>
      </c>
      <c r="D263" s="121">
        <f>'ALL Other SINs - Proposal'!D263</f>
        <v>0</v>
      </c>
      <c r="E263" s="121">
        <f>'ALL Other SINs - Proposal'!E263</f>
        <v>0</v>
      </c>
      <c r="F263" s="171">
        <f>'ALL Other SINs - Proposal'!F263</f>
        <v>0</v>
      </c>
      <c r="G263" s="51">
        <f>'ALL Other SINs - Proposal'!G263</f>
        <v>0</v>
      </c>
      <c r="H263" s="125">
        <f>'ALL Other SINs - Proposal'!H263</f>
        <v>0</v>
      </c>
      <c r="I263" s="125">
        <f>'ALL Other SINs - Proposal'!I263</f>
        <v>0</v>
      </c>
      <c r="J263" s="125">
        <f>'ALL Other SINs - Proposal'!J263</f>
        <v>0</v>
      </c>
      <c r="K263" s="125">
        <f>'ALL Other SINs - Proposal'!K263</f>
        <v>0</v>
      </c>
      <c r="L263" s="125">
        <f>'ALL Other SINs - Proposal'!L263</f>
        <v>0</v>
      </c>
      <c r="M263" s="206">
        <f>'ALL Other SINs - Proposal'!M263</f>
        <v>0</v>
      </c>
      <c r="N263" s="251">
        <f>'ALL Other SINs - Proposal'!V263</f>
        <v>0</v>
      </c>
      <c r="O263" s="201" t="str">
        <f>'Price Analysis'!N263</f>
        <v xml:space="preserve"> </v>
      </c>
      <c r="P263" s="53" t="str">
        <f>IF(ISBLANK('ALL Other SINs - Proposal'!AA263)," ",'ALL Other SINs - Proposal'!AA263)</f>
        <v xml:space="preserve"> </v>
      </c>
      <c r="Q263" s="95" t="str">
        <f>'ALL Other SINs - Proposal'!AC263</f>
        <v xml:space="preserve"> </v>
      </c>
      <c r="R263" s="100" t="str">
        <f>IF(ISBLANK('ALL Other SINs - Proposal'!AA263)," ",ROUND(Q263,2))</f>
        <v xml:space="preserve"> </v>
      </c>
      <c r="S263" s="54"/>
    </row>
    <row r="264" spans="1:19" ht="20.100000000000001" customHeight="1" x14ac:dyDescent="0.2">
      <c r="A264" s="127">
        <f>'ALL Other SINs - Proposal'!A264</f>
        <v>0</v>
      </c>
      <c r="B264" s="121">
        <f>'ALL Other SINs - Proposal'!B264</f>
        <v>0</v>
      </c>
      <c r="C264" s="121">
        <f>'ALL Other SINs - Proposal'!C264</f>
        <v>0</v>
      </c>
      <c r="D264" s="121">
        <f>'ALL Other SINs - Proposal'!D264</f>
        <v>0</v>
      </c>
      <c r="E264" s="121">
        <f>'ALL Other SINs - Proposal'!E264</f>
        <v>0</v>
      </c>
      <c r="F264" s="171">
        <f>'ALL Other SINs - Proposal'!F264</f>
        <v>0</v>
      </c>
      <c r="G264" s="51">
        <f>'ALL Other SINs - Proposal'!G264</f>
        <v>0</v>
      </c>
      <c r="H264" s="125">
        <f>'ALL Other SINs - Proposal'!H264</f>
        <v>0</v>
      </c>
      <c r="I264" s="125">
        <f>'ALL Other SINs - Proposal'!I264</f>
        <v>0</v>
      </c>
      <c r="J264" s="125">
        <f>'ALL Other SINs - Proposal'!J264</f>
        <v>0</v>
      </c>
      <c r="K264" s="125">
        <f>'ALL Other SINs - Proposal'!K264</f>
        <v>0</v>
      </c>
      <c r="L264" s="125">
        <f>'ALL Other SINs - Proposal'!L264</f>
        <v>0</v>
      </c>
      <c r="M264" s="206">
        <f>'ALL Other SINs - Proposal'!M264</f>
        <v>0</v>
      </c>
      <c r="N264" s="251">
        <f>'ALL Other SINs - Proposal'!V264</f>
        <v>0</v>
      </c>
      <c r="O264" s="201" t="str">
        <f>'Price Analysis'!N264</f>
        <v xml:space="preserve"> </v>
      </c>
      <c r="P264" s="53" t="str">
        <f>IF(ISBLANK('ALL Other SINs - Proposal'!AA264)," ",'ALL Other SINs - Proposal'!AA264)</f>
        <v xml:space="preserve"> </v>
      </c>
      <c r="Q264" s="95" t="str">
        <f>'ALL Other SINs - Proposal'!AC264</f>
        <v xml:space="preserve"> </v>
      </c>
      <c r="R264" s="100" t="str">
        <f>IF(ISBLANK('ALL Other SINs - Proposal'!AA264)," ",ROUND(Q264,2))</f>
        <v xml:space="preserve"> </v>
      </c>
      <c r="S264" s="54"/>
    </row>
    <row r="265" spans="1:19" ht="20.100000000000001" customHeight="1" x14ac:dyDescent="0.2">
      <c r="A265" s="127">
        <f>'ALL Other SINs - Proposal'!A265</f>
        <v>0</v>
      </c>
      <c r="B265" s="121">
        <f>'ALL Other SINs - Proposal'!B265</f>
        <v>0</v>
      </c>
      <c r="C265" s="121">
        <f>'ALL Other SINs - Proposal'!C265</f>
        <v>0</v>
      </c>
      <c r="D265" s="121">
        <f>'ALL Other SINs - Proposal'!D265</f>
        <v>0</v>
      </c>
      <c r="E265" s="121">
        <f>'ALL Other SINs - Proposal'!E265</f>
        <v>0</v>
      </c>
      <c r="F265" s="171">
        <f>'ALL Other SINs - Proposal'!F265</f>
        <v>0</v>
      </c>
      <c r="G265" s="51">
        <f>'ALL Other SINs - Proposal'!G265</f>
        <v>0</v>
      </c>
      <c r="H265" s="125">
        <f>'ALL Other SINs - Proposal'!H265</f>
        <v>0</v>
      </c>
      <c r="I265" s="125">
        <f>'ALL Other SINs - Proposal'!I265</f>
        <v>0</v>
      </c>
      <c r="J265" s="125">
        <f>'ALL Other SINs - Proposal'!J265</f>
        <v>0</v>
      </c>
      <c r="K265" s="125">
        <f>'ALL Other SINs - Proposal'!K265</f>
        <v>0</v>
      </c>
      <c r="L265" s="125">
        <f>'ALL Other SINs - Proposal'!L265</f>
        <v>0</v>
      </c>
      <c r="M265" s="206">
        <f>'ALL Other SINs - Proposal'!M265</f>
        <v>0</v>
      </c>
      <c r="N265" s="251">
        <f>'ALL Other SINs - Proposal'!V265</f>
        <v>0</v>
      </c>
      <c r="O265" s="201" t="str">
        <f>'Price Analysis'!N265</f>
        <v xml:space="preserve"> </v>
      </c>
      <c r="P265" s="53" t="str">
        <f>IF(ISBLANK('ALL Other SINs - Proposal'!AA265)," ",'ALL Other SINs - Proposal'!AA265)</f>
        <v xml:space="preserve"> </v>
      </c>
      <c r="Q265" s="95" t="str">
        <f>'ALL Other SINs - Proposal'!AC265</f>
        <v xml:space="preserve"> </v>
      </c>
      <c r="R265" s="100" t="str">
        <f>IF(ISBLANK('ALL Other SINs - Proposal'!AA265)," ",ROUND(Q265,2))</f>
        <v xml:space="preserve"> </v>
      </c>
      <c r="S265" s="54"/>
    </row>
    <row r="266" spans="1:19" ht="20.100000000000001" customHeight="1" x14ac:dyDescent="0.2">
      <c r="A266" s="127">
        <f>'ALL Other SINs - Proposal'!A266</f>
        <v>0</v>
      </c>
      <c r="B266" s="121">
        <f>'ALL Other SINs - Proposal'!B266</f>
        <v>0</v>
      </c>
      <c r="C266" s="121">
        <f>'ALL Other SINs - Proposal'!C266</f>
        <v>0</v>
      </c>
      <c r="D266" s="121">
        <f>'ALL Other SINs - Proposal'!D266</f>
        <v>0</v>
      </c>
      <c r="E266" s="121">
        <f>'ALL Other SINs - Proposal'!E266</f>
        <v>0</v>
      </c>
      <c r="F266" s="171">
        <f>'ALL Other SINs - Proposal'!F266</f>
        <v>0</v>
      </c>
      <c r="G266" s="51">
        <f>'ALL Other SINs - Proposal'!G266</f>
        <v>0</v>
      </c>
      <c r="H266" s="125">
        <f>'ALL Other SINs - Proposal'!H266</f>
        <v>0</v>
      </c>
      <c r="I266" s="125">
        <f>'ALL Other SINs - Proposal'!I266</f>
        <v>0</v>
      </c>
      <c r="J266" s="125">
        <f>'ALL Other SINs - Proposal'!J266</f>
        <v>0</v>
      </c>
      <c r="K266" s="125">
        <f>'ALL Other SINs - Proposal'!K266</f>
        <v>0</v>
      </c>
      <c r="L266" s="125">
        <f>'ALL Other SINs - Proposal'!L266</f>
        <v>0</v>
      </c>
      <c r="M266" s="206">
        <f>'ALL Other SINs - Proposal'!M266</f>
        <v>0</v>
      </c>
      <c r="N266" s="251">
        <f>'ALL Other SINs - Proposal'!V266</f>
        <v>0</v>
      </c>
      <c r="O266" s="201" t="str">
        <f>'Price Analysis'!N266</f>
        <v xml:space="preserve"> </v>
      </c>
      <c r="P266" s="53" t="str">
        <f>IF(ISBLANK('ALL Other SINs - Proposal'!AA266)," ",'ALL Other SINs - Proposal'!AA266)</f>
        <v xml:space="preserve"> </v>
      </c>
      <c r="Q266" s="95" t="str">
        <f>'ALL Other SINs - Proposal'!AC266</f>
        <v xml:space="preserve"> </v>
      </c>
      <c r="R266" s="100" t="str">
        <f>IF(ISBLANK('ALL Other SINs - Proposal'!AA266)," ",ROUND(Q266,2))</f>
        <v xml:space="preserve"> </v>
      </c>
      <c r="S266" s="54"/>
    </row>
    <row r="267" spans="1:19" ht="20.100000000000001" customHeight="1" x14ac:dyDescent="0.2">
      <c r="A267" s="127">
        <f>'ALL Other SINs - Proposal'!A267</f>
        <v>0</v>
      </c>
      <c r="B267" s="121">
        <f>'ALL Other SINs - Proposal'!B267</f>
        <v>0</v>
      </c>
      <c r="C267" s="121">
        <f>'ALL Other SINs - Proposal'!C267</f>
        <v>0</v>
      </c>
      <c r="D267" s="121">
        <f>'ALL Other SINs - Proposal'!D267</f>
        <v>0</v>
      </c>
      <c r="E267" s="121">
        <f>'ALL Other SINs - Proposal'!E267</f>
        <v>0</v>
      </c>
      <c r="F267" s="171">
        <f>'ALL Other SINs - Proposal'!F267</f>
        <v>0</v>
      </c>
      <c r="G267" s="51">
        <f>'ALL Other SINs - Proposal'!G267</f>
        <v>0</v>
      </c>
      <c r="H267" s="125">
        <f>'ALL Other SINs - Proposal'!H267</f>
        <v>0</v>
      </c>
      <c r="I267" s="125">
        <f>'ALL Other SINs - Proposal'!I267</f>
        <v>0</v>
      </c>
      <c r="J267" s="125">
        <f>'ALL Other SINs - Proposal'!J267</f>
        <v>0</v>
      </c>
      <c r="K267" s="125">
        <f>'ALL Other SINs - Proposal'!K267</f>
        <v>0</v>
      </c>
      <c r="L267" s="125">
        <f>'ALL Other SINs - Proposal'!L267</f>
        <v>0</v>
      </c>
      <c r="M267" s="206">
        <f>'ALL Other SINs - Proposal'!M267</f>
        <v>0</v>
      </c>
      <c r="N267" s="251">
        <f>'ALL Other SINs - Proposal'!V267</f>
        <v>0</v>
      </c>
      <c r="O267" s="201" t="str">
        <f>'Price Analysis'!N267</f>
        <v xml:space="preserve"> </v>
      </c>
      <c r="P267" s="53" t="str">
        <f>IF(ISBLANK('ALL Other SINs - Proposal'!AA267)," ",'ALL Other SINs - Proposal'!AA267)</f>
        <v xml:space="preserve"> </v>
      </c>
      <c r="Q267" s="95" t="str">
        <f>'ALL Other SINs - Proposal'!AC267</f>
        <v xml:space="preserve"> </v>
      </c>
      <c r="R267" s="100" t="str">
        <f>IF(ISBLANK('ALL Other SINs - Proposal'!AA267)," ",ROUND(Q267,2))</f>
        <v xml:space="preserve"> </v>
      </c>
      <c r="S267" s="54"/>
    </row>
    <row r="268" spans="1:19" ht="20.100000000000001" customHeight="1" x14ac:dyDescent="0.2">
      <c r="A268" s="127">
        <f>'ALL Other SINs - Proposal'!A268</f>
        <v>0</v>
      </c>
      <c r="B268" s="121">
        <f>'ALL Other SINs - Proposal'!B268</f>
        <v>0</v>
      </c>
      <c r="C268" s="121">
        <f>'ALL Other SINs - Proposal'!C268</f>
        <v>0</v>
      </c>
      <c r="D268" s="121">
        <f>'ALL Other SINs - Proposal'!D268</f>
        <v>0</v>
      </c>
      <c r="E268" s="121">
        <f>'ALL Other SINs - Proposal'!E268</f>
        <v>0</v>
      </c>
      <c r="F268" s="171">
        <f>'ALL Other SINs - Proposal'!F268</f>
        <v>0</v>
      </c>
      <c r="G268" s="51">
        <f>'ALL Other SINs - Proposal'!G268</f>
        <v>0</v>
      </c>
      <c r="H268" s="125">
        <f>'ALL Other SINs - Proposal'!H268</f>
        <v>0</v>
      </c>
      <c r="I268" s="125">
        <f>'ALL Other SINs - Proposal'!I268</f>
        <v>0</v>
      </c>
      <c r="J268" s="125">
        <f>'ALL Other SINs - Proposal'!J268</f>
        <v>0</v>
      </c>
      <c r="K268" s="125">
        <f>'ALL Other SINs - Proposal'!K268</f>
        <v>0</v>
      </c>
      <c r="L268" s="125">
        <f>'ALL Other SINs - Proposal'!L268</f>
        <v>0</v>
      </c>
      <c r="M268" s="206">
        <f>'ALL Other SINs - Proposal'!M268</f>
        <v>0</v>
      </c>
      <c r="N268" s="251">
        <f>'ALL Other SINs - Proposal'!V268</f>
        <v>0</v>
      </c>
      <c r="O268" s="201" t="str">
        <f>'Price Analysis'!N268</f>
        <v xml:space="preserve"> </v>
      </c>
      <c r="P268" s="53" t="str">
        <f>IF(ISBLANK('ALL Other SINs - Proposal'!AA268)," ",'ALL Other SINs - Proposal'!AA268)</f>
        <v xml:space="preserve"> </v>
      </c>
      <c r="Q268" s="95" t="str">
        <f>'ALL Other SINs - Proposal'!AC268</f>
        <v xml:space="preserve"> </v>
      </c>
      <c r="R268" s="100" t="str">
        <f>IF(ISBLANK('ALL Other SINs - Proposal'!AA268)," ",ROUND(Q268,2))</f>
        <v xml:space="preserve"> </v>
      </c>
      <c r="S268" s="54"/>
    </row>
    <row r="269" spans="1:19" ht="20.100000000000001" customHeight="1" x14ac:dyDescent="0.2">
      <c r="A269" s="127">
        <f>'ALL Other SINs - Proposal'!A269</f>
        <v>0</v>
      </c>
      <c r="B269" s="121">
        <f>'ALL Other SINs - Proposal'!B269</f>
        <v>0</v>
      </c>
      <c r="C269" s="121">
        <f>'ALL Other SINs - Proposal'!C269</f>
        <v>0</v>
      </c>
      <c r="D269" s="121">
        <f>'ALL Other SINs - Proposal'!D269</f>
        <v>0</v>
      </c>
      <c r="E269" s="121">
        <f>'ALL Other SINs - Proposal'!E269</f>
        <v>0</v>
      </c>
      <c r="F269" s="171">
        <f>'ALL Other SINs - Proposal'!F269</f>
        <v>0</v>
      </c>
      <c r="G269" s="51">
        <f>'ALL Other SINs - Proposal'!G269</f>
        <v>0</v>
      </c>
      <c r="H269" s="125">
        <f>'ALL Other SINs - Proposal'!H269</f>
        <v>0</v>
      </c>
      <c r="I269" s="125">
        <f>'ALL Other SINs - Proposal'!I269</f>
        <v>0</v>
      </c>
      <c r="J269" s="125">
        <f>'ALL Other SINs - Proposal'!J269</f>
        <v>0</v>
      </c>
      <c r="K269" s="125">
        <f>'ALL Other SINs - Proposal'!K269</f>
        <v>0</v>
      </c>
      <c r="L269" s="125">
        <f>'ALL Other SINs - Proposal'!L269</f>
        <v>0</v>
      </c>
      <c r="M269" s="206">
        <f>'ALL Other SINs - Proposal'!M269</f>
        <v>0</v>
      </c>
      <c r="N269" s="251">
        <f>'ALL Other SINs - Proposal'!V269</f>
        <v>0</v>
      </c>
      <c r="O269" s="201" t="str">
        <f>'Price Analysis'!N269</f>
        <v xml:space="preserve"> </v>
      </c>
      <c r="P269" s="53" t="str">
        <f>IF(ISBLANK('ALL Other SINs - Proposal'!AA269)," ",'ALL Other SINs - Proposal'!AA269)</f>
        <v xml:space="preserve"> </v>
      </c>
      <c r="Q269" s="95" t="str">
        <f>'ALL Other SINs - Proposal'!AC269</f>
        <v xml:space="preserve"> </v>
      </c>
      <c r="R269" s="100" t="str">
        <f>IF(ISBLANK('ALL Other SINs - Proposal'!AA269)," ",ROUND(Q269,2))</f>
        <v xml:space="preserve"> </v>
      </c>
      <c r="S269" s="54"/>
    </row>
    <row r="270" spans="1:19" ht="20.100000000000001" customHeight="1" x14ac:dyDescent="0.2">
      <c r="A270" s="127">
        <f>'ALL Other SINs - Proposal'!A270</f>
        <v>0</v>
      </c>
      <c r="B270" s="121">
        <f>'ALL Other SINs - Proposal'!B270</f>
        <v>0</v>
      </c>
      <c r="C270" s="121">
        <f>'ALL Other SINs - Proposal'!C270</f>
        <v>0</v>
      </c>
      <c r="D270" s="121">
        <f>'ALL Other SINs - Proposal'!D270</f>
        <v>0</v>
      </c>
      <c r="E270" s="121">
        <f>'ALL Other SINs - Proposal'!E270</f>
        <v>0</v>
      </c>
      <c r="F270" s="171">
        <f>'ALL Other SINs - Proposal'!F270</f>
        <v>0</v>
      </c>
      <c r="G270" s="51">
        <f>'ALL Other SINs - Proposal'!G270</f>
        <v>0</v>
      </c>
      <c r="H270" s="125">
        <f>'ALL Other SINs - Proposal'!H270</f>
        <v>0</v>
      </c>
      <c r="I270" s="125">
        <f>'ALL Other SINs - Proposal'!I270</f>
        <v>0</v>
      </c>
      <c r="J270" s="125">
        <f>'ALL Other SINs - Proposal'!J270</f>
        <v>0</v>
      </c>
      <c r="K270" s="125">
        <f>'ALL Other SINs - Proposal'!K270</f>
        <v>0</v>
      </c>
      <c r="L270" s="125">
        <f>'ALL Other SINs - Proposal'!L270</f>
        <v>0</v>
      </c>
      <c r="M270" s="206">
        <f>'ALL Other SINs - Proposal'!M270</f>
        <v>0</v>
      </c>
      <c r="N270" s="251">
        <f>'ALL Other SINs - Proposal'!V270</f>
        <v>0</v>
      </c>
      <c r="O270" s="201" t="str">
        <f>'Price Analysis'!N270</f>
        <v xml:space="preserve"> </v>
      </c>
      <c r="P270" s="53" t="str">
        <f>IF(ISBLANK('ALL Other SINs - Proposal'!AA270)," ",'ALL Other SINs - Proposal'!AA270)</f>
        <v xml:space="preserve"> </v>
      </c>
      <c r="Q270" s="95" t="str">
        <f>'ALL Other SINs - Proposal'!AC270</f>
        <v xml:space="preserve"> </v>
      </c>
      <c r="R270" s="100" t="str">
        <f>IF(ISBLANK('ALL Other SINs - Proposal'!AA270)," ",ROUND(Q270,2))</f>
        <v xml:space="preserve"> </v>
      </c>
      <c r="S270" s="54"/>
    </row>
    <row r="271" spans="1:19" ht="20.100000000000001" customHeight="1" x14ac:dyDescent="0.2">
      <c r="A271" s="127">
        <f>'ALL Other SINs - Proposal'!A271</f>
        <v>0</v>
      </c>
      <c r="B271" s="121">
        <f>'ALL Other SINs - Proposal'!B271</f>
        <v>0</v>
      </c>
      <c r="C271" s="121">
        <f>'ALL Other SINs - Proposal'!C271</f>
        <v>0</v>
      </c>
      <c r="D271" s="121">
        <f>'ALL Other SINs - Proposal'!D271</f>
        <v>0</v>
      </c>
      <c r="E271" s="121">
        <f>'ALL Other SINs - Proposal'!E271</f>
        <v>0</v>
      </c>
      <c r="F271" s="171">
        <f>'ALL Other SINs - Proposal'!F271</f>
        <v>0</v>
      </c>
      <c r="G271" s="51">
        <f>'ALL Other SINs - Proposal'!G271</f>
        <v>0</v>
      </c>
      <c r="H271" s="125">
        <f>'ALL Other SINs - Proposal'!H271</f>
        <v>0</v>
      </c>
      <c r="I271" s="125">
        <f>'ALL Other SINs - Proposal'!I271</f>
        <v>0</v>
      </c>
      <c r="J271" s="125">
        <f>'ALL Other SINs - Proposal'!J271</f>
        <v>0</v>
      </c>
      <c r="K271" s="125">
        <f>'ALL Other SINs - Proposal'!K271</f>
        <v>0</v>
      </c>
      <c r="L271" s="125">
        <f>'ALL Other SINs - Proposal'!L271</f>
        <v>0</v>
      </c>
      <c r="M271" s="206">
        <f>'ALL Other SINs - Proposal'!M271</f>
        <v>0</v>
      </c>
      <c r="N271" s="251">
        <f>'ALL Other SINs - Proposal'!V271</f>
        <v>0</v>
      </c>
      <c r="O271" s="201" t="str">
        <f>'Price Analysis'!N271</f>
        <v xml:space="preserve"> </v>
      </c>
      <c r="P271" s="53" t="str">
        <f>IF(ISBLANK('ALL Other SINs - Proposal'!AA271)," ",'ALL Other SINs - Proposal'!AA271)</f>
        <v xml:space="preserve"> </v>
      </c>
      <c r="Q271" s="95" t="str">
        <f>'ALL Other SINs - Proposal'!AC271</f>
        <v xml:space="preserve"> </v>
      </c>
      <c r="R271" s="100" t="str">
        <f>IF(ISBLANK('ALL Other SINs - Proposal'!AA271)," ",ROUND(Q271,2))</f>
        <v xml:space="preserve"> </v>
      </c>
      <c r="S271" s="54"/>
    </row>
    <row r="272" spans="1:19" ht="20.100000000000001" customHeight="1" x14ac:dyDescent="0.2">
      <c r="A272" s="127">
        <f>'ALL Other SINs - Proposal'!A272</f>
        <v>0</v>
      </c>
      <c r="B272" s="121">
        <f>'ALL Other SINs - Proposal'!B272</f>
        <v>0</v>
      </c>
      <c r="C272" s="121">
        <f>'ALL Other SINs - Proposal'!C272</f>
        <v>0</v>
      </c>
      <c r="D272" s="121">
        <f>'ALL Other SINs - Proposal'!D272</f>
        <v>0</v>
      </c>
      <c r="E272" s="121">
        <f>'ALL Other SINs - Proposal'!E272</f>
        <v>0</v>
      </c>
      <c r="F272" s="171">
        <f>'ALL Other SINs - Proposal'!F272</f>
        <v>0</v>
      </c>
      <c r="G272" s="51">
        <f>'ALL Other SINs - Proposal'!G272</f>
        <v>0</v>
      </c>
      <c r="H272" s="125">
        <f>'ALL Other SINs - Proposal'!H272</f>
        <v>0</v>
      </c>
      <c r="I272" s="125">
        <f>'ALL Other SINs - Proposal'!I272</f>
        <v>0</v>
      </c>
      <c r="J272" s="125">
        <f>'ALL Other SINs - Proposal'!J272</f>
        <v>0</v>
      </c>
      <c r="K272" s="125">
        <f>'ALL Other SINs - Proposal'!K272</f>
        <v>0</v>
      </c>
      <c r="L272" s="125">
        <f>'ALL Other SINs - Proposal'!L272</f>
        <v>0</v>
      </c>
      <c r="M272" s="206">
        <f>'ALL Other SINs - Proposal'!M272</f>
        <v>0</v>
      </c>
      <c r="N272" s="251">
        <f>'ALL Other SINs - Proposal'!V272</f>
        <v>0</v>
      </c>
      <c r="O272" s="201" t="str">
        <f>'Price Analysis'!N272</f>
        <v xml:space="preserve"> </v>
      </c>
      <c r="P272" s="53" t="str">
        <f>IF(ISBLANK('ALL Other SINs - Proposal'!AA272)," ",'ALL Other SINs - Proposal'!AA272)</f>
        <v xml:space="preserve"> </v>
      </c>
      <c r="Q272" s="95" t="str">
        <f>'ALL Other SINs - Proposal'!AC272</f>
        <v xml:space="preserve"> </v>
      </c>
      <c r="R272" s="100" t="str">
        <f>IF(ISBLANK('ALL Other SINs - Proposal'!AA272)," ",ROUND(Q272,2))</f>
        <v xml:space="preserve"> </v>
      </c>
      <c r="S272" s="54"/>
    </row>
    <row r="273" spans="1:19" ht="20.100000000000001" customHeight="1" x14ac:dyDescent="0.2">
      <c r="A273" s="127">
        <f>'ALL Other SINs - Proposal'!A273</f>
        <v>0</v>
      </c>
      <c r="B273" s="121">
        <f>'ALL Other SINs - Proposal'!B273</f>
        <v>0</v>
      </c>
      <c r="C273" s="121">
        <f>'ALL Other SINs - Proposal'!C273</f>
        <v>0</v>
      </c>
      <c r="D273" s="121">
        <f>'ALL Other SINs - Proposal'!D273</f>
        <v>0</v>
      </c>
      <c r="E273" s="121">
        <f>'ALL Other SINs - Proposal'!E273</f>
        <v>0</v>
      </c>
      <c r="F273" s="171">
        <f>'ALL Other SINs - Proposal'!F273</f>
        <v>0</v>
      </c>
      <c r="G273" s="51">
        <f>'ALL Other SINs - Proposal'!G273</f>
        <v>0</v>
      </c>
      <c r="H273" s="125">
        <f>'ALL Other SINs - Proposal'!H273</f>
        <v>0</v>
      </c>
      <c r="I273" s="125">
        <f>'ALL Other SINs - Proposal'!I273</f>
        <v>0</v>
      </c>
      <c r="J273" s="125">
        <f>'ALL Other SINs - Proposal'!J273</f>
        <v>0</v>
      </c>
      <c r="K273" s="125">
        <f>'ALL Other SINs - Proposal'!K273</f>
        <v>0</v>
      </c>
      <c r="L273" s="125">
        <f>'ALL Other SINs - Proposal'!L273</f>
        <v>0</v>
      </c>
      <c r="M273" s="206">
        <f>'ALL Other SINs - Proposal'!M273</f>
        <v>0</v>
      </c>
      <c r="N273" s="251">
        <f>'ALL Other SINs - Proposal'!V273</f>
        <v>0</v>
      </c>
      <c r="O273" s="201" t="str">
        <f>'Price Analysis'!N273</f>
        <v xml:space="preserve"> </v>
      </c>
      <c r="P273" s="53" t="str">
        <f>IF(ISBLANK('ALL Other SINs - Proposal'!AA273)," ",'ALL Other SINs - Proposal'!AA273)</f>
        <v xml:space="preserve"> </v>
      </c>
      <c r="Q273" s="95" t="str">
        <f>'ALL Other SINs - Proposal'!AC273</f>
        <v xml:space="preserve"> </v>
      </c>
      <c r="R273" s="100" t="str">
        <f>IF(ISBLANK('ALL Other SINs - Proposal'!AA273)," ",ROUND(Q273,2))</f>
        <v xml:space="preserve"> </v>
      </c>
      <c r="S273" s="54"/>
    </row>
    <row r="274" spans="1:19" ht="20.100000000000001" customHeight="1" x14ac:dyDescent="0.2">
      <c r="A274" s="127">
        <f>'ALL Other SINs - Proposal'!A274</f>
        <v>0</v>
      </c>
      <c r="B274" s="121">
        <f>'ALL Other SINs - Proposal'!B274</f>
        <v>0</v>
      </c>
      <c r="C274" s="121">
        <f>'ALL Other SINs - Proposal'!C274</f>
        <v>0</v>
      </c>
      <c r="D274" s="121">
        <f>'ALL Other SINs - Proposal'!D274</f>
        <v>0</v>
      </c>
      <c r="E274" s="121">
        <f>'ALL Other SINs - Proposal'!E274</f>
        <v>0</v>
      </c>
      <c r="F274" s="171">
        <f>'ALL Other SINs - Proposal'!F274</f>
        <v>0</v>
      </c>
      <c r="G274" s="51">
        <f>'ALL Other SINs - Proposal'!G274</f>
        <v>0</v>
      </c>
      <c r="H274" s="125">
        <f>'ALL Other SINs - Proposal'!H274</f>
        <v>0</v>
      </c>
      <c r="I274" s="125">
        <f>'ALL Other SINs - Proposal'!I274</f>
        <v>0</v>
      </c>
      <c r="J274" s="125">
        <f>'ALL Other SINs - Proposal'!J274</f>
        <v>0</v>
      </c>
      <c r="K274" s="125">
        <f>'ALL Other SINs - Proposal'!K274</f>
        <v>0</v>
      </c>
      <c r="L274" s="125">
        <f>'ALL Other SINs - Proposal'!L274</f>
        <v>0</v>
      </c>
      <c r="M274" s="206">
        <f>'ALL Other SINs - Proposal'!M274</f>
        <v>0</v>
      </c>
      <c r="N274" s="251">
        <f>'ALL Other SINs - Proposal'!V274</f>
        <v>0</v>
      </c>
      <c r="O274" s="201" t="str">
        <f>'Price Analysis'!N274</f>
        <v xml:space="preserve"> </v>
      </c>
      <c r="P274" s="53" t="str">
        <f>IF(ISBLANK('ALL Other SINs - Proposal'!AA274)," ",'ALL Other SINs - Proposal'!AA274)</f>
        <v xml:space="preserve"> </v>
      </c>
      <c r="Q274" s="95" t="str">
        <f>'ALL Other SINs - Proposal'!AC274</f>
        <v xml:space="preserve"> </v>
      </c>
      <c r="R274" s="100" t="str">
        <f>IF(ISBLANK('ALL Other SINs - Proposal'!AA274)," ",ROUND(Q274,2))</f>
        <v xml:space="preserve"> </v>
      </c>
      <c r="S274" s="54"/>
    </row>
    <row r="275" spans="1:19" ht="20.100000000000001" customHeight="1" x14ac:dyDescent="0.2">
      <c r="A275" s="127">
        <f>'ALL Other SINs - Proposal'!A275</f>
        <v>0</v>
      </c>
      <c r="B275" s="121">
        <f>'ALL Other SINs - Proposal'!B275</f>
        <v>0</v>
      </c>
      <c r="C275" s="121">
        <f>'ALL Other SINs - Proposal'!C275</f>
        <v>0</v>
      </c>
      <c r="D275" s="121">
        <f>'ALL Other SINs - Proposal'!D275</f>
        <v>0</v>
      </c>
      <c r="E275" s="121">
        <f>'ALL Other SINs - Proposal'!E275</f>
        <v>0</v>
      </c>
      <c r="F275" s="171">
        <f>'ALL Other SINs - Proposal'!F275</f>
        <v>0</v>
      </c>
      <c r="G275" s="51">
        <f>'ALL Other SINs - Proposal'!G275</f>
        <v>0</v>
      </c>
      <c r="H275" s="125">
        <f>'ALL Other SINs - Proposal'!H275</f>
        <v>0</v>
      </c>
      <c r="I275" s="125">
        <f>'ALL Other SINs - Proposal'!I275</f>
        <v>0</v>
      </c>
      <c r="J275" s="125">
        <f>'ALL Other SINs - Proposal'!J275</f>
        <v>0</v>
      </c>
      <c r="K275" s="125">
        <f>'ALL Other SINs - Proposal'!K275</f>
        <v>0</v>
      </c>
      <c r="L275" s="125">
        <f>'ALL Other SINs - Proposal'!L275</f>
        <v>0</v>
      </c>
      <c r="M275" s="206">
        <f>'ALL Other SINs - Proposal'!M275</f>
        <v>0</v>
      </c>
      <c r="N275" s="251">
        <f>'ALL Other SINs - Proposal'!V275</f>
        <v>0</v>
      </c>
      <c r="O275" s="201" t="str">
        <f>'Price Analysis'!N275</f>
        <v xml:space="preserve"> </v>
      </c>
      <c r="P275" s="53" t="str">
        <f>IF(ISBLANK('ALL Other SINs - Proposal'!AA275)," ",'ALL Other SINs - Proposal'!AA275)</f>
        <v xml:space="preserve"> </v>
      </c>
      <c r="Q275" s="95" t="str">
        <f>'ALL Other SINs - Proposal'!AC275</f>
        <v xml:space="preserve"> </v>
      </c>
      <c r="R275" s="100" t="str">
        <f>IF(ISBLANK('ALL Other SINs - Proposal'!AA275)," ",ROUND(Q275,2))</f>
        <v xml:space="preserve"> </v>
      </c>
      <c r="S275" s="54"/>
    </row>
    <row r="276" spans="1:19" ht="20.100000000000001" customHeight="1" x14ac:dyDescent="0.2">
      <c r="A276" s="127">
        <f>'ALL Other SINs - Proposal'!A276</f>
        <v>0</v>
      </c>
      <c r="B276" s="121">
        <f>'ALL Other SINs - Proposal'!B276</f>
        <v>0</v>
      </c>
      <c r="C276" s="121">
        <f>'ALL Other SINs - Proposal'!C276</f>
        <v>0</v>
      </c>
      <c r="D276" s="121">
        <f>'ALL Other SINs - Proposal'!D276</f>
        <v>0</v>
      </c>
      <c r="E276" s="121">
        <f>'ALL Other SINs - Proposal'!E276</f>
        <v>0</v>
      </c>
      <c r="F276" s="171">
        <f>'ALL Other SINs - Proposal'!F276</f>
        <v>0</v>
      </c>
      <c r="G276" s="51">
        <f>'ALL Other SINs - Proposal'!G276</f>
        <v>0</v>
      </c>
      <c r="H276" s="125">
        <f>'ALL Other SINs - Proposal'!H276</f>
        <v>0</v>
      </c>
      <c r="I276" s="125">
        <f>'ALL Other SINs - Proposal'!I276</f>
        <v>0</v>
      </c>
      <c r="J276" s="125">
        <f>'ALL Other SINs - Proposal'!J276</f>
        <v>0</v>
      </c>
      <c r="K276" s="125">
        <f>'ALL Other SINs - Proposal'!K276</f>
        <v>0</v>
      </c>
      <c r="L276" s="125">
        <f>'ALL Other SINs - Proposal'!L276</f>
        <v>0</v>
      </c>
      <c r="M276" s="206">
        <f>'ALL Other SINs - Proposal'!M276</f>
        <v>0</v>
      </c>
      <c r="N276" s="251">
        <f>'ALL Other SINs - Proposal'!V276</f>
        <v>0</v>
      </c>
      <c r="O276" s="201" t="str">
        <f>'Price Analysis'!N276</f>
        <v xml:space="preserve"> </v>
      </c>
      <c r="P276" s="53" t="str">
        <f>IF(ISBLANK('ALL Other SINs - Proposal'!AA276)," ",'ALL Other SINs - Proposal'!AA276)</f>
        <v xml:space="preserve"> </v>
      </c>
      <c r="Q276" s="95" t="str">
        <f>'ALL Other SINs - Proposal'!AC276</f>
        <v xml:space="preserve"> </v>
      </c>
      <c r="R276" s="100" t="str">
        <f>IF(ISBLANK('ALL Other SINs - Proposal'!AA276)," ",ROUND(Q276,2))</f>
        <v xml:space="preserve"> </v>
      </c>
      <c r="S276" s="54"/>
    </row>
    <row r="277" spans="1:19" ht="20.100000000000001" customHeight="1" x14ac:dyDescent="0.2">
      <c r="A277" s="127">
        <f>'ALL Other SINs - Proposal'!A277</f>
        <v>0</v>
      </c>
      <c r="B277" s="121">
        <f>'ALL Other SINs - Proposal'!B277</f>
        <v>0</v>
      </c>
      <c r="C277" s="121">
        <f>'ALL Other SINs - Proposal'!C277</f>
        <v>0</v>
      </c>
      <c r="D277" s="121">
        <f>'ALL Other SINs - Proposal'!D277</f>
        <v>0</v>
      </c>
      <c r="E277" s="121">
        <f>'ALL Other SINs - Proposal'!E277</f>
        <v>0</v>
      </c>
      <c r="F277" s="171">
        <f>'ALL Other SINs - Proposal'!F277</f>
        <v>0</v>
      </c>
      <c r="G277" s="51">
        <f>'ALL Other SINs - Proposal'!G277</f>
        <v>0</v>
      </c>
      <c r="H277" s="125">
        <f>'ALL Other SINs - Proposal'!H277</f>
        <v>0</v>
      </c>
      <c r="I277" s="125">
        <f>'ALL Other SINs - Proposal'!I277</f>
        <v>0</v>
      </c>
      <c r="J277" s="125">
        <f>'ALL Other SINs - Proposal'!J277</f>
        <v>0</v>
      </c>
      <c r="K277" s="125">
        <f>'ALL Other SINs - Proposal'!K277</f>
        <v>0</v>
      </c>
      <c r="L277" s="125">
        <f>'ALL Other SINs - Proposal'!L277</f>
        <v>0</v>
      </c>
      <c r="M277" s="206">
        <f>'ALL Other SINs - Proposal'!M277</f>
        <v>0</v>
      </c>
      <c r="N277" s="251">
        <f>'ALL Other SINs - Proposal'!V277</f>
        <v>0</v>
      </c>
      <c r="O277" s="201" t="str">
        <f>'Price Analysis'!N277</f>
        <v xml:space="preserve"> </v>
      </c>
      <c r="P277" s="53" t="str">
        <f>IF(ISBLANK('ALL Other SINs - Proposal'!AA277)," ",'ALL Other SINs - Proposal'!AA277)</f>
        <v xml:space="preserve"> </v>
      </c>
      <c r="Q277" s="95" t="str">
        <f>'ALL Other SINs - Proposal'!AC277</f>
        <v xml:space="preserve"> </v>
      </c>
      <c r="R277" s="100" t="str">
        <f>IF(ISBLANK('ALL Other SINs - Proposal'!AA277)," ",ROUND(Q277,2))</f>
        <v xml:space="preserve"> </v>
      </c>
      <c r="S277" s="54"/>
    </row>
    <row r="278" spans="1:19" ht="20.100000000000001" customHeight="1" x14ac:dyDescent="0.2">
      <c r="A278" s="127">
        <f>'ALL Other SINs - Proposal'!A278</f>
        <v>0</v>
      </c>
      <c r="B278" s="121">
        <f>'ALL Other SINs - Proposal'!B278</f>
        <v>0</v>
      </c>
      <c r="C278" s="121">
        <f>'ALL Other SINs - Proposal'!C278</f>
        <v>0</v>
      </c>
      <c r="D278" s="121">
        <f>'ALL Other SINs - Proposal'!D278</f>
        <v>0</v>
      </c>
      <c r="E278" s="121">
        <f>'ALL Other SINs - Proposal'!E278</f>
        <v>0</v>
      </c>
      <c r="F278" s="171">
        <f>'ALL Other SINs - Proposal'!F278</f>
        <v>0</v>
      </c>
      <c r="G278" s="51">
        <f>'ALL Other SINs - Proposal'!G278</f>
        <v>0</v>
      </c>
      <c r="H278" s="125">
        <f>'ALL Other SINs - Proposal'!H278</f>
        <v>0</v>
      </c>
      <c r="I278" s="125">
        <f>'ALL Other SINs - Proposal'!I278</f>
        <v>0</v>
      </c>
      <c r="J278" s="125">
        <f>'ALL Other SINs - Proposal'!J278</f>
        <v>0</v>
      </c>
      <c r="K278" s="125">
        <f>'ALL Other SINs - Proposal'!K278</f>
        <v>0</v>
      </c>
      <c r="L278" s="125">
        <f>'ALL Other SINs - Proposal'!L278</f>
        <v>0</v>
      </c>
      <c r="M278" s="206">
        <f>'ALL Other SINs - Proposal'!M278</f>
        <v>0</v>
      </c>
      <c r="N278" s="251">
        <f>'ALL Other SINs - Proposal'!V278</f>
        <v>0</v>
      </c>
      <c r="O278" s="201" t="str">
        <f>'Price Analysis'!N278</f>
        <v xml:space="preserve"> </v>
      </c>
      <c r="P278" s="53" t="str">
        <f>IF(ISBLANK('ALL Other SINs - Proposal'!AA278)," ",'ALL Other SINs - Proposal'!AA278)</f>
        <v xml:space="preserve"> </v>
      </c>
      <c r="Q278" s="95" t="str">
        <f>'ALL Other SINs - Proposal'!AC278</f>
        <v xml:space="preserve"> </v>
      </c>
      <c r="R278" s="100" t="str">
        <f>IF(ISBLANK('ALL Other SINs - Proposal'!AA278)," ",ROUND(Q278,2))</f>
        <v xml:space="preserve"> </v>
      </c>
      <c r="S278" s="54"/>
    </row>
    <row r="279" spans="1:19" ht="20.100000000000001" customHeight="1" x14ac:dyDescent="0.2">
      <c r="A279" s="127">
        <f>'ALL Other SINs - Proposal'!A279</f>
        <v>0</v>
      </c>
      <c r="B279" s="121">
        <f>'ALL Other SINs - Proposal'!B279</f>
        <v>0</v>
      </c>
      <c r="C279" s="121">
        <f>'ALL Other SINs - Proposal'!C279</f>
        <v>0</v>
      </c>
      <c r="D279" s="121">
        <f>'ALL Other SINs - Proposal'!D279</f>
        <v>0</v>
      </c>
      <c r="E279" s="121">
        <f>'ALL Other SINs - Proposal'!E279</f>
        <v>0</v>
      </c>
      <c r="F279" s="171">
        <f>'ALL Other SINs - Proposal'!F279</f>
        <v>0</v>
      </c>
      <c r="G279" s="51">
        <f>'ALL Other SINs - Proposal'!G279</f>
        <v>0</v>
      </c>
      <c r="H279" s="125">
        <f>'ALL Other SINs - Proposal'!H279</f>
        <v>0</v>
      </c>
      <c r="I279" s="125">
        <f>'ALL Other SINs - Proposal'!I279</f>
        <v>0</v>
      </c>
      <c r="J279" s="125">
        <f>'ALL Other SINs - Proposal'!J279</f>
        <v>0</v>
      </c>
      <c r="K279" s="125">
        <f>'ALL Other SINs - Proposal'!K279</f>
        <v>0</v>
      </c>
      <c r="L279" s="125">
        <f>'ALL Other SINs - Proposal'!L279</f>
        <v>0</v>
      </c>
      <c r="M279" s="206">
        <f>'ALL Other SINs - Proposal'!M279</f>
        <v>0</v>
      </c>
      <c r="N279" s="251">
        <f>'ALL Other SINs - Proposal'!V279</f>
        <v>0</v>
      </c>
      <c r="O279" s="201" t="str">
        <f>'Price Analysis'!N279</f>
        <v xml:space="preserve"> </v>
      </c>
      <c r="P279" s="53" t="str">
        <f>IF(ISBLANK('ALL Other SINs - Proposal'!AA279)," ",'ALL Other SINs - Proposal'!AA279)</f>
        <v xml:space="preserve"> </v>
      </c>
      <c r="Q279" s="95" t="str">
        <f>'ALL Other SINs - Proposal'!AC279</f>
        <v xml:space="preserve"> </v>
      </c>
      <c r="R279" s="100" t="str">
        <f>IF(ISBLANK('ALL Other SINs - Proposal'!AA279)," ",ROUND(Q279,2))</f>
        <v xml:space="preserve"> </v>
      </c>
      <c r="S279" s="54"/>
    </row>
    <row r="280" spans="1:19" ht="20.100000000000001" customHeight="1" x14ac:dyDescent="0.2">
      <c r="A280" s="127">
        <f>'ALL Other SINs - Proposal'!A280</f>
        <v>0</v>
      </c>
      <c r="B280" s="121">
        <f>'ALL Other SINs - Proposal'!B280</f>
        <v>0</v>
      </c>
      <c r="C280" s="121">
        <f>'ALL Other SINs - Proposal'!C280</f>
        <v>0</v>
      </c>
      <c r="D280" s="121">
        <f>'ALL Other SINs - Proposal'!D280</f>
        <v>0</v>
      </c>
      <c r="E280" s="121">
        <f>'ALL Other SINs - Proposal'!E280</f>
        <v>0</v>
      </c>
      <c r="F280" s="171">
        <f>'ALL Other SINs - Proposal'!F280</f>
        <v>0</v>
      </c>
      <c r="G280" s="51">
        <f>'ALL Other SINs - Proposal'!G280</f>
        <v>0</v>
      </c>
      <c r="H280" s="125">
        <f>'ALL Other SINs - Proposal'!H280</f>
        <v>0</v>
      </c>
      <c r="I280" s="125">
        <f>'ALL Other SINs - Proposal'!I280</f>
        <v>0</v>
      </c>
      <c r="J280" s="125">
        <f>'ALL Other SINs - Proposal'!J280</f>
        <v>0</v>
      </c>
      <c r="K280" s="125">
        <f>'ALL Other SINs - Proposal'!K280</f>
        <v>0</v>
      </c>
      <c r="L280" s="125">
        <f>'ALL Other SINs - Proposal'!L280</f>
        <v>0</v>
      </c>
      <c r="M280" s="206">
        <f>'ALL Other SINs - Proposal'!M280</f>
        <v>0</v>
      </c>
      <c r="N280" s="251">
        <f>'ALL Other SINs - Proposal'!V280</f>
        <v>0</v>
      </c>
      <c r="O280" s="201" t="str">
        <f>'Price Analysis'!N280</f>
        <v xml:space="preserve"> </v>
      </c>
      <c r="P280" s="53" t="str">
        <f>IF(ISBLANK('ALL Other SINs - Proposal'!AA280)," ",'ALL Other SINs - Proposal'!AA280)</f>
        <v xml:space="preserve"> </v>
      </c>
      <c r="Q280" s="95" t="str">
        <f>'ALL Other SINs - Proposal'!AC280</f>
        <v xml:space="preserve"> </v>
      </c>
      <c r="R280" s="100" t="str">
        <f>IF(ISBLANK('ALL Other SINs - Proposal'!AA280)," ",ROUND(Q280,2))</f>
        <v xml:space="preserve"> </v>
      </c>
      <c r="S280" s="54"/>
    </row>
    <row r="281" spans="1:19" ht="20.100000000000001" customHeight="1" x14ac:dyDescent="0.2">
      <c r="A281" s="127">
        <f>'ALL Other SINs - Proposal'!A281</f>
        <v>0</v>
      </c>
      <c r="B281" s="121">
        <f>'ALL Other SINs - Proposal'!B281</f>
        <v>0</v>
      </c>
      <c r="C281" s="121">
        <f>'ALL Other SINs - Proposal'!C281</f>
        <v>0</v>
      </c>
      <c r="D281" s="121">
        <f>'ALL Other SINs - Proposal'!D281</f>
        <v>0</v>
      </c>
      <c r="E281" s="121">
        <f>'ALL Other SINs - Proposal'!E281</f>
        <v>0</v>
      </c>
      <c r="F281" s="171">
        <f>'ALL Other SINs - Proposal'!F281</f>
        <v>0</v>
      </c>
      <c r="G281" s="51">
        <f>'ALL Other SINs - Proposal'!G281</f>
        <v>0</v>
      </c>
      <c r="H281" s="125">
        <f>'ALL Other SINs - Proposal'!H281</f>
        <v>0</v>
      </c>
      <c r="I281" s="125">
        <f>'ALL Other SINs - Proposal'!I281</f>
        <v>0</v>
      </c>
      <c r="J281" s="125">
        <f>'ALL Other SINs - Proposal'!J281</f>
        <v>0</v>
      </c>
      <c r="K281" s="125">
        <f>'ALL Other SINs - Proposal'!K281</f>
        <v>0</v>
      </c>
      <c r="L281" s="125">
        <f>'ALL Other SINs - Proposal'!L281</f>
        <v>0</v>
      </c>
      <c r="M281" s="206">
        <f>'ALL Other SINs - Proposal'!M281</f>
        <v>0</v>
      </c>
      <c r="N281" s="251">
        <f>'ALL Other SINs - Proposal'!V281</f>
        <v>0</v>
      </c>
      <c r="O281" s="201" t="str">
        <f>'Price Analysis'!N281</f>
        <v xml:space="preserve"> </v>
      </c>
      <c r="P281" s="53" t="str">
        <f>IF(ISBLANK('ALL Other SINs - Proposal'!AA281)," ",'ALL Other SINs - Proposal'!AA281)</f>
        <v xml:space="preserve"> </v>
      </c>
      <c r="Q281" s="95" t="str">
        <f>'ALL Other SINs - Proposal'!AC281</f>
        <v xml:space="preserve"> </v>
      </c>
      <c r="R281" s="100" t="str">
        <f>IF(ISBLANK('ALL Other SINs - Proposal'!AA281)," ",ROUND(Q281,2))</f>
        <v xml:space="preserve"> </v>
      </c>
      <c r="S281" s="54"/>
    </row>
    <row r="282" spans="1:19" ht="20.100000000000001" customHeight="1" x14ac:dyDescent="0.2">
      <c r="A282" s="127">
        <f>'ALL Other SINs - Proposal'!A282</f>
        <v>0</v>
      </c>
      <c r="B282" s="121">
        <f>'ALL Other SINs - Proposal'!B282</f>
        <v>0</v>
      </c>
      <c r="C282" s="121">
        <f>'ALL Other SINs - Proposal'!C282</f>
        <v>0</v>
      </c>
      <c r="D282" s="121">
        <f>'ALL Other SINs - Proposal'!D282</f>
        <v>0</v>
      </c>
      <c r="E282" s="121">
        <f>'ALL Other SINs - Proposal'!E282</f>
        <v>0</v>
      </c>
      <c r="F282" s="171">
        <f>'ALL Other SINs - Proposal'!F282</f>
        <v>0</v>
      </c>
      <c r="G282" s="51">
        <f>'ALL Other SINs - Proposal'!G282</f>
        <v>0</v>
      </c>
      <c r="H282" s="125">
        <f>'ALL Other SINs - Proposal'!H282</f>
        <v>0</v>
      </c>
      <c r="I282" s="125">
        <f>'ALL Other SINs - Proposal'!I282</f>
        <v>0</v>
      </c>
      <c r="J282" s="125">
        <f>'ALL Other SINs - Proposal'!J282</f>
        <v>0</v>
      </c>
      <c r="K282" s="125">
        <f>'ALL Other SINs - Proposal'!K282</f>
        <v>0</v>
      </c>
      <c r="L282" s="125">
        <f>'ALL Other SINs - Proposal'!L282</f>
        <v>0</v>
      </c>
      <c r="M282" s="206">
        <f>'ALL Other SINs - Proposal'!M282</f>
        <v>0</v>
      </c>
      <c r="N282" s="251">
        <f>'ALL Other SINs - Proposal'!V282</f>
        <v>0</v>
      </c>
      <c r="O282" s="201" t="str">
        <f>'Price Analysis'!N282</f>
        <v xml:space="preserve"> </v>
      </c>
      <c r="P282" s="53" t="str">
        <f>IF(ISBLANK('ALL Other SINs - Proposal'!AA282)," ",'ALL Other SINs - Proposal'!AA282)</f>
        <v xml:space="preserve"> </v>
      </c>
      <c r="Q282" s="95" t="str">
        <f>'ALL Other SINs - Proposal'!AC282</f>
        <v xml:space="preserve"> </v>
      </c>
      <c r="R282" s="100" t="str">
        <f>IF(ISBLANK('ALL Other SINs - Proposal'!AA282)," ",ROUND(Q282,2))</f>
        <v xml:space="preserve"> </v>
      </c>
      <c r="S282" s="54"/>
    </row>
    <row r="283" spans="1:19" ht="20.100000000000001" customHeight="1" x14ac:dyDescent="0.2">
      <c r="A283" s="127">
        <f>'ALL Other SINs - Proposal'!A283</f>
        <v>0</v>
      </c>
      <c r="B283" s="121">
        <f>'ALL Other SINs - Proposal'!B283</f>
        <v>0</v>
      </c>
      <c r="C283" s="121">
        <f>'ALL Other SINs - Proposal'!C283</f>
        <v>0</v>
      </c>
      <c r="D283" s="121">
        <f>'ALL Other SINs - Proposal'!D283</f>
        <v>0</v>
      </c>
      <c r="E283" s="121">
        <f>'ALL Other SINs - Proposal'!E283</f>
        <v>0</v>
      </c>
      <c r="F283" s="171">
        <f>'ALL Other SINs - Proposal'!F283</f>
        <v>0</v>
      </c>
      <c r="G283" s="51">
        <f>'ALL Other SINs - Proposal'!G283</f>
        <v>0</v>
      </c>
      <c r="H283" s="125">
        <f>'ALL Other SINs - Proposal'!H283</f>
        <v>0</v>
      </c>
      <c r="I283" s="125">
        <f>'ALL Other SINs - Proposal'!I283</f>
        <v>0</v>
      </c>
      <c r="J283" s="125">
        <f>'ALL Other SINs - Proposal'!J283</f>
        <v>0</v>
      </c>
      <c r="K283" s="125">
        <f>'ALL Other SINs - Proposal'!K283</f>
        <v>0</v>
      </c>
      <c r="L283" s="125">
        <f>'ALL Other SINs - Proposal'!L283</f>
        <v>0</v>
      </c>
      <c r="M283" s="206">
        <f>'ALL Other SINs - Proposal'!M283</f>
        <v>0</v>
      </c>
      <c r="N283" s="251">
        <f>'ALL Other SINs - Proposal'!V283</f>
        <v>0</v>
      </c>
      <c r="O283" s="201" t="str">
        <f>'Price Analysis'!N283</f>
        <v xml:space="preserve"> </v>
      </c>
      <c r="P283" s="53" t="str">
        <f>IF(ISBLANK('ALL Other SINs - Proposal'!AA283)," ",'ALL Other SINs - Proposal'!AA283)</f>
        <v xml:space="preserve"> </v>
      </c>
      <c r="Q283" s="95" t="str">
        <f>'ALL Other SINs - Proposal'!AC283</f>
        <v xml:space="preserve"> </v>
      </c>
      <c r="R283" s="100" t="str">
        <f>IF(ISBLANK('ALL Other SINs - Proposal'!AA283)," ",ROUND(Q283,2))</f>
        <v xml:space="preserve"> </v>
      </c>
      <c r="S283" s="54"/>
    </row>
    <row r="284" spans="1:19" ht="20.100000000000001" customHeight="1" x14ac:dyDescent="0.2">
      <c r="A284" s="127">
        <f>'ALL Other SINs - Proposal'!A284</f>
        <v>0</v>
      </c>
      <c r="B284" s="121">
        <f>'ALL Other SINs - Proposal'!B284</f>
        <v>0</v>
      </c>
      <c r="C284" s="121">
        <f>'ALL Other SINs - Proposal'!C284</f>
        <v>0</v>
      </c>
      <c r="D284" s="121">
        <f>'ALL Other SINs - Proposal'!D284</f>
        <v>0</v>
      </c>
      <c r="E284" s="121">
        <f>'ALL Other SINs - Proposal'!E284</f>
        <v>0</v>
      </c>
      <c r="F284" s="171">
        <f>'ALL Other SINs - Proposal'!F284</f>
        <v>0</v>
      </c>
      <c r="G284" s="51">
        <f>'ALL Other SINs - Proposal'!G284</f>
        <v>0</v>
      </c>
      <c r="H284" s="125">
        <f>'ALL Other SINs - Proposal'!H284</f>
        <v>0</v>
      </c>
      <c r="I284" s="125">
        <f>'ALL Other SINs - Proposal'!I284</f>
        <v>0</v>
      </c>
      <c r="J284" s="125">
        <f>'ALL Other SINs - Proposal'!J284</f>
        <v>0</v>
      </c>
      <c r="K284" s="125">
        <f>'ALL Other SINs - Proposal'!K284</f>
        <v>0</v>
      </c>
      <c r="L284" s="125">
        <f>'ALL Other SINs - Proposal'!L284</f>
        <v>0</v>
      </c>
      <c r="M284" s="206">
        <f>'ALL Other SINs - Proposal'!M284</f>
        <v>0</v>
      </c>
      <c r="N284" s="251">
        <f>'ALL Other SINs - Proposal'!V284</f>
        <v>0</v>
      </c>
      <c r="O284" s="201" t="str">
        <f>'Price Analysis'!N284</f>
        <v xml:space="preserve"> </v>
      </c>
      <c r="P284" s="53" t="str">
        <f>IF(ISBLANK('ALL Other SINs - Proposal'!AA284)," ",'ALL Other SINs - Proposal'!AA284)</f>
        <v xml:space="preserve"> </v>
      </c>
      <c r="Q284" s="95" t="str">
        <f>'ALL Other SINs - Proposal'!AC284</f>
        <v xml:space="preserve"> </v>
      </c>
      <c r="R284" s="100" t="str">
        <f>IF(ISBLANK('ALL Other SINs - Proposal'!AA284)," ",ROUND(Q284,2))</f>
        <v xml:space="preserve"> </v>
      </c>
      <c r="S284" s="54"/>
    </row>
    <row r="285" spans="1:19" ht="20.100000000000001" customHeight="1" x14ac:dyDescent="0.2">
      <c r="A285" s="127">
        <f>'ALL Other SINs - Proposal'!A285</f>
        <v>0</v>
      </c>
      <c r="B285" s="121">
        <f>'ALL Other SINs - Proposal'!B285</f>
        <v>0</v>
      </c>
      <c r="C285" s="121">
        <f>'ALL Other SINs - Proposal'!C285</f>
        <v>0</v>
      </c>
      <c r="D285" s="121">
        <f>'ALL Other SINs - Proposal'!D285</f>
        <v>0</v>
      </c>
      <c r="E285" s="121">
        <f>'ALL Other SINs - Proposal'!E285</f>
        <v>0</v>
      </c>
      <c r="F285" s="171">
        <f>'ALL Other SINs - Proposal'!F285</f>
        <v>0</v>
      </c>
      <c r="G285" s="51">
        <f>'ALL Other SINs - Proposal'!G285</f>
        <v>0</v>
      </c>
      <c r="H285" s="125">
        <f>'ALL Other SINs - Proposal'!H285</f>
        <v>0</v>
      </c>
      <c r="I285" s="125">
        <f>'ALL Other SINs - Proposal'!I285</f>
        <v>0</v>
      </c>
      <c r="J285" s="125">
        <f>'ALL Other SINs - Proposal'!J285</f>
        <v>0</v>
      </c>
      <c r="K285" s="125">
        <f>'ALL Other SINs - Proposal'!K285</f>
        <v>0</v>
      </c>
      <c r="L285" s="125">
        <f>'ALL Other SINs - Proposal'!L285</f>
        <v>0</v>
      </c>
      <c r="M285" s="206">
        <f>'ALL Other SINs - Proposal'!M285</f>
        <v>0</v>
      </c>
      <c r="N285" s="251">
        <f>'ALL Other SINs - Proposal'!V285</f>
        <v>0</v>
      </c>
      <c r="O285" s="201" t="str">
        <f>'Price Analysis'!N285</f>
        <v xml:space="preserve"> </v>
      </c>
      <c r="P285" s="53" t="str">
        <f>IF(ISBLANK('ALL Other SINs - Proposal'!AA285)," ",'ALL Other SINs - Proposal'!AA285)</f>
        <v xml:space="preserve"> </v>
      </c>
      <c r="Q285" s="95" t="str">
        <f>'ALL Other SINs - Proposal'!AC285</f>
        <v xml:space="preserve"> </v>
      </c>
      <c r="R285" s="100" t="str">
        <f>IF(ISBLANK('ALL Other SINs - Proposal'!AA285)," ",ROUND(Q285,2))</f>
        <v xml:space="preserve"> </v>
      </c>
      <c r="S285" s="54"/>
    </row>
    <row r="286" spans="1:19" ht="20.100000000000001" customHeight="1" x14ac:dyDescent="0.2">
      <c r="A286" s="127">
        <f>'ALL Other SINs - Proposal'!A286</f>
        <v>0</v>
      </c>
      <c r="B286" s="121">
        <f>'ALL Other SINs - Proposal'!B286</f>
        <v>0</v>
      </c>
      <c r="C286" s="121">
        <f>'ALL Other SINs - Proposal'!C286</f>
        <v>0</v>
      </c>
      <c r="D286" s="121">
        <f>'ALL Other SINs - Proposal'!D286</f>
        <v>0</v>
      </c>
      <c r="E286" s="121">
        <f>'ALL Other SINs - Proposal'!E286</f>
        <v>0</v>
      </c>
      <c r="F286" s="171">
        <f>'ALL Other SINs - Proposal'!F286</f>
        <v>0</v>
      </c>
      <c r="G286" s="51">
        <f>'ALL Other SINs - Proposal'!G286</f>
        <v>0</v>
      </c>
      <c r="H286" s="125">
        <f>'ALL Other SINs - Proposal'!H286</f>
        <v>0</v>
      </c>
      <c r="I286" s="125">
        <f>'ALL Other SINs - Proposal'!I286</f>
        <v>0</v>
      </c>
      <c r="J286" s="125">
        <f>'ALL Other SINs - Proposal'!J286</f>
        <v>0</v>
      </c>
      <c r="K286" s="125">
        <f>'ALL Other SINs - Proposal'!K286</f>
        <v>0</v>
      </c>
      <c r="L286" s="125">
        <f>'ALL Other SINs - Proposal'!L286</f>
        <v>0</v>
      </c>
      <c r="M286" s="206">
        <f>'ALL Other SINs - Proposal'!M286</f>
        <v>0</v>
      </c>
      <c r="N286" s="251">
        <f>'ALL Other SINs - Proposal'!V286</f>
        <v>0</v>
      </c>
      <c r="O286" s="201" t="str">
        <f>'Price Analysis'!N286</f>
        <v xml:space="preserve"> </v>
      </c>
      <c r="P286" s="53" t="str">
        <f>IF(ISBLANK('ALL Other SINs - Proposal'!AA286)," ",'ALL Other SINs - Proposal'!AA286)</f>
        <v xml:space="preserve"> </v>
      </c>
      <c r="Q286" s="95" t="str">
        <f>'ALL Other SINs - Proposal'!AC286</f>
        <v xml:space="preserve"> </v>
      </c>
      <c r="R286" s="100" t="str">
        <f>IF(ISBLANK('ALL Other SINs - Proposal'!AA286)," ",ROUND(Q286,2))</f>
        <v xml:space="preserve"> </v>
      </c>
      <c r="S286" s="54"/>
    </row>
    <row r="287" spans="1:19" ht="20.100000000000001" customHeight="1" x14ac:dyDescent="0.2">
      <c r="A287" s="127">
        <f>'ALL Other SINs - Proposal'!A287</f>
        <v>0</v>
      </c>
      <c r="B287" s="121">
        <f>'ALL Other SINs - Proposal'!B287</f>
        <v>0</v>
      </c>
      <c r="C287" s="121">
        <f>'ALL Other SINs - Proposal'!C287</f>
        <v>0</v>
      </c>
      <c r="D287" s="121">
        <f>'ALL Other SINs - Proposal'!D287</f>
        <v>0</v>
      </c>
      <c r="E287" s="121">
        <f>'ALL Other SINs - Proposal'!E287</f>
        <v>0</v>
      </c>
      <c r="F287" s="171">
        <f>'ALL Other SINs - Proposal'!F287</f>
        <v>0</v>
      </c>
      <c r="G287" s="51">
        <f>'ALL Other SINs - Proposal'!G287</f>
        <v>0</v>
      </c>
      <c r="H287" s="125">
        <f>'ALL Other SINs - Proposal'!H287</f>
        <v>0</v>
      </c>
      <c r="I287" s="125">
        <f>'ALL Other SINs - Proposal'!I287</f>
        <v>0</v>
      </c>
      <c r="J287" s="125">
        <f>'ALL Other SINs - Proposal'!J287</f>
        <v>0</v>
      </c>
      <c r="K287" s="125">
        <f>'ALL Other SINs - Proposal'!K287</f>
        <v>0</v>
      </c>
      <c r="L287" s="125">
        <f>'ALL Other SINs - Proposal'!L287</f>
        <v>0</v>
      </c>
      <c r="M287" s="206">
        <f>'ALL Other SINs - Proposal'!M287</f>
        <v>0</v>
      </c>
      <c r="N287" s="251">
        <f>'ALL Other SINs - Proposal'!V287</f>
        <v>0</v>
      </c>
      <c r="O287" s="201" t="str">
        <f>'Price Analysis'!N287</f>
        <v xml:space="preserve"> </v>
      </c>
      <c r="P287" s="53" t="str">
        <f>IF(ISBLANK('ALL Other SINs - Proposal'!AA287)," ",'ALL Other SINs - Proposal'!AA287)</f>
        <v xml:space="preserve"> </v>
      </c>
      <c r="Q287" s="95" t="str">
        <f>'ALL Other SINs - Proposal'!AC287</f>
        <v xml:space="preserve"> </v>
      </c>
      <c r="R287" s="100" t="str">
        <f>IF(ISBLANK('ALL Other SINs - Proposal'!AA287)," ",ROUND(Q287,2))</f>
        <v xml:space="preserve"> </v>
      </c>
      <c r="S287" s="54"/>
    </row>
    <row r="288" spans="1:19" ht="20.100000000000001" customHeight="1" x14ac:dyDescent="0.2">
      <c r="A288" s="127">
        <f>'ALL Other SINs - Proposal'!A288</f>
        <v>0</v>
      </c>
      <c r="B288" s="121">
        <f>'ALL Other SINs - Proposal'!B288</f>
        <v>0</v>
      </c>
      <c r="C288" s="121">
        <f>'ALL Other SINs - Proposal'!C288</f>
        <v>0</v>
      </c>
      <c r="D288" s="121">
        <f>'ALL Other SINs - Proposal'!D288</f>
        <v>0</v>
      </c>
      <c r="E288" s="121">
        <f>'ALL Other SINs - Proposal'!E288</f>
        <v>0</v>
      </c>
      <c r="F288" s="171">
        <f>'ALL Other SINs - Proposal'!F288</f>
        <v>0</v>
      </c>
      <c r="G288" s="51">
        <f>'ALL Other SINs - Proposal'!G288</f>
        <v>0</v>
      </c>
      <c r="H288" s="125">
        <f>'ALL Other SINs - Proposal'!H288</f>
        <v>0</v>
      </c>
      <c r="I288" s="125">
        <f>'ALL Other SINs - Proposal'!I288</f>
        <v>0</v>
      </c>
      <c r="J288" s="125">
        <f>'ALL Other SINs - Proposal'!J288</f>
        <v>0</v>
      </c>
      <c r="K288" s="125">
        <f>'ALL Other SINs - Proposal'!K288</f>
        <v>0</v>
      </c>
      <c r="L288" s="125">
        <f>'ALL Other SINs - Proposal'!L288</f>
        <v>0</v>
      </c>
      <c r="M288" s="206">
        <f>'ALL Other SINs - Proposal'!M288</f>
        <v>0</v>
      </c>
      <c r="N288" s="251">
        <f>'ALL Other SINs - Proposal'!V288</f>
        <v>0</v>
      </c>
      <c r="O288" s="201" t="str">
        <f>'Price Analysis'!N288</f>
        <v xml:space="preserve"> </v>
      </c>
      <c r="P288" s="53" t="str">
        <f>IF(ISBLANK('ALL Other SINs - Proposal'!AA288)," ",'ALL Other SINs - Proposal'!AA288)</f>
        <v xml:space="preserve"> </v>
      </c>
      <c r="Q288" s="95" t="str">
        <f>'ALL Other SINs - Proposal'!AC288</f>
        <v xml:space="preserve"> </v>
      </c>
      <c r="R288" s="100" t="str">
        <f>IF(ISBLANK('ALL Other SINs - Proposal'!AA288)," ",ROUND(Q288,2))</f>
        <v xml:space="preserve"> </v>
      </c>
      <c r="S288" s="54"/>
    </row>
    <row r="289" spans="1:19" ht="20.100000000000001" customHeight="1" x14ac:dyDescent="0.2">
      <c r="A289" s="127">
        <f>'ALL Other SINs - Proposal'!A289</f>
        <v>0</v>
      </c>
      <c r="B289" s="121">
        <f>'ALL Other SINs - Proposal'!B289</f>
        <v>0</v>
      </c>
      <c r="C289" s="121">
        <f>'ALL Other SINs - Proposal'!C289</f>
        <v>0</v>
      </c>
      <c r="D289" s="121">
        <f>'ALL Other SINs - Proposal'!D289</f>
        <v>0</v>
      </c>
      <c r="E289" s="121">
        <f>'ALL Other SINs - Proposal'!E289</f>
        <v>0</v>
      </c>
      <c r="F289" s="171">
        <f>'ALL Other SINs - Proposal'!F289</f>
        <v>0</v>
      </c>
      <c r="G289" s="51">
        <f>'ALL Other SINs - Proposal'!G289</f>
        <v>0</v>
      </c>
      <c r="H289" s="125">
        <f>'ALL Other SINs - Proposal'!H289</f>
        <v>0</v>
      </c>
      <c r="I289" s="125">
        <f>'ALL Other SINs - Proposal'!I289</f>
        <v>0</v>
      </c>
      <c r="J289" s="125">
        <f>'ALL Other SINs - Proposal'!J289</f>
        <v>0</v>
      </c>
      <c r="K289" s="125">
        <f>'ALL Other SINs - Proposal'!K289</f>
        <v>0</v>
      </c>
      <c r="L289" s="125">
        <f>'ALL Other SINs - Proposal'!L289</f>
        <v>0</v>
      </c>
      <c r="M289" s="206">
        <f>'ALL Other SINs - Proposal'!M289</f>
        <v>0</v>
      </c>
      <c r="N289" s="251">
        <f>'ALL Other SINs - Proposal'!V289</f>
        <v>0</v>
      </c>
      <c r="O289" s="201" t="str">
        <f>'Price Analysis'!N289</f>
        <v xml:space="preserve"> </v>
      </c>
      <c r="P289" s="53" t="str">
        <f>IF(ISBLANK('ALL Other SINs - Proposal'!AA289)," ",'ALL Other SINs - Proposal'!AA289)</f>
        <v xml:space="preserve"> </v>
      </c>
      <c r="Q289" s="95" t="str">
        <f>'ALL Other SINs - Proposal'!AC289</f>
        <v xml:space="preserve"> </v>
      </c>
      <c r="R289" s="100" t="str">
        <f>IF(ISBLANK('ALL Other SINs - Proposal'!AA289)," ",ROUND(Q289,2))</f>
        <v xml:space="preserve"> </v>
      </c>
      <c r="S289" s="54"/>
    </row>
    <row r="290" spans="1:19" ht="20.100000000000001" customHeight="1" x14ac:dyDescent="0.2">
      <c r="A290" s="127">
        <f>'ALL Other SINs - Proposal'!A290</f>
        <v>0</v>
      </c>
      <c r="B290" s="121">
        <f>'ALL Other SINs - Proposal'!B290</f>
        <v>0</v>
      </c>
      <c r="C290" s="121">
        <f>'ALL Other SINs - Proposal'!C290</f>
        <v>0</v>
      </c>
      <c r="D290" s="121">
        <f>'ALL Other SINs - Proposal'!D290</f>
        <v>0</v>
      </c>
      <c r="E290" s="121">
        <f>'ALL Other SINs - Proposal'!E290</f>
        <v>0</v>
      </c>
      <c r="F290" s="171">
        <f>'ALL Other SINs - Proposal'!F290</f>
        <v>0</v>
      </c>
      <c r="G290" s="51">
        <f>'ALL Other SINs - Proposal'!G290</f>
        <v>0</v>
      </c>
      <c r="H290" s="125">
        <f>'ALL Other SINs - Proposal'!H290</f>
        <v>0</v>
      </c>
      <c r="I290" s="125">
        <f>'ALL Other SINs - Proposal'!I290</f>
        <v>0</v>
      </c>
      <c r="J290" s="125">
        <f>'ALL Other SINs - Proposal'!J290</f>
        <v>0</v>
      </c>
      <c r="K290" s="125">
        <f>'ALL Other SINs - Proposal'!K290</f>
        <v>0</v>
      </c>
      <c r="L290" s="125">
        <f>'ALL Other SINs - Proposal'!L290</f>
        <v>0</v>
      </c>
      <c r="M290" s="206">
        <f>'ALL Other SINs - Proposal'!M290</f>
        <v>0</v>
      </c>
      <c r="N290" s="251">
        <f>'ALL Other SINs - Proposal'!V290</f>
        <v>0</v>
      </c>
      <c r="O290" s="201" t="str">
        <f>'Price Analysis'!N290</f>
        <v xml:space="preserve"> </v>
      </c>
      <c r="P290" s="53" t="str">
        <f>IF(ISBLANK('ALL Other SINs - Proposal'!AA290)," ",'ALL Other SINs - Proposal'!AA290)</f>
        <v xml:space="preserve"> </v>
      </c>
      <c r="Q290" s="95" t="str">
        <f>'ALL Other SINs - Proposal'!AC290</f>
        <v xml:space="preserve"> </v>
      </c>
      <c r="R290" s="100" t="str">
        <f>IF(ISBLANK('ALL Other SINs - Proposal'!AA290)," ",ROUND(Q290,2))</f>
        <v xml:space="preserve"> </v>
      </c>
      <c r="S290" s="54"/>
    </row>
    <row r="291" spans="1:19" ht="20.100000000000001" customHeight="1" x14ac:dyDescent="0.2">
      <c r="A291" s="127">
        <f>'ALL Other SINs - Proposal'!A291</f>
        <v>0</v>
      </c>
      <c r="B291" s="121">
        <f>'ALL Other SINs - Proposal'!B291</f>
        <v>0</v>
      </c>
      <c r="C291" s="121">
        <f>'ALL Other SINs - Proposal'!C291</f>
        <v>0</v>
      </c>
      <c r="D291" s="121">
        <f>'ALL Other SINs - Proposal'!D291</f>
        <v>0</v>
      </c>
      <c r="E291" s="121">
        <f>'ALL Other SINs - Proposal'!E291</f>
        <v>0</v>
      </c>
      <c r="F291" s="171">
        <f>'ALL Other SINs - Proposal'!F291</f>
        <v>0</v>
      </c>
      <c r="G291" s="51">
        <f>'ALL Other SINs - Proposal'!G291</f>
        <v>0</v>
      </c>
      <c r="H291" s="125">
        <f>'ALL Other SINs - Proposal'!H291</f>
        <v>0</v>
      </c>
      <c r="I291" s="125">
        <f>'ALL Other SINs - Proposal'!I291</f>
        <v>0</v>
      </c>
      <c r="J291" s="125">
        <f>'ALL Other SINs - Proposal'!J291</f>
        <v>0</v>
      </c>
      <c r="K291" s="125">
        <f>'ALL Other SINs - Proposal'!K291</f>
        <v>0</v>
      </c>
      <c r="L291" s="125">
        <f>'ALL Other SINs - Proposal'!L291</f>
        <v>0</v>
      </c>
      <c r="M291" s="206">
        <f>'ALL Other SINs - Proposal'!M291</f>
        <v>0</v>
      </c>
      <c r="N291" s="251">
        <f>'ALL Other SINs - Proposal'!V291</f>
        <v>0</v>
      </c>
      <c r="O291" s="201" t="str">
        <f>'Price Analysis'!N291</f>
        <v xml:space="preserve"> </v>
      </c>
      <c r="P291" s="53" t="str">
        <f>IF(ISBLANK('ALL Other SINs - Proposal'!AA291)," ",'ALL Other SINs - Proposal'!AA291)</f>
        <v xml:space="preserve"> </v>
      </c>
      <c r="Q291" s="95" t="str">
        <f>'ALL Other SINs - Proposal'!AC291</f>
        <v xml:space="preserve"> </v>
      </c>
      <c r="R291" s="100" t="str">
        <f>IF(ISBLANK('ALL Other SINs - Proposal'!AA291)," ",ROUND(Q291,2))</f>
        <v xml:space="preserve"> </v>
      </c>
      <c r="S291" s="54"/>
    </row>
    <row r="292" spans="1:19" ht="20.100000000000001" customHeight="1" x14ac:dyDescent="0.2">
      <c r="A292" s="127">
        <f>'ALL Other SINs - Proposal'!A292</f>
        <v>0</v>
      </c>
      <c r="B292" s="121">
        <f>'ALL Other SINs - Proposal'!B292</f>
        <v>0</v>
      </c>
      <c r="C292" s="121">
        <f>'ALL Other SINs - Proposal'!C292</f>
        <v>0</v>
      </c>
      <c r="D292" s="121">
        <f>'ALL Other SINs - Proposal'!D292</f>
        <v>0</v>
      </c>
      <c r="E292" s="121">
        <f>'ALL Other SINs - Proposal'!E292</f>
        <v>0</v>
      </c>
      <c r="F292" s="171">
        <f>'ALL Other SINs - Proposal'!F292</f>
        <v>0</v>
      </c>
      <c r="G292" s="51">
        <f>'ALL Other SINs - Proposal'!G292</f>
        <v>0</v>
      </c>
      <c r="H292" s="125">
        <f>'ALL Other SINs - Proposal'!H292</f>
        <v>0</v>
      </c>
      <c r="I292" s="125">
        <f>'ALL Other SINs - Proposal'!I292</f>
        <v>0</v>
      </c>
      <c r="J292" s="125">
        <f>'ALL Other SINs - Proposal'!J292</f>
        <v>0</v>
      </c>
      <c r="K292" s="125">
        <f>'ALL Other SINs - Proposal'!K292</f>
        <v>0</v>
      </c>
      <c r="L292" s="125">
        <f>'ALL Other SINs - Proposal'!L292</f>
        <v>0</v>
      </c>
      <c r="M292" s="206">
        <f>'ALL Other SINs - Proposal'!M292</f>
        <v>0</v>
      </c>
      <c r="N292" s="251">
        <f>'ALL Other SINs - Proposal'!V292</f>
        <v>0</v>
      </c>
      <c r="O292" s="201" t="str">
        <f>'Price Analysis'!N292</f>
        <v xml:space="preserve"> </v>
      </c>
      <c r="P292" s="53" t="str">
        <f>IF(ISBLANK('ALL Other SINs - Proposal'!AA292)," ",'ALL Other SINs - Proposal'!AA292)</f>
        <v xml:space="preserve"> </v>
      </c>
      <c r="Q292" s="95" t="str">
        <f>'ALL Other SINs - Proposal'!AC292</f>
        <v xml:space="preserve"> </v>
      </c>
      <c r="R292" s="100" t="str">
        <f>IF(ISBLANK('ALL Other SINs - Proposal'!AA292)," ",ROUND(Q292,2))</f>
        <v xml:space="preserve"> </v>
      </c>
      <c r="S292" s="54"/>
    </row>
    <row r="293" spans="1:19" ht="20.100000000000001" customHeight="1" x14ac:dyDescent="0.2">
      <c r="A293" s="127">
        <f>'ALL Other SINs - Proposal'!A293</f>
        <v>0</v>
      </c>
      <c r="B293" s="121">
        <f>'ALL Other SINs - Proposal'!B293</f>
        <v>0</v>
      </c>
      <c r="C293" s="121">
        <f>'ALL Other SINs - Proposal'!C293</f>
        <v>0</v>
      </c>
      <c r="D293" s="121">
        <f>'ALL Other SINs - Proposal'!D293</f>
        <v>0</v>
      </c>
      <c r="E293" s="121">
        <f>'ALL Other SINs - Proposal'!E293</f>
        <v>0</v>
      </c>
      <c r="F293" s="171">
        <f>'ALL Other SINs - Proposal'!F293</f>
        <v>0</v>
      </c>
      <c r="G293" s="51">
        <f>'ALL Other SINs - Proposal'!G293</f>
        <v>0</v>
      </c>
      <c r="H293" s="125">
        <f>'ALL Other SINs - Proposal'!H293</f>
        <v>0</v>
      </c>
      <c r="I293" s="125">
        <f>'ALL Other SINs - Proposal'!I293</f>
        <v>0</v>
      </c>
      <c r="J293" s="125">
        <f>'ALL Other SINs - Proposal'!J293</f>
        <v>0</v>
      </c>
      <c r="K293" s="125">
        <f>'ALL Other SINs - Proposal'!K293</f>
        <v>0</v>
      </c>
      <c r="L293" s="125">
        <f>'ALL Other SINs - Proposal'!L293</f>
        <v>0</v>
      </c>
      <c r="M293" s="206">
        <f>'ALL Other SINs - Proposal'!M293</f>
        <v>0</v>
      </c>
      <c r="N293" s="251">
        <f>'ALL Other SINs - Proposal'!V293</f>
        <v>0</v>
      </c>
      <c r="O293" s="201" t="str">
        <f>'Price Analysis'!N293</f>
        <v xml:space="preserve"> </v>
      </c>
      <c r="P293" s="53" t="str">
        <f>IF(ISBLANK('ALL Other SINs - Proposal'!AA293)," ",'ALL Other SINs - Proposal'!AA293)</f>
        <v xml:space="preserve"> </v>
      </c>
      <c r="Q293" s="95" t="str">
        <f>'ALL Other SINs - Proposal'!AC293</f>
        <v xml:space="preserve"> </v>
      </c>
      <c r="R293" s="100" t="str">
        <f>IF(ISBLANK('ALL Other SINs - Proposal'!AA293)," ",ROUND(Q293,2))</f>
        <v xml:space="preserve"> </v>
      </c>
      <c r="S293" s="54"/>
    </row>
    <row r="294" spans="1:19" ht="20.100000000000001" customHeight="1" x14ac:dyDescent="0.2">
      <c r="A294" s="127">
        <f>'ALL Other SINs - Proposal'!A294</f>
        <v>0</v>
      </c>
      <c r="B294" s="121">
        <f>'ALL Other SINs - Proposal'!B294</f>
        <v>0</v>
      </c>
      <c r="C294" s="121">
        <f>'ALL Other SINs - Proposal'!C294</f>
        <v>0</v>
      </c>
      <c r="D294" s="121">
        <f>'ALL Other SINs - Proposal'!D294</f>
        <v>0</v>
      </c>
      <c r="E294" s="121">
        <f>'ALL Other SINs - Proposal'!E294</f>
        <v>0</v>
      </c>
      <c r="F294" s="171">
        <f>'ALL Other SINs - Proposal'!F294</f>
        <v>0</v>
      </c>
      <c r="G294" s="51">
        <f>'ALL Other SINs - Proposal'!G294</f>
        <v>0</v>
      </c>
      <c r="H294" s="125">
        <f>'ALL Other SINs - Proposal'!H294</f>
        <v>0</v>
      </c>
      <c r="I294" s="125">
        <f>'ALL Other SINs - Proposal'!I294</f>
        <v>0</v>
      </c>
      <c r="J294" s="125">
        <f>'ALL Other SINs - Proposal'!J294</f>
        <v>0</v>
      </c>
      <c r="K294" s="125">
        <f>'ALL Other SINs - Proposal'!K294</f>
        <v>0</v>
      </c>
      <c r="L294" s="125">
        <f>'ALL Other SINs - Proposal'!L294</f>
        <v>0</v>
      </c>
      <c r="M294" s="206">
        <f>'ALL Other SINs - Proposal'!M294</f>
        <v>0</v>
      </c>
      <c r="N294" s="251">
        <f>'ALL Other SINs - Proposal'!V294</f>
        <v>0</v>
      </c>
      <c r="O294" s="201" t="str">
        <f>'Price Analysis'!N294</f>
        <v xml:space="preserve"> </v>
      </c>
      <c r="P294" s="53" t="str">
        <f>IF(ISBLANK('ALL Other SINs - Proposal'!AA294)," ",'ALL Other SINs - Proposal'!AA294)</f>
        <v xml:space="preserve"> </v>
      </c>
      <c r="Q294" s="95" t="str">
        <f>'ALL Other SINs - Proposal'!AC294</f>
        <v xml:space="preserve"> </v>
      </c>
      <c r="R294" s="100" t="str">
        <f>IF(ISBLANK('ALL Other SINs - Proposal'!AA294)," ",ROUND(Q294,2))</f>
        <v xml:space="preserve"> </v>
      </c>
      <c r="S294" s="54"/>
    </row>
    <row r="295" spans="1:19" ht="20.100000000000001" customHeight="1" x14ac:dyDescent="0.2">
      <c r="A295" s="127">
        <f>'ALL Other SINs - Proposal'!A295</f>
        <v>0</v>
      </c>
      <c r="B295" s="121">
        <f>'ALL Other SINs - Proposal'!B295</f>
        <v>0</v>
      </c>
      <c r="C295" s="121">
        <f>'ALL Other SINs - Proposal'!C295</f>
        <v>0</v>
      </c>
      <c r="D295" s="121">
        <f>'ALL Other SINs - Proposal'!D295</f>
        <v>0</v>
      </c>
      <c r="E295" s="121">
        <f>'ALL Other SINs - Proposal'!E295</f>
        <v>0</v>
      </c>
      <c r="F295" s="171">
        <f>'ALL Other SINs - Proposal'!F295</f>
        <v>0</v>
      </c>
      <c r="G295" s="51">
        <f>'ALL Other SINs - Proposal'!G295</f>
        <v>0</v>
      </c>
      <c r="H295" s="125">
        <f>'ALL Other SINs - Proposal'!H295</f>
        <v>0</v>
      </c>
      <c r="I295" s="125">
        <f>'ALL Other SINs - Proposal'!I295</f>
        <v>0</v>
      </c>
      <c r="J295" s="125">
        <f>'ALL Other SINs - Proposal'!J295</f>
        <v>0</v>
      </c>
      <c r="K295" s="125">
        <f>'ALL Other SINs - Proposal'!K295</f>
        <v>0</v>
      </c>
      <c r="L295" s="125">
        <f>'ALL Other SINs - Proposal'!L295</f>
        <v>0</v>
      </c>
      <c r="M295" s="206">
        <f>'ALL Other SINs - Proposal'!M295</f>
        <v>0</v>
      </c>
      <c r="N295" s="251">
        <f>'ALL Other SINs - Proposal'!V295</f>
        <v>0</v>
      </c>
      <c r="O295" s="201" t="str">
        <f>'Price Analysis'!N295</f>
        <v xml:space="preserve"> </v>
      </c>
      <c r="P295" s="53" t="str">
        <f>IF(ISBLANK('ALL Other SINs - Proposal'!AA295)," ",'ALL Other SINs - Proposal'!AA295)</f>
        <v xml:space="preserve"> </v>
      </c>
      <c r="Q295" s="95" t="str">
        <f>'ALL Other SINs - Proposal'!AC295</f>
        <v xml:space="preserve"> </v>
      </c>
      <c r="R295" s="100" t="str">
        <f>IF(ISBLANK('ALL Other SINs - Proposal'!AA295)," ",ROUND(Q295,2))</f>
        <v xml:space="preserve"> </v>
      </c>
      <c r="S295" s="54"/>
    </row>
    <row r="296" spans="1:19" ht="20.100000000000001" customHeight="1" x14ac:dyDescent="0.2">
      <c r="A296" s="127">
        <f>'ALL Other SINs - Proposal'!A296</f>
        <v>0</v>
      </c>
      <c r="B296" s="121">
        <f>'ALL Other SINs - Proposal'!B296</f>
        <v>0</v>
      </c>
      <c r="C296" s="121">
        <f>'ALL Other SINs - Proposal'!C296</f>
        <v>0</v>
      </c>
      <c r="D296" s="121">
        <f>'ALL Other SINs - Proposal'!D296</f>
        <v>0</v>
      </c>
      <c r="E296" s="121">
        <f>'ALL Other SINs - Proposal'!E296</f>
        <v>0</v>
      </c>
      <c r="F296" s="171">
        <f>'ALL Other SINs - Proposal'!F296</f>
        <v>0</v>
      </c>
      <c r="G296" s="51">
        <f>'ALL Other SINs - Proposal'!G296</f>
        <v>0</v>
      </c>
      <c r="H296" s="125">
        <f>'ALL Other SINs - Proposal'!H296</f>
        <v>0</v>
      </c>
      <c r="I296" s="125">
        <f>'ALL Other SINs - Proposal'!I296</f>
        <v>0</v>
      </c>
      <c r="J296" s="125">
        <f>'ALL Other SINs - Proposal'!J296</f>
        <v>0</v>
      </c>
      <c r="K296" s="125">
        <f>'ALL Other SINs - Proposal'!K296</f>
        <v>0</v>
      </c>
      <c r="L296" s="125">
        <f>'ALL Other SINs - Proposal'!L296</f>
        <v>0</v>
      </c>
      <c r="M296" s="206">
        <f>'ALL Other SINs - Proposal'!M296</f>
        <v>0</v>
      </c>
      <c r="N296" s="251">
        <f>'ALL Other SINs - Proposal'!V296</f>
        <v>0</v>
      </c>
      <c r="O296" s="201" t="str">
        <f>'Price Analysis'!N296</f>
        <v xml:space="preserve"> </v>
      </c>
      <c r="P296" s="53" t="str">
        <f>IF(ISBLANK('ALL Other SINs - Proposal'!AA296)," ",'ALL Other SINs - Proposal'!AA296)</f>
        <v xml:space="preserve"> </v>
      </c>
      <c r="Q296" s="95" t="str">
        <f>'ALL Other SINs - Proposal'!AC296</f>
        <v xml:space="preserve"> </v>
      </c>
      <c r="R296" s="100" t="str">
        <f>IF(ISBLANK('ALL Other SINs - Proposal'!AA296)," ",ROUND(Q296,2))</f>
        <v xml:space="preserve"> </v>
      </c>
      <c r="S296" s="54"/>
    </row>
    <row r="297" spans="1:19" ht="20.100000000000001" customHeight="1" x14ac:dyDescent="0.2">
      <c r="A297" s="127">
        <f>'ALL Other SINs - Proposal'!A297</f>
        <v>0</v>
      </c>
      <c r="B297" s="121">
        <f>'ALL Other SINs - Proposal'!B297</f>
        <v>0</v>
      </c>
      <c r="C297" s="121">
        <f>'ALL Other SINs - Proposal'!C297</f>
        <v>0</v>
      </c>
      <c r="D297" s="121">
        <f>'ALL Other SINs - Proposal'!D297</f>
        <v>0</v>
      </c>
      <c r="E297" s="121">
        <f>'ALL Other SINs - Proposal'!E297</f>
        <v>0</v>
      </c>
      <c r="F297" s="171">
        <f>'ALL Other SINs - Proposal'!F297</f>
        <v>0</v>
      </c>
      <c r="G297" s="51">
        <f>'ALL Other SINs - Proposal'!G297</f>
        <v>0</v>
      </c>
      <c r="H297" s="125">
        <f>'ALL Other SINs - Proposal'!H297</f>
        <v>0</v>
      </c>
      <c r="I297" s="125">
        <f>'ALL Other SINs - Proposal'!I297</f>
        <v>0</v>
      </c>
      <c r="J297" s="125">
        <f>'ALL Other SINs - Proposal'!J297</f>
        <v>0</v>
      </c>
      <c r="K297" s="125">
        <f>'ALL Other SINs - Proposal'!K297</f>
        <v>0</v>
      </c>
      <c r="L297" s="125">
        <f>'ALL Other SINs - Proposal'!L297</f>
        <v>0</v>
      </c>
      <c r="M297" s="206">
        <f>'ALL Other SINs - Proposal'!M297</f>
        <v>0</v>
      </c>
      <c r="N297" s="251">
        <f>'ALL Other SINs - Proposal'!V297</f>
        <v>0</v>
      </c>
      <c r="O297" s="201" t="str">
        <f>'Price Analysis'!N297</f>
        <v xml:space="preserve"> </v>
      </c>
      <c r="P297" s="53" t="str">
        <f>IF(ISBLANK('ALL Other SINs - Proposal'!AA297)," ",'ALL Other SINs - Proposal'!AA297)</f>
        <v xml:space="preserve"> </v>
      </c>
      <c r="Q297" s="95" t="str">
        <f>'ALL Other SINs - Proposal'!AC297</f>
        <v xml:space="preserve"> </v>
      </c>
      <c r="R297" s="100" t="str">
        <f>IF(ISBLANK('ALL Other SINs - Proposal'!AA297)," ",ROUND(Q297,2))</f>
        <v xml:space="preserve"> </v>
      </c>
      <c r="S297" s="54"/>
    </row>
    <row r="298" spans="1:19" ht="20.100000000000001" customHeight="1" x14ac:dyDescent="0.2">
      <c r="A298" s="127">
        <f>'ALL Other SINs - Proposal'!A298</f>
        <v>0</v>
      </c>
      <c r="B298" s="121">
        <f>'ALL Other SINs - Proposal'!B298</f>
        <v>0</v>
      </c>
      <c r="C298" s="121">
        <f>'ALL Other SINs - Proposal'!C298</f>
        <v>0</v>
      </c>
      <c r="D298" s="121">
        <f>'ALL Other SINs - Proposal'!D298</f>
        <v>0</v>
      </c>
      <c r="E298" s="121">
        <f>'ALL Other SINs - Proposal'!E298</f>
        <v>0</v>
      </c>
      <c r="F298" s="171">
        <f>'ALL Other SINs - Proposal'!F298</f>
        <v>0</v>
      </c>
      <c r="G298" s="51">
        <f>'ALL Other SINs - Proposal'!G298</f>
        <v>0</v>
      </c>
      <c r="H298" s="125">
        <f>'ALL Other SINs - Proposal'!H298</f>
        <v>0</v>
      </c>
      <c r="I298" s="125">
        <f>'ALL Other SINs - Proposal'!I298</f>
        <v>0</v>
      </c>
      <c r="J298" s="125">
        <f>'ALL Other SINs - Proposal'!J298</f>
        <v>0</v>
      </c>
      <c r="K298" s="125">
        <f>'ALL Other SINs - Proposal'!K298</f>
        <v>0</v>
      </c>
      <c r="L298" s="125">
        <f>'ALL Other SINs - Proposal'!L298</f>
        <v>0</v>
      </c>
      <c r="M298" s="206">
        <f>'ALL Other SINs - Proposal'!M298</f>
        <v>0</v>
      </c>
      <c r="N298" s="251">
        <f>'ALL Other SINs - Proposal'!V298</f>
        <v>0</v>
      </c>
      <c r="O298" s="201" t="str">
        <f>'Price Analysis'!N298</f>
        <v xml:space="preserve"> </v>
      </c>
      <c r="P298" s="53" t="str">
        <f>IF(ISBLANK('ALL Other SINs - Proposal'!AA298)," ",'ALL Other SINs - Proposal'!AA298)</f>
        <v xml:space="preserve"> </v>
      </c>
      <c r="Q298" s="95" t="str">
        <f>'ALL Other SINs - Proposal'!AC298</f>
        <v xml:space="preserve"> </v>
      </c>
      <c r="R298" s="100" t="str">
        <f>IF(ISBLANK('ALL Other SINs - Proposal'!AA298)," ",ROUND(Q298,2))</f>
        <v xml:space="preserve"> </v>
      </c>
      <c r="S298" s="54"/>
    </row>
    <row r="299" spans="1:19" ht="20.100000000000001" customHeight="1" x14ac:dyDescent="0.2">
      <c r="A299" s="127">
        <f>'ALL Other SINs - Proposal'!A299</f>
        <v>0</v>
      </c>
      <c r="B299" s="121">
        <f>'ALL Other SINs - Proposal'!B299</f>
        <v>0</v>
      </c>
      <c r="C299" s="121">
        <f>'ALL Other SINs - Proposal'!C299</f>
        <v>0</v>
      </c>
      <c r="D299" s="121">
        <f>'ALL Other SINs - Proposal'!D299</f>
        <v>0</v>
      </c>
      <c r="E299" s="121">
        <f>'ALL Other SINs - Proposal'!E299</f>
        <v>0</v>
      </c>
      <c r="F299" s="171">
        <f>'ALL Other SINs - Proposal'!F299</f>
        <v>0</v>
      </c>
      <c r="G299" s="51">
        <f>'ALL Other SINs - Proposal'!G299</f>
        <v>0</v>
      </c>
      <c r="H299" s="125">
        <f>'ALL Other SINs - Proposal'!H299</f>
        <v>0</v>
      </c>
      <c r="I299" s="125">
        <f>'ALL Other SINs - Proposal'!I299</f>
        <v>0</v>
      </c>
      <c r="J299" s="125">
        <f>'ALL Other SINs - Proposal'!J299</f>
        <v>0</v>
      </c>
      <c r="K299" s="125">
        <f>'ALL Other SINs - Proposal'!K299</f>
        <v>0</v>
      </c>
      <c r="L299" s="125">
        <f>'ALL Other SINs - Proposal'!L299</f>
        <v>0</v>
      </c>
      <c r="M299" s="206">
        <f>'ALL Other SINs - Proposal'!M299</f>
        <v>0</v>
      </c>
      <c r="N299" s="251">
        <f>'ALL Other SINs - Proposal'!V299</f>
        <v>0</v>
      </c>
      <c r="O299" s="201" t="str">
        <f>'Price Analysis'!N299</f>
        <v xml:space="preserve"> </v>
      </c>
      <c r="P299" s="53" t="str">
        <f>IF(ISBLANK('ALL Other SINs - Proposal'!AA299)," ",'ALL Other SINs - Proposal'!AA299)</f>
        <v xml:space="preserve"> </v>
      </c>
      <c r="Q299" s="95" t="str">
        <f>'ALL Other SINs - Proposal'!AC299</f>
        <v xml:space="preserve"> </v>
      </c>
      <c r="R299" s="100" t="str">
        <f>IF(ISBLANK('ALL Other SINs - Proposal'!AA299)," ",ROUND(Q299,2))</f>
        <v xml:space="preserve"> </v>
      </c>
      <c r="S299" s="54"/>
    </row>
    <row r="300" spans="1:19" ht="20.100000000000001" customHeight="1" x14ac:dyDescent="0.2">
      <c r="A300" s="127">
        <f>'ALL Other SINs - Proposal'!A300</f>
        <v>0</v>
      </c>
      <c r="B300" s="121">
        <f>'ALL Other SINs - Proposal'!B300</f>
        <v>0</v>
      </c>
      <c r="C300" s="121">
        <f>'ALL Other SINs - Proposal'!C300</f>
        <v>0</v>
      </c>
      <c r="D300" s="121">
        <f>'ALL Other SINs - Proposal'!D300</f>
        <v>0</v>
      </c>
      <c r="E300" s="121">
        <f>'ALL Other SINs - Proposal'!E300</f>
        <v>0</v>
      </c>
      <c r="F300" s="171">
        <f>'ALL Other SINs - Proposal'!F300</f>
        <v>0</v>
      </c>
      <c r="G300" s="51">
        <f>'ALL Other SINs - Proposal'!G300</f>
        <v>0</v>
      </c>
      <c r="H300" s="125">
        <f>'ALL Other SINs - Proposal'!H300</f>
        <v>0</v>
      </c>
      <c r="I300" s="125">
        <f>'ALL Other SINs - Proposal'!I300</f>
        <v>0</v>
      </c>
      <c r="J300" s="125">
        <f>'ALL Other SINs - Proposal'!J300</f>
        <v>0</v>
      </c>
      <c r="K300" s="125">
        <f>'ALL Other SINs - Proposal'!K300</f>
        <v>0</v>
      </c>
      <c r="L300" s="125">
        <f>'ALL Other SINs - Proposal'!L300</f>
        <v>0</v>
      </c>
      <c r="M300" s="206">
        <f>'ALL Other SINs - Proposal'!M300</f>
        <v>0</v>
      </c>
      <c r="N300" s="251">
        <f>'ALL Other SINs - Proposal'!V300</f>
        <v>0</v>
      </c>
      <c r="O300" s="201" t="str">
        <f>'Price Analysis'!N300</f>
        <v xml:space="preserve"> </v>
      </c>
      <c r="P300" s="53" t="str">
        <f>IF(ISBLANK('ALL Other SINs - Proposal'!AA300)," ",'ALL Other SINs - Proposal'!AA300)</f>
        <v xml:space="preserve"> </v>
      </c>
      <c r="Q300" s="95" t="str">
        <f>'ALL Other SINs - Proposal'!AC300</f>
        <v xml:space="preserve"> </v>
      </c>
      <c r="R300" s="100" t="str">
        <f>IF(ISBLANK('ALL Other SINs - Proposal'!AA300)," ",ROUND(Q300,2))</f>
        <v xml:space="preserve"> </v>
      </c>
      <c r="S300" s="54"/>
    </row>
    <row r="301" spans="1:19" ht="20.100000000000001" customHeight="1" x14ac:dyDescent="0.2">
      <c r="A301" s="127">
        <f>'ALL Other SINs - Proposal'!A301</f>
        <v>0</v>
      </c>
      <c r="B301" s="121">
        <f>'ALL Other SINs - Proposal'!B301</f>
        <v>0</v>
      </c>
      <c r="C301" s="121">
        <f>'ALL Other SINs - Proposal'!C301</f>
        <v>0</v>
      </c>
      <c r="D301" s="121">
        <f>'ALL Other SINs - Proposal'!D301</f>
        <v>0</v>
      </c>
      <c r="E301" s="121">
        <f>'ALL Other SINs - Proposal'!E301</f>
        <v>0</v>
      </c>
      <c r="F301" s="171">
        <f>'ALL Other SINs - Proposal'!F301</f>
        <v>0</v>
      </c>
      <c r="G301" s="51">
        <f>'ALL Other SINs - Proposal'!G301</f>
        <v>0</v>
      </c>
      <c r="H301" s="125">
        <f>'ALL Other SINs - Proposal'!H301</f>
        <v>0</v>
      </c>
      <c r="I301" s="125">
        <f>'ALL Other SINs - Proposal'!I301</f>
        <v>0</v>
      </c>
      <c r="J301" s="125">
        <f>'ALL Other SINs - Proposal'!J301</f>
        <v>0</v>
      </c>
      <c r="K301" s="125">
        <f>'ALL Other SINs - Proposal'!K301</f>
        <v>0</v>
      </c>
      <c r="L301" s="125">
        <f>'ALL Other SINs - Proposal'!L301</f>
        <v>0</v>
      </c>
      <c r="M301" s="206">
        <f>'ALL Other SINs - Proposal'!M301</f>
        <v>0</v>
      </c>
      <c r="N301" s="251">
        <f>'ALL Other SINs - Proposal'!V301</f>
        <v>0</v>
      </c>
      <c r="O301" s="201" t="str">
        <f>'Price Analysis'!N301</f>
        <v xml:space="preserve"> </v>
      </c>
      <c r="P301" s="53" t="str">
        <f>IF(ISBLANK('ALL Other SINs - Proposal'!AA301)," ",'ALL Other SINs - Proposal'!AA301)</f>
        <v xml:space="preserve"> </v>
      </c>
      <c r="Q301" s="95" t="str">
        <f>'ALL Other SINs - Proposal'!AC301</f>
        <v xml:space="preserve"> </v>
      </c>
      <c r="R301" s="100" t="str">
        <f>IF(ISBLANK('ALL Other SINs - Proposal'!AA301)," ",ROUND(Q301,2))</f>
        <v xml:space="preserve"> </v>
      </c>
      <c r="S301" s="54"/>
    </row>
    <row r="302" spans="1:19" ht="20.100000000000001" customHeight="1" x14ac:dyDescent="0.2">
      <c r="A302" s="127">
        <f>'ALL Other SINs - Proposal'!A302</f>
        <v>0</v>
      </c>
      <c r="B302" s="121">
        <f>'ALL Other SINs - Proposal'!B302</f>
        <v>0</v>
      </c>
      <c r="C302" s="121">
        <f>'ALL Other SINs - Proposal'!C302</f>
        <v>0</v>
      </c>
      <c r="D302" s="121">
        <f>'ALL Other SINs - Proposal'!D302</f>
        <v>0</v>
      </c>
      <c r="E302" s="121">
        <f>'ALL Other SINs - Proposal'!E302</f>
        <v>0</v>
      </c>
      <c r="F302" s="171">
        <f>'ALL Other SINs - Proposal'!F302</f>
        <v>0</v>
      </c>
      <c r="G302" s="51">
        <f>'ALL Other SINs - Proposal'!G302</f>
        <v>0</v>
      </c>
      <c r="H302" s="125">
        <f>'ALL Other SINs - Proposal'!H302</f>
        <v>0</v>
      </c>
      <c r="I302" s="125">
        <f>'ALL Other SINs - Proposal'!I302</f>
        <v>0</v>
      </c>
      <c r="J302" s="125">
        <f>'ALL Other SINs - Proposal'!J302</f>
        <v>0</v>
      </c>
      <c r="K302" s="125">
        <f>'ALL Other SINs - Proposal'!K302</f>
        <v>0</v>
      </c>
      <c r="L302" s="125">
        <f>'ALL Other SINs - Proposal'!L302</f>
        <v>0</v>
      </c>
      <c r="M302" s="206">
        <f>'ALL Other SINs - Proposal'!M302</f>
        <v>0</v>
      </c>
      <c r="N302" s="251">
        <f>'ALL Other SINs - Proposal'!V302</f>
        <v>0</v>
      </c>
      <c r="O302" s="201" t="str">
        <f>'Price Analysis'!N302</f>
        <v xml:space="preserve"> </v>
      </c>
      <c r="P302" s="53" t="str">
        <f>IF(ISBLANK('ALL Other SINs - Proposal'!AA302)," ",'ALL Other SINs - Proposal'!AA302)</f>
        <v xml:space="preserve"> </v>
      </c>
      <c r="Q302" s="95" t="str">
        <f>'ALL Other SINs - Proposal'!AC302</f>
        <v xml:space="preserve"> </v>
      </c>
      <c r="R302" s="100" t="str">
        <f>IF(ISBLANK('ALL Other SINs - Proposal'!AA302)," ",ROUND(Q302,2))</f>
        <v xml:space="preserve"> </v>
      </c>
      <c r="S302" s="54"/>
    </row>
    <row r="303" spans="1:19" ht="20.100000000000001" customHeight="1" x14ac:dyDescent="0.2">
      <c r="A303" s="127">
        <f>'ALL Other SINs - Proposal'!A303</f>
        <v>0</v>
      </c>
      <c r="B303" s="121">
        <f>'ALL Other SINs - Proposal'!B303</f>
        <v>0</v>
      </c>
      <c r="C303" s="121">
        <f>'ALL Other SINs - Proposal'!C303</f>
        <v>0</v>
      </c>
      <c r="D303" s="121">
        <f>'ALL Other SINs - Proposal'!D303</f>
        <v>0</v>
      </c>
      <c r="E303" s="121">
        <f>'ALL Other SINs - Proposal'!E303</f>
        <v>0</v>
      </c>
      <c r="F303" s="171">
        <f>'ALL Other SINs - Proposal'!F303</f>
        <v>0</v>
      </c>
      <c r="G303" s="51">
        <f>'ALL Other SINs - Proposal'!G303</f>
        <v>0</v>
      </c>
      <c r="H303" s="125">
        <f>'ALL Other SINs - Proposal'!H303</f>
        <v>0</v>
      </c>
      <c r="I303" s="125">
        <f>'ALL Other SINs - Proposal'!I303</f>
        <v>0</v>
      </c>
      <c r="J303" s="125">
        <f>'ALL Other SINs - Proposal'!J303</f>
        <v>0</v>
      </c>
      <c r="K303" s="125">
        <f>'ALL Other SINs - Proposal'!K303</f>
        <v>0</v>
      </c>
      <c r="L303" s="125">
        <f>'ALL Other SINs - Proposal'!L303</f>
        <v>0</v>
      </c>
      <c r="M303" s="206">
        <f>'ALL Other SINs - Proposal'!M303</f>
        <v>0</v>
      </c>
      <c r="N303" s="251">
        <f>'ALL Other SINs - Proposal'!V303</f>
        <v>0</v>
      </c>
      <c r="O303" s="201" t="str">
        <f>'Price Analysis'!N303</f>
        <v xml:space="preserve"> </v>
      </c>
      <c r="P303" s="53" t="str">
        <f>IF(ISBLANK('ALL Other SINs - Proposal'!AA303)," ",'ALL Other SINs - Proposal'!AA303)</f>
        <v xml:space="preserve"> </v>
      </c>
      <c r="Q303" s="95" t="str">
        <f>'ALL Other SINs - Proposal'!AC303</f>
        <v xml:space="preserve"> </v>
      </c>
      <c r="R303" s="100" t="str">
        <f>IF(ISBLANK('ALL Other SINs - Proposal'!AA303)," ",ROUND(Q303,2))</f>
        <v xml:space="preserve"> </v>
      </c>
      <c r="S303" s="54"/>
    </row>
    <row r="304" spans="1:19" ht="20.100000000000001" customHeight="1" x14ac:dyDescent="0.2">
      <c r="A304" s="127">
        <f>'ALL Other SINs - Proposal'!A304</f>
        <v>0</v>
      </c>
      <c r="B304" s="121">
        <f>'ALL Other SINs - Proposal'!B304</f>
        <v>0</v>
      </c>
      <c r="C304" s="121">
        <f>'ALL Other SINs - Proposal'!C304</f>
        <v>0</v>
      </c>
      <c r="D304" s="121">
        <f>'ALL Other SINs - Proposal'!D304</f>
        <v>0</v>
      </c>
      <c r="E304" s="121">
        <f>'ALL Other SINs - Proposal'!E304</f>
        <v>0</v>
      </c>
      <c r="F304" s="171">
        <f>'ALL Other SINs - Proposal'!F304</f>
        <v>0</v>
      </c>
      <c r="G304" s="51">
        <f>'ALL Other SINs - Proposal'!G304</f>
        <v>0</v>
      </c>
      <c r="H304" s="125">
        <f>'ALL Other SINs - Proposal'!H304</f>
        <v>0</v>
      </c>
      <c r="I304" s="125">
        <f>'ALL Other SINs - Proposal'!I304</f>
        <v>0</v>
      </c>
      <c r="J304" s="125">
        <f>'ALL Other SINs - Proposal'!J304</f>
        <v>0</v>
      </c>
      <c r="K304" s="125">
        <f>'ALL Other SINs - Proposal'!K304</f>
        <v>0</v>
      </c>
      <c r="L304" s="125">
        <f>'ALL Other SINs - Proposal'!L304</f>
        <v>0</v>
      </c>
      <c r="M304" s="206">
        <f>'ALL Other SINs - Proposal'!M304</f>
        <v>0</v>
      </c>
      <c r="N304" s="251">
        <f>'ALL Other SINs - Proposal'!V304</f>
        <v>0</v>
      </c>
      <c r="O304" s="201" t="str">
        <f>'Price Analysis'!N304</f>
        <v xml:space="preserve"> </v>
      </c>
      <c r="P304" s="53" t="str">
        <f>IF(ISBLANK('ALL Other SINs - Proposal'!AA304)," ",'ALL Other SINs - Proposal'!AA304)</f>
        <v xml:space="preserve"> </v>
      </c>
      <c r="Q304" s="95" t="str">
        <f>'ALL Other SINs - Proposal'!AC304</f>
        <v xml:space="preserve"> </v>
      </c>
      <c r="R304" s="100" t="str">
        <f>IF(ISBLANK('ALL Other SINs - Proposal'!AA304)," ",ROUND(Q304,2))</f>
        <v xml:space="preserve"> </v>
      </c>
      <c r="S304" s="54"/>
    </row>
    <row r="305" spans="1:19" ht="20.100000000000001" customHeight="1" x14ac:dyDescent="0.2">
      <c r="A305" s="127">
        <f>'ALL Other SINs - Proposal'!A305</f>
        <v>0</v>
      </c>
      <c r="B305" s="121">
        <f>'ALL Other SINs - Proposal'!B305</f>
        <v>0</v>
      </c>
      <c r="C305" s="121">
        <f>'ALL Other SINs - Proposal'!C305</f>
        <v>0</v>
      </c>
      <c r="D305" s="121">
        <f>'ALL Other SINs - Proposal'!D305</f>
        <v>0</v>
      </c>
      <c r="E305" s="121">
        <f>'ALL Other SINs - Proposal'!E305</f>
        <v>0</v>
      </c>
      <c r="F305" s="171">
        <f>'ALL Other SINs - Proposal'!F305</f>
        <v>0</v>
      </c>
      <c r="G305" s="51">
        <f>'ALL Other SINs - Proposal'!G305</f>
        <v>0</v>
      </c>
      <c r="H305" s="125">
        <f>'ALL Other SINs - Proposal'!H305</f>
        <v>0</v>
      </c>
      <c r="I305" s="125">
        <f>'ALL Other SINs - Proposal'!I305</f>
        <v>0</v>
      </c>
      <c r="J305" s="125">
        <f>'ALL Other SINs - Proposal'!J305</f>
        <v>0</v>
      </c>
      <c r="K305" s="125">
        <f>'ALL Other SINs - Proposal'!K305</f>
        <v>0</v>
      </c>
      <c r="L305" s="125">
        <f>'ALL Other SINs - Proposal'!L305</f>
        <v>0</v>
      </c>
      <c r="M305" s="206">
        <f>'ALL Other SINs - Proposal'!M305</f>
        <v>0</v>
      </c>
      <c r="N305" s="251">
        <f>'ALL Other SINs - Proposal'!V305</f>
        <v>0</v>
      </c>
      <c r="O305" s="201" t="str">
        <f>'Price Analysis'!N305</f>
        <v xml:space="preserve"> </v>
      </c>
      <c r="P305" s="53" t="str">
        <f>IF(ISBLANK('ALL Other SINs - Proposal'!AA305)," ",'ALL Other SINs - Proposal'!AA305)</f>
        <v xml:space="preserve"> </v>
      </c>
      <c r="Q305" s="95" t="str">
        <f>'ALL Other SINs - Proposal'!AC305</f>
        <v xml:space="preserve"> </v>
      </c>
      <c r="R305" s="100" t="str">
        <f>IF(ISBLANK('ALL Other SINs - Proposal'!AA305)," ",ROUND(Q305,2))</f>
        <v xml:space="preserve"> </v>
      </c>
      <c r="S305" s="54"/>
    </row>
    <row r="306" spans="1:19" ht="20.100000000000001" customHeight="1" x14ac:dyDescent="0.2">
      <c r="A306" s="127">
        <f>'ALL Other SINs - Proposal'!A306</f>
        <v>0</v>
      </c>
      <c r="B306" s="121">
        <f>'ALL Other SINs - Proposal'!B306</f>
        <v>0</v>
      </c>
      <c r="C306" s="121">
        <f>'ALL Other SINs - Proposal'!C306</f>
        <v>0</v>
      </c>
      <c r="D306" s="121">
        <f>'ALL Other SINs - Proposal'!D306</f>
        <v>0</v>
      </c>
      <c r="E306" s="121">
        <f>'ALL Other SINs - Proposal'!E306</f>
        <v>0</v>
      </c>
      <c r="F306" s="171">
        <f>'ALL Other SINs - Proposal'!F306</f>
        <v>0</v>
      </c>
      <c r="G306" s="51">
        <f>'ALL Other SINs - Proposal'!G306</f>
        <v>0</v>
      </c>
      <c r="H306" s="125">
        <f>'ALL Other SINs - Proposal'!H306</f>
        <v>0</v>
      </c>
      <c r="I306" s="125">
        <f>'ALL Other SINs - Proposal'!I306</f>
        <v>0</v>
      </c>
      <c r="J306" s="125">
        <f>'ALL Other SINs - Proposal'!J306</f>
        <v>0</v>
      </c>
      <c r="K306" s="125">
        <f>'ALL Other SINs - Proposal'!K306</f>
        <v>0</v>
      </c>
      <c r="L306" s="125">
        <f>'ALL Other SINs - Proposal'!L306</f>
        <v>0</v>
      </c>
      <c r="M306" s="206">
        <f>'ALL Other SINs - Proposal'!M306</f>
        <v>0</v>
      </c>
      <c r="N306" s="251">
        <f>'ALL Other SINs - Proposal'!V306</f>
        <v>0</v>
      </c>
      <c r="O306" s="201" t="str">
        <f>'Price Analysis'!N306</f>
        <v xml:space="preserve"> </v>
      </c>
      <c r="P306" s="53" t="str">
        <f>IF(ISBLANK('ALL Other SINs - Proposal'!AA306)," ",'ALL Other SINs - Proposal'!AA306)</f>
        <v xml:space="preserve"> </v>
      </c>
      <c r="Q306" s="95" t="str">
        <f>'ALL Other SINs - Proposal'!AC306</f>
        <v xml:space="preserve"> </v>
      </c>
      <c r="R306" s="100" t="str">
        <f>IF(ISBLANK('ALL Other SINs - Proposal'!AA306)," ",ROUND(Q306,2))</f>
        <v xml:space="preserve"> </v>
      </c>
      <c r="S306" s="54"/>
    </row>
    <row r="307" spans="1:19" ht="20.100000000000001" customHeight="1" x14ac:dyDescent="0.2">
      <c r="A307" s="127">
        <f>'ALL Other SINs - Proposal'!A307</f>
        <v>0</v>
      </c>
      <c r="B307" s="121">
        <f>'ALL Other SINs - Proposal'!B307</f>
        <v>0</v>
      </c>
      <c r="C307" s="121">
        <f>'ALL Other SINs - Proposal'!C307</f>
        <v>0</v>
      </c>
      <c r="D307" s="121">
        <f>'ALL Other SINs - Proposal'!D307</f>
        <v>0</v>
      </c>
      <c r="E307" s="121">
        <f>'ALL Other SINs - Proposal'!E307</f>
        <v>0</v>
      </c>
      <c r="F307" s="171">
        <f>'ALL Other SINs - Proposal'!F307</f>
        <v>0</v>
      </c>
      <c r="G307" s="51">
        <f>'ALL Other SINs - Proposal'!G307</f>
        <v>0</v>
      </c>
      <c r="H307" s="125">
        <f>'ALL Other SINs - Proposal'!H307</f>
        <v>0</v>
      </c>
      <c r="I307" s="125">
        <f>'ALL Other SINs - Proposal'!I307</f>
        <v>0</v>
      </c>
      <c r="J307" s="125">
        <f>'ALL Other SINs - Proposal'!J307</f>
        <v>0</v>
      </c>
      <c r="K307" s="125">
        <f>'ALL Other SINs - Proposal'!K307</f>
        <v>0</v>
      </c>
      <c r="L307" s="125">
        <f>'ALL Other SINs - Proposal'!L307</f>
        <v>0</v>
      </c>
      <c r="M307" s="206">
        <f>'ALL Other SINs - Proposal'!M307</f>
        <v>0</v>
      </c>
      <c r="N307" s="251">
        <f>'ALL Other SINs - Proposal'!V307</f>
        <v>0</v>
      </c>
      <c r="O307" s="201" t="str">
        <f>'Price Analysis'!N307</f>
        <v xml:space="preserve"> </v>
      </c>
      <c r="P307" s="53" t="str">
        <f>IF(ISBLANK('ALL Other SINs - Proposal'!AA307)," ",'ALL Other SINs - Proposal'!AA307)</f>
        <v xml:space="preserve"> </v>
      </c>
      <c r="Q307" s="95" t="str">
        <f>'ALL Other SINs - Proposal'!AC307</f>
        <v xml:space="preserve"> </v>
      </c>
      <c r="R307" s="100" t="str">
        <f>IF(ISBLANK('ALL Other SINs - Proposal'!AA307)," ",ROUND(Q307,2))</f>
        <v xml:space="preserve"> </v>
      </c>
      <c r="S307" s="54"/>
    </row>
    <row r="308" spans="1:19" ht="20.100000000000001" customHeight="1" x14ac:dyDescent="0.2">
      <c r="A308" s="127">
        <f>'ALL Other SINs - Proposal'!A308</f>
        <v>0</v>
      </c>
      <c r="B308" s="121">
        <f>'ALL Other SINs - Proposal'!B308</f>
        <v>0</v>
      </c>
      <c r="C308" s="121">
        <f>'ALL Other SINs - Proposal'!C308</f>
        <v>0</v>
      </c>
      <c r="D308" s="121">
        <f>'ALL Other SINs - Proposal'!D308</f>
        <v>0</v>
      </c>
      <c r="E308" s="121">
        <f>'ALL Other SINs - Proposal'!E308</f>
        <v>0</v>
      </c>
      <c r="F308" s="171">
        <f>'ALL Other SINs - Proposal'!F308</f>
        <v>0</v>
      </c>
      <c r="G308" s="51">
        <f>'ALL Other SINs - Proposal'!G308</f>
        <v>0</v>
      </c>
      <c r="H308" s="125">
        <f>'ALL Other SINs - Proposal'!H308</f>
        <v>0</v>
      </c>
      <c r="I308" s="125">
        <f>'ALL Other SINs - Proposal'!I308</f>
        <v>0</v>
      </c>
      <c r="J308" s="125">
        <f>'ALL Other SINs - Proposal'!J308</f>
        <v>0</v>
      </c>
      <c r="K308" s="125">
        <f>'ALL Other SINs - Proposal'!K308</f>
        <v>0</v>
      </c>
      <c r="L308" s="125">
        <f>'ALL Other SINs - Proposal'!L308</f>
        <v>0</v>
      </c>
      <c r="M308" s="206">
        <f>'ALL Other SINs - Proposal'!M308</f>
        <v>0</v>
      </c>
      <c r="N308" s="251">
        <f>'ALL Other SINs - Proposal'!V308</f>
        <v>0</v>
      </c>
      <c r="O308" s="201" t="str">
        <f>'Price Analysis'!N308</f>
        <v xml:space="preserve"> </v>
      </c>
      <c r="P308" s="53" t="str">
        <f>IF(ISBLANK('ALL Other SINs - Proposal'!AA308)," ",'ALL Other SINs - Proposal'!AA308)</f>
        <v xml:space="preserve"> </v>
      </c>
      <c r="Q308" s="95" t="str">
        <f>'ALL Other SINs - Proposal'!AC308</f>
        <v xml:space="preserve"> </v>
      </c>
      <c r="R308" s="100" t="str">
        <f>IF(ISBLANK('ALL Other SINs - Proposal'!AA308)," ",ROUND(Q308,2))</f>
        <v xml:space="preserve"> </v>
      </c>
      <c r="S308" s="54"/>
    </row>
    <row r="309" spans="1:19" ht="20.100000000000001" customHeight="1" x14ac:dyDescent="0.2">
      <c r="A309" s="127">
        <f>'ALL Other SINs - Proposal'!A309</f>
        <v>0</v>
      </c>
      <c r="B309" s="121">
        <f>'ALL Other SINs - Proposal'!B309</f>
        <v>0</v>
      </c>
      <c r="C309" s="121">
        <f>'ALL Other SINs - Proposal'!C309</f>
        <v>0</v>
      </c>
      <c r="D309" s="121">
        <f>'ALL Other SINs - Proposal'!D309</f>
        <v>0</v>
      </c>
      <c r="E309" s="121">
        <f>'ALL Other SINs - Proposal'!E309</f>
        <v>0</v>
      </c>
      <c r="F309" s="171">
        <f>'ALL Other SINs - Proposal'!F309</f>
        <v>0</v>
      </c>
      <c r="G309" s="51">
        <f>'ALL Other SINs - Proposal'!G309</f>
        <v>0</v>
      </c>
      <c r="H309" s="125">
        <f>'ALL Other SINs - Proposal'!H309</f>
        <v>0</v>
      </c>
      <c r="I309" s="125">
        <f>'ALL Other SINs - Proposal'!I309</f>
        <v>0</v>
      </c>
      <c r="J309" s="125">
        <f>'ALL Other SINs - Proposal'!J309</f>
        <v>0</v>
      </c>
      <c r="K309" s="125">
        <f>'ALL Other SINs - Proposal'!K309</f>
        <v>0</v>
      </c>
      <c r="L309" s="125">
        <f>'ALL Other SINs - Proposal'!L309</f>
        <v>0</v>
      </c>
      <c r="M309" s="206">
        <f>'ALL Other SINs - Proposal'!M309</f>
        <v>0</v>
      </c>
      <c r="N309" s="251">
        <f>'ALL Other SINs - Proposal'!V309</f>
        <v>0</v>
      </c>
      <c r="O309" s="201" t="str">
        <f>'Price Analysis'!N309</f>
        <v xml:space="preserve"> </v>
      </c>
      <c r="P309" s="53" t="str">
        <f>IF(ISBLANK('ALL Other SINs - Proposal'!AA309)," ",'ALL Other SINs - Proposal'!AA309)</f>
        <v xml:space="preserve"> </v>
      </c>
      <c r="Q309" s="95" t="str">
        <f>'ALL Other SINs - Proposal'!AC309</f>
        <v xml:space="preserve"> </v>
      </c>
      <c r="R309" s="100" t="str">
        <f>IF(ISBLANK('ALL Other SINs - Proposal'!AA309)," ",ROUND(Q309,2))</f>
        <v xml:space="preserve"> </v>
      </c>
      <c r="S309" s="54"/>
    </row>
    <row r="310" spans="1:19" ht="20.100000000000001" customHeight="1" x14ac:dyDescent="0.2">
      <c r="A310" s="127">
        <f>'ALL Other SINs - Proposal'!A310</f>
        <v>0</v>
      </c>
      <c r="B310" s="121">
        <f>'ALL Other SINs - Proposal'!B310</f>
        <v>0</v>
      </c>
      <c r="C310" s="121">
        <f>'ALL Other SINs - Proposal'!C310</f>
        <v>0</v>
      </c>
      <c r="D310" s="121">
        <f>'ALL Other SINs - Proposal'!D310</f>
        <v>0</v>
      </c>
      <c r="E310" s="121">
        <f>'ALL Other SINs - Proposal'!E310</f>
        <v>0</v>
      </c>
      <c r="F310" s="171">
        <f>'ALL Other SINs - Proposal'!F310</f>
        <v>0</v>
      </c>
      <c r="G310" s="51">
        <f>'ALL Other SINs - Proposal'!G310</f>
        <v>0</v>
      </c>
      <c r="H310" s="125">
        <f>'ALL Other SINs - Proposal'!H310</f>
        <v>0</v>
      </c>
      <c r="I310" s="125">
        <f>'ALL Other SINs - Proposal'!I310</f>
        <v>0</v>
      </c>
      <c r="J310" s="125">
        <f>'ALL Other SINs - Proposal'!J310</f>
        <v>0</v>
      </c>
      <c r="K310" s="125">
        <f>'ALL Other SINs - Proposal'!K310</f>
        <v>0</v>
      </c>
      <c r="L310" s="125">
        <f>'ALL Other SINs - Proposal'!L310</f>
        <v>0</v>
      </c>
      <c r="M310" s="206">
        <f>'ALL Other SINs - Proposal'!M310</f>
        <v>0</v>
      </c>
      <c r="N310" s="251">
        <f>'ALL Other SINs - Proposal'!V310</f>
        <v>0</v>
      </c>
      <c r="O310" s="201" t="str">
        <f>'Price Analysis'!N310</f>
        <v xml:space="preserve"> </v>
      </c>
      <c r="P310" s="53" t="str">
        <f>IF(ISBLANK('ALL Other SINs - Proposal'!AA310)," ",'ALL Other SINs - Proposal'!AA310)</f>
        <v xml:space="preserve"> </v>
      </c>
      <c r="Q310" s="95" t="str">
        <f>'ALL Other SINs - Proposal'!AC310</f>
        <v xml:space="preserve"> </v>
      </c>
      <c r="R310" s="100" t="str">
        <f>IF(ISBLANK('ALL Other SINs - Proposal'!AA310)," ",ROUND(Q310,2))</f>
        <v xml:space="preserve"> </v>
      </c>
      <c r="S310" s="54"/>
    </row>
    <row r="311" spans="1:19" ht="20.100000000000001" customHeight="1" x14ac:dyDescent="0.2">
      <c r="A311" s="127">
        <f>'ALL Other SINs - Proposal'!A311</f>
        <v>0</v>
      </c>
      <c r="B311" s="121">
        <f>'ALL Other SINs - Proposal'!B311</f>
        <v>0</v>
      </c>
      <c r="C311" s="121">
        <f>'ALL Other SINs - Proposal'!C311</f>
        <v>0</v>
      </c>
      <c r="D311" s="121">
        <f>'ALL Other SINs - Proposal'!D311</f>
        <v>0</v>
      </c>
      <c r="E311" s="121">
        <f>'ALL Other SINs - Proposal'!E311</f>
        <v>0</v>
      </c>
      <c r="F311" s="171">
        <f>'ALL Other SINs - Proposal'!F311</f>
        <v>0</v>
      </c>
      <c r="G311" s="51">
        <f>'ALL Other SINs - Proposal'!G311</f>
        <v>0</v>
      </c>
      <c r="H311" s="125">
        <f>'ALL Other SINs - Proposal'!H311</f>
        <v>0</v>
      </c>
      <c r="I311" s="125">
        <f>'ALL Other SINs - Proposal'!I311</f>
        <v>0</v>
      </c>
      <c r="J311" s="125">
        <f>'ALL Other SINs - Proposal'!J311</f>
        <v>0</v>
      </c>
      <c r="K311" s="125">
        <f>'ALL Other SINs - Proposal'!K311</f>
        <v>0</v>
      </c>
      <c r="L311" s="125">
        <f>'ALL Other SINs - Proposal'!L311</f>
        <v>0</v>
      </c>
      <c r="M311" s="206">
        <f>'ALL Other SINs - Proposal'!M311</f>
        <v>0</v>
      </c>
      <c r="N311" s="251">
        <f>'ALL Other SINs - Proposal'!V311</f>
        <v>0</v>
      </c>
      <c r="O311" s="201" t="str">
        <f>'Price Analysis'!N311</f>
        <v xml:space="preserve"> </v>
      </c>
      <c r="P311" s="53" t="str">
        <f>IF(ISBLANK('ALL Other SINs - Proposal'!AA311)," ",'ALL Other SINs - Proposal'!AA311)</f>
        <v xml:space="preserve"> </v>
      </c>
      <c r="Q311" s="95" t="str">
        <f>'ALL Other SINs - Proposal'!AC311</f>
        <v xml:space="preserve"> </v>
      </c>
      <c r="R311" s="100" t="str">
        <f>IF(ISBLANK('ALL Other SINs - Proposal'!AA311)," ",ROUND(Q311,2))</f>
        <v xml:space="preserve"> </v>
      </c>
      <c r="S311" s="54"/>
    </row>
    <row r="312" spans="1:19" ht="20.100000000000001" customHeight="1" x14ac:dyDescent="0.2">
      <c r="A312" s="127">
        <f>'ALL Other SINs - Proposal'!A312</f>
        <v>0</v>
      </c>
      <c r="B312" s="121">
        <f>'ALL Other SINs - Proposal'!B312</f>
        <v>0</v>
      </c>
      <c r="C312" s="121">
        <f>'ALL Other SINs - Proposal'!C312</f>
        <v>0</v>
      </c>
      <c r="D312" s="121">
        <f>'ALL Other SINs - Proposal'!D312</f>
        <v>0</v>
      </c>
      <c r="E312" s="121">
        <f>'ALL Other SINs - Proposal'!E312</f>
        <v>0</v>
      </c>
      <c r="F312" s="171">
        <f>'ALL Other SINs - Proposal'!F312</f>
        <v>0</v>
      </c>
      <c r="G312" s="51">
        <f>'ALL Other SINs - Proposal'!G312</f>
        <v>0</v>
      </c>
      <c r="H312" s="125">
        <f>'ALL Other SINs - Proposal'!H312</f>
        <v>0</v>
      </c>
      <c r="I312" s="125">
        <f>'ALL Other SINs - Proposal'!I312</f>
        <v>0</v>
      </c>
      <c r="J312" s="125">
        <f>'ALL Other SINs - Proposal'!J312</f>
        <v>0</v>
      </c>
      <c r="K312" s="125">
        <f>'ALL Other SINs - Proposal'!K312</f>
        <v>0</v>
      </c>
      <c r="L312" s="125">
        <f>'ALL Other SINs - Proposal'!L312</f>
        <v>0</v>
      </c>
      <c r="M312" s="206">
        <f>'ALL Other SINs - Proposal'!M312</f>
        <v>0</v>
      </c>
      <c r="N312" s="251">
        <f>'ALL Other SINs - Proposal'!V312</f>
        <v>0</v>
      </c>
      <c r="O312" s="201" t="str">
        <f>'Price Analysis'!N312</f>
        <v xml:space="preserve"> </v>
      </c>
      <c r="P312" s="53" t="str">
        <f>IF(ISBLANK('ALL Other SINs - Proposal'!AA312)," ",'ALL Other SINs - Proposal'!AA312)</f>
        <v xml:space="preserve"> </v>
      </c>
      <c r="Q312" s="95" t="str">
        <f>'ALL Other SINs - Proposal'!AC312</f>
        <v xml:space="preserve"> </v>
      </c>
      <c r="R312" s="100" t="str">
        <f>IF(ISBLANK('ALL Other SINs - Proposal'!AA312)," ",ROUND(Q312,2))</f>
        <v xml:space="preserve"> </v>
      </c>
      <c r="S312" s="54"/>
    </row>
    <row r="313" spans="1:19" ht="20.100000000000001" customHeight="1" x14ac:dyDescent="0.2">
      <c r="A313" s="127">
        <f>'ALL Other SINs - Proposal'!A313</f>
        <v>0</v>
      </c>
      <c r="B313" s="121">
        <f>'ALL Other SINs - Proposal'!B313</f>
        <v>0</v>
      </c>
      <c r="C313" s="121">
        <f>'ALL Other SINs - Proposal'!C313</f>
        <v>0</v>
      </c>
      <c r="D313" s="121">
        <f>'ALL Other SINs - Proposal'!D313</f>
        <v>0</v>
      </c>
      <c r="E313" s="121">
        <f>'ALL Other SINs - Proposal'!E313</f>
        <v>0</v>
      </c>
      <c r="F313" s="171">
        <f>'ALL Other SINs - Proposal'!F313</f>
        <v>0</v>
      </c>
      <c r="G313" s="51">
        <f>'ALL Other SINs - Proposal'!G313</f>
        <v>0</v>
      </c>
      <c r="H313" s="125">
        <f>'ALL Other SINs - Proposal'!H313</f>
        <v>0</v>
      </c>
      <c r="I313" s="125">
        <f>'ALL Other SINs - Proposal'!I313</f>
        <v>0</v>
      </c>
      <c r="J313" s="125">
        <f>'ALL Other SINs - Proposal'!J313</f>
        <v>0</v>
      </c>
      <c r="K313" s="125">
        <f>'ALL Other SINs - Proposal'!K313</f>
        <v>0</v>
      </c>
      <c r="L313" s="125">
        <f>'ALL Other SINs - Proposal'!L313</f>
        <v>0</v>
      </c>
      <c r="M313" s="206">
        <f>'ALL Other SINs - Proposal'!M313</f>
        <v>0</v>
      </c>
      <c r="N313" s="251">
        <f>'ALL Other SINs - Proposal'!V313</f>
        <v>0</v>
      </c>
      <c r="O313" s="201" t="str">
        <f>'Price Analysis'!N313</f>
        <v xml:space="preserve"> </v>
      </c>
      <c r="P313" s="53" t="str">
        <f>IF(ISBLANK('ALL Other SINs - Proposal'!AA313)," ",'ALL Other SINs - Proposal'!AA313)</f>
        <v xml:space="preserve"> </v>
      </c>
      <c r="Q313" s="95" t="str">
        <f>'ALL Other SINs - Proposal'!AC313</f>
        <v xml:space="preserve"> </v>
      </c>
      <c r="R313" s="100" t="str">
        <f>IF(ISBLANK('ALL Other SINs - Proposal'!AA313)," ",ROUND(Q313,2))</f>
        <v xml:space="preserve"> </v>
      </c>
      <c r="S313" s="54"/>
    </row>
    <row r="314" spans="1:19" ht="20.100000000000001" customHeight="1" x14ac:dyDescent="0.2">
      <c r="A314" s="127">
        <f>'ALL Other SINs - Proposal'!A314</f>
        <v>0</v>
      </c>
      <c r="B314" s="121">
        <f>'ALL Other SINs - Proposal'!B314</f>
        <v>0</v>
      </c>
      <c r="C314" s="121">
        <f>'ALL Other SINs - Proposal'!C314</f>
        <v>0</v>
      </c>
      <c r="D314" s="121">
        <f>'ALL Other SINs - Proposal'!D314</f>
        <v>0</v>
      </c>
      <c r="E314" s="121">
        <f>'ALL Other SINs - Proposal'!E314</f>
        <v>0</v>
      </c>
      <c r="F314" s="171">
        <f>'ALL Other SINs - Proposal'!F314</f>
        <v>0</v>
      </c>
      <c r="G314" s="51">
        <f>'ALL Other SINs - Proposal'!G314</f>
        <v>0</v>
      </c>
      <c r="H314" s="125">
        <f>'ALL Other SINs - Proposal'!H314</f>
        <v>0</v>
      </c>
      <c r="I314" s="125">
        <f>'ALL Other SINs - Proposal'!I314</f>
        <v>0</v>
      </c>
      <c r="J314" s="125">
        <f>'ALL Other SINs - Proposal'!J314</f>
        <v>0</v>
      </c>
      <c r="K314" s="125">
        <f>'ALL Other SINs - Proposal'!K314</f>
        <v>0</v>
      </c>
      <c r="L314" s="125">
        <f>'ALL Other SINs - Proposal'!L314</f>
        <v>0</v>
      </c>
      <c r="M314" s="206">
        <f>'ALL Other SINs - Proposal'!M314</f>
        <v>0</v>
      </c>
      <c r="N314" s="251">
        <f>'ALL Other SINs - Proposal'!V314</f>
        <v>0</v>
      </c>
      <c r="O314" s="201" t="str">
        <f>'Price Analysis'!N314</f>
        <v xml:space="preserve"> </v>
      </c>
      <c r="P314" s="53" t="str">
        <f>IF(ISBLANK('ALL Other SINs - Proposal'!AA314)," ",'ALL Other SINs - Proposal'!AA314)</f>
        <v xml:space="preserve"> </v>
      </c>
      <c r="Q314" s="95" t="str">
        <f>'ALL Other SINs - Proposal'!AC314</f>
        <v xml:space="preserve"> </v>
      </c>
      <c r="R314" s="100" t="str">
        <f>IF(ISBLANK('ALL Other SINs - Proposal'!AA314)," ",ROUND(Q314,2))</f>
        <v xml:space="preserve"> </v>
      </c>
      <c r="S314" s="54"/>
    </row>
    <row r="315" spans="1:19" ht="20.100000000000001" customHeight="1" x14ac:dyDescent="0.2">
      <c r="A315" s="127">
        <f>'ALL Other SINs - Proposal'!A315</f>
        <v>0</v>
      </c>
      <c r="B315" s="121">
        <f>'ALL Other SINs - Proposal'!B315</f>
        <v>0</v>
      </c>
      <c r="C315" s="121">
        <f>'ALL Other SINs - Proposal'!C315</f>
        <v>0</v>
      </c>
      <c r="D315" s="121">
        <f>'ALL Other SINs - Proposal'!D315</f>
        <v>0</v>
      </c>
      <c r="E315" s="121">
        <f>'ALL Other SINs - Proposal'!E315</f>
        <v>0</v>
      </c>
      <c r="F315" s="171">
        <f>'ALL Other SINs - Proposal'!F315</f>
        <v>0</v>
      </c>
      <c r="G315" s="51">
        <f>'ALL Other SINs - Proposal'!G315</f>
        <v>0</v>
      </c>
      <c r="H315" s="125">
        <f>'ALL Other SINs - Proposal'!H315</f>
        <v>0</v>
      </c>
      <c r="I315" s="125">
        <f>'ALL Other SINs - Proposal'!I315</f>
        <v>0</v>
      </c>
      <c r="J315" s="125">
        <f>'ALL Other SINs - Proposal'!J315</f>
        <v>0</v>
      </c>
      <c r="K315" s="125">
        <f>'ALL Other SINs - Proposal'!K315</f>
        <v>0</v>
      </c>
      <c r="L315" s="125">
        <f>'ALL Other SINs - Proposal'!L315</f>
        <v>0</v>
      </c>
      <c r="M315" s="206">
        <f>'ALL Other SINs - Proposal'!M315</f>
        <v>0</v>
      </c>
      <c r="N315" s="251">
        <f>'ALL Other SINs - Proposal'!V315</f>
        <v>0</v>
      </c>
      <c r="O315" s="201" t="str">
        <f>'Price Analysis'!N315</f>
        <v xml:space="preserve"> </v>
      </c>
      <c r="P315" s="53" t="str">
        <f>IF(ISBLANK('ALL Other SINs - Proposal'!AA315)," ",'ALL Other SINs - Proposal'!AA315)</f>
        <v xml:space="preserve"> </v>
      </c>
      <c r="Q315" s="95" t="str">
        <f>'ALL Other SINs - Proposal'!AC315</f>
        <v xml:space="preserve"> </v>
      </c>
      <c r="R315" s="100" t="str">
        <f>IF(ISBLANK('ALL Other SINs - Proposal'!AA315)," ",ROUND(Q315,2))</f>
        <v xml:space="preserve"> </v>
      </c>
      <c r="S315" s="54"/>
    </row>
    <row r="316" spans="1:19" ht="20.100000000000001" customHeight="1" x14ac:dyDescent="0.2">
      <c r="A316" s="127">
        <f>'ALL Other SINs - Proposal'!A316</f>
        <v>0</v>
      </c>
      <c r="B316" s="121">
        <f>'ALL Other SINs - Proposal'!B316</f>
        <v>0</v>
      </c>
      <c r="C316" s="121">
        <f>'ALL Other SINs - Proposal'!C316</f>
        <v>0</v>
      </c>
      <c r="D316" s="121">
        <f>'ALL Other SINs - Proposal'!D316</f>
        <v>0</v>
      </c>
      <c r="E316" s="121">
        <f>'ALL Other SINs - Proposal'!E316</f>
        <v>0</v>
      </c>
      <c r="F316" s="171">
        <f>'ALL Other SINs - Proposal'!F316</f>
        <v>0</v>
      </c>
      <c r="G316" s="51">
        <f>'ALL Other SINs - Proposal'!G316</f>
        <v>0</v>
      </c>
      <c r="H316" s="125">
        <f>'ALL Other SINs - Proposal'!H316</f>
        <v>0</v>
      </c>
      <c r="I316" s="125">
        <f>'ALL Other SINs - Proposal'!I316</f>
        <v>0</v>
      </c>
      <c r="J316" s="125">
        <f>'ALL Other SINs - Proposal'!J316</f>
        <v>0</v>
      </c>
      <c r="K316" s="125">
        <f>'ALL Other SINs - Proposal'!K316</f>
        <v>0</v>
      </c>
      <c r="L316" s="125">
        <f>'ALL Other SINs - Proposal'!L316</f>
        <v>0</v>
      </c>
      <c r="M316" s="206">
        <f>'ALL Other SINs - Proposal'!M316</f>
        <v>0</v>
      </c>
      <c r="N316" s="251">
        <f>'ALL Other SINs - Proposal'!V316</f>
        <v>0</v>
      </c>
      <c r="O316" s="201" t="str">
        <f>'Price Analysis'!N316</f>
        <v xml:space="preserve"> </v>
      </c>
      <c r="P316" s="53" t="str">
        <f>IF(ISBLANK('ALL Other SINs - Proposal'!AA316)," ",'ALL Other SINs - Proposal'!AA316)</f>
        <v xml:space="preserve"> </v>
      </c>
      <c r="Q316" s="95" t="str">
        <f>'ALL Other SINs - Proposal'!AC316</f>
        <v xml:space="preserve"> </v>
      </c>
      <c r="R316" s="100" t="str">
        <f>IF(ISBLANK('ALL Other SINs - Proposal'!AA316)," ",ROUND(Q316,2))</f>
        <v xml:space="preserve"> </v>
      </c>
      <c r="S316" s="54"/>
    </row>
    <row r="317" spans="1:19" ht="20.100000000000001" customHeight="1" x14ac:dyDescent="0.2">
      <c r="A317" s="127">
        <f>'ALL Other SINs - Proposal'!A317</f>
        <v>0</v>
      </c>
      <c r="B317" s="121">
        <f>'ALL Other SINs - Proposal'!B317</f>
        <v>0</v>
      </c>
      <c r="C317" s="121">
        <f>'ALL Other SINs - Proposal'!C317</f>
        <v>0</v>
      </c>
      <c r="D317" s="121">
        <f>'ALL Other SINs - Proposal'!D317</f>
        <v>0</v>
      </c>
      <c r="E317" s="121">
        <f>'ALL Other SINs - Proposal'!E317</f>
        <v>0</v>
      </c>
      <c r="F317" s="171">
        <f>'ALL Other SINs - Proposal'!F317</f>
        <v>0</v>
      </c>
      <c r="G317" s="51">
        <f>'ALL Other SINs - Proposal'!G317</f>
        <v>0</v>
      </c>
      <c r="H317" s="125">
        <f>'ALL Other SINs - Proposal'!H317</f>
        <v>0</v>
      </c>
      <c r="I317" s="125">
        <f>'ALL Other SINs - Proposal'!I317</f>
        <v>0</v>
      </c>
      <c r="J317" s="125">
        <f>'ALL Other SINs - Proposal'!J317</f>
        <v>0</v>
      </c>
      <c r="K317" s="125">
        <f>'ALL Other SINs - Proposal'!K317</f>
        <v>0</v>
      </c>
      <c r="L317" s="125">
        <f>'ALL Other SINs - Proposal'!L317</f>
        <v>0</v>
      </c>
      <c r="M317" s="206">
        <f>'ALL Other SINs - Proposal'!M317</f>
        <v>0</v>
      </c>
      <c r="N317" s="251">
        <f>'ALL Other SINs - Proposal'!V317</f>
        <v>0</v>
      </c>
      <c r="O317" s="201" t="str">
        <f>'Price Analysis'!N317</f>
        <v xml:space="preserve"> </v>
      </c>
      <c r="P317" s="53" t="str">
        <f>IF(ISBLANK('ALL Other SINs - Proposal'!AA317)," ",'ALL Other SINs - Proposal'!AA317)</f>
        <v xml:space="preserve"> </v>
      </c>
      <c r="Q317" s="95" t="str">
        <f>'ALL Other SINs - Proposal'!AC317</f>
        <v xml:space="preserve"> </v>
      </c>
      <c r="R317" s="100" t="str">
        <f>IF(ISBLANK('ALL Other SINs - Proposal'!AA317)," ",ROUND(Q317,2))</f>
        <v xml:space="preserve"> </v>
      </c>
      <c r="S317" s="54"/>
    </row>
    <row r="318" spans="1:19" ht="20.100000000000001" customHeight="1" x14ac:dyDescent="0.2">
      <c r="A318" s="127">
        <f>'ALL Other SINs - Proposal'!A318</f>
        <v>0</v>
      </c>
      <c r="B318" s="121">
        <f>'ALL Other SINs - Proposal'!B318</f>
        <v>0</v>
      </c>
      <c r="C318" s="121">
        <f>'ALL Other SINs - Proposal'!C318</f>
        <v>0</v>
      </c>
      <c r="D318" s="121">
        <f>'ALL Other SINs - Proposal'!D318</f>
        <v>0</v>
      </c>
      <c r="E318" s="121">
        <f>'ALL Other SINs - Proposal'!E318</f>
        <v>0</v>
      </c>
      <c r="F318" s="171">
        <f>'ALL Other SINs - Proposal'!F318</f>
        <v>0</v>
      </c>
      <c r="G318" s="51">
        <f>'ALL Other SINs - Proposal'!G318</f>
        <v>0</v>
      </c>
      <c r="H318" s="125">
        <f>'ALL Other SINs - Proposal'!H318</f>
        <v>0</v>
      </c>
      <c r="I318" s="125">
        <f>'ALL Other SINs - Proposal'!I318</f>
        <v>0</v>
      </c>
      <c r="J318" s="125">
        <f>'ALL Other SINs - Proposal'!J318</f>
        <v>0</v>
      </c>
      <c r="K318" s="125">
        <f>'ALL Other SINs - Proposal'!K318</f>
        <v>0</v>
      </c>
      <c r="L318" s="125">
        <f>'ALL Other SINs - Proposal'!L318</f>
        <v>0</v>
      </c>
      <c r="M318" s="206">
        <f>'ALL Other SINs - Proposal'!M318</f>
        <v>0</v>
      </c>
      <c r="N318" s="251">
        <f>'ALL Other SINs - Proposal'!V318</f>
        <v>0</v>
      </c>
      <c r="O318" s="201" t="str">
        <f>'Price Analysis'!N318</f>
        <v xml:space="preserve"> </v>
      </c>
      <c r="P318" s="53" t="str">
        <f>IF(ISBLANK('ALL Other SINs - Proposal'!AA318)," ",'ALL Other SINs - Proposal'!AA318)</f>
        <v xml:space="preserve"> </v>
      </c>
      <c r="Q318" s="95" t="str">
        <f>'ALL Other SINs - Proposal'!AC318</f>
        <v xml:space="preserve"> </v>
      </c>
      <c r="R318" s="100" t="str">
        <f>IF(ISBLANK('ALL Other SINs - Proposal'!AA318)," ",ROUND(Q318,2))</f>
        <v xml:space="preserve"> </v>
      </c>
      <c r="S318" s="54"/>
    </row>
    <row r="319" spans="1:19" ht="20.100000000000001" customHeight="1" x14ac:dyDescent="0.2">
      <c r="A319" s="127">
        <f>'ALL Other SINs - Proposal'!A319</f>
        <v>0</v>
      </c>
      <c r="B319" s="121">
        <f>'ALL Other SINs - Proposal'!B319</f>
        <v>0</v>
      </c>
      <c r="C319" s="121">
        <f>'ALL Other SINs - Proposal'!C319</f>
        <v>0</v>
      </c>
      <c r="D319" s="121">
        <f>'ALL Other SINs - Proposal'!D319</f>
        <v>0</v>
      </c>
      <c r="E319" s="121">
        <f>'ALL Other SINs - Proposal'!E319</f>
        <v>0</v>
      </c>
      <c r="F319" s="171">
        <f>'ALL Other SINs - Proposal'!F319</f>
        <v>0</v>
      </c>
      <c r="G319" s="51">
        <f>'ALL Other SINs - Proposal'!G319</f>
        <v>0</v>
      </c>
      <c r="H319" s="125">
        <f>'ALL Other SINs - Proposal'!H319</f>
        <v>0</v>
      </c>
      <c r="I319" s="125">
        <f>'ALL Other SINs - Proposal'!I319</f>
        <v>0</v>
      </c>
      <c r="J319" s="125">
        <f>'ALL Other SINs - Proposal'!J319</f>
        <v>0</v>
      </c>
      <c r="K319" s="125">
        <f>'ALL Other SINs - Proposal'!K319</f>
        <v>0</v>
      </c>
      <c r="L319" s="125">
        <f>'ALL Other SINs - Proposal'!L319</f>
        <v>0</v>
      </c>
      <c r="M319" s="206">
        <f>'ALL Other SINs - Proposal'!M319</f>
        <v>0</v>
      </c>
      <c r="N319" s="251">
        <f>'ALL Other SINs - Proposal'!V319</f>
        <v>0</v>
      </c>
      <c r="O319" s="201" t="str">
        <f>'Price Analysis'!N319</f>
        <v xml:space="preserve"> </v>
      </c>
      <c r="P319" s="53" t="str">
        <f>IF(ISBLANK('ALL Other SINs - Proposal'!AA319)," ",'ALL Other SINs - Proposal'!AA319)</f>
        <v xml:space="preserve"> </v>
      </c>
      <c r="Q319" s="95" t="str">
        <f>'ALL Other SINs - Proposal'!AC319</f>
        <v xml:space="preserve"> </v>
      </c>
      <c r="R319" s="100" t="str">
        <f>IF(ISBLANK('ALL Other SINs - Proposal'!AA319)," ",ROUND(Q319,2))</f>
        <v xml:space="preserve"> </v>
      </c>
      <c r="S319" s="54"/>
    </row>
    <row r="320" spans="1:19" ht="20.100000000000001" customHeight="1" x14ac:dyDescent="0.2">
      <c r="A320" s="127">
        <f>'ALL Other SINs - Proposal'!A320</f>
        <v>0</v>
      </c>
      <c r="B320" s="121">
        <f>'ALL Other SINs - Proposal'!B320</f>
        <v>0</v>
      </c>
      <c r="C320" s="121">
        <f>'ALL Other SINs - Proposal'!C320</f>
        <v>0</v>
      </c>
      <c r="D320" s="121">
        <f>'ALL Other SINs - Proposal'!D320</f>
        <v>0</v>
      </c>
      <c r="E320" s="121">
        <f>'ALL Other SINs - Proposal'!E320</f>
        <v>0</v>
      </c>
      <c r="F320" s="171">
        <f>'ALL Other SINs - Proposal'!F320</f>
        <v>0</v>
      </c>
      <c r="G320" s="51">
        <f>'ALL Other SINs - Proposal'!G320</f>
        <v>0</v>
      </c>
      <c r="H320" s="125">
        <f>'ALL Other SINs - Proposal'!H320</f>
        <v>0</v>
      </c>
      <c r="I320" s="125">
        <f>'ALL Other SINs - Proposal'!I320</f>
        <v>0</v>
      </c>
      <c r="J320" s="125">
        <f>'ALL Other SINs - Proposal'!J320</f>
        <v>0</v>
      </c>
      <c r="K320" s="125">
        <f>'ALL Other SINs - Proposal'!K320</f>
        <v>0</v>
      </c>
      <c r="L320" s="125">
        <f>'ALL Other SINs - Proposal'!L320</f>
        <v>0</v>
      </c>
      <c r="M320" s="206">
        <f>'ALL Other SINs - Proposal'!M320</f>
        <v>0</v>
      </c>
      <c r="N320" s="251">
        <f>'ALL Other SINs - Proposal'!V320</f>
        <v>0</v>
      </c>
      <c r="O320" s="201" t="str">
        <f>'Price Analysis'!N320</f>
        <v xml:space="preserve"> </v>
      </c>
      <c r="P320" s="53" t="str">
        <f>IF(ISBLANK('ALL Other SINs - Proposal'!AA320)," ",'ALL Other SINs - Proposal'!AA320)</f>
        <v xml:space="preserve"> </v>
      </c>
      <c r="Q320" s="95" t="str">
        <f>'ALL Other SINs - Proposal'!AC320</f>
        <v xml:space="preserve"> </v>
      </c>
      <c r="R320" s="100" t="str">
        <f>IF(ISBLANK('ALL Other SINs - Proposal'!AA320)," ",ROUND(Q320,2))</f>
        <v xml:space="preserve"> </v>
      </c>
      <c r="S320" s="54"/>
    </row>
    <row r="321" spans="1:19" ht="20.100000000000001" customHeight="1" x14ac:dyDescent="0.2">
      <c r="A321" s="127">
        <f>'ALL Other SINs - Proposal'!A321</f>
        <v>0</v>
      </c>
      <c r="B321" s="121">
        <f>'ALL Other SINs - Proposal'!B321</f>
        <v>0</v>
      </c>
      <c r="C321" s="121">
        <f>'ALL Other SINs - Proposal'!C321</f>
        <v>0</v>
      </c>
      <c r="D321" s="121">
        <f>'ALL Other SINs - Proposal'!D321</f>
        <v>0</v>
      </c>
      <c r="E321" s="121">
        <f>'ALL Other SINs - Proposal'!E321</f>
        <v>0</v>
      </c>
      <c r="F321" s="171">
        <f>'ALL Other SINs - Proposal'!F321</f>
        <v>0</v>
      </c>
      <c r="G321" s="51">
        <f>'ALL Other SINs - Proposal'!G321</f>
        <v>0</v>
      </c>
      <c r="H321" s="125">
        <f>'ALL Other SINs - Proposal'!H321</f>
        <v>0</v>
      </c>
      <c r="I321" s="125">
        <f>'ALL Other SINs - Proposal'!I321</f>
        <v>0</v>
      </c>
      <c r="J321" s="125">
        <f>'ALL Other SINs - Proposal'!J321</f>
        <v>0</v>
      </c>
      <c r="K321" s="125">
        <f>'ALL Other SINs - Proposal'!K321</f>
        <v>0</v>
      </c>
      <c r="L321" s="125">
        <f>'ALL Other SINs - Proposal'!L321</f>
        <v>0</v>
      </c>
      <c r="M321" s="206">
        <f>'ALL Other SINs - Proposal'!M321</f>
        <v>0</v>
      </c>
      <c r="N321" s="251">
        <f>'ALL Other SINs - Proposal'!V321</f>
        <v>0</v>
      </c>
      <c r="O321" s="201" t="str">
        <f>'Price Analysis'!N321</f>
        <v xml:space="preserve"> </v>
      </c>
      <c r="P321" s="53" t="str">
        <f>IF(ISBLANK('ALL Other SINs - Proposal'!AA321)," ",'ALL Other SINs - Proposal'!AA321)</f>
        <v xml:space="preserve"> </v>
      </c>
      <c r="Q321" s="95" t="str">
        <f>'ALL Other SINs - Proposal'!AC321</f>
        <v xml:space="preserve"> </v>
      </c>
      <c r="R321" s="100" t="str">
        <f>IF(ISBLANK('ALL Other SINs - Proposal'!AA321)," ",ROUND(Q321,2))</f>
        <v xml:space="preserve"> </v>
      </c>
      <c r="S321" s="54"/>
    </row>
    <row r="322" spans="1:19" ht="20.100000000000001" customHeight="1" x14ac:dyDescent="0.2">
      <c r="A322" s="127">
        <f>'ALL Other SINs - Proposal'!A322</f>
        <v>0</v>
      </c>
      <c r="B322" s="121">
        <f>'ALL Other SINs - Proposal'!B322</f>
        <v>0</v>
      </c>
      <c r="C322" s="121">
        <f>'ALL Other SINs - Proposal'!C322</f>
        <v>0</v>
      </c>
      <c r="D322" s="121">
        <f>'ALL Other SINs - Proposal'!D322</f>
        <v>0</v>
      </c>
      <c r="E322" s="121">
        <f>'ALL Other SINs - Proposal'!E322</f>
        <v>0</v>
      </c>
      <c r="F322" s="171">
        <f>'ALL Other SINs - Proposal'!F322</f>
        <v>0</v>
      </c>
      <c r="G322" s="51">
        <f>'ALL Other SINs - Proposal'!G322</f>
        <v>0</v>
      </c>
      <c r="H322" s="125">
        <f>'ALL Other SINs - Proposal'!H322</f>
        <v>0</v>
      </c>
      <c r="I322" s="125">
        <f>'ALL Other SINs - Proposal'!I322</f>
        <v>0</v>
      </c>
      <c r="J322" s="125">
        <f>'ALL Other SINs - Proposal'!J322</f>
        <v>0</v>
      </c>
      <c r="K322" s="125">
        <f>'ALL Other SINs - Proposal'!K322</f>
        <v>0</v>
      </c>
      <c r="L322" s="125">
        <f>'ALL Other SINs - Proposal'!L322</f>
        <v>0</v>
      </c>
      <c r="M322" s="206">
        <f>'ALL Other SINs - Proposal'!M322</f>
        <v>0</v>
      </c>
      <c r="N322" s="251">
        <f>'ALL Other SINs - Proposal'!V322</f>
        <v>0</v>
      </c>
      <c r="O322" s="201" t="str">
        <f>'Price Analysis'!N322</f>
        <v xml:space="preserve"> </v>
      </c>
      <c r="P322" s="53" t="str">
        <f>IF(ISBLANK('ALL Other SINs - Proposal'!AA322)," ",'ALL Other SINs - Proposal'!AA322)</f>
        <v xml:space="preserve"> </v>
      </c>
      <c r="Q322" s="95" t="str">
        <f>'ALL Other SINs - Proposal'!AC322</f>
        <v xml:space="preserve"> </v>
      </c>
      <c r="R322" s="100" t="str">
        <f>IF(ISBLANK('ALL Other SINs - Proposal'!AA322)," ",ROUND(Q322,2))</f>
        <v xml:space="preserve"> </v>
      </c>
      <c r="S322" s="54"/>
    </row>
    <row r="323" spans="1:19" ht="20.100000000000001" customHeight="1" x14ac:dyDescent="0.2">
      <c r="A323" s="127">
        <f>'ALL Other SINs - Proposal'!A323</f>
        <v>0</v>
      </c>
      <c r="B323" s="121">
        <f>'ALL Other SINs - Proposal'!B323</f>
        <v>0</v>
      </c>
      <c r="C323" s="121">
        <f>'ALL Other SINs - Proposal'!C323</f>
        <v>0</v>
      </c>
      <c r="D323" s="121">
        <f>'ALL Other SINs - Proposal'!D323</f>
        <v>0</v>
      </c>
      <c r="E323" s="121">
        <f>'ALL Other SINs - Proposal'!E323</f>
        <v>0</v>
      </c>
      <c r="F323" s="171">
        <f>'ALL Other SINs - Proposal'!F323</f>
        <v>0</v>
      </c>
      <c r="G323" s="51">
        <f>'ALL Other SINs - Proposal'!G323</f>
        <v>0</v>
      </c>
      <c r="H323" s="125">
        <f>'ALL Other SINs - Proposal'!H323</f>
        <v>0</v>
      </c>
      <c r="I323" s="125">
        <f>'ALL Other SINs - Proposal'!I323</f>
        <v>0</v>
      </c>
      <c r="J323" s="125">
        <f>'ALL Other SINs - Proposal'!J323</f>
        <v>0</v>
      </c>
      <c r="K323" s="125">
        <f>'ALL Other SINs - Proposal'!K323</f>
        <v>0</v>
      </c>
      <c r="L323" s="125">
        <f>'ALL Other SINs - Proposal'!L323</f>
        <v>0</v>
      </c>
      <c r="M323" s="206">
        <f>'ALL Other SINs - Proposal'!M323</f>
        <v>0</v>
      </c>
      <c r="N323" s="251">
        <f>'ALL Other SINs - Proposal'!V323</f>
        <v>0</v>
      </c>
      <c r="O323" s="201" t="str">
        <f>'Price Analysis'!N323</f>
        <v xml:space="preserve"> </v>
      </c>
      <c r="P323" s="53" t="str">
        <f>IF(ISBLANK('ALL Other SINs - Proposal'!AA323)," ",'ALL Other SINs - Proposal'!AA323)</f>
        <v xml:space="preserve"> </v>
      </c>
      <c r="Q323" s="95" t="str">
        <f>'ALL Other SINs - Proposal'!AC323</f>
        <v xml:space="preserve"> </v>
      </c>
      <c r="R323" s="100" t="str">
        <f>IF(ISBLANK('ALL Other SINs - Proposal'!AA323)," ",ROUND(Q323,2))</f>
        <v xml:space="preserve"> </v>
      </c>
      <c r="S323" s="54"/>
    </row>
    <row r="324" spans="1:19" ht="20.100000000000001" customHeight="1" x14ac:dyDescent="0.2">
      <c r="A324" s="127">
        <f>'ALL Other SINs - Proposal'!A324</f>
        <v>0</v>
      </c>
      <c r="B324" s="121">
        <f>'ALL Other SINs - Proposal'!B324</f>
        <v>0</v>
      </c>
      <c r="C324" s="121">
        <f>'ALL Other SINs - Proposal'!C324</f>
        <v>0</v>
      </c>
      <c r="D324" s="121">
        <f>'ALL Other SINs - Proposal'!D324</f>
        <v>0</v>
      </c>
      <c r="E324" s="121">
        <f>'ALL Other SINs - Proposal'!E324</f>
        <v>0</v>
      </c>
      <c r="F324" s="171">
        <f>'ALL Other SINs - Proposal'!F324</f>
        <v>0</v>
      </c>
      <c r="G324" s="51">
        <f>'ALL Other SINs - Proposal'!G324</f>
        <v>0</v>
      </c>
      <c r="H324" s="125">
        <f>'ALL Other SINs - Proposal'!H324</f>
        <v>0</v>
      </c>
      <c r="I324" s="125">
        <f>'ALL Other SINs - Proposal'!I324</f>
        <v>0</v>
      </c>
      <c r="J324" s="125">
        <f>'ALL Other SINs - Proposal'!J324</f>
        <v>0</v>
      </c>
      <c r="K324" s="125">
        <f>'ALL Other SINs - Proposal'!K324</f>
        <v>0</v>
      </c>
      <c r="L324" s="125">
        <f>'ALL Other SINs - Proposal'!L324</f>
        <v>0</v>
      </c>
      <c r="M324" s="206">
        <f>'ALL Other SINs - Proposal'!M324</f>
        <v>0</v>
      </c>
      <c r="N324" s="251">
        <f>'ALL Other SINs - Proposal'!V324</f>
        <v>0</v>
      </c>
      <c r="O324" s="201" t="str">
        <f>'Price Analysis'!N324</f>
        <v xml:space="preserve"> </v>
      </c>
      <c r="P324" s="53" t="str">
        <f>IF(ISBLANK('ALL Other SINs - Proposal'!AA324)," ",'ALL Other SINs - Proposal'!AA324)</f>
        <v xml:space="preserve"> </v>
      </c>
      <c r="Q324" s="95" t="str">
        <f>'ALL Other SINs - Proposal'!AC324</f>
        <v xml:space="preserve"> </v>
      </c>
      <c r="R324" s="100" t="str">
        <f>IF(ISBLANK('ALL Other SINs - Proposal'!AA324)," ",ROUND(Q324,2))</f>
        <v xml:space="preserve"> </v>
      </c>
      <c r="S324" s="54"/>
    </row>
    <row r="325" spans="1:19" ht="20.100000000000001" customHeight="1" x14ac:dyDescent="0.2">
      <c r="A325" s="127">
        <f>'ALL Other SINs - Proposal'!A325</f>
        <v>0</v>
      </c>
      <c r="B325" s="121">
        <f>'ALL Other SINs - Proposal'!B325</f>
        <v>0</v>
      </c>
      <c r="C325" s="121">
        <f>'ALL Other SINs - Proposal'!C325</f>
        <v>0</v>
      </c>
      <c r="D325" s="121">
        <f>'ALL Other SINs - Proposal'!D325</f>
        <v>0</v>
      </c>
      <c r="E325" s="121">
        <f>'ALL Other SINs - Proposal'!E325</f>
        <v>0</v>
      </c>
      <c r="F325" s="171">
        <f>'ALL Other SINs - Proposal'!F325</f>
        <v>0</v>
      </c>
      <c r="G325" s="51">
        <f>'ALL Other SINs - Proposal'!G325</f>
        <v>0</v>
      </c>
      <c r="H325" s="125">
        <f>'ALL Other SINs - Proposal'!H325</f>
        <v>0</v>
      </c>
      <c r="I325" s="125">
        <f>'ALL Other SINs - Proposal'!I325</f>
        <v>0</v>
      </c>
      <c r="J325" s="125">
        <f>'ALL Other SINs - Proposal'!J325</f>
        <v>0</v>
      </c>
      <c r="K325" s="125">
        <f>'ALL Other SINs - Proposal'!K325</f>
        <v>0</v>
      </c>
      <c r="L325" s="125">
        <f>'ALL Other SINs - Proposal'!L325</f>
        <v>0</v>
      </c>
      <c r="M325" s="206">
        <f>'ALL Other SINs - Proposal'!M325</f>
        <v>0</v>
      </c>
      <c r="N325" s="251">
        <f>'ALL Other SINs - Proposal'!V325</f>
        <v>0</v>
      </c>
      <c r="O325" s="201" t="str">
        <f>'Price Analysis'!N325</f>
        <v xml:space="preserve"> </v>
      </c>
      <c r="P325" s="53" t="str">
        <f>IF(ISBLANK('ALL Other SINs - Proposal'!AA325)," ",'ALL Other SINs - Proposal'!AA325)</f>
        <v xml:space="preserve"> </v>
      </c>
      <c r="Q325" s="95" t="str">
        <f>'ALL Other SINs - Proposal'!AC325</f>
        <v xml:space="preserve"> </v>
      </c>
      <c r="R325" s="100" t="str">
        <f>IF(ISBLANK('ALL Other SINs - Proposal'!AA325)," ",ROUND(Q325,2))</f>
        <v xml:space="preserve"> </v>
      </c>
      <c r="S325" s="54"/>
    </row>
    <row r="326" spans="1:19" ht="20.100000000000001" customHeight="1" x14ac:dyDescent="0.2">
      <c r="A326" s="127">
        <f>'ALL Other SINs - Proposal'!A326</f>
        <v>0</v>
      </c>
      <c r="B326" s="121">
        <f>'ALL Other SINs - Proposal'!B326</f>
        <v>0</v>
      </c>
      <c r="C326" s="121">
        <f>'ALL Other SINs - Proposal'!C326</f>
        <v>0</v>
      </c>
      <c r="D326" s="121">
        <f>'ALL Other SINs - Proposal'!D326</f>
        <v>0</v>
      </c>
      <c r="E326" s="121">
        <f>'ALL Other SINs - Proposal'!E326</f>
        <v>0</v>
      </c>
      <c r="F326" s="171">
        <f>'ALL Other SINs - Proposal'!F326</f>
        <v>0</v>
      </c>
      <c r="G326" s="51">
        <f>'ALL Other SINs - Proposal'!G326</f>
        <v>0</v>
      </c>
      <c r="H326" s="125">
        <f>'ALL Other SINs - Proposal'!H326</f>
        <v>0</v>
      </c>
      <c r="I326" s="125">
        <f>'ALL Other SINs - Proposal'!I326</f>
        <v>0</v>
      </c>
      <c r="J326" s="125">
        <f>'ALL Other SINs - Proposal'!J326</f>
        <v>0</v>
      </c>
      <c r="K326" s="125">
        <f>'ALL Other SINs - Proposal'!K326</f>
        <v>0</v>
      </c>
      <c r="L326" s="125">
        <f>'ALL Other SINs - Proposal'!L326</f>
        <v>0</v>
      </c>
      <c r="M326" s="206">
        <f>'ALL Other SINs - Proposal'!M326</f>
        <v>0</v>
      </c>
      <c r="N326" s="251">
        <f>'ALL Other SINs - Proposal'!V326</f>
        <v>0</v>
      </c>
      <c r="O326" s="201" t="str">
        <f>'Price Analysis'!N326</f>
        <v xml:space="preserve"> </v>
      </c>
      <c r="P326" s="53" t="str">
        <f>IF(ISBLANK('ALL Other SINs - Proposal'!AA326)," ",'ALL Other SINs - Proposal'!AA326)</f>
        <v xml:space="preserve"> </v>
      </c>
      <c r="Q326" s="95" t="str">
        <f>'ALL Other SINs - Proposal'!AC326</f>
        <v xml:space="preserve"> </v>
      </c>
      <c r="R326" s="100" t="str">
        <f>IF(ISBLANK('ALL Other SINs - Proposal'!AA326)," ",ROUND(Q326,2))</f>
        <v xml:space="preserve"> </v>
      </c>
      <c r="S326" s="54"/>
    </row>
    <row r="327" spans="1:19" ht="20.100000000000001" customHeight="1" x14ac:dyDescent="0.2">
      <c r="A327" s="127">
        <f>'ALL Other SINs - Proposal'!A327</f>
        <v>0</v>
      </c>
      <c r="B327" s="121">
        <f>'ALL Other SINs - Proposal'!B327</f>
        <v>0</v>
      </c>
      <c r="C327" s="121">
        <f>'ALL Other SINs - Proposal'!C327</f>
        <v>0</v>
      </c>
      <c r="D327" s="121">
        <f>'ALL Other SINs - Proposal'!D327</f>
        <v>0</v>
      </c>
      <c r="E327" s="121">
        <f>'ALL Other SINs - Proposal'!E327</f>
        <v>0</v>
      </c>
      <c r="F327" s="171">
        <f>'ALL Other SINs - Proposal'!F327</f>
        <v>0</v>
      </c>
      <c r="G327" s="51">
        <f>'ALL Other SINs - Proposal'!G327</f>
        <v>0</v>
      </c>
      <c r="H327" s="125">
        <f>'ALL Other SINs - Proposal'!H327</f>
        <v>0</v>
      </c>
      <c r="I327" s="125">
        <f>'ALL Other SINs - Proposal'!I327</f>
        <v>0</v>
      </c>
      <c r="J327" s="125">
        <f>'ALL Other SINs - Proposal'!J327</f>
        <v>0</v>
      </c>
      <c r="K327" s="125">
        <f>'ALL Other SINs - Proposal'!K327</f>
        <v>0</v>
      </c>
      <c r="L327" s="125">
        <f>'ALL Other SINs - Proposal'!L327</f>
        <v>0</v>
      </c>
      <c r="M327" s="206">
        <f>'ALL Other SINs - Proposal'!M327</f>
        <v>0</v>
      </c>
      <c r="N327" s="251">
        <f>'ALL Other SINs - Proposal'!V327</f>
        <v>0</v>
      </c>
      <c r="O327" s="201" t="str">
        <f>'Price Analysis'!N327</f>
        <v xml:space="preserve"> </v>
      </c>
      <c r="P327" s="53" t="str">
        <f>IF(ISBLANK('ALL Other SINs - Proposal'!AA327)," ",'ALL Other SINs - Proposal'!AA327)</f>
        <v xml:space="preserve"> </v>
      </c>
      <c r="Q327" s="95" t="str">
        <f>'ALL Other SINs - Proposal'!AC327</f>
        <v xml:space="preserve"> </v>
      </c>
      <c r="R327" s="100" t="str">
        <f>IF(ISBLANK('ALL Other SINs - Proposal'!AA327)," ",ROUND(Q327,2))</f>
        <v xml:space="preserve"> </v>
      </c>
      <c r="S327" s="54"/>
    </row>
    <row r="328" spans="1:19" ht="20.100000000000001" customHeight="1" x14ac:dyDescent="0.2">
      <c r="A328" s="127">
        <f>'ALL Other SINs - Proposal'!A328</f>
        <v>0</v>
      </c>
      <c r="B328" s="121">
        <f>'ALL Other SINs - Proposal'!B328</f>
        <v>0</v>
      </c>
      <c r="C328" s="121">
        <f>'ALL Other SINs - Proposal'!C328</f>
        <v>0</v>
      </c>
      <c r="D328" s="121">
        <f>'ALL Other SINs - Proposal'!D328</f>
        <v>0</v>
      </c>
      <c r="E328" s="121">
        <f>'ALL Other SINs - Proposal'!E328</f>
        <v>0</v>
      </c>
      <c r="F328" s="171">
        <f>'ALL Other SINs - Proposal'!F328</f>
        <v>0</v>
      </c>
      <c r="G328" s="51">
        <f>'ALL Other SINs - Proposal'!G328</f>
        <v>0</v>
      </c>
      <c r="H328" s="125">
        <f>'ALL Other SINs - Proposal'!H328</f>
        <v>0</v>
      </c>
      <c r="I328" s="125">
        <f>'ALL Other SINs - Proposal'!I328</f>
        <v>0</v>
      </c>
      <c r="J328" s="125">
        <f>'ALL Other SINs - Proposal'!J328</f>
        <v>0</v>
      </c>
      <c r="K328" s="125">
        <f>'ALL Other SINs - Proposal'!K328</f>
        <v>0</v>
      </c>
      <c r="L328" s="125">
        <f>'ALL Other SINs - Proposal'!L328</f>
        <v>0</v>
      </c>
      <c r="M328" s="206">
        <f>'ALL Other SINs - Proposal'!M328</f>
        <v>0</v>
      </c>
      <c r="N328" s="251">
        <f>'ALL Other SINs - Proposal'!V328</f>
        <v>0</v>
      </c>
      <c r="O328" s="201" t="str">
        <f>'Price Analysis'!N328</f>
        <v xml:space="preserve"> </v>
      </c>
      <c r="P328" s="53" t="str">
        <f>IF(ISBLANK('ALL Other SINs - Proposal'!AA328)," ",'ALL Other SINs - Proposal'!AA328)</f>
        <v xml:space="preserve"> </v>
      </c>
      <c r="Q328" s="95" t="str">
        <f>'ALL Other SINs - Proposal'!AC328</f>
        <v xml:space="preserve"> </v>
      </c>
      <c r="R328" s="100" t="str">
        <f>IF(ISBLANK('ALL Other SINs - Proposal'!AA328)," ",ROUND(Q328,2))</f>
        <v xml:space="preserve"> </v>
      </c>
      <c r="S328" s="54"/>
    </row>
    <row r="329" spans="1:19" ht="20.100000000000001" customHeight="1" x14ac:dyDescent="0.2">
      <c r="A329" s="127">
        <f>'ALL Other SINs - Proposal'!A329</f>
        <v>0</v>
      </c>
      <c r="B329" s="121">
        <f>'ALL Other SINs - Proposal'!B329</f>
        <v>0</v>
      </c>
      <c r="C329" s="121">
        <f>'ALL Other SINs - Proposal'!C329</f>
        <v>0</v>
      </c>
      <c r="D329" s="121">
        <f>'ALL Other SINs - Proposal'!D329</f>
        <v>0</v>
      </c>
      <c r="E329" s="121">
        <f>'ALL Other SINs - Proposal'!E329</f>
        <v>0</v>
      </c>
      <c r="F329" s="171">
        <f>'ALL Other SINs - Proposal'!F329</f>
        <v>0</v>
      </c>
      <c r="G329" s="51">
        <f>'ALL Other SINs - Proposal'!G329</f>
        <v>0</v>
      </c>
      <c r="H329" s="125">
        <f>'ALL Other SINs - Proposal'!H329</f>
        <v>0</v>
      </c>
      <c r="I329" s="125">
        <f>'ALL Other SINs - Proposal'!I329</f>
        <v>0</v>
      </c>
      <c r="J329" s="125">
        <f>'ALL Other SINs - Proposal'!J329</f>
        <v>0</v>
      </c>
      <c r="K329" s="125">
        <f>'ALL Other SINs - Proposal'!K329</f>
        <v>0</v>
      </c>
      <c r="L329" s="125">
        <f>'ALL Other SINs - Proposal'!L329</f>
        <v>0</v>
      </c>
      <c r="M329" s="206">
        <f>'ALL Other SINs - Proposal'!M329</f>
        <v>0</v>
      </c>
      <c r="N329" s="251">
        <f>'ALL Other SINs - Proposal'!V329</f>
        <v>0</v>
      </c>
      <c r="O329" s="201" t="str">
        <f>'Price Analysis'!N329</f>
        <v xml:space="preserve"> </v>
      </c>
      <c r="P329" s="53" t="str">
        <f>IF(ISBLANK('ALL Other SINs - Proposal'!AA329)," ",'ALL Other SINs - Proposal'!AA329)</f>
        <v xml:space="preserve"> </v>
      </c>
      <c r="Q329" s="95" t="str">
        <f>'ALL Other SINs - Proposal'!AC329</f>
        <v xml:space="preserve"> </v>
      </c>
      <c r="R329" s="100" t="str">
        <f>IF(ISBLANK('ALL Other SINs - Proposal'!AA329)," ",ROUND(Q329,2))</f>
        <v xml:space="preserve"> </v>
      </c>
      <c r="S329" s="54"/>
    </row>
    <row r="330" spans="1:19" ht="20.100000000000001" customHeight="1" x14ac:dyDescent="0.2">
      <c r="A330" s="127">
        <f>'ALL Other SINs - Proposal'!A330</f>
        <v>0</v>
      </c>
      <c r="B330" s="121">
        <f>'ALL Other SINs - Proposal'!B330</f>
        <v>0</v>
      </c>
      <c r="C330" s="121">
        <f>'ALL Other SINs - Proposal'!C330</f>
        <v>0</v>
      </c>
      <c r="D330" s="121">
        <f>'ALL Other SINs - Proposal'!D330</f>
        <v>0</v>
      </c>
      <c r="E330" s="121">
        <f>'ALL Other SINs - Proposal'!E330</f>
        <v>0</v>
      </c>
      <c r="F330" s="171">
        <f>'ALL Other SINs - Proposal'!F330</f>
        <v>0</v>
      </c>
      <c r="G330" s="51">
        <f>'ALL Other SINs - Proposal'!G330</f>
        <v>0</v>
      </c>
      <c r="H330" s="125">
        <f>'ALL Other SINs - Proposal'!H330</f>
        <v>0</v>
      </c>
      <c r="I330" s="125">
        <f>'ALL Other SINs - Proposal'!I330</f>
        <v>0</v>
      </c>
      <c r="J330" s="125">
        <f>'ALL Other SINs - Proposal'!J330</f>
        <v>0</v>
      </c>
      <c r="K330" s="125">
        <f>'ALL Other SINs - Proposal'!K330</f>
        <v>0</v>
      </c>
      <c r="L330" s="125">
        <f>'ALL Other SINs - Proposal'!L330</f>
        <v>0</v>
      </c>
      <c r="M330" s="206">
        <f>'ALL Other SINs - Proposal'!M330</f>
        <v>0</v>
      </c>
      <c r="N330" s="251">
        <f>'ALL Other SINs - Proposal'!V330</f>
        <v>0</v>
      </c>
      <c r="O330" s="201" t="str">
        <f>'Price Analysis'!N330</f>
        <v xml:space="preserve"> </v>
      </c>
      <c r="P330" s="53" t="str">
        <f>IF(ISBLANK('ALL Other SINs - Proposal'!AA330)," ",'ALL Other SINs - Proposal'!AA330)</f>
        <v xml:space="preserve"> </v>
      </c>
      <c r="Q330" s="95" t="str">
        <f>'ALL Other SINs - Proposal'!AC330</f>
        <v xml:space="preserve"> </v>
      </c>
      <c r="R330" s="100" t="str">
        <f>IF(ISBLANK('ALL Other SINs - Proposal'!AA330)," ",ROUND(Q330,2))</f>
        <v xml:space="preserve"> </v>
      </c>
      <c r="S330" s="54"/>
    </row>
    <row r="331" spans="1:19" ht="20.100000000000001" customHeight="1" x14ac:dyDescent="0.2">
      <c r="A331" s="127">
        <f>'ALL Other SINs - Proposal'!A331</f>
        <v>0</v>
      </c>
      <c r="B331" s="121">
        <f>'ALL Other SINs - Proposal'!B331</f>
        <v>0</v>
      </c>
      <c r="C331" s="121">
        <f>'ALL Other SINs - Proposal'!C331</f>
        <v>0</v>
      </c>
      <c r="D331" s="121">
        <f>'ALL Other SINs - Proposal'!D331</f>
        <v>0</v>
      </c>
      <c r="E331" s="121">
        <f>'ALL Other SINs - Proposal'!E331</f>
        <v>0</v>
      </c>
      <c r="F331" s="171">
        <f>'ALL Other SINs - Proposal'!F331</f>
        <v>0</v>
      </c>
      <c r="G331" s="51">
        <f>'ALL Other SINs - Proposal'!G331</f>
        <v>0</v>
      </c>
      <c r="H331" s="125">
        <f>'ALL Other SINs - Proposal'!H331</f>
        <v>0</v>
      </c>
      <c r="I331" s="125">
        <f>'ALL Other SINs - Proposal'!I331</f>
        <v>0</v>
      </c>
      <c r="J331" s="125">
        <f>'ALL Other SINs - Proposal'!J331</f>
        <v>0</v>
      </c>
      <c r="K331" s="125">
        <f>'ALL Other SINs - Proposal'!K331</f>
        <v>0</v>
      </c>
      <c r="L331" s="125">
        <f>'ALL Other SINs - Proposal'!L331</f>
        <v>0</v>
      </c>
      <c r="M331" s="206">
        <f>'ALL Other SINs - Proposal'!M331</f>
        <v>0</v>
      </c>
      <c r="N331" s="251">
        <f>'ALL Other SINs - Proposal'!V331</f>
        <v>0</v>
      </c>
      <c r="O331" s="201" t="str">
        <f>'Price Analysis'!N331</f>
        <v xml:space="preserve"> </v>
      </c>
      <c r="P331" s="53" t="str">
        <f>IF(ISBLANK('ALL Other SINs - Proposal'!AA331)," ",'ALL Other SINs - Proposal'!AA331)</f>
        <v xml:space="preserve"> </v>
      </c>
      <c r="Q331" s="95" t="str">
        <f>'ALL Other SINs - Proposal'!AC331</f>
        <v xml:space="preserve"> </v>
      </c>
      <c r="R331" s="100" t="str">
        <f>IF(ISBLANK('ALL Other SINs - Proposal'!AA331)," ",ROUND(Q331,2))</f>
        <v xml:space="preserve"> </v>
      </c>
      <c r="S331" s="54"/>
    </row>
    <row r="332" spans="1:19" ht="20.100000000000001" customHeight="1" x14ac:dyDescent="0.2">
      <c r="A332" s="127">
        <f>'ALL Other SINs - Proposal'!A332</f>
        <v>0</v>
      </c>
      <c r="B332" s="121">
        <f>'ALL Other SINs - Proposal'!B332</f>
        <v>0</v>
      </c>
      <c r="C332" s="121">
        <f>'ALL Other SINs - Proposal'!C332</f>
        <v>0</v>
      </c>
      <c r="D332" s="121">
        <f>'ALL Other SINs - Proposal'!D332</f>
        <v>0</v>
      </c>
      <c r="E332" s="121">
        <f>'ALL Other SINs - Proposal'!E332</f>
        <v>0</v>
      </c>
      <c r="F332" s="171">
        <f>'ALL Other SINs - Proposal'!F332</f>
        <v>0</v>
      </c>
      <c r="G332" s="51">
        <f>'ALL Other SINs - Proposal'!G332</f>
        <v>0</v>
      </c>
      <c r="H332" s="125">
        <f>'ALL Other SINs - Proposal'!H332</f>
        <v>0</v>
      </c>
      <c r="I332" s="125">
        <f>'ALL Other SINs - Proposal'!I332</f>
        <v>0</v>
      </c>
      <c r="J332" s="125">
        <f>'ALL Other SINs - Proposal'!J332</f>
        <v>0</v>
      </c>
      <c r="K332" s="125">
        <f>'ALL Other SINs - Proposal'!K332</f>
        <v>0</v>
      </c>
      <c r="L332" s="125">
        <f>'ALL Other SINs - Proposal'!L332</f>
        <v>0</v>
      </c>
      <c r="M332" s="206">
        <f>'ALL Other SINs - Proposal'!M332</f>
        <v>0</v>
      </c>
      <c r="N332" s="251">
        <f>'ALL Other SINs - Proposal'!V332</f>
        <v>0</v>
      </c>
      <c r="O332" s="201" t="str">
        <f>'Price Analysis'!N332</f>
        <v xml:space="preserve"> </v>
      </c>
      <c r="P332" s="53" t="str">
        <f>IF(ISBLANK('ALL Other SINs - Proposal'!AA332)," ",'ALL Other SINs - Proposal'!AA332)</f>
        <v xml:space="preserve"> </v>
      </c>
      <c r="Q332" s="95" t="str">
        <f>'ALL Other SINs - Proposal'!AC332</f>
        <v xml:space="preserve"> </v>
      </c>
      <c r="R332" s="100" t="str">
        <f>IF(ISBLANK('ALL Other SINs - Proposal'!AA332)," ",ROUND(Q332,2))</f>
        <v xml:space="preserve"> </v>
      </c>
      <c r="S332" s="54"/>
    </row>
    <row r="333" spans="1:19" ht="20.100000000000001" customHeight="1" x14ac:dyDescent="0.2">
      <c r="A333" s="127">
        <f>'ALL Other SINs - Proposal'!A333</f>
        <v>0</v>
      </c>
      <c r="B333" s="121">
        <f>'ALL Other SINs - Proposal'!B333</f>
        <v>0</v>
      </c>
      <c r="C333" s="121">
        <f>'ALL Other SINs - Proposal'!C333</f>
        <v>0</v>
      </c>
      <c r="D333" s="121">
        <f>'ALL Other SINs - Proposal'!D333</f>
        <v>0</v>
      </c>
      <c r="E333" s="121">
        <f>'ALL Other SINs - Proposal'!E333</f>
        <v>0</v>
      </c>
      <c r="F333" s="171">
        <f>'ALL Other SINs - Proposal'!F333</f>
        <v>0</v>
      </c>
      <c r="G333" s="51">
        <f>'ALL Other SINs - Proposal'!G333</f>
        <v>0</v>
      </c>
      <c r="H333" s="125">
        <f>'ALL Other SINs - Proposal'!H333</f>
        <v>0</v>
      </c>
      <c r="I333" s="125">
        <f>'ALL Other SINs - Proposal'!I333</f>
        <v>0</v>
      </c>
      <c r="J333" s="125">
        <f>'ALL Other SINs - Proposal'!J333</f>
        <v>0</v>
      </c>
      <c r="K333" s="125">
        <f>'ALL Other SINs - Proposal'!K333</f>
        <v>0</v>
      </c>
      <c r="L333" s="125">
        <f>'ALL Other SINs - Proposal'!L333</f>
        <v>0</v>
      </c>
      <c r="M333" s="206">
        <f>'ALL Other SINs - Proposal'!M333</f>
        <v>0</v>
      </c>
      <c r="N333" s="251">
        <f>'ALL Other SINs - Proposal'!V333</f>
        <v>0</v>
      </c>
      <c r="O333" s="201" t="str">
        <f>'Price Analysis'!N333</f>
        <v xml:space="preserve"> </v>
      </c>
      <c r="P333" s="53" t="str">
        <f>IF(ISBLANK('ALL Other SINs - Proposal'!AA333)," ",'ALL Other SINs - Proposal'!AA333)</f>
        <v xml:space="preserve"> </v>
      </c>
      <c r="Q333" s="95" t="str">
        <f>'ALL Other SINs - Proposal'!AC333</f>
        <v xml:space="preserve"> </v>
      </c>
      <c r="R333" s="100" t="str">
        <f>IF(ISBLANK('ALL Other SINs - Proposal'!AA333)," ",ROUND(Q333,2))</f>
        <v xml:space="preserve"> </v>
      </c>
      <c r="S333" s="54"/>
    </row>
    <row r="334" spans="1:19" ht="20.100000000000001" customHeight="1" x14ac:dyDescent="0.2">
      <c r="A334" s="127">
        <f>'ALL Other SINs - Proposal'!A334</f>
        <v>0</v>
      </c>
      <c r="B334" s="121">
        <f>'ALL Other SINs - Proposal'!B334</f>
        <v>0</v>
      </c>
      <c r="C334" s="121">
        <f>'ALL Other SINs - Proposal'!C334</f>
        <v>0</v>
      </c>
      <c r="D334" s="121">
        <f>'ALL Other SINs - Proposal'!D334</f>
        <v>0</v>
      </c>
      <c r="E334" s="121">
        <f>'ALL Other SINs - Proposal'!E334</f>
        <v>0</v>
      </c>
      <c r="F334" s="171">
        <f>'ALL Other SINs - Proposal'!F334</f>
        <v>0</v>
      </c>
      <c r="G334" s="51">
        <f>'ALL Other SINs - Proposal'!G334</f>
        <v>0</v>
      </c>
      <c r="H334" s="125">
        <f>'ALL Other SINs - Proposal'!H334</f>
        <v>0</v>
      </c>
      <c r="I334" s="125">
        <f>'ALL Other SINs - Proposal'!I334</f>
        <v>0</v>
      </c>
      <c r="J334" s="125">
        <f>'ALL Other SINs - Proposal'!J334</f>
        <v>0</v>
      </c>
      <c r="K334" s="125">
        <f>'ALL Other SINs - Proposal'!K334</f>
        <v>0</v>
      </c>
      <c r="L334" s="125">
        <f>'ALL Other SINs - Proposal'!L334</f>
        <v>0</v>
      </c>
      <c r="M334" s="206">
        <f>'ALL Other SINs - Proposal'!M334</f>
        <v>0</v>
      </c>
      <c r="N334" s="251">
        <f>'ALL Other SINs - Proposal'!V334</f>
        <v>0</v>
      </c>
      <c r="O334" s="201" t="str">
        <f>'Price Analysis'!N334</f>
        <v xml:space="preserve"> </v>
      </c>
      <c r="P334" s="53" t="str">
        <f>IF(ISBLANK('ALL Other SINs - Proposal'!AA334)," ",'ALL Other SINs - Proposal'!AA334)</f>
        <v xml:space="preserve"> </v>
      </c>
      <c r="Q334" s="95" t="str">
        <f>'ALL Other SINs - Proposal'!AC334</f>
        <v xml:space="preserve"> </v>
      </c>
      <c r="R334" s="100" t="str">
        <f>IF(ISBLANK('ALL Other SINs - Proposal'!AA334)," ",ROUND(Q334,2))</f>
        <v xml:space="preserve"> </v>
      </c>
      <c r="S334" s="54"/>
    </row>
    <row r="335" spans="1:19" ht="20.100000000000001" customHeight="1" x14ac:dyDescent="0.2">
      <c r="A335" s="127">
        <f>'ALL Other SINs - Proposal'!A335</f>
        <v>0</v>
      </c>
      <c r="B335" s="121">
        <f>'ALL Other SINs - Proposal'!B335</f>
        <v>0</v>
      </c>
      <c r="C335" s="121">
        <f>'ALL Other SINs - Proposal'!C335</f>
        <v>0</v>
      </c>
      <c r="D335" s="121">
        <f>'ALL Other SINs - Proposal'!D335</f>
        <v>0</v>
      </c>
      <c r="E335" s="121">
        <f>'ALL Other SINs - Proposal'!E335</f>
        <v>0</v>
      </c>
      <c r="F335" s="171">
        <f>'ALL Other SINs - Proposal'!F335</f>
        <v>0</v>
      </c>
      <c r="G335" s="51">
        <f>'ALL Other SINs - Proposal'!G335</f>
        <v>0</v>
      </c>
      <c r="H335" s="125">
        <f>'ALL Other SINs - Proposal'!H335</f>
        <v>0</v>
      </c>
      <c r="I335" s="125">
        <f>'ALL Other SINs - Proposal'!I335</f>
        <v>0</v>
      </c>
      <c r="J335" s="125">
        <f>'ALL Other SINs - Proposal'!J335</f>
        <v>0</v>
      </c>
      <c r="K335" s="125">
        <f>'ALL Other SINs - Proposal'!K335</f>
        <v>0</v>
      </c>
      <c r="L335" s="125">
        <f>'ALL Other SINs - Proposal'!L335</f>
        <v>0</v>
      </c>
      <c r="M335" s="206">
        <f>'ALL Other SINs - Proposal'!M335</f>
        <v>0</v>
      </c>
      <c r="N335" s="251">
        <f>'ALL Other SINs - Proposal'!V335</f>
        <v>0</v>
      </c>
      <c r="O335" s="201" t="str">
        <f>'Price Analysis'!N335</f>
        <v xml:space="preserve"> </v>
      </c>
      <c r="P335" s="53" t="str">
        <f>IF(ISBLANK('ALL Other SINs - Proposal'!AA335)," ",'ALL Other SINs - Proposal'!AA335)</f>
        <v xml:space="preserve"> </v>
      </c>
      <c r="Q335" s="95" t="str">
        <f>'ALL Other SINs - Proposal'!AC335</f>
        <v xml:space="preserve"> </v>
      </c>
      <c r="R335" s="100" t="str">
        <f>IF(ISBLANK('ALL Other SINs - Proposal'!AA335)," ",ROUND(Q335,2))</f>
        <v xml:space="preserve"> </v>
      </c>
      <c r="S335" s="54"/>
    </row>
    <row r="336" spans="1:19" ht="20.100000000000001" customHeight="1" x14ac:dyDescent="0.2">
      <c r="A336" s="127">
        <f>'ALL Other SINs - Proposal'!A336</f>
        <v>0</v>
      </c>
      <c r="B336" s="121">
        <f>'ALL Other SINs - Proposal'!B336</f>
        <v>0</v>
      </c>
      <c r="C336" s="121">
        <f>'ALL Other SINs - Proposal'!C336</f>
        <v>0</v>
      </c>
      <c r="D336" s="121">
        <f>'ALL Other SINs - Proposal'!D336</f>
        <v>0</v>
      </c>
      <c r="E336" s="121">
        <f>'ALL Other SINs - Proposal'!E336</f>
        <v>0</v>
      </c>
      <c r="F336" s="171">
        <f>'ALL Other SINs - Proposal'!F336</f>
        <v>0</v>
      </c>
      <c r="G336" s="51">
        <f>'ALL Other SINs - Proposal'!G336</f>
        <v>0</v>
      </c>
      <c r="H336" s="125">
        <f>'ALL Other SINs - Proposal'!H336</f>
        <v>0</v>
      </c>
      <c r="I336" s="125">
        <f>'ALL Other SINs - Proposal'!I336</f>
        <v>0</v>
      </c>
      <c r="J336" s="125">
        <f>'ALL Other SINs - Proposal'!J336</f>
        <v>0</v>
      </c>
      <c r="K336" s="125">
        <f>'ALL Other SINs - Proposal'!K336</f>
        <v>0</v>
      </c>
      <c r="L336" s="125">
        <f>'ALL Other SINs - Proposal'!L336</f>
        <v>0</v>
      </c>
      <c r="M336" s="206">
        <f>'ALL Other SINs - Proposal'!M336</f>
        <v>0</v>
      </c>
      <c r="N336" s="251">
        <f>'ALL Other SINs - Proposal'!V336</f>
        <v>0</v>
      </c>
      <c r="O336" s="201" t="str">
        <f>'Price Analysis'!N336</f>
        <v xml:space="preserve"> </v>
      </c>
      <c r="P336" s="53" t="str">
        <f>IF(ISBLANK('ALL Other SINs - Proposal'!AA336)," ",'ALL Other SINs - Proposal'!AA336)</f>
        <v xml:space="preserve"> </v>
      </c>
      <c r="Q336" s="95" t="str">
        <f>'ALL Other SINs - Proposal'!AC336</f>
        <v xml:space="preserve"> </v>
      </c>
      <c r="R336" s="100" t="str">
        <f>IF(ISBLANK('ALL Other SINs - Proposal'!AA336)," ",ROUND(Q336,2))</f>
        <v xml:space="preserve"> </v>
      </c>
      <c r="S336" s="54"/>
    </row>
    <row r="337" spans="1:19" ht="20.100000000000001" customHeight="1" x14ac:dyDescent="0.2">
      <c r="A337" s="127">
        <f>'ALL Other SINs - Proposal'!A337</f>
        <v>0</v>
      </c>
      <c r="B337" s="121">
        <f>'ALL Other SINs - Proposal'!B337</f>
        <v>0</v>
      </c>
      <c r="C337" s="121">
        <f>'ALL Other SINs - Proposal'!C337</f>
        <v>0</v>
      </c>
      <c r="D337" s="121">
        <f>'ALL Other SINs - Proposal'!D337</f>
        <v>0</v>
      </c>
      <c r="E337" s="121">
        <f>'ALL Other SINs - Proposal'!E337</f>
        <v>0</v>
      </c>
      <c r="F337" s="171">
        <f>'ALL Other SINs - Proposal'!F337</f>
        <v>0</v>
      </c>
      <c r="G337" s="51">
        <f>'ALL Other SINs - Proposal'!G337</f>
        <v>0</v>
      </c>
      <c r="H337" s="125">
        <f>'ALL Other SINs - Proposal'!H337</f>
        <v>0</v>
      </c>
      <c r="I337" s="125">
        <f>'ALL Other SINs - Proposal'!I337</f>
        <v>0</v>
      </c>
      <c r="J337" s="125">
        <f>'ALL Other SINs - Proposal'!J337</f>
        <v>0</v>
      </c>
      <c r="K337" s="125">
        <f>'ALL Other SINs - Proposal'!K337</f>
        <v>0</v>
      </c>
      <c r="L337" s="125">
        <f>'ALL Other SINs - Proposal'!L337</f>
        <v>0</v>
      </c>
      <c r="M337" s="206">
        <f>'ALL Other SINs - Proposal'!M337</f>
        <v>0</v>
      </c>
      <c r="N337" s="251">
        <f>'ALL Other SINs - Proposal'!V337</f>
        <v>0</v>
      </c>
      <c r="O337" s="201" t="str">
        <f>'Price Analysis'!N337</f>
        <v xml:space="preserve"> </v>
      </c>
      <c r="P337" s="53" t="str">
        <f>IF(ISBLANK('ALL Other SINs - Proposal'!AA337)," ",'ALL Other SINs - Proposal'!AA337)</f>
        <v xml:space="preserve"> </v>
      </c>
      <c r="Q337" s="95" t="str">
        <f>'ALL Other SINs - Proposal'!AC337</f>
        <v xml:space="preserve"> </v>
      </c>
      <c r="R337" s="100" t="str">
        <f>IF(ISBLANK('ALL Other SINs - Proposal'!AA337)," ",ROUND(Q337,2))</f>
        <v xml:space="preserve"> </v>
      </c>
      <c r="S337" s="54"/>
    </row>
    <row r="338" spans="1:19" ht="20.100000000000001" customHeight="1" x14ac:dyDescent="0.2">
      <c r="A338" s="127">
        <f>'ALL Other SINs - Proposal'!A338</f>
        <v>0</v>
      </c>
      <c r="B338" s="121">
        <f>'ALL Other SINs - Proposal'!B338</f>
        <v>0</v>
      </c>
      <c r="C338" s="121">
        <f>'ALL Other SINs - Proposal'!C338</f>
        <v>0</v>
      </c>
      <c r="D338" s="121">
        <f>'ALL Other SINs - Proposal'!D338</f>
        <v>0</v>
      </c>
      <c r="E338" s="121">
        <f>'ALL Other SINs - Proposal'!E338</f>
        <v>0</v>
      </c>
      <c r="F338" s="171">
        <f>'ALL Other SINs - Proposal'!F338</f>
        <v>0</v>
      </c>
      <c r="G338" s="51">
        <f>'ALL Other SINs - Proposal'!G338</f>
        <v>0</v>
      </c>
      <c r="H338" s="125">
        <f>'ALL Other SINs - Proposal'!H338</f>
        <v>0</v>
      </c>
      <c r="I338" s="125">
        <f>'ALL Other SINs - Proposal'!I338</f>
        <v>0</v>
      </c>
      <c r="J338" s="125">
        <f>'ALL Other SINs - Proposal'!J338</f>
        <v>0</v>
      </c>
      <c r="K338" s="125">
        <f>'ALL Other SINs - Proposal'!K338</f>
        <v>0</v>
      </c>
      <c r="L338" s="125">
        <f>'ALL Other SINs - Proposal'!L338</f>
        <v>0</v>
      </c>
      <c r="M338" s="206">
        <f>'ALL Other SINs - Proposal'!M338</f>
        <v>0</v>
      </c>
      <c r="N338" s="251">
        <f>'ALL Other SINs - Proposal'!V338</f>
        <v>0</v>
      </c>
      <c r="O338" s="201" t="str">
        <f>'Price Analysis'!N338</f>
        <v xml:space="preserve"> </v>
      </c>
      <c r="P338" s="53" t="str">
        <f>IF(ISBLANK('ALL Other SINs - Proposal'!AA338)," ",'ALL Other SINs - Proposal'!AA338)</f>
        <v xml:space="preserve"> </v>
      </c>
      <c r="Q338" s="95" t="str">
        <f>'ALL Other SINs - Proposal'!AC338</f>
        <v xml:space="preserve"> </v>
      </c>
      <c r="R338" s="100" t="str">
        <f>IF(ISBLANK('ALL Other SINs - Proposal'!AA338)," ",ROUND(Q338,2))</f>
        <v xml:space="preserve"> </v>
      </c>
      <c r="S338" s="54"/>
    </row>
    <row r="339" spans="1:19" ht="20.100000000000001" customHeight="1" x14ac:dyDescent="0.2">
      <c r="A339" s="127">
        <f>'ALL Other SINs - Proposal'!A339</f>
        <v>0</v>
      </c>
      <c r="B339" s="121">
        <f>'ALL Other SINs - Proposal'!B339</f>
        <v>0</v>
      </c>
      <c r="C339" s="121">
        <f>'ALL Other SINs - Proposal'!C339</f>
        <v>0</v>
      </c>
      <c r="D339" s="121">
        <f>'ALL Other SINs - Proposal'!D339</f>
        <v>0</v>
      </c>
      <c r="E339" s="121">
        <f>'ALL Other SINs - Proposal'!E339</f>
        <v>0</v>
      </c>
      <c r="F339" s="171">
        <f>'ALL Other SINs - Proposal'!F339</f>
        <v>0</v>
      </c>
      <c r="G339" s="51">
        <f>'ALL Other SINs - Proposal'!G339</f>
        <v>0</v>
      </c>
      <c r="H339" s="125">
        <f>'ALL Other SINs - Proposal'!H339</f>
        <v>0</v>
      </c>
      <c r="I339" s="125">
        <f>'ALL Other SINs - Proposal'!I339</f>
        <v>0</v>
      </c>
      <c r="J339" s="125">
        <f>'ALL Other SINs - Proposal'!J339</f>
        <v>0</v>
      </c>
      <c r="K339" s="125">
        <f>'ALL Other SINs - Proposal'!K339</f>
        <v>0</v>
      </c>
      <c r="L339" s="125">
        <f>'ALL Other SINs - Proposal'!L339</f>
        <v>0</v>
      </c>
      <c r="M339" s="206">
        <f>'ALL Other SINs - Proposal'!M339</f>
        <v>0</v>
      </c>
      <c r="N339" s="251">
        <f>'ALL Other SINs - Proposal'!V339</f>
        <v>0</v>
      </c>
      <c r="O339" s="201" t="str">
        <f>'Price Analysis'!N339</f>
        <v xml:space="preserve"> </v>
      </c>
      <c r="P339" s="53" t="str">
        <f>IF(ISBLANK('ALL Other SINs - Proposal'!AA339)," ",'ALL Other SINs - Proposal'!AA339)</f>
        <v xml:space="preserve"> </v>
      </c>
      <c r="Q339" s="95" t="str">
        <f>'ALL Other SINs - Proposal'!AC339</f>
        <v xml:space="preserve"> </v>
      </c>
      <c r="R339" s="100" t="str">
        <f>IF(ISBLANK('ALL Other SINs - Proposal'!AA339)," ",ROUND(Q339,2))</f>
        <v xml:space="preserve"> </v>
      </c>
      <c r="S339" s="54"/>
    </row>
    <row r="340" spans="1:19" ht="20.100000000000001" customHeight="1" x14ac:dyDescent="0.2">
      <c r="A340" s="127">
        <f>'ALL Other SINs - Proposal'!A340</f>
        <v>0</v>
      </c>
      <c r="B340" s="121">
        <f>'ALL Other SINs - Proposal'!B340</f>
        <v>0</v>
      </c>
      <c r="C340" s="121">
        <f>'ALL Other SINs - Proposal'!C340</f>
        <v>0</v>
      </c>
      <c r="D340" s="121">
        <f>'ALL Other SINs - Proposal'!D340</f>
        <v>0</v>
      </c>
      <c r="E340" s="121">
        <f>'ALL Other SINs - Proposal'!E340</f>
        <v>0</v>
      </c>
      <c r="F340" s="171">
        <f>'ALL Other SINs - Proposal'!F340</f>
        <v>0</v>
      </c>
      <c r="G340" s="51">
        <f>'ALL Other SINs - Proposal'!G340</f>
        <v>0</v>
      </c>
      <c r="H340" s="125">
        <f>'ALL Other SINs - Proposal'!H340</f>
        <v>0</v>
      </c>
      <c r="I340" s="125">
        <f>'ALL Other SINs - Proposal'!I340</f>
        <v>0</v>
      </c>
      <c r="J340" s="125">
        <f>'ALL Other SINs - Proposal'!J340</f>
        <v>0</v>
      </c>
      <c r="K340" s="125">
        <f>'ALL Other SINs - Proposal'!K340</f>
        <v>0</v>
      </c>
      <c r="L340" s="125">
        <f>'ALL Other SINs - Proposal'!L340</f>
        <v>0</v>
      </c>
      <c r="M340" s="206">
        <f>'ALL Other SINs - Proposal'!M340</f>
        <v>0</v>
      </c>
      <c r="N340" s="251">
        <f>'ALL Other SINs - Proposal'!V340</f>
        <v>0</v>
      </c>
      <c r="O340" s="201" t="str">
        <f>'Price Analysis'!N340</f>
        <v xml:space="preserve"> </v>
      </c>
      <c r="P340" s="53" t="str">
        <f>IF(ISBLANK('ALL Other SINs - Proposal'!AA340)," ",'ALL Other SINs - Proposal'!AA340)</f>
        <v xml:space="preserve"> </v>
      </c>
      <c r="Q340" s="95" t="str">
        <f>'ALL Other SINs - Proposal'!AC340</f>
        <v xml:space="preserve"> </v>
      </c>
      <c r="R340" s="100" t="str">
        <f>IF(ISBLANK('ALL Other SINs - Proposal'!AA340)," ",ROUND(Q340,2))</f>
        <v xml:space="preserve"> </v>
      </c>
      <c r="S340" s="54"/>
    </row>
    <row r="341" spans="1:19" ht="20.100000000000001" customHeight="1" x14ac:dyDescent="0.2">
      <c r="A341" s="127">
        <f>'ALL Other SINs - Proposal'!A341</f>
        <v>0</v>
      </c>
      <c r="B341" s="121">
        <f>'ALL Other SINs - Proposal'!B341</f>
        <v>0</v>
      </c>
      <c r="C341" s="121">
        <f>'ALL Other SINs - Proposal'!C341</f>
        <v>0</v>
      </c>
      <c r="D341" s="121">
        <f>'ALL Other SINs - Proposal'!D341</f>
        <v>0</v>
      </c>
      <c r="E341" s="121">
        <f>'ALL Other SINs - Proposal'!E341</f>
        <v>0</v>
      </c>
      <c r="F341" s="171">
        <f>'ALL Other SINs - Proposal'!F341</f>
        <v>0</v>
      </c>
      <c r="G341" s="51">
        <f>'ALL Other SINs - Proposal'!G341</f>
        <v>0</v>
      </c>
      <c r="H341" s="125">
        <f>'ALL Other SINs - Proposal'!H341</f>
        <v>0</v>
      </c>
      <c r="I341" s="125">
        <f>'ALL Other SINs - Proposal'!I341</f>
        <v>0</v>
      </c>
      <c r="J341" s="125">
        <f>'ALL Other SINs - Proposal'!J341</f>
        <v>0</v>
      </c>
      <c r="K341" s="125">
        <f>'ALL Other SINs - Proposal'!K341</f>
        <v>0</v>
      </c>
      <c r="L341" s="125">
        <f>'ALL Other SINs - Proposal'!L341</f>
        <v>0</v>
      </c>
      <c r="M341" s="206">
        <f>'ALL Other SINs - Proposal'!M341</f>
        <v>0</v>
      </c>
      <c r="N341" s="251">
        <f>'ALL Other SINs - Proposal'!V341</f>
        <v>0</v>
      </c>
      <c r="O341" s="201" t="str">
        <f>'Price Analysis'!N341</f>
        <v xml:space="preserve"> </v>
      </c>
      <c r="P341" s="53" t="str">
        <f>IF(ISBLANK('ALL Other SINs - Proposal'!AA341)," ",'ALL Other SINs - Proposal'!AA341)</f>
        <v xml:space="preserve"> </v>
      </c>
      <c r="Q341" s="95" t="str">
        <f>'ALL Other SINs - Proposal'!AC341</f>
        <v xml:space="preserve"> </v>
      </c>
      <c r="R341" s="100" t="str">
        <f>IF(ISBLANK('ALL Other SINs - Proposal'!AA341)," ",ROUND(Q341,2))</f>
        <v xml:space="preserve"> </v>
      </c>
      <c r="S341" s="54"/>
    </row>
    <row r="342" spans="1:19" ht="20.100000000000001" customHeight="1" x14ac:dyDescent="0.2">
      <c r="A342" s="127">
        <f>'ALL Other SINs - Proposal'!A342</f>
        <v>0</v>
      </c>
      <c r="B342" s="121">
        <f>'ALL Other SINs - Proposal'!B342</f>
        <v>0</v>
      </c>
      <c r="C342" s="121">
        <f>'ALL Other SINs - Proposal'!C342</f>
        <v>0</v>
      </c>
      <c r="D342" s="121">
        <f>'ALL Other SINs - Proposal'!D342</f>
        <v>0</v>
      </c>
      <c r="E342" s="121">
        <f>'ALL Other SINs - Proposal'!E342</f>
        <v>0</v>
      </c>
      <c r="F342" s="171">
        <f>'ALL Other SINs - Proposal'!F342</f>
        <v>0</v>
      </c>
      <c r="G342" s="51">
        <f>'ALL Other SINs - Proposal'!G342</f>
        <v>0</v>
      </c>
      <c r="H342" s="125">
        <f>'ALL Other SINs - Proposal'!H342</f>
        <v>0</v>
      </c>
      <c r="I342" s="125">
        <f>'ALL Other SINs - Proposal'!I342</f>
        <v>0</v>
      </c>
      <c r="J342" s="125">
        <f>'ALL Other SINs - Proposal'!J342</f>
        <v>0</v>
      </c>
      <c r="K342" s="125">
        <f>'ALL Other SINs - Proposal'!K342</f>
        <v>0</v>
      </c>
      <c r="L342" s="125">
        <f>'ALL Other SINs - Proposal'!L342</f>
        <v>0</v>
      </c>
      <c r="M342" s="206">
        <f>'ALL Other SINs - Proposal'!M342</f>
        <v>0</v>
      </c>
      <c r="N342" s="251">
        <f>'ALL Other SINs - Proposal'!V342</f>
        <v>0</v>
      </c>
      <c r="O342" s="201" t="str">
        <f>'Price Analysis'!N342</f>
        <v xml:space="preserve"> </v>
      </c>
      <c r="P342" s="53" t="str">
        <f>IF(ISBLANK('ALL Other SINs - Proposal'!AA342)," ",'ALL Other SINs - Proposal'!AA342)</f>
        <v xml:space="preserve"> </v>
      </c>
      <c r="Q342" s="95" t="str">
        <f>'ALL Other SINs - Proposal'!AC342</f>
        <v xml:space="preserve"> </v>
      </c>
      <c r="R342" s="100" t="str">
        <f>IF(ISBLANK('ALL Other SINs - Proposal'!AA342)," ",ROUND(Q342,2))</f>
        <v xml:space="preserve"> </v>
      </c>
      <c r="S342" s="54"/>
    </row>
    <row r="343" spans="1:19" ht="20.100000000000001" customHeight="1" x14ac:dyDescent="0.2">
      <c r="A343" s="127">
        <f>'ALL Other SINs - Proposal'!A343</f>
        <v>0</v>
      </c>
      <c r="B343" s="121">
        <f>'ALL Other SINs - Proposal'!B343</f>
        <v>0</v>
      </c>
      <c r="C343" s="121">
        <f>'ALL Other SINs - Proposal'!C343</f>
        <v>0</v>
      </c>
      <c r="D343" s="121">
        <f>'ALL Other SINs - Proposal'!D343</f>
        <v>0</v>
      </c>
      <c r="E343" s="121">
        <f>'ALL Other SINs - Proposal'!E343</f>
        <v>0</v>
      </c>
      <c r="F343" s="171">
        <f>'ALL Other SINs - Proposal'!F343</f>
        <v>0</v>
      </c>
      <c r="G343" s="51">
        <f>'ALL Other SINs - Proposal'!G343</f>
        <v>0</v>
      </c>
      <c r="H343" s="125">
        <f>'ALL Other SINs - Proposal'!H343</f>
        <v>0</v>
      </c>
      <c r="I343" s="125">
        <f>'ALL Other SINs - Proposal'!I343</f>
        <v>0</v>
      </c>
      <c r="J343" s="125">
        <f>'ALL Other SINs - Proposal'!J343</f>
        <v>0</v>
      </c>
      <c r="K343" s="125">
        <f>'ALL Other SINs - Proposal'!K343</f>
        <v>0</v>
      </c>
      <c r="L343" s="125">
        <f>'ALL Other SINs - Proposal'!L343</f>
        <v>0</v>
      </c>
      <c r="M343" s="206">
        <f>'ALL Other SINs - Proposal'!M343</f>
        <v>0</v>
      </c>
      <c r="N343" s="251">
        <f>'ALL Other SINs - Proposal'!V343</f>
        <v>0</v>
      </c>
      <c r="O343" s="201" t="str">
        <f>'Price Analysis'!N343</f>
        <v xml:space="preserve"> </v>
      </c>
      <c r="P343" s="53" t="str">
        <f>IF(ISBLANK('ALL Other SINs - Proposal'!AA343)," ",'ALL Other SINs - Proposal'!AA343)</f>
        <v xml:space="preserve"> </v>
      </c>
      <c r="Q343" s="95" t="str">
        <f>'ALL Other SINs - Proposal'!AC343</f>
        <v xml:space="preserve"> </v>
      </c>
      <c r="R343" s="100" t="str">
        <f>IF(ISBLANK('ALL Other SINs - Proposal'!AA343)," ",ROUND(Q343,2))</f>
        <v xml:space="preserve"> </v>
      </c>
      <c r="S343" s="54"/>
    </row>
    <row r="344" spans="1:19" ht="20.100000000000001" customHeight="1" x14ac:dyDescent="0.2">
      <c r="A344" s="127">
        <f>'ALL Other SINs - Proposal'!A344</f>
        <v>0</v>
      </c>
      <c r="B344" s="121">
        <f>'ALL Other SINs - Proposal'!B344</f>
        <v>0</v>
      </c>
      <c r="C344" s="121">
        <f>'ALL Other SINs - Proposal'!C344</f>
        <v>0</v>
      </c>
      <c r="D344" s="121">
        <f>'ALL Other SINs - Proposal'!D344</f>
        <v>0</v>
      </c>
      <c r="E344" s="121">
        <f>'ALL Other SINs - Proposal'!E344</f>
        <v>0</v>
      </c>
      <c r="F344" s="171">
        <f>'ALL Other SINs - Proposal'!F344</f>
        <v>0</v>
      </c>
      <c r="G344" s="51">
        <f>'ALL Other SINs - Proposal'!G344</f>
        <v>0</v>
      </c>
      <c r="H344" s="125">
        <f>'ALL Other SINs - Proposal'!H344</f>
        <v>0</v>
      </c>
      <c r="I344" s="125">
        <f>'ALL Other SINs - Proposal'!I344</f>
        <v>0</v>
      </c>
      <c r="J344" s="125">
        <f>'ALL Other SINs - Proposal'!J344</f>
        <v>0</v>
      </c>
      <c r="K344" s="125">
        <f>'ALL Other SINs - Proposal'!K344</f>
        <v>0</v>
      </c>
      <c r="L344" s="125">
        <f>'ALL Other SINs - Proposal'!L344</f>
        <v>0</v>
      </c>
      <c r="M344" s="206">
        <f>'ALL Other SINs - Proposal'!M344</f>
        <v>0</v>
      </c>
      <c r="N344" s="251">
        <f>'ALL Other SINs - Proposal'!V344</f>
        <v>0</v>
      </c>
      <c r="O344" s="201" t="str">
        <f>'Price Analysis'!N344</f>
        <v xml:space="preserve"> </v>
      </c>
      <c r="P344" s="53" t="str">
        <f>IF(ISBLANK('ALL Other SINs - Proposal'!AA344)," ",'ALL Other SINs - Proposal'!AA344)</f>
        <v xml:space="preserve"> </v>
      </c>
      <c r="Q344" s="95" t="str">
        <f>'ALL Other SINs - Proposal'!AC344</f>
        <v xml:space="preserve"> </v>
      </c>
      <c r="R344" s="100" t="str">
        <f>IF(ISBLANK('ALL Other SINs - Proposal'!AA344)," ",ROUND(Q344,2))</f>
        <v xml:space="preserve"> </v>
      </c>
      <c r="S344" s="54"/>
    </row>
    <row r="345" spans="1:19" ht="20.100000000000001" customHeight="1" x14ac:dyDescent="0.2">
      <c r="A345" s="127">
        <f>'ALL Other SINs - Proposal'!A345</f>
        <v>0</v>
      </c>
      <c r="B345" s="121">
        <f>'ALL Other SINs - Proposal'!B345</f>
        <v>0</v>
      </c>
      <c r="C345" s="121">
        <f>'ALL Other SINs - Proposal'!C345</f>
        <v>0</v>
      </c>
      <c r="D345" s="121">
        <f>'ALL Other SINs - Proposal'!D345</f>
        <v>0</v>
      </c>
      <c r="E345" s="121">
        <f>'ALL Other SINs - Proposal'!E345</f>
        <v>0</v>
      </c>
      <c r="F345" s="171">
        <f>'ALL Other SINs - Proposal'!F345</f>
        <v>0</v>
      </c>
      <c r="G345" s="51">
        <f>'ALL Other SINs - Proposal'!G345</f>
        <v>0</v>
      </c>
      <c r="H345" s="125">
        <f>'ALL Other SINs - Proposal'!H345</f>
        <v>0</v>
      </c>
      <c r="I345" s="125">
        <f>'ALL Other SINs - Proposal'!I345</f>
        <v>0</v>
      </c>
      <c r="J345" s="125">
        <f>'ALL Other SINs - Proposal'!J345</f>
        <v>0</v>
      </c>
      <c r="K345" s="125">
        <f>'ALL Other SINs - Proposal'!K345</f>
        <v>0</v>
      </c>
      <c r="L345" s="125">
        <f>'ALL Other SINs - Proposal'!L345</f>
        <v>0</v>
      </c>
      <c r="M345" s="206">
        <f>'ALL Other SINs - Proposal'!M345</f>
        <v>0</v>
      </c>
      <c r="N345" s="251">
        <f>'ALL Other SINs - Proposal'!V345</f>
        <v>0</v>
      </c>
      <c r="O345" s="201" t="str">
        <f>'Price Analysis'!N345</f>
        <v xml:space="preserve"> </v>
      </c>
      <c r="P345" s="53" t="str">
        <f>IF(ISBLANK('ALL Other SINs - Proposal'!AA345)," ",'ALL Other SINs - Proposal'!AA345)</f>
        <v xml:space="preserve"> </v>
      </c>
      <c r="Q345" s="95" t="str">
        <f>'ALL Other SINs - Proposal'!AC345</f>
        <v xml:space="preserve"> </v>
      </c>
      <c r="R345" s="100" t="str">
        <f>IF(ISBLANK('ALL Other SINs - Proposal'!AA345)," ",ROUND(Q345,2))</f>
        <v xml:space="preserve"> </v>
      </c>
      <c r="S345" s="54"/>
    </row>
    <row r="346" spans="1:19" ht="20.100000000000001" customHeight="1" x14ac:dyDescent="0.2">
      <c r="A346" s="127">
        <f>'ALL Other SINs - Proposal'!A346</f>
        <v>0</v>
      </c>
      <c r="B346" s="121">
        <f>'ALL Other SINs - Proposal'!B346</f>
        <v>0</v>
      </c>
      <c r="C346" s="121">
        <f>'ALL Other SINs - Proposal'!C346</f>
        <v>0</v>
      </c>
      <c r="D346" s="121">
        <f>'ALL Other SINs - Proposal'!D346</f>
        <v>0</v>
      </c>
      <c r="E346" s="121">
        <f>'ALL Other SINs - Proposal'!E346</f>
        <v>0</v>
      </c>
      <c r="F346" s="171">
        <f>'ALL Other SINs - Proposal'!F346</f>
        <v>0</v>
      </c>
      <c r="G346" s="51">
        <f>'ALL Other SINs - Proposal'!G346</f>
        <v>0</v>
      </c>
      <c r="H346" s="125">
        <f>'ALL Other SINs - Proposal'!H346</f>
        <v>0</v>
      </c>
      <c r="I346" s="125">
        <f>'ALL Other SINs - Proposal'!I346</f>
        <v>0</v>
      </c>
      <c r="J346" s="125">
        <f>'ALL Other SINs - Proposal'!J346</f>
        <v>0</v>
      </c>
      <c r="K346" s="125">
        <f>'ALL Other SINs - Proposal'!K346</f>
        <v>0</v>
      </c>
      <c r="L346" s="125">
        <f>'ALL Other SINs - Proposal'!L346</f>
        <v>0</v>
      </c>
      <c r="M346" s="206">
        <f>'ALL Other SINs - Proposal'!M346</f>
        <v>0</v>
      </c>
      <c r="N346" s="251">
        <f>'ALL Other SINs - Proposal'!V346</f>
        <v>0</v>
      </c>
      <c r="O346" s="201" t="str">
        <f>'Price Analysis'!N346</f>
        <v xml:space="preserve"> </v>
      </c>
      <c r="P346" s="53" t="str">
        <f>IF(ISBLANK('ALL Other SINs - Proposal'!AA346)," ",'ALL Other SINs - Proposal'!AA346)</f>
        <v xml:space="preserve"> </v>
      </c>
      <c r="Q346" s="95" t="str">
        <f>'ALL Other SINs - Proposal'!AC346</f>
        <v xml:space="preserve"> </v>
      </c>
      <c r="R346" s="100" t="str">
        <f>IF(ISBLANK('ALL Other SINs - Proposal'!AA346)," ",ROUND(Q346,2))</f>
        <v xml:space="preserve"> </v>
      </c>
      <c r="S346" s="54"/>
    </row>
    <row r="347" spans="1:19" ht="20.100000000000001" customHeight="1" x14ac:dyDescent="0.2">
      <c r="A347" s="127">
        <f>'ALL Other SINs - Proposal'!A347</f>
        <v>0</v>
      </c>
      <c r="B347" s="121">
        <f>'ALL Other SINs - Proposal'!B347</f>
        <v>0</v>
      </c>
      <c r="C347" s="121">
        <f>'ALL Other SINs - Proposal'!C347</f>
        <v>0</v>
      </c>
      <c r="D347" s="121">
        <f>'ALL Other SINs - Proposal'!D347</f>
        <v>0</v>
      </c>
      <c r="E347" s="121">
        <f>'ALL Other SINs - Proposal'!E347</f>
        <v>0</v>
      </c>
      <c r="F347" s="171">
        <f>'ALL Other SINs - Proposal'!F347</f>
        <v>0</v>
      </c>
      <c r="G347" s="51">
        <f>'ALL Other SINs - Proposal'!G347</f>
        <v>0</v>
      </c>
      <c r="H347" s="125">
        <f>'ALL Other SINs - Proposal'!H347</f>
        <v>0</v>
      </c>
      <c r="I347" s="125">
        <f>'ALL Other SINs - Proposal'!I347</f>
        <v>0</v>
      </c>
      <c r="J347" s="125">
        <f>'ALL Other SINs - Proposal'!J347</f>
        <v>0</v>
      </c>
      <c r="K347" s="125">
        <f>'ALL Other SINs - Proposal'!K347</f>
        <v>0</v>
      </c>
      <c r="L347" s="125">
        <f>'ALL Other SINs - Proposal'!L347</f>
        <v>0</v>
      </c>
      <c r="M347" s="206">
        <f>'ALL Other SINs - Proposal'!M347</f>
        <v>0</v>
      </c>
      <c r="N347" s="251">
        <f>'ALL Other SINs - Proposal'!V347</f>
        <v>0</v>
      </c>
      <c r="O347" s="201" t="str">
        <f>'Price Analysis'!N347</f>
        <v xml:space="preserve"> </v>
      </c>
      <c r="P347" s="53" t="str">
        <f>IF(ISBLANK('ALL Other SINs - Proposal'!AA347)," ",'ALL Other SINs - Proposal'!AA347)</f>
        <v xml:space="preserve"> </v>
      </c>
      <c r="Q347" s="95" t="str">
        <f>'ALL Other SINs - Proposal'!AC347</f>
        <v xml:space="preserve"> </v>
      </c>
      <c r="R347" s="100" t="str">
        <f>IF(ISBLANK('ALL Other SINs - Proposal'!AA347)," ",ROUND(Q347,2))</f>
        <v xml:space="preserve"> </v>
      </c>
      <c r="S347" s="54"/>
    </row>
    <row r="348" spans="1:19" ht="20.100000000000001" customHeight="1" x14ac:dyDescent="0.2">
      <c r="A348" s="127">
        <f>'ALL Other SINs - Proposal'!A348</f>
        <v>0</v>
      </c>
      <c r="B348" s="121">
        <f>'ALL Other SINs - Proposal'!B348</f>
        <v>0</v>
      </c>
      <c r="C348" s="121">
        <f>'ALL Other SINs - Proposal'!C348</f>
        <v>0</v>
      </c>
      <c r="D348" s="121">
        <f>'ALL Other SINs - Proposal'!D348</f>
        <v>0</v>
      </c>
      <c r="E348" s="121">
        <f>'ALL Other SINs - Proposal'!E348</f>
        <v>0</v>
      </c>
      <c r="F348" s="171">
        <f>'ALL Other SINs - Proposal'!F348</f>
        <v>0</v>
      </c>
      <c r="G348" s="51">
        <f>'ALL Other SINs - Proposal'!G348</f>
        <v>0</v>
      </c>
      <c r="H348" s="125">
        <f>'ALL Other SINs - Proposal'!H348</f>
        <v>0</v>
      </c>
      <c r="I348" s="125">
        <f>'ALL Other SINs - Proposal'!I348</f>
        <v>0</v>
      </c>
      <c r="J348" s="125">
        <f>'ALL Other SINs - Proposal'!J348</f>
        <v>0</v>
      </c>
      <c r="K348" s="125">
        <f>'ALL Other SINs - Proposal'!K348</f>
        <v>0</v>
      </c>
      <c r="L348" s="125">
        <f>'ALL Other SINs - Proposal'!L348</f>
        <v>0</v>
      </c>
      <c r="M348" s="206">
        <f>'ALL Other SINs - Proposal'!M348</f>
        <v>0</v>
      </c>
      <c r="N348" s="251">
        <f>'ALL Other SINs - Proposal'!V348</f>
        <v>0</v>
      </c>
      <c r="O348" s="201" t="str">
        <f>'Price Analysis'!N348</f>
        <v xml:space="preserve"> </v>
      </c>
      <c r="P348" s="53" t="str">
        <f>IF(ISBLANK('ALL Other SINs - Proposal'!AA348)," ",'ALL Other SINs - Proposal'!AA348)</f>
        <v xml:space="preserve"> </v>
      </c>
      <c r="Q348" s="95" t="str">
        <f>'ALL Other SINs - Proposal'!AC348</f>
        <v xml:space="preserve"> </v>
      </c>
      <c r="R348" s="100" t="str">
        <f>IF(ISBLANK('ALL Other SINs - Proposal'!AA348)," ",ROUND(Q348,2))</f>
        <v xml:space="preserve"> </v>
      </c>
      <c r="S348" s="54"/>
    </row>
    <row r="349" spans="1:19" ht="20.100000000000001" customHeight="1" x14ac:dyDescent="0.2">
      <c r="A349" s="127">
        <f>'ALL Other SINs - Proposal'!A349</f>
        <v>0</v>
      </c>
      <c r="B349" s="121">
        <f>'ALL Other SINs - Proposal'!B349</f>
        <v>0</v>
      </c>
      <c r="C349" s="121">
        <f>'ALL Other SINs - Proposal'!C349</f>
        <v>0</v>
      </c>
      <c r="D349" s="121">
        <f>'ALL Other SINs - Proposal'!D349</f>
        <v>0</v>
      </c>
      <c r="E349" s="121">
        <f>'ALL Other SINs - Proposal'!E349</f>
        <v>0</v>
      </c>
      <c r="F349" s="171">
        <f>'ALL Other SINs - Proposal'!F349</f>
        <v>0</v>
      </c>
      <c r="G349" s="51">
        <f>'ALL Other SINs - Proposal'!G349</f>
        <v>0</v>
      </c>
      <c r="H349" s="125">
        <f>'ALL Other SINs - Proposal'!H349</f>
        <v>0</v>
      </c>
      <c r="I349" s="125">
        <f>'ALL Other SINs - Proposal'!I349</f>
        <v>0</v>
      </c>
      <c r="J349" s="125">
        <f>'ALL Other SINs - Proposal'!J349</f>
        <v>0</v>
      </c>
      <c r="K349" s="125">
        <f>'ALL Other SINs - Proposal'!K349</f>
        <v>0</v>
      </c>
      <c r="L349" s="125">
        <f>'ALL Other SINs - Proposal'!L349</f>
        <v>0</v>
      </c>
      <c r="M349" s="206">
        <f>'ALL Other SINs - Proposal'!M349</f>
        <v>0</v>
      </c>
      <c r="N349" s="251">
        <f>'ALL Other SINs - Proposal'!V349</f>
        <v>0</v>
      </c>
      <c r="O349" s="201" t="str">
        <f>'Price Analysis'!N349</f>
        <v xml:space="preserve"> </v>
      </c>
      <c r="P349" s="53" t="str">
        <f>IF(ISBLANK('ALL Other SINs - Proposal'!AA349)," ",'ALL Other SINs - Proposal'!AA349)</f>
        <v xml:space="preserve"> </v>
      </c>
      <c r="Q349" s="95" t="str">
        <f>'ALL Other SINs - Proposal'!AC349</f>
        <v xml:space="preserve"> </v>
      </c>
      <c r="R349" s="100" t="str">
        <f>IF(ISBLANK('ALL Other SINs - Proposal'!AA349)," ",ROUND(Q349,2))</f>
        <v xml:space="preserve"> </v>
      </c>
      <c r="S349" s="54"/>
    </row>
    <row r="350" spans="1:19" ht="20.100000000000001" customHeight="1" x14ac:dyDescent="0.2">
      <c r="A350" s="127">
        <f>'ALL Other SINs - Proposal'!A350</f>
        <v>0</v>
      </c>
      <c r="B350" s="121">
        <f>'ALL Other SINs - Proposal'!B350</f>
        <v>0</v>
      </c>
      <c r="C350" s="121">
        <f>'ALL Other SINs - Proposal'!C350</f>
        <v>0</v>
      </c>
      <c r="D350" s="121">
        <f>'ALL Other SINs - Proposal'!D350</f>
        <v>0</v>
      </c>
      <c r="E350" s="121">
        <f>'ALL Other SINs - Proposal'!E350</f>
        <v>0</v>
      </c>
      <c r="F350" s="171">
        <f>'ALL Other SINs - Proposal'!F350</f>
        <v>0</v>
      </c>
      <c r="G350" s="51">
        <f>'ALL Other SINs - Proposal'!G350</f>
        <v>0</v>
      </c>
      <c r="H350" s="125">
        <f>'ALL Other SINs - Proposal'!H350</f>
        <v>0</v>
      </c>
      <c r="I350" s="125">
        <f>'ALL Other SINs - Proposal'!I350</f>
        <v>0</v>
      </c>
      <c r="J350" s="125">
        <f>'ALL Other SINs - Proposal'!J350</f>
        <v>0</v>
      </c>
      <c r="K350" s="125">
        <f>'ALL Other SINs - Proposal'!K350</f>
        <v>0</v>
      </c>
      <c r="L350" s="125">
        <f>'ALL Other SINs - Proposal'!L350</f>
        <v>0</v>
      </c>
      <c r="M350" s="206">
        <f>'ALL Other SINs - Proposal'!M350</f>
        <v>0</v>
      </c>
      <c r="N350" s="251">
        <f>'ALL Other SINs - Proposal'!V350</f>
        <v>0</v>
      </c>
      <c r="O350" s="201" t="str">
        <f>'Price Analysis'!N350</f>
        <v xml:space="preserve"> </v>
      </c>
      <c r="P350" s="53" t="str">
        <f>IF(ISBLANK('ALL Other SINs - Proposal'!AA350)," ",'ALL Other SINs - Proposal'!AA350)</f>
        <v xml:space="preserve"> </v>
      </c>
      <c r="Q350" s="95" t="str">
        <f>'ALL Other SINs - Proposal'!AC350</f>
        <v xml:space="preserve"> </v>
      </c>
      <c r="R350" s="100" t="str">
        <f>IF(ISBLANK('ALL Other SINs - Proposal'!AA350)," ",ROUND(Q350,2))</f>
        <v xml:space="preserve"> </v>
      </c>
      <c r="S350" s="54"/>
    </row>
    <row r="351" spans="1:19" ht="20.100000000000001" customHeight="1" x14ac:dyDescent="0.2">
      <c r="A351" s="127">
        <f>'ALL Other SINs - Proposal'!A351</f>
        <v>0</v>
      </c>
      <c r="B351" s="121">
        <f>'ALL Other SINs - Proposal'!B351</f>
        <v>0</v>
      </c>
      <c r="C351" s="121">
        <f>'ALL Other SINs - Proposal'!C351</f>
        <v>0</v>
      </c>
      <c r="D351" s="121">
        <f>'ALL Other SINs - Proposal'!D351</f>
        <v>0</v>
      </c>
      <c r="E351" s="121">
        <f>'ALL Other SINs - Proposal'!E351</f>
        <v>0</v>
      </c>
      <c r="F351" s="171">
        <f>'ALL Other SINs - Proposal'!F351</f>
        <v>0</v>
      </c>
      <c r="G351" s="51">
        <f>'ALL Other SINs - Proposal'!G351</f>
        <v>0</v>
      </c>
      <c r="H351" s="125">
        <f>'ALL Other SINs - Proposal'!H351</f>
        <v>0</v>
      </c>
      <c r="I351" s="125">
        <f>'ALL Other SINs - Proposal'!I351</f>
        <v>0</v>
      </c>
      <c r="J351" s="125">
        <f>'ALL Other SINs - Proposal'!J351</f>
        <v>0</v>
      </c>
      <c r="K351" s="125">
        <f>'ALL Other SINs - Proposal'!K351</f>
        <v>0</v>
      </c>
      <c r="L351" s="125">
        <f>'ALL Other SINs - Proposal'!L351</f>
        <v>0</v>
      </c>
      <c r="M351" s="206">
        <f>'ALL Other SINs - Proposal'!M351</f>
        <v>0</v>
      </c>
      <c r="N351" s="251">
        <f>'ALL Other SINs - Proposal'!V351</f>
        <v>0</v>
      </c>
      <c r="O351" s="201" t="str">
        <f>'Price Analysis'!N351</f>
        <v xml:space="preserve"> </v>
      </c>
      <c r="P351" s="53" t="str">
        <f>IF(ISBLANK('ALL Other SINs - Proposal'!AA351)," ",'ALL Other SINs - Proposal'!AA351)</f>
        <v xml:space="preserve"> </v>
      </c>
      <c r="Q351" s="95" t="str">
        <f>'ALL Other SINs - Proposal'!AC351</f>
        <v xml:space="preserve"> </v>
      </c>
      <c r="R351" s="100" t="str">
        <f>IF(ISBLANK('ALL Other SINs - Proposal'!AA351)," ",ROUND(Q351,2))</f>
        <v xml:space="preserve"> </v>
      </c>
      <c r="S351" s="54"/>
    </row>
    <row r="352" spans="1:19" ht="20.100000000000001" customHeight="1" x14ac:dyDescent="0.2">
      <c r="A352" s="127">
        <f>'ALL Other SINs - Proposal'!A352</f>
        <v>0</v>
      </c>
      <c r="B352" s="121">
        <f>'ALL Other SINs - Proposal'!B352</f>
        <v>0</v>
      </c>
      <c r="C352" s="121">
        <f>'ALL Other SINs - Proposal'!C352</f>
        <v>0</v>
      </c>
      <c r="D352" s="121">
        <f>'ALL Other SINs - Proposal'!D352</f>
        <v>0</v>
      </c>
      <c r="E352" s="121">
        <f>'ALL Other SINs - Proposal'!E352</f>
        <v>0</v>
      </c>
      <c r="F352" s="171">
        <f>'ALL Other SINs - Proposal'!F352</f>
        <v>0</v>
      </c>
      <c r="G352" s="51">
        <f>'ALL Other SINs - Proposal'!G352</f>
        <v>0</v>
      </c>
      <c r="H352" s="125">
        <f>'ALL Other SINs - Proposal'!H352</f>
        <v>0</v>
      </c>
      <c r="I352" s="125">
        <f>'ALL Other SINs - Proposal'!I352</f>
        <v>0</v>
      </c>
      <c r="J352" s="125">
        <f>'ALL Other SINs - Proposal'!J352</f>
        <v>0</v>
      </c>
      <c r="K352" s="125">
        <f>'ALL Other SINs - Proposal'!K352</f>
        <v>0</v>
      </c>
      <c r="L352" s="125">
        <f>'ALL Other SINs - Proposal'!L352</f>
        <v>0</v>
      </c>
      <c r="M352" s="206">
        <f>'ALL Other SINs - Proposal'!M352</f>
        <v>0</v>
      </c>
      <c r="N352" s="251">
        <f>'ALL Other SINs - Proposal'!V352</f>
        <v>0</v>
      </c>
      <c r="O352" s="201" t="str">
        <f>'Price Analysis'!N352</f>
        <v xml:space="preserve"> </v>
      </c>
      <c r="P352" s="53" t="str">
        <f>IF(ISBLANK('ALL Other SINs - Proposal'!AA352)," ",'ALL Other SINs - Proposal'!AA352)</f>
        <v xml:space="preserve"> </v>
      </c>
      <c r="Q352" s="95" t="str">
        <f>'ALL Other SINs - Proposal'!AC352</f>
        <v xml:space="preserve"> </v>
      </c>
      <c r="R352" s="100" t="str">
        <f>IF(ISBLANK('ALL Other SINs - Proposal'!AA352)," ",ROUND(Q352,2))</f>
        <v xml:space="preserve"> </v>
      </c>
      <c r="S352" s="54"/>
    </row>
    <row r="353" spans="1:19" ht="20.100000000000001" customHeight="1" x14ac:dyDescent="0.2">
      <c r="A353" s="127">
        <f>'ALL Other SINs - Proposal'!A353</f>
        <v>0</v>
      </c>
      <c r="B353" s="121">
        <f>'ALL Other SINs - Proposal'!B353</f>
        <v>0</v>
      </c>
      <c r="C353" s="121">
        <f>'ALL Other SINs - Proposal'!C353</f>
        <v>0</v>
      </c>
      <c r="D353" s="121">
        <f>'ALL Other SINs - Proposal'!D353</f>
        <v>0</v>
      </c>
      <c r="E353" s="121">
        <f>'ALL Other SINs - Proposal'!E353</f>
        <v>0</v>
      </c>
      <c r="F353" s="171">
        <f>'ALL Other SINs - Proposal'!F353</f>
        <v>0</v>
      </c>
      <c r="G353" s="51">
        <f>'ALL Other SINs - Proposal'!G353</f>
        <v>0</v>
      </c>
      <c r="H353" s="125">
        <f>'ALL Other SINs - Proposal'!H353</f>
        <v>0</v>
      </c>
      <c r="I353" s="125">
        <f>'ALL Other SINs - Proposal'!I353</f>
        <v>0</v>
      </c>
      <c r="J353" s="125">
        <f>'ALL Other SINs - Proposal'!J353</f>
        <v>0</v>
      </c>
      <c r="K353" s="125">
        <f>'ALL Other SINs - Proposal'!K353</f>
        <v>0</v>
      </c>
      <c r="L353" s="125">
        <f>'ALL Other SINs - Proposal'!L353</f>
        <v>0</v>
      </c>
      <c r="M353" s="206">
        <f>'ALL Other SINs - Proposal'!M353</f>
        <v>0</v>
      </c>
      <c r="N353" s="251">
        <f>'ALL Other SINs - Proposal'!V353</f>
        <v>0</v>
      </c>
      <c r="O353" s="201" t="str">
        <f>'Price Analysis'!N353</f>
        <v xml:space="preserve"> </v>
      </c>
      <c r="P353" s="53" t="str">
        <f>IF(ISBLANK('ALL Other SINs - Proposal'!AA353)," ",'ALL Other SINs - Proposal'!AA353)</f>
        <v xml:space="preserve"> </v>
      </c>
      <c r="Q353" s="95" t="str">
        <f>'ALL Other SINs - Proposal'!AC353</f>
        <v xml:space="preserve"> </v>
      </c>
      <c r="R353" s="100" t="str">
        <f>IF(ISBLANK('ALL Other SINs - Proposal'!AA353)," ",ROUND(Q353,2))</f>
        <v xml:space="preserve"> </v>
      </c>
      <c r="S353" s="54"/>
    </row>
    <row r="354" spans="1:19" ht="20.100000000000001" customHeight="1" x14ac:dyDescent="0.2">
      <c r="A354" s="127">
        <f>'ALL Other SINs - Proposal'!A354</f>
        <v>0</v>
      </c>
      <c r="B354" s="121">
        <f>'ALL Other SINs - Proposal'!B354</f>
        <v>0</v>
      </c>
      <c r="C354" s="121">
        <f>'ALL Other SINs - Proposal'!C354</f>
        <v>0</v>
      </c>
      <c r="D354" s="121">
        <f>'ALL Other SINs - Proposal'!D354</f>
        <v>0</v>
      </c>
      <c r="E354" s="121">
        <f>'ALL Other SINs - Proposal'!E354</f>
        <v>0</v>
      </c>
      <c r="F354" s="171">
        <f>'ALL Other SINs - Proposal'!F354</f>
        <v>0</v>
      </c>
      <c r="G354" s="51">
        <f>'ALL Other SINs - Proposal'!G354</f>
        <v>0</v>
      </c>
      <c r="H354" s="125">
        <f>'ALL Other SINs - Proposal'!H354</f>
        <v>0</v>
      </c>
      <c r="I354" s="125">
        <f>'ALL Other SINs - Proposal'!I354</f>
        <v>0</v>
      </c>
      <c r="J354" s="125">
        <f>'ALL Other SINs - Proposal'!J354</f>
        <v>0</v>
      </c>
      <c r="K354" s="125">
        <f>'ALL Other SINs - Proposal'!K354</f>
        <v>0</v>
      </c>
      <c r="L354" s="125">
        <f>'ALL Other SINs - Proposal'!L354</f>
        <v>0</v>
      </c>
      <c r="M354" s="206">
        <f>'ALL Other SINs - Proposal'!M354</f>
        <v>0</v>
      </c>
      <c r="N354" s="251">
        <f>'ALL Other SINs - Proposal'!V354</f>
        <v>0</v>
      </c>
      <c r="O354" s="201" t="str">
        <f>'Price Analysis'!N354</f>
        <v xml:space="preserve"> </v>
      </c>
      <c r="P354" s="53" t="str">
        <f>IF(ISBLANK('ALL Other SINs - Proposal'!AA354)," ",'ALL Other SINs - Proposal'!AA354)</f>
        <v xml:space="preserve"> </v>
      </c>
      <c r="Q354" s="95" t="str">
        <f>'ALL Other SINs - Proposal'!AC354</f>
        <v xml:space="preserve"> </v>
      </c>
      <c r="R354" s="100" t="str">
        <f>IF(ISBLANK('ALL Other SINs - Proposal'!AA354)," ",ROUND(Q354,2))</f>
        <v xml:space="preserve"> </v>
      </c>
      <c r="S354" s="54"/>
    </row>
    <row r="355" spans="1:19" ht="20.100000000000001" customHeight="1" x14ac:dyDescent="0.2">
      <c r="A355" s="127">
        <f>'ALL Other SINs - Proposal'!A355</f>
        <v>0</v>
      </c>
      <c r="B355" s="121">
        <f>'ALL Other SINs - Proposal'!B355</f>
        <v>0</v>
      </c>
      <c r="C355" s="121">
        <f>'ALL Other SINs - Proposal'!C355</f>
        <v>0</v>
      </c>
      <c r="D355" s="121">
        <f>'ALL Other SINs - Proposal'!D355</f>
        <v>0</v>
      </c>
      <c r="E355" s="121">
        <f>'ALL Other SINs - Proposal'!E355</f>
        <v>0</v>
      </c>
      <c r="F355" s="171">
        <f>'ALL Other SINs - Proposal'!F355</f>
        <v>0</v>
      </c>
      <c r="G355" s="51">
        <f>'ALL Other SINs - Proposal'!G355</f>
        <v>0</v>
      </c>
      <c r="H355" s="125">
        <f>'ALL Other SINs - Proposal'!H355</f>
        <v>0</v>
      </c>
      <c r="I355" s="125">
        <f>'ALL Other SINs - Proposal'!I355</f>
        <v>0</v>
      </c>
      <c r="J355" s="125">
        <f>'ALL Other SINs - Proposal'!J355</f>
        <v>0</v>
      </c>
      <c r="K355" s="125">
        <f>'ALL Other SINs - Proposal'!K355</f>
        <v>0</v>
      </c>
      <c r="L355" s="125">
        <f>'ALL Other SINs - Proposal'!L355</f>
        <v>0</v>
      </c>
      <c r="M355" s="206">
        <f>'ALL Other SINs - Proposal'!M355</f>
        <v>0</v>
      </c>
      <c r="N355" s="251">
        <f>'ALL Other SINs - Proposal'!V355</f>
        <v>0</v>
      </c>
      <c r="O355" s="201" t="str">
        <f>'Price Analysis'!N355</f>
        <v xml:space="preserve"> </v>
      </c>
      <c r="P355" s="53" t="str">
        <f>IF(ISBLANK('ALL Other SINs - Proposal'!AA355)," ",'ALL Other SINs - Proposal'!AA355)</f>
        <v xml:space="preserve"> </v>
      </c>
      <c r="Q355" s="95" t="str">
        <f>'ALL Other SINs - Proposal'!AC355</f>
        <v xml:space="preserve"> </v>
      </c>
      <c r="R355" s="100" t="str">
        <f>IF(ISBLANK('ALL Other SINs - Proposal'!AA355)," ",ROUND(Q355,2))</f>
        <v xml:space="preserve"> </v>
      </c>
      <c r="S355" s="54"/>
    </row>
    <row r="356" spans="1:19" ht="20.100000000000001" customHeight="1" x14ac:dyDescent="0.2">
      <c r="A356" s="127">
        <f>'ALL Other SINs - Proposal'!A356</f>
        <v>0</v>
      </c>
      <c r="B356" s="121">
        <f>'ALL Other SINs - Proposal'!B356</f>
        <v>0</v>
      </c>
      <c r="C356" s="121">
        <f>'ALL Other SINs - Proposal'!C356</f>
        <v>0</v>
      </c>
      <c r="D356" s="121">
        <f>'ALL Other SINs - Proposal'!D356</f>
        <v>0</v>
      </c>
      <c r="E356" s="121">
        <f>'ALL Other SINs - Proposal'!E356</f>
        <v>0</v>
      </c>
      <c r="F356" s="171">
        <f>'ALL Other SINs - Proposal'!F356</f>
        <v>0</v>
      </c>
      <c r="G356" s="51">
        <f>'ALL Other SINs - Proposal'!G356</f>
        <v>0</v>
      </c>
      <c r="H356" s="125">
        <f>'ALL Other SINs - Proposal'!H356</f>
        <v>0</v>
      </c>
      <c r="I356" s="125">
        <f>'ALL Other SINs - Proposal'!I356</f>
        <v>0</v>
      </c>
      <c r="J356" s="125">
        <f>'ALL Other SINs - Proposal'!J356</f>
        <v>0</v>
      </c>
      <c r="K356" s="125">
        <f>'ALL Other SINs - Proposal'!K356</f>
        <v>0</v>
      </c>
      <c r="L356" s="125">
        <f>'ALL Other SINs - Proposal'!L356</f>
        <v>0</v>
      </c>
      <c r="M356" s="206">
        <f>'ALL Other SINs - Proposal'!M356</f>
        <v>0</v>
      </c>
      <c r="N356" s="251">
        <f>'ALL Other SINs - Proposal'!V356</f>
        <v>0</v>
      </c>
      <c r="O356" s="201" t="str">
        <f>'Price Analysis'!N356</f>
        <v xml:space="preserve"> </v>
      </c>
      <c r="P356" s="53" t="str">
        <f>IF(ISBLANK('ALL Other SINs - Proposal'!AA356)," ",'ALL Other SINs - Proposal'!AA356)</f>
        <v xml:space="preserve"> </v>
      </c>
      <c r="Q356" s="95" t="str">
        <f>'ALL Other SINs - Proposal'!AC356</f>
        <v xml:space="preserve"> </v>
      </c>
      <c r="R356" s="100" t="str">
        <f>IF(ISBLANK('ALL Other SINs - Proposal'!AA356)," ",ROUND(Q356,2))</f>
        <v xml:space="preserve"> </v>
      </c>
      <c r="S356" s="54"/>
    </row>
    <row r="357" spans="1:19" ht="20.100000000000001" customHeight="1" x14ac:dyDescent="0.2">
      <c r="A357" s="127">
        <f>'ALL Other SINs - Proposal'!A357</f>
        <v>0</v>
      </c>
      <c r="B357" s="121">
        <f>'ALL Other SINs - Proposal'!B357</f>
        <v>0</v>
      </c>
      <c r="C357" s="121">
        <f>'ALL Other SINs - Proposal'!C357</f>
        <v>0</v>
      </c>
      <c r="D357" s="121">
        <f>'ALL Other SINs - Proposal'!D357</f>
        <v>0</v>
      </c>
      <c r="E357" s="121">
        <f>'ALL Other SINs - Proposal'!E357</f>
        <v>0</v>
      </c>
      <c r="F357" s="171">
        <f>'ALL Other SINs - Proposal'!F357</f>
        <v>0</v>
      </c>
      <c r="G357" s="51">
        <f>'ALL Other SINs - Proposal'!G357</f>
        <v>0</v>
      </c>
      <c r="H357" s="125">
        <f>'ALL Other SINs - Proposal'!H357</f>
        <v>0</v>
      </c>
      <c r="I357" s="125">
        <f>'ALL Other SINs - Proposal'!I357</f>
        <v>0</v>
      </c>
      <c r="J357" s="125">
        <f>'ALL Other SINs - Proposal'!J357</f>
        <v>0</v>
      </c>
      <c r="K357" s="125">
        <f>'ALL Other SINs - Proposal'!K357</f>
        <v>0</v>
      </c>
      <c r="L357" s="125">
        <f>'ALL Other SINs - Proposal'!L357</f>
        <v>0</v>
      </c>
      <c r="M357" s="206">
        <f>'ALL Other SINs - Proposal'!M357</f>
        <v>0</v>
      </c>
      <c r="N357" s="251">
        <f>'ALL Other SINs - Proposal'!V357</f>
        <v>0</v>
      </c>
      <c r="O357" s="201" t="str">
        <f>'Price Analysis'!N357</f>
        <v xml:space="preserve"> </v>
      </c>
      <c r="P357" s="53" t="str">
        <f>IF(ISBLANK('ALL Other SINs - Proposal'!AA357)," ",'ALL Other SINs - Proposal'!AA357)</f>
        <v xml:space="preserve"> </v>
      </c>
      <c r="Q357" s="95" t="str">
        <f>'ALL Other SINs - Proposal'!AC357</f>
        <v xml:space="preserve"> </v>
      </c>
      <c r="R357" s="100" t="str">
        <f>IF(ISBLANK('ALL Other SINs - Proposal'!AA357)," ",ROUND(Q357,2))</f>
        <v xml:space="preserve"> </v>
      </c>
      <c r="S357" s="54"/>
    </row>
    <row r="358" spans="1:19" ht="20.100000000000001" customHeight="1" x14ac:dyDescent="0.2">
      <c r="A358" s="127">
        <f>'ALL Other SINs - Proposal'!A358</f>
        <v>0</v>
      </c>
      <c r="B358" s="121">
        <f>'ALL Other SINs - Proposal'!B358</f>
        <v>0</v>
      </c>
      <c r="C358" s="121">
        <f>'ALL Other SINs - Proposal'!C358</f>
        <v>0</v>
      </c>
      <c r="D358" s="121">
        <f>'ALL Other SINs - Proposal'!D358</f>
        <v>0</v>
      </c>
      <c r="E358" s="121">
        <f>'ALL Other SINs - Proposal'!E358</f>
        <v>0</v>
      </c>
      <c r="F358" s="171">
        <f>'ALL Other SINs - Proposal'!F358</f>
        <v>0</v>
      </c>
      <c r="G358" s="51">
        <f>'ALL Other SINs - Proposal'!G358</f>
        <v>0</v>
      </c>
      <c r="H358" s="125">
        <f>'ALL Other SINs - Proposal'!H358</f>
        <v>0</v>
      </c>
      <c r="I358" s="125">
        <f>'ALL Other SINs - Proposal'!I358</f>
        <v>0</v>
      </c>
      <c r="J358" s="125">
        <f>'ALL Other SINs - Proposal'!J358</f>
        <v>0</v>
      </c>
      <c r="K358" s="125">
        <f>'ALL Other SINs - Proposal'!K358</f>
        <v>0</v>
      </c>
      <c r="L358" s="125">
        <f>'ALL Other SINs - Proposal'!L358</f>
        <v>0</v>
      </c>
      <c r="M358" s="206">
        <f>'ALL Other SINs - Proposal'!M358</f>
        <v>0</v>
      </c>
      <c r="N358" s="251">
        <f>'ALL Other SINs - Proposal'!V358</f>
        <v>0</v>
      </c>
      <c r="O358" s="201" t="str">
        <f>'Price Analysis'!N358</f>
        <v xml:space="preserve"> </v>
      </c>
      <c r="P358" s="53" t="str">
        <f>IF(ISBLANK('ALL Other SINs - Proposal'!AA358)," ",'ALL Other SINs - Proposal'!AA358)</f>
        <v xml:space="preserve"> </v>
      </c>
      <c r="Q358" s="95" t="str">
        <f>'ALL Other SINs - Proposal'!AC358</f>
        <v xml:space="preserve"> </v>
      </c>
      <c r="R358" s="100" t="str">
        <f>IF(ISBLANK('ALL Other SINs - Proposal'!AA358)," ",ROUND(Q358,2))</f>
        <v xml:space="preserve"> </v>
      </c>
      <c r="S358" s="54"/>
    </row>
    <row r="359" spans="1:19" ht="20.100000000000001" customHeight="1" x14ac:dyDescent="0.2">
      <c r="A359" s="127">
        <f>'ALL Other SINs - Proposal'!A359</f>
        <v>0</v>
      </c>
      <c r="B359" s="121">
        <f>'ALL Other SINs - Proposal'!B359</f>
        <v>0</v>
      </c>
      <c r="C359" s="121">
        <f>'ALL Other SINs - Proposal'!C359</f>
        <v>0</v>
      </c>
      <c r="D359" s="121">
        <f>'ALL Other SINs - Proposal'!D359</f>
        <v>0</v>
      </c>
      <c r="E359" s="121">
        <f>'ALL Other SINs - Proposal'!E359</f>
        <v>0</v>
      </c>
      <c r="F359" s="171">
        <f>'ALL Other SINs - Proposal'!F359</f>
        <v>0</v>
      </c>
      <c r="G359" s="51">
        <f>'ALL Other SINs - Proposal'!G359</f>
        <v>0</v>
      </c>
      <c r="H359" s="125">
        <f>'ALL Other SINs - Proposal'!H359</f>
        <v>0</v>
      </c>
      <c r="I359" s="125">
        <f>'ALL Other SINs - Proposal'!I359</f>
        <v>0</v>
      </c>
      <c r="J359" s="125">
        <f>'ALL Other SINs - Proposal'!J359</f>
        <v>0</v>
      </c>
      <c r="K359" s="125">
        <f>'ALL Other SINs - Proposal'!K359</f>
        <v>0</v>
      </c>
      <c r="L359" s="125">
        <f>'ALL Other SINs - Proposal'!L359</f>
        <v>0</v>
      </c>
      <c r="M359" s="206">
        <f>'ALL Other SINs - Proposal'!M359</f>
        <v>0</v>
      </c>
      <c r="N359" s="251">
        <f>'ALL Other SINs - Proposal'!V359</f>
        <v>0</v>
      </c>
      <c r="O359" s="201" t="str">
        <f>'Price Analysis'!N359</f>
        <v xml:space="preserve"> </v>
      </c>
      <c r="P359" s="53" t="str">
        <f>IF(ISBLANK('ALL Other SINs - Proposal'!AA359)," ",'ALL Other SINs - Proposal'!AA359)</f>
        <v xml:space="preserve"> </v>
      </c>
      <c r="Q359" s="95" t="str">
        <f>'ALL Other SINs - Proposal'!AC359</f>
        <v xml:space="preserve"> </v>
      </c>
      <c r="R359" s="100" t="str">
        <f>IF(ISBLANK('ALL Other SINs - Proposal'!AA359)," ",ROUND(Q359,2))</f>
        <v xml:space="preserve"> </v>
      </c>
      <c r="S359" s="54"/>
    </row>
    <row r="360" spans="1:19" ht="20.100000000000001" customHeight="1" x14ac:dyDescent="0.2">
      <c r="A360" s="127">
        <f>'ALL Other SINs - Proposal'!A360</f>
        <v>0</v>
      </c>
      <c r="B360" s="121">
        <f>'ALL Other SINs - Proposal'!B360</f>
        <v>0</v>
      </c>
      <c r="C360" s="121">
        <f>'ALL Other SINs - Proposal'!C360</f>
        <v>0</v>
      </c>
      <c r="D360" s="121">
        <f>'ALL Other SINs - Proposal'!D360</f>
        <v>0</v>
      </c>
      <c r="E360" s="121">
        <f>'ALL Other SINs - Proposal'!E360</f>
        <v>0</v>
      </c>
      <c r="F360" s="171">
        <f>'ALL Other SINs - Proposal'!F360</f>
        <v>0</v>
      </c>
      <c r="G360" s="51">
        <f>'ALL Other SINs - Proposal'!G360</f>
        <v>0</v>
      </c>
      <c r="H360" s="125">
        <f>'ALL Other SINs - Proposal'!H360</f>
        <v>0</v>
      </c>
      <c r="I360" s="125">
        <f>'ALL Other SINs - Proposal'!I360</f>
        <v>0</v>
      </c>
      <c r="J360" s="125">
        <f>'ALL Other SINs - Proposal'!J360</f>
        <v>0</v>
      </c>
      <c r="K360" s="125">
        <f>'ALL Other SINs - Proposal'!K360</f>
        <v>0</v>
      </c>
      <c r="L360" s="125">
        <f>'ALL Other SINs - Proposal'!L360</f>
        <v>0</v>
      </c>
      <c r="M360" s="206">
        <f>'ALL Other SINs - Proposal'!M360</f>
        <v>0</v>
      </c>
      <c r="N360" s="251">
        <f>'ALL Other SINs - Proposal'!V360</f>
        <v>0</v>
      </c>
      <c r="O360" s="201" t="str">
        <f>'Price Analysis'!N360</f>
        <v xml:space="preserve"> </v>
      </c>
      <c r="P360" s="53" t="str">
        <f>IF(ISBLANK('ALL Other SINs - Proposal'!AA360)," ",'ALL Other SINs - Proposal'!AA360)</f>
        <v xml:space="preserve"> </v>
      </c>
      <c r="Q360" s="95" t="str">
        <f>'ALL Other SINs - Proposal'!AC360</f>
        <v xml:space="preserve"> </v>
      </c>
      <c r="R360" s="100" t="str">
        <f>IF(ISBLANK('ALL Other SINs - Proposal'!AA360)," ",ROUND(Q360,2))</f>
        <v xml:space="preserve"> </v>
      </c>
      <c r="S360" s="54"/>
    </row>
    <row r="361" spans="1:19" ht="20.100000000000001" customHeight="1" x14ac:dyDescent="0.2">
      <c r="A361" s="127">
        <f>'ALL Other SINs - Proposal'!A361</f>
        <v>0</v>
      </c>
      <c r="B361" s="121">
        <f>'ALL Other SINs - Proposal'!B361</f>
        <v>0</v>
      </c>
      <c r="C361" s="121">
        <f>'ALL Other SINs - Proposal'!C361</f>
        <v>0</v>
      </c>
      <c r="D361" s="121">
        <f>'ALL Other SINs - Proposal'!D361</f>
        <v>0</v>
      </c>
      <c r="E361" s="121">
        <f>'ALL Other SINs - Proposal'!E361</f>
        <v>0</v>
      </c>
      <c r="F361" s="171">
        <f>'ALL Other SINs - Proposal'!F361</f>
        <v>0</v>
      </c>
      <c r="G361" s="51">
        <f>'ALL Other SINs - Proposal'!G361</f>
        <v>0</v>
      </c>
      <c r="H361" s="125">
        <f>'ALL Other SINs - Proposal'!H361</f>
        <v>0</v>
      </c>
      <c r="I361" s="125">
        <f>'ALL Other SINs - Proposal'!I361</f>
        <v>0</v>
      </c>
      <c r="J361" s="125">
        <f>'ALL Other SINs - Proposal'!J361</f>
        <v>0</v>
      </c>
      <c r="K361" s="125">
        <f>'ALL Other SINs - Proposal'!K361</f>
        <v>0</v>
      </c>
      <c r="L361" s="125">
        <f>'ALL Other SINs - Proposal'!L361</f>
        <v>0</v>
      </c>
      <c r="M361" s="206">
        <f>'ALL Other SINs - Proposal'!M361</f>
        <v>0</v>
      </c>
      <c r="N361" s="251">
        <f>'ALL Other SINs - Proposal'!V361</f>
        <v>0</v>
      </c>
      <c r="O361" s="201" t="str">
        <f>'Price Analysis'!N361</f>
        <v xml:space="preserve"> </v>
      </c>
      <c r="P361" s="53" t="str">
        <f>IF(ISBLANK('ALL Other SINs - Proposal'!AA361)," ",'ALL Other SINs - Proposal'!AA361)</f>
        <v xml:space="preserve"> </v>
      </c>
      <c r="Q361" s="95" t="str">
        <f>'ALL Other SINs - Proposal'!AC361</f>
        <v xml:space="preserve"> </v>
      </c>
      <c r="R361" s="100" t="str">
        <f>IF(ISBLANK('ALL Other SINs - Proposal'!AA361)," ",ROUND(Q361,2))</f>
        <v xml:space="preserve"> </v>
      </c>
      <c r="S361" s="54"/>
    </row>
    <row r="362" spans="1:19" ht="20.100000000000001" customHeight="1" x14ac:dyDescent="0.2">
      <c r="A362" s="127">
        <f>'ALL Other SINs - Proposal'!A362</f>
        <v>0</v>
      </c>
      <c r="B362" s="121">
        <f>'ALL Other SINs - Proposal'!B362</f>
        <v>0</v>
      </c>
      <c r="C362" s="121">
        <f>'ALL Other SINs - Proposal'!C362</f>
        <v>0</v>
      </c>
      <c r="D362" s="121">
        <f>'ALL Other SINs - Proposal'!D362</f>
        <v>0</v>
      </c>
      <c r="E362" s="121">
        <f>'ALL Other SINs - Proposal'!E362</f>
        <v>0</v>
      </c>
      <c r="F362" s="171">
        <f>'ALL Other SINs - Proposal'!F362</f>
        <v>0</v>
      </c>
      <c r="G362" s="51">
        <f>'ALL Other SINs - Proposal'!G362</f>
        <v>0</v>
      </c>
      <c r="H362" s="125">
        <f>'ALL Other SINs - Proposal'!H362</f>
        <v>0</v>
      </c>
      <c r="I362" s="125">
        <f>'ALL Other SINs - Proposal'!I362</f>
        <v>0</v>
      </c>
      <c r="J362" s="125">
        <f>'ALL Other SINs - Proposal'!J362</f>
        <v>0</v>
      </c>
      <c r="K362" s="125">
        <f>'ALL Other SINs - Proposal'!K362</f>
        <v>0</v>
      </c>
      <c r="L362" s="125">
        <f>'ALL Other SINs - Proposal'!L362</f>
        <v>0</v>
      </c>
      <c r="M362" s="206">
        <f>'ALL Other SINs - Proposal'!M362</f>
        <v>0</v>
      </c>
      <c r="N362" s="251">
        <f>'ALL Other SINs - Proposal'!V362</f>
        <v>0</v>
      </c>
      <c r="O362" s="201" t="str">
        <f>'Price Analysis'!N362</f>
        <v xml:space="preserve"> </v>
      </c>
      <c r="P362" s="53" t="str">
        <f>IF(ISBLANK('ALL Other SINs - Proposal'!AA362)," ",'ALL Other SINs - Proposal'!AA362)</f>
        <v xml:space="preserve"> </v>
      </c>
      <c r="Q362" s="95" t="str">
        <f>'ALL Other SINs - Proposal'!AC362</f>
        <v xml:space="preserve"> </v>
      </c>
      <c r="R362" s="100" t="str">
        <f>IF(ISBLANK('ALL Other SINs - Proposal'!AA362)," ",ROUND(Q362,2))</f>
        <v xml:space="preserve"> </v>
      </c>
      <c r="S362" s="54"/>
    </row>
    <row r="363" spans="1:19" ht="20.100000000000001" customHeight="1" x14ac:dyDescent="0.2">
      <c r="A363" s="127">
        <f>'ALL Other SINs - Proposal'!A363</f>
        <v>0</v>
      </c>
      <c r="B363" s="121">
        <f>'ALL Other SINs - Proposal'!B363</f>
        <v>0</v>
      </c>
      <c r="C363" s="121">
        <f>'ALL Other SINs - Proposal'!C363</f>
        <v>0</v>
      </c>
      <c r="D363" s="121">
        <f>'ALL Other SINs - Proposal'!D363</f>
        <v>0</v>
      </c>
      <c r="E363" s="121">
        <f>'ALL Other SINs - Proposal'!E363</f>
        <v>0</v>
      </c>
      <c r="F363" s="171">
        <f>'ALL Other SINs - Proposal'!F363</f>
        <v>0</v>
      </c>
      <c r="G363" s="51">
        <f>'ALL Other SINs - Proposal'!G363</f>
        <v>0</v>
      </c>
      <c r="H363" s="125">
        <f>'ALL Other SINs - Proposal'!H363</f>
        <v>0</v>
      </c>
      <c r="I363" s="125">
        <f>'ALL Other SINs - Proposal'!I363</f>
        <v>0</v>
      </c>
      <c r="J363" s="125">
        <f>'ALL Other SINs - Proposal'!J363</f>
        <v>0</v>
      </c>
      <c r="K363" s="125">
        <f>'ALL Other SINs - Proposal'!K363</f>
        <v>0</v>
      </c>
      <c r="L363" s="125">
        <f>'ALL Other SINs - Proposal'!L363</f>
        <v>0</v>
      </c>
      <c r="M363" s="206">
        <f>'ALL Other SINs - Proposal'!M363</f>
        <v>0</v>
      </c>
      <c r="N363" s="251">
        <f>'ALL Other SINs - Proposal'!V363</f>
        <v>0</v>
      </c>
      <c r="O363" s="201" t="str">
        <f>'Price Analysis'!N363</f>
        <v xml:space="preserve"> </v>
      </c>
      <c r="P363" s="53" t="str">
        <f>IF(ISBLANK('ALL Other SINs - Proposal'!AA363)," ",'ALL Other SINs - Proposal'!AA363)</f>
        <v xml:space="preserve"> </v>
      </c>
      <c r="Q363" s="95" t="str">
        <f>'ALL Other SINs - Proposal'!AC363</f>
        <v xml:space="preserve"> </v>
      </c>
      <c r="R363" s="100" t="str">
        <f>IF(ISBLANK('ALL Other SINs - Proposal'!AA363)," ",ROUND(Q363,2))</f>
        <v xml:space="preserve"> </v>
      </c>
      <c r="S363" s="54"/>
    </row>
    <row r="364" spans="1:19" ht="20.100000000000001" customHeight="1" x14ac:dyDescent="0.2">
      <c r="A364" s="127">
        <f>'ALL Other SINs - Proposal'!A364</f>
        <v>0</v>
      </c>
      <c r="B364" s="121">
        <f>'ALL Other SINs - Proposal'!B364</f>
        <v>0</v>
      </c>
      <c r="C364" s="121">
        <f>'ALL Other SINs - Proposal'!C364</f>
        <v>0</v>
      </c>
      <c r="D364" s="121">
        <f>'ALL Other SINs - Proposal'!D364</f>
        <v>0</v>
      </c>
      <c r="E364" s="121">
        <f>'ALL Other SINs - Proposal'!E364</f>
        <v>0</v>
      </c>
      <c r="F364" s="171">
        <f>'ALL Other SINs - Proposal'!F364</f>
        <v>0</v>
      </c>
      <c r="G364" s="51">
        <f>'ALL Other SINs - Proposal'!G364</f>
        <v>0</v>
      </c>
      <c r="H364" s="125">
        <f>'ALL Other SINs - Proposal'!H364</f>
        <v>0</v>
      </c>
      <c r="I364" s="125">
        <f>'ALL Other SINs - Proposal'!I364</f>
        <v>0</v>
      </c>
      <c r="J364" s="125">
        <f>'ALL Other SINs - Proposal'!J364</f>
        <v>0</v>
      </c>
      <c r="K364" s="125">
        <f>'ALL Other SINs - Proposal'!K364</f>
        <v>0</v>
      </c>
      <c r="L364" s="125">
        <f>'ALL Other SINs - Proposal'!L364</f>
        <v>0</v>
      </c>
      <c r="M364" s="206">
        <f>'ALL Other SINs - Proposal'!M364</f>
        <v>0</v>
      </c>
      <c r="N364" s="251">
        <f>'ALL Other SINs - Proposal'!V364</f>
        <v>0</v>
      </c>
      <c r="O364" s="201" t="str">
        <f>'Price Analysis'!N364</f>
        <v xml:space="preserve"> </v>
      </c>
      <c r="P364" s="53" t="str">
        <f>IF(ISBLANK('ALL Other SINs - Proposal'!AA364)," ",'ALL Other SINs - Proposal'!AA364)</f>
        <v xml:space="preserve"> </v>
      </c>
      <c r="Q364" s="95" t="str">
        <f>'ALL Other SINs - Proposal'!AC364</f>
        <v xml:space="preserve"> </v>
      </c>
      <c r="R364" s="100" t="str">
        <f>IF(ISBLANK('ALL Other SINs - Proposal'!AA364)," ",ROUND(Q364,2))</f>
        <v xml:space="preserve"> </v>
      </c>
      <c r="S364" s="54"/>
    </row>
    <row r="365" spans="1:19" ht="20.100000000000001" customHeight="1" x14ac:dyDescent="0.2">
      <c r="A365" s="127">
        <f>'ALL Other SINs - Proposal'!A365</f>
        <v>0</v>
      </c>
      <c r="B365" s="121">
        <f>'ALL Other SINs - Proposal'!B365</f>
        <v>0</v>
      </c>
      <c r="C365" s="121">
        <f>'ALL Other SINs - Proposal'!C365</f>
        <v>0</v>
      </c>
      <c r="D365" s="121">
        <f>'ALL Other SINs - Proposal'!D365</f>
        <v>0</v>
      </c>
      <c r="E365" s="121">
        <f>'ALL Other SINs - Proposal'!E365</f>
        <v>0</v>
      </c>
      <c r="F365" s="171">
        <f>'ALL Other SINs - Proposal'!F365</f>
        <v>0</v>
      </c>
      <c r="G365" s="51">
        <f>'ALL Other SINs - Proposal'!G365</f>
        <v>0</v>
      </c>
      <c r="H365" s="125">
        <f>'ALL Other SINs - Proposal'!H365</f>
        <v>0</v>
      </c>
      <c r="I365" s="125">
        <f>'ALL Other SINs - Proposal'!I365</f>
        <v>0</v>
      </c>
      <c r="J365" s="125">
        <f>'ALL Other SINs - Proposal'!J365</f>
        <v>0</v>
      </c>
      <c r="K365" s="125">
        <f>'ALL Other SINs - Proposal'!K365</f>
        <v>0</v>
      </c>
      <c r="L365" s="125">
        <f>'ALL Other SINs - Proposal'!L365</f>
        <v>0</v>
      </c>
      <c r="M365" s="206">
        <f>'ALL Other SINs - Proposal'!M365</f>
        <v>0</v>
      </c>
      <c r="N365" s="251">
        <f>'ALL Other SINs - Proposal'!V365</f>
        <v>0</v>
      </c>
      <c r="O365" s="201" t="str">
        <f>'Price Analysis'!N365</f>
        <v xml:space="preserve"> </v>
      </c>
      <c r="P365" s="53" t="str">
        <f>IF(ISBLANK('ALL Other SINs - Proposal'!AA365)," ",'ALL Other SINs - Proposal'!AA365)</f>
        <v xml:space="preserve"> </v>
      </c>
      <c r="Q365" s="95" t="str">
        <f>'ALL Other SINs - Proposal'!AC365</f>
        <v xml:space="preserve"> </v>
      </c>
      <c r="R365" s="100" t="str">
        <f>IF(ISBLANK('ALL Other SINs - Proposal'!AA365)," ",ROUND(Q365,2))</f>
        <v xml:space="preserve"> </v>
      </c>
      <c r="S365" s="54"/>
    </row>
    <row r="366" spans="1:19" ht="20.100000000000001" customHeight="1" x14ac:dyDescent="0.2">
      <c r="A366" s="127">
        <f>'ALL Other SINs - Proposal'!A366</f>
        <v>0</v>
      </c>
      <c r="B366" s="121">
        <f>'ALL Other SINs - Proposal'!B366</f>
        <v>0</v>
      </c>
      <c r="C366" s="121">
        <f>'ALL Other SINs - Proposal'!C366</f>
        <v>0</v>
      </c>
      <c r="D366" s="121">
        <f>'ALL Other SINs - Proposal'!D366</f>
        <v>0</v>
      </c>
      <c r="E366" s="121">
        <f>'ALL Other SINs - Proposal'!E366</f>
        <v>0</v>
      </c>
      <c r="F366" s="171">
        <f>'ALL Other SINs - Proposal'!F366</f>
        <v>0</v>
      </c>
      <c r="G366" s="51">
        <f>'ALL Other SINs - Proposal'!G366</f>
        <v>0</v>
      </c>
      <c r="H366" s="125">
        <f>'ALL Other SINs - Proposal'!H366</f>
        <v>0</v>
      </c>
      <c r="I366" s="125">
        <f>'ALL Other SINs - Proposal'!I366</f>
        <v>0</v>
      </c>
      <c r="J366" s="125">
        <f>'ALL Other SINs - Proposal'!J366</f>
        <v>0</v>
      </c>
      <c r="K366" s="125">
        <f>'ALL Other SINs - Proposal'!K366</f>
        <v>0</v>
      </c>
      <c r="L366" s="125">
        <f>'ALL Other SINs - Proposal'!L366</f>
        <v>0</v>
      </c>
      <c r="M366" s="206">
        <f>'ALL Other SINs - Proposal'!M366</f>
        <v>0</v>
      </c>
      <c r="N366" s="251">
        <f>'ALL Other SINs - Proposal'!V366</f>
        <v>0</v>
      </c>
      <c r="O366" s="201" t="str">
        <f>'Price Analysis'!N366</f>
        <v xml:space="preserve"> </v>
      </c>
      <c r="P366" s="53" t="str">
        <f>IF(ISBLANK('ALL Other SINs - Proposal'!AA366)," ",'ALL Other SINs - Proposal'!AA366)</f>
        <v xml:space="preserve"> </v>
      </c>
      <c r="Q366" s="95" t="str">
        <f>'ALL Other SINs - Proposal'!AC366</f>
        <v xml:space="preserve"> </v>
      </c>
      <c r="R366" s="100" t="str">
        <f>IF(ISBLANK('ALL Other SINs - Proposal'!AA366)," ",ROUND(Q366,2))</f>
        <v xml:space="preserve"> </v>
      </c>
      <c r="S366" s="54"/>
    </row>
    <row r="367" spans="1:19" ht="20.100000000000001" customHeight="1" x14ac:dyDescent="0.2">
      <c r="A367" s="127">
        <f>'ALL Other SINs - Proposal'!A367</f>
        <v>0</v>
      </c>
      <c r="B367" s="121">
        <f>'ALL Other SINs - Proposal'!B367</f>
        <v>0</v>
      </c>
      <c r="C367" s="121">
        <f>'ALL Other SINs - Proposal'!C367</f>
        <v>0</v>
      </c>
      <c r="D367" s="121">
        <f>'ALL Other SINs - Proposal'!D367</f>
        <v>0</v>
      </c>
      <c r="E367" s="121">
        <f>'ALL Other SINs - Proposal'!E367</f>
        <v>0</v>
      </c>
      <c r="F367" s="171">
        <f>'ALL Other SINs - Proposal'!F367</f>
        <v>0</v>
      </c>
      <c r="G367" s="51">
        <f>'ALL Other SINs - Proposal'!G367</f>
        <v>0</v>
      </c>
      <c r="H367" s="125">
        <f>'ALL Other SINs - Proposal'!H367</f>
        <v>0</v>
      </c>
      <c r="I367" s="125">
        <f>'ALL Other SINs - Proposal'!I367</f>
        <v>0</v>
      </c>
      <c r="J367" s="125">
        <f>'ALL Other SINs - Proposal'!J367</f>
        <v>0</v>
      </c>
      <c r="K367" s="125">
        <f>'ALL Other SINs - Proposal'!K367</f>
        <v>0</v>
      </c>
      <c r="L367" s="125">
        <f>'ALL Other SINs - Proposal'!L367</f>
        <v>0</v>
      </c>
      <c r="M367" s="206">
        <f>'ALL Other SINs - Proposal'!M367</f>
        <v>0</v>
      </c>
      <c r="N367" s="251">
        <f>'ALL Other SINs - Proposal'!V367</f>
        <v>0</v>
      </c>
      <c r="O367" s="201" t="str">
        <f>'Price Analysis'!N367</f>
        <v xml:space="preserve"> </v>
      </c>
      <c r="P367" s="53" t="str">
        <f>IF(ISBLANK('ALL Other SINs - Proposal'!AA367)," ",'ALL Other SINs - Proposal'!AA367)</f>
        <v xml:space="preserve"> </v>
      </c>
      <c r="Q367" s="95" t="str">
        <f>'ALL Other SINs - Proposal'!AC367</f>
        <v xml:space="preserve"> </v>
      </c>
      <c r="R367" s="100" t="str">
        <f>IF(ISBLANK('ALL Other SINs - Proposal'!AA367)," ",ROUND(Q367,2))</f>
        <v xml:space="preserve"> </v>
      </c>
      <c r="S367" s="54"/>
    </row>
    <row r="368" spans="1:19" ht="20.100000000000001" customHeight="1" x14ac:dyDescent="0.2">
      <c r="A368" s="127">
        <f>'ALL Other SINs - Proposal'!A368</f>
        <v>0</v>
      </c>
      <c r="B368" s="121">
        <f>'ALL Other SINs - Proposal'!B368</f>
        <v>0</v>
      </c>
      <c r="C368" s="121">
        <f>'ALL Other SINs - Proposal'!C368</f>
        <v>0</v>
      </c>
      <c r="D368" s="121">
        <f>'ALL Other SINs - Proposal'!D368</f>
        <v>0</v>
      </c>
      <c r="E368" s="121">
        <f>'ALL Other SINs - Proposal'!E368</f>
        <v>0</v>
      </c>
      <c r="F368" s="171">
        <f>'ALL Other SINs - Proposal'!F368</f>
        <v>0</v>
      </c>
      <c r="G368" s="51">
        <f>'ALL Other SINs - Proposal'!G368</f>
        <v>0</v>
      </c>
      <c r="H368" s="125">
        <f>'ALL Other SINs - Proposal'!H368</f>
        <v>0</v>
      </c>
      <c r="I368" s="125">
        <f>'ALL Other SINs - Proposal'!I368</f>
        <v>0</v>
      </c>
      <c r="J368" s="125">
        <f>'ALL Other SINs - Proposal'!J368</f>
        <v>0</v>
      </c>
      <c r="K368" s="125">
        <f>'ALL Other SINs - Proposal'!K368</f>
        <v>0</v>
      </c>
      <c r="L368" s="125">
        <f>'ALL Other SINs - Proposal'!L368</f>
        <v>0</v>
      </c>
      <c r="M368" s="206">
        <f>'ALL Other SINs - Proposal'!M368</f>
        <v>0</v>
      </c>
      <c r="N368" s="251">
        <f>'ALL Other SINs - Proposal'!V368</f>
        <v>0</v>
      </c>
      <c r="O368" s="201" t="str">
        <f>'Price Analysis'!N368</f>
        <v xml:space="preserve"> </v>
      </c>
      <c r="P368" s="53" t="str">
        <f>IF(ISBLANK('ALL Other SINs - Proposal'!AA368)," ",'ALL Other SINs - Proposal'!AA368)</f>
        <v xml:space="preserve"> </v>
      </c>
      <c r="Q368" s="95" t="str">
        <f>'ALL Other SINs - Proposal'!AC368</f>
        <v xml:space="preserve"> </v>
      </c>
      <c r="R368" s="100" t="str">
        <f>IF(ISBLANK('ALL Other SINs - Proposal'!AA368)," ",ROUND(Q368,2))</f>
        <v xml:space="preserve"> </v>
      </c>
      <c r="S368" s="54"/>
    </row>
    <row r="369" spans="1:19" ht="20.100000000000001" customHeight="1" x14ac:dyDescent="0.2">
      <c r="A369" s="127">
        <f>'ALL Other SINs - Proposal'!A369</f>
        <v>0</v>
      </c>
      <c r="B369" s="121">
        <f>'ALL Other SINs - Proposal'!B369</f>
        <v>0</v>
      </c>
      <c r="C369" s="121">
        <f>'ALL Other SINs - Proposal'!C369</f>
        <v>0</v>
      </c>
      <c r="D369" s="121">
        <f>'ALL Other SINs - Proposal'!D369</f>
        <v>0</v>
      </c>
      <c r="E369" s="121">
        <f>'ALL Other SINs - Proposal'!E369</f>
        <v>0</v>
      </c>
      <c r="F369" s="171">
        <f>'ALL Other SINs - Proposal'!F369</f>
        <v>0</v>
      </c>
      <c r="G369" s="51">
        <f>'ALL Other SINs - Proposal'!G369</f>
        <v>0</v>
      </c>
      <c r="H369" s="125">
        <f>'ALL Other SINs - Proposal'!H369</f>
        <v>0</v>
      </c>
      <c r="I369" s="125">
        <f>'ALL Other SINs - Proposal'!I369</f>
        <v>0</v>
      </c>
      <c r="J369" s="125">
        <f>'ALL Other SINs - Proposal'!J369</f>
        <v>0</v>
      </c>
      <c r="K369" s="125">
        <f>'ALL Other SINs - Proposal'!K369</f>
        <v>0</v>
      </c>
      <c r="L369" s="125">
        <f>'ALL Other SINs - Proposal'!L369</f>
        <v>0</v>
      </c>
      <c r="M369" s="206">
        <f>'ALL Other SINs - Proposal'!M369</f>
        <v>0</v>
      </c>
      <c r="N369" s="251">
        <f>'ALL Other SINs - Proposal'!V369</f>
        <v>0</v>
      </c>
      <c r="O369" s="201" t="str">
        <f>'Price Analysis'!N369</f>
        <v xml:space="preserve"> </v>
      </c>
      <c r="P369" s="53" t="str">
        <f>IF(ISBLANK('ALL Other SINs - Proposal'!AA369)," ",'ALL Other SINs - Proposal'!AA369)</f>
        <v xml:space="preserve"> </v>
      </c>
      <c r="Q369" s="95" t="str">
        <f>'ALL Other SINs - Proposal'!AC369</f>
        <v xml:space="preserve"> </v>
      </c>
      <c r="R369" s="100" t="str">
        <f>IF(ISBLANK('ALL Other SINs - Proposal'!AA369)," ",ROUND(Q369,2))</f>
        <v xml:space="preserve"> </v>
      </c>
      <c r="S369" s="54"/>
    </row>
    <row r="370" spans="1:19" ht="20.100000000000001" customHeight="1" x14ac:dyDescent="0.2">
      <c r="A370" s="127">
        <f>'ALL Other SINs - Proposal'!A370</f>
        <v>0</v>
      </c>
      <c r="B370" s="121">
        <f>'ALL Other SINs - Proposal'!B370</f>
        <v>0</v>
      </c>
      <c r="C370" s="121">
        <f>'ALL Other SINs - Proposal'!C370</f>
        <v>0</v>
      </c>
      <c r="D370" s="121">
        <f>'ALL Other SINs - Proposal'!D370</f>
        <v>0</v>
      </c>
      <c r="E370" s="121">
        <f>'ALL Other SINs - Proposal'!E370</f>
        <v>0</v>
      </c>
      <c r="F370" s="171">
        <f>'ALL Other SINs - Proposal'!F370</f>
        <v>0</v>
      </c>
      <c r="G370" s="51">
        <f>'ALL Other SINs - Proposal'!G370</f>
        <v>0</v>
      </c>
      <c r="H370" s="125">
        <f>'ALL Other SINs - Proposal'!H370</f>
        <v>0</v>
      </c>
      <c r="I370" s="125">
        <f>'ALL Other SINs - Proposal'!I370</f>
        <v>0</v>
      </c>
      <c r="J370" s="125">
        <f>'ALL Other SINs - Proposal'!J370</f>
        <v>0</v>
      </c>
      <c r="K370" s="125">
        <f>'ALL Other SINs - Proposal'!K370</f>
        <v>0</v>
      </c>
      <c r="L370" s="125">
        <f>'ALL Other SINs - Proposal'!L370</f>
        <v>0</v>
      </c>
      <c r="M370" s="206">
        <f>'ALL Other SINs - Proposal'!M370</f>
        <v>0</v>
      </c>
      <c r="N370" s="251">
        <f>'ALL Other SINs - Proposal'!V370</f>
        <v>0</v>
      </c>
      <c r="O370" s="201" t="str">
        <f>'Price Analysis'!N370</f>
        <v xml:space="preserve"> </v>
      </c>
      <c r="P370" s="53" t="str">
        <f>IF(ISBLANK('ALL Other SINs - Proposal'!AA370)," ",'ALL Other SINs - Proposal'!AA370)</f>
        <v xml:space="preserve"> </v>
      </c>
      <c r="Q370" s="95" t="str">
        <f>'ALL Other SINs - Proposal'!AC370</f>
        <v xml:space="preserve"> </v>
      </c>
      <c r="R370" s="100" t="str">
        <f>IF(ISBLANK('ALL Other SINs - Proposal'!AA370)," ",ROUND(Q370,2))</f>
        <v xml:space="preserve"> </v>
      </c>
      <c r="S370" s="54"/>
    </row>
    <row r="371" spans="1:19" ht="20.100000000000001" customHeight="1" x14ac:dyDescent="0.2">
      <c r="A371" s="127">
        <f>'ALL Other SINs - Proposal'!A371</f>
        <v>0</v>
      </c>
      <c r="B371" s="121">
        <f>'ALL Other SINs - Proposal'!B371</f>
        <v>0</v>
      </c>
      <c r="C371" s="121">
        <f>'ALL Other SINs - Proposal'!C371</f>
        <v>0</v>
      </c>
      <c r="D371" s="121">
        <f>'ALL Other SINs - Proposal'!D371</f>
        <v>0</v>
      </c>
      <c r="E371" s="121">
        <f>'ALL Other SINs - Proposal'!E371</f>
        <v>0</v>
      </c>
      <c r="F371" s="171">
        <f>'ALL Other SINs - Proposal'!F371</f>
        <v>0</v>
      </c>
      <c r="G371" s="51">
        <f>'ALL Other SINs - Proposal'!G371</f>
        <v>0</v>
      </c>
      <c r="H371" s="125">
        <f>'ALL Other SINs - Proposal'!H371</f>
        <v>0</v>
      </c>
      <c r="I371" s="125">
        <f>'ALL Other SINs - Proposal'!I371</f>
        <v>0</v>
      </c>
      <c r="J371" s="125">
        <f>'ALL Other SINs - Proposal'!J371</f>
        <v>0</v>
      </c>
      <c r="K371" s="125">
        <f>'ALL Other SINs - Proposal'!K371</f>
        <v>0</v>
      </c>
      <c r="L371" s="125">
        <f>'ALL Other SINs - Proposal'!L371</f>
        <v>0</v>
      </c>
      <c r="M371" s="206">
        <f>'ALL Other SINs - Proposal'!M371</f>
        <v>0</v>
      </c>
      <c r="N371" s="251">
        <f>'ALL Other SINs - Proposal'!V371</f>
        <v>0</v>
      </c>
      <c r="O371" s="201" t="str">
        <f>'Price Analysis'!N371</f>
        <v xml:space="preserve"> </v>
      </c>
      <c r="P371" s="53" t="str">
        <f>IF(ISBLANK('ALL Other SINs - Proposal'!AA371)," ",'ALL Other SINs - Proposal'!AA371)</f>
        <v xml:space="preserve"> </v>
      </c>
      <c r="Q371" s="95" t="str">
        <f>'ALL Other SINs - Proposal'!AC371</f>
        <v xml:space="preserve"> </v>
      </c>
      <c r="R371" s="100" t="str">
        <f>IF(ISBLANK('ALL Other SINs - Proposal'!AA371)," ",ROUND(Q371,2))</f>
        <v xml:space="preserve"> </v>
      </c>
      <c r="S371" s="54"/>
    </row>
    <row r="372" spans="1:19" ht="20.100000000000001" customHeight="1" x14ac:dyDescent="0.2">
      <c r="A372" s="127">
        <f>'ALL Other SINs - Proposal'!A372</f>
        <v>0</v>
      </c>
      <c r="B372" s="121">
        <f>'ALL Other SINs - Proposal'!B372</f>
        <v>0</v>
      </c>
      <c r="C372" s="121">
        <f>'ALL Other SINs - Proposal'!C372</f>
        <v>0</v>
      </c>
      <c r="D372" s="121">
        <f>'ALL Other SINs - Proposal'!D372</f>
        <v>0</v>
      </c>
      <c r="E372" s="121">
        <f>'ALL Other SINs - Proposal'!E372</f>
        <v>0</v>
      </c>
      <c r="F372" s="171">
        <f>'ALL Other SINs - Proposal'!F372</f>
        <v>0</v>
      </c>
      <c r="G372" s="51">
        <f>'ALL Other SINs - Proposal'!G372</f>
        <v>0</v>
      </c>
      <c r="H372" s="125">
        <f>'ALL Other SINs - Proposal'!H372</f>
        <v>0</v>
      </c>
      <c r="I372" s="125">
        <f>'ALL Other SINs - Proposal'!I372</f>
        <v>0</v>
      </c>
      <c r="J372" s="125">
        <f>'ALL Other SINs - Proposal'!J372</f>
        <v>0</v>
      </c>
      <c r="K372" s="125">
        <f>'ALL Other SINs - Proposal'!K372</f>
        <v>0</v>
      </c>
      <c r="L372" s="125">
        <f>'ALL Other SINs - Proposal'!L372</f>
        <v>0</v>
      </c>
      <c r="M372" s="206">
        <f>'ALL Other SINs - Proposal'!M372</f>
        <v>0</v>
      </c>
      <c r="N372" s="251">
        <f>'ALL Other SINs - Proposal'!V372</f>
        <v>0</v>
      </c>
      <c r="O372" s="201" t="str">
        <f>'Price Analysis'!N372</f>
        <v xml:space="preserve"> </v>
      </c>
      <c r="P372" s="53" t="str">
        <f>IF(ISBLANK('ALL Other SINs - Proposal'!AA372)," ",'ALL Other SINs - Proposal'!AA372)</f>
        <v xml:space="preserve"> </v>
      </c>
      <c r="Q372" s="95" t="str">
        <f>'ALL Other SINs - Proposal'!AC372</f>
        <v xml:space="preserve"> </v>
      </c>
      <c r="R372" s="100" t="str">
        <f>IF(ISBLANK('ALL Other SINs - Proposal'!AA372)," ",ROUND(Q372,2))</f>
        <v xml:space="preserve"> </v>
      </c>
      <c r="S372" s="54"/>
    </row>
    <row r="373" spans="1:19" ht="20.100000000000001" customHeight="1" x14ac:dyDescent="0.2">
      <c r="A373" s="127">
        <f>'ALL Other SINs - Proposal'!A373</f>
        <v>0</v>
      </c>
      <c r="B373" s="121">
        <f>'ALL Other SINs - Proposal'!B373</f>
        <v>0</v>
      </c>
      <c r="C373" s="121">
        <f>'ALL Other SINs - Proposal'!C373</f>
        <v>0</v>
      </c>
      <c r="D373" s="121">
        <f>'ALL Other SINs - Proposal'!D373</f>
        <v>0</v>
      </c>
      <c r="E373" s="121">
        <f>'ALL Other SINs - Proposal'!E373</f>
        <v>0</v>
      </c>
      <c r="F373" s="171">
        <f>'ALL Other SINs - Proposal'!F373</f>
        <v>0</v>
      </c>
      <c r="G373" s="51">
        <f>'ALL Other SINs - Proposal'!G373</f>
        <v>0</v>
      </c>
      <c r="H373" s="125">
        <f>'ALL Other SINs - Proposal'!H373</f>
        <v>0</v>
      </c>
      <c r="I373" s="125">
        <f>'ALL Other SINs - Proposal'!I373</f>
        <v>0</v>
      </c>
      <c r="J373" s="125">
        <f>'ALL Other SINs - Proposal'!J373</f>
        <v>0</v>
      </c>
      <c r="K373" s="125">
        <f>'ALL Other SINs - Proposal'!K373</f>
        <v>0</v>
      </c>
      <c r="L373" s="125">
        <f>'ALL Other SINs - Proposal'!L373</f>
        <v>0</v>
      </c>
      <c r="M373" s="206">
        <f>'ALL Other SINs - Proposal'!M373</f>
        <v>0</v>
      </c>
      <c r="N373" s="251">
        <f>'ALL Other SINs - Proposal'!V373</f>
        <v>0</v>
      </c>
      <c r="O373" s="201" t="str">
        <f>'Price Analysis'!N373</f>
        <v xml:space="preserve"> </v>
      </c>
      <c r="P373" s="53" t="str">
        <f>IF(ISBLANK('ALL Other SINs - Proposal'!AA373)," ",'ALL Other SINs - Proposal'!AA373)</f>
        <v xml:space="preserve"> </v>
      </c>
      <c r="Q373" s="95" t="str">
        <f>'ALL Other SINs - Proposal'!AC373</f>
        <v xml:space="preserve"> </v>
      </c>
      <c r="R373" s="100" t="str">
        <f>IF(ISBLANK('ALL Other SINs - Proposal'!AA373)," ",ROUND(Q373,2))</f>
        <v xml:space="preserve"> </v>
      </c>
      <c r="S373" s="54"/>
    </row>
    <row r="374" spans="1:19" ht="20.100000000000001" customHeight="1" x14ac:dyDescent="0.2">
      <c r="A374" s="127">
        <f>'ALL Other SINs - Proposal'!A374</f>
        <v>0</v>
      </c>
      <c r="B374" s="121">
        <f>'ALL Other SINs - Proposal'!B374</f>
        <v>0</v>
      </c>
      <c r="C374" s="121">
        <f>'ALL Other SINs - Proposal'!C374</f>
        <v>0</v>
      </c>
      <c r="D374" s="121">
        <f>'ALL Other SINs - Proposal'!D374</f>
        <v>0</v>
      </c>
      <c r="E374" s="121">
        <f>'ALL Other SINs - Proposal'!E374</f>
        <v>0</v>
      </c>
      <c r="F374" s="171">
        <f>'ALL Other SINs - Proposal'!F374</f>
        <v>0</v>
      </c>
      <c r="G374" s="51">
        <f>'ALL Other SINs - Proposal'!G374</f>
        <v>0</v>
      </c>
      <c r="H374" s="125">
        <f>'ALL Other SINs - Proposal'!H374</f>
        <v>0</v>
      </c>
      <c r="I374" s="125">
        <f>'ALL Other SINs - Proposal'!I374</f>
        <v>0</v>
      </c>
      <c r="J374" s="125">
        <f>'ALL Other SINs - Proposal'!J374</f>
        <v>0</v>
      </c>
      <c r="K374" s="125">
        <f>'ALL Other SINs - Proposal'!K374</f>
        <v>0</v>
      </c>
      <c r="L374" s="125">
        <f>'ALL Other SINs - Proposal'!L374</f>
        <v>0</v>
      </c>
      <c r="M374" s="206">
        <f>'ALL Other SINs - Proposal'!M374</f>
        <v>0</v>
      </c>
      <c r="N374" s="251">
        <f>'ALL Other SINs - Proposal'!V374</f>
        <v>0</v>
      </c>
      <c r="O374" s="201" t="str">
        <f>'Price Analysis'!N374</f>
        <v xml:space="preserve"> </v>
      </c>
      <c r="P374" s="53" t="str">
        <f>IF(ISBLANK('ALL Other SINs - Proposal'!AA374)," ",'ALL Other SINs - Proposal'!AA374)</f>
        <v xml:space="preserve"> </v>
      </c>
      <c r="Q374" s="95" t="str">
        <f>'ALL Other SINs - Proposal'!AC374</f>
        <v xml:space="preserve"> </v>
      </c>
      <c r="R374" s="100" t="str">
        <f>IF(ISBLANK('ALL Other SINs - Proposal'!AA374)," ",ROUND(Q374,2))</f>
        <v xml:space="preserve"> </v>
      </c>
      <c r="S374" s="54"/>
    </row>
    <row r="375" spans="1:19" ht="20.100000000000001" customHeight="1" x14ac:dyDescent="0.2">
      <c r="A375" s="127">
        <f>'ALL Other SINs - Proposal'!A375</f>
        <v>0</v>
      </c>
      <c r="B375" s="121">
        <f>'ALL Other SINs - Proposal'!B375</f>
        <v>0</v>
      </c>
      <c r="C375" s="121">
        <f>'ALL Other SINs - Proposal'!C375</f>
        <v>0</v>
      </c>
      <c r="D375" s="121">
        <f>'ALL Other SINs - Proposal'!D375</f>
        <v>0</v>
      </c>
      <c r="E375" s="121">
        <f>'ALL Other SINs - Proposal'!E375</f>
        <v>0</v>
      </c>
      <c r="F375" s="171">
        <f>'ALL Other SINs - Proposal'!F375</f>
        <v>0</v>
      </c>
      <c r="G375" s="51">
        <f>'ALL Other SINs - Proposal'!G375</f>
        <v>0</v>
      </c>
      <c r="H375" s="125">
        <f>'ALL Other SINs - Proposal'!H375</f>
        <v>0</v>
      </c>
      <c r="I375" s="125">
        <f>'ALL Other SINs - Proposal'!I375</f>
        <v>0</v>
      </c>
      <c r="J375" s="125">
        <f>'ALL Other SINs - Proposal'!J375</f>
        <v>0</v>
      </c>
      <c r="K375" s="125">
        <f>'ALL Other SINs - Proposal'!K375</f>
        <v>0</v>
      </c>
      <c r="L375" s="125">
        <f>'ALL Other SINs - Proposal'!L375</f>
        <v>0</v>
      </c>
      <c r="M375" s="206">
        <f>'ALL Other SINs - Proposal'!M375</f>
        <v>0</v>
      </c>
      <c r="N375" s="251">
        <f>'ALL Other SINs - Proposal'!V375</f>
        <v>0</v>
      </c>
      <c r="O375" s="201" t="str">
        <f>'Price Analysis'!N375</f>
        <v xml:space="preserve"> </v>
      </c>
      <c r="P375" s="53" t="str">
        <f>IF(ISBLANK('ALL Other SINs - Proposal'!AA375)," ",'ALL Other SINs - Proposal'!AA375)</f>
        <v xml:space="preserve"> </v>
      </c>
      <c r="Q375" s="95" t="str">
        <f>'ALL Other SINs - Proposal'!AC375</f>
        <v xml:space="preserve"> </v>
      </c>
      <c r="R375" s="100" t="str">
        <f>IF(ISBLANK('ALL Other SINs - Proposal'!AA375)," ",ROUND(Q375,2))</f>
        <v xml:space="preserve"> </v>
      </c>
      <c r="S375" s="54"/>
    </row>
    <row r="376" spans="1:19" ht="20.100000000000001" customHeight="1" x14ac:dyDescent="0.2">
      <c r="A376" s="127">
        <f>'ALL Other SINs - Proposal'!A376</f>
        <v>0</v>
      </c>
      <c r="B376" s="121">
        <f>'ALL Other SINs - Proposal'!B376</f>
        <v>0</v>
      </c>
      <c r="C376" s="121">
        <f>'ALL Other SINs - Proposal'!C376</f>
        <v>0</v>
      </c>
      <c r="D376" s="121">
        <f>'ALL Other SINs - Proposal'!D376</f>
        <v>0</v>
      </c>
      <c r="E376" s="121">
        <f>'ALL Other SINs - Proposal'!E376</f>
        <v>0</v>
      </c>
      <c r="F376" s="171">
        <f>'ALL Other SINs - Proposal'!F376</f>
        <v>0</v>
      </c>
      <c r="G376" s="51">
        <f>'ALL Other SINs - Proposal'!G376</f>
        <v>0</v>
      </c>
      <c r="H376" s="125">
        <f>'ALL Other SINs - Proposal'!H376</f>
        <v>0</v>
      </c>
      <c r="I376" s="125">
        <f>'ALL Other SINs - Proposal'!I376</f>
        <v>0</v>
      </c>
      <c r="J376" s="125">
        <f>'ALL Other SINs - Proposal'!J376</f>
        <v>0</v>
      </c>
      <c r="K376" s="125">
        <f>'ALL Other SINs - Proposal'!K376</f>
        <v>0</v>
      </c>
      <c r="L376" s="125">
        <f>'ALL Other SINs - Proposal'!L376</f>
        <v>0</v>
      </c>
      <c r="M376" s="206">
        <f>'ALL Other SINs - Proposal'!M376</f>
        <v>0</v>
      </c>
      <c r="N376" s="251">
        <f>'ALL Other SINs - Proposal'!V376</f>
        <v>0</v>
      </c>
      <c r="O376" s="201" t="str">
        <f>'Price Analysis'!N376</f>
        <v xml:space="preserve"> </v>
      </c>
      <c r="P376" s="53" t="str">
        <f>IF(ISBLANK('ALL Other SINs - Proposal'!AA376)," ",'ALL Other SINs - Proposal'!AA376)</f>
        <v xml:space="preserve"> </v>
      </c>
      <c r="Q376" s="95" t="str">
        <f>'ALL Other SINs - Proposal'!AC376</f>
        <v xml:space="preserve"> </v>
      </c>
      <c r="R376" s="100" t="str">
        <f>IF(ISBLANK('ALL Other SINs - Proposal'!AA376)," ",ROUND(Q376,2))</f>
        <v xml:space="preserve"> </v>
      </c>
      <c r="S376" s="54"/>
    </row>
    <row r="377" spans="1:19" ht="20.100000000000001" customHeight="1" x14ac:dyDescent="0.2">
      <c r="A377" s="127">
        <f>'ALL Other SINs - Proposal'!A377</f>
        <v>0</v>
      </c>
      <c r="B377" s="121">
        <f>'ALL Other SINs - Proposal'!B377</f>
        <v>0</v>
      </c>
      <c r="C377" s="121">
        <f>'ALL Other SINs - Proposal'!C377</f>
        <v>0</v>
      </c>
      <c r="D377" s="121">
        <f>'ALL Other SINs - Proposal'!D377</f>
        <v>0</v>
      </c>
      <c r="E377" s="121">
        <f>'ALL Other SINs - Proposal'!E377</f>
        <v>0</v>
      </c>
      <c r="F377" s="171">
        <f>'ALL Other SINs - Proposal'!F377</f>
        <v>0</v>
      </c>
      <c r="G377" s="51">
        <f>'ALL Other SINs - Proposal'!G377</f>
        <v>0</v>
      </c>
      <c r="H377" s="125">
        <f>'ALL Other SINs - Proposal'!H377</f>
        <v>0</v>
      </c>
      <c r="I377" s="125">
        <f>'ALL Other SINs - Proposal'!I377</f>
        <v>0</v>
      </c>
      <c r="J377" s="125">
        <f>'ALL Other SINs - Proposal'!J377</f>
        <v>0</v>
      </c>
      <c r="K377" s="125">
        <f>'ALL Other SINs - Proposal'!K377</f>
        <v>0</v>
      </c>
      <c r="L377" s="125">
        <f>'ALL Other SINs - Proposal'!L377</f>
        <v>0</v>
      </c>
      <c r="M377" s="206">
        <f>'ALL Other SINs - Proposal'!M377</f>
        <v>0</v>
      </c>
      <c r="N377" s="251">
        <f>'ALL Other SINs - Proposal'!V377</f>
        <v>0</v>
      </c>
      <c r="O377" s="201" t="str">
        <f>'Price Analysis'!N377</f>
        <v xml:space="preserve"> </v>
      </c>
      <c r="P377" s="53" t="str">
        <f>IF(ISBLANK('ALL Other SINs - Proposal'!AA377)," ",'ALL Other SINs - Proposal'!AA377)</f>
        <v xml:space="preserve"> </v>
      </c>
      <c r="Q377" s="95" t="str">
        <f>'ALL Other SINs - Proposal'!AC377</f>
        <v xml:space="preserve"> </v>
      </c>
      <c r="R377" s="100" t="str">
        <f>IF(ISBLANK('ALL Other SINs - Proposal'!AA377)," ",ROUND(Q377,2))</f>
        <v xml:space="preserve"> </v>
      </c>
      <c r="S377" s="54"/>
    </row>
    <row r="378" spans="1:19" ht="20.100000000000001" customHeight="1" x14ac:dyDescent="0.2">
      <c r="A378" s="127">
        <f>'ALL Other SINs - Proposal'!A378</f>
        <v>0</v>
      </c>
      <c r="B378" s="121">
        <f>'ALL Other SINs - Proposal'!B378</f>
        <v>0</v>
      </c>
      <c r="C378" s="121">
        <f>'ALL Other SINs - Proposal'!C378</f>
        <v>0</v>
      </c>
      <c r="D378" s="121">
        <f>'ALL Other SINs - Proposal'!D378</f>
        <v>0</v>
      </c>
      <c r="E378" s="121">
        <f>'ALL Other SINs - Proposal'!E378</f>
        <v>0</v>
      </c>
      <c r="F378" s="171">
        <f>'ALL Other SINs - Proposal'!F378</f>
        <v>0</v>
      </c>
      <c r="G378" s="51">
        <f>'ALL Other SINs - Proposal'!G378</f>
        <v>0</v>
      </c>
      <c r="H378" s="125">
        <f>'ALL Other SINs - Proposal'!H378</f>
        <v>0</v>
      </c>
      <c r="I378" s="125">
        <f>'ALL Other SINs - Proposal'!I378</f>
        <v>0</v>
      </c>
      <c r="J378" s="125">
        <f>'ALL Other SINs - Proposal'!J378</f>
        <v>0</v>
      </c>
      <c r="K378" s="125">
        <f>'ALL Other SINs - Proposal'!K378</f>
        <v>0</v>
      </c>
      <c r="L378" s="125">
        <f>'ALL Other SINs - Proposal'!L378</f>
        <v>0</v>
      </c>
      <c r="M378" s="206">
        <f>'ALL Other SINs - Proposal'!M378</f>
        <v>0</v>
      </c>
      <c r="N378" s="251">
        <f>'ALL Other SINs - Proposal'!V378</f>
        <v>0</v>
      </c>
      <c r="O378" s="201" t="str">
        <f>'Price Analysis'!N378</f>
        <v xml:space="preserve"> </v>
      </c>
      <c r="P378" s="53" t="str">
        <f>IF(ISBLANK('ALL Other SINs - Proposal'!AA378)," ",'ALL Other SINs - Proposal'!AA378)</f>
        <v xml:space="preserve"> </v>
      </c>
      <c r="Q378" s="95" t="str">
        <f>'ALL Other SINs - Proposal'!AC378</f>
        <v xml:space="preserve"> </v>
      </c>
      <c r="R378" s="100" t="str">
        <f>IF(ISBLANK('ALL Other SINs - Proposal'!AA378)," ",ROUND(Q378,2))</f>
        <v xml:space="preserve"> </v>
      </c>
      <c r="S378" s="54"/>
    </row>
    <row r="379" spans="1:19" ht="20.100000000000001" customHeight="1" x14ac:dyDescent="0.2">
      <c r="A379" s="127">
        <f>'ALL Other SINs - Proposal'!A379</f>
        <v>0</v>
      </c>
      <c r="B379" s="121">
        <f>'ALL Other SINs - Proposal'!B379</f>
        <v>0</v>
      </c>
      <c r="C379" s="121">
        <f>'ALL Other SINs - Proposal'!C379</f>
        <v>0</v>
      </c>
      <c r="D379" s="121">
        <f>'ALL Other SINs - Proposal'!D379</f>
        <v>0</v>
      </c>
      <c r="E379" s="121">
        <f>'ALL Other SINs - Proposal'!E379</f>
        <v>0</v>
      </c>
      <c r="F379" s="171">
        <f>'ALL Other SINs - Proposal'!F379</f>
        <v>0</v>
      </c>
      <c r="G379" s="51">
        <f>'ALL Other SINs - Proposal'!G379</f>
        <v>0</v>
      </c>
      <c r="H379" s="125">
        <f>'ALL Other SINs - Proposal'!H379</f>
        <v>0</v>
      </c>
      <c r="I379" s="125">
        <f>'ALL Other SINs - Proposal'!I379</f>
        <v>0</v>
      </c>
      <c r="J379" s="125">
        <f>'ALL Other SINs - Proposal'!J379</f>
        <v>0</v>
      </c>
      <c r="K379" s="125">
        <f>'ALL Other SINs - Proposal'!K379</f>
        <v>0</v>
      </c>
      <c r="L379" s="125">
        <f>'ALL Other SINs - Proposal'!L379</f>
        <v>0</v>
      </c>
      <c r="M379" s="206">
        <f>'ALL Other SINs - Proposal'!M379</f>
        <v>0</v>
      </c>
      <c r="N379" s="251">
        <f>'ALL Other SINs - Proposal'!V379</f>
        <v>0</v>
      </c>
      <c r="O379" s="201" t="str">
        <f>'Price Analysis'!N379</f>
        <v xml:space="preserve"> </v>
      </c>
      <c r="P379" s="53" t="str">
        <f>IF(ISBLANK('ALL Other SINs - Proposal'!AA379)," ",'ALL Other SINs - Proposal'!AA379)</f>
        <v xml:space="preserve"> </v>
      </c>
      <c r="Q379" s="95" t="str">
        <f>'ALL Other SINs - Proposal'!AC379</f>
        <v xml:space="preserve"> </v>
      </c>
      <c r="R379" s="100" t="str">
        <f>IF(ISBLANK('ALL Other SINs - Proposal'!AA379)," ",ROUND(Q379,2))</f>
        <v xml:space="preserve"> </v>
      </c>
      <c r="S379" s="54"/>
    </row>
    <row r="380" spans="1:19" ht="20.100000000000001" customHeight="1" x14ac:dyDescent="0.2">
      <c r="A380" s="127">
        <f>'ALL Other SINs - Proposal'!A380</f>
        <v>0</v>
      </c>
      <c r="B380" s="121">
        <f>'ALL Other SINs - Proposal'!B380</f>
        <v>0</v>
      </c>
      <c r="C380" s="121">
        <f>'ALL Other SINs - Proposal'!C380</f>
        <v>0</v>
      </c>
      <c r="D380" s="121">
        <f>'ALL Other SINs - Proposal'!D380</f>
        <v>0</v>
      </c>
      <c r="E380" s="121">
        <f>'ALL Other SINs - Proposal'!E380</f>
        <v>0</v>
      </c>
      <c r="F380" s="171">
        <f>'ALL Other SINs - Proposal'!F380</f>
        <v>0</v>
      </c>
      <c r="G380" s="51">
        <f>'ALL Other SINs - Proposal'!G380</f>
        <v>0</v>
      </c>
      <c r="H380" s="125">
        <f>'ALL Other SINs - Proposal'!H380</f>
        <v>0</v>
      </c>
      <c r="I380" s="125">
        <f>'ALL Other SINs - Proposal'!I380</f>
        <v>0</v>
      </c>
      <c r="J380" s="125">
        <f>'ALL Other SINs - Proposal'!J380</f>
        <v>0</v>
      </c>
      <c r="K380" s="125">
        <f>'ALL Other SINs - Proposal'!K380</f>
        <v>0</v>
      </c>
      <c r="L380" s="125">
        <f>'ALL Other SINs - Proposal'!L380</f>
        <v>0</v>
      </c>
      <c r="M380" s="206">
        <f>'ALL Other SINs - Proposal'!M380</f>
        <v>0</v>
      </c>
      <c r="N380" s="251">
        <f>'ALL Other SINs - Proposal'!V380</f>
        <v>0</v>
      </c>
      <c r="O380" s="201" t="str">
        <f>'Price Analysis'!N380</f>
        <v xml:space="preserve"> </v>
      </c>
      <c r="P380" s="53" t="str">
        <f>IF(ISBLANK('ALL Other SINs - Proposal'!AA380)," ",'ALL Other SINs - Proposal'!AA380)</f>
        <v xml:space="preserve"> </v>
      </c>
      <c r="Q380" s="95" t="str">
        <f>'ALL Other SINs - Proposal'!AC380</f>
        <v xml:space="preserve"> </v>
      </c>
      <c r="R380" s="100" t="str">
        <f>IF(ISBLANK('ALL Other SINs - Proposal'!AA380)," ",ROUND(Q380,2))</f>
        <v xml:space="preserve"> </v>
      </c>
      <c r="S380" s="54"/>
    </row>
    <row r="381" spans="1:19" ht="20.100000000000001" customHeight="1" x14ac:dyDescent="0.2">
      <c r="A381" s="127">
        <f>'ALL Other SINs - Proposal'!A381</f>
        <v>0</v>
      </c>
      <c r="B381" s="121">
        <f>'ALL Other SINs - Proposal'!B381</f>
        <v>0</v>
      </c>
      <c r="C381" s="121">
        <f>'ALL Other SINs - Proposal'!C381</f>
        <v>0</v>
      </c>
      <c r="D381" s="121">
        <f>'ALL Other SINs - Proposal'!D381</f>
        <v>0</v>
      </c>
      <c r="E381" s="121">
        <f>'ALL Other SINs - Proposal'!E381</f>
        <v>0</v>
      </c>
      <c r="F381" s="171">
        <f>'ALL Other SINs - Proposal'!F381</f>
        <v>0</v>
      </c>
      <c r="G381" s="51">
        <f>'ALL Other SINs - Proposal'!G381</f>
        <v>0</v>
      </c>
      <c r="H381" s="125">
        <f>'ALL Other SINs - Proposal'!H381</f>
        <v>0</v>
      </c>
      <c r="I381" s="125">
        <f>'ALL Other SINs - Proposal'!I381</f>
        <v>0</v>
      </c>
      <c r="J381" s="125">
        <f>'ALL Other SINs - Proposal'!J381</f>
        <v>0</v>
      </c>
      <c r="K381" s="125">
        <f>'ALL Other SINs - Proposal'!K381</f>
        <v>0</v>
      </c>
      <c r="L381" s="125">
        <f>'ALL Other SINs - Proposal'!L381</f>
        <v>0</v>
      </c>
      <c r="M381" s="206">
        <f>'ALL Other SINs - Proposal'!M381</f>
        <v>0</v>
      </c>
      <c r="N381" s="251">
        <f>'ALL Other SINs - Proposal'!V381</f>
        <v>0</v>
      </c>
      <c r="O381" s="201" t="str">
        <f>'Price Analysis'!N381</f>
        <v xml:space="preserve"> </v>
      </c>
      <c r="P381" s="53" t="str">
        <f>IF(ISBLANK('ALL Other SINs - Proposal'!AA381)," ",'ALL Other SINs - Proposal'!AA381)</f>
        <v xml:space="preserve"> </v>
      </c>
      <c r="Q381" s="95" t="str">
        <f>'ALL Other SINs - Proposal'!AC381</f>
        <v xml:space="preserve"> </v>
      </c>
      <c r="R381" s="100" t="str">
        <f>IF(ISBLANK('ALL Other SINs - Proposal'!AA381)," ",ROUND(Q381,2))</f>
        <v xml:space="preserve"> </v>
      </c>
      <c r="S381" s="54"/>
    </row>
    <row r="382" spans="1:19" ht="20.100000000000001" customHeight="1" x14ac:dyDescent="0.2">
      <c r="A382" s="127">
        <f>'ALL Other SINs - Proposal'!A382</f>
        <v>0</v>
      </c>
      <c r="B382" s="121">
        <f>'ALL Other SINs - Proposal'!B382</f>
        <v>0</v>
      </c>
      <c r="C382" s="121">
        <f>'ALL Other SINs - Proposal'!C382</f>
        <v>0</v>
      </c>
      <c r="D382" s="121">
        <f>'ALL Other SINs - Proposal'!D382</f>
        <v>0</v>
      </c>
      <c r="E382" s="121">
        <f>'ALL Other SINs - Proposal'!E382</f>
        <v>0</v>
      </c>
      <c r="F382" s="171">
        <f>'ALL Other SINs - Proposal'!F382</f>
        <v>0</v>
      </c>
      <c r="G382" s="51">
        <f>'ALL Other SINs - Proposal'!G382</f>
        <v>0</v>
      </c>
      <c r="H382" s="125">
        <f>'ALL Other SINs - Proposal'!H382</f>
        <v>0</v>
      </c>
      <c r="I382" s="125">
        <f>'ALL Other SINs - Proposal'!I382</f>
        <v>0</v>
      </c>
      <c r="J382" s="125">
        <f>'ALL Other SINs - Proposal'!J382</f>
        <v>0</v>
      </c>
      <c r="K382" s="125">
        <f>'ALL Other SINs - Proposal'!K382</f>
        <v>0</v>
      </c>
      <c r="L382" s="125">
        <f>'ALL Other SINs - Proposal'!L382</f>
        <v>0</v>
      </c>
      <c r="M382" s="206">
        <f>'ALL Other SINs - Proposal'!M382</f>
        <v>0</v>
      </c>
      <c r="N382" s="251">
        <f>'ALL Other SINs - Proposal'!V382</f>
        <v>0</v>
      </c>
      <c r="O382" s="201" t="str">
        <f>'Price Analysis'!N382</f>
        <v xml:space="preserve"> </v>
      </c>
      <c r="P382" s="53" t="str">
        <f>IF(ISBLANK('ALL Other SINs - Proposal'!AA382)," ",'ALL Other SINs - Proposal'!AA382)</f>
        <v xml:space="preserve"> </v>
      </c>
      <c r="Q382" s="95" t="str">
        <f>'ALL Other SINs - Proposal'!AC382</f>
        <v xml:space="preserve"> </v>
      </c>
      <c r="R382" s="100" t="str">
        <f>IF(ISBLANK('ALL Other SINs - Proposal'!AA382)," ",ROUND(Q382,2))</f>
        <v xml:space="preserve"> </v>
      </c>
      <c r="S382" s="54"/>
    </row>
    <row r="383" spans="1:19" ht="20.100000000000001" customHeight="1" x14ac:dyDescent="0.2">
      <c r="A383" s="127">
        <f>'ALL Other SINs - Proposal'!A383</f>
        <v>0</v>
      </c>
      <c r="B383" s="121">
        <f>'ALL Other SINs - Proposal'!B383</f>
        <v>0</v>
      </c>
      <c r="C383" s="121">
        <f>'ALL Other SINs - Proposal'!C383</f>
        <v>0</v>
      </c>
      <c r="D383" s="121">
        <f>'ALL Other SINs - Proposal'!D383</f>
        <v>0</v>
      </c>
      <c r="E383" s="121">
        <f>'ALL Other SINs - Proposal'!E383</f>
        <v>0</v>
      </c>
      <c r="F383" s="171">
        <f>'ALL Other SINs - Proposal'!F383</f>
        <v>0</v>
      </c>
      <c r="G383" s="51">
        <f>'ALL Other SINs - Proposal'!G383</f>
        <v>0</v>
      </c>
      <c r="H383" s="125">
        <f>'ALL Other SINs - Proposal'!H383</f>
        <v>0</v>
      </c>
      <c r="I383" s="125">
        <f>'ALL Other SINs - Proposal'!I383</f>
        <v>0</v>
      </c>
      <c r="J383" s="125">
        <f>'ALL Other SINs - Proposal'!J383</f>
        <v>0</v>
      </c>
      <c r="K383" s="125">
        <f>'ALL Other SINs - Proposal'!K383</f>
        <v>0</v>
      </c>
      <c r="L383" s="125">
        <f>'ALL Other SINs - Proposal'!L383</f>
        <v>0</v>
      </c>
      <c r="M383" s="206">
        <f>'ALL Other SINs - Proposal'!M383</f>
        <v>0</v>
      </c>
      <c r="N383" s="251">
        <f>'ALL Other SINs - Proposal'!V383</f>
        <v>0</v>
      </c>
      <c r="O383" s="201" t="str">
        <f>'Price Analysis'!N383</f>
        <v xml:space="preserve"> </v>
      </c>
      <c r="P383" s="53" t="str">
        <f>IF(ISBLANK('ALL Other SINs - Proposal'!AA383)," ",'ALL Other SINs - Proposal'!AA383)</f>
        <v xml:space="preserve"> </v>
      </c>
      <c r="Q383" s="95" t="str">
        <f>'ALL Other SINs - Proposal'!AC383</f>
        <v xml:space="preserve"> </v>
      </c>
      <c r="R383" s="100" t="str">
        <f>IF(ISBLANK('ALL Other SINs - Proposal'!AA383)," ",ROUND(Q383,2))</f>
        <v xml:space="preserve"> </v>
      </c>
      <c r="S383" s="54"/>
    </row>
    <row r="384" spans="1:19" ht="20.100000000000001" customHeight="1" x14ac:dyDescent="0.2">
      <c r="A384" s="127">
        <f>'ALL Other SINs - Proposal'!A384</f>
        <v>0</v>
      </c>
      <c r="B384" s="121">
        <f>'ALL Other SINs - Proposal'!B384</f>
        <v>0</v>
      </c>
      <c r="C384" s="121">
        <f>'ALL Other SINs - Proposal'!C384</f>
        <v>0</v>
      </c>
      <c r="D384" s="121">
        <f>'ALL Other SINs - Proposal'!D384</f>
        <v>0</v>
      </c>
      <c r="E384" s="121">
        <f>'ALL Other SINs - Proposal'!E384</f>
        <v>0</v>
      </c>
      <c r="F384" s="171">
        <f>'ALL Other SINs - Proposal'!F384</f>
        <v>0</v>
      </c>
      <c r="G384" s="51">
        <f>'ALL Other SINs - Proposal'!G384</f>
        <v>0</v>
      </c>
      <c r="H384" s="125">
        <f>'ALL Other SINs - Proposal'!H384</f>
        <v>0</v>
      </c>
      <c r="I384" s="125">
        <f>'ALL Other SINs - Proposal'!I384</f>
        <v>0</v>
      </c>
      <c r="J384" s="125">
        <f>'ALL Other SINs - Proposal'!J384</f>
        <v>0</v>
      </c>
      <c r="K384" s="125">
        <f>'ALL Other SINs - Proposal'!K384</f>
        <v>0</v>
      </c>
      <c r="L384" s="125">
        <f>'ALL Other SINs - Proposal'!L384</f>
        <v>0</v>
      </c>
      <c r="M384" s="206">
        <f>'ALL Other SINs - Proposal'!M384</f>
        <v>0</v>
      </c>
      <c r="N384" s="251">
        <f>'ALL Other SINs - Proposal'!V384</f>
        <v>0</v>
      </c>
      <c r="O384" s="201" t="str">
        <f>'Price Analysis'!N384</f>
        <v xml:space="preserve"> </v>
      </c>
      <c r="P384" s="53" t="str">
        <f>IF(ISBLANK('ALL Other SINs - Proposal'!AA384)," ",'ALL Other SINs - Proposal'!AA384)</f>
        <v xml:space="preserve"> </v>
      </c>
      <c r="Q384" s="95" t="str">
        <f>'ALL Other SINs - Proposal'!AC384</f>
        <v xml:space="preserve"> </v>
      </c>
      <c r="R384" s="100" t="str">
        <f>IF(ISBLANK('ALL Other SINs - Proposal'!AA384)," ",ROUND(Q384,2))</f>
        <v xml:space="preserve"> </v>
      </c>
      <c r="S384" s="54"/>
    </row>
    <row r="385" spans="1:19" ht="20.100000000000001" customHeight="1" x14ac:dyDescent="0.2">
      <c r="A385" s="127">
        <f>'ALL Other SINs - Proposal'!A385</f>
        <v>0</v>
      </c>
      <c r="B385" s="121">
        <f>'ALL Other SINs - Proposal'!B385</f>
        <v>0</v>
      </c>
      <c r="C385" s="121">
        <f>'ALL Other SINs - Proposal'!C385</f>
        <v>0</v>
      </c>
      <c r="D385" s="121">
        <f>'ALL Other SINs - Proposal'!D385</f>
        <v>0</v>
      </c>
      <c r="E385" s="121">
        <f>'ALL Other SINs - Proposal'!E385</f>
        <v>0</v>
      </c>
      <c r="F385" s="171">
        <f>'ALL Other SINs - Proposal'!F385</f>
        <v>0</v>
      </c>
      <c r="G385" s="51">
        <f>'ALL Other SINs - Proposal'!G385</f>
        <v>0</v>
      </c>
      <c r="H385" s="125">
        <f>'ALL Other SINs - Proposal'!H385</f>
        <v>0</v>
      </c>
      <c r="I385" s="125">
        <f>'ALL Other SINs - Proposal'!I385</f>
        <v>0</v>
      </c>
      <c r="J385" s="125">
        <f>'ALL Other SINs - Proposal'!J385</f>
        <v>0</v>
      </c>
      <c r="K385" s="125">
        <f>'ALL Other SINs - Proposal'!K385</f>
        <v>0</v>
      </c>
      <c r="L385" s="125">
        <f>'ALL Other SINs - Proposal'!L385</f>
        <v>0</v>
      </c>
      <c r="M385" s="206">
        <f>'ALL Other SINs - Proposal'!M385</f>
        <v>0</v>
      </c>
      <c r="N385" s="251">
        <f>'ALL Other SINs - Proposal'!V385</f>
        <v>0</v>
      </c>
      <c r="O385" s="201" t="str">
        <f>'Price Analysis'!N385</f>
        <v xml:space="preserve"> </v>
      </c>
      <c r="P385" s="53" t="str">
        <f>IF(ISBLANK('ALL Other SINs - Proposal'!AA385)," ",'ALL Other SINs - Proposal'!AA385)</f>
        <v xml:space="preserve"> </v>
      </c>
      <c r="Q385" s="95" t="str">
        <f>'ALL Other SINs - Proposal'!AC385</f>
        <v xml:space="preserve"> </v>
      </c>
      <c r="R385" s="100" t="str">
        <f>IF(ISBLANK('ALL Other SINs - Proposal'!AA385)," ",ROUND(Q385,2))</f>
        <v xml:space="preserve"> </v>
      </c>
      <c r="S385" s="54"/>
    </row>
    <row r="386" spans="1:19" ht="20.100000000000001" customHeight="1" x14ac:dyDescent="0.2">
      <c r="A386" s="127">
        <f>'ALL Other SINs - Proposal'!A386</f>
        <v>0</v>
      </c>
      <c r="B386" s="121">
        <f>'ALL Other SINs - Proposal'!B386</f>
        <v>0</v>
      </c>
      <c r="C386" s="121">
        <f>'ALL Other SINs - Proposal'!C386</f>
        <v>0</v>
      </c>
      <c r="D386" s="121">
        <f>'ALL Other SINs - Proposal'!D386</f>
        <v>0</v>
      </c>
      <c r="E386" s="121">
        <f>'ALL Other SINs - Proposal'!E386</f>
        <v>0</v>
      </c>
      <c r="F386" s="171">
        <f>'ALL Other SINs - Proposal'!F386</f>
        <v>0</v>
      </c>
      <c r="G386" s="51">
        <f>'ALL Other SINs - Proposal'!G386</f>
        <v>0</v>
      </c>
      <c r="H386" s="125">
        <f>'ALL Other SINs - Proposal'!H386</f>
        <v>0</v>
      </c>
      <c r="I386" s="125">
        <f>'ALL Other SINs - Proposal'!I386</f>
        <v>0</v>
      </c>
      <c r="J386" s="125">
        <f>'ALL Other SINs - Proposal'!J386</f>
        <v>0</v>
      </c>
      <c r="K386" s="125">
        <f>'ALL Other SINs - Proposal'!K386</f>
        <v>0</v>
      </c>
      <c r="L386" s="125">
        <f>'ALL Other SINs - Proposal'!L386</f>
        <v>0</v>
      </c>
      <c r="M386" s="206">
        <f>'ALL Other SINs - Proposal'!M386</f>
        <v>0</v>
      </c>
      <c r="N386" s="251">
        <f>'ALL Other SINs - Proposal'!V386</f>
        <v>0</v>
      </c>
      <c r="O386" s="201" t="str">
        <f>'Price Analysis'!N386</f>
        <v xml:space="preserve"> </v>
      </c>
      <c r="P386" s="53" t="str">
        <f>IF(ISBLANK('ALL Other SINs - Proposal'!AA386)," ",'ALL Other SINs - Proposal'!AA386)</f>
        <v xml:space="preserve"> </v>
      </c>
      <c r="Q386" s="95" t="str">
        <f>'ALL Other SINs - Proposal'!AC386</f>
        <v xml:space="preserve"> </v>
      </c>
      <c r="R386" s="100" t="str">
        <f>IF(ISBLANK('ALL Other SINs - Proposal'!AA386)," ",ROUND(Q386,2))</f>
        <v xml:space="preserve"> </v>
      </c>
      <c r="S386" s="54"/>
    </row>
    <row r="387" spans="1:19" ht="20.100000000000001" customHeight="1" x14ac:dyDescent="0.2">
      <c r="A387" s="127">
        <f>'ALL Other SINs - Proposal'!A387</f>
        <v>0</v>
      </c>
      <c r="B387" s="121">
        <f>'ALL Other SINs - Proposal'!B387</f>
        <v>0</v>
      </c>
      <c r="C387" s="121">
        <f>'ALL Other SINs - Proposal'!C387</f>
        <v>0</v>
      </c>
      <c r="D387" s="121">
        <f>'ALL Other SINs - Proposal'!D387</f>
        <v>0</v>
      </c>
      <c r="E387" s="121">
        <f>'ALL Other SINs - Proposal'!E387</f>
        <v>0</v>
      </c>
      <c r="F387" s="171">
        <f>'ALL Other SINs - Proposal'!F387</f>
        <v>0</v>
      </c>
      <c r="G387" s="51">
        <f>'ALL Other SINs - Proposal'!G387</f>
        <v>0</v>
      </c>
      <c r="H387" s="125">
        <f>'ALL Other SINs - Proposal'!H387</f>
        <v>0</v>
      </c>
      <c r="I387" s="125">
        <f>'ALL Other SINs - Proposal'!I387</f>
        <v>0</v>
      </c>
      <c r="J387" s="125">
        <f>'ALL Other SINs - Proposal'!J387</f>
        <v>0</v>
      </c>
      <c r="K387" s="125">
        <f>'ALL Other SINs - Proposal'!K387</f>
        <v>0</v>
      </c>
      <c r="L387" s="125">
        <f>'ALL Other SINs - Proposal'!L387</f>
        <v>0</v>
      </c>
      <c r="M387" s="206">
        <f>'ALL Other SINs - Proposal'!M387</f>
        <v>0</v>
      </c>
      <c r="N387" s="251">
        <f>'ALL Other SINs - Proposal'!V387</f>
        <v>0</v>
      </c>
      <c r="O387" s="201" t="str">
        <f>'Price Analysis'!N387</f>
        <v xml:space="preserve"> </v>
      </c>
      <c r="P387" s="53" t="str">
        <f>IF(ISBLANK('ALL Other SINs - Proposal'!AA387)," ",'ALL Other SINs - Proposal'!AA387)</f>
        <v xml:space="preserve"> </v>
      </c>
      <c r="Q387" s="95" t="str">
        <f>'ALL Other SINs - Proposal'!AC387</f>
        <v xml:space="preserve"> </v>
      </c>
      <c r="R387" s="100" t="str">
        <f>IF(ISBLANK('ALL Other SINs - Proposal'!AA387)," ",ROUND(Q387,2))</f>
        <v xml:space="preserve"> </v>
      </c>
      <c r="S387" s="54"/>
    </row>
    <row r="388" spans="1:19" ht="20.100000000000001" customHeight="1" x14ac:dyDescent="0.2">
      <c r="A388" s="127">
        <f>'ALL Other SINs - Proposal'!A388</f>
        <v>0</v>
      </c>
      <c r="B388" s="121">
        <f>'ALL Other SINs - Proposal'!B388</f>
        <v>0</v>
      </c>
      <c r="C388" s="121">
        <f>'ALL Other SINs - Proposal'!C388</f>
        <v>0</v>
      </c>
      <c r="D388" s="121">
        <f>'ALL Other SINs - Proposal'!D388</f>
        <v>0</v>
      </c>
      <c r="E388" s="121">
        <f>'ALL Other SINs - Proposal'!E388</f>
        <v>0</v>
      </c>
      <c r="F388" s="171">
        <f>'ALL Other SINs - Proposal'!F388</f>
        <v>0</v>
      </c>
      <c r="G388" s="51">
        <f>'ALL Other SINs - Proposal'!G388</f>
        <v>0</v>
      </c>
      <c r="H388" s="125">
        <f>'ALL Other SINs - Proposal'!H388</f>
        <v>0</v>
      </c>
      <c r="I388" s="125">
        <f>'ALL Other SINs - Proposal'!I388</f>
        <v>0</v>
      </c>
      <c r="J388" s="125">
        <f>'ALL Other SINs - Proposal'!J388</f>
        <v>0</v>
      </c>
      <c r="K388" s="125">
        <f>'ALL Other SINs - Proposal'!K388</f>
        <v>0</v>
      </c>
      <c r="L388" s="125">
        <f>'ALL Other SINs - Proposal'!L388</f>
        <v>0</v>
      </c>
      <c r="M388" s="206">
        <f>'ALL Other SINs - Proposal'!M388</f>
        <v>0</v>
      </c>
      <c r="N388" s="251">
        <f>'ALL Other SINs - Proposal'!V388</f>
        <v>0</v>
      </c>
      <c r="O388" s="201" t="str">
        <f>'Price Analysis'!N388</f>
        <v xml:space="preserve"> </v>
      </c>
      <c r="P388" s="53" t="str">
        <f>IF(ISBLANK('ALL Other SINs - Proposal'!AA388)," ",'ALL Other SINs - Proposal'!AA388)</f>
        <v xml:space="preserve"> </v>
      </c>
      <c r="Q388" s="95" t="str">
        <f>'ALL Other SINs - Proposal'!AC388</f>
        <v xml:space="preserve"> </v>
      </c>
      <c r="R388" s="100" t="str">
        <f>IF(ISBLANK('ALL Other SINs - Proposal'!AA388)," ",ROUND(Q388,2))</f>
        <v xml:space="preserve"> </v>
      </c>
      <c r="S388" s="54"/>
    </row>
    <row r="389" spans="1:19" ht="20.100000000000001" customHeight="1" x14ac:dyDescent="0.2">
      <c r="A389" s="127">
        <f>'ALL Other SINs - Proposal'!A389</f>
        <v>0</v>
      </c>
      <c r="B389" s="121">
        <f>'ALL Other SINs - Proposal'!B389</f>
        <v>0</v>
      </c>
      <c r="C389" s="121">
        <f>'ALL Other SINs - Proposal'!C389</f>
        <v>0</v>
      </c>
      <c r="D389" s="121">
        <f>'ALL Other SINs - Proposal'!D389</f>
        <v>0</v>
      </c>
      <c r="E389" s="121">
        <f>'ALL Other SINs - Proposal'!E389</f>
        <v>0</v>
      </c>
      <c r="F389" s="171">
        <f>'ALL Other SINs - Proposal'!F389</f>
        <v>0</v>
      </c>
      <c r="G389" s="51">
        <f>'ALL Other SINs - Proposal'!G389</f>
        <v>0</v>
      </c>
      <c r="H389" s="125">
        <f>'ALL Other SINs - Proposal'!H389</f>
        <v>0</v>
      </c>
      <c r="I389" s="125">
        <f>'ALL Other SINs - Proposal'!I389</f>
        <v>0</v>
      </c>
      <c r="J389" s="125">
        <f>'ALL Other SINs - Proposal'!J389</f>
        <v>0</v>
      </c>
      <c r="K389" s="125">
        <f>'ALL Other SINs - Proposal'!K389</f>
        <v>0</v>
      </c>
      <c r="L389" s="125">
        <f>'ALL Other SINs - Proposal'!L389</f>
        <v>0</v>
      </c>
      <c r="M389" s="206">
        <f>'ALL Other SINs - Proposal'!M389</f>
        <v>0</v>
      </c>
      <c r="N389" s="251">
        <f>'ALL Other SINs - Proposal'!V389</f>
        <v>0</v>
      </c>
      <c r="O389" s="201" t="str">
        <f>'Price Analysis'!N389</f>
        <v xml:space="preserve"> </v>
      </c>
      <c r="P389" s="53" t="str">
        <f>IF(ISBLANK('ALL Other SINs - Proposal'!AA389)," ",'ALL Other SINs - Proposal'!AA389)</f>
        <v xml:space="preserve"> </v>
      </c>
      <c r="Q389" s="95" t="str">
        <f>'ALL Other SINs - Proposal'!AC389</f>
        <v xml:space="preserve"> </v>
      </c>
      <c r="R389" s="100" t="str">
        <f>IF(ISBLANK('ALL Other SINs - Proposal'!AA389)," ",ROUND(Q389,2))</f>
        <v xml:space="preserve"> </v>
      </c>
      <c r="S389" s="54"/>
    </row>
    <row r="390" spans="1:19" ht="20.100000000000001" customHeight="1" x14ac:dyDescent="0.2">
      <c r="A390" s="127">
        <f>'ALL Other SINs - Proposal'!A390</f>
        <v>0</v>
      </c>
      <c r="B390" s="121">
        <f>'ALL Other SINs - Proposal'!B390</f>
        <v>0</v>
      </c>
      <c r="C390" s="121">
        <f>'ALL Other SINs - Proposal'!C390</f>
        <v>0</v>
      </c>
      <c r="D390" s="121">
        <f>'ALL Other SINs - Proposal'!D390</f>
        <v>0</v>
      </c>
      <c r="E390" s="121">
        <f>'ALL Other SINs - Proposal'!E390</f>
        <v>0</v>
      </c>
      <c r="F390" s="171">
        <f>'ALL Other SINs - Proposal'!F390</f>
        <v>0</v>
      </c>
      <c r="G390" s="51">
        <f>'ALL Other SINs - Proposal'!G390</f>
        <v>0</v>
      </c>
      <c r="H390" s="125">
        <f>'ALL Other SINs - Proposal'!H390</f>
        <v>0</v>
      </c>
      <c r="I390" s="125">
        <f>'ALL Other SINs - Proposal'!I390</f>
        <v>0</v>
      </c>
      <c r="J390" s="125">
        <f>'ALL Other SINs - Proposal'!J390</f>
        <v>0</v>
      </c>
      <c r="K390" s="125">
        <f>'ALL Other SINs - Proposal'!K390</f>
        <v>0</v>
      </c>
      <c r="L390" s="125">
        <f>'ALL Other SINs - Proposal'!L390</f>
        <v>0</v>
      </c>
      <c r="M390" s="206">
        <f>'ALL Other SINs - Proposal'!M390</f>
        <v>0</v>
      </c>
      <c r="N390" s="251">
        <f>'ALL Other SINs - Proposal'!V390</f>
        <v>0</v>
      </c>
      <c r="O390" s="201" t="str">
        <f>'Price Analysis'!N390</f>
        <v xml:space="preserve"> </v>
      </c>
      <c r="P390" s="53" t="str">
        <f>IF(ISBLANK('ALL Other SINs - Proposal'!AA390)," ",'ALL Other SINs - Proposal'!AA390)</f>
        <v xml:space="preserve"> </v>
      </c>
      <c r="Q390" s="95" t="str">
        <f>'ALL Other SINs - Proposal'!AC390</f>
        <v xml:space="preserve"> </v>
      </c>
      <c r="R390" s="100" t="str">
        <f>IF(ISBLANK('ALL Other SINs - Proposal'!AA390)," ",ROUND(Q390,2))</f>
        <v xml:space="preserve"> </v>
      </c>
      <c r="S390" s="54"/>
    </row>
    <row r="391" spans="1:19" ht="20.100000000000001" customHeight="1" x14ac:dyDescent="0.2">
      <c r="A391" s="127">
        <f>'ALL Other SINs - Proposal'!A391</f>
        <v>0</v>
      </c>
      <c r="B391" s="121">
        <f>'ALL Other SINs - Proposal'!B391</f>
        <v>0</v>
      </c>
      <c r="C391" s="121">
        <f>'ALL Other SINs - Proposal'!C391</f>
        <v>0</v>
      </c>
      <c r="D391" s="121">
        <f>'ALL Other SINs - Proposal'!D391</f>
        <v>0</v>
      </c>
      <c r="E391" s="121">
        <f>'ALL Other SINs - Proposal'!E391</f>
        <v>0</v>
      </c>
      <c r="F391" s="171">
        <f>'ALL Other SINs - Proposal'!F391</f>
        <v>0</v>
      </c>
      <c r="G391" s="51">
        <f>'ALL Other SINs - Proposal'!G391</f>
        <v>0</v>
      </c>
      <c r="H391" s="125">
        <f>'ALL Other SINs - Proposal'!H391</f>
        <v>0</v>
      </c>
      <c r="I391" s="125">
        <f>'ALL Other SINs - Proposal'!I391</f>
        <v>0</v>
      </c>
      <c r="J391" s="125">
        <f>'ALL Other SINs - Proposal'!J391</f>
        <v>0</v>
      </c>
      <c r="K391" s="125">
        <f>'ALL Other SINs - Proposal'!K391</f>
        <v>0</v>
      </c>
      <c r="L391" s="125">
        <f>'ALL Other SINs - Proposal'!L391</f>
        <v>0</v>
      </c>
      <c r="M391" s="206">
        <f>'ALL Other SINs - Proposal'!M391</f>
        <v>0</v>
      </c>
      <c r="N391" s="251">
        <f>'ALL Other SINs - Proposal'!V391</f>
        <v>0</v>
      </c>
      <c r="O391" s="201" t="str">
        <f>'Price Analysis'!N391</f>
        <v xml:space="preserve"> </v>
      </c>
      <c r="P391" s="53" t="str">
        <f>IF(ISBLANK('ALL Other SINs - Proposal'!AA391)," ",'ALL Other SINs - Proposal'!AA391)</f>
        <v xml:space="preserve"> </v>
      </c>
      <c r="Q391" s="95" t="str">
        <f>'ALL Other SINs - Proposal'!AC391</f>
        <v xml:space="preserve"> </v>
      </c>
      <c r="R391" s="100" t="str">
        <f>IF(ISBLANK('ALL Other SINs - Proposal'!AA391)," ",ROUND(Q391,2))</f>
        <v xml:space="preserve"> </v>
      </c>
      <c r="S391" s="54"/>
    </row>
    <row r="392" spans="1:19" ht="20.100000000000001" customHeight="1" x14ac:dyDescent="0.2">
      <c r="A392" s="127">
        <f>'ALL Other SINs - Proposal'!A392</f>
        <v>0</v>
      </c>
      <c r="B392" s="121">
        <f>'ALL Other SINs - Proposal'!B392</f>
        <v>0</v>
      </c>
      <c r="C392" s="121">
        <f>'ALL Other SINs - Proposal'!C392</f>
        <v>0</v>
      </c>
      <c r="D392" s="121">
        <f>'ALL Other SINs - Proposal'!D392</f>
        <v>0</v>
      </c>
      <c r="E392" s="121">
        <f>'ALL Other SINs - Proposal'!E392</f>
        <v>0</v>
      </c>
      <c r="F392" s="171">
        <f>'ALL Other SINs - Proposal'!F392</f>
        <v>0</v>
      </c>
      <c r="G392" s="51">
        <f>'ALL Other SINs - Proposal'!G392</f>
        <v>0</v>
      </c>
      <c r="H392" s="125">
        <f>'ALL Other SINs - Proposal'!H392</f>
        <v>0</v>
      </c>
      <c r="I392" s="125">
        <f>'ALL Other SINs - Proposal'!I392</f>
        <v>0</v>
      </c>
      <c r="J392" s="125">
        <f>'ALL Other SINs - Proposal'!J392</f>
        <v>0</v>
      </c>
      <c r="K392" s="125">
        <f>'ALL Other SINs - Proposal'!K392</f>
        <v>0</v>
      </c>
      <c r="L392" s="125">
        <f>'ALL Other SINs - Proposal'!L392</f>
        <v>0</v>
      </c>
      <c r="M392" s="206">
        <f>'ALL Other SINs - Proposal'!M392</f>
        <v>0</v>
      </c>
      <c r="N392" s="251">
        <f>'ALL Other SINs - Proposal'!V392</f>
        <v>0</v>
      </c>
      <c r="O392" s="201" t="str">
        <f>'Price Analysis'!N392</f>
        <v xml:space="preserve"> </v>
      </c>
      <c r="P392" s="53" t="str">
        <f>IF(ISBLANK('ALL Other SINs - Proposal'!AA392)," ",'ALL Other SINs - Proposal'!AA392)</f>
        <v xml:space="preserve"> </v>
      </c>
      <c r="Q392" s="95" t="str">
        <f>'ALL Other SINs - Proposal'!AC392</f>
        <v xml:space="preserve"> </v>
      </c>
      <c r="R392" s="100" t="str">
        <f>IF(ISBLANK('ALL Other SINs - Proposal'!AA392)," ",ROUND(Q392,2))</f>
        <v xml:space="preserve"> </v>
      </c>
      <c r="S392" s="54"/>
    </row>
    <row r="393" spans="1:19" ht="20.100000000000001" customHeight="1" x14ac:dyDescent="0.2">
      <c r="A393" s="127">
        <f>'ALL Other SINs - Proposal'!A393</f>
        <v>0</v>
      </c>
      <c r="B393" s="121">
        <f>'ALL Other SINs - Proposal'!B393</f>
        <v>0</v>
      </c>
      <c r="C393" s="121">
        <f>'ALL Other SINs - Proposal'!C393</f>
        <v>0</v>
      </c>
      <c r="D393" s="121">
        <f>'ALL Other SINs - Proposal'!D393</f>
        <v>0</v>
      </c>
      <c r="E393" s="121">
        <f>'ALL Other SINs - Proposal'!E393</f>
        <v>0</v>
      </c>
      <c r="F393" s="171">
        <f>'ALL Other SINs - Proposal'!F393</f>
        <v>0</v>
      </c>
      <c r="G393" s="51">
        <f>'ALL Other SINs - Proposal'!G393</f>
        <v>0</v>
      </c>
      <c r="H393" s="125">
        <f>'ALL Other SINs - Proposal'!H393</f>
        <v>0</v>
      </c>
      <c r="I393" s="125">
        <f>'ALL Other SINs - Proposal'!I393</f>
        <v>0</v>
      </c>
      <c r="J393" s="125">
        <f>'ALL Other SINs - Proposal'!J393</f>
        <v>0</v>
      </c>
      <c r="K393" s="125">
        <f>'ALL Other SINs - Proposal'!K393</f>
        <v>0</v>
      </c>
      <c r="L393" s="125">
        <f>'ALL Other SINs - Proposal'!L393</f>
        <v>0</v>
      </c>
      <c r="M393" s="206">
        <f>'ALL Other SINs - Proposal'!M393</f>
        <v>0</v>
      </c>
      <c r="N393" s="251">
        <f>'ALL Other SINs - Proposal'!V393</f>
        <v>0</v>
      </c>
      <c r="O393" s="201" t="str">
        <f>'Price Analysis'!N393</f>
        <v xml:space="preserve"> </v>
      </c>
      <c r="P393" s="53" t="str">
        <f>IF(ISBLANK('ALL Other SINs - Proposal'!AA393)," ",'ALL Other SINs - Proposal'!AA393)</f>
        <v xml:space="preserve"> </v>
      </c>
      <c r="Q393" s="95" t="str">
        <f>'ALL Other SINs - Proposal'!AC393</f>
        <v xml:space="preserve"> </v>
      </c>
      <c r="R393" s="100" t="str">
        <f>IF(ISBLANK('ALL Other SINs - Proposal'!AA393)," ",ROUND(Q393,2))</f>
        <v xml:space="preserve"> </v>
      </c>
      <c r="S393" s="54"/>
    </row>
    <row r="394" spans="1:19" ht="20.100000000000001" customHeight="1" x14ac:dyDescent="0.2">
      <c r="A394" s="127">
        <f>'ALL Other SINs - Proposal'!A394</f>
        <v>0</v>
      </c>
      <c r="B394" s="121">
        <f>'ALL Other SINs - Proposal'!B394</f>
        <v>0</v>
      </c>
      <c r="C394" s="121">
        <f>'ALL Other SINs - Proposal'!C394</f>
        <v>0</v>
      </c>
      <c r="D394" s="121">
        <f>'ALL Other SINs - Proposal'!D394</f>
        <v>0</v>
      </c>
      <c r="E394" s="121">
        <f>'ALL Other SINs - Proposal'!E394</f>
        <v>0</v>
      </c>
      <c r="F394" s="171">
        <f>'ALL Other SINs - Proposal'!F394</f>
        <v>0</v>
      </c>
      <c r="G394" s="51">
        <f>'ALL Other SINs - Proposal'!G394</f>
        <v>0</v>
      </c>
      <c r="H394" s="125">
        <f>'ALL Other SINs - Proposal'!H394</f>
        <v>0</v>
      </c>
      <c r="I394" s="125">
        <f>'ALL Other SINs - Proposal'!I394</f>
        <v>0</v>
      </c>
      <c r="J394" s="125">
        <f>'ALL Other SINs - Proposal'!J394</f>
        <v>0</v>
      </c>
      <c r="K394" s="125">
        <f>'ALL Other SINs - Proposal'!K394</f>
        <v>0</v>
      </c>
      <c r="L394" s="125">
        <f>'ALL Other SINs - Proposal'!L394</f>
        <v>0</v>
      </c>
      <c r="M394" s="206">
        <f>'ALL Other SINs - Proposal'!M394</f>
        <v>0</v>
      </c>
      <c r="N394" s="251">
        <f>'ALL Other SINs - Proposal'!V394</f>
        <v>0</v>
      </c>
      <c r="O394" s="201" t="str">
        <f>'Price Analysis'!N394</f>
        <v xml:space="preserve"> </v>
      </c>
      <c r="P394" s="53" t="str">
        <f>IF(ISBLANK('ALL Other SINs - Proposal'!AA394)," ",'ALL Other SINs - Proposal'!AA394)</f>
        <v xml:space="preserve"> </v>
      </c>
      <c r="Q394" s="95" t="str">
        <f>'ALL Other SINs - Proposal'!AC394</f>
        <v xml:space="preserve"> </v>
      </c>
      <c r="R394" s="100" t="str">
        <f>IF(ISBLANK('ALL Other SINs - Proposal'!AA394)," ",ROUND(Q394,2))</f>
        <v xml:space="preserve"> </v>
      </c>
      <c r="S394" s="54"/>
    </row>
    <row r="395" spans="1:19" ht="20.100000000000001" customHeight="1" x14ac:dyDescent="0.2">
      <c r="A395" s="127">
        <f>'ALL Other SINs - Proposal'!A395</f>
        <v>0</v>
      </c>
      <c r="B395" s="121">
        <f>'ALL Other SINs - Proposal'!B395</f>
        <v>0</v>
      </c>
      <c r="C395" s="121">
        <f>'ALL Other SINs - Proposal'!C395</f>
        <v>0</v>
      </c>
      <c r="D395" s="121">
        <f>'ALL Other SINs - Proposal'!D395</f>
        <v>0</v>
      </c>
      <c r="E395" s="121">
        <f>'ALL Other SINs - Proposal'!E395</f>
        <v>0</v>
      </c>
      <c r="F395" s="171">
        <f>'ALL Other SINs - Proposal'!F395</f>
        <v>0</v>
      </c>
      <c r="G395" s="51">
        <f>'ALL Other SINs - Proposal'!G395</f>
        <v>0</v>
      </c>
      <c r="H395" s="125">
        <f>'ALL Other SINs - Proposal'!H395</f>
        <v>0</v>
      </c>
      <c r="I395" s="125">
        <f>'ALL Other SINs - Proposal'!I395</f>
        <v>0</v>
      </c>
      <c r="J395" s="125">
        <f>'ALL Other SINs - Proposal'!J395</f>
        <v>0</v>
      </c>
      <c r="K395" s="125">
        <f>'ALL Other SINs - Proposal'!K395</f>
        <v>0</v>
      </c>
      <c r="L395" s="125">
        <f>'ALL Other SINs - Proposal'!L395</f>
        <v>0</v>
      </c>
      <c r="M395" s="206">
        <f>'ALL Other SINs - Proposal'!M395</f>
        <v>0</v>
      </c>
      <c r="N395" s="251">
        <f>'ALL Other SINs - Proposal'!V395</f>
        <v>0</v>
      </c>
      <c r="O395" s="201" t="str">
        <f>'Price Analysis'!N395</f>
        <v xml:space="preserve"> </v>
      </c>
      <c r="P395" s="53" t="str">
        <f>IF(ISBLANK('ALL Other SINs - Proposal'!AA395)," ",'ALL Other SINs - Proposal'!AA395)</f>
        <v xml:space="preserve"> </v>
      </c>
      <c r="Q395" s="95" t="str">
        <f>'ALL Other SINs - Proposal'!AC395</f>
        <v xml:space="preserve"> </v>
      </c>
      <c r="R395" s="100" t="str">
        <f>IF(ISBLANK('ALL Other SINs - Proposal'!AA395)," ",ROUND(Q395,2))</f>
        <v xml:space="preserve"> </v>
      </c>
      <c r="S395" s="54"/>
    </row>
    <row r="396" spans="1:19" ht="20.100000000000001" customHeight="1" x14ac:dyDescent="0.2">
      <c r="A396" s="127">
        <f>'ALL Other SINs - Proposal'!A396</f>
        <v>0</v>
      </c>
      <c r="B396" s="121">
        <f>'ALL Other SINs - Proposal'!B396</f>
        <v>0</v>
      </c>
      <c r="C396" s="121">
        <f>'ALL Other SINs - Proposal'!C396</f>
        <v>0</v>
      </c>
      <c r="D396" s="121">
        <f>'ALL Other SINs - Proposal'!D396</f>
        <v>0</v>
      </c>
      <c r="E396" s="121">
        <f>'ALL Other SINs - Proposal'!E396</f>
        <v>0</v>
      </c>
      <c r="F396" s="171">
        <f>'ALL Other SINs - Proposal'!F396</f>
        <v>0</v>
      </c>
      <c r="G396" s="51">
        <f>'ALL Other SINs - Proposal'!G396</f>
        <v>0</v>
      </c>
      <c r="H396" s="125">
        <f>'ALL Other SINs - Proposal'!H396</f>
        <v>0</v>
      </c>
      <c r="I396" s="125">
        <f>'ALL Other SINs - Proposal'!I396</f>
        <v>0</v>
      </c>
      <c r="J396" s="125">
        <f>'ALL Other SINs - Proposal'!J396</f>
        <v>0</v>
      </c>
      <c r="K396" s="125">
        <f>'ALL Other SINs - Proposal'!K396</f>
        <v>0</v>
      </c>
      <c r="L396" s="125">
        <f>'ALL Other SINs - Proposal'!L396</f>
        <v>0</v>
      </c>
      <c r="M396" s="206">
        <f>'ALL Other SINs - Proposal'!M396</f>
        <v>0</v>
      </c>
      <c r="N396" s="251">
        <f>'ALL Other SINs - Proposal'!V396</f>
        <v>0</v>
      </c>
      <c r="O396" s="201" t="str">
        <f>'Price Analysis'!N396</f>
        <v xml:space="preserve"> </v>
      </c>
      <c r="P396" s="53" t="str">
        <f>IF(ISBLANK('ALL Other SINs - Proposal'!AA396)," ",'ALL Other SINs - Proposal'!AA396)</f>
        <v xml:space="preserve"> </v>
      </c>
      <c r="Q396" s="95" t="str">
        <f>'ALL Other SINs - Proposal'!AC396</f>
        <v xml:space="preserve"> </v>
      </c>
      <c r="R396" s="100" t="str">
        <f>IF(ISBLANK('ALL Other SINs - Proposal'!AA396)," ",ROUND(Q396,2))</f>
        <v xml:space="preserve"> </v>
      </c>
      <c r="S396" s="54"/>
    </row>
    <row r="397" spans="1:19" ht="20.100000000000001" customHeight="1" x14ac:dyDescent="0.2">
      <c r="A397" s="127">
        <f>'ALL Other SINs - Proposal'!A397</f>
        <v>0</v>
      </c>
      <c r="B397" s="121">
        <f>'ALL Other SINs - Proposal'!B397</f>
        <v>0</v>
      </c>
      <c r="C397" s="121">
        <f>'ALL Other SINs - Proposal'!C397</f>
        <v>0</v>
      </c>
      <c r="D397" s="121">
        <f>'ALL Other SINs - Proposal'!D397</f>
        <v>0</v>
      </c>
      <c r="E397" s="121">
        <f>'ALL Other SINs - Proposal'!E397</f>
        <v>0</v>
      </c>
      <c r="F397" s="171">
        <f>'ALL Other SINs - Proposal'!F397</f>
        <v>0</v>
      </c>
      <c r="G397" s="51">
        <f>'ALL Other SINs - Proposal'!G397</f>
        <v>0</v>
      </c>
      <c r="H397" s="125">
        <f>'ALL Other SINs - Proposal'!H397</f>
        <v>0</v>
      </c>
      <c r="I397" s="125">
        <f>'ALL Other SINs - Proposal'!I397</f>
        <v>0</v>
      </c>
      <c r="J397" s="125">
        <f>'ALL Other SINs - Proposal'!J397</f>
        <v>0</v>
      </c>
      <c r="K397" s="125">
        <f>'ALL Other SINs - Proposal'!K397</f>
        <v>0</v>
      </c>
      <c r="L397" s="125">
        <f>'ALL Other SINs - Proposal'!L397</f>
        <v>0</v>
      </c>
      <c r="M397" s="206">
        <f>'ALL Other SINs - Proposal'!M397</f>
        <v>0</v>
      </c>
      <c r="N397" s="251">
        <f>'ALL Other SINs - Proposal'!V397</f>
        <v>0</v>
      </c>
      <c r="O397" s="201" t="str">
        <f>'Price Analysis'!N397</f>
        <v xml:space="preserve"> </v>
      </c>
      <c r="P397" s="53" t="str">
        <f>IF(ISBLANK('ALL Other SINs - Proposal'!AA397)," ",'ALL Other SINs - Proposal'!AA397)</f>
        <v xml:space="preserve"> </v>
      </c>
      <c r="Q397" s="95" t="str">
        <f>'ALL Other SINs - Proposal'!AC397</f>
        <v xml:space="preserve"> </v>
      </c>
      <c r="R397" s="100" t="str">
        <f>IF(ISBLANK('ALL Other SINs - Proposal'!AA397)," ",ROUND(Q397,2))</f>
        <v xml:space="preserve"> </v>
      </c>
      <c r="S397" s="54"/>
    </row>
    <row r="398" spans="1:19" ht="20.100000000000001" customHeight="1" x14ac:dyDescent="0.2">
      <c r="A398" s="127">
        <f>'ALL Other SINs - Proposal'!A398</f>
        <v>0</v>
      </c>
      <c r="B398" s="121">
        <f>'ALL Other SINs - Proposal'!B398</f>
        <v>0</v>
      </c>
      <c r="C398" s="121">
        <f>'ALL Other SINs - Proposal'!C398</f>
        <v>0</v>
      </c>
      <c r="D398" s="121">
        <f>'ALL Other SINs - Proposal'!D398</f>
        <v>0</v>
      </c>
      <c r="E398" s="121">
        <f>'ALL Other SINs - Proposal'!E398</f>
        <v>0</v>
      </c>
      <c r="F398" s="171">
        <f>'ALL Other SINs - Proposal'!F398</f>
        <v>0</v>
      </c>
      <c r="G398" s="51">
        <f>'ALL Other SINs - Proposal'!G398</f>
        <v>0</v>
      </c>
      <c r="H398" s="125">
        <f>'ALL Other SINs - Proposal'!H398</f>
        <v>0</v>
      </c>
      <c r="I398" s="125">
        <f>'ALL Other SINs - Proposal'!I398</f>
        <v>0</v>
      </c>
      <c r="J398" s="125">
        <f>'ALL Other SINs - Proposal'!J398</f>
        <v>0</v>
      </c>
      <c r="K398" s="125">
        <f>'ALL Other SINs - Proposal'!K398</f>
        <v>0</v>
      </c>
      <c r="L398" s="125">
        <f>'ALL Other SINs - Proposal'!L398</f>
        <v>0</v>
      </c>
      <c r="M398" s="206">
        <f>'ALL Other SINs - Proposal'!M398</f>
        <v>0</v>
      </c>
      <c r="N398" s="251">
        <f>'ALL Other SINs - Proposal'!V398</f>
        <v>0</v>
      </c>
      <c r="O398" s="201" t="str">
        <f>'Price Analysis'!N398</f>
        <v xml:space="preserve"> </v>
      </c>
      <c r="P398" s="53" t="str">
        <f>IF(ISBLANK('ALL Other SINs - Proposal'!AA398)," ",'ALL Other SINs - Proposal'!AA398)</f>
        <v xml:space="preserve"> </v>
      </c>
      <c r="Q398" s="95" t="str">
        <f>'ALL Other SINs - Proposal'!AC398</f>
        <v xml:space="preserve"> </v>
      </c>
      <c r="R398" s="100" t="str">
        <f>IF(ISBLANK('ALL Other SINs - Proposal'!AA398)," ",ROUND(Q398,2))</f>
        <v xml:space="preserve"> </v>
      </c>
      <c r="S398" s="54"/>
    </row>
    <row r="399" spans="1:19" ht="20.100000000000001" customHeight="1" x14ac:dyDescent="0.2">
      <c r="A399" s="127">
        <f>'ALL Other SINs - Proposal'!A399</f>
        <v>0</v>
      </c>
      <c r="B399" s="121">
        <f>'ALL Other SINs - Proposal'!B399</f>
        <v>0</v>
      </c>
      <c r="C399" s="121">
        <f>'ALL Other SINs - Proposal'!C399</f>
        <v>0</v>
      </c>
      <c r="D399" s="121">
        <f>'ALL Other SINs - Proposal'!D399</f>
        <v>0</v>
      </c>
      <c r="E399" s="121">
        <f>'ALL Other SINs - Proposal'!E399</f>
        <v>0</v>
      </c>
      <c r="F399" s="171">
        <f>'ALL Other SINs - Proposal'!F399</f>
        <v>0</v>
      </c>
      <c r="G399" s="51">
        <f>'ALL Other SINs - Proposal'!G399</f>
        <v>0</v>
      </c>
      <c r="H399" s="125">
        <f>'ALL Other SINs - Proposal'!H399</f>
        <v>0</v>
      </c>
      <c r="I399" s="125">
        <f>'ALL Other SINs - Proposal'!I399</f>
        <v>0</v>
      </c>
      <c r="J399" s="125">
        <f>'ALL Other SINs - Proposal'!J399</f>
        <v>0</v>
      </c>
      <c r="K399" s="125">
        <f>'ALL Other SINs - Proposal'!K399</f>
        <v>0</v>
      </c>
      <c r="L399" s="125">
        <f>'ALL Other SINs - Proposal'!L399</f>
        <v>0</v>
      </c>
      <c r="M399" s="206">
        <f>'ALL Other SINs - Proposal'!M399</f>
        <v>0</v>
      </c>
      <c r="N399" s="251">
        <f>'ALL Other SINs - Proposal'!V399</f>
        <v>0</v>
      </c>
      <c r="O399" s="201" t="str">
        <f>'Price Analysis'!N399</f>
        <v xml:space="preserve"> </v>
      </c>
      <c r="P399" s="53" t="str">
        <f>IF(ISBLANK('ALL Other SINs - Proposal'!AA399)," ",'ALL Other SINs - Proposal'!AA399)</f>
        <v xml:space="preserve"> </v>
      </c>
      <c r="Q399" s="95" t="str">
        <f>'ALL Other SINs - Proposal'!AC399</f>
        <v xml:space="preserve"> </v>
      </c>
      <c r="R399" s="100" t="str">
        <f>IF(ISBLANK('ALL Other SINs - Proposal'!AA399)," ",ROUND(Q399,2))</f>
        <v xml:space="preserve"> </v>
      </c>
      <c r="S399" s="54"/>
    </row>
    <row r="400" spans="1:19" ht="20.100000000000001" customHeight="1" x14ac:dyDescent="0.2">
      <c r="A400" s="127">
        <f>'ALL Other SINs - Proposal'!A400</f>
        <v>0</v>
      </c>
      <c r="B400" s="121">
        <f>'ALL Other SINs - Proposal'!B400</f>
        <v>0</v>
      </c>
      <c r="C400" s="121">
        <f>'ALL Other SINs - Proposal'!C400</f>
        <v>0</v>
      </c>
      <c r="D400" s="121">
        <f>'ALL Other SINs - Proposal'!D400</f>
        <v>0</v>
      </c>
      <c r="E400" s="121">
        <f>'ALL Other SINs - Proposal'!E400</f>
        <v>0</v>
      </c>
      <c r="F400" s="171">
        <f>'ALL Other SINs - Proposal'!F400</f>
        <v>0</v>
      </c>
      <c r="G400" s="51">
        <f>'ALL Other SINs - Proposal'!G400</f>
        <v>0</v>
      </c>
      <c r="H400" s="125">
        <f>'ALL Other SINs - Proposal'!H400</f>
        <v>0</v>
      </c>
      <c r="I400" s="125">
        <f>'ALL Other SINs - Proposal'!I400</f>
        <v>0</v>
      </c>
      <c r="J400" s="125">
        <f>'ALL Other SINs - Proposal'!J400</f>
        <v>0</v>
      </c>
      <c r="K400" s="125">
        <f>'ALL Other SINs - Proposal'!K400</f>
        <v>0</v>
      </c>
      <c r="L400" s="125">
        <f>'ALL Other SINs - Proposal'!L400</f>
        <v>0</v>
      </c>
      <c r="M400" s="206">
        <f>'ALL Other SINs - Proposal'!M400</f>
        <v>0</v>
      </c>
      <c r="N400" s="251">
        <f>'ALL Other SINs - Proposal'!V400</f>
        <v>0</v>
      </c>
      <c r="O400" s="201" t="str">
        <f>'Price Analysis'!N400</f>
        <v xml:space="preserve"> </v>
      </c>
      <c r="P400" s="53" t="str">
        <f>IF(ISBLANK('ALL Other SINs - Proposal'!AA400)," ",'ALL Other SINs - Proposal'!AA400)</f>
        <v xml:space="preserve"> </v>
      </c>
      <c r="Q400" s="95" t="str">
        <f>'ALL Other SINs - Proposal'!AC400</f>
        <v xml:space="preserve"> </v>
      </c>
      <c r="R400" s="100" t="str">
        <f>IF(ISBLANK('ALL Other SINs - Proposal'!AA400)," ",ROUND(Q400,2))</f>
        <v xml:space="preserve"> </v>
      </c>
      <c r="S400" s="54"/>
    </row>
    <row r="401" spans="1:19" ht="20.100000000000001" customHeight="1" x14ac:dyDescent="0.2">
      <c r="A401" s="127">
        <f>'ALL Other SINs - Proposal'!A401</f>
        <v>0</v>
      </c>
      <c r="B401" s="121">
        <f>'ALL Other SINs - Proposal'!B401</f>
        <v>0</v>
      </c>
      <c r="C401" s="121">
        <f>'ALL Other SINs - Proposal'!C401</f>
        <v>0</v>
      </c>
      <c r="D401" s="121">
        <f>'ALL Other SINs - Proposal'!D401</f>
        <v>0</v>
      </c>
      <c r="E401" s="121">
        <f>'ALL Other SINs - Proposal'!E401</f>
        <v>0</v>
      </c>
      <c r="F401" s="171">
        <f>'ALL Other SINs - Proposal'!F401</f>
        <v>0</v>
      </c>
      <c r="G401" s="51">
        <f>'ALL Other SINs - Proposal'!G401</f>
        <v>0</v>
      </c>
      <c r="H401" s="125">
        <f>'ALL Other SINs - Proposal'!H401</f>
        <v>0</v>
      </c>
      <c r="I401" s="125">
        <f>'ALL Other SINs - Proposal'!I401</f>
        <v>0</v>
      </c>
      <c r="J401" s="125">
        <f>'ALL Other SINs - Proposal'!J401</f>
        <v>0</v>
      </c>
      <c r="K401" s="125">
        <f>'ALL Other SINs - Proposal'!K401</f>
        <v>0</v>
      </c>
      <c r="L401" s="125">
        <f>'ALL Other SINs - Proposal'!L401</f>
        <v>0</v>
      </c>
      <c r="M401" s="206">
        <f>'ALL Other SINs - Proposal'!M401</f>
        <v>0</v>
      </c>
      <c r="N401" s="251">
        <f>'ALL Other SINs - Proposal'!V401</f>
        <v>0</v>
      </c>
      <c r="O401" s="201" t="str">
        <f>'Price Analysis'!N401</f>
        <v xml:space="preserve"> </v>
      </c>
      <c r="P401" s="53" t="str">
        <f>IF(ISBLANK('ALL Other SINs - Proposal'!AA401)," ",'ALL Other SINs - Proposal'!AA401)</f>
        <v xml:space="preserve"> </v>
      </c>
      <c r="Q401" s="95" t="str">
        <f>'ALL Other SINs - Proposal'!AC401</f>
        <v xml:space="preserve"> </v>
      </c>
      <c r="R401" s="100" t="str">
        <f>IF(ISBLANK('ALL Other SINs - Proposal'!AA401)," ",ROUND(Q401,2))</f>
        <v xml:space="preserve"> </v>
      </c>
      <c r="S401" s="54"/>
    </row>
    <row r="402" spans="1:19" ht="20.100000000000001" customHeight="1" x14ac:dyDescent="0.2">
      <c r="A402" s="127">
        <f>'ALL Other SINs - Proposal'!A402</f>
        <v>0</v>
      </c>
      <c r="B402" s="121">
        <f>'ALL Other SINs - Proposal'!B402</f>
        <v>0</v>
      </c>
      <c r="C402" s="121">
        <f>'ALL Other SINs - Proposal'!C402</f>
        <v>0</v>
      </c>
      <c r="D402" s="121">
        <f>'ALL Other SINs - Proposal'!D402</f>
        <v>0</v>
      </c>
      <c r="E402" s="121">
        <f>'ALL Other SINs - Proposal'!E402</f>
        <v>0</v>
      </c>
      <c r="F402" s="171">
        <f>'ALL Other SINs - Proposal'!F402</f>
        <v>0</v>
      </c>
      <c r="G402" s="51">
        <f>'ALL Other SINs - Proposal'!G402</f>
        <v>0</v>
      </c>
      <c r="H402" s="125">
        <f>'ALL Other SINs - Proposal'!H402</f>
        <v>0</v>
      </c>
      <c r="I402" s="125">
        <f>'ALL Other SINs - Proposal'!I402</f>
        <v>0</v>
      </c>
      <c r="J402" s="125">
        <f>'ALL Other SINs - Proposal'!J402</f>
        <v>0</v>
      </c>
      <c r="K402" s="125">
        <f>'ALL Other SINs - Proposal'!K402</f>
        <v>0</v>
      </c>
      <c r="L402" s="125">
        <f>'ALL Other SINs - Proposal'!L402</f>
        <v>0</v>
      </c>
      <c r="M402" s="206">
        <f>'ALL Other SINs - Proposal'!M402</f>
        <v>0</v>
      </c>
      <c r="N402" s="251">
        <f>'ALL Other SINs - Proposal'!V402</f>
        <v>0</v>
      </c>
      <c r="O402" s="201" t="str">
        <f>'Price Analysis'!N402</f>
        <v xml:space="preserve"> </v>
      </c>
      <c r="P402" s="53" t="str">
        <f>IF(ISBLANK('ALL Other SINs - Proposal'!AA402)," ",'ALL Other SINs - Proposal'!AA402)</f>
        <v xml:space="preserve"> </v>
      </c>
      <c r="Q402" s="95" t="str">
        <f>'ALL Other SINs - Proposal'!AC402</f>
        <v xml:space="preserve"> </v>
      </c>
      <c r="R402" s="100" t="str">
        <f>IF(ISBLANK('ALL Other SINs - Proposal'!AA402)," ",ROUND(Q402,2))</f>
        <v xml:space="preserve"> </v>
      </c>
      <c r="S402" s="54"/>
    </row>
    <row r="403" spans="1:19" ht="20.100000000000001" customHeight="1" x14ac:dyDescent="0.2">
      <c r="A403" s="127">
        <f>'ALL Other SINs - Proposal'!A403</f>
        <v>0</v>
      </c>
      <c r="B403" s="121">
        <f>'ALL Other SINs - Proposal'!B403</f>
        <v>0</v>
      </c>
      <c r="C403" s="121">
        <f>'ALL Other SINs - Proposal'!C403</f>
        <v>0</v>
      </c>
      <c r="D403" s="121">
        <f>'ALL Other SINs - Proposal'!D403</f>
        <v>0</v>
      </c>
      <c r="E403" s="121">
        <f>'ALL Other SINs - Proposal'!E403</f>
        <v>0</v>
      </c>
      <c r="F403" s="171">
        <f>'ALL Other SINs - Proposal'!F403</f>
        <v>0</v>
      </c>
      <c r="G403" s="51">
        <f>'ALL Other SINs - Proposal'!G403</f>
        <v>0</v>
      </c>
      <c r="H403" s="125">
        <f>'ALL Other SINs - Proposal'!H403</f>
        <v>0</v>
      </c>
      <c r="I403" s="125">
        <f>'ALL Other SINs - Proposal'!I403</f>
        <v>0</v>
      </c>
      <c r="J403" s="125">
        <f>'ALL Other SINs - Proposal'!J403</f>
        <v>0</v>
      </c>
      <c r="K403" s="125">
        <f>'ALL Other SINs - Proposal'!K403</f>
        <v>0</v>
      </c>
      <c r="L403" s="125">
        <f>'ALL Other SINs - Proposal'!L403</f>
        <v>0</v>
      </c>
      <c r="M403" s="206">
        <f>'ALL Other SINs - Proposal'!M403</f>
        <v>0</v>
      </c>
      <c r="N403" s="251">
        <f>'ALL Other SINs - Proposal'!V403</f>
        <v>0</v>
      </c>
      <c r="O403" s="201" t="str">
        <f>'Price Analysis'!N403</f>
        <v xml:space="preserve"> </v>
      </c>
      <c r="P403" s="53" t="str">
        <f>IF(ISBLANK('ALL Other SINs - Proposal'!AA403)," ",'ALL Other SINs - Proposal'!AA403)</f>
        <v xml:space="preserve"> </v>
      </c>
      <c r="Q403" s="95" t="str">
        <f>'ALL Other SINs - Proposal'!AC403</f>
        <v xml:space="preserve"> </v>
      </c>
      <c r="R403" s="100" t="str">
        <f>IF(ISBLANK('ALL Other SINs - Proposal'!AA403)," ",ROUND(Q403,2))</f>
        <v xml:space="preserve"> </v>
      </c>
      <c r="S403" s="54"/>
    </row>
    <row r="404" spans="1:19" ht="20.100000000000001" customHeight="1" x14ac:dyDescent="0.2">
      <c r="A404" s="127">
        <f>'ALL Other SINs - Proposal'!A404</f>
        <v>0</v>
      </c>
      <c r="B404" s="121">
        <f>'ALL Other SINs - Proposal'!B404</f>
        <v>0</v>
      </c>
      <c r="C404" s="121">
        <f>'ALL Other SINs - Proposal'!C404</f>
        <v>0</v>
      </c>
      <c r="D404" s="121">
        <f>'ALL Other SINs - Proposal'!D404</f>
        <v>0</v>
      </c>
      <c r="E404" s="121">
        <f>'ALL Other SINs - Proposal'!E404</f>
        <v>0</v>
      </c>
      <c r="F404" s="171">
        <f>'ALL Other SINs - Proposal'!F404</f>
        <v>0</v>
      </c>
      <c r="G404" s="51">
        <f>'ALL Other SINs - Proposal'!G404</f>
        <v>0</v>
      </c>
      <c r="H404" s="125">
        <f>'ALL Other SINs - Proposal'!H404</f>
        <v>0</v>
      </c>
      <c r="I404" s="125">
        <f>'ALL Other SINs - Proposal'!I404</f>
        <v>0</v>
      </c>
      <c r="J404" s="125">
        <f>'ALL Other SINs - Proposal'!J404</f>
        <v>0</v>
      </c>
      <c r="K404" s="125">
        <f>'ALL Other SINs - Proposal'!K404</f>
        <v>0</v>
      </c>
      <c r="L404" s="125">
        <f>'ALL Other SINs - Proposal'!L404</f>
        <v>0</v>
      </c>
      <c r="M404" s="206">
        <f>'ALL Other SINs - Proposal'!M404</f>
        <v>0</v>
      </c>
      <c r="N404" s="251">
        <f>'ALL Other SINs - Proposal'!V404</f>
        <v>0</v>
      </c>
      <c r="O404" s="201" t="str">
        <f>'Price Analysis'!N404</f>
        <v xml:space="preserve"> </v>
      </c>
      <c r="P404" s="53" t="str">
        <f>IF(ISBLANK('ALL Other SINs - Proposal'!AA404)," ",'ALL Other SINs - Proposal'!AA404)</f>
        <v xml:space="preserve"> </v>
      </c>
      <c r="Q404" s="95" t="str">
        <f>'ALL Other SINs - Proposal'!AC404</f>
        <v xml:space="preserve"> </v>
      </c>
      <c r="R404" s="100" t="str">
        <f>IF(ISBLANK('ALL Other SINs - Proposal'!AA404)," ",ROUND(Q404,2))</f>
        <v xml:space="preserve"> </v>
      </c>
      <c r="S404" s="54"/>
    </row>
    <row r="405" spans="1:19" ht="20.100000000000001" customHeight="1" x14ac:dyDescent="0.2">
      <c r="A405" s="127">
        <f>'ALL Other SINs - Proposal'!A405</f>
        <v>0</v>
      </c>
      <c r="B405" s="121">
        <f>'ALL Other SINs - Proposal'!B405</f>
        <v>0</v>
      </c>
      <c r="C405" s="121">
        <f>'ALL Other SINs - Proposal'!C405</f>
        <v>0</v>
      </c>
      <c r="D405" s="121">
        <f>'ALL Other SINs - Proposal'!D405</f>
        <v>0</v>
      </c>
      <c r="E405" s="121">
        <f>'ALL Other SINs - Proposal'!E405</f>
        <v>0</v>
      </c>
      <c r="F405" s="171">
        <f>'ALL Other SINs - Proposal'!F405</f>
        <v>0</v>
      </c>
      <c r="G405" s="51">
        <f>'ALL Other SINs - Proposal'!G405</f>
        <v>0</v>
      </c>
      <c r="H405" s="125">
        <f>'ALL Other SINs - Proposal'!H405</f>
        <v>0</v>
      </c>
      <c r="I405" s="125">
        <f>'ALL Other SINs - Proposal'!I405</f>
        <v>0</v>
      </c>
      <c r="J405" s="125">
        <f>'ALL Other SINs - Proposal'!J405</f>
        <v>0</v>
      </c>
      <c r="K405" s="125">
        <f>'ALL Other SINs - Proposal'!K405</f>
        <v>0</v>
      </c>
      <c r="L405" s="125">
        <f>'ALL Other SINs - Proposal'!L405</f>
        <v>0</v>
      </c>
      <c r="M405" s="206">
        <f>'ALL Other SINs - Proposal'!M405</f>
        <v>0</v>
      </c>
      <c r="N405" s="251">
        <f>'ALL Other SINs - Proposal'!V405</f>
        <v>0</v>
      </c>
      <c r="O405" s="201" t="str">
        <f>'Price Analysis'!N405</f>
        <v xml:space="preserve"> </v>
      </c>
      <c r="P405" s="53" t="str">
        <f>IF(ISBLANK('ALL Other SINs - Proposal'!AA405)," ",'ALL Other SINs - Proposal'!AA405)</f>
        <v xml:space="preserve"> </v>
      </c>
      <c r="Q405" s="95" t="str">
        <f>'ALL Other SINs - Proposal'!AC405</f>
        <v xml:space="preserve"> </v>
      </c>
      <c r="R405" s="100" t="str">
        <f>IF(ISBLANK('ALL Other SINs - Proposal'!AA405)," ",ROUND(Q405,2))</f>
        <v xml:space="preserve"> </v>
      </c>
      <c r="S405" s="54"/>
    </row>
    <row r="406" spans="1:19" ht="20.100000000000001" customHeight="1" x14ac:dyDescent="0.2">
      <c r="A406" s="127">
        <f>'ALL Other SINs - Proposal'!A406</f>
        <v>0</v>
      </c>
      <c r="B406" s="121">
        <f>'ALL Other SINs - Proposal'!B406</f>
        <v>0</v>
      </c>
      <c r="C406" s="121">
        <f>'ALL Other SINs - Proposal'!C406</f>
        <v>0</v>
      </c>
      <c r="D406" s="121">
        <f>'ALL Other SINs - Proposal'!D406</f>
        <v>0</v>
      </c>
      <c r="E406" s="121">
        <f>'ALL Other SINs - Proposal'!E406</f>
        <v>0</v>
      </c>
      <c r="F406" s="171">
        <f>'ALL Other SINs - Proposal'!F406</f>
        <v>0</v>
      </c>
      <c r="G406" s="51">
        <f>'ALL Other SINs - Proposal'!G406</f>
        <v>0</v>
      </c>
      <c r="H406" s="125">
        <f>'ALL Other SINs - Proposal'!H406</f>
        <v>0</v>
      </c>
      <c r="I406" s="125">
        <f>'ALL Other SINs - Proposal'!I406</f>
        <v>0</v>
      </c>
      <c r="J406" s="125">
        <f>'ALL Other SINs - Proposal'!J406</f>
        <v>0</v>
      </c>
      <c r="K406" s="125">
        <f>'ALL Other SINs - Proposal'!K406</f>
        <v>0</v>
      </c>
      <c r="L406" s="125">
        <f>'ALL Other SINs - Proposal'!L406</f>
        <v>0</v>
      </c>
      <c r="M406" s="206">
        <f>'ALL Other SINs - Proposal'!M406</f>
        <v>0</v>
      </c>
      <c r="N406" s="251">
        <f>'ALL Other SINs - Proposal'!V406</f>
        <v>0</v>
      </c>
      <c r="O406" s="201" t="str">
        <f>'Price Analysis'!N406</f>
        <v xml:space="preserve"> </v>
      </c>
      <c r="P406" s="53" t="str">
        <f>IF(ISBLANK('ALL Other SINs - Proposal'!AA406)," ",'ALL Other SINs - Proposal'!AA406)</f>
        <v xml:space="preserve"> </v>
      </c>
      <c r="Q406" s="95" t="str">
        <f>'ALL Other SINs - Proposal'!AC406</f>
        <v xml:space="preserve"> </v>
      </c>
      <c r="R406" s="100" t="str">
        <f>IF(ISBLANK('ALL Other SINs - Proposal'!AA406)," ",ROUND(Q406,2))</f>
        <v xml:space="preserve"> </v>
      </c>
      <c r="S406" s="54"/>
    </row>
    <row r="407" spans="1:19" ht="20.100000000000001" customHeight="1" x14ac:dyDescent="0.2">
      <c r="A407" s="127">
        <f>'ALL Other SINs - Proposal'!A407</f>
        <v>0</v>
      </c>
      <c r="B407" s="121">
        <f>'ALL Other SINs - Proposal'!B407</f>
        <v>0</v>
      </c>
      <c r="C407" s="121">
        <f>'ALL Other SINs - Proposal'!C407</f>
        <v>0</v>
      </c>
      <c r="D407" s="121">
        <f>'ALL Other SINs - Proposal'!D407</f>
        <v>0</v>
      </c>
      <c r="E407" s="121">
        <f>'ALL Other SINs - Proposal'!E407</f>
        <v>0</v>
      </c>
      <c r="F407" s="171">
        <f>'ALL Other SINs - Proposal'!F407</f>
        <v>0</v>
      </c>
      <c r="G407" s="51">
        <f>'ALL Other SINs - Proposal'!G407</f>
        <v>0</v>
      </c>
      <c r="H407" s="125">
        <f>'ALL Other SINs - Proposal'!H407</f>
        <v>0</v>
      </c>
      <c r="I407" s="125">
        <f>'ALL Other SINs - Proposal'!I407</f>
        <v>0</v>
      </c>
      <c r="J407" s="125">
        <f>'ALL Other SINs - Proposal'!J407</f>
        <v>0</v>
      </c>
      <c r="K407" s="125">
        <f>'ALL Other SINs - Proposal'!K407</f>
        <v>0</v>
      </c>
      <c r="L407" s="125">
        <f>'ALL Other SINs - Proposal'!L407</f>
        <v>0</v>
      </c>
      <c r="M407" s="206">
        <f>'ALL Other SINs - Proposal'!M407</f>
        <v>0</v>
      </c>
      <c r="N407" s="251">
        <f>'ALL Other SINs - Proposal'!V407</f>
        <v>0</v>
      </c>
      <c r="O407" s="201" t="str">
        <f>'Price Analysis'!N407</f>
        <v xml:space="preserve"> </v>
      </c>
      <c r="P407" s="53" t="str">
        <f>IF(ISBLANK('ALL Other SINs - Proposal'!AA407)," ",'ALL Other SINs - Proposal'!AA407)</f>
        <v xml:space="preserve"> </v>
      </c>
      <c r="Q407" s="95" t="str">
        <f>'ALL Other SINs - Proposal'!AC407</f>
        <v xml:space="preserve"> </v>
      </c>
      <c r="R407" s="100" t="str">
        <f>IF(ISBLANK('ALL Other SINs - Proposal'!AA407)," ",ROUND(Q407,2))</f>
        <v xml:space="preserve"> </v>
      </c>
      <c r="S407" s="54"/>
    </row>
    <row r="408" spans="1:19" ht="20.100000000000001" customHeight="1" x14ac:dyDescent="0.2">
      <c r="A408" s="127">
        <f>'ALL Other SINs - Proposal'!A408</f>
        <v>0</v>
      </c>
      <c r="B408" s="121">
        <f>'ALL Other SINs - Proposal'!B408</f>
        <v>0</v>
      </c>
      <c r="C408" s="121">
        <f>'ALL Other SINs - Proposal'!C408</f>
        <v>0</v>
      </c>
      <c r="D408" s="121">
        <f>'ALL Other SINs - Proposal'!D408</f>
        <v>0</v>
      </c>
      <c r="E408" s="121">
        <f>'ALL Other SINs - Proposal'!E408</f>
        <v>0</v>
      </c>
      <c r="F408" s="171">
        <f>'ALL Other SINs - Proposal'!F408</f>
        <v>0</v>
      </c>
      <c r="G408" s="51">
        <f>'ALL Other SINs - Proposal'!G408</f>
        <v>0</v>
      </c>
      <c r="H408" s="125">
        <f>'ALL Other SINs - Proposal'!H408</f>
        <v>0</v>
      </c>
      <c r="I408" s="125">
        <f>'ALL Other SINs - Proposal'!I408</f>
        <v>0</v>
      </c>
      <c r="J408" s="125">
        <f>'ALL Other SINs - Proposal'!J408</f>
        <v>0</v>
      </c>
      <c r="K408" s="125">
        <f>'ALL Other SINs - Proposal'!K408</f>
        <v>0</v>
      </c>
      <c r="L408" s="125">
        <f>'ALL Other SINs - Proposal'!L408</f>
        <v>0</v>
      </c>
      <c r="M408" s="206">
        <f>'ALL Other SINs - Proposal'!M408</f>
        <v>0</v>
      </c>
      <c r="N408" s="251">
        <f>'ALL Other SINs - Proposal'!V408</f>
        <v>0</v>
      </c>
      <c r="O408" s="201" t="str">
        <f>'Price Analysis'!N408</f>
        <v xml:space="preserve"> </v>
      </c>
      <c r="P408" s="53" t="str">
        <f>IF(ISBLANK('ALL Other SINs - Proposal'!AA408)," ",'ALL Other SINs - Proposal'!AA408)</f>
        <v xml:space="preserve"> </v>
      </c>
      <c r="Q408" s="95" t="str">
        <f>'ALL Other SINs - Proposal'!AC408</f>
        <v xml:space="preserve"> </v>
      </c>
      <c r="R408" s="100" t="str">
        <f>IF(ISBLANK('ALL Other SINs - Proposal'!AA408)," ",ROUND(Q408,2))</f>
        <v xml:space="preserve"> </v>
      </c>
      <c r="S408" s="54"/>
    </row>
    <row r="409" spans="1:19" ht="20.100000000000001" customHeight="1" x14ac:dyDescent="0.2">
      <c r="A409" s="127">
        <f>'ALL Other SINs - Proposal'!A409</f>
        <v>0</v>
      </c>
      <c r="B409" s="121">
        <f>'ALL Other SINs - Proposal'!B409</f>
        <v>0</v>
      </c>
      <c r="C409" s="121">
        <f>'ALL Other SINs - Proposal'!C409</f>
        <v>0</v>
      </c>
      <c r="D409" s="121">
        <f>'ALL Other SINs - Proposal'!D409</f>
        <v>0</v>
      </c>
      <c r="E409" s="121">
        <f>'ALL Other SINs - Proposal'!E409</f>
        <v>0</v>
      </c>
      <c r="F409" s="171">
        <f>'ALL Other SINs - Proposal'!F409</f>
        <v>0</v>
      </c>
      <c r="G409" s="51">
        <f>'ALL Other SINs - Proposal'!G409</f>
        <v>0</v>
      </c>
      <c r="H409" s="125">
        <f>'ALL Other SINs - Proposal'!H409</f>
        <v>0</v>
      </c>
      <c r="I409" s="125">
        <f>'ALL Other SINs - Proposal'!I409</f>
        <v>0</v>
      </c>
      <c r="J409" s="125">
        <f>'ALL Other SINs - Proposal'!J409</f>
        <v>0</v>
      </c>
      <c r="K409" s="125">
        <f>'ALL Other SINs - Proposal'!K409</f>
        <v>0</v>
      </c>
      <c r="L409" s="125">
        <f>'ALL Other SINs - Proposal'!L409</f>
        <v>0</v>
      </c>
      <c r="M409" s="206">
        <f>'ALL Other SINs - Proposal'!M409</f>
        <v>0</v>
      </c>
      <c r="N409" s="251">
        <f>'ALL Other SINs - Proposal'!V409</f>
        <v>0</v>
      </c>
      <c r="O409" s="201" t="str">
        <f>'Price Analysis'!N409</f>
        <v xml:space="preserve"> </v>
      </c>
      <c r="P409" s="53" t="str">
        <f>IF(ISBLANK('ALL Other SINs - Proposal'!AA409)," ",'ALL Other SINs - Proposal'!AA409)</f>
        <v xml:space="preserve"> </v>
      </c>
      <c r="Q409" s="95" t="str">
        <f>'ALL Other SINs - Proposal'!AC409</f>
        <v xml:space="preserve"> </v>
      </c>
      <c r="R409" s="100" t="str">
        <f>IF(ISBLANK('ALL Other SINs - Proposal'!AA409)," ",ROUND(Q409,2))</f>
        <v xml:space="preserve"> </v>
      </c>
      <c r="S409" s="54"/>
    </row>
    <row r="410" spans="1:19" ht="20.100000000000001" customHeight="1" x14ac:dyDescent="0.2">
      <c r="A410" s="127">
        <f>'ALL Other SINs - Proposal'!A410</f>
        <v>0</v>
      </c>
      <c r="B410" s="121">
        <f>'ALL Other SINs - Proposal'!B410</f>
        <v>0</v>
      </c>
      <c r="C410" s="121">
        <f>'ALL Other SINs - Proposal'!C410</f>
        <v>0</v>
      </c>
      <c r="D410" s="121">
        <f>'ALL Other SINs - Proposal'!D410</f>
        <v>0</v>
      </c>
      <c r="E410" s="121">
        <f>'ALL Other SINs - Proposal'!E410</f>
        <v>0</v>
      </c>
      <c r="F410" s="171">
        <f>'ALL Other SINs - Proposal'!F410</f>
        <v>0</v>
      </c>
      <c r="G410" s="51">
        <f>'ALL Other SINs - Proposal'!G410</f>
        <v>0</v>
      </c>
      <c r="H410" s="125">
        <f>'ALL Other SINs - Proposal'!H410</f>
        <v>0</v>
      </c>
      <c r="I410" s="125">
        <f>'ALL Other SINs - Proposal'!I410</f>
        <v>0</v>
      </c>
      <c r="J410" s="125">
        <f>'ALL Other SINs - Proposal'!J410</f>
        <v>0</v>
      </c>
      <c r="K410" s="125">
        <f>'ALL Other SINs - Proposal'!K410</f>
        <v>0</v>
      </c>
      <c r="L410" s="125">
        <f>'ALL Other SINs - Proposal'!L410</f>
        <v>0</v>
      </c>
      <c r="M410" s="206">
        <f>'ALL Other SINs - Proposal'!M410</f>
        <v>0</v>
      </c>
      <c r="N410" s="251">
        <f>'ALL Other SINs - Proposal'!V410</f>
        <v>0</v>
      </c>
      <c r="O410" s="201" t="str">
        <f>'Price Analysis'!N410</f>
        <v xml:space="preserve"> </v>
      </c>
      <c r="P410" s="53" t="str">
        <f>IF(ISBLANK('ALL Other SINs - Proposal'!AA410)," ",'ALL Other SINs - Proposal'!AA410)</f>
        <v xml:space="preserve"> </v>
      </c>
      <c r="Q410" s="95" t="str">
        <f>'ALL Other SINs - Proposal'!AC410</f>
        <v xml:space="preserve"> </v>
      </c>
      <c r="R410" s="100" t="str">
        <f>IF(ISBLANK('ALL Other SINs - Proposal'!AA410)," ",ROUND(Q410,2))</f>
        <v xml:space="preserve"> </v>
      </c>
      <c r="S410" s="54"/>
    </row>
    <row r="411" spans="1:19" ht="20.100000000000001" customHeight="1" x14ac:dyDescent="0.2">
      <c r="A411" s="127">
        <f>'ALL Other SINs - Proposal'!A411</f>
        <v>0</v>
      </c>
      <c r="B411" s="121">
        <f>'ALL Other SINs - Proposal'!B411</f>
        <v>0</v>
      </c>
      <c r="C411" s="121">
        <f>'ALL Other SINs - Proposal'!C411</f>
        <v>0</v>
      </c>
      <c r="D411" s="121">
        <f>'ALL Other SINs - Proposal'!D411</f>
        <v>0</v>
      </c>
      <c r="E411" s="121">
        <f>'ALL Other SINs - Proposal'!E411</f>
        <v>0</v>
      </c>
      <c r="F411" s="171">
        <f>'ALL Other SINs - Proposal'!F411</f>
        <v>0</v>
      </c>
      <c r="G411" s="51">
        <f>'ALL Other SINs - Proposal'!G411</f>
        <v>0</v>
      </c>
      <c r="H411" s="125">
        <f>'ALL Other SINs - Proposal'!H411</f>
        <v>0</v>
      </c>
      <c r="I411" s="125">
        <f>'ALL Other SINs - Proposal'!I411</f>
        <v>0</v>
      </c>
      <c r="J411" s="125">
        <f>'ALL Other SINs - Proposal'!J411</f>
        <v>0</v>
      </c>
      <c r="K411" s="125">
        <f>'ALL Other SINs - Proposal'!K411</f>
        <v>0</v>
      </c>
      <c r="L411" s="125">
        <f>'ALL Other SINs - Proposal'!L411</f>
        <v>0</v>
      </c>
      <c r="M411" s="206">
        <f>'ALL Other SINs - Proposal'!M411</f>
        <v>0</v>
      </c>
      <c r="N411" s="251">
        <f>'ALL Other SINs - Proposal'!V411</f>
        <v>0</v>
      </c>
      <c r="O411" s="201" t="str">
        <f>'Price Analysis'!N411</f>
        <v xml:space="preserve"> </v>
      </c>
      <c r="P411" s="53" t="str">
        <f>IF(ISBLANK('ALL Other SINs - Proposal'!AA411)," ",'ALL Other SINs - Proposal'!AA411)</f>
        <v xml:space="preserve"> </v>
      </c>
      <c r="Q411" s="95" t="str">
        <f>'ALL Other SINs - Proposal'!AC411</f>
        <v xml:space="preserve"> </v>
      </c>
      <c r="R411" s="100" t="str">
        <f>IF(ISBLANK('ALL Other SINs - Proposal'!AA411)," ",ROUND(Q411,2))</f>
        <v xml:space="preserve"> </v>
      </c>
      <c r="S411" s="54"/>
    </row>
    <row r="412" spans="1:19" ht="20.100000000000001" customHeight="1" x14ac:dyDescent="0.2">
      <c r="A412" s="127">
        <f>'ALL Other SINs - Proposal'!A412</f>
        <v>0</v>
      </c>
      <c r="B412" s="121">
        <f>'ALL Other SINs - Proposal'!B412</f>
        <v>0</v>
      </c>
      <c r="C412" s="121">
        <f>'ALL Other SINs - Proposal'!C412</f>
        <v>0</v>
      </c>
      <c r="D412" s="121">
        <f>'ALL Other SINs - Proposal'!D412</f>
        <v>0</v>
      </c>
      <c r="E412" s="121">
        <f>'ALL Other SINs - Proposal'!E412</f>
        <v>0</v>
      </c>
      <c r="F412" s="171">
        <f>'ALL Other SINs - Proposal'!F412</f>
        <v>0</v>
      </c>
      <c r="G412" s="51">
        <f>'ALL Other SINs - Proposal'!G412</f>
        <v>0</v>
      </c>
      <c r="H412" s="125">
        <f>'ALL Other SINs - Proposal'!H412</f>
        <v>0</v>
      </c>
      <c r="I412" s="125">
        <f>'ALL Other SINs - Proposal'!I412</f>
        <v>0</v>
      </c>
      <c r="J412" s="125">
        <f>'ALL Other SINs - Proposal'!J412</f>
        <v>0</v>
      </c>
      <c r="K412" s="125">
        <f>'ALL Other SINs - Proposal'!K412</f>
        <v>0</v>
      </c>
      <c r="L412" s="125">
        <f>'ALL Other SINs - Proposal'!L412</f>
        <v>0</v>
      </c>
      <c r="M412" s="206">
        <f>'ALL Other SINs - Proposal'!M412</f>
        <v>0</v>
      </c>
      <c r="N412" s="251">
        <f>'ALL Other SINs - Proposal'!V412</f>
        <v>0</v>
      </c>
      <c r="O412" s="201" t="str">
        <f>'Price Analysis'!N412</f>
        <v xml:space="preserve"> </v>
      </c>
      <c r="P412" s="53" t="str">
        <f>IF(ISBLANK('ALL Other SINs - Proposal'!AA412)," ",'ALL Other SINs - Proposal'!AA412)</f>
        <v xml:space="preserve"> </v>
      </c>
      <c r="Q412" s="95" t="str">
        <f>'ALL Other SINs - Proposal'!AC412</f>
        <v xml:space="preserve"> </v>
      </c>
      <c r="R412" s="100" t="str">
        <f>IF(ISBLANK('ALL Other SINs - Proposal'!AA412)," ",ROUND(Q412,2))</f>
        <v xml:space="preserve"> </v>
      </c>
      <c r="S412" s="54"/>
    </row>
    <row r="413" spans="1:19" ht="20.100000000000001" customHeight="1" x14ac:dyDescent="0.2">
      <c r="A413" s="127">
        <f>'ALL Other SINs - Proposal'!A413</f>
        <v>0</v>
      </c>
      <c r="B413" s="121">
        <f>'ALL Other SINs - Proposal'!B413</f>
        <v>0</v>
      </c>
      <c r="C413" s="121">
        <f>'ALL Other SINs - Proposal'!C413</f>
        <v>0</v>
      </c>
      <c r="D413" s="121">
        <f>'ALL Other SINs - Proposal'!D413</f>
        <v>0</v>
      </c>
      <c r="E413" s="121">
        <f>'ALL Other SINs - Proposal'!E413</f>
        <v>0</v>
      </c>
      <c r="F413" s="171">
        <f>'ALL Other SINs - Proposal'!F413</f>
        <v>0</v>
      </c>
      <c r="G413" s="51">
        <f>'ALL Other SINs - Proposal'!G413</f>
        <v>0</v>
      </c>
      <c r="H413" s="125">
        <f>'ALL Other SINs - Proposal'!H413</f>
        <v>0</v>
      </c>
      <c r="I413" s="125">
        <f>'ALL Other SINs - Proposal'!I413</f>
        <v>0</v>
      </c>
      <c r="J413" s="125">
        <f>'ALL Other SINs - Proposal'!J413</f>
        <v>0</v>
      </c>
      <c r="K413" s="125">
        <f>'ALL Other SINs - Proposal'!K413</f>
        <v>0</v>
      </c>
      <c r="L413" s="125">
        <f>'ALL Other SINs - Proposal'!L413</f>
        <v>0</v>
      </c>
      <c r="M413" s="206">
        <f>'ALL Other SINs - Proposal'!M413</f>
        <v>0</v>
      </c>
      <c r="N413" s="251">
        <f>'ALL Other SINs - Proposal'!V413</f>
        <v>0</v>
      </c>
      <c r="O413" s="201" t="str">
        <f>'Price Analysis'!N413</f>
        <v xml:space="preserve"> </v>
      </c>
      <c r="P413" s="53" t="str">
        <f>IF(ISBLANK('ALL Other SINs - Proposal'!AA413)," ",'ALL Other SINs - Proposal'!AA413)</f>
        <v xml:space="preserve"> </v>
      </c>
      <c r="Q413" s="95" t="str">
        <f>'ALL Other SINs - Proposal'!AC413</f>
        <v xml:space="preserve"> </v>
      </c>
      <c r="R413" s="100" t="str">
        <f>IF(ISBLANK('ALL Other SINs - Proposal'!AA413)," ",ROUND(Q413,2))</f>
        <v xml:space="preserve"> </v>
      </c>
      <c r="S413" s="54"/>
    </row>
    <row r="414" spans="1:19" ht="20.100000000000001" customHeight="1" x14ac:dyDescent="0.2">
      <c r="A414" s="127">
        <f>'ALL Other SINs - Proposal'!A414</f>
        <v>0</v>
      </c>
      <c r="B414" s="121">
        <f>'ALL Other SINs - Proposal'!B414</f>
        <v>0</v>
      </c>
      <c r="C414" s="121">
        <f>'ALL Other SINs - Proposal'!C414</f>
        <v>0</v>
      </c>
      <c r="D414" s="121">
        <f>'ALL Other SINs - Proposal'!D414</f>
        <v>0</v>
      </c>
      <c r="E414" s="121">
        <f>'ALL Other SINs - Proposal'!E414</f>
        <v>0</v>
      </c>
      <c r="F414" s="171">
        <f>'ALL Other SINs - Proposal'!F414</f>
        <v>0</v>
      </c>
      <c r="G414" s="51">
        <f>'ALL Other SINs - Proposal'!G414</f>
        <v>0</v>
      </c>
      <c r="H414" s="125">
        <f>'ALL Other SINs - Proposal'!H414</f>
        <v>0</v>
      </c>
      <c r="I414" s="125">
        <f>'ALL Other SINs - Proposal'!I414</f>
        <v>0</v>
      </c>
      <c r="J414" s="125">
        <f>'ALL Other SINs - Proposal'!J414</f>
        <v>0</v>
      </c>
      <c r="K414" s="125">
        <f>'ALL Other SINs - Proposal'!K414</f>
        <v>0</v>
      </c>
      <c r="L414" s="125">
        <f>'ALL Other SINs - Proposal'!L414</f>
        <v>0</v>
      </c>
      <c r="M414" s="206">
        <f>'ALL Other SINs - Proposal'!M414</f>
        <v>0</v>
      </c>
      <c r="N414" s="251">
        <f>'ALL Other SINs - Proposal'!V414</f>
        <v>0</v>
      </c>
      <c r="O414" s="201" t="str">
        <f>'Price Analysis'!N414</f>
        <v xml:space="preserve"> </v>
      </c>
      <c r="P414" s="53" t="str">
        <f>IF(ISBLANK('ALL Other SINs - Proposal'!AA414)," ",'ALL Other SINs - Proposal'!AA414)</f>
        <v xml:space="preserve"> </v>
      </c>
      <c r="Q414" s="95" t="str">
        <f>'ALL Other SINs - Proposal'!AC414</f>
        <v xml:space="preserve"> </v>
      </c>
      <c r="R414" s="100" t="str">
        <f>IF(ISBLANK('ALL Other SINs - Proposal'!AA414)," ",ROUND(Q414,2))</f>
        <v xml:space="preserve"> </v>
      </c>
      <c r="S414" s="54"/>
    </row>
    <row r="415" spans="1:19" ht="20.100000000000001" customHeight="1" x14ac:dyDescent="0.2">
      <c r="A415" s="127">
        <f>'ALL Other SINs - Proposal'!A415</f>
        <v>0</v>
      </c>
      <c r="B415" s="121">
        <f>'ALL Other SINs - Proposal'!B415</f>
        <v>0</v>
      </c>
      <c r="C415" s="121">
        <f>'ALL Other SINs - Proposal'!C415</f>
        <v>0</v>
      </c>
      <c r="D415" s="121">
        <f>'ALL Other SINs - Proposal'!D415</f>
        <v>0</v>
      </c>
      <c r="E415" s="121">
        <f>'ALL Other SINs - Proposal'!E415</f>
        <v>0</v>
      </c>
      <c r="F415" s="171">
        <f>'ALL Other SINs - Proposal'!F415</f>
        <v>0</v>
      </c>
      <c r="G415" s="51">
        <f>'ALL Other SINs - Proposal'!G415</f>
        <v>0</v>
      </c>
      <c r="H415" s="125">
        <f>'ALL Other SINs - Proposal'!H415</f>
        <v>0</v>
      </c>
      <c r="I415" s="125">
        <f>'ALL Other SINs - Proposal'!I415</f>
        <v>0</v>
      </c>
      <c r="J415" s="125">
        <f>'ALL Other SINs - Proposal'!J415</f>
        <v>0</v>
      </c>
      <c r="K415" s="125">
        <f>'ALL Other SINs - Proposal'!K415</f>
        <v>0</v>
      </c>
      <c r="L415" s="125">
        <f>'ALL Other SINs - Proposal'!L415</f>
        <v>0</v>
      </c>
      <c r="M415" s="206">
        <f>'ALL Other SINs - Proposal'!M415</f>
        <v>0</v>
      </c>
      <c r="N415" s="251">
        <f>'ALL Other SINs - Proposal'!V415</f>
        <v>0</v>
      </c>
      <c r="O415" s="201" t="str">
        <f>'Price Analysis'!N415</f>
        <v xml:space="preserve"> </v>
      </c>
      <c r="P415" s="53" t="str">
        <f>IF(ISBLANK('ALL Other SINs - Proposal'!AA415)," ",'ALL Other SINs - Proposal'!AA415)</f>
        <v xml:space="preserve"> </v>
      </c>
      <c r="Q415" s="95" t="str">
        <f>'ALL Other SINs - Proposal'!AC415</f>
        <v xml:space="preserve"> </v>
      </c>
      <c r="R415" s="100" t="str">
        <f>IF(ISBLANK('ALL Other SINs - Proposal'!AA415)," ",ROUND(Q415,2))</f>
        <v xml:space="preserve"> </v>
      </c>
      <c r="S415" s="54"/>
    </row>
    <row r="416" spans="1:19" ht="20.100000000000001" customHeight="1" x14ac:dyDescent="0.2">
      <c r="A416" s="127">
        <f>'ALL Other SINs - Proposal'!A416</f>
        <v>0</v>
      </c>
      <c r="B416" s="121">
        <f>'ALL Other SINs - Proposal'!B416</f>
        <v>0</v>
      </c>
      <c r="C416" s="121">
        <f>'ALL Other SINs - Proposal'!C416</f>
        <v>0</v>
      </c>
      <c r="D416" s="121">
        <f>'ALL Other SINs - Proposal'!D416</f>
        <v>0</v>
      </c>
      <c r="E416" s="121">
        <f>'ALL Other SINs - Proposal'!E416</f>
        <v>0</v>
      </c>
      <c r="F416" s="171">
        <f>'ALL Other SINs - Proposal'!F416</f>
        <v>0</v>
      </c>
      <c r="G416" s="51">
        <f>'ALL Other SINs - Proposal'!G416</f>
        <v>0</v>
      </c>
      <c r="H416" s="125">
        <f>'ALL Other SINs - Proposal'!H416</f>
        <v>0</v>
      </c>
      <c r="I416" s="125">
        <f>'ALL Other SINs - Proposal'!I416</f>
        <v>0</v>
      </c>
      <c r="J416" s="125">
        <f>'ALL Other SINs - Proposal'!J416</f>
        <v>0</v>
      </c>
      <c r="K416" s="125">
        <f>'ALL Other SINs - Proposal'!K416</f>
        <v>0</v>
      </c>
      <c r="L416" s="125">
        <f>'ALL Other SINs - Proposal'!L416</f>
        <v>0</v>
      </c>
      <c r="M416" s="206">
        <f>'ALL Other SINs - Proposal'!M416</f>
        <v>0</v>
      </c>
      <c r="N416" s="251">
        <f>'ALL Other SINs - Proposal'!V416</f>
        <v>0</v>
      </c>
      <c r="O416" s="201" t="str">
        <f>'Price Analysis'!N416</f>
        <v xml:space="preserve"> </v>
      </c>
      <c r="P416" s="53" t="str">
        <f>IF(ISBLANK('ALL Other SINs - Proposal'!AA416)," ",'ALL Other SINs - Proposal'!AA416)</f>
        <v xml:space="preserve"> </v>
      </c>
      <c r="Q416" s="95" t="str">
        <f>'ALL Other SINs - Proposal'!AC416</f>
        <v xml:space="preserve"> </v>
      </c>
      <c r="R416" s="100" t="str">
        <f>IF(ISBLANK('ALL Other SINs - Proposal'!AA416)," ",ROUND(Q416,2))</f>
        <v xml:space="preserve"> </v>
      </c>
      <c r="S416" s="54"/>
    </row>
    <row r="417" spans="1:19" ht="20.100000000000001" customHeight="1" x14ac:dyDescent="0.2">
      <c r="A417" s="127">
        <f>'ALL Other SINs - Proposal'!A417</f>
        <v>0</v>
      </c>
      <c r="B417" s="121">
        <f>'ALL Other SINs - Proposal'!B417</f>
        <v>0</v>
      </c>
      <c r="C417" s="121">
        <f>'ALL Other SINs - Proposal'!C417</f>
        <v>0</v>
      </c>
      <c r="D417" s="121">
        <f>'ALL Other SINs - Proposal'!D417</f>
        <v>0</v>
      </c>
      <c r="E417" s="121">
        <f>'ALL Other SINs - Proposal'!E417</f>
        <v>0</v>
      </c>
      <c r="F417" s="171">
        <f>'ALL Other SINs - Proposal'!F417</f>
        <v>0</v>
      </c>
      <c r="G417" s="51">
        <f>'ALL Other SINs - Proposal'!G417</f>
        <v>0</v>
      </c>
      <c r="H417" s="125">
        <f>'ALL Other SINs - Proposal'!H417</f>
        <v>0</v>
      </c>
      <c r="I417" s="125">
        <f>'ALL Other SINs - Proposal'!I417</f>
        <v>0</v>
      </c>
      <c r="J417" s="125">
        <f>'ALL Other SINs - Proposal'!J417</f>
        <v>0</v>
      </c>
      <c r="K417" s="125">
        <f>'ALL Other SINs - Proposal'!K417</f>
        <v>0</v>
      </c>
      <c r="L417" s="125">
        <f>'ALL Other SINs - Proposal'!L417</f>
        <v>0</v>
      </c>
      <c r="M417" s="206">
        <f>'ALL Other SINs - Proposal'!M417</f>
        <v>0</v>
      </c>
      <c r="N417" s="251">
        <f>'ALL Other SINs - Proposal'!V417</f>
        <v>0</v>
      </c>
      <c r="O417" s="201" t="str">
        <f>'Price Analysis'!N417</f>
        <v xml:space="preserve"> </v>
      </c>
      <c r="P417" s="53" t="str">
        <f>IF(ISBLANK('ALL Other SINs - Proposal'!AA417)," ",'ALL Other SINs - Proposal'!AA417)</f>
        <v xml:space="preserve"> </v>
      </c>
      <c r="Q417" s="95" t="str">
        <f>'ALL Other SINs - Proposal'!AC417</f>
        <v xml:space="preserve"> </v>
      </c>
      <c r="R417" s="100" t="str">
        <f>IF(ISBLANK('ALL Other SINs - Proposal'!AA417)," ",ROUND(Q417,2))</f>
        <v xml:space="preserve"> </v>
      </c>
      <c r="S417" s="54"/>
    </row>
    <row r="418" spans="1:19" ht="20.100000000000001" customHeight="1" x14ac:dyDescent="0.2">
      <c r="A418" s="127">
        <f>'ALL Other SINs - Proposal'!A418</f>
        <v>0</v>
      </c>
      <c r="B418" s="121">
        <f>'ALL Other SINs - Proposal'!B418</f>
        <v>0</v>
      </c>
      <c r="C418" s="121">
        <f>'ALL Other SINs - Proposal'!C418</f>
        <v>0</v>
      </c>
      <c r="D418" s="121">
        <f>'ALL Other SINs - Proposal'!D418</f>
        <v>0</v>
      </c>
      <c r="E418" s="121">
        <f>'ALL Other SINs - Proposal'!E418</f>
        <v>0</v>
      </c>
      <c r="F418" s="171">
        <f>'ALL Other SINs - Proposal'!F418</f>
        <v>0</v>
      </c>
      <c r="G418" s="51">
        <f>'ALL Other SINs - Proposal'!G418</f>
        <v>0</v>
      </c>
      <c r="H418" s="125">
        <f>'ALL Other SINs - Proposal'!H418</f>
        <v>0</v>
      </c>
      <c r="I418" s="125">
        <f>'ALL Other SINs - Proposal'!I418</f>
        <v>0</v>
      </c>
      <c r="J418" s="125">
        <f>'ALL Other SINs - Proposal'!J418</f>
        <v>0</v>
      </c>
      <c r="K418" s="125">
        <f>'ALL Other SINs - Proposal'!K418</f>
        <v>0</v>
      </c>
      <c r="L418" s="125">
        <f>'ALL Other SINs - Proposal'!L418</f>
        <v>0</v>
      </c>
      <c r="M418" s="206">
        <f>'ALL Other SINs - Proposal'!M418</f>
        <v>0</v>
      </c>
      <c r="N418" s="251">
        <f>'ALL Other SINs - Proposal'!V418</f>
        <v>0</v>
      </c>
      <c r="O418" s="201" t="str">
        <f>'Price Analysis'!N418</f>
        <v xml:space="preserve"> </v>
      </c>
      <c r="P418" s="53" t="str">
        <f>IF(ISBLANK('ALL Other SINs - Proposal'!AA418)," ",'ALL Other SINs - Proposal'!AA418)</f>
        <v xml:space="preserve"> </v>
      </c>
      <c r="Q418" s="95" t="str">
        <f>'ALL Other SINs - Proposal'!AC418</f>
        <v xml:space="preserve"> </v>
      </c>
      <c r="R418" s="100" t="str">
        <f>IF(ISBLANK('ALL Other SINs - Proposal'!AA418)," ",ROUND(Q418,2))</f>
        <v xml:space="preserve"> </v>
      </c>
      <c r="S418" s="54"/>
    </row>
    <row r="419" spans="1:19" ht="20.100000000000001" customHeight="1" x14ac:dyDescent="0.2">
      <c r="A419" s="127">
        <f>'ALL Other SINs - Proposal'!A419</f>
        <v>0</v>
      </c>
      <c r="B419" s="121">
        <f>'ALL Other SINs - Proposal'!B419</f>
        <v>0</v>
      </c>
      <c r="C419" s="121">
        <f>'ALL Other SINs - Proposal'!C419</f>
        <v>0</v>
      </c>
      <c r="D419" s="121">
        <f>'ALL Other SINs - Proposal'!D419</f>
        <v>0</v>
      </c>
      <c r="E419" s="121">
        <f>'ALL Other SINs - Proposal'!E419</f>
        <v>0</v>
      </c>
      <c r="F419" s="171">
        <f>'ALL Other SINs - Proposal'!F419</f>
        <v>0</v>
      </c>
      <c r="G419" s="51">
        <f>'ALL Other SINs - Proposal'!G419</f>
        <v>0</v>
      </c>
      <c r="H419" s="125">
        <f>'ALL Other SINs - Proposal'!H419</f>
        <v>0</v>
      </c>
      <c r="I419" s="125">
        <f>'ALL Other SINs - Proposal'!I419</f>
        <v>0</v>
      </c>
      <c r="J419" s="125">
        <f>'ALL Other SINs - Proposal'!J419</f>
        <v>0</v>
      </c>
      <c r="K419" s="125">
        <f>'ALL Other SINs - Proposal'!K419</f>
        <v>0</v>
      </c>
      <c r="L419" s="125">
        <f>'ALL Other SINs - Proposal'!L419</f>
        <v>0</v>
      </c>
      <c r="M419" s="206">
        <f>'ALL Other SINs - Proposal'!M419</f>
        <v>0</v>
      </c>
      <c r="N419" s="251">
        <f>'ALL Other SINs - Proposal'!V419</f>
        <v>0</v>
      </c>
      <c r="O419" s="201" t="str">
        <f>'Price Analysis'!N419</f>
        <v xml:space="preserve"> </v>
      </c>
      <c r="P419" s="53" t="str">
        <f>IF(ISBLANK('ALL Other SINs - Proposal'!AA419)," ",'ALL Other SINs - Proposal'!AA419)</f>
        <v xml:space="preserve"> </v>
      </c>
      <c r="Q419" s="95" t="str">
        <f>'ALL Other SINs - Proposal'!AC419</f>
        <v xml:space="preserve"> </v>
      </c>
      <c r="R419" s="100" t="str">
        <f>IF(ISBLANK('ALL Other SINs - Proposal'!AA419)," ",ROUND(Q419,2))</f>
        <v xml:space="preserve"> </v>
      </c>
      <c r="S419" s="54"/>
    </row>
    <row r="420" spans="1:19" ht="20.100000000000001" customHeight="1" x14ac:dyDescent="0.2">
      <c r="A420" s="127">
        <f>'ALL Other SINs - Proposal'!A420</f>
        <v>0</v>
      </c>
      <c r="B420" s="121">
        <f>'ALL Other SINs - Proposal'!B420</f>
        <v>0</v>
      </c>
      <c r="C420" s="121">
        <f>'ALL Other SINs - Proposal'!C420</f>
        <v>0</v>
      </c>
      <c r="D420" s="121">
        <f>'ALL Other SINs - Proposal'!D420</f>
        <v>0</v>
      </c>
      <c r="E420" s="121">
        <f>'ALL Other SINs - Proposal'!E420</f>
        <v>0</v>
      </c>
      <c r="F420" s="171">
        <f>'ALL Other SINs - Proposal'!F420</f>
        <v>0</v>
      </c>
      <c r="G420" s="51">
        <f>'ALL Other SINs - Proposal'!G420</f>
        <v>0</v>
      </c>
      <c r="H420" s="125">
        <f>'ALL Other SINs - Proposal'!H420</f>
        <v>0</v>
      </c>
      <c r="I420" s="125">
        <f>'ALL Other SINs - Proposal'!I420</f>
        <v>0</v>
      </c>
      <c r="J420" s="125">
        <f>'ALL Other SINs - Proposal'!J420</f>
        <v>0</v>
      </c>
      <c r="K420" s="125">
        <f>'ALL Other SINs - Proposal'!K420</f>
        <v>0</v>
      </c>
      <c r="L420" s="125">
        <f>'ALL Other SINs - Proposal'!L420</f>
        <v>0</v>
      </c>
      <c r="M420" s="206">
        <f>'ALL Other SINs - Proposal'!M420</f>
        <v>0</v>
      </c>
      <c r="N420" s="251">
        <f>'ALL Other SINs - Proposal'!V420</f>
        <v>0</v>
      </c>
      <c r="O420" s="201" t="str">
        <f>'Price Analysis'!N420</f>
        <v xml:space="preserve"> </v>
      </c>
      <c r="P420" s="53" t="str">
        <f>IF(ISBLANK('ALL Other SINs - Proposal'!AA420)," ",'ALL Other SINs - Proposal'!AA420)</f>
        <v xml:space="preserve"> </v>
      </c>
      <c r="Q420" s="95" t="str">
        <f>'ALL Other SINs - Proposal'!AC420</f>
        <v xml:space="preserve"> </v>
      </c>
      <c r="R420" s="100" t="str">
        <f>IF(ISBLANK('ALL Other SINs - Proposal'!AA420)," ",ROUND(Q420,2))</f>
        <v xml:space="preserve"> </v>
      </c>
      <c r="S420" s="54"/>
    </row>
    <row r="421" spans="1:19" ht="20.100000000000001" customHeight="1" x14ac:dyDescent="0.2">
      <c r="A421" s="127">
        <f>'ALL Other SINs - Proposal'!A421</f>
        <v>0</v>
      </c>
      <c r="B421" s="121">
        <f>'ALL Other SINs - Proposal'!B421</f>
        <v>0</v>
      </c>
      <c r="C421" s="121">
        <f>'ALL Other SINs - Proposal'!C421</f>
        <v>0</v>
      </c>
      <c r="D421" s="121">
        <f>'ALL Other SINs - Proposal'!D421</f>
        <v>0</v>
      </c>
      <c r="E421" s="121">
        <f>'ALL Other SINs - Proposal'!E421</f>
        <v>0</v>
      </c>
      <c r="F421" s="171">
        <f>'ALL Other SINs - Proposal'!F421</f>
        <v>0</v>
      </c>
      <c r="G421" s="51">
        <f>'ALL Other SINs - Proposal'!G421</f>
        <v>0</v>
      </c>
      <c r="H421" s="125">
        <f>'ALL Other SINs - Proposal'!H421</f>
        <v>0</v>
      </c>
      <c r="I421" s="125">
        <f>'ALL Other SINs - Proposal'!I421</f>
        <v>0</v>
      </c>
      <c r="J421" s="125">
        <f>'ALL Other SINs - Proposal'!J421</f>
        <v>0</v>
      </c>
      <c r="K421" s="125">
        <f>'ALL Other SINs - Proposal'!K421</f>
        <v>0</v>
      </c>
      <c r="L421" s="125">
        <f>'ALL Other SINs - Proposal'!L421</f>
        <v>0</v>
      </c>
      <c r="M421" s="206">
        <f>'ALL Other SINs - Proposal'!M421</f>
        <v>0</v>
      </c>
      <c r="N421" s="251">
        <f>'ALL Other SINs - Proposal'!V421</f>
        <v>0</v>
      </c>
      <c r="O421" s="201" t="str">
        <f>'Price Analysis'!N421</f>
        <v xml:space="preserve"> </v>
      </c>
      <c r="P421" s="53" t="str">
        <f>IF(ISBLANK('ALL Other SINs - Proposal'!AA421)," ",'ALL Other SINs - Proposal'!AA421)</f>
        <v xml:space="preserve"> </v>
      </c>
      <c r="Q421" s="95" t="str">
        <f>'ALL Other SINs - Proposal'!AC421</f>
        <v xml:space="preserve"> </v>
      </c>
      <c r="R421" s="100" t="str">
        <f>IF(ISBLANK('ALL Other SINs - Proposal'!AA421)," ",ROUND(Q421,2))</f>
        <v xml:space="preserve"> </v>
      </c>
      <c r="S421" s="54"/>
    </row>
    <row r="422" spans="1:19" ht="20.100000000000001" customHeight="1" x14ac:dyDescent="0.2">
      <c r="A422" s="127">
        <f>'ALL Other SINs - Proposal'!A422</f>
        <v>0</v>
      </c>
      <c r="B422" s="121">
        <f>'ALL Other SINs - Proposal'!B422</f>
        <v>0</v>
      </c>
      <c r="C422" s="121">
        <f>'ALL Other SINs - Proposal'!C422</f>
        <v>0</v>
      </c>
      <c r="D422" s="121">
        <f>'ALL Other SINs - Proposal'!D422</f>
        <v>0</v>
      </c>
      <c r="E422" s="121">
        <f>'ALL Other SINs - Proposal'!E422</f>
        <v>0</v>
      </c>
      <c r="F422" s="171">
        <f>'ALL Other SINs - Proposal'!F422</f>
        <v>0</v>
      </c>
      <c r="G422" s="51">
        <f>'ALL Other SINs - Proposal'!G422</f>
        <v>0</v>
      </c>
      <c r="H422" s="125">
        <f>'ALL Other SINs - Proposal'!H422</f>
        <v>0</v>
      </c>
      <c r="I422" s="125">
        <f>'ALL Other SINs - Proposal'!I422</f>
        <v>0</v>
      </c>
      <c r="J422" s="125">
        <f>'ALL Other SINs - Proposal'!J422</f>
        <v>0</v>
      </c>
      <c r="K422" s="125">
        <f>'ALL Other SINs - Proposal'!K422</f>
        <v>0</v>
      </c>
      <c r="L422" s="125">
        <f>'ALL Other SINs - Proposal'!L422</f>
        <v>0</v>
      </c>
      <c r="M422" s="206">
        <f>'ALL Other SINs - Proposal'!M422</f>
        <v>0</v>
      </c>
      <c r="N422" s="251">
        <f>'ALL Other SINs - Proposal'!V422</f>
        <v>0</v>
      </c>
      <c r="O422" s="201" t="str">
        <f>'Price Analysis'!N422</f>
        <v xml:space="preserve"> </v>
      </c>
      <c r="P422" s="53" t="str">
        <f>IF(ISBLANK('ALL Other SINs - Proposal'!AA422)," ",'ALL Other SINs - Proposal'!AA422)</f>
        <v xml:space="preserve"> </v>
      </c>
      <c r="Q422" s="95" t="str">
        <f>'ALL Other SINs - Proposal'!AC422</f>
        <v xml:space="preserve"> </v>
      </c>
      <c r="R422" s="100" t="str">
        <f>IF(ISBLANK('ALL Other SINs - Proposal'!AA422)," ",ROUND(Q422,2))</f>
        <v xml:space="preserve"> </v>
      </c>
      <c r="S422" s="54"/>
    </row>
    <row r="423" spans="1:19" ht="20.100000000000001" customHeight="1" x14ac:dyDescent="0.2">
      <c r="A423" s="127">
        <f>'ALL Other SINs - Proposal'!A423</f>
        <v>0</v>
      </c>
      <c r="B423" s="121">
        <f>'ALL Other SINs - Proposal'!B423</f>
        <v>0</v>
      </c>
      <c r="C423" s="121">
        <f>'ALL Other SINs - Proposal'!C423</f>
        <v>0</v>
      </c>
      <c r="D423" s="121">
        <f>'ALL Other SINs - Proposal'!D423</f>
        <v>0</v>
      </c>
      <c r="E423" s="121">
        <f>'ALL Other SINs - Proposal'!E423</f>
        <v>0</v>
      </c>
      <c r="F423" s="171">
        <f>'ALL Other SINs - Proposal'!F423</f>
        <v>0</v>
      </c>
      <c r="G423" s="51">
        <f>'ALL Other SINs - Proposal'!G423</f>
        <v>0</v>
      </c>
      <c r="H423" s="125">
        <f>'ALL Other SINs - Proposal'!H423</f>
        <v>0</v>
      </c>
      <c r="I423" s="125">
        <f>'ALL Other SINs - Proposal'!I423</f>
        <v>0</v>
      </c>
      <c r="J423" s="125">
        <f>'ALL Other SINs - Proposal'!J423</f>
        <v>0</v>
      </c>
      <c r="K423" s="125">
        <f>'ALL Other SINs - Proposal'!K423</f>
        <v>0</v>
      </c>
      <c r="L423" s="125">
        <f>'ALL Other SINs - Proposal'!L423</f>
        <v>0</v>
      </c>
      <c r="M423" s="206">
        <f>'ALL Other SINs - Proposal'!M423</f>
        <v>0</v>
      </c>
      <c r="N423" s="251">
        <f>'ALL Other SINs - Proposal'!V423</f>
        <v>0</v>
      </c>
      <c r="O423" s="201" t="str">
        <f>'Price Analysis'!N423</f>
        <v xml:space="preserve"> </v>
      </c>
      <c r="P423" s="53" t="str">
        <f>IF(ISBLANK('ALL Other SINs - Proposal'!AA423)," ",'ALL Other SINs - Proposal'!AA423)</f>
        <v xml:space="preserve"> </v>
      </c>
      <c r="Q423" s="95" t="str">
        <f>'ALL Other SINs - Proposal'!AC423</f>
        <v xml:space="preserve"> </v>
      </c>
      <c r="R423" s="100" t="str">
        <f>IF(ISBLANK('ALL Other SINs - Proposal'!AA423)," ",ROUND(Q423,2))</f>
        <v xml:space="preserve"> </v>
      </c>
      <c r="S423" s="54"/>
    </row>
    <row r="424" spans="1:19" ht="20.100000000000001" customHeight="1" x14ac:dyDescent="0.2">
      <c r="A424" s="127">
        <f>'ALL Other SINs - Proposal'!A424</f>
        <v>0</v>
      </c>
      <c r="B424" s="121">
        <f>'ALL Other SINs - Proposal'!B424</f>
        <v>0</v>
      </c>
      <c r="C424" s="121">
        <f>'ALL Other SINs - Proposal'!C424</f>
        <v>0</v>
      </c>
      <c r="D424" s="121">
        <f>'ALL Other SINs - Proposal'!D424</f>
        <v>0</v>
      </c>
      <c r="E424" s="121">
        <f>'ALL Other SINs - Proposal'!E424</f>
        <v>0</v>
      </c>
      <c r="F424" s="171">
        <f>'ALL Other SINs - Proposal'!F424</f>
        <v>0</v>
      </c>
      <c r="G424" s="51">
        <f>'ALL Other SINs - Proposal'!G424</f>
        <v>0</v>
      </c>
      <c r="H424" s="125">
        <f>'ALL Other SINs - Proposal'!H424</f>
        <v>0</v>
      </c>
      <c r="I424" s="125">
        <f>'ALL Other SINs - Proposal'!I424</f>
        <v>0</v>
      </c>
      <c r="J424" s="125">
        <f>'ALL Other SINs - Proposal'!J424</f>
        <v>0</v>
      </c>
      <c r="K424" s="125">
        <f>'ALL Other SINs - Proposal'!K424</f>
        <v>0</v>
      </c>
      <c r="L424" s="125">
        <f>'ALL Other SINs - Proposal'!L424</f>
        <v>0</v>
      </c>
      <c r="M424" s="206">
        <f>'ALL Other SINs - Proposal'!M424</f>
        <v>0</v>
      </c>
      <c r="N424" s="251">
        <f>'ALL Other SINs - Proposal'!V424</f>
        <v>0</v>
      </c>
      <c r="O424" s="201" t="str">
        <f>'Price Analysis'!N424</f>
        <v xml:space="preserve"> </v>
      </c>
      <c r="P424" s="53" t="str">
        <f>IF(ISBLANK('ALL Other SINs - Proposal'!AA424)," ",'ALL Other SINs - Proposal'!AA424)</f>
        <v xml:space="preserve"> </v>
      </c>
      <c r="Q424" s="95" t="str">
        <f>'ALL Other SINs - Proposal'!AC424</f>
        <v xml:space="preserve"> </v>
      </c>
      <c r="R424" s="100" t="str">
        <f>IF(ISBLANK('ALL Other SINs - Proposal'!AA424)," ",ROUND(Q424,2))</f>
        <v xml:space="preserve"> </v>
      </c>
      <c r="S424" s="54"/>
    </row>
    <row r="425" spans="1:19" ht="20.100000000000001" customHeight="1" x14ac:dyDescent="0.2">
      <c r="A425" s="127">
        <f>'ALL Other SINs - Proposal'!A425</f>
        <v>0</v>
      </c>
      <c r="B425" s="121">
        <f>'ALL Other SINs - Proposal'!B425</f>
        <v>0</v>
      </c>
      <c r="C425" s="121">
        <f>'ALL Other SINs - Proposal'!C425</f>
        <v>0</v>
      </c>
      <c r="D425" s="121">
        <f>'ALL Other SINs - Proposal'!D425</f>
        <v>0</v>
      </c>
      <c r="E425" s="121">
        <f>'ALL Other SINs - Proposal'!E425</f>
        <v>0</v>
      </c>
      <c r="F425" s="171">
        <f>'ALL Other SINs - Proposal'!F425</f>
        <v>0</v>
      </c>
      <c r="G425" s="51">
        <f>'ALL Other SINs - Proposal'!G425</f>
        <v>0</v>
      </c>
      <c r="H425" s="125">
        <f>'ALL Other SINs - Proposal'!H425</f>
        <v>0</v>
      </c>
      <c r="I425" s="125">
        <f>'ALL Other SINs - Proposal'!I425</f>
        <v>0</v>
      </c>
      <c r="J425" s="125">
        <f>'ALL Other SINs - Proposal'!J425</f>
        <v>0</v>
      </c>
      <c r="K425" s="125">
        <f>'ALL Other SINs - Proposal'!K425</f>
        <v>0</v>
      </c>
      <c r="L425" s="125">
        <f>'ALL Other SINs - Proposal'!L425</f>
        <v>0</v>
      </c>
      <c r="M425" s="206">
        <f>'ALL Other SINs - Proposal'!M425</f>
        <v>0</v>
      </c>
      <c r="N425" s="251">
        <f>'ALL Other SINs - Proposal'!V425</f>
        <v>0</v>
      </c>
      <c r="O425" s="201" t="str">
        <f>'Price Analysis'!N425</f>
        <v xml:space="preserve"> </v>
      </c>
      <c r="P425" s="53" t="str">
        <f>IF(ISBLANK('ALL Other SINs - Proposal'!AA425)," ",'ALL Other SINs - Proposal'!AA425)</f>
        <v xml:space="preserve"> </v>
      </c>
      <c r="Q425" s="95" t="str">
        <f>'ALL Other SINs - Proposal'!AC425</f>
        <v xml:space="preserve"> </v>
      </c>
      <c r="R425" s="100" t="str">
        <f>IF(ISBLANK('ALL Other SINs - Proposal'!AA425)," ",ROUND(Q425,2))</f>
        <v xml:space="preserve"> </v>
      </c>
      <c r="S425" s="54"/>
    </row>
    <row r="426" spans="1:19" ht="20.100000000000001" customHeight="1" x14ac:dyDescent="0.2">
      <c r="A426" s="127">
        <f>'ALL Other SINs - Proposal'!A426</f>
        <v>0</v>
      </c>
      <c r="B426" s="121">
        <f>'ALL Other SINs - Proposal'!B426</f>
        <v>0</v>
      </c>
      <c r="C426" s="121">
        <f>'ALL Other SINs - Proposal'!C426</f>
        <v>0</v>
      </c>
      <c r="D426" s="121">
        <f>'ALL Other SINs - Proposal'!D426</f>
        <v>0</v>
      </c>
      <c r="E426" s="121">
        <f>'ALL Other SINs - Proposal'!E426</f>
        <v>0</v>
      </c>
      <c r="F426" s="171">
        <f>'ALL Other SINs - Proposal'!F426</f>
        <v>0</v>
      </c>
      <c r="G426" s="51">
        <f>'ALL Other SINs - Proposal'!G426</f>
        <v>0</v>
      </c>
      <c r="H426" s="125">
        <f>'ALL Other SINs - Proposal'!H426</f>
        <v>0</v>
      </c>
      <c r="I426" s="125">
        <f>'ALL Other SINs - Proposal'!I426</f>
        <v>0</v>
      </c>
      <c r="J426" s="125">
        <f>'ALL Other SINs - Proposal'!J426</f>
        <v>0</v>
      </c>
      <c r="K426" s="125">
        <f>'ALL Other SINs - Proposal'!K426</f>
        <v>0</v>
      </c>
      <c r="L426" s="125">
        <f>'ALL Other SINs - Proposal'!L426</f>
        <v>0</v>
      </c>
      <c r="M426" s="206">
        <f>'ALL Other SINs - Proposal'!M426</f>
        <v>0</v>
      </c>
      <c r="N426" s="251">
        <f>'ALL Other SINs - Proposal'!V426</f>
        <v>0</v>
      </c>
      <c r="O426" s="201" t="str">
        <f>'Price Analysis'!N426</f>
        <v xml:space="preserve"> </v>
      </c>
      <c r="P426" s="53" t="str">
        <f>IF(ISBLANK('ALL Other SINs - Proposal'!AA426)," ",'ALL Other SINs - Proposal'!AA426)</f>
        <v xml:space="preserve"> </v>
      </c>
      <c r="Q426" s="95" t="str">
        <f>'ALL Other SINs - Proposal'!AC426</f>
        <v xml:space="preserve"> </v>
      </c>
      <c r="R426" s="100" t="str">
        <f>IF(ISBLANK('ALL Other SINs - Proposal'!AA426)," ",ROUND(Q426,2))</f>
        <v xml:space="preserve"> </v>
      </c>
      <c r="S426" s="54"/>
    </row>
    <row r="427" spans="1:19" ht="20.100000000000001" customHeight="1" x14ac:dyDescent="0.2">
      <c r="A427" s="127">
        <f>'ALL Other SINs - Proposal'!A427</f>
        <v>0</v>
      </c>
      <c r="B427" s="121">
        <f>'ALL Other SINs - Proposal'!B427</f>
        <v>0</v>
      </c>
      <c r="C427" s="121">
        <f>'ALL Other SINs - Proposal'!C427</f>
        <v>0</v>
      </c>
      <c r="D427" s="121">
        <f>'ALL Other SINs - Proposal'!D427</f>
        <v>0</v>
      </c>
      <c r="E427" s="121">
        <f>'ALL Other SINs - Proposal'!E427</f>
        <v>0</v>
      </c>
      <c r="F427" s="171">
        <f>'ALL Other SINs - Proposal'!F427</f>
        <v>0</v>
      </c>
      <c r="G427" s="51">
        <f>'ALL Other SINs - Proposal'!G427</f>
        <v>0</v>
      </c>
      <c r="H427" s="125">
        <f>'ALL Other SINs - Proposal'!H427</f>
        <v>0</v>
      </c>
      <c r="I427" s="125">
        <f>'ALL Other SINs - Proposal'!I427</f>
        <v>0</v>
      </c>
      <c r="J427" s="125">
        <f>'ALL Other SINs - Proposal'!J427</f>
        <v>0</v>
      </c>
      <c r="K427" s="125">
        <f>'ALL Other SINs - Proposal'!K427</f>
        <v>0</v>
      </c>
      <c r="L427" s="125">
        <f>'ALL Other SINs - Proposal'!L427</f>
        <v>0</v>
      </c>
      <c r="M427" s="206">
        <f>'ALL Other SINs - Proposal'!M427</f>
        <v>0</v>
      </c>
      <c r="N427" s="251">
        <f>'ALL Other SINs - Proposal'!V427</f>
        <v>0</v>
      </c>
      <c r="O427" s="201" t="str">
        <f>'Price Analysis'!N427</f>
        <v xml:space="preserve"> </v>
      </c>
      <c r="P427" s="53" t="str">
        <f>IF(ISBLANK('ALL Other SINs - Proposal'!AA427)," ",'ALL Other SINs - Proposal'!AA427)</f>
        <v xml:space="preserve"> </v>
      </c>
      <c r="Q427" s="95" t="str">
        <f>'ALL Other SINs - Proposal'!AC427</f>
        <v xml:space="preserve"> </v>
      </c>
      <c r="R427" s="100" t="str">
        <f>IF(ISBLANK('ALL Other SINs - Proposal'!AA427)," ",ROUND(Q427,2))</f>
        <v xml:space="preserve"> </v>
      </c>
      <c r="S427" s="54"/>
    </row>
    <row r="428" spans="1:19" ht="20.100000000000001" customHeight="1" x14ac:dyDescent="0.2">
      <c r="A428" s="127">
        <f>'ALL Other SINs - Proposal'!A428</f>
        <v>0</v>
      </c>
      <c r="B428" s="121">
        <f>'ALL Other SINs - Proposal'!B428</f>
        <v>0</v>
      </c>
      <c r="C428" s="121">
        <f>'ALL Other SINs - Proposal'!C428</f>
        <v>0</v>
      </c>
      <c r="D428" s="121">
        <f>'ALL Other SINs - Proposal'!D428</f>
        <v>0</v>
      </c>
      <c r="E428" s="121">
        <f>'ALL Other SINs - Proposal'!E428</f>
        <v>0</v>
      </c>
      <c r="F428" s="171">
        <f>'ALL Other SINs - Proposal'!F428</f>
        <v>0</v>
      </c>
      <c r="G428" s="51">
        <f>'ALL Other SINs - Proposal'!G428</f>
        <v>0</v>
      </c>
      <c r="H428" s="125">
        <f>'ALL Other SINs - Proposal'!H428</f>
        <v>0</v>
      </c>
      <c r="I428" s="125">
        <f>'ALL Other SINs - Proposal'!I428</f>
        <v>0</v>
      </c>
      <c r="J428" s="125">
        <f>'ALL Other SINs - Proposal'!J428</f>
        <v>0</v>
      </c>
      <c r="K428" s="125">
        <f>'ALL Other SINs - Proposal'!K428</f>
        <v>0</v>
      </c>
      <c r="L428" s="125">
        <f>'ALL Other SINs - Proposal'!L428</f>
        <v>0</v>
      </c>
      <c r="M428" s="206">
        <f>'ALL Other SINs - Proposal'!M428</f>
        <v>0</v>
      </c>
      <c r="N428" s="251">
        <f>'ALL Other SINs - Proposal'!V428</f>
        <v>0</v>
      </c>
      <c r="O428" s="201" t="str">
        <f>'Price Analysis'!N428</f>
        <v xml:space="preserve"> </v>
      </c>
      <c r="P428" s="53" t="str">
        <f>IF(ISBLANK('ALL Other SINs - Proposal'!AA428)," ",'ALL Other SINs - Proposal'!AA428)</f>
        <v xml:space="preserve"> </v>
      </c>
      <c r="Q428" s="95" t="str">
        <f>'ALL Other SINs - Proposal'!AC428</f>
        <v xml:space="preserve"> </v>
      </c>
      <c r="R428" s="100" t="str">
        <f>IF(ISBLANK('ALL Other SINs - Proposal'!AA428)," ",ROUND(Q428,2))</f>
        <v xml:space="preserve"> </v>
      </c>
      <c r="S428" s="54"/>
    </row>
    <row r="429" spans="1:19" ht="20.100000000000001" customHeight="1" x14ac:dyDescent="0.2">
      <c r="A429" s="127">
        <f>'ALL Other SINs - Proposal'!A429</f>
        <v>0</v>
      </c>
      <c r="B429" s="121">
        <f>'ALL Other SINs - Proposal'!B429</f>
        <v>0</v>
      </c>
      <c r="C429" s="121">
        <f>'ALL Other SINs - Proposal'!C429</f>
        <v>0</v>
      </c>
      <c r="D429" s="121">
        <f>'ALL Other SINs - Proposal'!D429</f>
        <v>0</v>
      </c>
      <c r="E429" s="121">
        <f>'ALL Other SINs - Proposal'!E429</f>
        <v>0</v>
      </c>
      <c r="F429" s="171">
        <f>'ALL Other SINs - Proposal'!F429</f>
        <v>0</v>
      </c>
      <c r="G429" s="51">
        <f>'ALL Other SINs - Proposal'!G429</f>
        <v>0</v>
      </c>
      <c r="H429" s="125">
        <f>'ALL Other SINs - Proposal'!H429</f>
        <v>0</v>
      </c>
      <c r="I429" s="125">
        <f>'ALL Other SINs - Proposal'!I429</f>
        <v>0</v>
      </c>
      <c r="J429" s="125">
        <f>'ALL Other SINs - Proposal'!J429</f>
        <v>0</v>
      </c>
      <c r="K429" s="125">
        <f>'ALL Other SINs - Proposal'!K429</f>
        <v>0</v>
      </c>
      <c r="L429" s="125">
        <f>'ALL Other SINs - Proposal'!L429</f>
        <v>0</v>
      </c>
      <c r="M429" s="206">
        <f>'ALL Other SINs - Proposal'!M429</f>
        <v>0</v>
      </c>
      <c r="N429" s="251">
        <f>'ALL Other SINs - Proposal'!V429</f>
        <v>0</v>
      </c>
      <c r="O429" s="201" t="str">
        <f>'Price Analysis'!N429</f>
        <v xml:space="preserve"> </v>
      </c>
      <c r="P429" s="53" t="str">
        <f>IF(ISBLANK('ALL Other SINs - Proposal'!AA429)," ",'ALL Other SINs - Proposal'!AA429)</f>
        <v xml:space="preserve"> </v>
      </c>
      <c r="Q429" s="95" t="str">
        <f>'ALL Other SINs - Proposal'!AC429</f>
        <v xml:space="preserve"> </v>
      </c>
      <c r="R429" s="100" t="str">
        <f>IF(ISBLANK('ALL Other SINs - Proposal'!AA429)," ",ROUND(Q429,2))</f>
        <v xml:space="preserve"> </v>
      </c>
      <c r="S429" s="54"/>
    </row>
    <row r="430" spans="1:19" ht="20.100000000000001" customHeight="1" x14ac:dyDescent="0.2">
      <c r="A430" s="127">
        <f>'ALL Other SINs - Proposal'!A430</f>
        <v>0</v>
      </c>
      <c r="B430" s="121">
        <f>'ALL Other SINs - Proposal'!B430</f>
        <v>0</v>
      </c>
      <c r="C430" s="121">
        <f>'ALL Other SINs - Proposal'!C430</f>
        <v>0</v>
      </c>
      <c r="D430" s="121">
        <f>'ALL Other SINs - Proposal'!D430</f>
        <v>0</v>
      </c>
      <c r="E430" s="121">
        <f>'ALL Other SINs - Proposal'!E430</f>
        <v>0</v>
      </c>
      <c r="F430" s="171">
        <f>'ALL Other SINs - Proposal'!F430</f>
        <v>0</v>
      </c>
      <c r="G430" s="51">
        <f>'ALL Other SINs - Proposal'!G430</f>
        <v>0</v>
      </c>
      <c r="H430" s="125">
        <f>'ALL Other SINs - Proposal'!H430</f>
        <v>0</v>
      </c>
      <c r="I430" s="125">
        <f>'ALL Other SINs - Proposal'!I430</f>
        <v>0</v>
      </c>
      <c r="J430" s="125">
        <f>'ALL Other SINs - Proposal'!J430</f>
        <v>0</v>
      </c>
      <c r="K430" s="125">
        <f>'ALL Other SINs - Proposal'!K430</f>
        <v>0</v>
      </c>
      <c r="L430" s="125">
        <f>'ALL Other SINs - Proposal'!L430</f>
        <v>0</v>
      </c>
      <c r="M430" s="206">
        <f>'ALL Other SINs - Proposal'!M430</f>
        <v>0</v>
      </c>
      <c r="N430" s="251">
        <f>'ALL Other SINs - Proposal'!V430</f>
        <v>0</v>
      </c>
      <c r="O430" s="201" t="str">
        <f>'Price Analysis'!N430</f>
        <v xml:space="preserve"> </v>
      </c>
      <c r="P430" s="53" t="str">
        <f>IF(ISBLANK('ALL Other SINs - Proposal'!AA430)," ",'ALL Other SINs - Proposal'!AA430)</f>
        <v xml:space="preserve"> </v>
      </c>
      <c r="Q430" s="95" t="str">
        <f>'ALL Other SINs - Proposal'!AC430</f>
        <v xml:space="preserve"> </v>
      </c>
      <c r="R430" s="100" t="str">
        <f>IF(ISBLANK('ALL Other SINs - Proposal'!AA430)," ",ROUND(Q430,2))</f>
        <v xml:space="preserve"> </v>
      </c>
      <c r="S430" s="54"/>
    </row>
    <row r="431" spans="1:19" ht="20.100000000000001" customHeight="1" x14ac:dyDescent="0.2">
      <c r="A431" s="127">
        <f>'ALL Other SINs - Proposal'!A431</f>
        <v>0</v>
      </c>
      <c r="B431" s="121">
        <f>'ALL Other SINs - Proposal'!B431</f>
        <v>0</v>
      </c>
      <c r="C431" s="121">
        <f>'ALL Other SINs - Proposal'!C431</f>
        <v>0</v>
      </c>
      <c r="D431" s="121">
        <f>'ALL Other SINs - Proposal'!D431</f>
        <v>0</v>
      </c>
      <c r="E431" s="121">
        <f>'ALL Other SINs - Proposal'!E431</f>
        <v>0</v>
      </c>
      <c r="F431" s="171">
        <f>'ALL Other SINs - Proposal'!F431</f>
        <v>0</v>
      </c>
      <c r="G431" s="51">
        <f>'ALL Other SINs - Proposal'!G431</f>
        <v>0</v>
      </c>
      <c r="H431" s="125">
        <f>'ALL Other SINs - Proposal'!H431</f>
        <v>0</v>
      </c>
      <c r="I431" s="125">
        <f>'ALL Other SINs - Proposal'!I431</f>
        <v>0</v>
      </c>
      <c r="J431" s="125">
        <f>'ALL Other SINs - Proposal'!J431</f>
        <v>0</v>
      </c>
      <c r="K431" s="125">
        <f>'ALL Other SINs - Proposal'!K431</f>
        <v>0</v>
      </c>
      <c r="L431" s="125">
        <f>'ALL Other SINs - Proposal'!L431</f>
        <v>0</v>
      </c>
      <c r="M431" s="206">
        <f>'ALL Other SINs - Proposal'!M431</f>
        <v>0</v>
      </c>
      <c r="N431" s="251">
        <f>'ALL Other SINs - Proposal'!V431</f>
        <v>0</v>
      </c>
      <c r="O431" s="201" t="str">
        <f>'Price Analysis'!N431</f>
        <v xml:space="preserve"> </v>
      </c>
      <c r="P431" s="53" t="str">
        <f>IF(ISBLANK('ALL Other SINs - Proposal'!AA431)," ",'ALL Other SINs - Proposal'!AA431)</f>
        <v xml:space="preserve"> </v>
      </c>
      <c r="Q431" s="95" t="str">
        <f>'ALL Other SINs - Proposal'!AC431</f>
        <v xml:space="preserve"> </v>
      </c>
      <c r="R431" s="100" t="str">
        <f>IF(ISBLANK('ALL Other SINs - Proposal'!AA431)," ",ROUND(Q431,2))</f>
        <v xml:space="preserve"> </v>
      </c>
      <c r="S431" s="54"/>
    </row>
    <row r="432" spans="1:19" ht="20.100000000000001" customHeight="1" x14ac:dyDescent="0.2">
      <c r="A432" s="127">
        <f>'ALL Other SINs - Proposal'!A432</f>
        <v>0</v>
      </c>
      <c r="B432" s="121">
        <f>'ALL Other SINs - Proposal'!B432</f>
        <v>0</v>
      </c>
      <c r="C432" s="121">
        <f>'ALL Other SINs - Proposal'!C432</f>
        <v>0</v>
      </c>
      <c r="D432" s="121">
        <f>'ALL Other SINs - Proposal'!D432</f>
        <v>0</v>
      </c>
      <c r="E432" s="121">
        <f>'ALL Other SINs - Proposal'!E432</f>
        <v>0</v>
      </c>
      <c r="F432" s="171">
        <f>'ALL Other SINs - Proposal'!F432</f>
        <v>0</v>
      </c>
      <c r="G432" s="51">
        <f>'ALL Other SINs - Proposal'!G432</f>
        <v>0</v>
      </c>
      <c r="H432" s="125">
        <f>'ALL Other SINs - Proposal'!H432</f>
        <v>0</v>
      </c>
      <c r="I432" s="125">
        <f>'ALL Other SINs - Proposal'!I432</f>
        <v>0</v>
      </c>
      <c r="J432" s="125">
        <f>'ALL Other SINs - Proposal'!J432</f>
        <v>0</v>
      </c>
      <c r="K432" s="125">
        <f>'ALL Other SINs - Proposal'!K432</f>
        <v>0</v>
      </c>
      <c r="L432" s="125">
        <f>'ALL Other SINs - Proposal'!L432</f>
        <v>0</v>
      </c>
      <c r="M432" s="206">
        <f>'ALL Other SINs - Proposal'!M432</f>
        <v>0</v>
      </c>
      <c r="N432" s="251">
        <f>'ALL Other SINs - Proposal'!V432</f>
        <v>0</v>
      </c>
      <c r="O432" s="201" t="str">
        <f>'Price Analysis'!N432</f>
        <v xml:space="preserve"> </v>
      </c>
      <c r="P432" s="53" t="str">
        <f>IF(ISBLANK('ALL Other SINs - Proposal'!AA432)," ",'ALL Other SINs - Proposal'!AA432)</f>
        <v xml:space="preserve"> </v>
      </c>
      <c r="Q432" s="95" t="str">
        <f>'ALL Other SINs - Proposal'!AC432</f>
        <v xml:space="preserve"> </v>
      </c>
      <c r="R432" s="100" t="str">
        <f>IF(ISBLANK('ALL Other SINs - Proposal'!AA432)," ",ROUND(Q432,2))</f>
        <v xml:space="preserve"> </v>
      </c>
      <c r="S432" s="54"/>
    </row>
    <row r="433" spans="1:19" ht="20.100000000000001" customHeight="1" x14ac:dyDescent="0.2">
      <c r="A433" s="127">
        <f>'ALL Other SINs - Proposal'!A433</f>
        <v>0</v>
      </c>
      <c r="B433" s="121">
        <f>'ALL Other SINs - Proposal'!B433</f>
        <v>0</v>
      </c>
      <c r="C433" s="121">
        <f>'ALL Other SINs - Proposal'!C433</f>
        <v>0</v>
      </c>
      <c r="D433" s="121">
        <f>'ALL Other SINs - Proposal'!D433</f>
        <v>0</v>
      </c>
      <c r="E433" s="121">
        <f>'ALL Other SINs - Proposal'!E433</f>
        <v>0</v>
      </c>
      <c r="F433" s="171">
        <f>'ALL Other SINs - Proposal'!F433</f>
        <v>0</v>
      </c>
      <c r="G433" s="51">
        <f>'ALL Other SINs - Proposal'!G433</f>
        <v>0</v>
      </c>
      <c r="H433" s="125">
        <f>'ALL Other SINs - Proposal'!H433</f>
        <v>0</v>
      </c>
      <c r="I433" s="125">
        <f>'ALL Other SINs - Proposal'!I433</f>
        <v>0</v>
      </c>
      <c r="J433" s="125">
        <f>'ALL Other SINs - Proposal'!J433</f>
        <v>0</v>
      </c>
      <c r="K433" s="125">
        <f>'ALL Other SINs - Proposal'!K433</f>
        <v>0</v>
      </c>
      <c r="L433" s="125">
        <f>'ALL Other SINs - Proposal'!L433</f>
        <v>0</v>
      </c>
      <c r="M433" s="206">
        <f>'ALL Other SINs - Proposal'!M433</f>
        <v>0</v>
      </c>
      <c r="N433" s="251">
        <f>'ALL Other SINs - Proposal'!V433</f>
        <v>0</v>
      </c>
      <c r="O433" s="201" t="str">
        <f>'Price Analysis'!N433</f>
        <v xml:space="preserve"> </v>
      </c>
      <c r="P433" s="53" t="str">
        <f>IF(ISBLANK('ALL Other SINs - Proposal'!AA433)," ",'ALL Other SINs - Proposal'!AA433)</f>
        <v xml:space="preserve"> </v>
      </c>
      <c r="Q433" s="95" t="str">
        <f>'ALL Other SINs - Proposal'!AC433</f>
        <v xml:space="preserve"> </v>
      </c>
      <c r="R433" s="100" t="str">
        <f>IF(ISBLANK('ALL Other SINs - Proposal'!AA433)," ",ROUND(Q433,2))</f>
        <v xml:space="preserve"> </v>
      </c>
      <c r="S433" s="54"/>
    </row>
    <row r="434" spans="1:19" ht="20.100000000000001" customHeight="1" x14ac:dyDescent="0.2">
      <c r="A434" s="127">
        <f>'ALL Other SINs - Proposal'!A434</f>
        <v>0</v>
      </c>
      <c r="B434" s="121">
        <f>'ALL Other SINs - Proposal'!B434</f>
        <v>0</v>
      </c>
      <c r="C434" s="121">
        <f>'ALL Other SINs - Proposal'!C434</f>
        <v>0</v>
      </c>
      <c r="D434" s="121">
        <f>'ALL Other SINs - Proposal'!D434</f>
        <v>0</v>
      </c>
      <c r="E434" s="121">
        <f>'ALL Other SINs - Proposal'!E434</f>
        <v>0</v>
      </c>
      <c r="F434" s="171">
        <f>'ALL Other SINs - Proposal'!F434</f>
        <v>0</v>
      </c>
      <c r="G434" s="51">
        <f>'ALL Other SINs - Proposal'!G434</f>
        <v>0</v>
      </c>
      <c r="H434" s="125">
        <f>'ALL Other SINs - Proposal'!H434</f>
        <v>0</v>
      </c>
      <c r="I434" s="125">
        <f>'ALL Other SINs - Proposal'!I434</f>
        <v>0</v>
      </c>
      <c r="J434" s="125">
        <f>'ALL Other SINs - Proposal'!J434</f>
        <v>0</v>
      </c>
      <c r="K434" s="125">
        <f>'ALL Other SINs - Proposal'!K434</f>
        <v>0</v>
      </c>
      <c r="L434" s="125">
        <f>'ALL Other SINs - Proposal'!L434</f>
        <v>0</v>
      </c>
      <c r="M434" s="206">
        <f>'ALL Other SINs - Proposal'!M434</f>
        <v>0</v>
      </c>
      <c r="N434" s="251">
        <f>'ALL Other SINs - Proposal'!V434</f>
        <v>0</v>
      </c>
      <c r="O434" s="201" t="str">
        <f>'Price Analysis'!N434</f>
        <v xml:space="preserve"> </v>
      </c>
      <c r="P434" s="53" t="str">
        <f>IF(ISBLANK('ALL Other SINs - Proposal'!AA434)," ",'ALL Other SINs - Proposal'!AA434)</f>
        <v xml:space="preserve"> </v>
      </c>
      <c r="Q434" s="95" t="str">
        <f>'ALL Other SINs - Proposal'!AC434</f>
        <v xml:space="preserve"> </v>
      </c>
      <c r="R434" s="100" t="str">
        <f>IF(ISBLANK('ALL Other SINs - Proposal'!AA434)," ",ROUND(Q434,2))</f>
        <v xml:space="preserve"> </v>
      </c>
      <c r="S434" s="54"/>
    </row>
    <row r="435" spans="1:19" ht="20.100000000000001" customHeight="1" x14ac:dyDescent="0.2">
      <c r="A435" s="127">
        <f>'ALL Other SINs - Proposal'!A435</f>
        <v>0</v>
      </c>
      <c r="B435" s="121">
        <f>'ALL Other SINs - Proposal'!B435</f>
        <v>0</v>
      </c>
      <c r="C435" s="121">
        <f>'ALL Other SINs - Proposal'!C435</f>
        <v>0</v>
      </c>
      <c r="D435" s="121">
        <f>'ALL Other SINs - Proposal'!D435</f>
        <v>0</v>
      </c>
      <c r="E435" s="121">
        <f>'ALL Other SINs - Proposal'!E435</f>
        <v>0</v>
      </c>
      <c r="F435" s="171">
        <f>'ALL Other SINs - Proposal'!F435</f>
        <v>0</v>
      </c>
      <c r="G435" s="51">
        <f>'ALL Other SINs - Proposal'!G435</f>
        <v>0</v>
      </c>
      <c r="H435" s="125">
        <f>'ALL Other SINs - Proposal'!H435</f>
        <v>0</v>
      </c>
      <c r="I435" s="125">
        <f>'ALL Other SINs - Proposal'!I435</f>
        <v>0</v>
      </c>
      <c r="J435" s="125">
        <f>'ALL Other SINs - Proposal'!J435</f>
        <v>0</v>
      </c>
      <c r="K435" s="125">
        <f>'ALL Other SINs - Proposal'!K435</f>
        <v>0</v>
      </c>
      <c r="L435" s="125">
        <f>'ALL Other SINs - Proposal'!L435</f>
        <v>0</v>
      </c>
      <c r="M435" s="206">
        <f>'ALL Other SINs - Proposal'!M435</f>
        <v>0</v>
      </c>
      <c r="N435" s="251">
        <f>'ALL Other SINs - Proposal'!V435</f>
        <v>0</v>
      </c>
      <c r="O435" s="201" t="str">
        <f>'Price Analysis'!N435</f>
        <v xml:space="preserve"> </v>
      </c>
      <c r="P435" s="53" t="str">
        <f>IF(ISBLANK('ALL Other SINs - Proposal'!AA435)," ",'ALL Other SINs - Proposal'!AA435)</f>
        <v xml:space="preserve"> </v>
      </c>
      <c r="Q435" s="95" t="str">
        <f>'ALL Other SINs - Proposal'!AC435</f>
        <v xml:space="preserve"> </v>
      </c>
      <c r="R435" s="100" t="str">
        <f>IF(ISBLANK('ALL Other SINs - Proposal'!AA435)," ",ROUND(Q435,2))</f>
        <v xml:space="preserve"> </v>
      </c>
      <c r="S435" s="54"/>
    </row>
    <row r="436" spans="1:19" ht="20.100000000000001" customHeight="1" x14ac:dyDescent="0.2">
      <c r="A436" s="127">
        <f>'ALL Other SINs - Proposal'!A436</f>
        <v>0</v>
      </c>
      <c r="B436" s="121">
        <f>'ALL Other SINs - Proposal'!B436</f>
        <v>0</v>
      </c>
      <c r="C436" s="121">
        <f>'ALL Other SINs - Proposal'!C436</f>
        <v>0</v>
      </c>
      <c r="D436" s="121">
        <f>'ALL Other SINs - Proposal'!D436</f>
        <v>0</v>
      </c>
      <c r="E436" s="121">
        <f>'ALL Other SINs - Proposal'!E436</f>
        <v>0</v>
      </c>
      <c r="F436" s="171">
        <f>'ALL Other SINs - Proposal'!F436</f>
        <v>0</v>
      </c>
      <c r="G436" s="51">
        <f>'ALL Other SINs - Proposal'!G436</f>
        <v>0</v>
      </c>
      <c r="H436" s="125">
        <f>'ALL Other SINs - Proposal'!H436</f>
        <v>0</v>
      </c>
      <c r="I436" s="125">
        <f>'ALL Other SINs - Proposal'!I436</f>
        <v>0</v>
      </c>
      <c r="J436" s="125">
        <f>'ALL Other SINs - Proposal'!J436</f>
        <v>0</v>
      </c>
      <c r="K436" s="125">
        <f>'ALL Other SINs - Proposal'!K436</f>
        <v>0</v>
      </c>
      <c r="L436" s="125">
        <f>'ALL Other SINs - Proposal'!L436</f>
        <v>0</v>
      </c>
      <c r="M436" s="206">
        <f>'ALL Other SINs - Proposal'!M436</f>
        <v>0</v>
      </c>
      <c r="N436" s="251">
        <f>'ALL Other SINs - Proposal'!V436</f>
        <v>0</v>
      </c>
      <c r="O436" s="201" t="str">
        <f>'Price Analysis'!N436</f>
        <v xml:space="preserve"> </v>
      </c>
      <c r="P436" s="53" t="str">
        <f>IF(ISBLANK('ALL Other SINs - Proposal'!AA436)," ",'ALL Other SINs - Proposal'!AA436)</f>
        <v xml:space="preserve"> </v>
      </c>
      <c r="Q436" s="95" t="str">
        <f>'ALL Other SINs - Proposal'!AC436</f>
        <v xml:space="preserve"> </v>
      </c>
      <c r="R436" s="100" t="str">
        <f>IF(ISBLANK('ALL Other SINs - Proposal'!AA436)," ",ROUND(Q436,2))</f>
        <v xml:space="preserve"> </v>
      </c>
      <c r="S436" s="54"/>
    </row>
    <row r="437" spans="1:19" ht="20.100000000000001" customHeight="1" x14ac:dyDescent="0.2">
      <c r="A437" s="127">
        <f>'ALL Other SINs - Proposal'!A437</f>
        <v>0</v>
      </c>
      <c r="B437" s="121">
        <f>'ALL Other SINs - Proposal'!B437</f>
        <v>0</v>
      </c>
      <c r="C437" s="121">
        <f>'ALL Other SINs - Proposal'!C437</f>
        <v>0</v>
      </c>
      <c r="D437" s="121">
        <f>'ALL Other SINs - Proposal'!D437</f>
        <v>0</v>
      </c>
      <c r="E437" s="121">
        <f>'ALL Other SINs - Proposal'!E437</f>
        <v>0</v>
      </c>
      <c r="F437" s="171">
        <f>'ALL Other SINs - Proposal'!F437</f>
        <v>0</v>
      </c>
      <c r="G437" s="51">
        <f>'ALL Other SINs - Proposal'!G437</f>
        <v>0</v>
      </c>
      <c r="H437" s="125">
        <f>'ALL Other SINs - Proposal'!H437</f>
        <v>0</v>
      </c>
      <c r="I437" s="125">
        <f>'ALL Other SINs - Proposal'!I437</f>
        <v>0</v>
      </c>
      <c r="J437" s="125">
        <f>'ALL Other SINs - Proposal'!J437</f>
        <v>0</v>
      </c>
      <c r="K437" s="125">
        <f>'ALL Other SINs - Proposal'!K437</f>
        <v>0</v>
      </c>
      <c r="L437" s="125">
        <f>'ALL Other SINs - Proposal'!L437</f>
        <v>0</v>
      </c>
      <c r="M437" s="206">
        <f>'ALL Other SINs - Proposal'!M437</f>
        <v>0</v>
      </c>
      <c r="N437" s="251">
        <f>'ALL Other SINs - Proposal'!V437</f>
        <v>0</v>
      </c>
      <c r="O437" s="201" t="str">
        <f>'Price Analysis'!N437</f>
        <v xml:space="preserve"> </v>
      </c>
      <c r="P437" s="53" t="str">
        <f>IF(ISBLANK('ALL Other SINs - Proposal'!AA437)," ",'ALL Other SINs - Proposal'!AA437)</f>
        <v xml:space="preserve"> </v>
      </c>
      <c r="Q437" s="95" t="str">
        <f>'ALL Other SINs - Proposal'!AC437</f>
        <v xml:space="preserve"> </v>
      </c>
      <c r="R437" s="100" t="str">
        <f>IF(ISBLANK('ALL Other SINs - Proposal'!AA437)," ",ROUND(Q437,2))</f>
        <v xml:space="preserve"> </v>
      </c>
      <c r="S437" s="54"/>
    </row>
    <row r="438" spans="1:19" ht="20.100000000000001" customHeight="1" x14ac:dyDescent="0.2">
      <c r="A438" s="127">
        <f>'ALL Other SINs - Proposal'!A438</f>
        <v>0</v>
      </c>
      <c r="B438" s="121">
        <f>'ALL Other SINs - Proposal'!B438</f>
        <v>0</v>
      </c>
      <c r="C438" s="121">
        <f>'ALL Other SINs - Proposal'!C438</f>
        <v>0</v>
      </c>
      <c r="D438" s="121">
        <f>'ALL Other SINs - Proposal'!D438</f>
        <v>0</v>
      </c>
      <c r="E438" s="121">
        <f>'ALL Other SINs - Proposal'!E438</f>
        <v>0</v>
      </c>
      <c r="F438" s="171">
        <f>'ALL Other SINs - Proposal'!F438</f>
        <v>0</v>
      </c>
      <c r="G438" s="51">
        <f>'ALL Other SINs - Proposal'!G438</f>
        <v>0</v>
      </c>
      <c r="H438" s="125">
        <f>'ALL Other SINs - Proposal'!H438</f>
        <v>0</v>
      </c>
      <c r="I438" s="125">
        <f>'ALL Other SINs - Proposal'!I438</f>
        <v>0</v>
      </c>
      <c r="J438" s="125">
        <f>'ALL Other SINs - Proposal'!J438</f>
        <v>0</v>
      </c>
      <c r="K438" s="125">
        <f>'ALL Other SINs - Proposal'!K438</f>
        <v>0</v>
      </c>
      <c r="L438" s="125">
        <f>'ALL Other SINs - Proposal'!L438</f>
        <v>0</v>
      </c>
      <c r="M438" s="206">
        <f>'ALL Other SINs - Proposal'!M438</f>
        <v>0</v>
      </c>
      <c r="N438" s="251">
        <f>'ALL Other SINs - Proposal'!V438</f>
        <v>0</v>
      </c>
      <c r="O438" s="201" t="str">
        <f>'Price Analysis'!N438</f>
        <v xml:space="preserve"> </v>
      </c>
      <c r="P438" s="53" t="str">
        <f>IF(ISBLANK('ALL Other SINs - Proposal'!AA438)," ",'ALL Other SINs - Proposal'!AA438)</f>
        <v xml:space="preserve"> </v>
      </c>
      <c r="Q438" s="95" t="str">
        <f>'ALL Other SINs - Proposal'!AC438</f>
        <v xml:space="preserve"> </v>
      </c>
      <c r="R438" s="100" t="str">
        <f>IF(ISBLANK('ALL Other SINs - Proposal'!AA438)," ",ROUND(Q438,2))</f>
        <v xml:space="preserve"> </v>
      </c>
      <c r="S438" s="54"/>
    </row>
    <row r="439" spans="1:19" ht="20.100000000000001" customHeight="1" x14ac:dyDescent="0.2">
      <c r="A439" s="127">
        <f>'ALL Other SINs - Proposal'!A439</f>
        <v>0</v>
      </c>
      <c r="B439" s="121">
        <f>'ALL Other SINs - Proposal'!B439</f>
        <v>0</v>
      </c>
      <c r="C439" s="121">
        <f>'ALL Other SINs - Proposal'!C439</f>
        <v>0</v>
      </c>
      <c r="D439" s="121">
        <f>'ALL Other SINs - Proposal'!D439</f>
        <v>0</v>
      </c>
      <c r="E439" s="121">
        <f>'ALL Other SINs - Proposal'!E439</f>
        <v>0</v>
      </c>
      <c r="F439" s="171">
        <f>'ALL Other SINs - Proposal'!F439</f>
        <v>0</v>
      </c>
      <c r="G439" s="51">
        <f>'ALL Other SINs - Proposal'!G439</f>
        <v>0</v>
      </c>
      <c r="H439" s="125">
        <f>'ALL Other SINs - Proposal'!H439</f>
        <v>0</v>
      </c>
      <c r="I439" s="125">
        <f>'ALL Other SINs - Proposal'!I439</f>
        <v>0</v>
      </c>
      <c r="J439" s="125">
        <f>'ALL Other SINs - Proposal'!J439</f>
        <v>0</v>
      </c>
      <c r="K439" s="125">
        <f>'ALL Other SINs - Proposal'!K439</f>
        <v>0</v>
      </c>
      <c r="L439" s="125">
        <f>'ALL Other SINs - Proposal'!L439</f>
        <v>0</v>
      </c>
      <c r="M439" s="206">
        <f>'ALL Other SINs - Proposal'!M439</f>
        <v>0</v>
      </c>
      <c r="N439" s="251">
        <f>'ALL Other SINs - Proposal'!V439</f>
        <v>0</v>
      </c>
      <c r="O439" s="201" t="str">
        <f>'Price Analysis'!N439</f>
        <v xml:space="preserve"> </v>
      </c>
      <c r="P439" s="53" t="str">
        <f>IF(ISBLANK('ALL Other SINs - Proposal'!AA439)," ",'ALL Other SINs - Proposal'!AA439)</f>
        <v xml:space="preserve"> </v>
      </c>
      <c r="Q439" s="95" t="str">
        <f>'ALL Other SINs - Proposal'!AC439</f>
        <v xml:space="preserve"> </v>
      </c>
      <c r="R439" s="100" t="str">
        <f>IF(ISBLANK('ALL Other SINs - Proposal'!AA439)," ",ROUND(Q439,2))</f>
        <v xml:space="preserve"> </v>
      </c>
      <c r="S439" s="54"/>
    </row>
    <row r="440" spans="1:19" ht="20.100000000000001" customHeight="1" x14ac:dyDescent="0.2">
      <c r="A440" s="127">
        <f>'ALL Other SINs - Proposal'!A440</f>
        <v>0</v>
      </c>
      <c r="B440" s="121">
        <f>'ALL Other SINs - Proposal'!B440</f>
        <v>0</v>
      </c>
      <c r="C440" s="121">
        <f>'ALL Other SINs - Proposal'!C440</f>
        <v>0</v>
      </c>
      <c r="D440" s="121">
        <f>'ALL Other SINs - Proposal'!D440</f>
        <v>0</v>
      </c>
      <c r="E440" s="121">
        <f>'ALL Other SINs - Proposal'!E440</f>
        <v>0</v>
      </c>
      <c r="F440" s="171">
        <f>'ALL Other SINs - Proposal'!F440</f>
        <v>0</v>
      </c>
      <c r="G440" s="51">
        <f>'ALL Other SINs - Proposal'!G440</f>
        <v>0</v>
      </c>
      <c r="H440" s="125">
        <f>'ALL Other SINs - Proposal'!H440</f>
        <v>0</v>
      </c>
      <c r="I440" s="125">
        <f>'ALL Other SINs - Proposal'!I440</f>
        <v>0</v>
      </c>
      <c r="J440" s="125">
        <f>'ALL Other SINs - Proposal'!J440</f>
        <v>0</v>
      </c>
      <c r="K440" s="125">
        <f>'ALL Other SINs - Proposal'!K440</f>
        <v>0</v>
      </c>
      <c r="L440" s="125">
        <f>'ALL Other SINs - Proposal'!L440</f>
        <v>0</v>
      </c>
      <c r="M440" s="206">
        <f>'ALL Other SINs - Proposal'!M440</f>
        <v>0</v>
      </c>
      <c r="N440" s="251">
        <f>'ALL Other SINs - Proposal'!V440</f>
        <v>0</v>
      </c>
      <c r="O440" s="201" t="str">
        <f>'Price Analysis'!N440</f>
        <v xml:space="preserve"> </v>
      </c>
      <c r="P440" s="53" t="str">
        <f>IF(ISBLANK('ALL Other SINs - Proposal'!AA440)," ",'ALL Other SINs - Proposal'!AA440)</f>
        <v xml:space="preserve"> </v>
      </c>
      <c r="Q440" s="95" t="str">
        <f>'ALL Other SINs - Proposal'!AC440</f>
        <v xml:space="preserve"> </v>
      </c>
      <c r="R440" s="100" t="str">
        <f>IF(ISBLANK('ALL Other SINs - Proposal'!AA440)," ",ROUND(Q440,2))</f>
        <v xml:space="preserve"> </v>
      </c>
      <c r="S440" s="54"/>
    </row>
    <row r="441" spans="1:19" ht="20.100000000000001" customHeight="1" x14ac:dyDescent="0.2">
      <c r="A441" s="127">
        <f>'ALL Other SINs - Proposal'!A441</f>
        <v>0</v>
      </c>
      <c r="B441" s="121">
        <f>'ALL Other SINs - Proposal'!B441</f>
        <v>0</v>
      </c>
      <c r="C441" s="121">
        <f>'ALL Other SINs - Proposal'!C441</f>
        <v>0</v>
      </c>
      <c r="D441" s="121">
        <f>'ALL Other SINs - Proposal'!D441</f>
        <v>0</v>
      </c>
      <c r="E441" s="121">
        <f>'ALL Other SINs - Proposal'!E441</f>
        <v>0</v>
      </c>
      <c r="F441" s="171">
        <f>'ALL Other SINs - Proposal'!F441</f>
        <v>0</v>
      </c>
      <c r="G441" s="51">
        <f>'ALL Other SINs - Proposal'!G441</f>
        <v>0</v>
      </c>
      <c r="H441" s="125">
        <f>'ALL Other SINs - Proposal'!H441</f>
        <v>0</v>
      </c>
      <c r="I441" s="125">
        <f>'ALL Other SINs - Proposal'!I441</f>
        <v>0</v>
      </c>
      <c r="J441" s="125">
        <f>'ALL Other SINs - Proposal'!J441</f>
        <v>0</v>
      </c>
      <c r="K441" s="125">
        <f>'ALL Other SINs - Proposal'!K441</f>
        <v>0</v>
      </c>
      <c r="L441" s="125">
        <f>'ALL Other SINs - Proposal'!L441</f>
        <v>0</v>
      </c>
      <c r="M441" s="206">
        <f>'ALL Other SINs - Proposal'!M441</f>
        <v>0</v>
      </c>
      <c r="N441" s="251">
        <f>'ALL Other SINs - Proposal'!V441</f>
        <v>0</v>
      </c>
      <c r="O441" s="201" t="str">
        <f>'Price Analysis'!N441</f>
        <v xml:space="preserve"> </v>
      </c>
      <c r="P441" s="53" t="str">
        <f>IF(ISBLANK('ALL Other SINs - Proposal'!AA441)," ",'ALL Other SINs - Proposal'!AA441)</f>
        <v xml:space="preserve"> </v>
      </c>
      <c r="Q441" s="95" t="str">
        <f>'ALL Other SINs - Proposal'!AC441</f>
        <v xml:space="preserve"> </v>
      </c>
      <c r="R441" s="100" t="str">
        <f>IF(ISBLANK('ALL Other SINs - Proposal'!AA441)," ",ROUND(Q441,2))</f>
        <v xml:space="preserve"> </v>
      </c>
      <c r="S441" s="54"/>
    </row>
    <row r="442" spans="1:19" ht="20.100000000000001" customHeight="1" x14ac:dyDescent="0.2">
      <c r="A442" s="127">
        <f>'ALL Other SINs - Proposal'!A442</f>
        <v>0</v>
      </c>
      <c r="B442" s="121">
        <f>'ALL Other SINs - Proposal'!B442</f>
        <v>0</v>
      </c>
      <c r="C442" s="121">
        <f>'ALL Other SINs - Proposal'!C442</f>
        <v>0</v>
      </c>
      <c r="D442" s="121">
        <f>'ALL Other SINs - Proposal'!D442</f>
        <v>0</v>
      </c>
      <c r="E442" s="121">
        <f>'ALL Other SINs - Proposal'!E442</f>
        <v>0</v>
      </c>
      <c r="F442" s="171">
        <f>'ALL Other SINs - Proposal'!F442</f>
        <v>0</v>
      </c>
      <c r="G442" s="51">
        <f>'ALL Other SINs - Proposal'!G442</f>
        <v>0</v>
      </c>
      <c r="H442" s="125">
        <f>'ALL Other SINs - Proposal'!H442</f>
        <v>0</v>
      </c>
      <c r="I442" s="125">
        <f>'ALL Other SINs - Proposal'!I442</f>
        <v>0</v>
      </c>
      <c r="J442" s="125">
        <f>'ALL Other SINs - Proposal'!J442</f>
        <v>0</v>
      </c>
      <c r="K442" s="125">
        <f>'ALL Other SINs - Proposal'!K442</f>
        <v>0</v>
      </c>
      <c r="L442" s="125">
        <f>'ALL Other SINs - Proposal'!L442</f>
        <v>0</v>
      </c>
      <c r="M442" s="206">
        <f>'ALL Other SINs - Proposal'!M442</f>
        <v>0</v>
      </c>
      <c r="N442" s="251">
        <f>'ALL Other SINs - Proposal'!V442</f>
        <v>0</v>
      </c>
      <c r="O442" s="201" t="str">
        <f>'Price Analysis'!N442</f>
        <v xml:space="preserve"> </v>
      </c>
      <c r="P442" s="53" t="str">
        <f>IF(ISBLANK('ALL Other SINs - Proposal'!AA442)," ",'ALL Other SINs - Proposal'!AA442)</f>
        <v xml:space="preserve"> </v>
      </c>
      <c r="Q442" s="95" t="str">
        <f>'ALL Other SINs - Proposal'!AC442</f>
        <v xml:space="preserve"> </v>
      </c>
      <c r="R442" s="100" t="str">
        <f>IF(ISBLANK('ALL Other SINs - Proposal'!AA442)," ",ROUND(Q442,2))</f>
        <v xml:space="preserve"> </v>
      </c>
      <c r="S442" s="54"/>
    </row>
    <row r="443" spans="1:19" ht="20.100000000000001" customHeight="1" x14ac:dyDescent="0.2">
      <c r="A443" s="127">
        <f>'ALL Other SINs - Proposal'!A443</f>
        <v>0</v>
      </c>
      <c r="B443" s="121">
        <f>'ALL Other SINs - Proposal'!B443</f>
        <v>0</v>
      </c>
      <c r="C443" s="121">
        <f>'ALL Other SINs - Proposal'!C443</f>
        <v>0</v>
      </c>
      <c r="D443" s="121">
        <f>'ALL Other SINs - Proposal'!D443</f>
        <v>0</v>
      </c>
      <c r="E443" s="121">
        <f>'ALL Other SINs - Proposal'!E443</f>
        <v>0</v>
      </c>
      <c r="F443" s="171">
        <f>'ALL Other SINs - Proposal'!F443</f>
        <v>0</v>
      </c>
      <c r="G443" s="51">
        <f>'ALL Other SINs - Proposal'!G443</f>
        <v>0</v>
      </c>
      <c r="H443" s="125">
        <f>'ALL Other SINs - Proposal'!H443</f>
        <v>0</v>
      </c>
      <c r="I443" s="125">
        <f>'ALL Other SINs - Proposal'!I443</f>
        <v>0</v>
      </c>
      <c r="J443" s="125">
        <f>'ALL Other SINs - Proposal'!J443</f>
        <v>0</v>
      </c>
      <c r="K443" s="125">
        <f>'ALL Other SINs - Proposal'!K443</f>
        <v>0</v>
      </c>
      <c r="L443" s="125">
        <f>'ALL Other SINs - Proposal'!L443</f>
        <v>0</v>
      </c>
      <c r="M443" s="206">
        <f>'ALL Other SINs - Proposal'!M443</f>
        <v>0</v>
      </c>
      <c r="N443" s="251">
        <f>'ALL Other SINs - Proposal'!V443</f>
        <v>0</v>
      </c>
      <c r="O443" s="201" t="str">
        <f>'Price Analysis'!N443</f>
        <v xml:space="preserve"> </v>
      </c>
      <c r="P443" s="53" t="str">
        <f>IF(ISBLANK('ALL Other SINs - Proposal'!AA443)," ",'ALL Other SINs - Proposal'!AA443)</f>
        <v xml:space="preserve"> </v>
      </c>
      <c r="Q443" s="95" t="str">
        <f>'ALL Other SINs - Proposal'!AC443</f>
        <v xml:space="preserve"> </v>
      </c>
      <c r="R443" s="100" t="str">
        <f>IF(ISBLANK('ALL Other SINs - Proposal'!AA443)," ",ROUND(Q443,2))</f>
        <v xml:space="preserve"> </v>
      </c>
      <c r="S443" s="54"/>
    </row>
    <row r="444" spans="1:19" ht="20.100000000000001" customHeight="1" x14ac:dyDescent="0.2">
      <c r="A444" s="127">
        <f>'ALL Other SINs - Proposal'!A444</f>
        <v>0</v>
      </c>
      <c r="B444" s="121">
        <f>'ALL Other SINs - Proposal'!B444</f>
        <v>0</v>
      </c>
      <c r="C444" s="121">
        <f>'ALL Other SINs - Proposal'!C444</f>
        <v>0</v>
      </c>
      <c r="D444" s="121">
        <f>'ALL Other SINs - Proposal'!D444</f>
        <v>0</v>
      </c>
      <c r="E444" s="121">
        <f>'ALL Other SINs - Proposal'!E444</f>
        <v>0</v>
      </c>
      <c r="F444" s="171">
        <f>'ALL Other SINs - Proposal'!F444</f>
        <v>0</v>
      </c>
      <c r="G444" s="51">
        <f>'ALL Other SINs - Proposal'!G444</f>
        <v>0</v>
      </c>
      <c r="H444" s="125">
        <f>'ALL Other SINs - Proposal'!H444</f>
        <v>0</v>
      </c>
      <c r="I444" s="125">
        <f>'ALL Other SINs - Proposal'!I444</f>
        <v>0</v>
      </c>
      <c r="J444" s="125">
        <f>'ALL Other SINs - Proposal'!J444</f>
        <v>0</v>
      </c>
      <c r="K444" s="125">
        <f>'ALL Other SINs - Proposal'!K444</f>
        <v>0</v>
      </c>
      <c r="L444" s="125">
        <f>'ALL Other SINs - Proposal'!L444</f>
        <v>0</v>
      </c>
      <c r="M444" s="206">
        <f>'ALL Other SINs - Proposal'!M444</f>
        <v>0</v>
      </c>
      <c r="N444" s="251">
        <f>'ALL Other SINs - Proposal'!V444</f>
        <v>0</v>
      </c>
      <c r="O444" s="201" t="str">
        <f>'Price Analysis'!N444</f>
        <v xml:space="preserve"> </v>
      </c>
      <c r="P444" s="53" t="str">
        <f>IF(ISBLANK('ALL Other SINs - Proposal'!AA444)," ",'ALL Other SINs - Proposal'!AA444)</f>
        <v xml:space="preserve"> </v>
      </c>
      <c r="Q444" s="95" t="str">
        <f>'ALL Other SINs - Proposal'!AC444</f>
        <v xml:space="preserve"> </v>
      </c>
      <c r="R444" s="100" t="str">
        <f>IF(ISBLANK('ALL Other SINs - Proposal'!AA444)," ",ROUND(Q444,2))</f>
        <v xml:space="preserve"> </v>
      </c>
      <c r="S444" s="54"/>
    </row>
    <row r="445" spans="1:19" ht="20.100000000000001" customHeight="1" x14ac:dyDescent="0.2">
      <c r="A445" s="127">
        <f>'ALL Other SINs - Proposal'!A445</f>
        <v>0</v>
      </c>
      <c r="B445" s="121">
        <f>'ALL Other SINs - Proposal'!B445</f>
        <v>0</v>
      </c>
      <c r="C445" s="121">
        <f>'ALL Other SINs - Proposal'!C445</f>
        <v>0</v>
      </c>
      <c r="D445" s="121">
        <f>'ALL Other SINs - Proposal'!D445</f>
        <v>0</v>
      </c>
      <c r="E445" s="121">
        <f>'ALL Other SINs - Proposal'!E445</f>
        <v>0</v>
      </c>
      <c r="F445" s="171">
        <f>'ALL Other SINs - Proposal'!F445</f>
        <v>0</v>
      </c>
      <c r="G445" s="51">
        <f>'ALL Other SINs - Proposal'!G445</f>
        <v>0</v>
      </c>
      <c r="H445" s="125">
        <f>'ALL Other SINs - Proposal'!H445</f>
        <v>0</v>
      </c>
      <c r="I445" s="125">
        <f>'ALL Other SINs - Proposal'!I445</f>
        <v>0</v>
      </c>
      <c r="J445" s="125">
        <f>'ALL Other SINs - Proposal'!J445</f>
        <v>0</v>
      </c>
      <c r="K445" s="125">
        <f>'ALL Other SINs - Proposal'!K445</f>
        <v>0</v>
      </c>
      <c r="L445" s="125">
        <f>'ALL Other SINs - Proposal'!L445</f>
        <v>0</v>
      </c>
      <c r="M445" s="206">
        <f>'ALL Other SINs - Proposal'!M445</f>
        <v>0</v>
      </c>
      <c r="N445" s="251">
        <f>'ALL Other SINs - Proposal'!V445</f>
        <v>0</v>
      </c>
      <c r="O445" s="201" t="str">
        <f>'Price Analysis'!N445</f>
        <v xml:space="preserve"> </v>
      </c>
      <c r="P445" s="53" t="str">
        <f>IF(ISBLANK('ALL Other SINs - Proposal'!AA445)," ",'ALL Other SINs - Proposal'!AA445)</f>
        <v xml:space="preserve"> </v>
      </c>
      <c r="Q445" s="95" t="str">
        <f>'ALL Other SINs - Proposal'!AC445</f>
        <v xml:space="preserve"> </v>
      </c>
      <c r="R445" s="100" t="str">
        <f>IF(ISBLANK('ALL Other SINs - Proposal'!AA445)," ",ROUND(Q445,2))</f>
        <v xml:space="preserve"> </v>
      </c>
      <c r="S445" s="54"/>
    </row>
    <row r="446" spans="1:19" ht="20.100000000000001" customHeight="1" x14ac:dyDescent="0.2">
      <c r="A446" s="127">
        <f>'ALL Other SINs - Proposal'!A446</f>
        <v>0</v>
      </c>
      <c r="B446" s="121">
        <f>'ALL Other SINs - Proposal'!B446</f>
        <v>0</v>
      </c>
      <c r="C446" s="121">
        <f>'ALL Other SINs - Proposal'!C446</f>
        <v>0</v>
      </c>
      <c r="D446" s="121">
        <f>'ALL Other SINs - Proposal'!D446</f>
        <v>0</v>
      </c>
      <c r="E446" s="121">
        <f>'ALL Other SINs - Proposal'!E446</f>
        <v>0</v>
      </c>
      <c r="F446" s="171">
        <f>'ALL Other SINs - Proposal'!F446</f>
        <v>0</v>
      </c>
      <c r="G446" s="51">
        <f>'ALL Other SINs - Proposal'!G446</f>
        <v>0</v>
      </c>
      <c r="H446" s="125">
        <f>'ALL Other SINs - Proposal'!H446</f>
        <v>0</v>
      </c>
      <c r="I446" s="125">
        <f>'ALL Other SINs - Proposal'!I446</f>
        <v>0</v>
      </c>
      <c r="J446" s="125">
        <f>'ALL Other SINs - Proposal'!J446</f>
        <v>0</v>
      </c>
      <c r="K446" s="125">
        <f>'ALL Other SINs - Proposal'!K446</f>
        <v>0</v>
      </c>
      <c r="L446" s="125">
        <f>'ALL Other SINs - Proposal'!L446</f>
        <v>0</v>
      </c>
      <c r="M446" s="206">
        <f>'ALL Other SINs - Proposal'!M446</f>
        <v>0</v>
      </c>
      <c r="N446" s="251">
        <f>'ALL Other SINs - Proposal'!V446</f>
        <v>0</v>
      </c>
      <c r="O446" s="201" t="str">
        <f>'Price Analysis'!N446</f>
        <v xml:space="preserve"> </v>
      </c>
      <c r="P446" s="53" t="str">
        <f>IF(ISBLANK('ALL Other SINs - Proposal'!AA446)," ",'ALL Other SINs - Proposal'!AA446)</f>
        <v xml:space="preserve"> </v>
      </c>
      <c r="Q446" s="95" t="str">
        <f>'ALL Other SINs - Proposal'!AC446</f>
        <v xml:space="preserve"> </v>
      </c>
      <c r="R446" s="100" t="str">
        <f>IF(ISBLANK('ALL Other SINs - Proposal'!AA446)," ",ROUND(Q446,2))</f>
        <v xml:space="preserve"> </v>
      </c>
      <c r="S446" s="54"/>
    </row>
    <row r="447" spans="1:19" ht="20.100000000000001" customHeight="1" x14ac:dyDescent="0.2">
      <c r="A447" s="127">
        <f>'ALL Other SINs - Proposal'!A447</f>
        <v>0</v>
      </c>
      <c r="B447" s="121">
        <f>'ALL Other SINs - Proposal'!B447</f>
        <v>0</v>
      </c>
      <c r="C447" s="121">
        <f>'ALL Other SINs - Proposal'!C447</f>
        <v>0</v>
      </c>
      <c r="D447" s="121">
        <f>'ALL Other SINs - Proposal'!D447</f>
        <v>0</v>
      </c>
      <c r="E447" s="121">
        <f>'ALL Other SINs - Proposal'!E447</f>
        <v>0</v>
      </c>
      <c r="F447" s="171">
        <f>'ALL Other SINs - Proposal'!F447</f>
        <v>0</v>
      </c>
      <c r="G447" s="51">
        <f>'ALL Other SINs - Proposal'!G447</f>
        <v>0</v>
      </c>
      <c r="H447" s="125">
        <f>'ALL Other SINs - Proposal'!H447</f>
        <v>0</v>
      </c>
      <c r="I447" s="125">
        <f>'ALL Other SINs - Proposal'!I447</f>
        <v>0</v>
      </c>
      <c r="J447" s="125">
        <f>'ALL Other SINs - Proposal'!J447</f>
        <v>0</v>
      </c>
      <c r="K447" s="125">
        <f>'ALL Other SINs - Proposal'!K447</f>
        <v>0</v>
      </c>
      <c r="L447" s="125">
        <f>'ALL Other SINs - Proposal'!L447</f>
        <v>0</v>
      </c>
      <c r="M447" s="206">
        <f>'ALL Other SINs - Proposal'!M447</f>
        <v>0</v>
      </c>
      <c r="N447" s="251">
        <f>'ALL Other SINs - Proposal'!V447</f>
        <v>0</v>
      </c>
      <c r="O447" s="201" t="str">
        <f>'Price Analysis'!N447</f>
        <v xml:space="preserve"> </v>
      </c>
      <c r="P447" s="53" t="str">
        <f>IF(ISBLANK('ALL Other SINs - Proposal'!AA447)," ",'ALL Other SINs - Proposal'!AA447)</f>
        <v xml:space="preserve"> </v>
      </c>
      <c r="Q447" s="95" t="str">
        <f>'ALL Other SINs - Proposal'!AC447</f>
        <v xml:space="preserve"> </v>
      </c>
      <c r="R447" s="100" t="str">
        <f>IF(ISBLANK('ALL Other SINs - Proposal'!AA447)," ",ROUND(Q447,2))</f>
        <v xml:space="preserve"> </v>
      </c>
      <c r="S447" s="54"/>
    </row>
    <row r="448" spans="1:19" ht="20.100000000000001" customHeight="1" x14ac:dyDescent="0.2">
      <c r="A448" s="127">
        <f>'ALL Other SINs - Proposal'!A448</f>
        <v>0</v>
      </c>
      <c r="B448" s="121">
        <f>'ALL Other SINs - Proposal'!B448</f>
        <v>0</v>
      </c>
      <c r="C448" s="121">
        <f>'ALL Other SINs - Proposal'!C448</f>
        <v>0</v>
      </c>
      <c r="D448" s="121">
        <f>'ALL Other SINs - Proposal'!D448</f>
        <v>0</v>
      </c>
      <c r="E448" s="121">
        <f>'ALL Other SINs - Proposal'!E448</f>
        <v>0</v>
      </c>
      <c r="F448" s="171">
        <f>'ALL Other SINs - Proposal'!F448</f>
        <v>0</v>
      </c>
      <c r="G448" s="51">
        <f>'ALL Other SINs - Proposal'!G448</f>
        <v>0</v>
      </c>
      <c r="H448" s="125">
        <f>'ALL Other SINs - Proposal'!H448</f>
        <v>0</v>
      </c>
      <c r="I448" s="125">
        <f>'ALL Other SINs - Proposal'!I448</f>
        <v>0</v>
      </c>
      <c r="J448" s="125">
        <f>'ALL Other SINs - Proposal'!J448</f>
        <v>0</v>
      </c>
      <c r="K448" s="125">
        <f>'ALL Other SINs - Proposal'!K448</f>
        <v>0</v>
      </c>
      <c r="L448" s="125">
        <f>'ALL Other SINs - Proposal'!L448</f>
        <v>0</v>
      </c>
      <c r="M448" s="206">
        <f>'ALL Other SINs - Proposal'!M448</f>
        <v>0</v>
      </c>
      <c r="N448" s="251">
        <f>'ALL Other SINs - Proposal'!V448</f>
        <v>0</v>
      </c>
      <c r="O448" s="201" t="str">
        <f>'Price Analysis'!N448</f>
        <v xml:space="preserve"> </v>
      </c>
      <c r="P448" s="53" t="str">
        <f>IF(ISBLANK('ALL Other SINs - Proposal'!AA448)," ",'ALL Other SINs - Proposal'!AA448)</f>
        <v xml:space="preserve"> </v>
      </c>
      <c r="Q448" s="95" t="str">
        <f>'ALL Other SINs - Proposal'!AC448</f>
        <v xml:space="preserve"> </v>
      </c>
      <c r="R448" s="100" t="str">
        <f>IF(ISBLANK('ALL Other SINs - Proposal'!AA448)," ",ROUND(Q448,2))</f>
        <v xml:space="preserve"> </v>
      </c>
      <c r="S448" s="54"/>
    </row>
    <row r="449" spans="1:19" ht="20.100000000000001" customHeight="1" x14ac:dyDescent="0.2">
      <c r="A449" s="127">
        <f>'ALL Other SINs - Proposal'!A449</f>
        <v>0</v>
      </c>
      <c r="B449" s="121">
        <f>'ALL Other SINs - Proposal'!B449</f>
        <v>0</v>
      </c>
      <c r="C449" s="121">
        <f>'ALL Other SINs - Proposal'!C449</f>
        <v>0</v>
      </c>
      <c r="D449" s="121">
        <f>'ALL Other SINs - Proposal'!D449</f>
        <v>0</v>
      </c>
      <c r="E449" s="121">
        <f>'ALL Other SINs - Proposal'!E449</f>
        <v>0</v>
      </c>
      <c r="F449" s="171">
        <f>'ALL Other SINs - Proposal'!F449</f>
        <v>0</v>
      </c>
      <c r="G449" s="51">
        <f>'ALL Other SINs - Proposal'!G449</f>
        <v>0</v>
      </c>
      <c r="H449" s="125">
        <f>'ALL Other SINs - Proposal'!H449</f>
        <v>0</v>
      </c>
      <c r="I449" s="125">
        <f>'ALL Other SINs - Proposal'!I449</f>
        <v>0</v>
      </c>
      <c r="J449" s="125">
        <f>'ALL Other SINs - Proposal'!J449</f>
        <v>0</v>
      </c>
      <c r="K449" s="125">
        <f>'ALL Other SINs - Proposal'!K449</f>
        <v>0</v>
      </c>
      <c r="L449" s="125">
        <f>'ALL Other SINs - Proposal'!L449</f>
        <v>0</v>
      </c>
      <c r="M449" s="206">
        <f>'ALL Other SINs - Proposal'!M449</f>
        <v>0</v>
      </c>
      <c r="N449" s="251">
        <f>'ALL Other SINs - Proposal'!V449</f>
        <v>0</v>
      </c>
      <c r="O449" s="201" t="str">
        <f>'Price Analysis'!N449</f>
        <v xml:space="preserve"> </v>
      </c>
      <c r="P449" s="53" t="str">
        <f>IF(ISBLANK('ALL Other SINs - Proposal'!AA449)," ",'ALL Other SINs - Proposal'!AA449)</f>
        <v xml:space="preserve"> </v>
      </c>
      <c r="Q449" s="95" t="str">
        <f>'ALL Other SINs - Proposal'!AC449</f>
        <v xml:space="preserve"> </v>
      </c>
      <c r="R449" s="100" t="str">
        <f>IF(ISBLANK('ALL Other SINs - Proposal'!AA449)," ",ROUND(Q449,2))</f>
        <v xml:space="preserve"> </v>
      </c>
      <c r="S449" s="54"/>
    </row>
    <row r="450" spans="1:19" ht="20.100000000000001" customHeight="1" x14ac:dyDescent="0.2">
      <c r="A450" s="127">
        <f>'ALL Other SINs - Proposal'!A450</f>
        <v>0</v>
      </c>
      <c r="B450" s="121">
        <f>'ALL Other SINs - Proposal'!B450</f>
        <v>0</v>
      </c>
      <c r="C450" s="121">
        <f>'ALL Other SINs - Proposal'!C450</f>
        <v>0</v>
      </c>
      <c r="D450" s="121">
        <f>'ALL Other SINs - Proposal'!D450</f>
        <v>0</v>
      </c>
      <c r="E450" s="121">
        <f>'ALL Other SINs - Proposal'!E450</f>
        <v>0</v>
      </c>
      <c r="F450" s="171">
        <f>'ALL Other SINs - Proposal'!F450</f>
        <v>0</v>
      </c>
      <c r="G450" s="51">
        <f>'ALL Other SINs - Proposal'!G450</f>
        <v>0</v>
      </c>
      <c r="H450" s="125">
        <f>'ALL Other SINs - Proposal'!H450</f>
        <v>0</v>
      </c>
      <c r="I450" s="125">
        <f>'ALL Other SINs - Proposal'!I450</f>
        <v>0</v>
      </c>
      <c r="J450" s="125">
        <f>'ALL Other SINs - Proposal'!J450</f>
        <v>0</v>
      </c>
      <c r="K450" s="125">
        <f>'ALL Other SINs - Proposal'!K450</f>
        <v>0</v>
      </c>
      <c r="L450" s="125">
        <f>'ALL Other SINs - Proposal'!L450</f>
        <v>0</v>
      </c>
      <c r="M450" s="206">
        <f>'ALL Other SINs - Proposal'!M450</f>
        <v>0</v>
      </c>
      <c r="N450" s="251">
        <f>'ALL Other SINs - Proposal'!V450</f>
        <v>0</v>
      </c>
      <c r="O450" s="201" t="str">
        <f>'Price Analysis'!N450</f>
        <v xml:space="preserve"> </v>
      </c>
      <c r="P450" s="53" t="str">
        <f>IF(ISBLANK('ALL Other SINs - Proposal'!AA450)," ",'ALL Other SINs - Proposal'!AA450)</f>
        <v xml:space="preserve"> </v>
      </c>
      <c r="Q450" s="95" t="str">
        <f>'ALL Other SINs - Proposal'!AC450</f>
        <v xml:space="preserve"> </v>
      </c>
      <c r="R450" s="100" t="str">
        <f>IF(ISBLANK('ALL Other SINs - Proposal'!AA450)," ",ROUND(Q450,2))</f>
        <v xml:space="preserve"> </v>
      </c>
      <c r="S450" s="54"/>
    </row>
    <row r="451" spans="1:19" ht="20.100000000000001" customHeight="1" x14ac:dyDescent="0.2">
      <c r="A451" s="127">
        <f>'ALL Other SINs - Proposal'!A451</f>
        <v>0</v>
      </c>
      <c r="B451" s="121">
        <f>'ALL Other SINs - Proposal'!B451</f>
        <v>0</v>
      </c>
      <c r="C451" s="121">
        <f>'ALL Other SINs - Proposal'!C451</f>
        <v>0</v>
      </c>
      <c r="D451" s="121">
        <f>'ALL Other SINs - Proposal'!D451</f>
        <v>0</v>
      </c>
      <c r="E451" s="121">
        <f>'ALL Other SINs - Proposal'!E451</f>
        <v>0</v>
      </c>
      <c r="F451" s="171">
        <f>'ALL Other SINs - Proposal'!F451</f>
        <v>0</v>
      </c>
      <c r="G451" s="51">
        <f>'ALL Other SINs - Proposal'!G451</f>
        <v>0</v>
      </c>
      <c r="H451" s="125">
        <f>'ALL Other SINs - Proposal'!H451</f>
        <v>0</v>
      </c>
      <c r="I451" s="125">
        <f>'ALL Other SINs - Proposal'!I451</f>
        <v>0</v>
      </c>
      <c r="J451" s="125">
        <f>'ALL Other SINs - Proposal'!J451</f>
        <v>0</v>
      </c>
      <c r="K451" s="125">
        <f>'ALL Other SINs - Proposal'!K451</f>
        <v>0</v>
      </c>
      <c r="L451" s="125">
        <f>'ALL Other SINs - Proposal'!L451</f>
        <v>0</v>
      </c>
      <c r="M451" s="206">
        <f>'ALL Other SINs - Proposal'!M451</f>
        <v>0</v>
      </c>
      <c r="N451" s="251">
        <f>'ALL Other SINs - Proposal'!V451</f>
        <v>0</v>
      </c>
      <c r="O451" s="201" t="str">
        <f>'Price Analysis'!N451</f>
        <v xml:space="preserve"> </v>
      </c>
      <c r="P451" s="53" t="str">
        <f>IF(ISBLANK('ALL Other SINs - Proposal'!AA451)," ",'ALL Other SINs - Proposal'!AA451)</f>
        <v xml:space="preserve"> </v>
      </c>
      <c r="Q451" s="95" t="str">
        <f>'ALL Other SINs - Proposal'!AC451</f>
        <v xml:space="preserve"> </v>
      </c>
      <c r="R451" s="100" t="str">
        <f>IF(ISBLANK('ALL Other SINs - Proposal'!AA451)," ",ROUND(Q451,2))</f>
        <v xml:space="preserve"> </v>
      </c>
      <c r="S451" s="54"/>
    </row>
    <row r="452" spans="1:19" ht="20.100000000000001" customHeight="1" x14ac:dyDescent="0.2">
      <c r="A452" s="127">
        <f>'ALL Other SINs - Proposal'!A452</f>
        <v>0</v>
      </c>
      <c r="B452" s="121">
        <f>'ALL Other SINs - Proposal'!B452</f>
        <v>0</v>
      </c>
      <c r="C452" s="121">
        <f>'ALL Other SINs - Proposal'!C452</f>
        <v>0</v>
      </c>
      <c r="D452" s="121">
        <f>'ALL Other SINs - Proposal'!D452</f>
        <v>0</v>
      </c>
      <c r="E452" s="121">
        <f>'ALL Other SINs - Proposal'!E452</f>
        <v>0</v>
      </c>
      <c r="F452" s="171">
        <f>'ALL Other SINs - Proposal'!F452</f>
        <v>0</v>
      </c>
      <c r="G452" s="51">
        <f>'ALL Other SINs - Proposal'!G452</f>
        <v>0</v>
      </c>
      <c r="H452" s="125">
        <f>'ALL Other SINs - Proposal'!H452</f>
        <v>0</v>
      </c>
      <c r="I452" s="125">
        <f>'ALL Other SINs - Proposal'!I452</f>
        <v>0</v>
      </c>
      <c r="J452" s="125">
        <f>'ALL Other SINs - Proposal'!J452</f>
        <v>0</v>
      </c>
      <c r="K452" s="125">
        <f>'ALL Other SINs - Proposal'!K452</f>
        <v>0</v>
      </c>
      <c r="L452" s="125">
        <f>'ALL Other SINs - Proposal'!L452</f>
        <v>0</v>
      </c>
      <c r="M452" s="206">
        <f>'ALL Other SINs - Proposal'!M452</f>
        <v>0</v>
      </c>
      <c r="N452" s="251">
        <f>'ALL Other SINs - Proposal'!V452</f>
        <v>0</v>
      </c>
      <c r="O452" s="201" t="str">
        <f>'Price Analysis'!N452</f>
        <v xml:space="preserve"> </v>
      </c>
      <c r="P452" s="53" t="str">
        <f>IF(ISBLANK('ALL Other SINs - Proposal'!AA452)," ",'ALL Other SINs - Proposal'!AA452)</f>
        <v xml:space="preserve"> </v>
      </c>
      <c r="Q452" s="95" t="str">
        <f>'ALL Other SINs - Proposal'!AC452</f>
        <v xml:space="preserve"> </v>
      </c>
      <c r="R452" s="100" t="str">
        <f>IF(ISBLANK('ALL Other SINs - Proposal'!AA452)," ",ROUND(Q452,2))</f>
        <v xml:space="preserve"> </v>
      </c>
      <c r="S452" s="54"/>
    </row>
    <row r="453" spans="1:19" ht="20.100000000000001" customHeight="1" x14ac:dyDescent="0.2">
      <c r="A453" s="127">
        <f>'ALL Other SINs - Proposal'!A453</f>
        <v>0</v>
      </c>
      <c r="B453" s="121">
        <f>'ALL Other SINs - Proposal'!B453</f>
        <v>0</v>
      </c>
      <c r="C453" s="121">
        <f>'ALL Other SINs - Proposal'!C453</f>
        <v>0</v>
      </c>
      <c r="D453" s="121">
        <f>'ALL Other SINs - Proposal'!D453</f>
        <v>0</v>
      </c>
      <c r="E453" s="121">
        <f>'ALL Other SINs - Proposal'!E453</f>
        <v>0</v>
      </c>
      <c r="F453" s="171">
        <f>'ALL Other SINs - Proposal'!F453</f>
        <v>0</v>
      </c>
      <c r="G453" s="51">
        <f>'ALL Other SINs - Proposal'!G453</f>
        <v>0</v>
      </c>
      <c r="H453" s="125">
        <f>'ALL Other SINs - Proposal'!H453</f>
        <v>0</v>
      </c>
      <c r="I453" s="125">
        <f>'ALL Other SINs - Proposal'!I453</f>
        <v>0</v>
      </c>
      <c r="J453" s="125">
        <f>'ALL Other SINs - Proposal'!J453</f>
        <v>0</v>
      </c>
      <c r="K453" s="125">
        <f>'ALL Other SINs - Proposal'!K453</f>
        <v>0</v>
      </c>
      <c r="L453" s="125">
        <f>'ALL Other SINs - Proposal'!L453</f>
        <v>0</v>
      </c>
      <c r="M453" s="206">
        <f>'ALL Other SINs - Proposal'!M453</f>
        <v>0</v>
      </c>
      <c r="N453" s="251">
        <f>'ALL Other SINs - Proposal'!V453</f>
        <v>0</v>
      </c>
      <c r="O453" s="201" t="str">
        <f>'Price Analysis'!N453</f>
        <v xml:space="preserve"> </v>
      </c>
      <c r="P453" s="53" t="str">
        <f>IF(ISBLANK('ALL Other SINs - Proposal'!AA453)," ",'ALL Other SINs - Proposal'!AA453)</f>
        <v xml:space="preserve"> </v>
      </c>
      <c r="Q453" s="95" t="str">
        <f>'ALL Other SINs - Proposal'!AC453</f>
        <v xml:space="preserve"> </v>
      </c>
      <c r="R453" s="100" t="str">
        <f>IF(ISBLANK('ALL Other SINs - Proposal'!AA453)," ",ROUND(Q453,2))</f>
        <v xml:space="preserve"> </v>
      </c>
      <c r="S453" s="54"/>
    </row>
    <row r="454" spans="1:19" ht="20.100000000000001" customHeight="1" x14ac:dyDescent="0.2">
      <c r="A454" s="127">
        <f>'ALL Other SINs - Proposal'!A454</f>
        <v>0</v>
      </c>
      <c r="B454" s="121">
        <f>'ALL Other SINs - Proposal'!B454</f>
        <v>0</v>
      </c>
      <c r="C454" s="121">
        <f>'ALL Other SINs - Proposal'!C454</f>
        <v>0</v>
      </c>
      <c r="D454" s="121">
        <f>'ALL Other SINs - Proposal'!D454</f>
        <v>0</v>
      </c>
      <c r="E454" s="121">
        <f>'ALL Other SINs - Proposal'!E454</f>
        <v>0</v>
      </c>
      <c r="F454" s="171">
        <f>'ALL Other SINs - Proposal'!F454</f>
        <v>0</v>
      </c>
      <c r="G454" s="51">
        <f>'ALL Other SINs - Proposal'!G454</f>
        <v>0</v>
      </c>
      <c r="H454" s="125">
        <f>'ALL Other SINs - Proposal'!H454</f>
        <v>0</v>
      </c>
      <c r="I454" s="125">
        <f>'ALL Other SINs - Proposal'!I454</f>
        <v>0</v>
      </c>
      <c r="J454" s="125">
        <f>'ALL Other SINs - Proposal'!J454</f>
        <v>0</v>
      </c>
      <c r="K454" s="125">
        <f>'ALL Other SINs - Proposal'!K454</f>
        <v>0</v>
      </c>
      <c r="L454" s="125">
        <f>'ALL Other SINs - Proposal'!L454</f>
        <v>0</v>
      </c>
      <c r="M454" s="206">
        <f>'ALL Other SINs - Proposal'!M454</f>
        <v>0</v>
      </c>
      <c r="N454" s="251">
        <f>'ALL Other SINs - Proposal'!V454</f>
        <v>0</v>
      </c>
      <c r="O454" s="201" t="str">
        <f>'Price Analysis'!N454</f>
        <v xml:space="preserve"> </v>
      </c>
      <c r="P454" s="53" t="str">
        <f>IF(ISBLANK('ALL Other SINs - Proposal'!AA454)," ",'ALL Other SINs - Proposal'!AA454)</f>
        <v xml:space="preserve"> </v>
      </c>
      <c r="Q454" s="95" t="str">
        <f>'ALL Other SINs - Proposal'!AC454</f>
        <v xml:space="preserve"> </v>
      </c>
      <c r="R454" s="100" t="str">
        <f>IF(ISBLANK('ALL Other SINs - Proposal'!AA454)," ",ROUND(Q454,2))</f>
        <v xml:space="preserve"> </v>
      </c>
      <c r="S454" s="54"/>
    </row>
    <row r="455" spans="1:19" ht="20.100000000000001" customHeight="1" x14ac:dyDescent="0.2">
      <c r="A455" s="127">
        <f>'ALL Other SINs - Proposal'!A455</f>
        <v>0</v>
      </c>
      <c r="B455" s="121">
        <f>'ALL Other SINs - Proposal'!B455</f>
        <v>0</v>
      </c>
      <c r="C455" s="121">
        <f>'ALL Other SINs - Proposal'!C455</f>
        <v>0</v>
      </c>
      <c r="D455" s="121">
        <f>'ALL Other SINs - Proposal'!D455</f>
        <v>0</v>
      </c>
      <c r="E455" s="121">
        <f>'ALL Other SINs - Proposal'!E455</f>
        <v>0</v>
      </c>
      <c r="F455" s="171">
        <f>'ALL Other SINs - Proposal'!F455</f>
        <v>0</v>
      </c>
      <c r="G455" s="51">
        <f>'ALL Other SINs - Proposal'!G455</f>
        <v>0</v>
      </c>
      <c r="H455" s="125">
        <f>'ALL Other SINs - Proposal'!H455</f>
        <v>0</v>
      </c>
      <c r="I455" s="125">
        <f>'ALL Other SINs - Proposal'!I455</f>
        <v>0</v>
      </c>
      <c r="J455" s="125">
        <f>'ALL Other SINs - Proposal'!J455</f>
        <v>0</v>
      </c>
      <c r="K455" s="125">
        <f>'ALL Other SINs - Proposal'!K455</f>
        <v>0</v>
      </c>
      <c r="L455" s="125">
        <f>'ALL Other SINs - Proposal'!L455</f>
        <v>0</v>
      </c>
      <c r="M455" s="206">
        <f>'ALL Other SINs - Proposal'!M455</f>
        <v>0</v>
      </c>
      <c r="N455" s="251">
        <f>'ALL Other SINs - Proposal'!V455</f>
        <v>0</v>
      </c>
      <c r="O455" s="201" t="str">
        <f>'Price Analysis'!N455</f>
        <v xml:space="preserve"> </v>
      </c>
      <c r="P455" s="53" t="str">
        <f>IF(ISBLANK('ALL Other SINs - Proposal'!AA455)," ",'ALL Other SINs - Proposal'!AA455)</f>
        <v xml:space="preserve"> </v>
      </c>
      <c r="Q455" s="95" t="str">
        <f>'ALL Other SINs - Proposal'!AC455</f>
        <v xml:space="preserve"> </v>
      </c>
      <c r="R455" s="100" t="str">
        <f>IF(ISBLANK('ALL Other SINs - Proposal'!AA455)," ",ROUND(Q455,2))</f>
        <v xml:space="preserve"> </v>
      </c>
      <c r="S455" s="54"/>
    </row>
    <row r="456" spans="1:19" ht="20.100000000000001" customHeight="1" x14ac:dyDescent="0.2">
      <c r="A456" s="127">
        <f>'ALL Other SINs - Proposal'!A456</f>
        <v>0</v>
      </c>
      <c r="B456" s="121">
        <f>'ALL Other SINs - Proposal'!B456</f>
        <v>0</v>
      </c>
      <c r="C456" s="121">
        <f>'ALL Other SINs - Proposal'!C456</f>
        <v>0</v>
      </c>
      <c r="D456" s="121">
        <f>'ALL Other SINs - Proposal'!D456</f>
        <v>0</v>
      </c>
      <c r="E456" s="121">
        <f>'ALL Other SINs - Proposal'!E456</f>
        <v>0</v>
      </c>
      <c r="F456" s="171">
        <f>'ALL Other SINs - Proposal'!F456</f>
        <v>0</v>
      </c>
      <c r="G456" s="51">
        <f>'ALL Other SINs - Proposal'!G456</f>
        <v>0</v>
      </c>
      <c r="H456" s="125">
        <f>'ALL Other SINs - Proposal'!H456</f>
        <v>0</v>
      </c>
      <c r="I456" s="125">
        <f>'ALL Other SINs - Proposal'!I456</f>
        <v>0</v>
      </c>
      <c r="J456" s="125">
        <f>'ALL Other SINs - Proposal'!J456</f>
        <v>0</v>
      </c>
      <c r="K456" s="125">
        <f>'ALL Other SINs - Proposal'!K456</f>
        <v>0</v>
      </c>
      <c r="L456" s="125">
        <f>'ALL Other SINs - Proposal'!L456</f>
        <v>0</v>
      </c>
      <c r="M456" s="206">
        <f>'ALL Other SINs - Proposal'!M456</f>
        <v>0</v>
      </c>
      <c r="N456" s="251">
        <f>'ALL Other SINs - Proposal'!V456</f>
        <v>0</v>
      </c>
      <c r="O456" s="201" t="str">
        <f>'Price Analysis'!N456</f>
        <v xml:space="preserve"> </v>
      </c>
      <c r="P456" s="53" t="str">
        <f>IF(ISBLANK('ALL Other SINs - Proposal'!AA456)," ",'ALL Other SINs - Proposal'!AA456)</f>
        <v xml:space="preserve"> </v>
      </c>
      <c r="Q456" s="95" t="str">
        <f>'ALL Other SINs - Proposal'!AC456</f>
        <v xml:space="preserve"> </v>
      </c>
      <c r="R456" s="100" t="str">
        <f>IF(ISBLANK('ALL Other SINs - Proposal'!AA456)," ",ROUND(Q456,2))</f>
        <v xml:space="preserve"> </v>
      </c>
      <c r="S456" s="54"/>
    </row>
    <row r="457" spans="1:19" ht="20.100000000000001" customHeight="1" x14ac:dyDescent="0.2">
      <c r="A457" s="127">
        <f>'ALL Other SINs - Proposal'!A457</f>
        <v>0</v>
      </c>
      <c r="B457" s="121">
        <f>'ALL Other SINs - Proposal'!B457</f>
        <v>0</v>
      </c>
      <c r="C457" s="121">
        <f>'ALL Other SINs - Proposal'!C457</f>
        <v>0</v>
      </c>
      <c r="D457" s="121">
        <f>'ALL Other SINs - Proposal'!D457</f>
        <v>0</v>
      </c>
      <c r="E457" s="121">
        <f>'ALL Other SINs - Proposal'!E457</f>
        <v>0</v>
      </c>
      <c r="F457" s="171">
        <f>'ALL Other SINs - Proposal'!F457</f>
        <v>0</v>
      </c>
      <c r="G457" s="51">
        <f>'ALL Other SINs - Proposal'!G457</f>
        <v>0</v>
      </c>
      <c r="H457" s="125">
        <f>'ALL Other SINs - Proposal'!H457</f>
        <v>0</v>
      </c>
      <c r="I457" s="125">
        <f>'ALL Other SINs - Proposal'!I457</f>
        <v>0</v>
      </c>
      <c r="J457" s="125">
        <f>'ALL Other SINs - Proposal'!J457</f>
        <v>0</v>
      </c>
      <c r="K457" s="125">
        <f>'ALL Other SINs - Proposal'!K457</f>
        <v>0</v>
      </c>
      <c r="L457" s="125">
        <f>'ALL Other SINs - Proposal'!L457</f>
        <v>0</v>
      </c>
      <c r="M457" s="206">
        <f>'ALL Other SINs - Proposal'!M457</f>
        <v>0</v>
      </c>
      <c r="N457" s="251">
        <f>'ALL Other SINs - Proposal'!V457</f>
        <v>0</v>
      </c>
      <c r="O457" s="201" t="str">
        <f>'Price Analysis'!N457</f>
        <v xml:space="preserve"> </v>
      </c>
      <c r="P457" s="53" t="str">
        <f>IF(ISBLANK('ALL Other SINs - Proposal'!AA457)," ",'ALL Other SINs - Proposal'!AA457)</f>
        <v xml:space="preserve"> </v>
      </c>
      <c r="Q457" s="95" t="str">
        <f>'ALL Other SINs - Proposal'!AC457</f>
        <v xml:space="preserve"> </v>
      </c>
      <c r="R457" s="100" t="str">
        <f>IF(ISBLANK('ALL Other SINs - Proposal'!AA457)," ",ROUND(Q457,2))</f>
        <v xml:space="preserve"> </v>
      </c>
      <c r="S457" s="54"/>
    </row>
    <row r="458" spans="1:19" ht="20.100000000000001" customHeight="1" x14ac:dyDescent="0.2">
      <c r="A458" s="127">
        <f>'ALL Other SINs - Proposal'!A458</f>
        <v>0</v>
      </c>
      <c r="B458" s="121">
        <f>'ALL Other SINs - Proposal'!B458</f>
        <v>0</v>
      </c>
      <c r="C458" s="121">
        <f>'ALL Other SINs - Proposal'!C458</f>
        <v>0</v>
      </c>
      <c r="D458" s="121">
        <f>'ALL Other SINs - Proposal'!D458</f>
        <v>0</v>
      </c>
      <c r="E458" s="121">
        <f>'ALL Other SINs - Proposal'!E458</f>
        <v>0</v>
      </c>
      <c r="F458" s="171">
        <f>'ALL Other SINs - Proposal'!F458</f>
        <v>0</v>
      </c>
      <c r="G458" s="51">
        <f>'ALL Other SINs - Proposal'!G458</f>
        <v>0</v>
      </c>
      <c r="H458" s="125">
        <f>'ALL Other SINs - Proposal'!H458</f>
        <v>0</v>
      </c>
      <c r="I458" s="125">
        <f>'ALL Other SINs - Proposal'!I458</f>
        <v>0</v>
      </c>
      <c r="J458" s="125">
        <f>'ALL Other SINs - Proposal'!J458</f>
        <v>0</v>
      </c>
      <c r="K458" s="125">
        <f>'ALL Other SINs - Proposal'!K458</f>
        <v>0</v>
      </c>
      <c r="L458" s="125">
        <f>'ALL Other SINs - Proposal'!L458</f>
        <v>0</v>
      </c>
      <c r="M458" s="206">
        <f>'ALL Other SINs - Proposal'!M458</f>
        <v>0</v>
      </c>
      <c r="N458" s="251">
        <f>'ALL Other SINs - Proposal'!V458</f>
        <v>0</v>
      </c>
      <c r="O458" s="201" t="str">
        <f>'Price Analysis'!N458</f>
        <v xml:space="preserve"> </v>
      </c>
      <c r="P458" s="53" t="str">
        <f>IF(ISBLANK('ALL Other SINs - Proposal'!AA458)," ",'ALL Other SINs - Proposal'!AA458)</f>
        <v xml:space="preserve"> </v>
      </c>
      <c r="Q458" s="95" t="str">
        <f>'ALL Other SINs - Proposal'!AC458</f>
        <v xml:space="preserve"> </v>
      </c>
      <c r="R458" s="100" t="str">
        <f>IF(ISBLANK('ALL Other SINs - Proposal'!AA458)," ",ROUND(Q458,2))</f>
        <v xml:space="preserve"> </v>
      </c>
      <c r="S458" s="54"/>
    </row>
    <row r="459" spans="1:19" ht="20.100000000000001" customHeight="1" x14ac:dyDescent="0.2">
      <c r="A459" s="127">
        <f>'ALL Other SINs - Proposal'!A459</f>
        <v>0</v>
      </c>
      <c r="B459" s="121">
        <f>'ALL Other SINs - Proposal'!B459</f>
        <v>0</v>
      </c>
      <c r="C459" s="121">
        <f>'ALL Other SINs - Proposal'!C459</f>
        <v>0</v>
      </c>
      <c r="D459" s="121">
        <f>'ALL Other SINs - Proposal'!D459</f>
        <v>0</v>
      </c>
      <c r="E459" s="121">
        <f>'ALL Other SINs - Proposal'!E459</f>
        <v>0</v>
      </c>
      <c r="F459" s="171">
        <f>'ALL Other SINs - Proposal'!F459</f>
        <v>0</v>
      </c>
      <c r="G459" s="51">
        <f>'ALL Other SINs - Proposal'!G459</f>
        <v>0</v>
      </c>
      <c r="H459" s="125">
        <f>'ALL Other SINs - Proposal'!H459</f>
        <v>0</v>
      </c>
      <c r="I459" s="125">
        <f>'ALL Other SINs - Proposal'!I459</f>
        <v>0</v>
      </c>
      <c r="J459" s="125">
        <f>'ALL Other SINs - Proposal'!J459</f>
        <v>0</v>
      </c>
      <c r="K459" s="125">
        <f>'ALL Other SINs - Proposal'!K459</f>
        <v>0</v>
      </c>
      <c r="L459" s="125">
        <f>'ALL Other SINs - Proposal'!L459</f>
        <v>0</v>
      </c>
      <c r="M459" s="206">
        <f>'ALL Other SINs - Proposal'!M459</f>
        <v>0</v>
      </c>
      <c r="N459" s="251">
        <f>'ALL Other SINs - Proposal'!V459</f>
        <v>0</v>
      </c>
      <c r="O459" s="201" t="str">
        <f>'Price Analysis'!N459</f>
        <v xml:space="preserve"> </v>
      </c>
      <c r="P459" s="53" t="str">
        <f>IF(ISBLANK('ALL Other SINs - Proposal'!AA459)," ",'ALL Other SINs - Proposal'!AA459)</f>
        <v xml:space="preserve"> </v>
      </c>
      <c r="Q459" s="95" t="str">
        <f>'ALL Other SINs - Proposal'!AC459</f>
        <v xml:space="preserve"> </v>
      </c>
      <c r="R459" s="100" t="str">
        <f>IF(ISBLANK('ALL Other SINs - Proposal'!AA459)," ",ROUND(Q459,2))</f>
        <v xml:space="preserve"> </v>
      </c>
      <c r="S459" s="54"/>
    </row>
    <row r="460" spans="1:19" ht="20.100000000000001" customHeight="1" x14ac:dyDescent="0.2">
      <c r="A460" s="127">
        <f>'ALL Other SINs - Proposal'!A460</f>
        <v>0</v>
      </c>
      <c r="B460" s="121">
        <f>'ALL Other SINs - Proposal'!B460</f>
        <v>0</v>
      </c>
      <c r="C460" s="121">
        <f>'ALL Other SINs - Proposal'!C460</f>
        <v>0</v>
      </c>
      <c r="D460" s="121">
        <f>'ALL Other SINs - Proposal'!D460</f>
        <v>0</v>
      </c>
      <c r="E460" s="121">
        <f>'ALL Other SINs - Proposal'!E460</f>
        <v>0</v>
      </c>
      <c r="F460" s="171">
        <f>'ALL Other SINs - Proposal'!F460</f>
        <v>0</v>
      </c>
      <c r="G460" s="51">
        <f>'ALL Other SINs - Proposal'!G460</f>
        <v>0</v>
      </c>
      <c r="H460" s="125">
        <f>'ALL Other SINs - Proposal'!H460</f>
        <v>0</v>
      </c>
      <c r="I460" s="125">
        <f>'ALL Other SINs - Proposal'!I460</f>
        <v>0</v>
      </c>
      <c r="J460" s="125">
        <f>'ALL Other SINs - Proposal'!J460</f>
        <v>0</v>
      </c>
      <c r="K460" s="125">
        <f>'ALL Other SINs - Proposal'!K460</f>
        <v>0</v>
      </c>
      <c r="L460" s="125">
        <f>'ALL Other SINs - Proposal'!L460</f>
        <v>0</v>
      </c>
      <c r="M460" s="206">
        <f>'ALL Other SINs - Proposal'!M460</f>
        <v>0</v>
      </c>
      <c r="N460" s="251">
        <f>'ALL Other SINs - Proposal'!V460</f>
        <v>0</v>
      </c>
      <c r="O460" s="201" t="str">
        <f>'Price Analysis'!N460</f>
        <v xml:space="preserve"> </v>
      </c>
      <c r="P460" s="53" t="str">
        <f>IF(ISBLANK('ALL Other SINs - Proposal'!AA460)," ",'ALL Other SINs - Proposal'!AA460)</f>
        <v xml:space="preserve"> </v>
      </c>
      <c r="Q460" s="95" t="str">
        <f>'ALL Other SINs - Proposal'!AC460</f>
        <v xml:space="preserve"> </v>
      </c>
      <c r="R460" s="100" t="str">
        <f>IF(ISBLANK('ALL Other SINs - Proposal'!AA460)," ",ROUND(Q460,2))</f>
        <v xml:space="preserve"> </v>
      </c>
      <c r="S460" s="54"/>
    </row>
    <row r="461" spans="1:19" ht="20.100000000000001" customHeight="1" x14ac:dyDescent="0.2">
      <c r="A461" s="127">
        <f>'ALL Other SINs - Proposal'!A461</f>
        <v>0</v>
      </c>
      <c r="B461" s="121">
        <f>'ALL Other SINs - Proposal'!B461</f>
        <v>0</v>
      </c>
      <c r="C461" s="121">
        <f>'ALL Other SINs - Proposal'!C461</f>
        <v>0</v>
      </c>
      <c r="D461" s="121">
        <f>'ALL Other SINs - Proposal'!D461</f>
        <v>0</v>
      </c>
      <c r="E461" s="121">
        <f>'ALL Other SINs - Proposal'!E461</f>
        <v>0</v>
      </c>
      <c r="F461" s="171">
        <f>'ALL Other SINs - Proposal'!F461</f>
        <v>0</v>
      </c>
      <c r="G461" s="51">
        <f>'ALL Other SINs - Proposal'!G461</f>
        <v>0</v>
      </c>
      <c r="H461" s="125">
        <f>'ALL Other SINs - Proposal'!H461</f>
        <v>0</v>
      </c>
      <c r="I461" s="125">
        <f>'ALL Other SINs - Proposal'!I461</f>
        <v>0</v>
      </c>
      <c r="J461" s="125">
        <f>'ALL Other SINs - Proposal'!J461</f>
        <v>0</v>
      </c>
      <c r="K461" s="125">
        <f>'ALL Other SINs - Proposal'!K461</f>
        <v>0</v>
      </c>
      <c r="L461" s="125">
        <f>'ALL Other SINs - Proposal'!L461</f>
        <v>0</v>
      </c>
      <c r="M461" s="206">
        <f>'ALL Other SINs - Proposal'!M461</f>
        <v>0</v>
      </c>
      <c r="N461" s="251">
        <f>'ALL Other SINs - Proposal'!V461</f>
        <v>0</v>
      </c>
      <c r="O461" s="201" t="str">
        <f>'Price Analysis'!N461</f>
        <v xml:space="preserve"> </v>
      </c>
      <c r="P461" s="53" t="str">
        <f>IF(ISBLANK('ALL Other SINs - Proposal'!AA461)," ",'ALL Other SINs - Proposal'!AA461)</f>
        <v xml:space="preserve"> </v>
      </c>
      <c r="Q461" s="95" t="str">
        <f>'ALL Other SINs - Proposal'!AC461</f>
        <v xml:space="preserve"> </v>
      </c>
      <c r="R461" s="100" t="str">
        <f>IF(ISBLANK('ALL Other SINs - Proposal'!AA461)," ",ROUND(Q461,2))</f>
        <v xml:space="preserve"> </v>
      </c>
      <c r="S461" s="54"/>
    </row>
    <row r="462" spans="1:19" ht="20.100000000000001" customHeight="1" x14ac:dyDescent="0.2">
      <c r="A462" s="127">
        <f>'ALL Other SINs - Proposal'!A462</f>
        <v>0</v>
      </c>
      <c r="B462" s="121">
        <f>'ALL Other SINs - Proposal'!B462</f>
        <v>0</v>
      </c>
      <c r="C462" s="121">
        <f>'ALL Other SINs - Proposal'!C462</f>
        <v>0</v>
      </c>
      <c r="D462" s="121">
        <f>'ALL Other SINs - Proposal'!D462</f>
        <v>0</v>
      </c>
      <c r="E462" s="121">
        <f>'ALL Other SINs - Proposal'!E462</f>
        <v>0</v>
      </c>
      <c r="F462" s="171">
        <f>'ALL Other SINs - Proposal'!F462</f>
        <v>0</v>
      </c>
      <c r="G462" s="51">
        <f>'ALL Other SINs - Proposal'!G462</f>
        <v>0</v>
      </c>
      <c r="H462" s="125">
        <f>'ALL Other SINs - Proposal'!H462</f>
        <v>0</v>
      </c>
      <c r="I462" s="125">
        <f>'ALL Other SINs - Proposal'!I462</f>
        <v>0</v>
      </c>
      <c r="J462" s="125">
        <f>'ALL Other SINs - Proposal'!J462</f>
        <v>0</v>
      </c>
      <c r="K462" s="125">
        <f>'ALL Other SINs - Proposal'!K462</f>
        <v>0</v>
      </c>
      <c r="L462" s="125">
        <f>'ALL Other SINs - Proposal'!L462</f>
        <v>0</v>
      </c>
      <c r="M462" s="206">
        <f>'ALL Other SINs - Proposal'!M462</f>
        <v>0</v>
      </c>
      <c r="N462" s="251">
        <f>'ALL Other SINs - Proposal'!V462</f>
        <v>0</v>
      </c>
      <c r="O462" s="201" t="str">
        <f>'Price Analysis'!N462</f>
        <v xml:space="preserve"> </v>
      </c>
      <c r="P462" s="53" t="str">
        <f>IF(ISBLANK('ALL Other SINs - Proposal'!AA462)," ",'ALL Other SINs - Proposal'!AA462)</f>
        <v xml:space="preserve"> </v>
      </c>
      <c r="Q462" s="95" t="str">
        <f>'ALL Other SINs - Proposal'!AC462</f>
        <v xml:space="preserve"> </v>
      </c>
      <c r="R462" s="100" t="str">
        <f>IF(ISBLANK('ALL Other SINs - Proposal'!AA462)," ",ROUND(Q462,2))</f>
        <v xml:space="preserve"> </v>
      </c>
      <c r="S462" s="54"/>
    </row>
    <row r="463" spans="1:19" ht="20.100000000000001" customHeight="1" x14ac:dyDescent="0.2">
      <c r="A463" s="127">
        <f>'ALL Other SINs - Proposal'!A463</f>
        <v>0</v>
      </c>
      <c r="B463" s="121">
        <f>'ALL Other SINs - Proposal'!B463</f>
        <v>0</v>
      </c>
      <c r="C463" s="121">
        <f>'ALL Other SINs - Proposal'!C463</f>
        <v>0</v>
      </c>
      <c r="D463" s="121">
        <f>'ALL Other SINs - Proposal'!D463</f>
        <v>0</v>
      </c>
      <c r="E463" s="121">
        <f>'ALL Other SINs - Proposal'!E463</f>
        <v>0</v>
      </c>
      <c r="F463" s="171">
        <f>'ALL Other SINs - Proposal'!F463</f>
        <v>0</v>
      </c>
      <c r="G463" s="51">
        <f>'ALL Other SINs - Proposal'!G463</f>
        <v>0</v>
      </c>
      <c r="H463" s="125">
        <f>'ALL Other SINs - Proposal'!H463</f>
        <v>0</v>
      </c>
      <c r="I463" s="125">
        <f>'ALL Other SINs - Proposal'!I463</f>
        <v>0</v>
      </c>
      <c r="J463" s="125">
        <f>'ALL Other SINs - Proposal'!J463</f>
        <v>0</v>
      </c>
      <c r="K463" s="125">
        <f>'ALL Other SINs - Proposal'!K463</f>
        <v>0</v>
      </c>
      <c r="L463" s="125">
        <f>'ALL Other SINs - Proposal'!L463</f>
        <v>0</v>
      </c>
      <c r="M463" s="206">
        <f>'ALL Other SINs - Proposal'!M463</f>
        <v>0</v>
      </c>
      <c r="N463" s="251">
        <f>'ALL Other SINs - Proposal'!V463</f>
        <v>0</v>
      </c>
      <c r="O463" s="201" t="str">
        <f>'Price Analysis'!N463</f>
        <v xml:space="preserve"> </v>
      </c>
      <c r="P463" s="53" t="str">
        <f>IF(ISBLANK('ALL Other SINs - Proposal'!AA463)," ",'ALL Other SINs - Proposal'!AA463)</f>
        <v xml:space="preserve"> </v>
      </c>
      <c r="Q463" s="95" t="str">
        <f>'ALL Other SINs - Proposal'!AC463</f>
        <v xml:space="preserve"> </v>
      </c>
      <c r="R463" s="100" t="str">
        <f>IF(ISBLANK('ALL Other SINs - Proposal'!AA463)," ",ROUND(Q463,2))</f>
        <v xml:space="preserve"> </v>
      </c>
      <c r="S463" s="54"/>
    </row>
    <row r="464" spans="1:19" ht="20.100000000000001" customHeight="1" x14ac:dyDescent="0.2">
      <c r="A464" s="127">
        <f>'ALL Other SINs - Proposal'!A464</f>
        <v>0</v>
      </c>
      <c r="B464" s="121">
        <f>'ALL Other SINs - Proposal'!B464</f>
        <v>0</v>
      </c>
      <c r="C464" s="121">
        <f>'ALL Other SINs - Proposal'!C464</f>
        <v>0</v>
      </c>
      <c r="D464" s="121">
        <f>'ALL Other SINs - Proposal'!D464</f>
        <v>0</v>
      </c>
      <c r="E464" s="121">
        <f>'ALL Other SINs - Proposal'!E464</f>
        <v>0</v>
      </c>
      <c r="F464" s="171">
        <f>'ALL Other SINs - Proposal'!F464</f>
        <v>0</v>
      </c>
      <c r="G464" s="51">
        <f>'ALL Other SINs - Proposal'!G464</f>
        <v>0</v>
      </c>
      <c r="H464" s="125">
        <f>'ALL Other SINs - Proposal'!H464</f>
        <v>0</v>
      </c>
      <c r="I464" s="125">
        <f>'ALL Other SINs - Proposal'!I464</f>
        <v>0</v>
      </c>
      <c r="J464" s="125">
        <f>'ALL Other SINs - Proposal'!J464</f>
        <v>0</v>
      </c>
      <c r="K464" s="125">
        <f>'ALL Other SINs - Proposal'!K464</f>
        <v>0</v>
      </c>
      <c r="L464" s="125">
        <f>'ALL Other SINs - Proposal'!L464</f>
        <v>0</v>
      </c>
      <c r="M464" s="206">
        <f>'ALL Other SINs - Proposal'!M464</f>
        <v>0</v>
      </c>
      <c r="N464" s="251">
        <f>'ALL Other SINs - Proposal'!V464</f>
        <v>0</v>
      </c>
      <c r="O464" s="201" t="str">
        <f>'Price Analysis'!N464</f>
        <v xml:space="preserve"> </v>
      </c>
      <c r="P464" s="53" t="str">
        <f>IF(ISBLANK('ALL Other SINs - Proposal'!AA464)," ",'ALL Other SINs - Proposal'!AA464)</f>
        <v xml:space="preserve"> </v>
      </c>
      <c r="Q464" s="95" t="str">
        <f>'ALL Other SINs - Proposal'!AC464</f>
        <v xml:space="preserve"> </v>
      </c>
      <c r="R464" s="100" t="str">
        <f>IF(ISBLANK('ALL Other SINs - Proposal'!AA464)," ",ROUND(Q464,2))</f>
        <v xml:space="preserve"> </v>
      </c>
      <c r="S464" s="54"/>
    </row>
    <row r="465" spans="1:19" ht="20.100000000000001" customHeight="1" x14ac:dyDescent="0.2">
      <c r="A465" s="127">
        <f>'ALL Other SINs - Proposal'!A465</f>
        <v>0</v>
      </c>
      <c r="B465" s="121">
        <f>'ALL Other SINs - Proposal'!B465</f>
        <v>0</v>
      </c>
      <c r="C465" s="121">
        <f>'ALL Other SINs - Proposal'!C465</f>
        <v>0</v>
      </c>
      <c r="D465" s="121">
        <f>'ALL Other SINs - Proposal'!D465</f>
        <v>0</v>
      </c>
      <c r="E465" s="121">
        <f>'ALL Other SINs - Proposal'!E465</f>
        <v>0</v>
      </c>
      <c r="F465" s="171">
        <f>'ALL Other SINs - Proposal'!F465</f>
        <v>0</v>
      </c>
      <c r="G465" s="51">
        <f>'ALL Other SINs - Proposal'!G465</f>
        <v>0</v>
      </c>
      <c r="H465" s="125">
        <f>'ALL Other SINs - Proposal'!H465</f>
        <v>0</v>
      </c>
      <c r="I465" s="125">
        <f>'ALL Other SINs - Proposal'!I465</f>
        <v>0</v>
      </c>
      <c r="J465" s="125">
        <f>'ALL Other SINs - Proposal'!J465</f>
        <v>0</v>
      </c>
      <c r="K465" s="125">
        <f>'ALL Other SINs - Proposal'!K465</f>
        <v>0</v>
      </c>
      <c r="L465" s="125">
        <f>'ALL Other SINs - Proposal'!L465</f>
        <v>0</v>
      </c>
      <c r="M465" s="206">
        <f>'ALL Other SINs - Proposal'!M465</f>
        <v>0</v>
      </c>
      <c r="N465" s="251">
        <f>'ALL Other SINs - Proposal'!V465</f>
        <v>0</v>
      </c>
      <c r="O465" s="201" t="str">
        <f>'Price Analysis'!N465</f>
        <v xml:space="preserve"> </v>
      </c>
      <c r="P465" s="53" t="str">
        <f>IF(ISBLANK('ALL Other SINs - Proposal'!AA465)," ",'ALL Other SINs - Proposal'!AA465)</f>
        <v xml:space="preserve"> </v>
      </c>
      <c r="Q465" s="95" t="str">
        <f>'ALL Other SINs - Proposal'!AC465</f>
        <v xml:space="preserve"> </v>
      </c>
      <c r="R465" s="100" t="str">
        <f>IF(ISBLANK('ALL Other SINs - Proposal'!AA465)," ",ROUND(Q465,2))</f>
        <v xml:space="preserve"> </v>
      </c>
      <c r="S465" s="54"/>
    </row>
    <row r="466" spans="1:19" ht="20.100000000000001" customHeight="1" x14ac:dyDescent="0.2">
      <c r="A466" s="127">
        <f>'ALL Other SINs - Proposal'!A466</f>
        <v>0</v>
      </c>
      <c r="B466" s="121">
        <f>'ALL Other SINs - Proposal'!B466</f>
        <v>0</v>
      </c>
      <c r="C466" s="121">
        <f>'ALL Other SINs - Proposal'!C466</f>
        <v>0</v>
      </c>
      <c r="D466" s="121">
        <f>'ALL Other SINs - Proposal'!D466</f>
        <v>0</v>
      </c>
      <c r="E466" s="121">
        <f>'ALL Other SINs - Proposal'!E466</f>
        <v>0</v>
      </c>
      <c r="F466" s="171">
        <f>'ALL Other SINs - Proposal'!F466</f>
        <v>0</v>
      </c>
      <c r="G466" s="51">
        <f>'ALL Other SINs - Proposal'!G466</f>
        <v>0</v>
      </c>
      <c r="H466" s="125">
        <f>'ALL Other SINs - Proposal'!H466</f>
        <v>0</v>
      </c>
      <c r="I466" s="125">
        <f>'ALL Other SINs - Proposal'!I466</f>
        <v>0</v>
      </c>
      <c r="J466" s="125">
        <f>'ALL Other SINs - Proposal'!J466</f>
        <v>0</v>
      </c>
      <c r="K466" s="125">
        <f>'ALL Other SINs - Proposal'!K466</f>
        <v>0</v>
      </c>
      <c r="L466" s="125">
        <f>'ALL Other SINs - Proposal'!L466</f>
        <v>0</v>
      </c>
      <c r="M466" s="206">
        <f>'ALL Other SINs - Proposal'!M466</f>
        <v>0</v>
      </c>
      <c r="N466" s="251">
        <f>'ALL Other SINs - Proposal'!V466</f>
        <v>0</v>
      </c>
      <c r="O466" s="201" t="str">
        <f>'Price Analysis'!N466</f>
        <v xml:space="preserve"> </v>
      </c>
      <c r="P466" s="53" t="str">
        <f>IF(ISBLANK('ALL Other SINs - Proposal'!AA466)," ",'ALL Other SINs - Proposal'!AA466)</f>
        <v xml:space="preserve"> </v>
      </c>
      <c r="Q466" s="95" t="str">
        <f>'ALL Other SINs - Proposal'!AC466</f>
        <v xml:space="preserve"> </v>
      </c>
      <c r="R466" s="100" t="str">
        <f>IF(ISBLANK('ALL Other SINs - Proposal'!AA466)," ",ROUND(Q466,2))</f>
        <v xml:space="preserve"> </v>
      </c>
      <c r="S466" s="54"/>
    </row>
    <row r="467" spans="1:19" ht="20.100000000000001" customHeight="1" x14ac:dyDescent="0.2">
      <c r="A467" s="127">
        <f>'ALL Other SINs - Proposal'!A467</f>
        <v>0</v>
      </c>
      <c r="B467" s="121">
        <f>'ALL Other SINs - Proposal'!B467</f>
        <v>0</v>
      </c>
      <c r="C467" s="121">
        <f>'ALL Other SINs - Proposal'!C467</f>
        <v>0</v>
      </c>
      <c r="D467" s="121">
        <f>'ALL Other SINs - Proposal'!D467</f>
        <v>0</v>
      </c>
      <c r="E467" s="121">
        <f>'ALL Other SINs - Proposal'!E467</f>
        <v>0</v>
      </c>
      <c r="F467" s="171">
        <f>'ALL Other SINs - Proposal'!F467</f>
        <v>0</v>
      </c>
      <c r="G467" s="51">
        <f>'ALL Other SINs - Proposal'!G467</f>
        <v>0</v>
      </c>
      <c r="H467" s="125">
        <f>'ALL Other SINs - Proposal'!H467</f>
        <v>0</v>
      </c>
      <c r="I467" s="125">
        <f>'ALL Other SINs - Proposal'!I467</f>
        <v>0</v>
      </c>
      <c r="J467" s="125">
        <f>'ALL Other SINs - Proposal'!J467</f>
        <v>0</v>
      </c>
      <c r="K467" s="125">
        <f>'ALL Other SINs - Proposal'!K467</f>
        <v>0</v>
      </c>
      <c r="L467" s="125">
        <f>'ALL Other SINs - Proposal'!L467</f>
        <v>0</v>
      </c>
      <c r="M467" s="206">
        <f>'ALL Other SINs - Proposal'!M467</f>
        <v>0</v>
      </c>
      <c r="N467" s="251">
        <f>'ALL Other SINs - Proposal'!V467</f>
        <v>0</v>
      </c>
      <c r="O467" s="201" t="str">
        <f>'Price Analysis'!N467</f>
        <v xml:space="preserve"> </v>
      </c>
      <c r="P467" s="53" t="str">
        <f>IF(ISBLANK('ALL Other SINs - Proposal'!AA467)," ",'ALL Other SINs - Proposal'!AA467)</f>
        <v xml:space="preserve"> </v>
      </c>
      <c r="Q467" s="95" t="str">
        <f>'ALL Other SINs - Proposal'!AC467</f>
        <v xml:space="preserve"> </v>
      </c>
      <c r="R467" s="100" t="str">
        <f>IF(ISBLANK('ALL Other SINs - Proposal'!AA467)," ",ROUND(Q467,2))</f>
        <v xml:space="preserve"> </v>
      </c>
      <c r="S467" s="54"/>
    </row>
    <row r="468" spans="1:19" ht="20.100000000000001" customHeight="1" x14ac:dyDescent="0.2">
      <c r="A468" s="127">
        <f>'ALL Other SINs - Proposal'!A468</f>
        <v>0</v>
      </c>
      <c r="B468" s="121">
        <f>'ALL Other SINs - Proposal'!B468</f>
        <v>0</v>
      </c>
      <c r="C468" s="121">
        <f>'ALL Other SINs - Proposal'!C468</f>
        <v>0</v>
      </c>
      <c r="D468" s="121">
        <f>'ALL Other SINs - Proposal'!D468</f>
        <v>0</v>
      </c>
      <c r="E468" s="121">
        <f>'ALL Other SINs - Proposal'!E468</f>
        <v>0</v>
      </c>
      <c r="F468" s="171">
        <f>'ALL Other SINs - Proposal'!F468</f>
        <v>0</v>
      </c>
      <c r="G468" s="51">
        <f>'ALL Other SINs - Proposal'!G468</f>
        <v>0</v>
      </c>
      <c r="H468" s="125">
        <f>'ALL Other SINs - Proposal'!H468</f>
        <v>0</v>
      </c>
      <c r="I468" s="125">
        <f>'ALL Other SINs - Proposal'!I468</f>
        <v>0</v>
      </c>
      <c r="J468" s="125">
        <f>'ALL Other SINs - Proposal'!J468</f>
        <v>0</v>
      </c>
      <c r="K468" s="125">
        <f>'ALL Other SINs - Proposal'!K468</f>
        <v>0</v>
      </c>
      <c r="L468" s="125">
        <f>'ALL Other SINs - Proposal'!L468</f>
        <v>0</v>
      </c>
      <c r="M468" s="206">
        <f>'ALL Other SINs - Proposal'!M468</f>
        <v>0</v>
      </c>
      <c r="N468" s="251">
        <f>'ALL Other SINs - Proposal'!V468</f>
        <v>0</v>
      </c>
      <c r="O468" s="201" t="str">
        <f>'Price Analysis'!N468</f>
        <v xml:space="preserve"> </v>
      </c>
      <c r="P468" s="53" t="str">
        <f>IF(ISBLANK('ALL Other SINs - Proposal'!AA468)," ",'ALL Other SINs - Proposal'!AA468)</f>
        <v xml:space="preserve"> </v>
      </c>
      <c r="Q468" s="95" t="str">
        <f>'ALL Other SINs - Proposal'!AC468</f>
        <v xml:space="preserve"> </v>
      </c>
      <c r="R468" s="100" t="str">
        <f>IF(ISBLANK('ALL Other SINs - Proposal'!AA468)," ",ROUND(Q468,2))</f>
        <v xml:space="preserve"> </v>
      </c>
      <c r="S468" s="54"/>
    </row>
    <row r="469" spans="1:19" ht="20.100000000000001" customHeight="1" x14ac:dyDescent="0.2">
      <c r="A469" s="127">
        <f>'ALL Other SINs - Proposal'!A469</f>
        <v>0</v>
      </c>
      <c r="B469" s="121">
        <f>'ALL Other SINs - Proposal'!B469</f>
        <v>0</v>
      </c>
      <c r="C469" s="121">
        <f>'ALL Other SINs - Proposal'!C469</f>
        <v>0</v>
      </c>
      <c r="D469" s="121">
        <f>'ALL Other SINs - Proposal'!D469</f>
        <v>0</v>
      </c>
      <c r="E469" s="121">
        <f>'ALL Other SINs - Proposal'!E469</f>
        <v>0</v>
      </c>
      <c r="F469" s="171">
        <f>'ALL Other SINs - Proposal'!F469</f>
        <v>0</v>
      </c>
      <c r="G469" s="51">
        <f>'ALL Other SINs - Proposal'!G469</f>
        <v>0</v>
      </c>
      <c r="H469" s="125">
        <f>'ALL Other SINs - Proposal'!H469</f>
        <v>0</v>
      </c>
      <c r="I469" s="125">
        <f>'ALL Other SINs - Proposal'!I469</f>
        <v>0</v>
      </c>
      <c r="J469" s="125">
        <f>'ALL Other SINs - Proposal'!J469</f>
        <v>0</v>
      </c>
      <c r="K469" s="125">
        <f>'ALL Other SINs - Proposal'!K469</f>
        <v>0</v>
      </c>
      <c r="L469" s="125">
        <f>'ALL Other SINs - Proposal'!L469</f>
        <v>0</v>
      </c>
      <c r="M469" s="206">
        <f>'ALL Other SINs - Proposal'!M469</f>
        <v>0</v>
      </c>
      <c r="N469" s="251">
        <f>'ALL Other SINs - Proposal'!V469</f>
        <v>0</v>
      </c>
      <c r="O469" s="201" t="str">
        <f>'Price Analysis'!N469</f>
        <v xml:space="preserve"> </v>
      </c>
      <c r="P469" s="53" t="str">
        <f>IF(ISBLANK('ALL Other SINs - Proposal'!AA469)," ",'ALL Other SINs - Proposal'!AA469)</f>
        <v xml:space="preserve"> </v>
      </c>
      <c r="Q469" s="95" t="str">
        <f>'ALL Other SINs - Proposal'!AC469</f>
        <v xml:space="preserve"> </v>
      </c>
      <c r="R469" s="100" t="str">
        <f>IF(ISBLANK('ALL Other SINs - Proposal'!AA469)," ",ROUND(Q469,2))</f>
        <v xml:space="preserve"> </v>
      </c>
      <c r="S469" s="54"/>
    </row>
    <row r="470" spans="1:19" ht="20.100000000000001" customHeight="1" x14ac:dyDescent="0.2">
      <c r="A470" s="127">
        <f>'ALL Other SINs - Proposal'!A470</f>
        <v>0</v>
      </c>
      <c r="B470" s="121">
        <f>'ALL Other SINs - Proposal'!B470</f>
        <v>0</v>
      </c>
      <c r="C470" s="121">
        <f>'ALL Other SINs - Proposal'!C470</f>
        <v>0</v>
      </c>
      <c r="D470" s="121">
        <f>'ALL Other SINs - Proposal'!D470</f>
        <v>0</v>
      </c>
      <c r="E470" s="121">
        <f>'ALL Other SINs - Proposal'!E470</f>
        <v>0</v>
      </c>
      <c r="F470" s="171">
        <f>'ALL Other SINs - Proposal'!F470</f>
        <v>0</v>
      </c>
      <c r="G470" s="51">
        <f>'ALL Other SINs - Proposal'!G470</f>
        <v>0</v>
      </c>
      <c r="H470" s="125">
        <f>'ALL Other SINs - Proposal'!H470</f>
        <v>0</v>
      </c>
      <c r="I470" s="125">
        <f>'ALL Other SINs - Proposal'!I470</f>
        <v>0</v>
      </c>
      <c r="J470" s="125">
        <f>'ALL Other SINs - Proposal'!J470</f>
        <v>0</v>
      </c>
      <c r="K470" s="125">
        <f>'ALL Other SINs - Proposal'!K470</f>
        <v>0</v>
      </c>
      <c r="L470" s="125">
        <f>'ALL Other SINs - Proposal'!L470</f>
        <v>0</v>
      </c>
      <c r="M470" s="206">
        <f>'ALL Other SINs - Proposal'!M470</f>
        <v>0</v>
      </c>
      <c r="N470" s="251">
        <f>'ALL Other SINs - Proposal'!V470</f>
        <v>0</v>
      </c>
      <c r="O470" s="201" t="str">
        <f>'Price Analysis'!N470</f>
        <v xml:space="preserve"> </v>
      </c>
      <c r="P470" s="53" t="str">
        <f>IF(ISBLANK('ALL Other SINs - Proposal'!AA470)," ",'ALL Other SINs - Proposal'!AA470)</f>
        <v xml:space="preserve"> </v>
      </c>
      <c r="Q470" s="95" t="str">
        <f>'ALL Other SINs - Proposal'!AC470</f>
        <v xml:space="preserve"> </v>
      </c>
      <c r="R470" s="100" t="str">
        <f>IF(ISBLANK('ALL Other SINs - Proposal'!AA470)," ",ROUND(Q470,2))</f>
        <v xml:space="preserve"> </v>
      </c>
      <c r="S470" s="54"/>
    </row>
    <row r="471" spans="1:19" ht="20.100000000000001" customHeight="1" x14ac:dyDescent="0.2">
      <c r="A471" s="127">
        <f>'ALL Other SINs - Proposal'!A471</f>
        <v>0</v>
      </c>
      <c r="B471" s="121">
        <f>'ALL Other SINs - Proposal'!B471</f>
        <v>0</v>
      </c>
      <c r="C471" s="121">
        <f>'ALL Other SINs - Proposal'!C471</f>
        <v>0</v>
      </c>
      <c r="D471" s="121">
        <f>'ALL Other SINs - Proposal'!D471</f>
        <v>0</v>
      </c>
      <c r="E471" s="121">
        <f>'ALL Other SINs - Proposal'!E471</f>
        <v>0</v>
      </c>
      <c r="F471" s="171">
        <f>'ALL Other SINs - Proposal'!F471</f>
        <v>0</v>
      </c>
      <c r="G471" s="51">
        <f>'ALL Other SINs - Proposal'!G471</f>
        <v>0</v>
      </c>
      <c r="H471" s="125">
        <f>'ALL Other SINs - Proposal'!H471</f>
        <v>0</v>
      </c>
      <c r="I471" s="125">
        <f>'ALL Other SINs - Proposal'!I471</f>
        <v>0</v>
      </c>
      <c r="J471" s="125">
        <f>'ALL Other SINs - Proposal'!J471</f>
        <v>0</v>
      </c>
      <c r="K471" s="125">
        <f>'ALL Other SINs - Proposal'!K471</f>
        <v>0</v>
      </c>
      <c r="L471" s="125">
        <f>'ALL Other SINs - Proposal'!L471</f>
        <v>0</v>
      </c>
      <c r="M471" s="206">
        <f>'ALL Other SINs - Proposal'!M471</f>
        <v>0</v>
      </c>
      <c r="N471" s="251">
        <f>'ALL Other SINs - Proposal'!V471</f>
        <v>0</v>
      </c>
      <c r="O471" s="201" t="str">
        <f>'Price Analysis'!N471</f>
        <v xml:space="preserve"> </v>
      </c>
      <c r="P471" s="53" t="str">
        <f>IF(ISBLANK('ALL Other SINs - Proposal'!AA471)," ",'ALL Other SINs - Proposal'!AA471)</f>
        <v xml:space="preserve"> </v>
      </c>
      <c r="Q471" s="95" t="str">
        <f>'ALL Other SINs - Proposal'!AC471</f>
        <v xml:space="preserve"> </v>
      </c>
      <c r="R471" s="100" t="str">
        <f>IF(ISBLANK('ALL Other SINs - Proposal'!AA471)," ",ROUND(Q471,2))</f>
        <v xml:space="preserve"> </v>
      </c>
      <c r="S471" s="54"/>
    </row>
    <row r="472" spans="1:19" ht="20.100000000000001" customHeight="1" x14ac:dyDescent="0.2">
      <c r="A472" s="127">
        <f>'ALL Other SINs - Proposal'!A472</f>
        <v>0</v>
      </c>
      <c r="B472" s="121">
        <f>'ALL Other SINs - Proposal'!B472</f>
        <v>0</v>
      </c>
      <c r="C472" s="121">
        <f>'ALL Other SINs - Proposal'!C472</f>
        <v>0</v>
      </c>
      <c r="D472" s="121">
        <f>'ALL Other SINs - Proposal'!D472</f>
        <v>0</v>
      </c>
      <c r="E472" s="121">
        <f>'ALL Other SINs - Proposal'!E472</f>
        <v>0</v>
      </c>
      <c r="F472" s="171">
        <f>'ALL Other SINs - Proposal'!F472</f>
        <v>0</v>
      </c>
      <c r="G472" s="51">
        <f>'ALL Other SINs - Proposal'!G472</f>
        <v>0</v>
      </c>
      <c r="H472" s="125">
        <f>'ALL Other SINs - Proposal'!H472</f>
        <v>0</v>
      </c>
      <c r="I472" s="125">
        <f>'ALL Other SINs - Proposal'!I472</f>
        <v>0</v>
      </c>
      <c r="J472" s="125">
        <f>'ALL Other SINs - Proposal'!J472</f>
        <v>0</v>
      </c>
      <c r="K472" s="125">
        <f>'ALL Other SINs - Proposal'!K472</f>
        <v>0</v>
      </c>
      <c r="L472" s="125">
        <f>'ALL Other SINs - Proposal'!L472</f>
        <v>0</v>
      </c>
      <c r="M472" s="206">
        <f>'ALL Other SINs - Proposal'!M472</f>
        <v>0</v>
      </c>
      <c r="N472" s="251">
        <f>'ALL Other SINs - Proposal'!V472</f>
        <v>0</v>
      </c>
      <c r="O472" s="201" t="str">
        <f>'Price Analysis'!N472</f>
        <v xml:space="preserve"> </v>
      </c>
      <c r="P472" s="53" t="str">
        <f>IF(ISBLANK('ALL Other SINs - Proposal'!AA472)," ",'ALL Other SINs - Proposal'!AA472)</f>
        <v xml:space="preserve"> </v>
      </c>
      <c r="Q472" s="95" t="str">
        <f>'ALL Other SINs - Proposal'!AC472</f>
        <v xml:space="preserve"> </v>
      </c>
      <c r="R472" s="100" t="str">
        <f>IF(ISBLANK('ALL Other SINs - Proposal'!AA472)," ",ROUND(Q472,2))</f>
        <v xml:space="preserve"> </v>
      </c>
      <c r="S472" s="54"/>
    </row>
    <row r="473" spans="1:19" ht="20.100000000000001" customHeight="1" x14ac:dyDescent="0.2">
      <c r="A473" s="127">
        <f>'ALL Other SINs - Proposal'!A473</f>
        <v>0</v>
      </c>
      <c r="B473" s="121">
        <f>'ALL Other SINs - Proposal'!B473</f>
        <v>0</v>
      </c>
      <c r="C473" s="121">
        <f>'ALL Other SINs - Proposal'!C473</f>
        <v>0</v>
      </c>
      <c r="D473" s="121">
        <f>'ALL Other SINs - Proposal'!D473</f>
        <v>0</v>
      </c>
      <c r="E473" s="121">
        <f>'ALL Other SINs - Proposal'!E473</f>
        <v>0</v>
      </c>
      <c r="F473" s="171">
        <f>'ALL Other SINs - Proposal'!F473</f>
        <v>0</v>
      </c>
      <c r="G473" s="51">
        <f>'ALL Other SINs - Proposal'!G473</f>
        <v>0</v>
      </c>
      <c r="H473" s="125">
        <f>'ALL Other SINs - Proposal'!H473</f>
        <v>0</v>
      </c>
      <c r="I473" s="125">
        <f>'ALL Other SINs - Proposal'!I473</f>
        <v>0</v>
      </c>
      <c r="J473" s="125">
        <f>'ALL Other SINs - Proposal'!J473</f>
        <v>0</v>
      </c>
      <c r="K473" s="125">
        <f>'ALL Other SINs - Proposal'!K473</f>
        <v>0</v>
      </c>
      <c r="L473" s="125">
        <f>'ALL Other SINs - Proposal'!L473</f>
        <v>0</v>
      </c>
      <c r="M473" s="206">
        <f>'ALL Other SINs - Proposal'!M473</f>
        <v>0</v>
      </c>
      <c r="N473" s="251">
        <f>'ALL Other SINs - Proposal'!V473</f>
        <v>0</v>
      </c>
      <c r="O473" s="201" t="str">
        <f>'Price Analysis'!N473</f>
        <v xml:space="preserve"> </v>
      </c>
      <c r="P473" s="53" t="str">
        <f>IF(ISBLANK('ALL Other SINs - Proposal'!AA473)," ",'ALL Other SINs - Proposal'!AA473)</f>
        <v xml:space="preserve"> </v>
      </c>
      <c r="Q473" s="95" t="str">
        <f>'ALL Other SINs - Proposal'!AC473</f>
        <v xml:space="preserve"> </v>
      </c>
      <c r="R473" s="100" t="str">
        <f>IF(ISBLANK('ALL Other SINs - Proposal'!AA473)," ",ROUND(Q473,2))</f>
        <v xml:space="preserve"> </v>
      </c>
      <c r="S473" s="54"/>
    </row>
    <row r="474" spans="1:19" ht="20.100000000000001" customHeight="1" x14ac:dyDescent="0.2">
      <c r="A474" s="127">
        <f>'ALL Other SINs - Proposal'!A474</f>
        <v>0</v>
      </c>
      <c r="B474" s="121">
        <f>'ALL Other SINs - Proposal'!B474</f>
        <v>0</v>
      </c>
      <c r="C474" s="121">
        <f>'ALL Other SINs - Proposal'!C474</f>
        <v>0</v>
      </c>
      <c r="D474" s="121">
        <f>'ALL Other SINs - Proposal'!D474</f>
        <v>0</v>
      </c>
      <c r="E474" s="121">
        <f>'ALL Other SINs - Proposal'!E474</f>
        <v>0</v>
      </c>
      <c r="F474" s="171">
        <f>'ALL Other SINs - Proposal'!F474</f>
        <v>0</v>
      </c>
      <c r="G474" s="51">
        <f>'ALL Other SINs - Proposal'!G474</f>
        <v>0</v>
      </c>
      <c r="H474" s="125">
        <f>'ALL Other SINs - Proposal'!H474</f>
        <v>0</v>
      </c>
      <c r="I474" s="125">
        <f>'ALL Other SINs - Proposal'!I474</f>
        <v>0</v>
      </c>
      <c r="J474" s="125">
        <f>'ALL Other SINs - Proposal'!J474</f>
        <v>0</v>
      </c>
      <c r="K474" s="125">
        <f>'ALL Other SINs - Proposal'!K474</f>
        <v>0</v>
      </c>
      <c r="L474" s="125">
        <f>'ALL Other SINs - Proposal'!L474</f>
        <v>0</v>
      </c>
      <c r="M474" s="206">
        <f>'ALL Other SINs - Proposal'!M474</f>
        <v>0</v>
      </c>
      <c r="N474" s="251">
        <f>'ALL Other SINs - Proposal'!V474</f>
        <v>0</v>
      </c>
      <c r="O474" s="201" t="str">
        <f>'Price Analysis'!N474</f>
        <v xml:space="preserve"> </v>
      </c>
      <c r="P474" s="53" t="str">
        <f>IF(ISBLANK('ALL Other SINs - Proposal'!AA474)," ",'ALL Other SINs - Proposal'!AA474)</f>
        <v xml:space="preserve"> </v>
      </c>
      <c r="Q474" s="95" t="str">
        <f>'ALL Other SINs - Proposal'!AC474</f>
        <v xml:space="preserve"> </v>
      </c>
      <c r="R474" s="100" t="str">
        <f>IF(ISBLANK('ALL Other SINs - Proposal'!AA474)," ",ROUND(Q474,2))</f>
        <v xml:space="preserve"> </v>
      </c>
      <c r="S474" s="54"/>
    </row>
    <row r="475" spans="1:19" ht="20.100000000000001" customHeight="1" x14ac:dyDescent="0.2">
      <c r="A475" s="127">
        <f>'ALL Other SINs - Proposal'!A475</f>
        <v>0</v>
      </c>
      <c r="B475" s="121">
        <f>'ALL Other SINs - Proposal'!B475</f>
        <v>0</v>
      </c>
      <c r="C475" s="121">
        <f>'ALL Other SINs - Proposal'!C475</f>
        <v>0</v>
      </c>
      <c r="D475" s="121">
        <f>'ALL Other SINs - Proposal'!D475</f>
        <v>0</v>
      </c>
      <c r="E475" s="121">
        <f>'ALL Other SINs - Proposal'!E475</f>
        <v>0</v>
      </c>
      <c r="F475" s="171">
        <f>'ALL Other SINs - Proposal'!F475</f>
        <v>0</v>
      </c>
      <c r="G475" s="51">
        <f>'ALL Other SINs - Proposal'!G475</f>
        <v>0</v>
      </c>
      <c r="H475" s="125">
        <f>'ALL Other SINs - Proposal'!H475</f>
        <v>0</v>
      </c>
      <c r="I475" s="125">
        <f>'ALL Other SINs - Proposal'!I475</f>
        <v>0</v>
      </c>
      <c r="J475" s="125">
        <f>'ALL Other SINs - Proposal'!J475</f>
        <v>0</v>
      </c>
      <c r="K475" s="125">
        <f>'ALL Other SINs - Proposal'!K475</f>
        <v>0</v>
      </c>
      <c r="L475" s="125">
        <f>'ALL Other SINs - Proposal'!L475</f>
        <v>0</v>
      </c>
      <c r="M475" s="206">
        <f>'ALL Other SINs - Proposal'!M475</f>
        <v>0</v>
      </c>
      <c r="N475" s="251">
        <f>'ALL Other SINs - Proposal'!V475</f>
        <v>0</v>
      </c>
      <c r="O475" s="201" t="str">
        <f>'Price Analysis'!N475</f>
        <v xml:space="preserve"> </v>
      </c>
      <c r="P475" s="53" t="str">
        <f>IF(ISBLANK('ALL Other SINs - Proposal'!AA475)," ",'ALL Other SINs - Proposal'!AA475)</f>
        <v xml:space="preserve"> </v>
      </c>
      <c r="Q475" s="95" t="str">
        <f>'ALL Other SINs - Proposal'!AC475</f>
        <v xml:space="preserve"> </v>
      </c>
      <c r="R475" s="100" t="str">
        <f>IF(ISBLANK('ALL Other SINs - Proposal'!AA475)," ",ROUND(Q475,2))</f>
        <v xml:space="preserve"> </v>
      </c>
      <c r="S475" s="54"/>
    </row>
    <row r="476" spans="1:19" ht="20.100000000000001" customHeight="1" x14ac:dyDescent="0.2">
      <c r="A476" s="127">
        <f>'ALL Other SINs - Proposal'!A476</f>
        <v>0</v>
      </c>
      <c r="B476" s="121">
        <f>'ALL Other SINs - Proposal'!B476</f>
        <v>0</v>
      </c>
      <c r="C476" s="121">
        <f>'ALL Other SINs - Proposal'!C476</f>
        <v>0</v>
      </c>
      <c r="D476" s="121">
        <f>'ALL Other SINs - Proposal'!D476</f>
        <v>0</v>
      </c>
      <c r="E476" s="121">
        <f>'ALL Other SINs - Proposal'!E476</f>
        <v>0</v>
      </c>
      <c r="F476" s="171">
        <f>'ALL Other SINs - Proposal'!F476</f>
        <v>0</v>
      </c>
      <c r="G476" s="51">
        <f>'ALL Other SINs - Proposal'!G476</f>
        <v>0</v>
      </c>
      <c r="H476" s="125">
        <f>'ALL Other SINs - Proposal'!H476</f>
        <v>0</v>
      </c>
      <c r="I476" s="125">
        <f>'ALL Other SINs - Proposal'!I476</f>
        <v>0</v>
      </c>
      <c r="J476" s="125">
        <f>'ALL Other SINs - Proposal'!J476</f>
        <v>0</v>
      </c>
      <c r="K476" s="125">
        <f>'ALL Other SINs - Proposal'!K476</f>
        <v>0</v>
      </c>
      <c r="L476" s="125">
        <f>'ALL Other SINs - Proposal'!L476</f>
        <v>0</v>
      </c>
      <c r="M476" s="206">
        <f>'ALL Other SINs - Proposal'!M476</f>
        <v>0</v>
      </c>
      <c r="N476" s="251">
        <f>'ALL Other SINs - Proposal'!V476</f>
        <v>0</v>
      </c>
      <c r="O476" s="201" t="str">
        <f>'Price Analysis'!N476</f>
        <v xml:space="preserve"> </v>
      </c>
      <c r="P476" s="53" t="str">
        <f>IF(ISBLANK('ALL Other SINs - Proposal'!AA476)," ",'ALL Other SINs - Proposal'!AA476)</f>
        <v xml:space="preserve"> </v>
      </c>
      <c r="Q476" s="95" t="str">
        <f>'ALL Other SINs - Proposal'!AC476</f>
        <v xml:space="preserve"> </v>
      </c>
      <c r="R476" s="100" t="str">
        <f>IF(ISBLANK('ALL Other SINs - Proposal'!AA476)," ",ROUND(Q476,2))</f>
        <v xml:space="preserve"> </v>
      </c>
      <c r="S476" s="54"/>
    </row>
    <row r="477" spans="1:19" ht="20.100000000000001" customHeight="1" x14ac:dyDescent="0.2">
      <c r="A477" s="127">
        <f>'ALL Other SINs - Proposal'!A477</f>
        <v>0</v>
      </c>
      <c r="B477" s="121">
        <f>'ALL Other SINs - Proposal'!B477</f>
        <v>0</v>
      </c>
      <c r="C477" s="121">
        <f>'ALL Other SINs - Proposal'!C477</f>
        <v>0</v>
      </c>
      <c r="D477" s="121">
        <f>'ALL Other SINs - Proposal'!D477</f>
        <v>0</v>
      </c>
      <c r="E477" s="121">
        <f>'ALL Other SINs - Proposal'!E477</f>
        <v>0</v>
      </c>
      <c r="F477" s="171">
        <f>'ALL Other SINs - Proposal'!F477</f>
        <v>0</v>
      </c>
      <c r="G477" s="51">
        <f>'ALL Other SINs - Proposal'!G477</f>
        <v>0</v>
      </c>
      <c r="H477" s="125">
        <f>'ALL Other SINs - Proposal'!H477</f>
        <v>0</v>
      </c>
      <c r="I477" s="125">
        <f>'ALL Other SINs - Proposal'!I477</f>
        <v>0</v>
      </c>
      <c r="J477" s="125">
        <f>'ALL Other SINs - Proposal'!J477</f>
        <v>0</v>
      </c>
      <c r="K477" s="125">
        <f>'ALL Other SINs - Proposal'!K477</f>
        <v>0</v>
      </c>
      <c r="L477" s="125">
        <f>'ALL Other SINs - Proposal'!L477</f>
        <v>0</v>
      </c>
      <c r="M477" s="206">
        <f>'ALL Other SINs - Proposal'!M477</f>
        <v>0</v>
      </c>
      <c r="N477" s="251">
        <f>'ALL Other SINs - Proposal'!V477</f>
        <v>0</v>
      </c>
      <c r="O477" s="201" t="str">
        <f>'Price Analysis'!N477</f>
        <v xml:space="preserve"> </v>
      </c>
      <c r="P477" s="53" t="str">
        <f>IF(ISBLANK('ALL Other SINs - Proposal'!AA477)," ",'ALL Other SINs - Proposal'!AA477)</f>
        <v xml:space="preserve"> </v>
      </c>
      <c r="Q477" s="95" t="str">
        <f>'ALL Other SINs - Proposal'!AC477</f>
        <v xml:space="preserve"> </v>
      </c>
      <c r="R477" s="100" t="str">
        <f>IF(ISBLANK('ALL Other SINs - Proposal'!AA477)," ",ROUND(Q477,2))</f>
        <v xml:space="preserve"> </v>
      </c>
      <c r="S477" s="54"/>
    </row>
    <row r="478" spans="1:19" ht="20.100000000000001" customHeight="1" x14ac:dyDescent="0.2">
      <c r="A478" s="127">
        <f>'ALL Other SINs - Proposal'!A478</f>
        <v>0</v>
      </c>
      <c r="B478" s="121">
        <f>'ALL Other SINs - Proposal'!B478</f>
        <v>0</v>
      </c>
      <c r="C478" s="121">
        <f>'ALL Other SINs - Proposal'!C478</f>
        <v>0</v>
      </c>
      <c r="D478" s="121">
        <f>'ALL Other SINs - Proposal'!D478</f>
        <v>0</v>
      </c>
      <c r="E478" s="121">
        <f>'ALL Other SINs - Proposal'!E478</f>
        <v>0</v>
      </c>
      <c r="F478" s="171">
        <f>'ALL Other SINs - Proposal'!F478</f>
        <v>0</v>
      </c>
      <c r="G478" s="51">
        <f>'ALL Other SINs - Proposal'!G478</f>
        <v>0</v>
      </c>
      <c r="H478" s="125">
        <f>'ALL Other SINs - Proposal'!H478</f>
        <v>0</v>
      </c>
      <c r="I478" s="125">
        <f>'ALL Other SINs - Proposal'!I478</f>
        <v>0</v>
      </c>
      <c r="J478" s="125">
        <f>'ALL Other SINs - Proposal'!J478</f>
        <v>0</v>
      </c>
      <c r="K478" s="125">
        <f>'ALL Other SINs - Proposal'!K478</f>
        <v>0</v>
      </c>
      <c r="L478" s="125">
        <f>'ALL Other SINs - Proposal'!L478</f>
        <v>0</v>
      </c>
      <c r="M478" s="206">
        <f>'ALL Other SINs - Proposal'!M478</f>
        <v>0</v>
      </c>
      <c r="N478" s="251">
        <f>'ALL Other SINs - Proposal'!V478</f>
        <v>0</v>
      </c>
      <c r="O478" s="201" t="str">
        <f>'Price Analysis'!N478</f>
        <v xml:space="preserve"> </v>
      </c>
      <c r="P478" s="53" t="str">
        <f>IF(ISBLANK('ALL Other SINs - Proposal'!AA478)," ",'ALL Other SINs - Proposal'!AA478)</f>
        <v xml:space="preserve"> </v>
      </c>
      <c r="Q478" s="95" t="str">
        <f>'ALL Other SINs - Proposal'!AC478</f>
        <v xml:space="preserve"> </v>
      </c>
      <c r="R478" s="100" t="str">
        <f>IF(ISBLANK('ALL Other SINs - Proposal'!AA478)," ",ROUND(Q478,2))</f>
        <v xml:space="preserve"> </v>
      </c>
      <c r="S478" s="54"/>
    </row>
    <row r="479" spans="1:19" ht="20.100000000000001" customHeight="1" x14ac:dyDescent="0.2">
      <c r="A479" s="127">
        <f>'ALL Other SINs - Proposal'!A479</f>
        <v>0</v>
      </c>
      <c r="B479" s="121">
        <f>'ALL Other SINs - Proposal'!B479</f>
        <v>0</v>
      </c>
      <c r="C479" s="121">
        <f>'ALL Other SINs - Proposal'!C479</f>
        <v>0</v>
      </c>
      <c r="D479" s="121">
        <f>'ALL Other SINs - Proposal'!D479</f>
        <v>0</v>
      </c>
      <c r="E479" s="121">
        <f>'ALL Other SINs - Proposal'!E479</f>
        <v>0</v>
      </c>
      <c r="F479" s="171">
        <f>'ALL Other SINs - Proposal'!F479</f>
        <v>0</v>
      </c>
      <c r="G479" s="51">
        <f>'ALL Other SINs - Proposal'!G479</f>
        <v>0</v>
      </c>
      <c r="H479" s="125">
        <f>'ALL Other SINs - Proposal'!H479</f>
        <v>0</v>
      </c>
      <c r="I479" s="125">
        <f>'ALL Other SINs - Proposal'!I479</f>
        <v>0</v>
      </c>
      <c r="J479" s="125">
        <f>'ALL Other SINs - Proposal'!J479</f>
        <v>0</v>
      </c>
      <c r="K479" s="125">
        <f>'ALL Other SINs - Proposal'!K479</f>
        <v>0</v>
      </c>
      <c r="L479" s="125">
        <f>'ALL Other SINs - Proposal'!L479</f>
        <v>0</v>
      </c>
      <c r="M479" s="206">
        <f>'ALL Other SINs - Proposal'!M479</f>
        <v>0</v>
      </c>
      <c r="N479" s="251">
        <f>'ALL Other SINs - Proposal'!V479</f>
        <v>0</v>
      </c>
      <c r="O479" s="201" t="str">
        <f>'Price Analysis'!N479</f>
        <v xml:space="preserve"> </v>
      </c>
      <c r="P479" s="53" t="str">
        <f>IF(ISBLANK('ALL Other SINs - Proposal'!AA479)," ",'ALL Other SINs - Proposal'!AA479)</f>
        <v xml:space="preserve"> </v>
      </c>
      <c r="Q479" s="95" t="str">
        <f>'ALL Other SINs - Proposal'!AC479</f>
        <v xml:space="preserve"> </v>
      </c>
      <c r="R479" s="100" t="str">
        <f>IF(ISBLANK('ALL Other SINs - Proposal'!AA479)," ",ROUND(Q479,2))</f>
        <v xml:space="preserve"> </v>
      </c>
      <c r="S479" s="54"/>
    </row>
    <row r="480" spans="1:19" ht="20.100000000000001" customHeight="1" x14ac:dyDescent="0.2">
      <c r="A480" s="127">
        <f>'ALL Other SINs - Proposal'!A480</f>
        <v>0</v>
      </c>
      <c r="B480" s="121">
        <f>'ALL Other SINs - Proposal'!B480</f>
        <v>0</v>
      </c>
      <c r="C480" s="121">
        <f>'ALL Other SINs - Proposal'!C480</f>
        <v>0</v>
      </c>
      <c r="D480" s="121">
        <f>'ALL Other SINs - Proposal'!D480</f>
        <v>0</v>
      </c>
      <c r="E480" s="121">
        <f>'ALL Other SINs - Proposal'!E480</f>
        <v>0</v>
      </c>
      <c r="F480" s="171">
        <f>'ALL Other SINs - Proposal'!F480</f>
        <v>0</v>
      </c>
      <c r="G480" s="51">
        <f>'ALL Other SINs - Proposal'!G480</f>
        <v>0</v>
      </c>
      <c r="H480" s="125">
        <f>'ALL Other SINs - Proposal'!H480</f>
        <v>0</v>
      </c>
      <c r="I480" s="125">
        <f>'ALL Other SINs - Proposal'!I480</f>
        <v>0</v>
      </c>
      <c r="J480" s="125">
        <f>'ALL Other SINs - Proposal'!J480</f>
        <v>0</v>
      </c>
      <c r="K480" s="125">
        <f>'ALL Other SINs - Proposal'!K480</f>
        <v>0</v>
      </c>
      <c r="L480" s="125">
        <f>'ALL Other SINs - Proposal'!L480</f>
        <v>0</v>
      </c>
      <c r="M480" s="206">
        <f>'ALL Other SINs - Proposal'!M480</f>
        <v>0</v>
      </c>
      <c r="N480" s="251">
        <f>'ALL Other SINs - Proposal'!V480</f>
        <v>0</v>
      </c>
      <c r="O480" s="201" t="str">
        <f>'Price Analysis'!N480</f>
        <v xml:space="preserve"> </v>
      </c>
      <c r="P480" s="53" t="str">
        <f>IF(ISBLANK('ALL Other SINs - Proposal'!AA480)," ",'ALL Other SINs - Proposal'!AA480)</f>
        <v xml:space="preserve"> </v>
      </c>
      <c r="Q480" s="95" t="str">
        <f>'ALL Other SINs - Proposal'!AC480</f>
        <v xml:space="preserve"> </v>
      </c>
      <c r="R480" s="100" t="str">
        <f>IF(ISBLANK('ALL Other SINs - Proposal'!AA480)," ",ROUND(Q480,2))</f>
        <v xml:space="preserve"> </v>
      </c>
      <c r="S480" s="54"/>
    </row>
    <row r="481" spans="1:19" ht="20.100000000000001" customHeight="1" x14ac:dyDescent="0.2">
      <c r="A481" s="127">
        <f>'ALL Other SINs - Proposal'!A481</f>
        <v>0</v>
      </c>
      <c r="B481" s="121">
        <f>'ALL Other SINs - Proposal'!B481</f>
        <v>0</v>
      </c>
      <c r="C481" s="121">
        <f>'ALL Other SINs - Proposal'!C481</f>
        <v>0</v>
      </c>
      <c r="D481" s="121">
        <f>'ALL Other SINs - Proposal'!D481</f>
        <v>0</v>
      </c>
      <c r="E481" s="121">
        <f>'ALL Other SINs - Proposal'!E481</f>
        <v>0</v>
      </c>
      <c r="F481" s="171">
        <f>'ALL Other SINs - Proposal'!F481</f>
        <v>0</v>
      </c>
      <c r="G481" s="51">
        <f>'ALL Other SINs - Proposal'!G481</f>
        <v>0</v>
      </c>
      <c r="H481" s="125">
        <f>'ALL Other SINs - Proposal'!H481</f>
        <v>0</v>
      </c>
      <c r="I481" s="125">
        <f>'ALL Other SINs - Proposal'!I481</f>
        <v>0</v>
      </c>
      <c r="J481" s="125">
        <f>'ALL Other SINs - Proposal'!J481</f>
        <v>0</v>
      </c>
      <c r="K481" s="125">
        <f>'ALL Other SINs - Proposal'!K481</f>
        <v>0</v>
      </c>
      <c r="L481" s="125">
        <f>'ALL Other SINs - Proposal'!L481</f>
        <v>0</v>
      </c>
      <c r="M481" s="206">
        <f>'ALL Other SINs - Proposal'!M481</f>
        <v>0</v>
      </c>
      <c r="N481" s="251">
        <f>'ALL Other SINs - Proposal'!V481</f>
        <v>0</v>
      </c>
      <c r="O481" s="201" t="str">
        <f>'Price Analysis'!N481</f>
        <v xml:space="preserve"> </v>
      </c>
      <c r="P481" s="53" t="str">
        <f>IF(ISBLANK('ALL Other SINs - Proposal'!AA481)," ",'ALL Other SINs - Proposal'!AA481)</f>
        <v xml:space="preserve"> </v>
      </c>
      <c r="Q481" s="95" t="str">
        <f>'ALL Other SINs - Proposal'!AC481</f>
        <v xml:space="preserve"> </v>
      </c>
      <c r="R481" s="100" t="str">
        <f>IF(ISBLANK('ALL Other SINs - Proposal'!AA481)," ",ROUND(Q481,2))</f>
        <v xml:space="preserve"> </v>
      </c>
      <c r="S481" s="54"/>
    </row>
    <row r="482" spans="1:19" ht="20.100000000000001" customHeight="1" x14ac:dyDescent="0.2">
      <c r="A482" s="127">
        <f>'ALL Other SINs - Proposal'!A482</f>
        <v>0</v>
      </c>
      <c r="B482" s="121">
        <f>'ALL Other SINs - Proposal'!B482</f>
        <v>0</v>
      </c>
      <c r="C482" s="121">
        <f>'ALL Other SINs - Proposal'!C482</f>
        <v>0</v>
      </c>
      <c r="D482" s="121">
        <f>'ALL Other SINs - Proposal'!D482</f>
        <v>0</v>
      </c>
      <c r="E482" s="121">
        <f>'ALL Other SINs - Proposal'!E482</f>
        <v>0</v>
      </c>
      <c r="F482" s="171">
        <f>'ALL Other SINs - Proposal'!F482</f>
        <v>0</v>
      </c>
      <c r="G482" s="51">
        <f>'ALL Other SINs - Proposal'!G482</f>
        <v>0</v>
      </c>
      <c r="H482" s="125">
        <f>'ALL Other SINs - Proposal'!H482</f>
        <v>0</v>
      </c>
      <c r="I482" s="125">
        <f>'ALL Other SINs - Proposal'!I482</f>
        <v>0</v>
      </c>
      <c r="J482" s="125">
        <f>'ALL Other SINs - Proposal'!J482</f>
        <v>0</v>
      </c>
      <c r="K482" s="125">
        <f>'ALL Other SINs - Proposal'!K482</f>
        <v>0</v>
      </c>
      <c r="L482" s="125">
        <f>'ALL Other SINs - Proposal'!L482</f>
        <v>0</v>
      </c>
      <c r="M482" s="206">
        <f>'ALL Other SINs - Proposal'!M482</f>
        <v>0</v>
      </c>
      <c r="N482" s="251">
        <f>'ALL Other SINs - Proposal'!V482</f>
        <v>0</v>
      </c>
      <c r="O482" s="201" t="str">
        <f>'Price Analysis'!N482</f>
        <v xml:space="preserve"> </v>
      </c>
      <c r="P482" s="53" t="str">
        <f>IF(ISBLANK('ALL Other SINs - Proposal'!AA482)," ",'ALL Other SINs - Proposal'!AA482)</f>
        <v xml:space="preserve"> </v>
      </c>
      <c r="Q482" s="95" t="str">
        <f>'ALL Other SINs - Proposal'!AC482</f>
        <v xml:space="preserve"> </v>
      </c>
      <c r="R482" s="100" t="str">
        <f>IF(ISBLANK('ALL Other SINs - Proposal'!AA482)," ",ROUND(Q482,2))</f>
        <v xml:space="preserve"> </v>
      </c>
      <c r="S482" s="54"/>
    </row>
    <row r="483" spans="1:19" ht="20.100000000000001" customHeight="1" x14ac:dyDescent="0.2">
      <c r="A483" s="127">
        <f>'ALL Other SINs - Proposal'!A483</f>
        <v>0</v>
      </c>
      <c r="B483" s="121">
        <f>'ALL Other SINs - Proposal'!B483</f>
        <v>0</v>
      </c>
      <c r="C483" s="121">
        <f>'ALL Other SINs - Proposal'!C483</f>
        <v>0</v>
      </c>
      <c r="D483" s="121">
        <f>'ALL Other SINs - Proposal'!D483</f>
        <v>0</v>
      </c>
      <c r="E483" s="121">
        <f>'ALL Other SINs - Proposal'!E483</f>
        <v>0</v>
      </c>
      <c r="F483" s="171">
        <f>'ALL Other SINs - Proposal'!F483</f>
        <v>0</v>
      </c>
      <c r="G483" s="51">
        <f>'ALL Other SINs - Proposal'!G483</f>
        <v>0</v>
      </c>
      <c r="H483" s="125">
        <f>'ALL Other SINs - Proposal'!H483</f>
        <v>0</v>
      </c>
      <c r="I483" s="125">
        <f>'ALL Other SINs - Proposal'!I483</f>
        <v>0</v>
      </c>
      <c r="J483" s="125">
        <f>'ALL Other SINs - Proposal'!J483</f>
        <v>0</v>
      </c>
      <c r="K483" s="125">
        <f>'ALL Other SINs - Proposal'!K483</f>
        <v>0</v>
      </c>
      <c r="L483" s="125">
        <f>'ALL Other SINs - Proposal'!L483</f>
        <v>0</v>
      </c>
      <c r="M483" s="206">
        <f>'ALL Other SINs - Proposal'!M483</f>
        <v>0</v>
      </c>
      <c r="N483" s="251">
        <f>'ALL Other SINs - Proposal'!V483</f>
        <v>0</v>
      </c>
      <c r="O483" s="201" t="str">
        <f>'Price Analysis'!N483</f>
        <v xml:space="preserve"> </v>
      </c>
      <c r="P483" s="53" t="str">
        <f>IF(ISBLANK('ALL Other SINs - Proposal'!AA483)," ",'ALL Other SINs - Proposal'!AA483)</f>
        <v xml:space="preserve"> </v>
      </c>
      <c r="Q483" s="95" t="str">
        <f>'ALL Other SINs - Proposal'!AC483</f>
        <v xml:space="preserve"> </v>
      </c>
      <c r="R483" s="100" t="str">
        <f>IF(ISBLANK('ALL Other SINs - Proposal'!AA483)," ",ROUND(Q483,2))</f>
        <v xml:space="preserve"> </v>
      </c>
      <c r="S483" s="54"/>
    </row>
    <row r="484" spans="1:19" ht="20.100000000000001" customHeight="1" x14ac:dyDescent="0.2">
      <c r="A484" s="127">
        <f>'ALL Other SINs - Proposal'!A484</f>
        <v>0</v>
      </c>
      <c r="B484" s="121">
        <f>'ALL Other SINs - Proposal'!B484</f>
        <v>0</v>
      </c>
      <c r="C484" s="121">
        <f>'ALL Other SINs - Proposal'!C484</f>
        <v>0</v>
      </c>
      <c r="D484" s="121">
        <f>'ALL Other SINs - Proposal'!D484</f>
        <v>0</v>
      </c>
      <c r="E484" s="121">
        <f>'ALL Other SINs - Proposal'!E484</f>
        <v>0</v>
      </c>
      <c r="F484" s="171">
        <f>'ALL Other SINs - Proposal'!F484</f>
        <v>0</v>
      </c>
      <c r="G484" s="51">
        <f>'ALL Other SINs - Proposal'!G484</f>
        <v>0</v>
      </c>
      <c r="H484" s="125">
        <f>'ALL Other SINs - Proposal'!H484</f>
        <v>0</v>
      </c>
      <c r="I484" s="125">
        <f>'ALL Other SINs - Proposal'!I484</f>
        <v>0</v>
      </c>
      <c r="J484" s="125">
        <f>'ALL Other SINs - Proposal'!J484</f>
        <v>0</v>
      </c>
      <c r="K484" s="125">
        <f>'ALL Other SINs - Proposal'!K484</f>
        <v>0</v>
      </c>
      <c r="L484" s="125">
        <f>'ALL Other SINs - Proposal'!L484</f>
        <v>0</v>
      </c>
      <c r="M484" s="206">
        <f>'ALL Other SINs - Proposal'!M484</f>
        <v>0</v>
      </c>
      <c r="N484" s="251">
        <f>'ALL Other SINs - Proposal'!V484</f>
        <v>0</v>
      </c>
      <c r="O484" s="201" t="str">
        <f>'Price Analysis'!N484</f>
        <v xml:space="preserve"> </v>
      </c>
      <c r="P484" s="53" t="str">
        <f>IF(ISBLANK('ALL Other SINs - Proposal'!AA484)," ",'ALL Other SINs - Proposal'!AA484)</f>
        <v xml:space="preserve"> </v>
      </c>
      <c r="Q484" s="95" t="str">
        <f>'ALL Other SINs - Proposal'!AC484</f>
        <v xml:space="preserve"> </v>
      </c>
      <c r="R484" s="100" t="str">
        <f>IF(ISBLANK('ALL Other SINs - Proposal'!AA484)," ",ROUND(Q484,2))</f>
        <v xml:space="preserve"> </v>
      </c>
      <c r="S484" s="54"/>
    </row>
    <row r="485" spans="1:19" ht="20.100000000000001" customHeight="1" x14ac:dyDescent="0.2">
      <c r="A485" s="127">
        <f>'ALL Other SINs - Proposal'!A485</f>
        <v>0</v>
      </c>
      <c r="B485" s="121">
        <f>'ALL Other SINs - Proposal'!B485</f>
        <v>0</v>
      </c>
      <c r="C485" s="121">
        <f>'ALL Other SINs - Proposal'!C485</f>
        <v>0</v>
      </c>
      <c r="D485" s="121">
        <f>'ALL Other SINs - Proposal'!D485</f>
        <v>0</v>
      </c>
      <c r="E485" s="121">
        <f>'ALL Other SINs - Proposal'!E485</f>
        <v>0</v>
      </c>
      <c r="F485" s="171">
        <f>'ALL Other SINs - Proposal'!F485</f>
        <v>0</v>
      </c>
      <c r="G485" s="51">
        <f>'ALL Other SINs - Proposal'!G485</f>
        <v>0</v>
      </c>
      <c r="H485" s="125">
        <f>'ALL Other SINs - Proposal'!H485</f>
        <v>0</v>
      </c>
      <c r="I485" s="125">
        <f>'ALL Other SINs - Proposal'!I485</f>
        <v>0</v>
      </c>
      <c r="J485" s="125">
        <f>'ALL Other SINs - Proposal'!J485</f>
        <v>0</v>
      </c>
      <c r="K485" s="125">
        <f>'ALL Other SINs - Proposal'!K485</f>
        <v>0</v>
      </c>
      <c r="L485" s="125">
        <f>'ALL Other SINs - Proposal'!L485</f>
        <v>0</v>
      </c>
      <c r="M485" s="206">
        <f>'ALL Other SINs - Proposal'!M485</f>
        <v>0</v>
      </c>
      <c r="N485" s="251">
        <f>'ALL Other SINs - Proposal'!V485</f>
        <v>0</v>
      </c>
      <c r="O485" s="201" t="str">
        <f>'Price Analysis'!N485</f>
        <v xml:space="preserve"> </v>
      </c>
      <c r="P485" s="53" t="str">
        <f>IF(ISBLANK('ALL Other SINs - Proposal'!AA485)," ",'ALL Other SINs - Proposal'!AA485)</f>
        <v xml:space="preserve"> </v>
      </c>
      <c r="Q485" s="95" t="str">
        <f>'ALL Other SINs - Proposal'!AC485</f>
        <v xml:space="preserve"> </v>
      </c>
      <c r="R485" s="100" t="str">
        <f>IF(ISBLANK('ALL Other SINs - Proposal'!AA485)," ",ROUND(Q485,2))</f>
        <v xml:space="preserve"> </v>
      </c>
      <c r="S485" s="54"/>
    </row>
    <row r="486" spans="1:19" ht="20.100000000000001" customHeight="1" x14ac:dyDescent="0.2">
      <c r="A486" s="127">
        <f>'ALL Other SINs - Proposal'!A486</f>
        <v>0</v>
      </c>
      <c r="B486" s="121">
        <f>'ALL Other SINs - Proposal'!B486</f>
        <v>0</v>
      </c>
      <c r="C486" s="121">
        <f>'ALL Other SINs - Proposal'!C486</f>
        <v>0</v>
      </c>
      <c r="D486" s="121">
        <f>'ALL Other SINs - Proposal'!D486</f>
        <v>0</v>
      </c>
      <c r="E486" s="121">
        <f>'ALL Other SINs - Proposal'!E486</f>
        <v>0</v>
      </c>
      <c r="F486" s="171">
        <f>'ALL Other SINs - Proposal'!F486</f>
        <v>0</v>
      </c>
      <c r="G486" s="51">
        <f>'ALL Other SINs - Proposal'!G486</f>
        <v>0</v>
      </c>
      <c r="H486" s="125">
        <f>'ALL Other SINs - Proposal'!H486</f>
        <v>0</v>
      </c>
      <c r="I486" s="125">
        <f>'ALL Other SINs - Proposal'!I486</f>
        <v>0</v>
      </c>
      <c r="J486" s="125">
        <f>'ALL Other SINs - Proposal'!J486</f>
        <v>0</v>
      </c>
      <c r="K486" s="125">
        <f>'ALL Other SINs - Proposal'!K486</f>
        <v>0</v>
      </c>
      <c r="L486" s="125">
        <f>'ALL Other SINs - Proposal'!L486</f>
        <v>0</v>
      </c>
      <c r="M486" s="206">
        <f>'ALL Other SINs - Proposal'!M486</f>
        <v>0</v>
      </c>
      <c r="N486" s="251">
        <f>'ALL Other SINs - Proposal'!V486</f>
        <v>0</v>
      </c>
      <c r="O486" s="201" t="str">
        <f>'Price Analysis'!N486</f>
        <v xml:space="preserve"> </v>
      </c>
      <c r="P486" s="53" t="str">
        <f>IF(ISBLANK('ALL Other SINs - Proposal'!AA486)," ",'ALL Other SINs - Proposal'!AA486)</f>
        <v xml:space="preserve"> </v>
      </c>
      <c r="Q486" s="95" t="str">
        <f>'ALL Other SINs - Proposal'!AC486</f>
        <v xml:space="preserve"> </v>
      </c>
      <c r="R486" s="100" t="str">
        <f>IF(ISBLANK('ALL Other SINs - Proposal'!AA486)," ",ROUND(Q486,2))</f>
        <v xml:space="preserve"> </v>
      </c>
      <c r="S486" s="54"/>
    </row>
    <row r="487" spans="1:19" ht="20.100000000000001" customHeight="1" x14ac:dyDescent="0.2">
      <c r="A487" s="127">
        <f>'ALL Other SINs - Proposal'!A487</f>
        <v>0</v>
      </c>
      <c r="B487" s="121">
        <f>'ALL Other SINs - Proposal'!B487</f>
        <v>0</v>
      </c>
      <c r="C487" s="121">
        <f>'ALL Other SINs - Proposal'!C487</f>
        <v>0</v>
      </c>
      <c r="D487" s="121">
        <f>'ALL Other SINs - Proposal'!D487</f>
        <v>0</v>
      </c>
      <c r="E487" s="121">
        <f>'ALL Other SINs - Proposal'!E487</f>
        <v>0</v>
      </c>
      <c r="F487" s="171">
        <f>'ALL Other SINs - Proposal'!F487</f>
        <v>0</v>
      </c>
      <c r="G487" s="51">
        <f>'ALL Other SINs - Proposal'!G487</f>
        <v>0</v>
      </c>
      <c r="H487" s="125">
        <f>'ALL Other SINs - Proposal'!H487</f>
        <v>0</v>
      </c>
      <c r="I487" s="125">
        <f>'ALL Other SINs - Proposal'!I487</f>
        <v>0</v>
      </c>
      <c r="J487" s="125">
        <f>'ALL Other SINs - Proposal'!J487</f>
        <v>0</v>
      </c>
      <c r="K487" s="125">
        <f>'ALL Other SINs - Proposal'!K487</f>
        <v>0</v>
      </c>
      <c r="L487" s="125">
        <f>'ALL Other SINs - Proposal'!L487</f>
        <v>0</v>
      </c>
      <c r="M487" s="206">
        <f>'ALL Other SINs - Proposal'!M487</f>
        <v>0</v>
      </c>
      <c r="N487" s="251">
        <f>'ALL Other SINs - Proposal'!V487</f>
        <v>0</v>
      </c>
      <c r="O487" s="201" t="str">
        <f>'Price Analysis'!N487</f>
        <v xml:space="preserve"> </v>
      </c>
      <c r="P487" s="53" t="str">
        <f>IF(ISBLANK('ALL Other SINs - Proposal'!AA487)," ",'ALL Other SINs - Proposal'!AA487)</f>
        <v xml:space="preserve"> </v>
      </c>
      <c r="Q487" s="95" t="str">
        <f>'ALL Other SINs - Proposal'!AC487</f>
        <v xml:space="preserve"> </v>
      </c>
      <c r="R487" s="100" t="str">
        <f>IF(ISBLANK('ALL Other SINs - Proposal'!AA487)," ",ROUND(Q487,2))</f>
        <v xml:space="preserve"> </v>
      </c>
      <c r="S487" s="54"/>
    </row>
    <row r="488" spans="1:19" ht="20.100000000000001" customHeight="1" x14ac:dyDescent="0.2">
      <c r="A488" s="127">
        <f>'ALL Other SINs - Proposal'!A488</f>
        <v>0</v>
      </c>
      <c r="B488" s="121">
        <f>'ALL Other SINs - Proposal'!B488</f>
        <v>0</v>
      </c>
      <c r="C488" s="121">
        <f>'ALL Other SINs - Proposal'!C488</f>
        <v>0</v>
      </c>
      <c r="D488" s="121">
        <f>'ALL Other SINs - Proposal'!D488</f>
        <v>0</v>
      </c>
      <c r="E488" s="121">
        <f>'ALL Other SINs - Proposal'!E488</f>
        <v>0</v>
      </c>
      <c r="F488" s="171">
        <f>'ALL Other SINs - Proposal'!F488</f>
        <v>0</v>
      </c>
      <c r="G488" s="51">
        <f>'ALL Other SINs - Proposal'!G488</f>
        <v>0</v>
      </c>
      <c r="H488" s="125">
        <f>'ALL Other SINs - Proposal'!H488</f>
        <v>0</v>
      </c>
      <c r="I488" s="125">
        <f>'ALL Other SINs - Proposal'!I488</f>
        <v>0</v>
      </c>
      <c r="J488" s="125">
        <f>'ALL Other SINs - Proposal'!J488</f>
        <v>0</v>
      </c>
      <c r="K488" s="125">
        <f>'ALL Other SINs - Proposal'!K488</f>
        <v>0</v>
      </c>
      <c r="L488" s="125">
        <f>'ALL Other SINs - Proposal'!L488</f>
        <v>0</v>
      </c>
      <c r="M488" s="206">
        <f>'ALL Other SINs - Proposal'!M488</f>
        <v>0</v>
      </c>
      <c r="N488" s="251">
        <f>'ALL Other SINs - Proposal'!V488</f>
        <v>0</v>
      </c>
      <c r="O488" s="201" t="str">
        <f>'Price Analysis'!N488</f>
        <v xml:space="preserve"> </v>
      </c>
      <c r="P488" s="53" t="str">
        <f>IF(ISBLANK('ALL Other SINs - Proposal'!AA488)," ",'ALL Other SINs - Proposal'!AA488)</f>
        <v xml:space="preserve"> </v>
      </c>
      <c r="Q488" s="95" t="str">
        <f>'ALL Other SINs - Proposal'!AC488</f>
        <v xml:space="preserve"> </v>
      </c>
      <c r="R488" s="100" t="str">
        <f>IF(ISBLANK('ALL Other SINs - Proposal'!AA488)," ",ROUND(Q488,2))</f>
        <v xml:space="preserve"> </v>
      </c>
      <c r="S488" s="54"/>
    </row>
    <row r="489" spans="1:19" ht="20.100000000000001" customHeight="1" x14ac:dyDescent="0.2">
      <c r="A489" s="127">
        <f>'ALL Other SINs - Proposal'!A489</f>
        <v>0</v>
      </c>
      <c r="B489" s="121">
        <f>'ALL Other SINs - Proposal'!B489</f>
        <v>0</v>
      </c>
      <c r="C489" s="121">
        <f>'ALL Other SINs - Proposal'!C489</f>
        <v>0</v>
      </c>
      <c r="D489" s="121">
        <f>'ALL Other SINs - Proposal'!D489</f>
        <v>0</v>
      </c>
      <c r="E489" s="121">
        <f>'ALL Other SINs - Proposal'!E489</f>
        <v>0</v>
      </c>
      <c r="F489" s="171">
        <f>'ALL Other SINs - Proposal'!F489</f>
        <v>0</v>
      </c>
      <c r="G489" s="51">
        <f>'ALL Other SINs - Proposal'!G489</f>
        <v>0</v>
      </c>
      <c r="H489" s="125">
        <f>'ALL Other SINs - Proposal'!H489</f>
        <v>0</v>
      </c>
      <c r="I489" s="125">
        <f>'ALL Other SINs - Proposal'!I489</f>
        <v>0</v>
      </c>
      <c r="J489" s="125">
        <f>'ALL Other SINs - Proposal'!J489</f>
        <v>0</v>
      </c>
      <c r="K489" s="125">
        <f>'ALL Other SINs - Proposal'!K489</f>
        <v>0</v>
      </c>
      <c r="L489" s="125">
        <f>'ALL Other SINs - Proposal'!L489</f>
        <v>0</v>
      </c>
      <c r="M489" s="206">
        <f>'ALL Other SINs - Proposal'!M489</f>
        <v>0</v>
      </c>
      <c r="N489" s="251">
        <f>'ALL Other SINs - Proposal'!V489</f>
        <v>0</v>
      </c>
      <c r="O489" s="201" t="str">
        <f>'Price Analysis'!N489</f>
        <v xml:space="preserve"> </v>
      </c>
      <c r="P489" s="53" t="str">
        <f>IF(ISBLANK('ALL Other SINs - Proposal'!AA489)," ",'ALL Other SINs - Proposal'!AA489)</f>
        <v xml:space="preserve"> </v>
      </c>
      <c r="Q489" s="95" t="str">
        <f>'ALL Other SINs - Proposal'!AC489</f>
        <v xml:space="preserve"> </v>
      </c>
      <c r="R489" s="100" t="str">
        <f>IF(ISBLANK('ALL Other SINs - Proposal'!AA489)," ",ROUND(Q489,2))</f>
        <v xml:space="preserve"> </v>
      </c>
      <c r="S489" s="54"/>
    </row>
    <row r="490" spans="1:19" ht="20.100000000000001" customHeight="1" x14ac:dyDescent="0.2">
      <c r="A490" s="127">
        <f>'ALL Other SINs - Proposal'!A490</f>
        <v>0</v>
      </c>
      <c r="B490" s="121">
        <f>'ALL Other SINs - Proposal'!B490</f>
        <v>0</v>
      </c>
      <c r="C490" s="121">
        <f>'ALL Other SINs - Proposal'!C490</f>
        <v>0</v>
      </c>
      <c r="D490" s="121">
        <f>'ALL Other SINs - Proposal'!D490</f>
        <v>0</v>
      </c>
      <c r="E490" s="121">
        <f>'ALL Other SINs - Proposal'!E490</f>
        <v>0</v>
      </c>
      <c r="F490" s="171">
        <f>'ALL Other SINs - Proposal'!F490</f>
        <v>0</v>
      </c>
      <c r="G490" s="51">
        <f>'ALL Other SINs - Proposal'!G490</f>
        <v>0</v>
      </c>
      <c r="H490" s="125">
        <f>'ALL Other SINs - Proposal'!H490</f>
        <v>0</v>
      </c>
      <c r="I490" s="125">
        <f>'ALL Other SINs - Proposal'!I490</f>
        <v>0</v>
      </c>
      <c r="J490" s="125">
        <f>'ALL Other SINs - Proposal'!J490</f>
        <v>0</v>
      </c>
      <c r="K490" s="125">
        <f>'ALL Other SINs - Proposal'!K490</f>
        <v>0</v>
      </c>
      <c r="L490" s="125">
        <f>'ALL Other SINs - Proposal'!L490</f>
        <v>0</v>
      </c>
      <c r="M490" s="206">
        <f>'ALL Other SINs - Proposal'!M490</f>
        <v>0</v>
      </c>
      <c r="N490" s="251">
        <f>'ALL Other SINs - Proposal'!V490</f>
        <v>0</v>
      </c>
      <c r="O490" s="201" t="str">
        <f>'Price Analysis'!N490</f>
        <v xml:space="preserve"> </v>
      </c>
      <c r="P490" s="53" t="str">
        <f>IF(ISBLANK('ALL Other SINs - Proposal'!AA490)," ",'ALL Other SINs - Proposal'!AA490)</f>
        <v xml:space="preserve"> </v>
      </c>
      <c r="Q490" s="95" t="str">
        <f>'ALL Other SINs - Proposal'!AC490</f>
        <v xml:space="preserve"> </v>
      </c>
      <c r="R490" s="100" t="str">
        <f>IF(ISBLANK('ALL Other SINs - Proposal'!AA490)," ",ROUND(Q490,2))</f>
        <v xml:space="preserve"> </v>
      </c>
      <c r="S490" s="54"/>
    </row>
    <row r="491" spans="1:19" ht="20.100000000000001" customHeight="1" x14ac:dyDescent="0.2">
      <c r="A491" s="127">
        <f>'ALL Other SINs - Proposal'!A491</f>
        <v>0</v>
      </c>
      <c r="B491" s="121">
        <f>'ALL Other SINs - Proposal'!B491</f>
        <v>0</v>
      </c>
      <c r="C491" s="121">
        <f>'ALL Other SINs - Proposal'!C491</f>
        <v>0</v>
      </c>
      <c r="D491" s="121">
        <f>'ALL Other SINs - Proposal'!D491</f>
        <v>0</v>
      </c>
      <c r="E491" s="121">
        <f>'ALL Other SINs - Proposal'!E491</f>
        <v>0</v>
      </c>
      <c r="F491" s="171">
        <f>'ALL Other SINs - Proposal'!F491</f>
        <v>0</v>
      </c>
      <c r="G491" s="51">
        <f>'ALL Other SINs - Proposal'!G491</f>
        <v>0</v>
      </c>
      <c r="H491" s="125">
        <f>'ALL Other SINs - Proposal'!H491</f>
        <v>0</v>
      </c>
      <c r="I491" s="125">
        <f>'ALL Other SINs - Proposal'!I491</f>
        <v>0</v>
      </c>
      <c r="J491" s="125">
        <f>'ALL Other SINs - Proposal'!J491</f>
        <v>0</v>
      </c>
      <c r="K491" s="125">
        <f>'ALL Other SINs - Proposal'!K491</f>
        <v>0</v>
      </c>
      <c r="L491" s="125">
        <f>'ALL Other SINs - Proposal'!L491</f>
        <v>0</v>
      </c>
      <c r="M491" s="206">
        <f>'ALL Other SINs - Proposal'!M491</f>
        <v>0</v>
      </c>
      <c r="N491" s="251">
        <f>'ALL Other SINs - Proposal'!V491</f>
        <v>0</v>
      </c>
      <c r="O491" s="201" t="str">
        <f>'Price Analysis'!N491</f>
        <v xml:space="preserve"> </v>
      </c>
      <c r="P491" s="53" t="str">
        <f>IF(ISBLANK('ALL Other SINs - Proposal'!AA491)," ",'ALL Other SINs - Proposal'!AA491)</f>
        <v xml:space="preserve"> </v>
      </c>
      <c r="Q491" s="95" t="str">
        <f>'ALL Other SINs - Proposal'!AC491</f>
        <v xml:space="preserve"> </v>
      </c>
      <c r="R491" s="100" t="str">
        <f>IF(ISBLANK('ALL Other SINs - Proposal'!AA491)," ",ROUND(Q491,2))</f>
        <v xml:space="preserve"> </v>
      </c>
      <c r="S491" s="54"/>
    </row>
    <row r="492" spans="1:19" ht="20.100000000000001" customHeight="1" x14ac:dyDescent="0.2">
      <c r="A492" s="127">
        <f>'ALL Other SINs - Proposal'!A492</f>
        <v>0</v>
      </c>
      <c r="B492" s="121">
        <f>'ALL Other SINs - Proposal'!B492</f>
        <v>0</v>
      </c>
      <c r="C492" s="121">
        <f>'ALL Other SINs - Proposal'!C492</f>
        <v>0</v>
      </c>
      <c r="D492" s="121">
        <f>'ALL Other SINs - Proposal'!D492</f>
        <v>0</v>
      </c>
      <c r="E492" s="121">
        <f>'ALL Other SINs - Proposal'!E492</f>
        <v>0</v>
      </c>
      <c r="F492" s="171">
        <f>'ALL Other SINs - Proposal'!F492</f>
        <v>0</v>
      </c>
      <c r="G492" s="51">
        <f>'ALL Other SINs - Proposal'!G492</f>
        <v>0</v>
      </c>
      <c r="H492" s="125">
        <f>'ALL Other SINs - Proposal'!H492</f>
        <v>0</v>
      </c>
      <c r="I492" s="125">
        <f>'ALL Other SINs - Proposal'!I492</f>
        <v>0</v>
      </c>
      <c r="J492" s="125">
        <f>'ALL Other SINs - Proposal'!J492</f>
        <v>0</v>
      </c>
      <c r="K492" s="125">
        <f>'ALL Other SINs - Proposal'!K492</f>
        <v>0</v>
      </c>
      <c r="L492" s="125">
        <f>'ALL Other SINs - Proposal'!L492</f>
        <v>0</v>
      </c>
      <c r="M492" s="206">
        <f>'ALL Other SINs - Proposal'!M492</f>
        <v>0</v>
      </c>
      <c r="N492" s="251">
        <f>'ALL Other SINs - Proposal'!V492</f>
        <v>0</v>
      </c>
      <c r="O492" s="201" t="str">
        <f>'Price Analysis'!N492</f>
        <v xml:space="preserve"> </v>
      </c>
      <c r="P492" s="53" t="str">
        <f>IF(ISBLANK('ALL Other SINs - Proposal'!AA492)," ",'ALL Other SINs - Proposal'!AA492)</f>
        <v xml:space="preserve"> </v>
      </c>
      <c r="Q492" s="95" t="str">
        <f>'ALL Other SINs - Proposal'!AC492</f>
        <v xml:space="preserve"> </v>
      </c>
      <c r="R492" s="100" t="str">
        <f>IF(ISBLANK('ALL Other SINs - Proposal'!AA492)," ",ROUND(Q492,2))</f>
        <v xml:space="preserve"> </v>
      </c>
      <c r="S492" s="54"/>
    </row>
    <row r="493" spans="1:19" ht="20.100000000000001" customHeight="1" x14ac:dyDescent="0.2">
      <c r="A493" s="127">
        <f>'ALL Other SINs - Proposal'!A493</f>
        <v>0</v>
      </c>
      <c r="B493" s="121">
        <f>'ALL Other SINs - Proposal'!B493</f>
        <v>0</v>
      </c>
      <c r="C493" s="121">
        <f>'ALL Other SINs - Proposal'!C493</f>
        <v>0</v>
      </c>
      <c r="D493" s="121">
        <f>'ALL Other SINs - Proposal'!D493</f>
        <v>0</v>
      </c>
      <c r="E493" s="121">
        <f>'ALL Other SINs - Proposal'!E493</f>
        <v>0</v>
      </c>
      <c r="F493" s="171">
        <f>'ALL Other SINs - Proposal'!F493</f>
        <v>0</v>
      </c>
      <c r="G493" s="51">
        <f>'ALL Other SINs - Proposal'!G493</f>
        <v>0</v>
      </c>
      <c r="H493" s="125">
        <f>'ALL Other SINs - Proposal'!H493</f>
        <v>0</v>
      </c>
      <c r="I493" s="125">
        <f>'ALL Other SINs - Proposal'!I493</f>
        <v>0</v>
      </c>
      <c r="J493" s="125">
        <f>'ALL Other SINs - Proposal'!J493</f>
        <v>0</v>
      </c>
      <c r="K493" s="125">
        <f>'ALL Other SINs - Proposal'!K493</f>
        <v>0</v>
      </c>
      <c r="L493" s="125">
        <f>'ALL Other SINs - Proposal'!L493</f>
        <v>0</v>
      </c>
      <c r="M493" s="206">
        <f>'ALL Other SINs - Proposal'!M493</f>
        <v>0</v>
      </c>
      <c r="N493" s="251">
        <f>'ALL Other SINs - Proposal'!V493</f>
        <v>0</v>
      </c>
      <c r="O493" s="201" t="str">
        <f>'Price Analysis'!N493</f>
        <v xml:space="preserve"> </v>
      </c>
      <c r="P493" s="53" t="str">
        <f>IF(ISBLANK('ALL Other SINs - Proposal'!AA493)," ",'ALL Other SINs - Proposal'!AA493)</f>
        <v xml:space="preserve"> </v>
      </c>
      <c r="Q493" s="95" t="str">
        <f>'ALL Other SINs - Proposal'!AC493</f>
        <v xml:space="preserve"> </v>
      </c>
      <c r="R493" s="100" t="str">
        <f>IF(ISBLANK('ALL Other SINs - Proposal'!AA493)," ",ROUND(Q493,2))</f>
        <v xml:space="preserve"> </v>
      </c>
      <c r="S493" s="54"/>
    </row>
    <row r="494" spans="1:19" ht="20.100000000000001" customHeight="1" x14ac:dyDescent="0.2">
      <c r="A494" s="127">
        <f>'ALL Other SINs - Proposal'!A494</f>
        <v>0</v>
      </c>
      <c r="B494" s="121">
        <f>'ALL Other SINs - Proposal'!B494</f>
        <v>0</v>
      </c>
      <c r="C494" s="121">
        <f>'ALL Other SINs - Proposal'!C494</f>
        <v>0</v>
      </c>
      <c r="D494" s="121">
        <f>'ALL Other SINs - Proposal'!D494</f>
        <v>0</v>
      </c>
      <c r="E494" s="121">
        <f>'ALL Other SINs - Proposal'!E494</f>
        <v>0</v>
      </c>
      <c r="F494" s="171">
        <f>'ALL Other SINs - Proposal'!F494</f>
        <v>0</v>
      </c>
      <c r="G494" s="51">
        <f>'ALL Other SINs - Proposal'!G494</f>
        <v>0</v>
      </c>
      <c r="H494" s="125">
        <f>'ALL Other SINs - Proposal'!H494</f>
        <v>0</v>
      </c>
      <c r="I494" s="125">
        <f>'ALL Other SINs - Proposal'!I494</f>
        <v>0</v>
      </c>
      <c r="J494" s="125">
        <f>'ALL Other SINs - Proposal'!J494</f>
        <v>0</v>
      </c>
      <c r="K494" s="125">
        <f>'ALL Other SINs - Proposal'!K494</f>
        <v>0</v>
      </c>
      <c r="L494" s="125">
        <f>'ALL Other SINs - Proposal'!L494</f>
        <v>0</v>
      </c>
      <c r="M494" s="206">
        <f>'ALL Other SINs - Proposal'!M494</f>
        <v>0</v>
      </c>
      <c r="N494" s="251">
        <f>'ALL Other SINs - Proposal'!V494</f>
        <v>0</v>
      </c>
      <c r="O494" s="201" t="str">
        <f>'Price Analysis'!N494</f>
        <v xml:space="preserve"> </v>
      </c>
      <c r="P494" s="53" t="str">
        <f>IF(ISBLANK('ALL Other SINs - Proposal'!AA494)," ",'ALL Other SINs - Proposal'!AA494)</f>
        <v xml:space="preserve"> </v>
      </c>
      <c r="Q494" s="95" t="str">
        <f>'ALL Other SINs - Proposal'!AC494</f>
        <v xml:space="preserve"> </v>
      </c>
      <c r="R494" s="100" t="str">
        <f>IF(ISBLANK('ALL Other SINs - Proposal'!AA494)," ",ROUND(Q494,2))</f>
        <v xml:space="preserve"> </v>
      </c>
      <c r="S494" s="54"/>
    </row>
    <row r="495" spans="1:19" ht="20.100000000000001" customHeight="1" x14ac:dyDescent="0.2">
      <c r="A495" s="127">
        <f>'ALL Other SINs - Proposal'!A495</f>
        <v>0</v>
      </c>
      <c r="B495" s="121">
        <f>'ALL Other SINs - Proposal'!B495</f>
        <v>0</v>
      </c>
      <c r="C495" s="121">
        <f>'ALL Other SINs - Proposal'!C495</f>
        <v>0</v>
      </c>
      <c r="D495" s="121">
        <f>'ALL Other SINs - Proposal'!D495</f>
        <v>0</v>
      </c>
      <c r="E495" s="121">
        <f>'ALL Other SINs - Proposal'!E495</f>
        <v>0</v>
      </c>
      <c r="F495" s="171">
        <f>'ALL Other SINs - Proposal'!F495</f>
        <v>0</v>
      </c>
      <c r="G495" s="51">
        <f>'ALL Other SINs - Proposal'!G495</f>
        <v>0</v>
      </c>
      <c r="H495" s="125">
        <f>'ALL Other SINs - Proposal'!H495</f>
        <v>0</v>
      </c>
      <c r="I495" s="125">
        <f>'ALL Other SINs - Proposal'!I495</f>
        <v>0</v>
      </c>
      <c r="J495" s="125">
        <f>'ALL Other SINs - Proposal'!J495</f>
        <v>0</v>
      </c>
      <c r="K495" s="125">
        <f>'ALL Other SINs - Proposal'!K495</f>
        <v>0</v>
      </c>
      <c r="L495" s="125">
        <f>'ALL Other SINs - Proposal'!L495</f>
        <v>0</v>
      </c>
      <c r="M495" s="206">
        <f>'ALL Other SINs - Proposal'!M495</f>
        <v>0</v>
      </c>
      <c r="N495" s="251">
        <f>'ALL Other SINs - Proposal'!V495</f>
        <v>0</v>
      </c>
      <c r="O495" s="201" t="str">
        <f>'Price Analysis'!N495</f>
        <v xml:space="preserve"> </v>
      </c>
      <c r="P495" s="53" t="str">
        <f>IF(ISBLANK('ALL Other SINs - Proposal'!AA495)," ",'ALL Other SINs - Proposal'!AA495)</f>
        <v xml:space="preserve"> </v>
      </c>
      <c r="Q495" s="95" t="str">
        <f>'ALL Other SINs - Proposal'!AC495</f>
        <v xml:space="preserve"> </v>
      </c>
      <c r="R495" s="100" t="str">
        <f>IF(ISBLANK('ALL Other SINs - Proposal'!AA495)," ",ROUND(Q495,2))</f>
        <v xml:space="preserve"> </v>
      </c>
      <c r="S495" s="54"/>
    </row>
    <row r="496" spans="1:19" ht="20.100000000000001" customHeight="1" x14ac:dyDescent="0.2">
      <c r="A496" s="127">
        <f>'ALL Other SINs - Proposal'!A496</f>
        <v>0</v>
      </c>
      <c r="B496" s="121">
        <f>'ALL Other SINs - Proposal'!B496</f>
        <v>0</v>
      </c>
      <c r="C496" s="121">
        <f>'ALL Other SINs - Proposal'!C496</f>
        <v>0</v>
      </c>
      <c r="D496" s="121">
        <f>'ALL Other SINs - Proposal'!D496</f>
        <v>0</v>
      </c>
      <c r="E496" s="121">
        <f>'ALL Other SINs - Proposal'!E496</f>
        <v>0</v>
      </c>
      <c r="F496" s="171">
        <f>'ALL Other SINs - Proposal'!F496</f>
        <v>0</v>
      </c>
      <c r="G496" s="51">
        <f>'ALL Other SINs - Proposal'!G496</f>
        <v>0</v>
      </c>
      <c r="H496" s="125">
        <f>'ALL Other SINs - Proposal'!H496</f>
        <v>0</v>
      </c>
      <c r="I496" s="125">
        <f>'ALL Other SINs - Proposal'!I496</f>
        <v>0</v>
      </c>
      <c r="J496" s="125">
        <f>'ALL Other SINs - Proposal'!J496</f>
        <v>0</v>
      </c>
      <c r="K496" s="125">
        <f>'ALL Other SINs - Proposal'!K496</f>
        <v>0</v>
      </c>
      <c r="L496" s="125">
        <f>'ALL Other SINs - Proposal'!L496</f>
        <v>0</v>
      </c>
      <c r="M496" s="206">
        <f>'ALL Other SINs - Proposal'!M496</f>
        <v>0</v>
      </c>
      <c r="N496" s="251">
        <f>'ALL Other SINs - Proposal'!V496</f>
        <v>0</v>
      </c>
      <c r="O496" s="201" t="str">
        <f>'Price Analysis'!N496</f>
        <v xml:space="preserve"> </v>
      </c>
      <c r="P496" s="53" t="str">
        <f>IF(ISBLANK('ALL Other SINs - Proposal'!AA496)," ",'ALL Other SINs - Proposal'!AA496)</f>
        <v xml:space="preserve"> </v>
      </c>
      <c r="Q496" s="95" t="str">
        <f>'ALL Other SINs - Proposal'!AC496</f>
        <v xml:space="preserve"> </v>
      </c>
      <c r="R496" s="100" t="str">
        <f>IF(ISBLANK('ALL Other SINs - Proposal'!AA496)," ",ROUND(Q496,2))</f>
        <v xml:space="preserve"> </v>
      </c>
      <c r="S496" s="54"/>
    </row>
    <row r="497" spans="1:19" ht="20.100000000000001" customHeight="1" x14ac:dyDescent="0.2">
      <c r="A497" s="127">
        <f>'ALL Other SINs - Proposal'!A497</f>
        <v>0</v>
      </c>
      <c r="B497" s="121">
        <f>'ALL Other SINs - Proposal'!B497</f>
        <v>0</v>
      </c>
      <c r="C497" s="121">
        <f>'ALL Other SINs - Proposal'!C497</f>
        <v>0</v>
      </c>
      <c r="D497" s="121">
        <f>'ALL Other SINs - Proposal'!D497</f>
        <v>0</v>
      </c>
      <c r="E497" s="121">
        <f>'ALL Other SINs - Proposal'!E497</f>
        <v>0</v>
      </c>
      <c r="F497" s="171">
        <f>'ALL Other SINs - Proposal'!F497</f>
        <v>0</v>
      </c>
      <c r="G497" s="51">
        <f>'ALL Other SINs - Proposal'!G497</f>
        <v>0</v>
      </c>
      <c r="H497" s="125">
        <f>'ALL Other SINs - Proposal'!H497</f>
        <v>0</v>
      </c>
      <c r="I497" s="125">
        <f>'ALL Other SINs - Proposal'!I497</f>
        <v>0</v>
      </c>
      <c r="J497" s="125">
        <f>'ALL Other SINs - Proposal'!J497</f>
        <v>0</v>
      </c>
      <c r="K497" s="125">
        <f>'ALL Other SINs - Proposal'!K497</f>
        <v>0</v>
      </c>
      <c r="L497" s="125">
        <f>'ALL Other SINs - Proposal'!L497</f>
        <v>0</v>
      </c>
      <c r="M497" s="206">
        <f>'ALL Other SINs - Proposal'!M497</f>
        <v>0</v>
      </c>
      <c r="N497" s="251">
        <f>'ALL Other SINs - Proposal'!V497</f>
        <v>0</v>
      </c>
      <c r="O497" s="201" t="str">
        <f>'Price Analysis'!N497</f>
        <v xml:space="preserve"> </v>
      </c>
      <c r="P497" s="53" t="str">
        <f>IF(ISBLANK('ALL Other SINs - Proposal'!AA497)," ",'ALL Other SINs - Proposal'!AA497)</f>
        <v xml:space="preserve"> </v>
      </c>
      <c r="Q497" s="95" t="str">
        <f>'ALL Other SINs - Proposal'!AC497</f>
        <v xml:space="preserve"> </v>
      </c>
      <c r="R497" s="100" t="str">
        <f>IF(ISBLANK('ALL Other SINs - Proposal'!AA497)," ",ROUND(Q497,2))</f>
        <v xml:space="preserve"> </v>
      </c>
      <c r="S497" s="54"/>
    </row>
    <row r="498" spans="1:19" ht="20.100000000000001" customHeight="1" x14ac:dyDescent="0.2">
      <c r="A498" s="127">
        <f>'ALL Other SINs - Proposal'!A498</f>
        <v>0</v>
      </c>
      <c r="B498" s="121">
        <f>'ALL Other SINs - Proposal'!B498</f>
        <v>0</v>
      </c>
      <c r="C498" s="121">
        <f>'ALL Other SINs - Proposal'!C498</f>
        <v>0</v>
      </c>
      <c r="D498" s="121">
        <f>'ALL Other SINs - Proposal'!D498</f>
        <v>0</v>
      </c>
      <c r="E498" s="121">
        <f>'ALL Other SINs - Proposal'!E498</f>
        <v>0</v>
      </c>
      <c r="F498" s="171">
        <f>'ALL Other SINs - Proposal'!F498</f>
        <v>0</v>
      </c>
      <c r="G498" s="51">
        <f>'ALL Other SINs - Proposal'!G498</f>
        <v>0</v>
      </c>
      <c r="H498" s="125">
        <f>'ALL Other SINs - Proposal'!H498</f>
        <v>0</v>
      </c>
      <c r="I498" s="125">
        <f>'ALL Other SINs - Proposal'!I498</f>
        <v>0</v>
      </c>
      <c r="J498" s="125">
        <f>'ALL Other SINs - Proposal'!J498</f>
        <v>0</v>
      </c>
      <c r="K498" s="125">
        <f>'ALL Other SINs - Proposal'!K498</f>
        <v>0</v>
      </c>
      <c r="L498" s="125">
        <f>'ALL Other SINs - Proposal'!L498</f>
        <v>0</v>
      </c>
      <c r="M498" s="206">
        <f>'ALL Other SINs - Proposal'!M498</f>
        <v>0</v>
      </c>
      <c r="N498" s="251">
        <f>'ALL Other SINs - Proposal'!V498</f>
        <v>0</v>
      </c>
      <c r="O498" s="201" t="str">
        <f>'Price Analysis'!N498</f>
        <v xml:space="preserve"> </v>
      </c>
      <c r="P498" s="53" t="str">
        <f>IF(ISBLANK('ALL Other SINs - Proposal'!AA498)," ",'ALL Other SINs - Proposal'!AA498)</f>
        <v xml:space="preserve"> </v>
      </c>
      <c r="Q498" s="95" t="str">
        <f>'ALL Other SINs - Proposal'!AC498</f>
        <v xml:space="preserve"> </v>
      </c>
      <c r="R498" s="100" t="str">
        <f>IF(ISBLANK('ALL Other SINs - Proposal'!AA498)," ",ROUND(Q498,2))</f>
        <v xml:space="preserve"> </v>
      </c>
      <c r="S498" s="54"/>
    </row>
    <row r="499" spans="1:19" ht="20.100000000000001" customHeight="1" x14ac:dyDescent="0.2">
      <c r="A499" s="127">
        <f>'ALL Other SINs - Proposal'!A499</f>
        <v>0</v>
      </c>
      <c r="B499" s="121">
        <f>'ALL Other SINs - Proposal'!B499</f>
        <v>0</v>
      </c>
      <c r="C499" s="121">
        <f>'ALL Other SINs - Proposal'!C499</f>
        <v>0</v>
      </c>
      <c r="D499" s="121">
        <f>'ALL Other SINs - Proposal'!D499</f>
        <v>0</v>
      </c>
      <c r="E499" s="121">
        <f>'ALL Other SINs - Proposal'!E499</f>
        <v>0</v>
      </c>
      <c r="F499" s="171">
        <f>'ALL Other SINs - Proposal'!F499</f>
        <v>0</v>
      </c>
      <c r="G499" s="51">
        <f>'ALL Other SINs - Proposal'!G499</f>
        <v>0</v>
      </c>
      <c r="H499" s="125">
        <f>'ALL Other SINs - Proposal'!H499</f>
        <v>0</v>
      </c>
      <c r="I499" s="125">
        <f>'ALL Other SINs - Proposal'!I499</f>
        <v>0</v>
      </c>
      <c r="J499" s="125">
        <f>'ALL Other SINs - Proposal'!J499</f>
        <v>0</v>
      </c>
      <c r="K499" s="125">
        <f>'ALL Other SINs - Proposal'!K499</f>
        <v>0</v>
      </c>
      <c r="L499" s="125">
        <f>'ALL Other SINs - Proposal'!L499</f>
        <v>0</v>
      </c>
      <c r="M499" s="206">
        <f>'ALL Other SINs - Proposal'!M499</f>
        <v>0</v>
      </c>
      <c r="N499" s="251">
        <f>'ALL Other SINs - Proposal'!V499</f>
        <v>0</v>
      </c>
      <c r="O499" s="201" t="str">
        <f>'Price Analysis'!N499</f>
        <v xml:space="preserve"> </v>
      </c>
      <c r="P499" s="53" t="str">
        <f>IF(ISBLANK('ALL Other SINs - Proposal'!AA499)," ",'ALL Other SINs - Proposal'!AA499)</f>
        <v xml:space="preserve"> </v>
      </c>
      <c r="Q499" s="95" t="str">
        <f>'ALL Other SINs - Proposal'!AC499</f>
        <v xml:space="preserve"> </v>
      </c>
      <c r="R499" s="100" t="str">
        <f>IF(ISBLANK('ALL Other SINs - Proposal'!AA499)," ",ROUND(Q499,2))</f>
        <v xml:space="preserve"> </v>
      </c>
      <c r="S499" s="54"/>
    </row>
    <row r="500" spans="1:19" ht="20.100000000000001" customHeight="1" x14ac:dyDescent="0.2">
      <c r="A500" s="127">
        <f>'ALL Other SINs - Proposal'!A500</f>
        <v>0</v>
      </c>
      <c r="B500" s="121">
        <f>'ALL Other SINs - Proposal'!B500</f>
        <v>0</v>
      </c>
      <c r="C500" s="121">
        <f>'ALL Other SINs - Proposal'!C500</f>
        <v>0</v>
      </c>
      <c r="D500" s="121">
        <f>'ALL Other SINs - Proposal'!D500</f>
        <v>0</v>
      </c>
      <c r="E500" s="121">
        <f>'ALL Other SINs - Proposal'!E500</f>
        <v>0</v>
      </c>
      <c r="F500" s="171">
        <f>'ALL Other SINs - Proposal'!F500</f>
        <v>0</v>
      </c>
      <c r="G500" s="51">
        <f>'ALL Other SINs - Proposal'!G500</f>
        <v>0</v>
      </c>
      <c r="H500" s="125">
        <f>'ALL Other SINs - Proposal'!H500</f>
        <v>0</v>
      </c>
      <c r="I500" s="125">
        <f>'ALL Other SINs - Proposal'!I500</f>
        <v>0</v>
      </c>
      <c r="J500" s="125">
        <f>'ALL Other SINs - Proposal'!J500</f>
        <v>0</v>
      </c>
      <c r="K500" s="125">
        <f>'ALL Other SINs - Proposal'!K500</f>
        <v>0</v>
      </c>
      <c r="L500" s="125">
        <f>'ALL Other SINs - Proposal'!L500</f>
        <v>0</v>
      </c>
      <c r="M500" s="206">
        <f>'ALL Other SINs - Proposal'!M500</f>
        <v>0</v>
      </c>
      <c r="N500" s="251">
        <f>'ALL Other SINs - Proposal'!V500</f>
        <v>0</v>
      </c>
      <c r="O500" s="201" t="str">
        <f>'Price Analysis'!N500</f>
        <v xml:space="preserve"> </v>
      </c>
      <c r="P500" s="53" t="str">
        <f>IF(ISBLANK('ALL Other SINs - Proposal'!AA500)," ",'ALL Other SINs - Proposal'!AA500)</f>
        <v xml:space="preserve"> </v>
      </c>
      <c r="Q500" s="95" t="str">
        <f>'ALL Other SINs - Proposal'!AC500</f>
        <v xml:space="preserve"> </v>
      </c>
      <c r="R500" s="100" t="str">
        <f>IF(ISBLANK('ALL Other SINs - Proposal'!AA500)," ",ROUND(Q500,2))</f>
        <v xml:space="preserve"> </v>
      </c>
      <c r="S500" s="54"/>
    </row>
    <row r="501" spans="1:19" ht="20.100000000000001" customHeight="1" x14ac:dyDescent="0.2">
      <c r="A501" s="127">
        <f>'ALL Other SINs - Proposal'!A501</f>
        <v>0</v>
      </c>
      <c r="B501" s="121">
        <f>'ALL Other SINs - Proposal'!B501</f>
        <v>0</v>
      </c>
      <c r="C501" s="121">
        <f>'ALL Other SINs - Proposal'!C501</f>
        <v>0</v>
      </c>
      <c r="D501" s="121">
        <f>'ALL Other SINs - Proposal'!D501</f>
        <v>0</v>
      </c>
      <c r="E501" s="121">
        <f>'ALL Other SINs - Proposal'!E501</f>
        <v>0</v>
      </c>
      <c r="F501" s="171">
        <f>'ALL Other SINs - Proposal'!F501</f>
        <v>0</v>
      </c>
      <c r="G501" s="51">
        <f>'ALL Other SINs - Proposal'!G501</f>
        <v>0</v>
      </c>
      <c r="H501" s="125">
        <f>'ALL Other SINs - Proposal'!H501</f>
        <v>0</v>
      </c>
      <c r="I501" s="125">
        <f>'ALL Other SINs - Proposal'!I501</f>
        <v>0</v>
      </c>
      <c r="J501" s="125">
        <f>'ALL Other SINs - Proposal'!J501</f>
        <v>0</v>
      </c>
      <c r="K501" s="125">
        <f>'ALL Other SINs - Proposal'!K501</f>
        <v>0</v>
      </c>
      <c r="L501" s="125">
        <f>'ALL Other SINs - Proposal'!L501</f>
        <v>0</v>
      </c>
      <c r="M501" s="206">
        <f>'ALL Other SINs - Proposal'!M501</f>
        <v>0</v>
      </c>
      <c r="N501" s="251">
        <f>'ALL Other SINs - Proposal'!V501</f>
        <v>0</v>
      </c>
      <c r="O501" s="201" t="str">
        <f>'Price Analysis'!N501</f>
        <v xml:space="preserve"> </v>
      </c>
      <c r="P501" s="53" t="str">
        <f>IF(ISBLANK('ALL Other SINs - Proposal'!AA501)," ",'ALL Other SINs - Proposal'!AA501)</f>
        <v xml:space="preserve"> </v>
      </c>
      <c r="Q501" s="95" t="str">
        <f>'ALL Other SINs - Proposal'!AC501</f>
        <v xml:space="preserve"> </v>
      </c>
      <c r="R501" s="100" t="str">
        <f>IF(ISBLANK('ALL Other SINs - Proposal'!AA501)," ",ROUND(Q501,2))</f>
        <v xml:space="preserve"> </v>
      </c>
      <c r="S501" s="54"/>
    </row>
    <row r="502" spans="1:19" ht="20.100000000000001" customHeight="1" x14ac:dyDescent="0.2">
      <c r="A502" s="127">
        <f>'ALL Other SINs - Proposal'!A502</f>
        <v>0</v>
      </c>
      <c r="B502" s="121">
        <f>'ALL Other SINs - Proposal'!B502</f>
        <v>0</v>
      </c>
      <c r="C502" s="121">
        <f>'ALL Other SINs - Proposal'!C502</f>
        <v>0</v>
      </c>
      <c r="D502" s="121">
        <f>'ALL Other SINs - Proposal'!D502</f>
        <v>0</v>
      </c>
      <c r="E502" s="121">
        <f>'ALL Other SINs - Proposal'!E502</f>
        <v>0</v>
      </c>
      <c r="F502" s="171">
        <f>'ALL Other SINs - Proposal'!F502</f>
        <v>0</v>
      </c>
      <c r="G502" s="51">
        <f>'ALL Other SINs - Proposal'!G502</f>
        <v>0</v>
      </c>
      <c r="H502" s="125">
        <f>'ALL Other SINs - Proposal'!H502</f>
        <v>0</v>
      </c>
      <c r="I502" s="125">
        <f>'ALL Other SINs - Proposal'!I502</f>
        <v>0</v>
      </c>
      <c r="J502" s="125">
        <f>'ALL Other SINs - Proposal'!J502</f>
        <v>0</v>
      </c>
      <c r="K502" s="125">
        <f>'ALL Other SINs - Proposal'!K502</f>
        <v>0</v>
      </c>
      <c r="L502" s="125">
        <f>'ALL Other SINs - Proposal'!L502</f>
        <v>0</v>
      </c>
      <c r="M502" s="206">
        <f>'ALL Other SINs - Proposal'!M502</f>
        <v>0</v>
      </c>
      <c r="N502" s="251">
        <f>'ALL Other SINs - Proposal'!V502</f>
        <v>0</v>
      </c>
      <c r="O502" s="201" t="str">
        <f>'Price Analysis'!N502</f>
        <v xml:space="preserve"> </v>
      </c>
      <c r="P502" s="53" t="str">
        <f>IF(ISBLANK('ALL Other SINs - Proposal'!AA502)," ",'ALL Other SINs - Proposal'!AA502)</f>
        <v xml:space="preserve"> </v>
      </c>
      <c r="Q502" s="95" t="str">
        <f>'ALL Other SINs - Proposal'!AC502</f>
        <v xml:space="preserve"> </v>
      </c>
      <c r="R502" s="100" t="str">
        <f>IF(ISBLANK('ALL Other SINs - Proposal'!AA502)," ",ROUND(Q502,2))</f>
        <v xml:space="preserve"> </v>
      </c>
      <c r="S502" s="54"/>
    </row>
    <row r="503" spans="1:19" ht="20.100000000000001" customHeight="1" x14ac:dyDescent="0.2">
      <c r="A503" s="127">
        <f>'ALL Other SINs - Proposal'!A503</f>
        <v>0</v>
      </c>
      <c r="B503" s="121">
        <f>'ALL Other SINs - Proposal'!B503</f>
        <v>0</v>
      </c>
      <c r="C503" s="121">
        <f>'ALL Other SINs - Proposal'!C503</f>
        <v>0</v>
      </c>
      <c r="D503" s="121">
        <f>'ALL Other SINs - Proposal'!D503</f>
        <v>0</v>
      </c>
      <c r="E503" s="121">
        <f>'ALL Other SINs - Proposal'!E503</f>
        <v>0</v>
      </c>
      <c r="F503" s="171">
        <f>'ALL Other SINs - Proposal'!F503</f>
        <v>0</v>
      </c>
      <c r="G503" s="51">
        <f>'ALL Other SINs - Proposal'!G503</f>
        <v>0</v>
      </c>
      <c r="H503" s="125">
        <f>'ALL Other SINs - Proposal'!H503</f>
        <v>0</v>
      </c>
      <c r="I503" s="125">
        <f>'ALL Other SINs - Proposal'!I503</f>
        <v>0</v>
      </c>
      <c r="J503" s="125">
        <f>'ALL Other SINs - Proposal'!J503</f>
        <v>0</v>
      </c>
      <c r="K503" s="125">
        <f>'ALL Other SINs - Proposal'!K503</f>
        <v>0</v>
      </c>
      <c r="L503" s="125">
        <f>'ALL Other SINs - Proposal'!L503</f>
        <v>0</v>
      </c>
      <c r="M503" s="206">
        <f>'ALL Other SINs - Proposal'!M503</f>
        <v>0</v>
      </c>
      <c r="N503" s="251">
        <f>'ALL Other SINs - Proposal'!V503</f>
        <v>0</v>
      </c>
      <c r="O503" s="201" t="str">
        <f>'Price Analysis'!N503</f>
        <v xml:space="preserve"> </v>
      </c>
      <c r="P503" s="53" t="str">
        <f>IF(ISBLANK('ALL Other SINs - Proposal'!AA503)," ",'ALL Other SINs - Proposal'!AA503)</f>
        <v xml:space="preserve"> </v>
      </c>
      <c r="Q503" s="95" t="str">
        <f>'ALL Other SINs - Proposal'!AC503</f>
        <v xml:space="preserve"> </v>
      </c>
      <c r="R503" s="100" t="str">
        <f>IF(ISBLANK('ALL Other SINs - Proposal'!AA503)," ",ROUND(Q503,2))</f>
        <v xml:space="preserve"> </v>
      </c>
      <c r="S503" s="54"/>
    </row>
    <row r="504" spans="1:19" ht="20.100000000000001" customHeight="1" x14ac:dyDescent="0.2">
      <c r="A504" s="127">
        <f>'ALL Other SINs - Proposal'!A504</f>
        <v>0</v>
      </c>
      <c r="B504" s="121">
        <f>'ALL Other SINs - Proposal'!B504</f>
        <v>0</v>
      </c>
      <c r="C504" s="121">
        <f>'ALL Other SINs - Proposal'!C504</f>
        <v>0</v>
      </c>
      <c r="D504" s="121">
        <f>'ALL Other SINs - Proposal'!D504</f>
        <v>0</v>
      </c>
      <c r="E504" s="121">
        <f>'ALL Other SINs - Proposal'!E504</f>
        <v>0</v>
      </c>
      <c r="F504" s="171">
        <f>'ALL Other SINs - Proposal'!F504</f>
        <v>0</v>
      </c>
      <c r="G504" s="51">
        <f>'ALL Other SINs - Proposal'!G504</f>
        <v>0</v>
      </c>
      <c r="H504" s="125">
        <f>'ALL Other SINs - Proposal'!H504</f>
        <v>0</v>
      </c>
      <c r="I504" s="125">
        <f>'ALL Other SINs - Proposal'!I504</f>
        <v>0</v>
      </c>
      <c r="J504" s="125">
        <f>'ALL Other SINs - Proposal'!J504</f>
        <v>0</v>
      </c>
      <c r="K504" s="125">
        <f>'ALL Other SINs - Proposal'!K504</f>
        <v>0</v>
      </c>
      <c r="L504" s="125">
        <f>'ALL Other SINs - Proposal'!L504</f>
        <v>0</v>
      </c>
      <c r="M504" s="206">
        <f>'ALL Other SINs - Proposal'!M504</f>
        <v>0</v>
      </c>
      <c r="N504" s="251">
        <f>'ALL Other SINs - Proposal'!V504</f>
        <v>0</v>
      </c>
      <c r="O504" s="201" t="str">
        <f>'Price Analysis'!N504</f>
        <v xml:space="preserve"> </v>
      </c>
      <c r="P504" s="53" t="str">
        <f>IF(ISBLANK('ALL Other SINs - Proposal'!AA504)," ",'ALL Other SINs - Proposal'!AA504)</f>
        <v xml:space="preserve"> </v>
      </c>
      <c r="Q504" s="95" t="str">
        <f>'ALL Other SINs - Proposal'!AC504</f>
        <v xml:space="preserve"> </v>
      </c>
      <c r="R504" s="100" t="str">
        <f>IF(ISBLANK('ALL Other SINs - Proposal'!AA504)," ",ROUND(Q504,2))</f>
        <v xml:space="preserve"> </v>
      </c>
      <c r="S504" s="54"/>
    </row>
    <row r="505" spans="1:19" ht="20.100000000000001" customHeight="1" x14ac:dyDescent="0.2">
      <c r="A505" s="127">
        <f>'ALL Other SINs - Proposal'!A505</f>
        <v>0</v>
      </c>
      <c r="B505" s="121">
        <f>'ALL Other SINs - Proposal'!B505</f>
        <v>0</v>
      </c>
      <c r="C505" s="121">
        <f>'ALL Other SINs - Proposal'!C505</f>
        <v>0</v>
      </c>
      <c r="D505" s="121">
        <f>'ALL Other SINs - Proposal'!D505</f>
        <v>0</v>
      </c>
      <c r="E505" s="121">
        <f>'ALL Other SINs - Proposal'!E505</f>
        <v>0</v>
      </c>
      <c r="F505" s="171">
        <f>'ALL Other SINs - Proposal'!F505</f>
        <v>0</v>
      </c>
      <c r="G505" s="51">
        <f>'ALL Other SINs - Proposal'!G505</f>
        <v>0</v>
      </c>
      <c r="H505" s="125">
        <f>'ALL Other SINs - Proposal'!H505</f>
        <v>0</v>
      </c>
      <c r="I505" s="125">
        <f>'ALL Other SINs - Proposal'!I505</f>
        <v>0</v>
      </c>
      <c r="J505" s="125">
        <f>'ALL Other SINs - Proposal'!J505</f>
        <v>0</v>
      </c>
      <c r="K505" s="125">
        <f>'ALL Other SINs - Proposal'!K505</f>
        <v>0</v>
      </c>
      <c r="L505" s="125">
        <f>'ALL Other SINs - Proposal'!L505</f>
        <v>0</v>
      </c>
      <c r="M505" s="206">
        <f>'ALL Other SINs - Proposal'!M505</f>
        <v>0</v>
      </c>
      <c r="N505" s="251">
        <f>'ALL Other SINs - Proposal'!V505</f>
        <v>0</v>
      </c>
      <c r="O505" s="201" t="str">
        <f>'Price Analysis'!N505</f>
        <v xml:space="preserve"> </v>
      </c>
      <c r="P505" s="53" t="str">
        <f>IF(ISBLANK('ALL Other SINs - Proposal'!AA505)," ",'ALL Other SINs - Proposal'!AA505)</f>
        <v xml:space="preserve"> </v>
      </c>
      <c r="Q505" s="95" t="str">
        <f>'ALL Other SINs - Proposal'!AC505</f>
        <v xml:space="preserve"> </v>
      </c>
      <c r="R505" s="100" t="str">
        <f>IF(ISBLANK('ALL Other SINs - Proposal'!AA505)," ",ROUND(Q505,2))</f>
        <v xml:space="preserve"> </v>
      </c>
      <c r="S505" s="54"/>
    </row>
    <row r="506" spans="1:19" ht="20.100000000000001" customHeight="1" x14ac:dyDescent="0.2">
      <c r="A506" s="127">
        <f>'ALL Other SINs - Proposal'!A506</f>
        <v>0</v>
      </c>
      <c r="B506" s="121">
        <f>'ALL Other SINs - Proposal'!B506</f>
        <v>0</v>
      </c>
      <c r="C506" s="121">
        <f>'ALL Other SINs - Proposal'!C506</f>
        <v>0</v>
      </c>
      <c r="D506" s="121">
        <f>'ALL Other SINs - Proposal'!D506</f>
        <v>0</v>
      </c>
      <c r="E506" s="121">
        <f>'ALL Other SINs - Proposal'!E506</f>
        <v>0</v>
      </c>
      <c r="F506" s="171">
        <f>'ALL Other SINs - Proposal'!F506</f>
        <v>0</v>
      </c>
      <c r="G506" s="51">
        <f>'ALL Other SINs - Proposal'!G506</f>
        <v>0</v>
      </c>
      <c r="H506" s="125">
        <f>'ALL Other SINs - Proposal'!H506</f>
        <v>0</v>
      </c>
      <c r="I506" s="125">
        <f>'ALL Other SINs - Proposal'!I506</f>
        <v>0</v>
      </c>
      <c r="J506" s="125">
        <f>'ALL Other SINs - Proposal'!J506</f>
        <v>0</v>
      </c>
      <c r="K506" s="125">
        <f>'ALL Other SINs - Proposal'!K506</f>
        <v>0</v>
      </c>
      <c r="L506" s="125">
        <f>'ALL Other SINs - Proposal'!L506</f>
        <v>0</v>
      </c>
      <c r="M506" s="206">
        <f>'ALL Other SINs - Proposal'!M506</f>
        <v>0</v>
      </c>
      <c r="N506" s="251">
        <f>'ALL Other SINs - Proposal'!V506</f>
        <v>0</v>
      </c>
      <c r="O506" s="201" t="str">
        <f>'Price Analysis'!N506</f>
        <v xml:space="preserve"> </v>
      </c>
      <c r="P506" s="53" t="str">
        <f>IF(ISBLANK('ALL Other SINs - Proposal'!AA506)," ",'ALL Other SINs - Proposal'!AA506)</f>
        <v xml:space="preserve"> </v>
      </c>
      <c r="Q506" s="95" t="str">
        <f>'ALL Other SINs - Proposal'!AC506</f>
        <v xml:space="preserve"> </v>
      </c>
      <c r="R506" s="100" t="str">
        <f>IF(ISBLANK('ALL Other SINs - Proposal'!AA506)," ",ROUND(Q506,2))</f>
        <v xml:space="preserve"> </v>
      </c>
      <c r="S506" s="54"/>
    </row>
    <row r="507" spans="1:19" ht="20.100000000000001" customHeight="1" x14ac:dyDescent="0.2">
      <c r="A507" s="127">
        <f>'ALL Other SINs - Proposal'!A507</f>
        <v>0</v>
      </c>
      <c r="B507" s="121">
        <f>'ALL Other SINs - Proposal'!B507</f>
        <v>0</v>
      </c>
      <c r="C507" s="121">
        <f>'ALL Other SINs - Proposal'!C507</f>
        <v>0</v>
      </c>
      <c r="D507" s="121">
        <f>'ALL Other SINs - Proposal'!D507</f>
        <v>0</v>
      </c>
      <c r="E507" s="121">
        <f>'ALL Other SINs - Proposal'!E507</f>
        <v>0</v>
      </c>
      <c r="F507" s="171">
        <f>'ALL Other SINs - Proposal'!F507</f>
        <v>0</v>
      </c>
      <c r="G507" s="51">
        <f>'ALL Other SINs - Proposal'!G507</f>
        <v>0</v>
      </c>
      <c r="H507" s="125">
        <f>'ALL Other SINs - Proposal'!H507</f>
        <v>0</v>
      </c>
      <c r="I507" s="125">
        <f>'ALL Other SINs - Proposal'!I507</f>
        <v>0</v>
      </c>
      <c r="J507" s="125">
        <f>'ALL Other SINs - Proposal'!J507</f>
        <v>0</v>
      </c>
      <c r="K507" s="125">
        <f>'ALL Other SINs - Proposal'!K507</f>
        <v>0</v>
      </c>
      <c r="L507" s="125">
        <f>'ALL Other SINs - Proposal'!L507</f>
        <v>0</v>
      </c>
      <c r="M507" s="206">
        <f>'ALL Other SINs - Proposal'!M507</f>
        <v>0</v>
      </c>
      <c r="N507" s="251">
        <f>'ALL Other SINs - Proposal'!V507</f>
        <v>0</v>
      </c>
      <c r="O507" s="201" t="str">
        <f>'Price Analysis'!N507</f>
        <v xml:space="preserve"> </v>
      </c>
      <c r="P507" s="53" t="str">
        <f>IF(ISBLANK('ALL Other SINs - Proposal'!AA507)," ",'ALL Other SINs - Proposal'!AA507)</f>
        <v xml:space="preserve"> </v>
      </c>
      <c r="Q507" s="95" t="str">
        <f>'ALL Other SINs - Proposal'!AC507</f>
        <v xml:space="preserve"> </v>
      </c>
      <c r="R507" s="100" t="str">
        <f>IF(ISBLANK('ALL Other SINs - Proposal'!AA507)," ",ROUND(Q507,2))</f>
        <v xml:space="preserve"> </v>
      </c>
      <c r="S507" s="54"/>
    </row>
    <row r="508" spans="1:19" ht="20.100000000000001" customHeight="1" x14ac:dyDescent="0.2">
      <c r="A508" s="127">
        <f>'ALL Other SINs - Proposal'!A508</f>
        <v>0</v>
      </c>
      <c r="B508" s="121">
        <f>'ALL Other SINs - Proposal'!B508</f>
        <v>0</v>
      </c>
      <c r="C508" s="121">
        <f>'ALL Other SINs - Proposal'!C508</f>
        <v>0</v>
      </c>
      <c r="D508" s="121">
        <f>'ALL Other SINs - Proposal'!D508</f>
        <v>0</v>
      </c>
      <c r="E508" s="121">
        <f>'ALL Other SINs - Proposal'!E508</f>
        <v>0</v>
      </c>
      <c r="F508" s="171">
        <f>'ALL Other SINs - Proposal'!F508</f>
        <v>0</v>
      </c>
      <c r="G508" s="51">
        <f>'ALL Other SINs - Proposal'!G508</f>
        <v>0</v>
      </c>
      <c r="H508" s="125">
        <f>'ALL Other SINs - Proposal'!H508</f>
        <v>0</v>
      </c>
      <c r="I508" s="125">
        <f>'ALL Other SINs - Proposal'!I508</f>
        <v>0</v>
      </c>
      <c r="J508" s="125">
        <f>'ALL Other SINs - Proposal'!J508</f>
        <v>0</v>
      </c>
      <c r="K508" s="125">
        <f>'ALL Other SINs - Proposal'!K508</f>
        <v>0</v>
      </c>
      <c r="L508" s="125">
        <f>'ALL Other SINs - Proposal'!L508</f>
        <v>0</v>
      </c>
      <c r="M508" s="206">
        <f>'ALL Other SINs - Proposal'!M508</f>
        <v>0</v>
      </c>
      <c r="N508" s="251">
        <f>'ALL Other SINs - Proposal'!V508</f>
        <v>0</v>
      </c>
      <c r="O508" s="201" t="str">
        <f>'Price Analysis'!N508</f>
        <v xml:space="preserve"> </v>
      </c>
      <c r="P508" s="53" t="str">
        <f>IF(ISBLANK('ALL Other SINs - Proposal'!AA508)," ",'ALL Other SINs - Proposal'!AA508)</f>
        <v xml:space="preserve"> </v>
      </c>
      <c r="Q508" s="95" t="str">
        <f>'ALL Other SINs - Proposal'!AC508</f>
        <v xml:space="preserve"> </v>
      </c>
      <c r="R508" s="100" t="str">
        <f>IF(ISBLANK('ALL Other SINs - Proposal'!AA508)," ",ROUND(Q508,2))</f>
        <v xml:space="preserve"> </v>
      </c>
      <c r="S508" s="54"/>
    </row>
    <row r="509" spans="1:19" ht="20.100000000000001" customHeight="1" x14ac:dyDescent="0.2">
      <c r="A509" s="127">
        <f>'ALL Other SINs - Proposal'!A509</f>
        <v>0</v>
      </c>
      <c r="B509" s="121">
        <f>'ALL Other SINs - Proposal'!B509</f>
        <v>0</v>
      </c>
      <c r="C509" s="121">
        <f>'ALL Other SINs - Proposal'!C509</f>
        <v>0</v>
      </c>
      <c r="D509" s="121">
        <f>'ALL Other SINs - Proposal'!D509</f>
        <v>0</v>
      </c>
      <c r="E509" s="121">
        <f>'ALL Other SINs - Proposal'!E509</f>
        <v>0</v>
      </c>
      <c r="F509" s="171">
        <f>'ALL Other SINs - Proposal'!F509</f>
        <v>0</v>
      </c>
      <c r="G509" s="51">
        <f>'ALL Other SINs - Proposal'!G509</f>
        <v>0</v>
      </c>
      <c r="H509" s="125">
        <f>'ALL Other SINs - Proposal'!H509</f>
        <v>0</v>
      </c>
      <c r="I509" s="125">
        <f>'ALL Other SINs - Proposal'!I509</f>
        <v>0</v>
      </c>
      <c r="J509" s="125">
        <f>'ALL Other SINs - Proposal'!J509</f>
        <v>0</v>
      </c>
      <c r="K509" s="125">
        <f>'ALL Other SINs - Proposal'!K509</f>
        <v>0</v>
      </c>
      <c r="L509" s="125">
        <f>'ALL Other SINs - Proposal'!L509</f>
        <v>0</v>
      </c>
      <c r="M509" s="206">
        <f>'ALL Other SINs - Proposal'!M509</f>
        <v>0</v>
      </c>
      <c r="N509" s="251">
        <f>'ALL Other SINs - Proposal'!V509</f>
        <v>0</v>
      </c>
      <c r="O509" s="201" t="str">
        <f>'Price Analysis'!N509</f>
        <v xml:space="preserve"> </v>
      </c>
      <c r="P509" s="53" t="str">
        <f>IF(ISBLANK('ALL Other SINs - Proposal'!AA509)," ",'ALL Other SINs - Proposal'!AA509)</f>
        <v xml:space="preserve"> </v>
      </c>
      <c r="Q509" s="95" t="str">
        <f>'ALL Other SINs - Proposal'!AC509</f>
        <v xml:space="preserve"> </v>
      </c>
      <c r="R509" s="100" t="str">
        <f>IF(ISBLANK('ALL Other SINs - Proposal'!AA509)," ",ROUND(Q509,2))</f>
        <v xml:space="preserve"> </v>
      </c>
      <c r="S509" s="54"/>
    </row>
    <row r="510" spans="1:19" ht="20.100000000000001" customHeight="1" x14ac:dyDescent="0.2">
      <c r="A510" s="127">
        <f>'ALL Other SINs - Proposal'!A510</f>
        <v>0</v>
      </c>
      <c r="B510" s="121">
        <f>'ALL Other SINs - Proposal'!B510</f>
        <v>0</v>
      </c>
      <c r="C510" s="121">
        <f>'ALL Other SINs - Proposal'!C510</f>
        <v>0</v>
      </c>
      <c r="D510" s="121">
        <f>'ALL Other SINs - Proposal'!D510</f>
        <v>0</v>
      </c>
      <c r="E510" s="121">
        <f>'ALL Other SINs - Proposal'!E510</f>
        <v>0</v>
      </c>
      <c r="F510" s="171">
        <f>'ALL Other SINs - Proposal'!F510</f>
        <v>0</v>
      </c>
      <c r="G510" s="51">
        <f>'ALL Other SINs - Proposal'!G510</f>
        <v>0</v>
      </c>
      <c r="H510" s="125">
        <f>'ALL Other SINs - Proposal'!H510</f>
        <v>0</v>
      </c>
      <c r="I510" s="125">
        <f>'ALL Other SINs - Proposal'!I510</f>
        <v>0</v>
      </c>
      <c r="J510" s="125">
        <f>'ALL Other SINs - Proposal'!J510</f>
        <v>0</v>
      </c>
      <c r="K510" s="125">
        <f>'ALL Other SINs - Proposal'!K510</f>
        <v>0</v>
      </c>
      <c r="L510" s="125">
        <f>'ALL Other SINs - Proposal'!L510</f>
        <v>0</v>
      </c>
      <c r="M510" s="206">
        <f>'ALL Other SINs - Proposal'!M510</f>
        <v>0</v>
      </c>
      <c r="N510" s="251">
        <f>'ALL Other SINs - Proposal'!V510</f>
        <v>0</v>
      </c>
      <c r="O510" s="201" t="str">
        <f>'Price Analysis'!N510</f>
        <v xml:space="preserve"> </v>
      </c>
      <c r="P510" s="53" t="str">
        <f>IF(ISBLANK('ALL Other SINs - Proposal'!AA510)," ",'ALL Other SINs - Proposal'!AA510)</f>
        <v xml:space="preserve"> </v>
      </c>
      <c r="Q510" s="95" t="str">
        <f>'ALL Other SINs - Proposal'!AC510</f>
        <v xml:space="preserve"> </v>
      </c>
      <c r="R510" s="100" t="str">
        <f>IF(ISBLANK('ALL Other SINs - Proposal'!AA510)," ",ROUND(Q510,2))</f>
        <v xml:space="preserve"> </v>
      </c>
      <c r="S510" s="54"/>
    </row>
    <row r="511" spans="1:19" ht="20.100000000000001" customHeight="1" x14ac:dyDescent="0.2">
      <c r="A511" s="127">
        <f>'ALL Other SINs - Proposal'!A511</f>
        <v>0</v>
      </c>
      <c r="B511" s="121">
        <f>'ALL Other SINs - Proposal'!B511</f>
        <v>0</v>
      </c>
      <c r="C511" s="121">
        <f>'ALL Other SINs - Proposal'!C511</f>
        <v>0</v>
      </c>
      <c r="D511" s="121">
        <f>'ALL Other SINs - Proposal'!D511</f>
        <v>0</v>
      </c>
      <c r="E511" s="121">
        <f>'ALL Other SINs - Proposal'!E511</f>
        <v>0</v>
      </c>
      <c r="F511" s="171">
        <f>'ALL Other SINs - Proposal'!F511</f>
        <v>0</v>
      </c>
      <c r="G511" s="51">
        <f>'ALL Other SINs - Proposal'!G511</f>
        <v>0</v>
      </c>
      <c r="H511" s="125">
        <f>'ALL Other SINs - Proposal'!H511</f>
        <v>0</v>
      </c>
      <c r="I511" s="125">
        <f>'ALL Other SINs - Proposal'!I511</f>
        <v>0</v>
      </c>
      <c r="J511" s="125">
        <f>'ALL Other SINs - Proposal'!J511</f>
        <v>0</v>
      </c>
      <c r="K511" s="125">
        <f>'ALL Other SINs - Proposal'!K511</f>
        <v>0</v>
      </c>
      <c r="L511" s="125">
        <f>'ALL Other SINs - Proposal'!L511</f>
        <v>0</v>
      </c>
      <c r="M511" s="206">
        <f>'ALL Other SINs - Proposal'!M511</f>
        <v>0</v>
      </c>
      <c r="N511" s="251">
        <f>'ALL Other SINs - Proposal'!V511</f>
        <v>0</v>
      </c>
      <c r="O511" s="201" t="str">
        <f>'Price Analysis'!N511</f>
        <v xml:space="preserve"> </v>
      </c>
      <c r="P511" s="53" t="str">
        <f>IF(ISBLANK('ALL Other SINs - Proposal'!AA511)," ",'ALL Other SINs - Proposal'!AA511)</f>
        <v xml:space="preserve"> </v>
      </c>
      <c r="Q511" s="95" t="str">
        <f>'ALL Other SINs - Proposal'!AC511</f>
        <v xml:space="preserve"> </v>
      </c>
      <c r="R511" s="100" t="str">
        <f>IF(ISBLANK('ALL Other SINs - Proposal'!AA511)," ",ROUND(Q511,2))</f>
        <v xml:space="preserve"> </v>
      </c>
      <c r="S511" s="54"/>
    </row>
    <row r="512" spans="1:19" ht="20.100000000000001" customHeight="1" x14ac:dyDescent="0.2">
      <c r="A512" s="127">
        <f>'ALL Other SINs - Proposal'!A512</f>
        <v>0</v>
      </c>
      <c r="B512" s="121">
        <f>'ALL Other SINs - Proposal'!B512</f>
        <v>0</v>
      </c>
      <c r="C512" s="121">
        <f>'ALL Other SINs - Proposal'!C512</f>
        <v>0</v>
      </c>
      <c r="D512" s="121">
        <f>'ALL Other SINs - Proposal'!D512</f>
        <v>0</v>
      </c>
      <c r="E512" s="121">
        <f>'ALL Other SINs - Proposal'!E512</f>
        <v>0</v>
      </c>
      <c r="F512" s="171">
        <f>'ALL Other SINs - Proposal'!F512</f>
        <v>0</v>
      </c>
      <c r="G512" s="51">
        <f>'ALL Other SINs - Proposal'!G512</f>
        <v>0</v>
      </c>
      <c r="H512" s="125">
        <f>'ALL Other SINs - Proposal'!H512</f>
        <v>0</v>
      </c>
      <c r="I512" s="125">
        <f>'ALL Other SINs - Proposal'!I512</f>
        <v>0</v>
      </c>
      <c r="J512" s="125">
        <f>'ALL Other SINs - Proposal'!J512</f>
        <v>0</v>
      </c>
      <c r="K512" s="125">
        <f>'ALL Other SINs - Proposal'!K512</f>
        <v>0</v>
      </c>
      <c r="L512" s="125">
        <f>'ALL Other SINs - Proposal'!L512</f>
        <v>0</v>
      </c>
      <c r="M512" s="206">
        <f>'ALL Other SINs - Proposal'!M512</f>
        <v>0</v>
      </c>
      <c r="N512" s="251">
        <f>'ALL Other SINs - Proposal'!V512</f>
        <v>0</v>
      </c>
      <c r="O512" s="201" t="str">
        <f>'Price Analysis'!N512</f>
        <v xml:space="preserve"> </v>
      </c>
      <c r="P512" s="53" t="str">
        <f>IF(ISBLANK('ALL Other SINs - Proposal'!AA512)," ",'ALL Other SINs - Proposal'!AA512)</f>
        <v xml:space="preserve"> </v>
      </c>
      <c r="Q512" s="95" t="str">
        <f>'ALL Other SINs - Proposal'!AC512</f>
        <v xml:space="preserve"> </v>
      </c>
      <c r="R512" s="100" t="str">
        <f>IF(ISBLANK('ALL Other SINs - Proposal'!AA512)," ",ROUND(Q512,2))</f>
        <v xml:space="preserve"> </v>
      </c>
      <c r="S512" s="54"/>
    </row>
    <row r="513" spans="1:19" ht="20.100000000000001" customHeight="1" x14ac:dyDescent="0.2">
      <c r="A513" s="127">
        <f>'ALL Other SINs - Proposal'!A513</f>
        <v>0</v>
      </c>
      <c r="B513" s="121">
        <f>'ALL Other SINs - Proposal'!B513</f>
        <v>0</v>
      </c>
      <c r="C513" s="121">
        <f>'ALL Other SINs - Proposal'!C513</f>
        <v>0</v>
      </c>
      <c r="D513" s="121">
        <f>'ALL Other SINs - Proposal'!D513</f>
        <v>0</v>
      </c>
      <c r="E513" s="121">
        <f>'ALL Other SINs - Proposal'!E513</f>
        <v>0</v>
      </c>
      <c r="F513" s="171">
        <f>'ALL Other SINs - Proposal'!F513</f>
        <v>0</v>
      </c>
      <c r="G513" s="51">
        <f>'ALL Other SINs - Proposal'!G513</f>
        <v>0</v>
      </c>
      <c r="H513" s="125">
        <f>'ALL Other SINs - Proposal'!H513</f>
        <v>0</v>
      </c>
      <c r="I513" s="125">
        <f>'ALL Other SINs - Proposal'!I513</f>
        <v>0</v>
      </c>
      <c r="J513" s="125">
        <f>'ALL Other SINs - Proposal'!J513</f>
        <v>0</v>
      </c>
      <c r="K513" s="125">
        <f>'ALL Other SINs - Proposal'!K513</f>
        <v>0</v>
      </c>
      <c r="L513" s="125">
        <f>'ALL Other SINs - Proposal'!L513</f>
        <v>0</v>
      </c>
      <c r="M513" s="206">
        <f>'ALL Other SINs - Proposal'!M513</f>
        <v>0</v>
      </c>
      <c r="N513" s="251">
        <f>'ALL Other SINs - Proposal'!V513</f>
        <v>0</v>
      </c>
      <c r="O513" s="201" t="str">
        <f>'Price Analysis'!N513</f>
        <v xml:space="preserve"> </v>
      </c>
      <c r="P513" s="53" t="str">
        <f>IF(ISBLANK('ALL Other SINs - Proposal'!AA513)," ",'ALL Other SINs - Proposal'!AA513)</f>
        <v xml:space="preserve"> </v>
      </c>
      <c r="Q513" s="95" t="str">
        <f>'ALL Other SINs - Proposal'!AC513</f>
        <v xml:space="preserve"> </v>
      </c>
      <c r="R513" s="100" t="str">
        <f>IF(ISBLANK('ALL Other SINs - Proposal'!AA513)," ",ROUND(Q513,2))</f>
        <v xml:space="preserve"> </v>
      </c>
      <c r="S513" s="54"/>
    </row>
    <row r="514" spans="1:19" ht="20.100000000000001" customHeight="1" x14ac:dyDescent="0.2">
      <c r="A514" s="127">
        <f>'ALL Other SINs - Proposal'!A514</f>
        <v>0</v>
      </c>
      <c r="B514" s="121">
        <f>'ALL Other SINs - Proposal'!B514</f>
        <v>0</v>
      </c>
      <c r="C514" s="121">
        <f>'ALL Other SINs - Proposal'!C514</f>
        <v>0</v>
      </c>
      <c r="D514" s="121">
        <f>'ALL Other SINs - Proposal'!D514</f>
        <v>0</v>
      </c>
      <c r="E514" s="121">
        <f>'ALL Other SINs - Proposal'!E514</f>
        <v>0</v>
      </c>
      <c r="F514" s="171">
        <f>'ALL Other SINs - Proposal'!F514</f>
        <v>0</v>
      </c>
      <c r="G514" s="51">
        <f>'ALL Other SINs - Proposal'!G514</f>
        <v>0</v>
      </c>
      <c r="H514" s="125">
        <f>'ALL Other SINs - Proposal'!H514</f>
        <v>0</v>
      </c>
      <c r="I514" s="125">
        <f>'ALL Other SINs - Proposal'!I514</f>
        <v>0</v>
      </c>
      <c r="J514" s="125">
        <f>'ALL Other SINs - Proposal'!J514</f>
        <v>0</v>
      </c>
      <c r="K514" s="125">
        <f>'ALL Other SINs - Proposal'!K514</f>
        <v>0</v>
      </c>
      <c r="L514" s="125">
        <f>'ALL Other SINs - Proposal'!L514</f>
        <v>0</v>
      </c>
      <c r="M514" s="206">
        <f>'ALL Other SINs - Proposal'!M514</f>
        <v>0</v>
      </c>
      <c r="N514" s="251">
        <f>'ALL Other SINs - Proposal'!V514</f>
        <v>0</v>
      </c>
      <c r="O514" s="201" t="str">
        <f>'Price Analysis'!N514</f>
        <v xml:space="preserve"> </v>
      </c>
      <c r="P514" s="53" t="str">
        <f>IF(ISBLANK('ALL Other SINs - Proposal'!AA514)," ",'ALL Other SINs - Proposal'!AA514)</f>
        <v xml:space="preserve"> </v>
      </c>
      <c r="Q514" s="95" t="str">
        <f>'ALL Other SINs - Proposal'!AC514</f>
        <v xml:space="preserve"> </v>
      </c>
      <c r="R514" s="100" t="str">
        <f>IF(ISBLANK('ALL Other SINs - Proposal'!AA514)," ",ROUND(Q514,2))</f>
        <v xml:space="preserve"> </v>
      </c>
      <c r="S514" s="54"/>
    </row>
    <row r="515" spans="1:19" ht="20.100000000000001" customHeight="1" x14ac:dyDescent="0.2">
      <c r="A515" s="127">
        <f>'ALL Other SINs - Proposal'!A515</f>
        <v>0</v>
      </c>
      <c r="B515" s="121">
        <f>'ALL Other SINs - Proposal'!B515</f>
        <v>0</v>
      </c>
      <c r="C515" s="121">
        <f>'ALL Other SINs - Proposal'!C515</f>
        <v>0</v>
      </c>
      <c r="D515" s="121">
        <f>'ALL Other SINs - Proposal'!D515</f>
        <v>0</v>
      </c>
      <c r="E515" s="121">
        <f>'ALL Other SINs - Proposal'!E515</f>
        <v>0</v>
      </c>
      <c r="F515" s="171">
        <f>'ALL Other SINs - Proposal'!F515</f>
        <v>0</v>
      </c>
      <c r="G515" s="51">
        <f>'ALL Other SINs - Proposal'!G515</f>
        <v>0</v>
      </c>
      <c r="H515" s="125">
        <f>'ALL Other SINs - Proposal'!H515</f>
        <v>0</v>
      </c>
      <c r="I515" s="125">
        <f>'ALL Other SINs - Proposal'!I515</f>
        <v>0</v>
      </c>
      <c r="J515" s="125">
        <f>'ALL Other SINs - Proposal'!J515</f>
        <v>0</v>
      </c>
      <c r="K515" s="125">
        <f>'ALL Other SINs - Proposal'!K515</f>
        <v>0</v>
      </c>
      <c r="L515" s="125">
        <f>'ALL Other SINs - Proposal'!L515</f>
        <v>0</v>
      </c>
      <c r="M515" s="206">
        <f>'ALL Other SINs - Proposal'!M515</f>
        <v>0</v>
      </c>
      <c r="N515" s="251">
        <f>'ALL Other SINs - Proposal'!V515</f>
        <v>0</v>
      </c>
      <c r="O515" s="201" t="str">
        <f>'Price Analysis'!N515</f>
        <v xml:space="preserve"> </v>
      </c>
      <c r="P515" s="53" t="str">
        <f>IF(ISBLANK('ALL Other SINs - Proposal'!AA515)," ",'ALL Other SINs - Proposal'!AA515)</f>
        <v xml:space="preserve"> </v>
      </c>
      <c r="Q515" s="95" t="str">
        <f>'ALL Other SINs - Proposal'!AC515</f>
        <v xml:space="preserve"> </v>
      </c>
      <c r="R515" s="100" t="str">
        <f>IF(ISBLANK('ALL Other SINs - Proposal'!AA515)," ",ROUND(Q515,2))</f>
        <v xml:space="preserve"> </v>
      </c>
      <c r="S515" s="54"/>
    </row>
    <row r="516" spans="1:19" ht="20.100000000000001" customHeight="1" x14ac:dyDescent="0.2">
      <c r="A516" s="127">
        <f>'ALL Other SINs - Proposal'!A516</f>
        <v>0</v>
      </c>
      <c r="B516" s="121">
        <f>'ALL Other SINs - Proposal'!B516</f>
        <v>0</v>
      </c>
      <c r="C516" s="121">
        <f>'ALL Other SINs - Proposal'!C516</f>
        <v>0</v>
      </c>
      <c r="D516" s="121">
        <f>'ALL Other SINs - Proposal'!D516</f>
        <v>0</v>
      </c>
      <c r="E516" s="121">
        <f>'ALL Other SINs - Proposal'!E516</f>
        <v>0</v>
      </c>
      <c r="F516" s="171">
        <f>'ALL Other SINs - Proposal'!F516</f>
        <v>0</v>
      </c>
      <c r="G516" s="51">
        <f>'ALL Other SINs - Proposal'!G516</f>
        <v>0</v>
      </c>
      <c r="H516" s="125">
        <f>'ALL Other SINs - Proposal'!H516</f>
        <v>0</v>
      </c>
      <c r="I516" s="125">
        <f>'ALL Other SINs - Proposal'!I516</f>
        <v>0</v>
      </c>
      <c r="J516" s="125">
        <f>'ALL Other SINs - Proposal'!J516</f>
        <v>0</v>
      </c>
      <c r="K516" s="125">
        <f>'ALL Other SINs - Proposal'!K516</f>
        <v>0</v>
      </c>
      <c r="L516" s="125">
        <f>'ALL Other SINs - Proposal'!L516</f>
        <v>0</v>
      </c>
      <c r="M516" s="206">
        <f>'ALL Other SINs - Proposal'!M516</f>
        <v>0</v>
      </c>
      <c r="N516" s="251">
        <f>'ALL Other SINs - Proposal'!V516</f>
        <v>0</v>
      </c>
      <c r="O516" s="201" t="str">
        <f>'Price Analysis'!N516</f>
        <v xml:space="preserve"> </v>
      </c>
      <c r="P516" s="53" t="str">
        <f>IF(ISBLANK('ALL Other SINs - Proposal'!AA516)," ",'ALL Other SINs - Proposal'!AA516)</f>
        <v xml:space="preserve"> </v>
      </c>
      <c r="Q516" s="95" t="str">
        <f>'ALL Other SINs - Proposal'!AC516</f>
        <v xml:space="preserve"> </v>
      </c>
      <c r="R516" s="100" t="str">
        <f>IF(ISBLANK('ALL Other SINs - Proposal'!AA516)," ",ROUND(Q516,2))</f>
        <v xml:space="preserve"> </v>
      </c>
      <c r="S516" s="54"/>
    </row>
    <row r="517" spans="1:19" ht="20.100000000000001" customHeight="1" x14ac:dyDescent="0.2">
      <c r="A517" s="127">
        <f>'ALL Other SINs - Proposal'!A517</f>
        <v>0</v>
      </c>
      <c r="B517" s="121">
        <f>'ALL Other SINs - Proposal'!B517</f>
        <v>0</v>
      </c>
      <c r="C517" s="121">
        <f>'ALL Other SINs - Proposal'!C517</f>
        <v>0</v>
      </c>
      <c r="D517" s="121">
        <f>'ALL Other SINs - Proposal'!D517</f>
        <v>0</v>
      </c>
      <c r="E517" s="121">
        <f>'ALL Other SINs - Proposal'!E517</f>
        <v>0</v>
      </c>
      <c r="F517" s="171">
        <f>'ALL Other SINs - Proposal'!F517</f>
        <v>0</v>
      </c>
      <c r="G517" s="51">
        <f>'ALL Other SINs - Proposal'!G517</f>
        <v>0</v>
      </c>
      <c r="H517" s="125">
        <f>'ALL Other SINs - Proposal'!H517</f>
        <v>0</v>
      </c>
      <c r="I517" s="125">
        <f>'ALL Other SINs - Proposal'!I517</f>
        <v>0</v>
      </c>
      <c r="J517" s="125">
        <f>'ALL Other SINs - Proposal'!J517</f>
        <v>0</v>
      </c>
      <c r="K517" s="125">
        <f>'ALL Other SINs - Proposal'!K517</f>
        <v>0</v>
      </c>
      <c r="L517" s="125">
        <f>'ALL Other SINs - Proposal'!L517</f>
        <v>0</v>
      </c>
      <c r="M517" s="206">
        <f>'ALL Other SINs - Proposal'!M517</f>
        <v>0</v>
      </c>
      <c r="N517" s="251">
        <f>'ALL Other SINs - Proposal'!V517</f>
        <v>0</v>
      </c>
      <c r="O517" s="201" t="str">
        <f>'Price Analysis'!N517</f>
        <v xml:space="preserve"> </v>
      </c>
      <c r="P517" s="53" t="str">
        <f>IF(ISBLANK('ALL Other SINs - Proposal'!AA517)," ",'ALL Other SINs - Proposal'!AA517)</f>
        <v xml:space="preserve"> </v>
      </c>
      <c r="Q517" s="95" t="str">
        <f>'ALL Other SINs - Proposal'!AC517</f>
        <v xml:space="preserve"> </v>
      </c>
      <c r="R517" s="100" t="str">
        <f>IF(ISBLANK('ALL Other SINs - Proposal'!AA517)," ",ROUND(Q517,2))</f>
        <v xml:space="preserve"> </v>
      </c>
      <c r="S517" s="54"/>
    </row>
    <row r="518" spans="1:19" ht="20.100000000000001" customHeight="1" x14ac:dyDescent="0.2">
      <c r="A518" s="127">
        <f>'ALL Other SINs - Proposal'!A518</f>
        <v>0</v>
      </c>
      <c r="B518" s="121">
        <f>'ALL Other SINs - Proposal'!B518</f>
        <v>0</v>
      </c>
      <c r="C518" s="121">
        <f>'ALL Other SINs - Proposal'!C518</f>
        <v>0</v>
      </c>
      <c r="D518" s="121">
        <f>'ALL Other SINs - Proposal'!D518</f>
        <v>0</v>
      </c>
      <c r="E518" s="121">
        <f>'ALL Other SINs - Proposal'!E518</f>
        <v>0</v>
      </c>
      <c r="F518" s="171">
        <f>'ALL Other SINs - Proposal'!F518</f>
        <v>0</v>
      </c>
      <c r="G518" s="51">
        <f>'ALL Other SINs - Proposal'!G518</f>
        <v>0</v>
      </c>
      <c r="H518" s="125">
        <f>'ALL Other SINs - Proposal'!H518</f>
        <v>0</v>
      </c>
      <c r="I518" s="125">
        <f>'ALL Other SINs - Proposal'!I518</f>
        <v>0</v>
      </c>
      <c r="J518" s="125">
        <f>'ALL Other SINs - Proposal'!J518</f>
        <v>0</v>
      </c>
      <c r="K518" s="125">
        <f>'ALL Other SINs - Proposal'!K518</f>
        <v>0</v>
      </c>
      <c r="L518" s="125">
        <f>'ALL Other SINs - Proposal'!L518</f>
        <v>0</v>
      </c>
      <c r="M518" s="206">
        <f>'ALL Other SINs - Proposal'!M518</f>
        <v>0</v>
      </c>
      <c r="N518" s="251">
        <f>'ALL Other SINs - Proposal'!V518</f>
        <v>0</v>
      </c>
      <c r="O518" s="201" t="str">
        <f>'Price Analysis'!N518</f>
        <v xml:space="preserve"> </v>
      </c>
      <c r="P518" s="53" t="str">
        <f>IF(ISBLANK('ALL Other SINs - Proposal'!AA518)," ",'ALL Other SINs - Proposal'!AA518)</f>
        <v xml:space="preserve"> </v>
      </c>
      <c r="Q518" s="95" t="str">
        <f>'ALL Other SINs - Proposal'!AC518</f>
        <v xml:space="preserve"> </v>
      </c>
      <c r="R518" s="100" t="str">
        <f>IF(ISBLANK('ALL Other SINs - Proposal'!AA518)," ",ROUND(Q518,2))</f>
        <v xml:space="preserve"> </v>
      </c>
      <c r="S518" s="54"/>
    </row>
    <row r="519" spans="1:19" ht="20.100000000000001" customHeight="1" x14ac:dyDescent="0.2">
      <c r="A519" s="127">
        <f>'ALL Other SINs - Proposal'!A519</f>
        <v>0</v>
      </c>
      <c r="B519" s="121">
        <f>'ALL Other SINs - Proposal'!B519</f>
        <v>0</v>
      </c>
      <c r="C519" s="121">
        <f>'ALL Other SINs - Proposal'!C519</f>
        <v>0</v>
      </c>
      <c r="D519" s="121">
        <f>'ALL Other SINs - Proposal'!D519</f>
        <v>0</v>
      </c>
      <c r="E519" s="121">
        <f>'ALL Other SINs - Proposal'!E519</f>
        <v>0</v>
      </c>
      <c r="F519" s="171">
        <f>'ALL Other SINs - Proposal'!F519</f>
        <v>0</v>
      </c>
      <c r="G519" s="51">
        <f>'ALL Other SINs - Proposal'!G519</f>
        <v>0</v>
      </c>
      <c r="H519" s="125">
        <f>'ALL Other SINs - Proposal'!H519</f>
        <v>0</v>
      </c>
      <c r="I519" s="125">
        <f>'ALL Other SINs - Proposal'!I519</f>
        <v>0</v>
      </c>
      <c r="J519" s="125">
        <f>'ALL Other SINs - Proposal'!J519</f>
        <v>0</v>
      </c>
      <c r="K519" s="125">
        <f>'ALL Other SINs - Proposal'!K519</f>
        <v>0</v>
      </c>
      <c r="L519" s="125">
        <f>'ALL Other SINs - Proposal'!L519</f>
        <v>0</v>
      </c>
      <c r="M519" s="206">
        <f>'ALL Other SINs - Proposal'!M519</f>
        <v>0</v>
      </c>
      <c r="N519" s="251">
        <f>'ALL Other SINs - Proposal'!V519</f>
        <v>0</v>
      </c>
      <c r="O519" s="201" t="str">
        <f>'Price Analysis'!N519</f>
        <v xml:space="preserve"> </v>
      </c>
      <c r="P519" s="53" t="str">
        <f>IF(ISBLANK('ALL Other SINs - Proposal'!AA519)," ",'ALL Other SINs - Proposal'!AA519)</f>
        <v xml:space="preserve"> </v>
      </c>
      <c r="Q519" s="95" t="str">
        <f>'ALL Other SINs - Proposal'!AC519</f>
        <v xml:space="preserve"> </v>
      </c>
      <c r="R519" s="100" t="str">
        <f>IF(ISBLANK('ALL Other SINs - Proposal'!AA519)," ",ROUND(Q519,2))</f>
        <v xml:space="preserve"> </v>
      </c>
      <c r="S519" s="54"/>
    </row>
    <row r="520" spans="1:19" ht="20.100000000000001" customHeight="1" x14ac:dyDescent="0.2">
      <c r="A520" s="127">
        <f>'ALL Other SINs - Proposal'!A520</f>
        <v>0</v>
      </c>
      <c r="B520" s="121">
        <f>'ALL Other SINs - Proposal'!B520</f>
        <v>0</v>
      </c>
      <c r="C520" s="121">
        <f>'ALL Other SINs - Proposal'!C520</f>
        <v>0</v>
      </c>
      <c r="D520" s="121">
        <f>'ALL Other SINs - Proposal'!D520</f>
        <v>0</v>
      </c>
      <c r="E520" s="121">
        <f>'ALL Other SINs - Proposal'!E520</f>
        <v>0</v>
      </c>
      <c r="F520" s="171">
        <f>'ALL Other SINs - Proposal'!F520</f>
        <v>0</v>
      </c>
      <c r="G520" s="51">
        <f>'ALL Other SINs - Proposal'!G520</f>
        <v>0</v>
      </c>
      <c r="H520" s="125">
        <f>'ALL Other SINs - Proposal'!H520</f>
        <v>0</v>
      </c>
      <c r="I520" s="125">
        <f>'ALL Other SINs - Proposal'!I520</f>
        <v>0</v>
      </c>
      <c r="J520" s="125">
        <f>'ALL Other SINs - Proposal'!J520</f>
        <v>0</v>
      </c>
      <c r="K520" s="125">
        <f>'ALL Other SINs - Proposal'!K520</f>
        <v>0</v>
      </c>
      <c r="L520" s="125">
        <f>'ALL Other SINs - Proposal'!L520</f>
        <v>0</v>
      </c>
      <c r="M520" s="206">
        <f>'ALL Other SINs - Proposal'!M520</f>
        <v>0</v>
      </c>
      <c r="N520" s="251">
        <f>'ALL Other SINs - Proposal'!V520</f>
        <v>0</v>
      </c>
      <c r="O520" s="201" t="str">
        <f>'Price Analysis'!N520</f>
        <v xml:space="preserve"> </v>
      </c>
      <c r="P520" s="53" t="str">
        <f>IF(ISBLANK('ALL Other SINs - Proposal'!AA520)," ",'ALL Other SINs - Proposal'!AA520)</f>
        <v xml:space="preserve"> </v>
      </c>
      <c r="Q520" s="95" t="str">
        <f>'ALL Other SINs - Proposal'!AC520</f>
        <v xml:space="preserve"> </v>
      </c>
      <c r="R520" s="100" t="str">
        <f>IF(ISBLANK('ALL Other SINs - Proposal'!AA520)," ",ROUND(Q520,2))</f>
        <v xml:space="preserve"> </v>
      </c>
      <c r="S520" s="54"/>
    </row>
    <row r="521" spans="1:19" ht="20.100000000000001" customHeight="1" x14ac:dyDescent="0.2">
      <c r="A521" s="127">
        <f>'ALL Other SINs - Proposal'!A521</f>
        <v>0</v>
      </c>
      <c r="B521" s="121">
        <f>'ALL Other SINs - Proposal'!B521</f>
        <v>0</v>
      </c>
      <c r="C521" s="121">
        <f>'ALL Other SINs - Proposal'!C521</f>
        <v>0</v>
      </c>
      <c r="D521" s="121">
        <f>'ALL Other SINs - Proposal'!D521</f>
        <v>0</v>
      </c>
      <c r="E521" s="121">
        <f>'ALL Other SINs - Proposal'!E521</f>
        <v>0</v>
      </c>
      <c r="F521" s="171">
        <f>'ALL Other SINs - Proposal'!F521</f>
        <v>0</v>
      </c>
      <c r="G521" s="51">
        <f>'ALL Other SINs - Proposal'!G521</f>
        <v>0</v>
      </c>
      <c r="H521" s="125">
        <f>'ALL Other SINs - Proposal'!H521</f>
        <v>0</v>
      </c>
      <c r="I521" s="125">
        <f>'ALL Other SINs - Proposal'!I521</f>
        <v>0</v>
      </c>
      <c r="J521" s="125">
        <f>'ALL Other SINs - Proposal'!J521</f>
        <v>0</v>
      </c>
      <c r="K521" s="125">
        <f>'ALL Other SINs - Proposal'!K521</f>
        <v>0</v>
      </c>
      <c r="L521" s="125">
        <f>'ALL Other SINs - Proposal'!L521</f>
        <v>0</v>
      </c>
      <c r="M521" s="206">
        <f>'ALL Other SINs - Proposal'!M521</f>
        <v>0</v>
      </c>
      <c r="N521" s="251">
        <f>'ALL Other SINs - Proposal'!V521</f>
        <v>0</v>
      </c>
      <c r="O521" s="201" t="str">
        <f>'Price Analysis'!N521</f>
        <v xml:space="preserve"> </v>
      </c>
      <c r="P521" s="53" t="str">
        <f>IF(ISBLANK('ALL Other SINs - Proposal'!AA521)," ",'ALL Other SINs - Proposal'!AA521)</f>
        <v xml:space="preserve"> </v>
      </c>
      <c r="Q521" s="95" t="str">
        <f>'ALL Other SINs - Proposal'!AC521</f>
        <v xml:space="preserve"> </v>
      </c>
      <c r="R521" s="100" t="str">
        <f>IF(ISBLANK('ALL Other SINs - Proposal'!AA521)," ",ROUND(Q521,2))</f>
        <v xml:space="preserve"> </v>
      </c>
      <c r="S521" s="54"/>
    </row>
    <row r="522" spans="1:19" ht="20.100000000000001" customHeight="1" x14ac:dyDescent="0.2">
      <c r="A522" s="127">
        <f>'ALL Other SINs - Proposal'!A522</f>
        <v>0</v>
      </c>
      <c r="B522" s="121">
        <f>'ALL Other SINs - Proposal'!B522</f>
        <v>0</v>
      </c>
      <c r="C522" s="121">
        <f>'ALL Other SINs - Proposal'!C522</f>
        <v>0</v>
      </c>
      <c r="D522" s="121">
        <f>'ALL Other SINs - Proposal'!D522</f>
        <v>0</v>
      </c>
      <c r="E522" s="121">
        <f>'ALL Other SINs - Proposal'!E522</f>
        <v>0</v>
      </c>
      <c r="F522" s="171">
        <f>'ALL Other SINs - Proposal'!F522</f>
        <v>0</v>
      </c>
      <c r="G522" s="51">
        <f>'ALL Other SINs - Proposal'!G522</f>
        <v>0</v>
      </c>
      <c r="H522" s="125">
        <f>'ALL Other SINs - Proposal'!H522</f>
        <v>0</v>
      </c>
      <c r="I522" s="125">
        <f>'ALL Other SINs - Proposal'!I522</f>
        <v>0</v>
      </c>
      <c r="J522" s="125">
        <f>'ALL Other SINs - Proposal'!J522</f>
        <v>0</v>
      </c>
      <c r="K522" s="125">
        <f>'ALL Other SINs - Proposal'!K522</f>
        <v>0</v>
      </c>
      <c r="L522" s="125">
        <f>'ALL Other SINs - Proposal'!L522</f>
        <v>0</v>
      </c>
      <c r="M522" s="206">
        <f>'ALL Other SINs - Proposal'!M522</f>
        <v>0</v>
      </c>
      <c r="N522" s="251">
        <f>'ALL Other SINs - Proposal'!V522</f>
        <v>0</v>
      </c>
      <c r="O522" s="201" t="str">
        <f>'Price Analysis'!N522</f>
        <v xml:space="preserve"> </v>
      </c>
      <c r="P522" s="53" t="str">
        <f>IF(ISBLANK('ALL Other SINs - Proposal'!AA522)," ",'ALL Other SINs - Proposal'!AA522)</f>
        <v xml:space="preserve"> </v>
      </c>
      <c r="Q522" s="95" t="str">
        <f>'ALL Other SINs - Proposal'!AC522</f>
        <v xml:space="preserve"> </v>
      </c>
      <c r="R522" s="100" t="str">
        <f>IF(ISBLANK('ALL Other SINs - Proposal'!AA522)," ",ROUND(Q522,2))</f>
        <v xml:space="preserve"> </v>
      </c>
      <c r="S522" s="54"/>
    </row>
    <row r="523" spans="1:19" ht="20.100000000000001" customHeight="1" x14ac:dyDescent="0.2">
      <c r="A523" s="127">
        <f>'ALL Other SINs - Proposal'!A523</f>
        <v>0</v>
      </c>
      <c r="B523" s="121">
        <f>'ALL Other SINs - Proposal'!B523</f>
        <v>0</v>
      </c>
      <c r="C523" s="121">
        <f>'ALL Other SINs - Proposal'!C523</f>
        <v>0</v>
      </c>
      <c r="D523" s="121">
        <f>'ALL Other SINs - Proposal'!D523</f>
        <v>0</v>
      </c>
      <c r="E523" s="121">
        <f>'ALL Other SINs - Proposal'!E523</f>
        <v>0</v>
      </c>
      <c r="F523" s="171">
        <f>'ALL Other SINs - Proposal'!F523</f>
        <v>0</v>
      </c>
      <c r="G523" s="51">
        <f>'ALL Other SINs - Proposal'!G523</f>
        <v>0</v>
      </c>
      <c r="H523" s="125">
        <f>'ALL Other SINs - Proposal'!H523</f>
        <v>0</v>
      </c>
      <c r="I523" s="125">
        <f>'ALL Other SINs - Proposal'!I523</f>
        <v>0</v>
      </c>
      <c r="J523" s="125">
        <f>'ALL Other SINs - Proposal'!J523</f>
        <v>0</v>
      </c>
      <c r="K523" s="125">
        <f>'ALL Other SINs - Proposal'!K523</f>
        <v>0</v>
      </c>
      <c r="L523" s="125">
        <f>'ALL Other SINs - Proposal'!L523</f>
        <v>0</v>
      </c>
      <c r="M523" s="206">
        <f>'ALL Other SINs - Proposal'!M523</f>
        <v>0</v>
      </c>
      <c r="N523" s="251">
        <f>'ALL Other SINs - Proposal'!V523</f>
        <v>0</v>
      </c>
      <c r="O523" s="201" t="str">
        <f>'Price Analysis'!N523</f>
        <v xml:space="preserve"> </v>
      </c>
      <c r="P523" s="53" t="str">
        <f>IF(ISBLANK('ALL Other SINs - Proposal'!AA523)," ",'ALL Other SINs - Proposal'!AA523)</f>
        <v xml:space="preserve"> </v>
      </c>
      <c r="Q523" s="95" t="str">
        <f>'ALL Other SINs - Proposal'!AC523</f>
        <v xml:space="preserve"> </v>
      </c>
      <c r="R523" s="100" t="str">
        <f>IF(ISBLANK('ALL Other SINs - Proposal'!AA523)," ",ROUND(Q523,2))</f>
        <v xml:space="preserve"> </v>
      </c>
      <c r="S523" s="54"/>
    </row>
    <row r="524" spans="1:19" ht="20.100000000000001" customHeight="1" x14ac:dyDescent="0.2">
      <c r="A524" s="127">
        <f>'ALL Other SINs - Proposal'!A524</f>
        <v>0</v>
      </c>
      <c r="B524" s="121">
        <f>'ALL Other SINs - Proposal'!B524</f>
        <v>0</v>
      </c>
      <c r="C524" s="121">
        <f>'ALL Other SINs - Proposal'!C524</f>
        <v>0</v>
      </c>
      <c r="D524" s="121">
        <f>'ALL Other SINs - Proposal'!D524</f>
        <v>0</v>
      </c>
      <c r="E524" s="121">
        <f>'ALL Other SINs - Proposal'!E524</f>
        <v>0</v>
      </c>
      <c r="F524" s="171">
        <f>'ALL Other SINs - Proposal'!F524</f>
        <v>0</v>
      </c>
      <c r="G524" s="51">
        <f>'ALL Other SINs - Proposal'!G524</f>
        <v>0</v>
      </c>
      <c r="H524" s="125">
        <f>'ALL Other SINs - Proposal'!H524</f>
        <v>0</v>
      </c>
      <c r="I524" s="125">
        <f>'ALL Other SINs - Proposal'!I524</f>
        <v>0</v>
      </c>
      <c r="J524" s="125">
        <f>'ALL Other SINs - Proposal'!J524</f>
        <v>0</v>
      </c>
      <c r="K524" s="125">
        <f>'ALL Other SINs - Proposal'!K524</f>
        <v>0</v>
      </c>
      <c r="L524" s="125">
        <f>'ALL Other SINs - Proposal'!L524</f>
        <v>0</v>
      </c>
      <c r="M524" s="206">
        <f>'ALL Other SINs - Proposal'!M524</f>
        <v>0</v>
      </c>
      <c r="N524" s="251">
        <f>'ALL Other SINs - Proposal'!V524</f>
        <v>0</v>
      </c>
      <c r="O524" s="201" t="str">
        <f>'Price Analysis'!N524</f>
        <v xml:space="preserve"> </v>
      </c>
      <c r="P524" s="53" t="str">
        <f>IF(ISBLANK('ALL Other SINs - Proposal'!AA524)," ",'ALL Other SINs - Proposal'!AA524)</f>
        <v xml:space="preserve"> </v>
      </c>
      <c r="Q524" s="95" t="str">
        <f>'ALL Other SINs - Proposal'!AC524</f>
        <v xml:space="preserve"> </v>
      </c>
      <c r="R524" s="100" t="str">
        <f>IF(ISBLANK('ALL Other SINs - Proposal'!AA524)," ",ROUND(Q524,2))</f>
        <v xml:space="preserve"> </v>
      </c>
      <c r="S524" s="54"/>
    </row>
    <row r="525" spans="1:19" ht="20.100000000000001" customHeight="1" x14ac:dyDescent="0.2">
      <c r="A525" s="127">
        <f>'ALL Other SINs - Proposal'!A525</f>
        <v>0</v>
      </c>
      <c r="B525" s="121">
        <f>'ALL Other SINs - Proposal'!B525</f>
        <v>0</v>
      </c>
      <c r="C525" s="121">
        <f>'ALL Other SINs - Proposal'!C525</f>
        <v>0</v>
      </c>
      <c r="D525" s="121">
        <f>'ALL Other SINs - Proposal'!D525</f>
        <v>0</v>
      </c>
      <c r="E525" s="121">
        <f>'ALL Other SINs - Proposal'!E525</f>
        <v>0</v>
      </c>
      <c r="F525" s="171">
        <f>'ALL Other SINs - Proposal'!F525</f>
        <v>0</v>
      </c>
      <c r="G525" s="51">
        <f>'ALL Other SINs - Proposal'!G525</f>
        <v>0</v>
      </c>
      <c r="H525" s="125">
        <f>'ALL Other SINs - Proposal'!H525</f>
        <v>0</v>
      </c>
      <c r="I525" s="125">
        <f>'ALL Other SINs - Proposal'!I525</f>
        <v>0</v>
      </c>
      <c r="J525" s="125">
        <f>'ALL Other SINs - Proposal'!J525</f>
        <v>0</v>
      </c>
      <c r="K525" s="125">
        <f>'ALL Other SINs - Proposal'!K525</f>
        <v>0</v>
      </c>
      <c r="L525" s="125">
        <f>'ALL Other SINs - Proposal'!L525</f>
        <v>0</v>
      </c>
      <c r="M525" s="206">
        <f>'ALL Other SINs - Proposal'!M525</f>
        <v>0</v>
      </c>
      <c r="N525" s="251">
        <f>'ALL Other SINs - Proposal'!V525</f>
        <v>0</v>
      </c>
      <c r="O525" s="201" t="str">
        <f>'Price Analysis'!N525</f>
        <v xml:space="preserve"> </v>
      </c>
      <c r="P525" s="53" t="str">
        <f>IF(ISBLANK('ALL Other SINs - Proposal'!AA525)," ",'ALL Other SINs - Proposal'!AA525)</f>
        <v xml:space="preserve"> </v>
      </c>
      <c r="Q525" s="95" t="str">
        <f>'ALL Other SINs - Proposal'!AC525</f>
        <v xml:space="preserve"> </v>
      </c>
      <c r="R525" s="100" t="str">
        <f>IF(ISBLANK('ALL Other SINs - Proposal'!AA525)," ",ROUND(Q525,2))</f>
        <v xml:space="preserve"> </v>
      </c>
      <c r="S525" s="54"/>
    </row>
    <row r="526" spans="1:19" ht="20.100000000000001" customHeight="1" x14ac:dyDescent="0.2">
      <c r="A526" s="127">
        <f>'ALL Other SINs - Proposal'!A526</f>
        <v>0</v>
      </c>
      <c r="B526" s="121">
        <f>'ALL Other SINs - Proposal'!B526</f>
        <v>0</v>
      </c>
      <c r="C526" s="121">
        <f>'ALL Other SINs - Proposal'!C526</f>
        <v>0</v>
      </c>
      <c r="D526" s="121">
        <f>'ALL Other SINs - Proposal'!D526</f>
        <v>0</v>
      </c>
      <c r="E526" s="121">
        <f>'ALL Other SINs - Proposal'!E526</f>
        <v>0</v>
      </c>
      <c r="F526" s="171">
        <f>'ALL Other SINs - Proposal'!F526</f>
        <v>0</v>
      </c>
      <c r="G526" s="51">
        <f>'ALL Other SINs - Proposal'!G526</f>
        <v>0</v>
      </c>
      <c r="H526" s="125">
        <f>'ALL Other SINs - Proposal'!H526</f>
        <v>0</v>
      </c>
      <c r="I526" s="125">
        <f>'ALL Other SINs - Proposal'!I526</f>
        <v>0</v>
      </c>
      <c r="J526" s="125">
        <f>'ALL Other SINs - Proposal'!J526</f>
        <v>0</v>
      </c>
      <c r="K526" s="125">
        <f>'ALL Other SINs - Proposal'!K526</f>
        <v>0</v>
      </c>
      <c r="L526" s="125">
        <f>'ALL Other SINs - Proposal'!L526</f>
        <v>0</v>
      </c>
      <c r="M526" s="206">
        <f>'ALL Other SINs - Proposal'!M526</f>
        <v>0</v>
      </c>
      <c r="N526" s="251">
        <f>'ALL Other SINs - Proposal'!V526</f>
        <v>0</v>
      </c>
      <c r="O526" s="201" t="str">
        <f>'Price Analysis'!N526</f>
        <v xml:space="preserve"> </v>
      </c>
      <c r="P526" s="53" t="str">
        <f>IF(ISBLANK('ALL Other SINs - Proposal'!AA526)," ",'ALL Other SINs - Proposal'!AA526)</f>
        <v xml:space="preserve"> </v>
      </c>
      <c r="Q526" s="95" t="str">
        <f>'ALL Other SINs - Proposal'!AC526</f>
        <v xml:space="preserve"> </v>
      </c>
      <c r="R526" s="100" t="str">
        <f>IF(ISBLANK('ALL Other SINs - Proposal'!AA526)," ",ROUND(Q526,2))</f>
        <v xml:space="preserve"> </v>
      </c>
      <c r="S526" s="54"/>
    </row>
    <row r="527" spans="1:19" ht="20.100000000000001" customHeight="1" x14ac:dyDescent="0.2">
      <c r="A527" s="127">
        <f>'ALL Other SINs - Proposal'!A527</f>
        <v>0</v>
      </c>
      <c r="B527" s="121">
        <f>'ALL Other SINs - Proposal'!B527</f>
        <v>0</v>
      </c>
      <c r="C527" s="121">
        <f>'ALL Other SINs - Proposal'!C527</f>
        <v>0</v>
      </c>
      <c r="D527" s="121">
        <f>'ALL Other SINs - Proposal'!D527</f>
        <v>0</v>
      </c>
      <c r="E527" s="121">
        <f>'ALL Other SINs - Proposal'!E527</f>
        <v>0</v>
      </c>
      <c r="F527" s="171">
        <f>'ALL Other SINs - Proposal'!F527</f>
        <v>0</v>
      </c>
      <c r="G527" s="51">
        <f>'ALL Other SINs - Proposal'!G527</f>
        <v>0</v>
      </c>
      <c r="H527" s="125">
        <f>'ALL Other SINs - Proposal'!H527</f>
        <v>0</v>
      </c>
      <c r="I527" s="125">
        <f>'ALL Other SINs - Proposal'!I527</f>
        <v>0</v>
      </c>
      <c r="J527" s="125">
        <f>'ALL Other SINs - Proposal'!J527</f>
        <v>0</v>
      </c>
      <c r="K527" s="125">
        <f>'ALL Other SINs - Proposal'!K527</f>
        <v>0</v>
      </c>
      <c r="L527" s="125">
        <f>'ALL Other SINs - Proposal'!L527</f>
        <v>0</v>
      </c>
      <c r="M527" s="206">
        <f>'ALL Other SINs - Proposal'!M527</f>
        <v>0</v>
      </c>
      <c r="N527" s="251">
        <f>'ALL Other SINs - Proposal'!V527</f>
        <v>0</v>
      </c>
      <c r="O527" s="201" t="str">
        <f>'Price Analysis'!N527</f>
        <v xml:space="preserve"> </v>
      </c>
      <c r="P527" s="53" t="str">
        <f>IF(ISBLANK('ALL Other SINs - Proposal'!AA527)," ",'ALL Other SINs - Proposal'!AA527)</f>
        <v xml:space="preserve"> </v>
      </c>
      <c r="Q527" s="95" t="str">
        <f>'ALL Other SINs - Proposal'!AC527</f>
        <v xml:space="preserve"> </v>
      </c>
      <c r="R527" s="100" t="str">
        <f>IF(ISBLANK('ALL Other SINs - Proposal'!AA527)," ",ROUND(Q527,2))</f>
        <v xml:space="preserve"> </v>
      </c>
      <c r="S527" s="54"/>
    </row>
    <row r="528" spans="1:19" ht="20.100000000000001" customHeight="1" x14ac:dyDescent="0.2">
      <c r="A528" s="127">
        <f>'ALL Other SINs - Proposal'!A528</f>
        <v>0</v>
      </c>
      <c r="B528" s="121">
        <f>'ALL Other SINs - Proposal'!B528</f>
        <v>0</v>
      </c>
      <c r="C528" s="121">
        <f>'ALL Other SINs - Proposal'!C528</f>
        <v>0</v>
      </c>
      <c r="D528" s="121">
        <f>'ALL Other SINs - Proposal'!D528</f>
        <v>0</v>
      </c>
      <c r="E528" s="121">
        <f>'ALL Other SINs - Proposal'!E528</f>
        <v>0</v>
      </c>
      <c r="F528" s="171">
        <f>'ALL Other SINs - Proposal'!F528</f>
        <v>0</v>
      </c>
      <c r="G528" s="51">
        <f>'ALL Other SINs - Proposal'!G528</f>
        <v>0</v>
      </c>
      <c r="H528" s="125">
        <f>'ALL Other SINs - Proposal'!H528</f>
        <v>0</v>
      </c>
      <c r="I528" s="125">
        <f>'ALL Other SINs - Proposal'!I528</f>
        <v>0</v>
      </c>
      <c r="J528" s="125">
        <f>'ALL Other SINs - Proposal'!J528</f>
        <v>0</v>
      </c>
      <c r="K528" s="125">
        <f>'ALL Other SINs - Proposal'!K528</f>
        <v>0</v>
      </c>
      <c r="L528" s="125">
        <f>'ALL Other SINs - Proposal'!L528</f>
        <v>0</v>
      </c>
      <c r="M528" s="206">
        <f>'ALL Other SINs - Proposal'!M528</f>
        <v>0</v>
      </c>
      <c r="N528" s="251">
        <f>'ALL Other SINs - Proposal'!V528</f>
        <v>0</v>
      </c>
      <c r="O528" s="201" t="str">
        <f>'Price Analysis'!N528</f>
        <v xml:space="preserve"> </v>
      </c>
      <c r="P528" s="53" t="str">
        <f>IF(ISBLANK('ALL Other SINs - Proposal'!AA528)," ",'ALL Other SINs - Proposal'!AA528)</f>
        <v xml:space="preserve"> </v>
      </c>
      <c r="Q528" s="95" t="str">
        <f>'ALL Other SINs - Proposal'!AC528</f>
        <v xml:space="preserve"> </v>
      </c>
      <c r="R528" s="100" t="str">
        <f>IF(ISBLANK('ALL Other SINs - Proposal'!AA528)," ",ROUND(Q528,2))</f>
        <v xml:space="preserve"> </v>
      </c>
      <c r="S528" s="54"/>
    </row>
    <row r="529" spans="1:19" ht="20.100000000000001" customHeight="1" x14ac:dyDescent="0.2">
      <c r="A529" s="127">
        <f>'ALL Other SINs - Proposal'!A529</f>
        <v>0</v>
      </c>
      <c r="B529" s="121">
        <f>'ALL Other SINs - Proposal'!B529</f>
        <v>0</v>
      </c>
      <c r="C529" s="121">
        <f>'ALL Other SINs - Proposal'!C529</f>
        <v>0</v>
      </c>
      <c r="D529" s="121">
        <f>'ALL Other SINs - Proposal'!D529</f>
        <v>0</v>
      </c>
      <c r="E529" s="121">
        <f>'ALL Other SINs - Proposal'!E529</f>
        <v>0</v>
      </c>
      <c r="F529" s="171">
        <f>'ALL Other SINs - Proposal'!F529</f>
        <v>0</v>
      </c>
      <c r="G529" s="51">
        <f>'ALL Other SINs - Proposal'!G529</f>
        <v>0</v>
      </c>
      <c r="H529" s="125">
        <f>'ALL Other SINs - Proposal'!H529</f>
        <v>0</v>
      </c>
      <c r="I529" s="125">
        <f>'ALL Other SINs - Proposal'!I529</f>
        <v>0</v>
      </c>
      <c r="J529" s="125">
        <f>'ALL Other SINs - Proposal'!J529</f>
        <v>0</v>
      </c>
      <c r="K529" s="125">
        <f>'ALL Other SINs - Proposal'!K529</f>
        <v>0</v>
      </c>
      <c r="L529" s="125">
        <f>'ALL Other SINs - Proposal'!L529</f>
        <v>0</v>
      </c>
      <c r="M529" s="206">
        <f>'ALL Other SINs - Proposal'!M529</f>
        <v>0</v>
      </c>
      <c r="N529" s="251">
        <f>'ALL Other SINs - Proposal'!V529</f>
        <v>0</v>
      </c>
      <c r="O529" s="201" t="str">
        <f>'Price Analysis'!N529</f>
        <v xml:space="preserve"> </v>
      </c>
      <c r="P529" s="53" t="str">
        <f>IF(ISBLANK('ALL Other SINs - Proposal'!AA529)," ",'ALL Other SINs - Proposal'!AA529)</f>
        <v xml:space="preserve"> </v>
      </c>
      <c r="Q529" s="95" t="str">
        <f>'ALL Other SINs - Proposal'!AC529</f>
        <v xml:space="preserve"> </v>
      </c>
      <c r="R529" s="100" t="str">
        <f>IF(ISBLANK('ALL Other SINs - Proposal'!AA529)," ",ROUND(Q529,2))</f>
        <v xml:space="preserve"> </v>
      </c>
      <c r="S529" s="54"/>
    </row>
    <row r="530" spans="1:19" ht="20.100000000000001" customHeight="1" x14ac:dyDescent="0.2">
      <c r="A530" s="127">
        <f>'ALL Other SINs - Proposal'!A530</f>
        <v>0</v>
      </c>
      <c r="B530" s="121">
        <f>'ALL Other SINs - Proposal'!B530</f>
        <v>0</v>
      </c>
      <c r="C530" s="121">
        <f>'ALL Other SINs - Proposal'!C530</f>
        <v>0</v>
      </c>
      <c r="D530" s="121">
        <f>'ALL Other SINs - Proposal'!D530</f>
        <v>0</v>
      </c>
      <c r="E530" s="121">
        <f>'ALL Other SINs - Proposal'!E530</f>
        <v>0</v>
      </c>
      <c r="F530" s="171">
        <f>'ALL Other SINs - Proposal'!F530</f>
        <v>0</v>
      </c>
      <c r="G530" s="51">
        <f>'ALL Other SINs - Proposal'!G530</f>
        <v>0</v>
      </c>
      <c r="H530" s="125">
        <f>'ALL Other SINs - Proposal'!H530</f>
        <v>0</v>
      </c>
      <c r="I530" s="125">
        <f>'ALL Other SINs - Proposal'!I530</f>
        <v>0</v>
      </c>
      <c r="J530" s="125">
        <f>'ALL Other SINs - Proposal'!J530</f>
        <v>0</v>
      </c>
      <c r="K530" s="125">
        <f>'ALL Other SINs - Proposal'!K530</f>
        <v>0</v>
      </c>
      <c r="L530" s="125">
        <f>'ALL Other SINs - Proposal'!L530</f>
        <v>0</v>
      </c>
      <c r="M530" s="206">
        <f>'ALL Other SINs - Proposal'!M530</f>
        <v>0</v>
      </c>
      <c r="N530" s="251">
        <f>'ALL Other SINs - Proposal'!V530</f>
        <v>0</v>
      </c>
      <c r="O530" s="201" t="str">
        <f>'Price Analysis'!N530</f>
        <v xml:space="preserve"> </v>
      </c>
      <c r="P530" s="53" t="str">
        <f>IF(ISBLANK('ALL Other SINs - Proposal'!AA530)," ",'ALL Other SINs - Proposal'!AA530)</f>
        <v xml:space="preserve"> </v>
      </c>
      <c r="Q530" s="95" t="str">
        <f>'ALL Other SINs - Proposal'!AC530</f>
        <v xml:space="preserve"> </v>
      </c>
      <c r="R530" s="100" t="str">
        <f>IF(ISBLANK('ALL Other SINs - Proposal'!AA530)," ",ROUND(Q530,2))</f>
        <v xml:space="preserve"> </v>
      </c>
      <c r="S530" s="54"/>
    </row>
    <row r="531" spans="1:19" ht="20.100000000000001" customHeight="1" x14ac:dyDescent="0.2">
      <c r="A531" s="127">
        <f>'ALL Other SINs - Proposal'!A531</f>
        <v>0</v>
      </c>
      <c r="B531" s="121">
        <f>'ALL Other SINs - Proposal'!B531</f>
        <v>0</v>
      </c>
      <c r="C531" s="121">
        <f>'ALL Other SINs - Proposal'!C531</f>
        <v>0</v>
      </c>
      <c r="D531" s="121">
        <f>'ALL Other SINs - Proposal'!D531</f>
        <v>0</v>
      </c>
      <c r="E531" s="121">
        <f>'ALL Other SINs - Proposal'!E531</f>
        <v>0</v>
      </c>
      <c r="F531" s="171">
        <f>'ALL Other SINs - Proposal'!F531</f>
        <v>0</v>
      </c>
      <c r="G531" s="51">
        <f>'ALL Other SINs - Proposal'!G531</f>
        <v>0</v>
      </c>
      <c r="H531" s="125">
        <f>'ALL Other SINs - Proposal'!H531</f>
        <v>0</v>
      </c>
      <c r="I531" s="125">
        <f>'ALL Other SINs - Proposal'!I531</f>
        <v>0</v>
      </c>
      <c r="J531" s="125">
        <f>'ALL Other SINs - Proposal'!J531</f>
        <v>0</v>
      </c>
      <c r="K531" s="125">
        <f>'ALL Other SINs - Proposal'!K531</f>
        <v>0</v>
      </c>
      <c r="L531" s="125">
        <f>'ALL Other SINs - Proposal'!L531</f>
        <v>0</v>
      </c>
      <c r="M531" s="206">
        <f>'ALL Other SINs - Proposal'!M531</f>
        <v>0</v>
      </c>
      <c r="N531" s="251">
        <f>'ALL Other SINs - Proposal'!V531</f>
        <v>0</v>
      </c>
      <c r="O531" s="201" t="str">
        <f>'Price Analysis'!N531</f>
        <v xml:space="preserve"> </v>
      </c>
      <c r="P531" s="53" t="str">
        <f>IF(ISBLANK('ALL Other SINs - Proposal'!AA531)," ",'ALL Other SINs - Proposal'!AA531)</f>
        <v xml:space="preserve"> </v>
      </c>
      <c r="Q531" s="95" t="str">
        <f>'ALL Other SINs - Proposal'!AC531</f>
        <v xml:space="preserve"> </v>
      </c>
      <c r="R531" s="100" t="str">
        <f>IF(ISBLANK('ALL Other SINs - Proposal'!AA531)," ",ROUND(Q531,2))</f>
        <v xml:space="preserve"> </v>
      </c>
      <c r="S531" s="54"/>
    </row>
    <row r="532" spans="1:19" ht="20.100000000000001" customHeight="1" x14ac:dyDescent="0.2">
      <c r="A532" s="127">
        <f>'ALL Other SINs - Proposal'!A532</f>
        <v>0</v>
      </c>
      <c r="B532" s="121">
        <f>'ALL Other SINs - Proposal'!B532</f>
        <v>0</v>
      </c>
      <c r="C532" s="121">
        <f>'ALL Other SINs - Proposal'!C532</f>
        <v>0</v>
      </c>
      <c r="D532" s="121">
        <f>'ALL Other SINs - Proposal'!D532</f>
        <v>0</v>
      </c>
      <c r="E532" s="121">
        <f>'ALL Other SINs - Proposal'!E532</f>
        <v>0</v>
      </c>
      <c r="F532" s="171">
        <f>'ALL Other SINs - Proposal'!F532</f>
        <v>0</v>
      </c>
      <c r="G532" s="51">
        <f>'ALL Other SINs - Proposal'!G532</f>
        <v>0</v>
      </c>
      <c r="H532" s="125">
        <f>'ALL Other SINs - Proposal'!H532</f>
        <v>0</v>
      </c>
      <c r="I532" s="125">
        <f>'ALL Other SINs - Proposal'!I532</f>
        <v>0</v>
      </c>
      <c r="J532" s="125">
        <f>'ALL Other SINs - Proposal'!J532</f>
        <v>0</v>
      </c>
      <c r="K532" s="125">
        <f>'ALL Other SINs - Proposal'!K532</f>
        <v>0</v>
      </c>
      <c r="L532" s="125">
        <f>'ALL Other SINs - Proposal'!L532</f>
        <v>0</v>
      </c>
      <c r="M532" s="206">
        <f>'ALL Other SINs - Proposal'!M532</f>
        <v>0</v>
      </c>
      <c r="N532" s="251">
        <f>'ALL Other SINs - Proposal'!V532</f>
        <v>0</v>
      </c>
      <c r="O532" s="201" t="str">
        <f>'Price Analysis'!N532</f>
        <v xml:space="preserve"> </v>
      </c>
      <c r="P532" s="53" t="str">
        <f>IF(ISBLANK('ALL Other SINs - Proposal'!AA532)," ",'ALL Other SINs - Proposal'!AA532)</f>
        <v xml:space="preserve"> </v>
      </c>
      <c r="Q532" s="95" t="str">
        <f>'ALL Other SINs - Proposal'!AC532</f>
        <v xml:space="preserve"> </v>
      </c>
      <c r="R532" s="100" t="str">
        <f>IF(ISBLANK('ALL Other SINs - Proposal'!AA532)," ",ROUND(Q532,2))</f>
        <v xml:space="preserve"> </v>
      </c>
      <c r="S532" s="54"/>
    </row>
    <row r="533" spans="1:19" ht="20.100000000000001" customHeight="1" x14ac:dyDescent="0.2">
      <c r="A533" s="127">
        <f>'ALL Other SINs - Proposal'!A533</f>
        <v>0</v>
      </c>
      <c r="B533" s="121">
        <f>'ALL Other SINs - Proposal'!B533</f>
        <v>0</v>
      </c>
      <c r="C533" s="121">
        <f>'ALL Other SINs - Proposal'!C533</f>
        <v>0</v>
      </c>
      <c r="D533" s="121">
        <f>'ALL Other SINs - Proposal'!D533</f>
        <v>0</v>
      </c>
      <c r="E533" s="121">
        <f>'ALL Other SINs - Proposal'!E533</f>
        <v>0</v>
      </c>
      <c r="F533" s="171">
        <f>'ALL Other SINs - Proposal'!F533</f>
        <v>0</v>
      </c>
      <c r="G533" s="51">
        <f>'ALL Other SINs - Proposal'!G533</f>
        <v>0</v>
      </c>
      <c r="H533" s="125">
        <f>'ALL Other SINs - Proposal'!H533</f>
        <v>0</v>
      </c>
      <c r="I533" s="125">
        <f>'ALL Other SINs - Proposal'!I533</f>
        <v>0</v>
      </c>
      <c r="J533" s="125">
        <f>'ALL Other SINs - Proposal'!J533</f>
        <v>0</v>
      </c>
      <c r="K533" s="125">
        <f>'ALL Other SINs - Proposal'!K533</f>
        <v>0</v>
      </c>
      <c r="L533" s="125">
        <f>'ALL Other SINs - Proposal'!L533</f>
        <v>0</v>
      </c>
      <c r="M533" s="206">
        <f>'ALL Other SINs - Proposal'!M533</f>
        <v>0</v>
      </c>
      <c r="N533" s="251">
        <f>'ALL Other SINs - Proposal'!V533</f>
        <v>0</v>
      </c>
      <c r="O533" s="201" t="str">
        <f>'Price Analysis'!N533</f>
        <v xml:space="preserve"> </v>
      </c>
      <c r="P533" s="53" t="str">
        <f>IF(ISBLANK('ALL Other SINs - Proposal'!AA533)," ",'ALL Other SINs - Proposal'!AA533)</f>
        <v xml:space="preserve"> </v>
      </c>
      <c r="Q533" s="95" t="str">
        <f>'ALL Other SINs - Proposal'!AC533</f>
        <v xml:space="preserve"> </v>
      </c>
      <c r="R533" s="100" t="str">
        <f>IF(ISBLANK('ALL Other SINs - Proposal'!AA533)," ",ROUND(Q533,2))</f>
        <v xml:space="preserve"> </v>
      </c>
      <c r="S533" s="54"/>
    </row>
    <row r="534" spans="1:19" ht="20.100000000000001" customHeight="1" x14ac:dyDescent="0.2">
      <c r="A534" s="127">
        <f>'ALL Other SINs - Proposal'!A534</f>
        <v>0</v>
      </c>
      <c r="B534" s="121">
        <f>'ALL Other SINs - Proposal'!B534</f>
        <v>0</v>
      </c>
      <c r="C534" s="121">
        <f>'ALL Other SINs - Proposal'!C534</f>
        <v>0</v>
      </c>
      <c r="D534" s="121">
        <f>'ALL Other SINs - Proposal'!D534</f>
        <v>0</v>
      </c>
      <c r="E534" s="121">
        <f>'ALL Other SINs - Proposal'!E534</f>
        <v>0</v>
      </c>
      <c r="F534" s="171">
        <f>'ALL Other SINs - Proposal'!F534</f>
        <v>0</v>
      </c>
      <c r="G534" s="51">
        <f>'ALL Other SINs - Proposal'!G534</f>
        <v>0</v>
      </c>
      <c r="H534" s="125">
        <f>'ALL Other SINs - Proposal'!H534</f>
        <v>0</v>
      </c>
      <c r="I534" s="125">
        <f>'ALL Other SINs - Proposal'!I534</f>
        <v>0</v>
      </c>
      <c r="J534" s="125">
        <f>'ALL Other SINs - Proposal'!J534</f>
        <v>0</v>
      </c>
      <c r="K534" s="125">
        <f>'ALL Other SINs - Proposal'!K534</f>
        <v>0</v>
      </c>
      <c r="L534" s="125">
        <f>'ALL Other SINs - Proposal'!L534</f>
        <v>0</v>
      </c>
      <c r="M534" s="206">
        <f>'ALL Other SINs - Proposal'!M534</f>
        <v>0</v>
      </c>
      <c r="N534" s="251">
        <f>'ALL Other SINs - Proposal'!V534</f>
        <v>0</v>
      </c>
      <c r="O534" s="201" t="str">
        <f>'Price Analysis'!N534</f>
        <v xml:space="preserve"> </v>
      </c>
      <c r="P534" s="53" t="str">
        <f>IF(ISBLANK('ALL Other SINs - Proposal'!AA534)," ",'ALL Other SINs - Proposal'!AA534)</f>
        <v xml:space="preserve"> </v>
      </c>
      <c r="Q534" s="95" t="str">
        <f>'ALL Other SINs - Proposal'!AC534</f>
        <v xml:space="preserve"> </v>
      </c>
      <c r="R534" s="100" t="str">
        <f>IF(ISBLANK('ALL Other SINs - Proposal'!AA534)," ",ROUND(Q534,2))</f>
        <v xml:space="preserve"> </v>
      </c>
      <c r="S534" s="54"/>
    </row>
    <row r="535" spans="1:19" ht="20.100000000000001" customHeight="1" x14ac:dyDescent="0.2">
      <c r="A535" s="127">
        <f>'ALL Other SINs - Proposal'!A535</f>
        <v>0</v>
      </c>
      <c r="B535" s="121">
        <f>'ALL Other SINs - Proposal'!B535</f>
        <v>0</v>
      </c>
      <c r="C535" s="121">
        <f>'ALL Other SINs - Proposal'!C535</f>
        <v>0</v>
      </c>
      <c r="D535" s="121">
        <f>'ALL Other SINs - Proposal'!D535</f>
        <v>0</v>
      </c>
      <c r="E535" s="121">
        <f>'ALL Other SINs - Proposal'!E535</f>
        <v>0</v>
      </c>
      <c r="F535" s="171">
        <f>'ALL Other SINs - Proposal'!F535</f>
        <v>0</v>
      </c>
      <c r="G535" s="51">
        <f>'ALL Other SINs - Proposal'!G535</f>
        <v>0</v>
      </c>
      <c r="H535" s="125">
        <f>'ALL Other SINs - Proposal'!H535</f>
        <v>0</v>
      </c>
      <c r="I535" s="125">
        <f>'ALL Other SINs - Proposal'!I535</f>
        <v>0</v>
      </c>
      <c r="J535" s="125">
        <f>'ALL Other SINs - Proposal'!J535</f>
        <v>0</v>
      </c>
      <c r="K535" s="125">
        <f>'ALL Other SINs - Proposal'!K535</f>
        <v>0</v>
      </c>
      <c r="L535" s="125">
        <f>'ALL Other SINs - Proposal'!L535</f>
        <v>0</v>
      </c>
      <c r="M535" s="206">
        <f>'ALL Other SINs - Proposal'!M535</f>
        <v>0</v>
      </c>
      <c r="N535" s="251">
        <f>'ALL Other SINs - Proposal'!V535</f>
        <v>0</v>
      </c>
      <c r="O535" s="201" t="str">
        <f>'Price Analysis'!N535</f>
        <v xml:space="preserve"> </v>
      </c>
      <c r="P535" s="53" t="str">
        <f>IF(ISBLANK('ALL Other SINs - Proposal'!AA535)," ",'ALL Other SINs - Proposal'!AA535)</f>
        <v xml:space="preserve"> </v>
      </c>
      <c r="Q535" s="95" t="str">
        <f>'ALL Other SINs - Proposal'!AC535</f>
        <v xml:space="preserve"> </v>
      </c>
      <c r="R535" s="100" t="str">
        <f>IF(ISBLANK('ALL Other SINs - Proposal'!AA535)," ",ROUND(Q535,2))</f>
        <v xml:space="preserve"> </v>
      </c>
      <c r="S535" s="54"/>
    </row>
    <row r="536" spans="1:19" ht="20.100000000000001" customHeight="1" x14ac:dyDescent="0.2">
      <c r="A536" s="127">
        <f>'ALL Other SINs - Proposal'!A536</f>
        <v>0</v>
      </c>
      <c r="B536" s="121">
        <f>'ALL Other SINs - Proposal'!B536</f>
        <v>0</v>
      </c>
      <c r="C536" s="121">
        <f>'ALL Other SINs - Proposal'!C536</f>
        <v>0</v>
      </c>
      <c r="D536" s="121">
        <f>'ALL Other SINs - Proposal'!D536</f>
        <v>0</v>
      </c>
      <c r="E536" s="121">
        <f>'ALL Other SINs - Proposal'!E536</f>
        <v>0</v>
      </c>
      <c r="F536" s="171">
        <f>'ALL Other SINs - Proposal'!F536</f>
        <v>0</v>
      </c>
      <c r="G536" s="51">
        <f>'ALL Other SINs - Proposal'!G536</f>
        <v>0</v>
      </c>
      <c r="H536" s="125">
        <f>'ALL Other SINs - Proposal'!H536</f>
        <v>0</v>
      </c>
      <c r="I536" s="125">
        <f>'ALL Other SINs - Proposal'!I536</f>
        <v>0</v>
      </c>
      <c r="J536" s="125">
        <f>'ALL Other SINs - Proposal'!J536</f>
        <v>0</v>
      </c>
      <c r="K536" s="125">
        <f>'ALL Other SINs - Proposal'!K536</f>
        <v>0</v>
      </c>
      <c r="L536" s="125">
        <f>'ALL Other SINs - Proposal'!L536</f>
        <v>0</v>
      </c>
      <c r="M536" s="206">
        <f>'ALL Other SINs - Proposal'!M536</f>
        <v>0</v>
      </c>
      <c r="N536" s="251">
        <f>'ALL Other SINs - Proposal'!V536</f>
        <v>0</v>
      </c>
      <c r="O536" s="201" t="str">
        <f>'Price Analysis'!N536</f>
        <v xml:space="preserve"> </v>
      </c>
      <c r="P536" s="53" t="str">
        <f>IF(ISBLANK('ALL Other SINs - Proposal'!AA536)," ",'ALL Other SINs - Proposal'!AA536)</f>
        <v xml:space="preserve"> </v>
      </c>
      <c r="Q536" s="95" t="str">
        <f>'ALL Other SINs - Proposal'!AC536</f>
        <v xml:space="preserve"> </v>
      </c>
      <c r="R536" s="100" t="str">
        <f>IF(ISBLANK('ALL Other SINs - Proposal'!AA536)," ",ROUND(Q536,2))</f>
        <v xml:space="preserve"> </v>
      </c>
      <c r="S536" s="54"/>
    </row>
    <row r="537" spans="1:19" ht="20.100000000000001" customHeight="1" x14ac:dyDescent="0.2">
      <c r="A537" s="127">
        <f>'ALL Other SINs - Proposal'!A537</f>
        <v>0</v>
      </c>
      <c r="B537" s="121">
        <f>'ALL Other SINs - Proposal'!B537</f>
        <v>0</v>
      </c>
      <c r="C537" s="121">
        <f>'ALL Other SINs - Proposal'!C537</f>
        <v>0</v>
      </c>
      <c r="D537" s="121">
        <f>'ALL Other SINs - Proposal'!D537</f>
        <v>0</v>
      </c>
      <c r="E537" s="121">
        <f>'ALL Other SINs - Proposal'!E537</f>
        <v>0</v>
      </c>
      <c r="F537" s="171">
        <f>'ALL Other SINs - Proposal'!F537</f>
        <v>0</v>
      </c>
      <c r="G537" s="51">
        <f>'ALL Other SINs - Proposal'!G537</f>
        <v>0</v>
      </c>
      <c r="H537" s="125">
        <f>'ALL Other SINs - Proposal'!H537</f>
        <v>0</v>
      </c>
      <c r="I537" s="125">
        <f>'ALL Other SINs - Proposal'!I537</f>
        <v>0</v>
      </c>
      <c r="J537" s="125">
        <f>'ALL Other SINs - Proposal'!J537</f>
        <v>0</v>
      </c>
      <c r="K537" s="125">
        <f>'ALL Other SINs - Proposal'!K537</f>
        <v>0</v>
      </c>
      <c r="L537" s="125">
        <f>'ALL Other SINs - Proposal'!L537</f>
        <v>0</v>
      </c>
      <c r="M537" s="206">
        <f>'ALL Other SINs - Proposal'!M537</f>
        <v>0</v>
      </c>
      <c r="N537" s="251">
        <f>'ALL Other SINs - Proposal'!V537</f>
        <v>0</v>
      </c>
      <c r="O537" s="201" t="str">
        <f>'Price Analysis'!N537</f>
        <v xml:space="preserve"> </v>
      </c>
      <c r="P537" s="53" t="str">
        <f>IF(ISBLANK('ALL Other SINs - Proposal'!AA537)," ",'ALL Other SINs - Proposal'!AA537)</f>
        <v xml:space="preserve"> </v>
      </c>
      <c r="Q537" s="95" t="str">
        <f>'ALL Other SINs - Proposal'!AC537</f>
        <v xml:space="preserve"> </v>
      </c>
      <c r="R537" s="100" t="str">
        <f>IF(ISBLANK('ALL Other SINs - Proposal'!AA537)," ",ROUND(Q537,2))</f>
        <v xml:space="preserve"> </v>
      </c>
      <c r="S537" s="54"/>
    </row>
    <row r="538" spans="1:19" ht="20.100000000000001" customHeight="1" x14ac:dyDescent="0.2">
      <c r="A538" s="127">
        <f>'ALL Other SINs - Proposal'!A538</f>
        <v>0</v>
      </c>
      <c r="B538" s="121">
        <f>'ALL Other SINs - Proposal'!B538</f>
        <v>0</v>
      </c>
      <c r="C538" s="121">
        <f>'ALL Other SINs - Proposal'!C538</f>
        <v>0</v>
      </c>
      <c r="D538" s="121">
        <f>'ALL Other SINs - Proposal'!D538</f>
        <v>0</v>
      </c>
      <c r="E538" s="121">
        <f>'ALL Other SINs - Proposal'!E538</f>
        <v>0</v>
      </c>
      <c r="F538" s="171">
        <f>'ALL Other SINs - Proposal'!F538</f>
        <v>0</v>
      </c>
      <c r="G538" s="51">
        <f>'ALL Other SINs - Proposal'!G538</f>
        <v>0</v>
      </c>
      <c r="H538" s="125">
        <f>'ALL Other SINs - Proposal'!H538</f>
        <v>0</v>
      </c>
      <c r="I538" s="125">
        <f>'ALL Other SINs - Proposal'!I538</f>
        <v>0</v>
      </c>
      <c r="J538" s="125">
        <f>'ALL Other SINs - Proposal'!J538</f>
        <v>0</v>
      </c>
      <c r="K538" s="125">
        <f>'ALL Other SINs - Proposal'!K538</f>
        <v>0</v>
      </c>
      <c r="L538" s="125">
        <f>'ALL Other SINs - Proposal'!L538</f>
        <v>0</v>
      </c>
      <c r="M538" s="206">
        <f>'ALL Other SINs - Proposal'!M538</f>
        <v>0</v>
      </c>
      <c r="N538" s="251">
        <f>'ALL Other SINs - Proposal'!V538</f>
        <v>0</v>
      </c>
      <c r="O538" s="201" t="str">
        <f>'Price Analysis'!N538</f>
        <v xml:space="preserve"> </v>
      </c>
      <c r="P538" s="53" t="str">
        <f>IF(ISBLANK('ALL Other SINs - Proposal'!AA538)," ",'ALL Other SINs - Proposal'!AA538)</f>
        <v xml:space="preserve"> </v>
      </c>
      <c r="Q538" s="95" t="str">
        <f>'ALL Other SINs - Proposal'!AC538</f>
        <v xml:space="preserve"> </v>
      </c>
      <c r="R538" s="100" t="str">
        <f>IF(ISBLANK('ALL Other SINs - Proposal'!AA538)," ",ROUND(Q538,2))</f>
        <v xml:space="preserve"> </v>
      </c>
      <c r="S538" s="54"/>
    </row>
    <row r="539" spans="1:19" ht="20.100000000000001" customHeight="1" x14ac:dyDescent="0.2">
      <c r="A539" s="127">
        <f>'ALL Other SINs - Proposal'!A539</f>
        <v>0</v>
      </c>
      <c r="B539" s="121">
        <f>'ALL Other SINs - Proposal'!B539</f>
        <v>0</v>
      </c>
      <c r="C539" s="121">
        <f>'ALL Other SINs - Proposal'!C539</f>
        <v>0</v>
      </c>
      <c r="D539" s="121">
        <f>'ALL Other SINs - Proposal'!D539</f>
        <v>0</v>
      </c>
      <c r="E539" s="121">
        <f>'ALL Other SINs - Proposal'!E539</f>
        <v>0</v>
      </c>
      <c r="F539" s="171">
        <f>'ALL Other SINs - Proposal'!F539</f>
        <v>0</v>
      </c>
      <c r="G539" s="51">
        <f>'ALL Other SINs - Proposal'!G539</f>
        <v>0</v>
      </c>
      <c r="H539" s="125">
        <f>'ALL Other SINs - Proposal'!H539</f>
        <v>0</v>
      </c>
      <c r="I539" s="125">
        <f>'ALL Other SINs - Proposal'!I539</f>
        <v>0</v>
      </c>
      <c r="J539" s="125">
        <f>'ALL Other SINs - Proposal'!J539</f>
        <v>0</v>
      </c>
      <c r="K539" s="125">
        <f>'ALL Other SINs - Proposal'!K539</f>
        <v>0</v>
      </c>
      <c r="L539" s="125">
        <f>'ALL Other SINs - Proposal'!L539</f>
        <v>0</v>
      </c>
      <c r="M539" s="206">
        <f>'ALL Other SINs - Proposal'!M539</f>
        <v>0</v>
      </c>
      <c r="N539" s="251">
        <f>'ALL Other SINs - Proposal'!V539</f>
        <v>0</v>
      </c>
      <c r="O539" s="201" t="str">
        <f>'Price Analysis'!N539</f>
        <v xml:space="preserve"> </v>
      </c>
      <c r="P539" s="53" t="str">
        <f>IF(ISBLANK('ALL Other SINs - Proposal'!AA539)," ",'ALL Other SINs - Proposal'!AA539)</f>
        <v xml:space="preserve"> </v>
      </c>
      <c r="Q539" s="95" t="str">
        <f>'ALL Other SINs - Proposal'!AC539</f>
        <v xml:space="preserve"> </v>
      </c>
      <c r="R539" s="100" t="str">
        <f>IF(ISBLANK('ALL Other SINs - Proposal'!AA539)," ",ROUND(Q539,2))</f>
        <v xml:space="preserve"> </v>
      </c>
      <c r="S539" s="54"/>
    </row>
    <row r="540" spans="1:19" ht="20.100000000000001" customHeight="1" x14ac:dyDescent="0.2">
      <c r="A540" s="127">
        <f>'ALL Other SINs - Proposal'!A540</f>
        <v>0</v>
      </c>
      <c r="B540" s="121">
        <f>'ALL Other SINs - Proposal'!B540</f>
        <v>0</v>
      </c>
      <c r="C540" s="121">
        <f>'ALL Other SINs - Proposal'!C540</f>
        <v>0</v>
      </c>
      <c r="D540" s="121">
        <f>'ALL Other SINs - Proposal'!D540</f>
        <v>0</v>
      </c>
      <c r="E540" s="121">
        <f>'ALL Other SINs - Proposal'!E540</f>
        <v>0</v>
      </c>
      <c r="F540" s="171">
        <f>'ALL Other SINs - Proposal'!F540</f>
        <v>0</v>
      </c>
      <c r="G540" s="51">
        <f>'ALL Other SINs - Proposal'!G540</f>
        <v>0</v>
      </c>
      <c r="H540" s="125">
        <f>'ALL Other SINs - Proposal'!H540</f>
        <v>0</v>
      </c>
      <c r="I540" s="125">
        <f>'ALL Other SINs - Proposal'!I540</f>
        <v>0</v>
      </c>
      <c r="J540" s="125">
        <f>'ALL Other SINs - Proposal'!J540</f>
        <v>0</v>
      </c>
      <c r="K540" s="125">
        <f>'ALL Other SINs - Proposal'!K540</f>
        <v>0</v>
      </c>
      <c r="L540" s="125">
        <f>'ALL Other SINs - Proposal'!L540</f>
        <v>0</v>
      </c>
      <c r="M540" s="206">
        <f>'ALL Other SINs - Proposal'!M540</f>
        <v>0</v>
      </c>
      <c r="N540" s="251">
        <f>'ALL Other SINs - Proposal'!V540</f>
        <v>0</v>
      </c>
      <c r="O540" s="201" t="str">
        <f>'Price Analysis'!N540</f>
        <v xml:space="preserve"> </v>
      </c>
      <c r="P540" s="53" t="str">
        <f>IF(ISBLANK('ALL Other SINs - Proposal'!AA540)," ",'ALL Other SINs - Proposal'!AA540)</f>
        <v xml:space="preserve"> </v>
      </c>
      <c r="Q540" s="95" t="str">
        <f>'ALL Other SINs - Proposal'!AC540</f>
        <v xml:space="preserve"> </v>
      </c>
      <c r="R540" s="100" t="str">
        <f>IF(ISBLANK('ALL Other SINs - Proposal'!AA540)," ",ROUND(Q540,2))</f>
        <v xml:space="preserve"> </v>
      </c>
      <c r="S540" s="54"/>
    </row>
    <row r="541" spans="1:19" ht="20.100000000000001" customHeight="1" x14ac:dyDescent="0.2">
      <c r="A541" s="127">
        <f>'ALL Other SINs - Proposal'!A541</f>
        <v>0</v>
      </c>
      <c r="B541" s="121">
        <f>'ALL Other SINs - Proposal'!B541</f>
        <v>0</v>
      </c>
      <c r="C541" s="121">
        <f>'ALL Other SINs - Proposal'!C541</f>
        <v>0</v>
      </c>
      <c r="D541" s="121">
        <f>'ALL Other SINs - Proposal'!D541</f>
        <v>0</v>
      </c>
      <c r="E541" s="121">
        <f>'ALL Other SINs - Proposal'!E541</f>
        <v>0</v>
      </c>
      <c r="F541" s="171">
        <f>'ALL Other SINs - Proposal'!F541</f>
        <v>0</v>
      </c>
      <c r="G541" s="51">
        <f>'ALL Other SINs - Proposal'!G541</f>
        <v>0</v>
      </c>
      <c r="H541" s="125">
        <f>'ALL Other SINs - Proposal'!H541</f>
        <v>0</v>
      </c>
      <c r="I541" s="125">
        <f>'ALL Other SINs - Proposal'!I541</f>
        <v>0</v>
      </c>
      <c r="J541" s="125">
        <f>'ALL Other SINs - Proposal'!J541</f>
        <v>0</v>
      </c>
      <c r="K541" s="125">
        <f>'ALL Other SINs - Proposal'!K541</f>
        <v>0</v>
      </c>
      <c r="L541" s="125">
        <f>'ALL Other SINs - Proposal'!L541</f>
        <v>0</v>
      </c>
      <c r="M541" s="206">
        <f>'ALL Other SINs - Proposal'!M541</f>
        <v>0</v>
      </c>
      <c r="N541" s="251">
        <f>'ALL Other SINs - Proposal'!V541</f>
        <v>0</v>
      </c>
      <c r="O541" s="201" t="str">
        <f>'Price Analysis'!N541</f>
        <v xml:space="preserve"> </v>
      </c>
      <c r="P541" s="53" t="str">
        <f>IF(ISBLANK('ALL Other SINs - Proposal'!AA541)," ",'ALL Other SINs - Proposal'!AA541)</f>
        <v xml:space="preserve"> </v>
      </c>
      <c r="Q541" s="95" t="str">
        <f>'ALL Other SINs - Proposal'!AC541</f>
        <v xml:space="preserve"> </v>
      </c>
      <c r="R541" s="100" t="str">
        <f>IF(ISBLANK('ALL Other SINs - Proposal'!AA541)," ",ROUND(Q541,2))</f>
        <v xml:space="preserve"> </v>
      </c>
      <c r="S541" s="54"/>
    </row>
    <row r="542" spans="1:19" ht="20.100000000000001" customHeight="1" x14ac:dyDescent="0.2">
      <c r="A542" s="127">
        <f>'ALL Other SINs - Proposal'!A542</f>
        <v>0</v>
      </c>
      <c r="B542" s="121">
        <f>'ALL Other SINs - Proposal'!B542</f>
        <v>0</v>
      </c>
      <c r="C542" s="121">
        <f>'ALL Other SINs - Proposal'!C542</f>
        <v>0</v>
      </c>
      <c r="D542" s="121">
        <f>'ALL Other SINs - Proposal'!D542</f>
        <v>0</v>
      </c>
      <c r="E542" s="121">
        <f>'ALL Other SINs - Proposal'!E542</f>
        <v>0</v>
      </c>
      <c r="F542" s="171">
        <f>'ALL Other SINs - Proposal'!F542</f>
        <v>0</v>
      </c>
      <c r="G542" s="51">
        <f>'ALL Other SINs - Proposal'!G542</f>
        <v>0</v>
      </c>
      <c r="H542" s="125">
        <f>'ALL Other SINs - Proposal'!H542</f>
        <v>0</v>
      </c>
      <c r="I542" s="125">
        <f>'ALL Other SINs - Proposal'!I542</f>
        <v>0</v>
      </c>
      <c r="J542" s="125">
        <f>'ALL Other SINs - Proposal'!J542</f>
        <v>0</v>
      </c>
      <c r="K542" s="125">
        <f>'ALL Other SINs - Proposal'!K542</f>
        <v>0</v>
      </c>
      <c r="L542" s="125">
        <f>'ALL Other SINs - Proposal'!L542</f>
        <v>0</v>
      </c>
      <c r="M542" s="206">
        <f>'ALL Other SINs - Proposal'!M542</f>
        <v>0</v>
      </c>
      <c r="N542" s="251">
        <f>'ALL Other SINs - Proposal'!V542</f>
        <v>0</v>
      </c>
      <c r="O542" s="201" t="str">
        <f>'Price Analysis'!N542</f>
        <v xml:space="preserve"> </v>
      </c>
      <c r="P542" s="53" t="str">
        <f>IF(ISBLANK('ALL Other SINs - Proposal'!AA542)," ",'ALL Other SINs - Proposal'!AA542)</f>
        <v xml:space="preserve"> </v>
      </c>
      <c r="Q542" s="95" t="str">
        <f>'ALL Other SINs - Proposal'!AC542</f>
        <v xml:space="preserve"> </v>
      </c>
      <c r="R542" s="100" t="str">
        <f>IF(ISBLANK('ALL Other SINs - Proposal'!AA542)," ",ROUND(Q542,2))</f>
        <v xml:space="preserve"> </v>
      </c>
      <c r="S542" s="54"/>
    </row>
    <row r="543" spans="1:19" ht="20.100000000000001" customHeight="1" x14ac:dyDescent="0.2">
      <c r="A543" s="127">
        <f>'ALL Other SINs - Proposal'!A543</f>
        <v>0</v>
      </c>
      <c r="B543" s="121">
        <f>'ALL Other SINs - Proposal'!B543</f>
        <v>0</v>
      </c>
      <c r="C543" s="121">
        <f>'ALL Other SINs - Proposal'!C543</f>
        <v>0</v>
      </c>
      <c r="D543" s="121">
        <f>'ALL Other SINs - Proposal'!D543</f>
        <v>0</v>
      </c>
      <c r="E543" s="121">
        <f>'ALL Other SINs - Proposal'!E543</f>
        <v>0</v>
      </c>
      <c r="F543" s="171">
        <f>'ALL Other SINs - Proposal'!F543</f>
        <v>0</v>
      </c>
      <c r="G543" s="51">
        <f>'ALL Other SINs - Proposal'!G543</f>
        <v>0</v>
      </c>
      <c r="H543" s="125">
        <f>'ALL Other SINs - Proposal'!H543</f>
        <v>0</v>
      </c>
      <c r="I543" s="125">
        <f>'ALL Other SINs - Proposal'!I543</f>
        <v>0</v>
      </c>
      <c r="J543" s="125">
        <f>'ALL Other SINs - Proposal'!J543</f>
        <v>0</v>
      </c>
      <c r="K543" s="125">
        <f>'ALL Other SINs - Proposal'!K543</f>
        <v>0</v>
      </c>
      <c r="L543" s="125">
        <f>'ALL Other SINs - Proposal'!L543</f>
        <v>0</v>
      </c>
      <c r="M543" s="206">
        <f>'ALL Other SINs - Proposal'!M543</f>
        <v>0</v>
      </c>
      <c r="N543" s="251">
        <f>'ALL Other SINs - Proposal'!V543</f>
        <v>0</v>
      </c>
      <c r="O543" s="201" t="str">
        <f>'Price Analysis'!N543</f>
        <v xml:space="preserve"> </v>
      </c>
      <c r="P543" s="53" t="str">
        <f>IF(ISBLANK('ALL Other SINs - Proposal'!AA543)," ",'ALL Other SINs - Proposal'!AA543)</f>
        <v xml:space="preserve"> </v>
      </c>
      <c r="Q543" s="95" t="str">
        <f>'ALL Other SINs - Proposal'!AC543</f>
        <v xml:space="preserve"> </v>
      </c>
      <c r="R543" s="100" t="str">
        <f>IF(ISBLANK('ALL Other SINs - Proposal'!AA543)," ",ROUND(Q543,2))</f>
        <v xml:space="preserve"> </v>
      </c>
      <c r="S543" s="54"/>
    </row>
    <row r="544" spans="1:19" ht="20.100000000000001" customHeight="1" x14ac:dyDescent="0.2">
      <c r="A544" s="127">
        <f>'ALL Other SINs - Proposal'!A544</f>
        <v>0</v>
      </c>
      <c r="B544" s="121">
        <f>'ALL Other SINs - Proposal'!B544</f>
        <v>0</v>
      </c>
      <c r="C544" s="121">
        <f>'ALL Other SINs - Proposal'!C544</f>
        <v>0</v>
      </c>
      <c r="D544" s="121">
        <f>'ALL Other SINs - Proposal'!D544</f>
        <v>0</v>
      </c>
      <c r="E544" s="121">
        <f>'ALL Other SINs - Proposal'!E544</f>
        <v>0</v>
      </c>
      <c r="F544" s="171">
        <f>'ALL Other SINs - Proposal'!F544</f>
        <v>0</v>
      </c>
      <c r="G544" s="51">
        <f>'ALL Other SINs - Proposal'!G544</f>
        <v>0</v>
      </c>
      <c r="H544" s="125">
        <f>'ALL Other SINs - Proposal'!H544</f>
        <v>0</v>
      </c>
      <c r="I544" s="125">
        <f>'ALL Other SINs - Proposal'!I544</f>
        <v>0</v>
      </c>
      <c r="J544" s="125">
        <f>'ALL Other SINs - Proposal'!J544</f>
        <v>0</v>
      </c>
      <c r="K544" s="125">
        <f>'ALL Other SINs - Proposal'!K544</f>
        <v>0</v>
      </c>
      <c r="L544" s="125">
        <f>'ALL Other SINs - Proposal'!L544</f>
        <v>0</v>
      </c>
      <c r="M544" s="206">
        <f>'ALL Other SINs - Proposal'!M544</f>
        <v>0</v>
      </c>
      <c r="N544" s="251">
        <f>'ALL Other SINs - Proposal'!V544</f>
        <v>0</v>
      </c>
      <c r="O544" s="201" t="str">
        <f>'Price Analysis'!N544</f>
        <v xml:space="preserve"> </v>
      </c>
      <c r="P544" s="53" t="str">
        <f>IF(ISBLANK('ALL Other SINs - Proposal'!AA544)," ",'ALL Other SINs - Proposal'!AA544)</f>
        <v xml:space="preserve"> </v>
      </c>
      <c r="Q544" s="95" t="str">
        <f>'ALL Other SINs - Proposal'!AC544</f>
        <v xml:space="preserve"> </v>
      </c>
      <c r="R544" s="100" t="str">
        <f>IF(ISBLANK('ALL Other SINs - Proposal'!AA544)," ",ROUND(Q544,2))</f>
        <v xml:space="preserve"> </v>
      </c>
      <c r="S544" s="54"/>
    </row>
    <row r="545" spans="1:19" ht="20.100000000000001" customHeight="1" x14ac:dyDescent="0.2">
      <c r="A545" s="127">
        <f>'ALL Other SINs - Proposal'!A545</f>
        <v>0</v>
      </c>
      <c r="B545" s="121">
        <f>'ALL Other SINs - Proposal'!B545</f>
        <v>0</v>
      </c>
      <c r="C545" s="121">
        <f>'ALL Other SINs - Proposal'!C545</f>
        <v>0</v>
      </c>
      <c r="D545" s="121">
        <f>'ALL Other SINs - Proposal'!D545</f>
        <v>0</v>
      </c>
      <c r="E545" s="121">
        <f>'ALL Other SINs - Proposal'!E545</f>
        <v>0</v>
      </c>
      <c r="F545" s="171">
        <f>'ALL Other SINs - Proposal'!F545</f>
        <v>0</v>
      </c>
      <c r="G545" s="51">
        <f>'ALL Other SINs - Proposal'!G545</f>
        <v>0</v>
      </c>
      <c r="H545" s="125">
        <f>'ALL Other SINs - Proposal'!H545</f>
        <v>0</v>
      </c>
      <c r="I545" s="125">
        <f>'ALL Other SINs - Proposal'!I545</f>
        <v>0</v>
      </c>
      <c r="J545" s="125">
        <f>'ALL Other SINs - Proposal'!J545</f>
        <v>0</v>
      </c>
      <c r="K545" s="125">
        <f>'ALL Other SINs - Proposal'!K545</f>
        <v>0</v>
      </c>
      <c r="L545" s="125">
        <f>'ALL Other SINs - Proposal'!L545</f>
        <v>0</v>
      </c>
      <c r="M545" s="206">
        <f>'ALL Other SINs - Proposal'!M545</f>
        <v>0</v>
      </c>
      <c r="N545" s="251">
        <f>'ALL Other SINs - Proposal'!V545</f>
        <v>0</v>
      </c>
      <c r="O545" s="201" t="str">
        <f>'Price Analysis'!N545</f>
        <v xml:space="preserve"> </v>
      </c>
      <c r="P545" s="53" t="str">
        <f>IF(ISBLANK('ALL Other SINs - Proposal'!AA545)," ",'ALL Other SINs - Proposal'!AA545)</f>
        <v xml:space="preserve"> </v>
      </c>
      <c r="Q545" s="95" t="str">
        <f>'ALL Other SINs - Proposal'!AC545</f>
        <v xml:space="preserve"> </v>
      </c>
      <c r="R545" s="100" t="str">
        <f>IF(ISBLANK('ALL Other SINs - Proposal'!AA545)," ",ROUND(Q545,2))</f>
        <v xml:space="preserve"> </v>
      </c>
      <c r="S545" s="54"/>
    </row>
    <row r="546" spans="1:19" ht="20.100000000000001" customHeight="1" x14ac:dyDescent="0.2">
      <c r="A546" s="127">
        <f>'ALL Other SINs - Proposal'!A546</f>
        <v>0</v>
      </c>
      <c r="B546" s="121">
        <f>'ALL Other SINs - Proposal'!B546</f>
        <v>0</v>
      </c>
      <c r="C546" s="121">
        <f>'ALL Other SINs - Proposal'!C546</f>
        <v>0</v>
      </c>
      <c r="D546" s="121">
        <f>'ALL Other SINs - Proposal'!D546</f>
        <v>0</v>
      </c>
      <c r="E546" s="121">
        <f>'ALL Other SINs - Proposal'!E546</f>
        <v>0</v>
      </c>
      <c r="F546" s="171">
        <f>'ALL Other SINs - Proposal'!F546</f>
        <v>0</v>
      </c>
      <c r="G546" s="51">
        <f>'ALL Other SINs - Proposal'!G546</f>
        <v>0</v>
      </c>
      <c r="H546" s="125">
        <f>'ALL Other SINs - Proposal'!H546</f>
        <v>0</v>
      </c>
      <c r="I546" s="125">
        <f>'ALL Other SINs - Proposal'!I546</f>
        <v>0</v>
      </c>
      <c r="J546" s="125">
        <f>'ALL Other SINs - Proposal'!J546</f>
        <v>0</v>
      </c>
      <c r="K546" s="125">
        <f>'ALL Other SINs - Proposal'!K546</f>
        <v>0</v>
      </c>
      <c r="L546" s="125">
        <f>'ALL Other SINs - Proposal'!L546</f>
        <v>0</v>
      </c>
      <c r="M546" s="206">
        <f>'ALL Other SINs - Proposal'!M546</f>
        <v>0</v>
      </c>
      <c r="N546" s="251">
        <f>'ALL Other SINs - Proposal'!V546</f>
        <v>0</v>
      </c>
      <c r="O546" s="201" t="str">
        <f>'Price Analysis'!N546</f>
        <v xml:space="preserve"> </v>
      </c>
      <c r="P546" s="53" t="str">
        <f>IF(ISBLANK('ALL Other SINs - Proposal'!AA546)," ",'ALL Other SINs - Proposal'!AA546)</f>
        <v xml:space="preserve"> </v>
      </c>
      <c r="Q546" s="95" t="str">
        <f>'ALL Other SINs - Proposal'!AC546</f>
        <v xml:space="preserve"> </v>
      </c>
      <c r="R546" s="100" t="str">
        <f>IF(ISBLANK('ALL Other SINs - Proposal'!AA546)," ",ROUND(Q546,2))</f>
        <v xml:space="preserve"> </v>
      </c>
      <c r="S546" s="54"/>
    </row>
    <row r="547" spans="1:19" ht="20.100000000000001" customHeight="1" x14ac:dyDescent="0.2">
      <c r="A547" s="127">
        <f>'ALL Other SINs - Proposal'!A547</f>
        <v>0</v>
      </c>
      <c r="B547" s="121">
        <f>'ALL Other SINs - Proposal'!B547</f>
        <v>0</v>
      </c>
      <c r="C547" s="121">
        <f>'ALL Other SINs - Proposal'!C547</f>
        <v>0</v>
      </c>
      <c r="D547" s="121">
        <f>'ALL Other SINs - Proposal'!D547</f>
        <v>0</v>
      </c>
      <c r="E547" s="121">
        <f>'ALL Other SINs - Proposal'!E547</f>
        <v>0</v>
      </c>
      <c r="F547" s="171">
        <f>'ALL Other SINs - Proposal'!F547</f>
        <v>0</v>
      </c>
      <c r="G547" s="51">
        <f>'ALL Other SINs - Proposal'!G547</f>
        <v>0</v>
      </c>
      <c r="H547" s="125">
        <f>'ALL Other SINs - Proposal'!H547</f>
        <v>0</v>
      </c>
      <c r="I547" s="125">
        <f>'ALL Other SINs - Proposal'!I547</f>
        <v>0</v>
      </c>
      <c r="J547" s="125">
        <f>'ALL Other SINs - Proposal'!J547</f>
        <v>0</v>
      </c>
      <c r="K547" s="125">
        <f>'ALL Other SINs - Proposal'!K547</f>
        <v>0</v>
      </c>
      <c r="L547" s="125">
        <f>'ALL Other SINs - Proposal'!L547</f>
        <v>0</v>
      </c>
      <c r="M547" s="206">
        <f>'ALL Other SINs - Proposal'!M547</f>
        <v>0</v>
      </c>
      <c r="N547" s="251">
        <f>'ALL Other SINs - Proposal'!V547</f>
        <v>0</v>
      </c>
      <c r="O547" s="201" t="str">
        <f>'Price Analysis'!N547</f>
        <v xml:space="preserve"> </v>
      </c>
      <c r="P547" s="53" t="str">
        <f>IF(ISBLANK('ALL Other SINs - Proposal'!AA547)," ",'ALL Other SINs - Proposal'!AA547)</f>
        <v xml:space="preserve"> </v>
      </c>
      <c r="Q547" s="95" t="str">
        <f>'ALL Other SINs - Proposal'!AC547</f>
        <v xml:space="preserve"> </v>
      </c>
      <c r="R547" s="100" t="str">
        <f>IF(ISBLANK('ALL Other SINs - Proposal'!AA547)," ",ROUND(Q547,2))</f>
        <v xml:space="preserve"> </v>
      </c>
      <c r="S547" s="54"/>
    </row>
    <row r="548" spans="1:19" ht="20.100000000000001" customHeight="1" x14ac:dyDescent="0.2">
      <c r="A548" s="127">
        <f>'ALL Other SINs - Proposal'!A548</f>
        <v>0</v>
      </c>
      <c r="B548" s="121">
        <f>'ALL Other SINs - Proposal'!B548</f>
        <v>0</v>
      </c>
      <c r="C548" s="121">
        <f>'ALL Other SINs - Proposal'!C548</f>
        <v>0</v>
      </c>
      <c r="D548" s="121">
        <f>'ALL Other SINs - Proposal'!D548</f>
        <v>0</v>
      </c>
      <c r="E548" s="121">
        <f>'ALL Other SINs - Proposal'!E548</f>
        <v>0</v>
      </c>
      <c r="F548" s="171">
        <f>'ALL Other SINs - Proposal'!F548</f>
        <v>0</v>
      </c>
      <c r="G548" s="51">
        <f>'ALL Other SINs - Proposal'!G548</f>
        <v>0</v>
      </c>
      <c r="H548" s="125">
        <f>'ALL Other SINs - Proposal'!H548</f>
        <v>0</v>
      </c>
      <c r="I548" s="125">
        <f>'ALL Other SINs - Proposal'!I548</f>
        <v>0</v>
      </c>
      <c r="J548" s="125">
        <f>'ALL Other SINs - Proposal'!J548</f>
        <v>0</v>
      </c>
      <c r="K548" s="125">
        <f>'ALL Other SINs - Proposal'!K548</f>
        <v>0</v>
      </c>
      <c r="L548" s="125">
        <f>'ALL Other SINs - Proposal'!L548</f>
        <v>0</v>
      </c>
      <c r="M548" s="206">
        <f>'ALL Other SINs - Proposal'!M548</f>
        <v>0</v>
      </c>
      <c r="N548" s="251">
        <f>'ALL Other SINs - Proposal'!V548</f>
        <v>0</v>
      </c>
      <c r="O548" s="201" t="str">
        <f>'Price Analysis'!N548</f>
        <v xml:space="preserve"> </v>
      </c>
      <c r="P548" s="53" t="str">
        <f>IF(ISBLANK('ALL Other SINs - Proposal'!AA548)," ",'ALL Other SINs - Proposal'!AA548)</f>
        <v xml:space="preserve"> </v>
      </c>
      <c r="Q548" s="95" t="str">
        <f>'ALL Other SINs - Proposal'!AC548</f>
        <v xml:space="preserve"> </v>
      </c>
      <c r="R548" s="100" t="str">
        <f>IF(ISBLANK('ALL Other SINs - Proposal'!AA548)," ",ROUND(Q548,2))</f>
        <v xml:space="preserve"> </v>
      </c>
      <c r="S548" s="54"/>
    </row>
    <row r="549" spans="1:19" ht="20.100000000000001" customHeight="1" x14ac:dyDescent="0.2">
      <c r="A549" s="127">
        <f>'ALL Other SINs - Proposal'!A549</f>
        <v>0</v>
      </c>
      <c r="B549" s="121">
        <f>'ALL Other SINs - Proposal'!B549</f>
        <v>0</v>
      </c>
      <c r="C549" s="121">
        <f>'ALL Other SINs - Proposal'!C549</f>
        <v>0</v>
      </c>
      <c r="D549" s="121">
        <f>'ALL Other SINs - Proposal'!D549</f>
        <v>0</v>
      </c>
      <c r="E549" s="121">
        <f>'ALL Other SINs - Proposal'!E549</f>
        <v>0</v>
      </c>
      <c r="F549" s="171">
        <f>'ALL Other SINs - Proposal'!F549</f>
        <v>0</v>
      </c>
      <c r="G549" s="51">
        <f>'ALL Other SINs - Proposal'!G549</f>
        <v>0</v>
      </c>
      <c r="H549" s="125">
        <f>'ALL Other SINs - Proposal'!H549</f>
        <v>0</v>
      </c>
      <c r="I549" s="125">
        <f>'ALL Other SINs - Proposal'!I549</f>
        <v>0</v>
      </c>
      <c r="J549" s="125">
        <f>'ALL Other SINs - Proposal'!J549</f>
        <v>0</v>
      </c>
      <c r="K549" s="125">
        <f>'ALL Other SINs - Proposal'!K549</f>
        <v>0</v>
      </c>
      <c r="L549" s="125">
        <f>'ALL Other SINs - Proposal'!L549</f>
        <v>0</v>
      </c>
      <c r="M549" s="206">
        <f>'ALL Other SINs - Proposal'!M549</f>
        <v>0</v>
      </c>
      <c r="N549" s="251">
        <f>'ALL Other SINs - Proposal'!V549</f>
        <v>0</v>
      </c>
      <c r="O549" s="201" t="str">
        <f>'Price Analysis'!N549</f>
        <v xml:space="preserve"> </v>
      </c>
      <c r="P549" s="53" t="str">
        <f>IF(ISBLANK('ALL Other SINs - Proposal'!AA549)," ",'ALL Other SINs - Proposal'!AA549)</f>
        <v xml:space="preserve"> </v>
      </c>
      <c r="Q549" s="95" t="str">
        <f>'ALL Other SINs - Proposal'!AC549</f>
        <v xml:space="preserve"> </v>
      </c>
      <c r="R549" s="100" t="str">
        <f>IF(ISBLANK('ALL Other SINs - Proposal'!AA549)," ",ROUND(Q549,2))</f>
        <v xml:space="preserve"> </v>
      </c>
      <c r="S549" s="54"/>
    </row>
    <row r="550" spans="1:19" ht="20.100000000000001" customHeight="1" x14ac:dyDescent="0.2">
      <c r="A550" s="127">
        <f>'ALL Other SINs - Proposal'!A550</f>
        <v>0</v>
      </c>
      <c r="B550" s="121">
        <f>'ALL Other SINs - Proposal'!B550</f>
        <v>0</v>
      </c>
      <c r="C550" s="121">
        <f>'ALL Other SINs - Proposal'!C550</f>
        <v>0</v>
      </c>
      <c r="D550" s="121">
        <f>'ALL Other SINs - Proposal'!D550</f>
        <v>0</v>
      </c>
      <c r="E550" s="121">
        <f>'ALL Other SINs - Proposal'!E550</f>
        <v>0</v>
      </c>
      <c r="F550" s="171">
        <f>'ALL Other SINs - Proposal'!F550</f>
        <v>0</v>
      </c>
      <c r="G550" s="51">
        <f>'ALL Other SINs - Proposal'!G550</f>
        <v>0</v>
      </c>
      <c r="H550" s="125">
        <f>'ALL Other SINs - Proposal'!H550</f>
        <v>0</v>
      </c>
      <c r="I550" s="125">
        <f>'ALL Other SINs - Proposal'!I550</f>
        <v>0</v>
      </c>
      <c r="J550" s="125">
        <f>'ALL Other SINs - Proposal'!J550</f>
        <v>0</v>
      </c>
      <c r="K550" s="125">
        <f>'ALL Other SINs - Proposal'!K550</f>
        <v>0</v>
      </c>
      <c r="L550" s="125">
        <f>'ALL Other SINs - Proposal'!L550</f>
        <v>0</v>
      </c>
      <c r="M550" s="206">
        <f>'ALL Other SINs - Proposal'!M550</f>
        <v>0</v>
      </c>
      <c r="N550" s="251">
        <f>'ALL Other SINs - Proposal'!V550</f>
        <v>0</v>
      </c>
      <c r="O550" s="201" t="str">
        <f>'Price Analysis'!N550</f>
        <v xml:space="preserve"> </v>
      </c>
      <c r="P550" s="53" t="str">
        <f>IF(ISBLANK('ALL Other SINs - Proposal'!AA550)," ",'ALL Other SINs - Proposal'!AA550)</f>
        <v xml:space="preserve"> </v>
      </c>
      <c r="Q550" s="95" t="str">
        <f>'ALL Other SINs - Proposal'!AC550</f>
        <v xml:space="preserve"> </v>
      </c>
      <c r="R550" s="100" t="str">
        <f>IF(ISBLANK('ALL Other SINs - Proposal'!AA550)," ",ROUND(Q550,2))</f>
        <v xml:space="preserve"> </v>
      </c>
      <c r="S550" s="54"/>
    </row>
    <row r="551" spans="1:19" ht="20.100000000000001" customHeight="1" x14ac:dyDescent="0.2">
      <c r="A551" s="127">
        <f>'ALL Other SINs - Proposal'!A551</f>
        <v>0</v>
      </c>
      <c r="B551" s="121">
        <f>'ALL Other SINs - Proposal'!B551</f>
        <v>0</v>
      </c>
      <c r="C551" s="121">
        <f>'ALL Other SINs - Proposal'!C551</f>
        <v>0</v>
      </c>
      <c r="D551" s="121">
        <f>'ALL Other SINs - Proposal'!D551</f>
        <v>0</v>
      </c>
      <c r="E551" s="121">
        <f>'ALL Other SINs - Proposal'!E551</f>
        <v>0</v>
      </c>
      <c r="F551" s="171">
        <f>'ALL Other SINs - Proposal'!F551</f>
        <v>0</v>
      </c>
      <c r="G551" s="51">
        <f>'ALL Other SINs - Proposal'!G551</f>
        <v>0</v>
      </c>
      <c r="H551" s="125">
        <f>'ALL Other SINs - Proposal'!H551</f>
        <v>0</v>
      </c>
      <c r="I551" s="125">
        <f>'ALL Other SINs - Proposal'!I551</f>
        <v>0</v>
      </c>
      <c r="J551" s="125">
        <f>'ALL Other SINs - Proposal'!J551</f>
        <v>0</v>
      </c>
      <c r="K551" s="125">
        <f>'ALL Other SINs - Proposal'!K551</f>
        <v>0</v>
      </c>
      <c r="L551" s="125">
        <f>'ALL Other SINs - Proposal'!L551</f>
        <v>0</v>
      </c>
      <c r="M551" s="206">
        <f>'ALL Other SINs - Proposal'!M551</f>
        <v>0</v>
      </c>
      <c r="N551" s="251">
        <f>'ALL Other SINs - Proposal'!V551</f>
        <v>0</v>
      </c>
      <c r="O551" s="201" t="str">
        <f>'Price Analysis'!N551</f>
        <v xml:space="preserve"> </v>
      </c>
      <c r="P551" s="53" t="str">
        <f>IF(ISBLANK('ALL Other SINs - Proposal'!AA551)," ",'ALL Other SINs - Proposal'!AA551)</f>
        <v xml:space="preserve"> </v>
      </c>
      <c r="Q551" s="95" t="str">
        <f>'ALL Other SINs - Proposal'!AC551</f>
        <v xml:space="preserve"> </v>
      </c>
      <c r="R551" s="100" t="str">
        <f>IF(ISBLANK('ALL Other SINs - Proposal'!AA551)," ",ROUND(Q551,2))</f>
        <v xml:space="preserve"> </v>
      </c>
      <c r="S551" s="54"/>
    </row>
    <row r="552" spans="1:19" ht="20.100000000000001" customHeight="1" x14ac:dyDescent="0.2">
      <c r="A552" s="127">
        <f>'ALL Other SINs - Proposal'!A552</f>
        <v>0</v>
      </c>
      <c r="B552" s="121">
        <f>'ALL Other SINs - Proposal'!B552</f>
        <v>0</v>
      </c>
      <c r="C552" s="121">
        <f>'ALL Other SINs - Proposal'!C552</f>
        <v>0</v>
      </c>
      <c r="D552" s="121">
        <f>'ALL Other SINs - Proposal'!D552</f>
        <v>0</v>
      </c>
      <c r="E552" s="121">
        <f>'ALL Other SINs - Proposal'!E552</f>
        <v>0</v>
      </c>
      <c r="F552" s="171">
        <f>'ALL Other SINs - Proposal'!F552</f>
        <v>0</v>
      </c>
      <c r="G552" s="51">
        <f>'ALL Other SINs - Proposal'!G552</f>
        <v>0</v>
      </c>
      <c r="H552" s="125">
        <f>'ALL Other SINs - Proposal'!H552</f>
        <v>0</v>
      </c>
      <c r="I552" s="125">
        <f>'ALL Other SINs - Proposal'!I552</f>
        <v>0</v>
      </c>
      <c r="J552" s="125">
        <f>'ALL Other SINs - Proposal'!J552</f>
        <v>0</v>
      </c>
      <c r="K552" s="125">
        <f>'ALL Other SINs - Proposal'!K552</f>
        <v>0</v>
      </c>
      <c r="L552" s="125">
        <f>'ALL Other SINs - Proposal'!L552</f>
        <v>0</v>
      </c>
      <c r="M552" s="206">
        <f>'ALL Other SINs - Proposal'!M552</f>
        <v>0</v>
      </c>
      <c r="N552" s="251">
        <f>'ALL Other SINs - Proposal'!V552</f>
        <v>0</v>
      </c>
      <c r="O552" s="201" t="str">
        <f>'Price Analysis'!N552</f>
        <v xml:space="preserve"> </v>
      </c>
      <c r="P552" s="53" t="str">
        <f>IF(ISBLANK('ALL Other SINs - Proposal'!AA552)," ",'ALL Other SINs - Proposal'!AA552)</f>
        <v xml:space="preserve"> </v>
      </c>
      <c r="Q552" s="95" t="str">
        <f>'ALL Other SINs - Proposal'!AC552</f>
        <v xml:space="preserve"> </v>
      </c>
      <c r="R552" s="100" t="str">
        <f>IF(ISBLANK('ALL Other SINs - Proposal'!AA552)," ",ROUND(Q552,2))</f>
        <v xml:space="preserve"> </v>
      </c>
      <c r="S552" s="54"/>
    </row>
    <row r="553" spans="1:19" ht="20.100000000000001" customHeight="1" x14ac:dyDescent="0.2">
      <c r="A553" s="127">
        <f>'ALL Other SINs - Proposal'!A553</f>
        <v>0</v>
      </c>
      <c r="B553" s="121">
        <f>'ALL Other SINs - Proposal'!B553</f>
        <v>0</v>
      </c>
      <c r="C553" s="121">
        <f>'ALL Other SINs - Proposal'!C553</f>
        <v>0</v>
      </c>
      <c r="D553" s="121">
        <f>'ALL Other SINs - Proposal'!D553</f>
        <v>0</v>
      </c>
      <c r="E553" s="121">
        <f>'ALL Other SINs - Proposal'!E553</f>
        <v>0</v>
      </c>
      <c r="F553" s="171">
        <f>'ALL Other SINs - Proposal'!F553</f>
        <v>0</v>
      </c>
      <c r="G553" s="51">
        <f>'ALL Other SINs - Proposal'!G553</f>
        <v>0</v>
      </c>
      <c r="H553" s="125">
        <f>'ALL Other SINs - Proposal'!H553</f>
        <v>0</v>
      </c>
      <c r="I553" s="125">
        <f>'ALL Other SINs - Proposal'!I553</f>
        <v>0</v>
      </c>
      <c r="J553" s="125">
        <f>'ALL Other SINs - Proposal'!J553</f>
        <v>0</v>
      </c>
      <c r="K553" s="125">
        <f>'ALL Other SINs - Proposal'!K553</f>
        <v>0</v>
      </c>
      <c r="L553" s="125">
        <f>'ALL Other SINs - Proposal'!L553</f>
        <v>0</v>
      </c>
      <c r="M553" s="206">
        <f>'ALL Other SINs - Proposal'!M553</f>
        <v>0</v>
      </c>
      <c r="N553" s="251">
        <f>'ALL Other SINs - Proposal'!V553</f>
        <v>0</v>
      </c>
      <c r="O553" s="201" t="str">
        <f>'Price Analysis'!N553</f>
        <v xml:space="preserve"> </v>
      </c>
      <c r="P553" s="53" t="str">
        <f>IF(ISBLANK('ALL Other SINs - Proposal'!AA553)," ",'ALL Other SINs - Proposal'!AA553)</f>
        <v xml:space="preserve"> </v>
      </c>
      <c r="Q553" s="95" t="str">
        <f>'ALL Other SINs - Proposal'!AC553</f>
        <v xml:space="preserve"> </v>
      </c>
      <c r="R553" s="100" t="str">
        <f>IF(ISBLANK('ALL Other SINs - Proposal'!AA553)," ",ROUND(Q553,2))</f>
        <v xml:space="preserve"> </v>
      </c>
      <c r="S553" s="54"/>
    </row>
    <row r="554" spans="1:19" ht="20.100000000000001" customHeight="1" x14ac:dyDescent="0.2">
      <c r="A554" s="127">
        <f>'ALL Other SINs - Proposal'!A554</f>
        <v>0</v>
      </c>
      <c r="B554" s="121">
        <f>'ALL Other SINs - Proposal'!B554</f>
        <v>0</v>
      </c>
      <c r="C554" s="121">
        <f>'ALL Other SINs - Proposal'!C554</f>
        <v>0</v>
      </c>
      <c r="D554" s="121">
        <f>'ALL Other SINs - Proposal'!D554</f>
        <v>0</v>
      </c>
      <c r="E554" s="121">
        <f>'ALL Other SINs - Proposal'!E554</f>
        <v>0</v>
      </c>
      <c r="F554" s="171">
        <f>'ALL Other SINs - Proposal'!F554</f>
        <v>0</v>
      </c>
      <c r="G554" s="51">
        <f>'ALL Other SINs - Proposal'!G554</f>
        <v>0</v>
      </c>
      <c r="H554" s="125">
        <f>'ALL Other SINs - Proposal'!H554</f>
        <v>0</v>
      </c>
      <c r="I554" s="125">
        <f>'ALL Other SINs - Proposal'!I554</f>
        <v>0</v>
      </c>
      <c r="J554" s="125">
        <f>'ALL Other SINs - Proposal'!J554</f>
        <v>0</v>
      </c>
      <c r="K554" s="125">
        <f>'ALL Other SINs - Proposal'!K554</f>
        <v>0</v>
      </c>
      <c r="L554" s="125">
        <f>'ALL Other SINs - Proposal'!L554</f>
        <v>0</v>
      </c>
      <c r="M554" s="206">
        <f>'ALL Other SINs - Proposal'!M554</f>
        <v>0</v>
      </c>
      <c r="N554" s="251">
        <f>'ALL Other SINs - Proposal'!V554</f>
        <v>0</v>
      </c>
      <c r="O554" s="201" t="str">
        <f>'Price Analysis'!N554</f>
        <v xml:space="preserve"> </v>
      </c>
      <c r="P554" s="53" t="str">
        <f>IF(ISBLANK('ALL Other SINs - Proposal'!AA554)," ",'ALL Other SINs - Proposal'!AA554)</f>
        <v xml:space="preserve"> </v>
      </c>
      <c r="Q554" s="95" t="str">
        <f>'ALL Other SINs - Proposal'!AC554</f>
        <v xml:space="preserve"> </v>
      </c>
      <c r="R554" s="100" t="str">
        <f>IF(ISBLANK('ALL Other SINs - Proposal'!AA554)," ",ROUND(Q554,2))</f>
        <v xml:space="preserve"> </v>
      </c>
      <c r="S554" s="54"/>
    </row>
    <row r="555" spans="1:19" ht="20.100000000000001" customHeight="1" x14ac:dyDescent="0.2">
      <c r="A555" s="127">
        <f>'ALL Other SINs - Proposal'!A555</f>
        <v>0</v>
      </c>
      <c r="B555" s="121">
        <f>'ALL Other SINs - Proposal'!B555</f>
        <v>0</v>
      </c>
      <c r="C555" s="121">
        <f>'ALL Other SINs - Proposal'!C555</f>
        <v>0</v>
      </c>
      <c r="D555" s="121">
        <f>'ALL Other SINs - Proposal'!D555</f>
        <v>0</v>
      </c>
      <c r="E555" s="121">
        <f>'ALL Other SINs - Proposal'!E555</f>
        <v>0</v>
      </c>
      <c r="F555" s="171">
        <f>'ALL Other SINs - Proposal'!F555</f>
        <v>0</v>
      </c>
      <c r="G555" s="51">
        <f>'ALL Other SINs - Proposal'!G555</f>
        <v>0</v>
      </c>
      <c r="H555" s="125">
        <f>'ALL Other SINs - Proposal'!H555</f>
        <v>0</v>
      </c>
      <c r="I555" s="125">
        <f>'ALL Other SINs - Proposal'!I555</f>
        <v>0</v>
      </c>
      <c r="J555" s="125">
        <f>'ALL Other SINs - Proposal'!J555</f>
        <v>0</v>
      </c>
      <c r="K555" s="125">
        <f>'ALL Other SINs - Proposal'!K555</f>
        <v>0</v>
      </c>
      <c r="L555" s="125">
        <f>'ALL Other SINs - Proposal'!L555</f>
        <v>0</v>
      </c>
      <c r="M555" s="206">
        <f>'ALL Other SINs - Proposal'!M555</f>
        <v>0</v>
      </c>
      <c r="N555" s="251">
        <f>'ALL Other SINs - Proposal'!V555</f>
        <v>0</v>
      </c>
      <c r="O555" s="201" t="str">
        <f>'Price Analysis'!N555</f>
        <v xml:space="preserve"> </v>
      </c>
      <c r="P555" s="53" t="str">
        <f>IF(ISBLANK('ALL Other SINs - Proposal'!AA555)," ",'ALL Other SINs - Proposal'!AA555)</f>
        <v xml:space="preserve"> </v>
      </c>
      <c r="Q555" s="95" t="str">
        <f>'ALL Other SINs - Proposal'!AC555</f>
        <v xml:space="preserve"> </v>
      </c>
      <c r="R555" s="100" t="str">
        <f>IF(ISBLANK('ALL Other SINs - Proposal'!AA555)," ",ROUND(Q555,2))</f>
        <v xml:space="preserve"> </v>
      </c>
      <c r="S555" s="54"/>
    </row>
    <row r="556" spans="1:19" ht="20.100000000000001" customHeight="1" x14ac:dyDescent="0.2">
      <c r="A556" s="127">
        <f>'ALL Other SINs - Proposal'!A556</f>
        <v>0</v>
      </c>
      <c r="B556" s="121">
        <f>'ALL Other SINs - Proposal'!B556</f>
        <v>0</v>
      </c>
      <c r="C556" s="121">
        <f>'ALL Other SINs - Proposal'!C556</f>
        <v>0</v>
      </c>
      <c r="D556" s="121">
        <f>'ALL Other SINs - Proposal'!D556</f>
        <v>0</v>
      </c>
      <c r="E556" s="121">
        <f>'ALL Other SINs - Proposal'!E556</f>
        <v>0</v>
      </c>
      <c r="F556" s="171">
        <f>'ALL Other SINs - Proposal'!F556</f>
        <v>0</v>
      </c>
      <c r="G556" s="51">
        <f>'ALL Other SINs - Proposal'!G556</f>
        <v>0</v>
      </c>
      <c r="H556" s="125">
        <f>'ALL Other SINs - Proposal'!H556</f>
        <v>0</v>
      </c>
      <c r="I556" s="125">
        <f>'ALL Other SINs - Proposal'!I556</f>
        <v>0</v>
      </c>
      <c r="J556" s="125">
        <f>'ALL Other SINs - Proposal'!J556</f>
        <v>0</v>
      </c>
      <c r="K556" s="125">
        <f>'ALL Other SINs - Proposal'!K556</f>
        <v>0</v>
      </c>
      <c r="L556" s="125">
        <f>'ALL Other SINs - Proposal'!L556</f>
        <v>0</v>
      </c>
      <c r="M556" s="206">
        <f>'ALL Other SINs - Proposal'!M556</f>
        <v>0</v>
      </c>
      <c r="N556" s="251">
        <f>'ALL Other SINs - Proposal'!V556</f>
        <v>0</v>
      </c>
      <c r="O556" s="201" t="str">
        <f>'Price Analysis'!N556</f>
        <v xml:space="preserve"> </v>
      </c>
      <c r="P556" s="53" t="str">
        <f>IF(ISBLANK('ALL Other SINs - Proposal'!AA556)," ",'ALL Other SINs - Proposal'!AA556)</f>
        <v xml:space="preserve"> </v>
      </c>
      <c r="Q556" s="95" t="str">
        <f>'ALL Other SINs - Proposal'!AC556</f>
        <v xml:space="preserve"> </v>
      </c>
      <c r="R556" s="100" t="str">
        <f>IF(ISBLANK('ALL Other SINs - Proposal'!AA556)," ",ROUND(Q556,2))</f>
        <v xml:space="preserve"> </v>
      </c>
      <c r="S556" s="54"/>
    </row>
    <row r="557" spans="1:19" ht="20.100000000000001" customHeight="1" x14ac:dyDescent="0.2">
      <c r="A557" s="127">
        <f>'ALL Other SINs - Proposal'!A557</f>
        <v>0</v>
      </c>
      <c r="B557" s="121">
        <f>'ALL Other SINs - Proposal'!B557</f>
        <v>0</v>
      </c>
      <c r="C557" s="121">
        <f>'ALL Other SINs - Proposal'!C557</f>
        <v>0</v>
      </c>
      <c r="D557" s="121">
        <f>'ALL Other SINs - Proposal'!D557</f>
        <v>0</v>
      </c>
      <c r="E557" s="121">
        <f>'ALL Other SINs - Proposal'!E557</f>
        <v>0</v>
      </c>
      <c r="F557" s="171">
        <f>'ALL Other SINs - Proposal'!F557</f>
        <v>0</v>
      </c>
      <c r="G557" s="51">
        <f>'ALL Other SINs - Proposal'!G557</f>
        <v>0</v>
      </c>
      <c r="H557" s="125">
        <f>'ALL Other SINs - Proposal'!H557</f>
        <v>0</v>
      </c>
      <c r="I557" s="125">
        <f>'ALL Other SINs - Proposal'!I557</f>
        <v>0</v>
      </c>
      <c r="J557" s="125">
        <f>'ALL Other SINs - Proposal'!J557</f>
        <v>0</v>
      </c>
      <c r="K557" s="125">
        <f>'ALL Other SINs - Proposal'!K557</f>
        <v>0</v>
      </c>
      <c r="L557" s="125">
        <f>'ALL Other SINs - Proposal'!L557</f>
        <v>0</v>
      </c>
      <c r="M557" s="206">
        <f>'ALL Other SINs - Proposal'!M557</f>
        <v>0</v>
      </c>
      <c r="N557" s="251">
        <f>'ALL Other SINs - Proposal'!V557</f>
        <v>0</v>
      </c>
      <c r="O557" s="201" t="str">
        <f>'Price Analysis'!N557</f>
        <v xml:space="preserve"> </v>
      </c>
      <c r="P557" s="53" t="str">
        <f>IF(ISBLANK('ALL Other SINs - Proposal'!AA557)," ",'ALL Other SINs - Proposal'!AA557)</f>
        <v xml:space="preserve"> </v>
      </c>
      <c r="Q557" s="95" t="str">
        <f>'ALL Other SINs - Proposal'!AC557</f>
        <v xml:space="preserve"> </v>
      </c>
      <c r="R557" s="100" t="str">
        <f>IF(ISBLANK('ALL Other SINs - Proposal'!AA557)," ",ROUND(Q557,2))</f>
        <v xml:space="preserve"> </v>
      </c>
      <c r="S557" s="54"/>
    </row>
    <row r="558" spans="1:19" ht="20.100000000000001" customHeight="1" x14ac:dyDescent="0.2">
      <c r="A558" s="127">
        <f>'ALL Other SINs - Proposal'!A558</f>
        <v>0</v>
      </c>
      <c r="B558" s="121">
        <f>'ALL Other SINs - Proposal'!B558</f>
        <v>0</v>
      </c>
      <c r="C558" s="121">
        <f>'ALL Other SINs - Proposal'!C558</f>
        <v>0</v>
      </c>
      <c r="D558" s="121">
        <f>'ALL Other SINs - Proposal'!D558</f>
        <v>0</v>
      </c>
      <c r="E558" s="121">
        <f>'ALL Other SINs - Proposal'!E558</f>
        <v>0</v>
      </c>
      <c r="F558" s="171">
        <f>'ALL Other SINs - Proposal'!F558</f>
        <v>0</v>
      </c>
      <c r="G558" s="51">
        <f>'ALL Other SINs - Proposal'!G558</f>
        <v>0</v>
      </c>
      <c r="H558" s="125">
        <f>'ALL Other SINs - Proposal'!H558</f>
        <v>0</v>
      </c>
      <c r="I558" s="125">
        <f>'ALL Other SINs - Proposal'!I558</f>
        <v>0</v>
      </c>
      <c r="J558" s="125">
        <f>'ALL Other SINs - Proposal'!J558</f>
        <v>0</v>
      </c>
      <c r="K558" s="125">
        <f>'ALL Other SINs - Proposal'!K558</f>
        <v>0</v>
      </c>
      <c r="L558" s="125">
        <f>'ALL Other SINs - Proposal'!L558</f>
        <v>0</v>
      </c>
      <c r="M558" s="206">
        <f>'ALL Other SINs - Proposal'!M558</f>
        <v>0</v>
      </c>
      <c r="N558" s="251">
        <f>'ALL Other SINs - Proposal'!V558</f>
        <v>0</v>
      </c>
      <c r="O558" s="201" t="str">
        <f>'Price Analysis'!N558</f>
        <v xml:space="preserve"> </v>
      </c>
      <c r="P558" s="53" t="str">
        <f>IF(ISBLANK('ALL Other SINs - Proposal'!AA558)," ",'ALL Other SINs - Proposal'!AA558)</f>
        <v xml:space="preserve"> </v>
      </c>
      <c r="Q558" s="95" t="str">
        <f>'ALL Other SINs - Proposal'!AC558</f>
        <v xml:space="preserve"> </v>
      </c>
      <c r="R558" s="100" t="str">
        <f>IF(ISBLANK('ALL Other SINs - Proposal'!AA558)," ",ROUND(Q558,2))</f>
        <v xml:space="preserve"> </v>
      </c>
      <c r="S558" s="54"/>
    </row>
    <row r="559" spans="1:19" ht="20.100000000000001" customHeight="1" x14ac:dyDescent="0.2">
      <c r="A559" s="127">
        <f>'ALL Other SINs - Proposal'!A559</f>
        <v>0</v>
      </c>
      <c r="B559" s="121">
        <f>'ALL Other SINs - Proposal'!B559</f>
        <v>0</v>
      </c>
      <c r="C559" s="121">
        <f>'ALL Other SINs - Proposal'!C559</f>
        <v>0</v>
      </c>
      <c r="D559" s="121">
        <f>'ALL Other SINs - Proposal'!D559</f>
        <v>0</v>
      </c>
      <c r="E559" s="121">
        <f>'ALL Other SINs - Proposal'!E559</f>
        <v>0</v>
      </c>
      <c r="F559" s="171">
        <f>'ALL Other SINs - Proposal'!F559</f>
        <v>0</v>
      </c>
      <c r="G559" s="51">
        <f>'ALL Other SINs - Proposal'!G559</f>
        <v>0</v>
      </c>
      <c r="H559" s="125">
        <f>'ALL Other SINs - Proposal'!H559</f>
        <v>0</v>
      </c>
      <c r="I559" s="125">
        <f>'ALL Other SINs - Proposal'!I559</f>
        <v>0</v>
      </c>
      <c r="J559" s="125">
        <f>'ALL Other SINs - Proposal'!J559</f>
        <v>0</v>
      </c>
      <c r="K559" s="125">
        <f>'ALL Other SINs - Proposal'!K559</f>
        <v>0</v>
      </c>
      <c r="L559" s="125">
        <f>'ALL Other SINs - Proposal'!L559</f>
        <v>0</v>
      </c>
      <c r="M559" s="206">
        <f>'ALL Other SINs - Proposal'!M559</f>
        <v>0</v>
      </c>
      <c r="N559" s="251">
        <f>'ALL Other SINs - Proposal'!V559</f>
        <v>0</v>
      </c>
      <c r="O559" s="201" t="str">
        <f>'Price Analysis'!N559</f>
        <v xml:space="preserve"> </v>
      </c>
      <c r="P559" s="53" t="str">
        <f>IF(ISBLANK('ALL Other SINs - Proposal'!AA559)," ",'ALL Other SINs - Proposal'!AA559)</f>
        <v xml:space="preserve"> </v>
      </c>
      <c r="Q559" s="95" t="str">
        <f>'ALL Other SINs - Proposal'!AC559</f>
        <v xml:space="preserve"> </v>
      </c>
      <c r="R559" s="100" t="str">
        <f>IF(ISBLANK('ALL Other SINs - Proposal'!AA559)," ",ROUND(Q559,2))</f>
        <v xml:space="preserve"> </v>
      </c>
      <c r="S559" s="54"/>
    </row>
    <row r="560" spans="1:19" ht="20.100000000000001" customHeight="1" x14ac:dyDescent="0.2">
      <c r="A560" s="127">
        <f>'ALL Other SINs - Proposal'!A560</f>
        <v>0</v>
      </c>
      <c r="B560" s="121">
        <f>'ALL Other SINs - Proposal'!B560</f>
        <v>0</v>
      </c>
      <c r="C560" s="121">
        <f>'ALL Other SINs - Proposal'!C560</f>
        <v>0</v>
      </c>
      <c r="D560" s="121">
        <f>'ALL Other SINs - Proposal'!D560</f>
        <v>0</v>
      </c>
      <c r="E560" s="121">
        <f>'ALL Other SINs - Proposal'!E560</f>
        <v>0</v>
      </c>
      <c r="F560" s="171">
        <f>'ALL Other SINs - Proposal'!F560</f>
        <v>0</v>
      </c>
      <c r="G560" s="51">
        <f>'ALL Other SINs - Proposal'!G560</f>
        <v>0</v>
      </c>
      <c r="H560" s="125">
        <f>'ALL Other SINs - Proposal'!H560</f>
        <v>0</v>
      </c>
      <c r="I560" s="125">
        <f>'ALL Other SINs - Proposal'!I560</f>
        <v>0</v>
      </c>
      <c r="J560" s="125">
        <f>'ALL Other SINs - Proposal'!J560</f>
        <v>0</v>
      </c>
      <c r="K560" s="125">
        <f>'ALL Other SINs - Proposal'!K560</f>
        <v>0</v>
      </c>
      <c r="L560" s="125">
        <f>'ALL Other SINs - Proposal'!L560</f>
        <v>0</v>
      </c>
      <c r="M560" s="206">
        <f>'ALL Other SINs - Proposal'!M560</f>
        <v>0</v>
      </c>
      <c r="N560" s="251">
        <f>'ALL Other SINs - Proposal'!V560</f>
        <v>0</v>
      </c>
      <c r="O560" s="201" t="str">
        <f>'Price Analysis'!N560</f>
        <v xml:space="preserve"> </v>
      </c>
      <c r="P560" s="53" t="str">
        <f>IF(ISBLANK('ALL Other SINs - Proposal'!AA560)," ",'ALL Other SINs - Proposal'!AA560)</f>
        <v xml:space="preserve"> </v>
      </c>
      <c r="Q560" s="95" t="str">
        <f>'ALL Other SINs - Proposal'!AC560</f>
        <v xml:space="preserve"> </v>
      </c>
      <c r="R560" s="100" t="str">
        <f>IF(ISBLANK('ALL Other SINs - Proposal'!AA560)," ",ROUND(Q560,2))</f>
        <v xml:space="preserve"> </v>
      </c>
      <c r="S560" s="54"/>
    </row>
    <row r="561" spans="1:19" ht="20.100000000000001" customHeight="1" x14ac:dyDescent="0.2">
      <c r="A561" s="127">
        <f>'ALL Other SINs - Proposal'!A561</f>
        <v>0</v>
      </c>
      <c r="B561" s="121">
        <f>'ALL Other SINs - Proposal'!B561</f>
        <v>0</v>
      </c>
      <c r="C561" s="121">
        <f>'ALL Other SINs - Proposal'!C561</f>
        <v>0</v>
      </c>
      <c r="D561" s="121">
        <f>'ALL Other SINs - Proposal'!D561</f>
        <v>0</v>
      </c>
      <c r="E561" s="121">
        <f>'ALL Other SINs - Proposal'!E561</f>
        <v>0</v>
      </c>
      <c r="F561" s="171">
        <f>'ALL Other SINs - Proposal'!F561</f>
        <v>0</v>
      </c>
      <c r="G561" s="51">
        <f>'ALL Other SINs - Proposal'!G561</f>
        <v>0</v>
      </c>
      <c r="H561" s="125">
        <f>'ALL Other SINs - Proposal'!H561</f>
        <v>0</v>
      </c>
      <c r="I561" s="125">
        <f>'ALL Other SINs - Proposal'!I561</f>
        <v>0</v>
      </c>
      <c r="J561" s="125">
        <f>'ALL Other SINs - Proposal'!J561</f>
        <v>0</v>
      </c>
      <c r="K561" s="125">
        <f>'ALL Other SINs - Proposal'!K561</f>
        <v>0</v>
      </c>
      <c r="L561" s="125">
        <f>'ALL Other SINs - Proposal'!L561</f>
        <v>0</v>
      </c>
      <c r="M561" s="206">
        <f>'ALL Other SINs - Proposal'!M561</f>
        <v>0</v>
      </c>
      <c r="N561" s="251">
        <f>'ALL Other SINs - Proposal'!V561</f>
        <v>0</v>
      </c>
      <c r="O561" s="201" t="str">
        <f>'Price Analysis'!N561</f>
        <v xml:space="preserve"> </v>
      </c>
      <c r="P561" s="53" t="str">
        <f>IF(ISBLANK('ALL Other SINs - Proposal'!AA561)," ",'ALL Other SINs - Proposal'!AA561)</f>
        <v xml:space="preserve"> </v>
      </c>
      <c r="Q561" s="95" t="str">
        <f>'ALL Other SINs - Proposal'!AC561</f>
        <v xml:space="preserve"> </v>
      </c>
      <c r="R561" s="100" t="str">
        <f>IF(ISBLANK('ALL Other SINs - Proposal'!AA561)," ",ROUND(Q561,2))</f>
        <v xml:space="preserve"> </v>
      </c>
      <c r="S561" s="54"/>
    </row>
    <row r="562" spans="1:19" ht="20.100000000000001" customHeight="1" x14ac:dyDescent="0.2">
      <c r="A562" s="127">
        <f>'ALL Other SINs - Proposal'!A562</f>
        <v>0</v>
      </c>
      <c r="B562" s="121">
        <f>'ALL Other SINs - Proposal'!B562</f>
        <v>0</v>
      </c>
      <c r="C562" s="121">
        <f>'ALL Other SINs - Proposal'!C562</f>
        <v>0</v>
      </c>
      <c r="D562" s="121">
        <f>'ALL Other SINs - Proposal'!D562</f>
        <v>0</v>
      </c>
      <c r="E562" s="121">
        <f>'ALL Other SINs - Proposal'!E562</f>
        <v>0</v>
      </c>
      <c r="F562" s="171">
        <f>'ALL Other SINs - Proposal'!F562</f>
        <v>0</v>
      </c>
      <c r="G562" s="51">
        <f>'ALL Other SINs - Proposal'!G562</f>
        <v>0</v>
      </c>
      <c r="H562" s="125">
        <f>'ALL Other SINs - Proposal'!H562</f>
        <v>0</v>
      </c>
      <c r="I562" s="125">
        <f>'ALL Other SINs - Proposal'!I562</f>
        <v>0</v>
      </c>
      <c r="J562" s="125">
        <f>'ALL Other SINs - Proposal'!J562</f>
        <v>0</v>
      </c>
      <c r="K562" s="125">
        <f>'ALL Other SINs - Proposal'!K562</f>
        <v>0</v>
      </c>
      <c r="L562" s="125">
        <f>'ALL Other SINs - Proposal'!L562</f>
        <v>0</v>
      </c>
      <c r="M562" s="206">
        <f>'ALL Other SINs - Proposal'!M562</f>
        <v>0</v>
      </c>
      <c r="N562" s="251">
        <f>'ALL Other SINs - Proposal'!V562</f>
        <v>0</v>
      </c>
      <c r="O562" s="201" t="str">
        <f>'Price Analysis'!N562</f>
        <v xml:space="preserve"> </v>
      </c>
      <c r="P562" s="53" t="str">
        <f>IF(ISBLANK('ALL Other SINs - Proposal'!AA562)," ",'ALL Other SINs - Proposal'!AA562)</f>
        <v xml:space="preserve"> </v>
      </c>
      <c r="Q562" s="95" t="str">
        <f>'ALL Other SINs - Proposal'!AC562</f>
        <v xml:space="preserve"> </v>
      </c>
      <c r="R562" s="100" t="str">
        <f>IF(ISBLANK('ALL Other SINs - Proposal'!AA562)," ",ROUND(Q562,2))</f>
        <v xml:space="preserve"> </v>
      </c>
      <c r="S562" s="54"/>
    </row>
    <row r="563" spans="1:19" ht="20.100000000000001" customHeight="1" x14ac:dyDescent="0.2">
      <c r="A563" s="127">
        <f>'ALL Other SINs - Proposal'!A563</f>
        <v>0</v>
      </c>
      <c r="B563" s="121">
        <f>'ALL Other SINs - Proposal'!B563</f>
        <v>0</v>
      </c>
      <c r="C563" s="121">
        <f>'ALL Other SINs - Proposal'!C563</f>
        <v>0</v>
      </c>
      <c r="D563" s="121">
        <f>'ALL Other SINs - Proposal'!D563</f>
        <v>0</v>
      </c>
      <c r="E563" s="121">
        <f>'ALL Other SINs - Proposal'!E563</f>
        <v>0</v>
      </c>
      <c r="F563" s="171">
        <f>'ALL Other SINs - Proposal'!F563</f>
        <v>0</v>
      </c>
      <c r="G563" s="51">
        <f>'ALL Other SINs - Proposal'!G563</f>
        <v>0</v>
      </c>
      <c r="H563" s="125">
        <f>'ALL Other SINs - Proposal'!H563</f>
        <v>0</v>
      </c>
      <c r="I563" s="125">
        <f>'ALL Other SINs - Proposal'!I563</f>
        <v>0</v>
      </c>
      <c r="J563" s="125">
        <f>'ALL Other SINs - Proposal'!J563</f>
        <v>0</v>
      </c>
      <c r="K563" s="125">
        <f>'ALL Other SINs - Proposal'!K563</f>
        <v>0</v>
      </c>
      <c r="L563" s="125">
        <f>'ALL Other SINs - Proposal'!L563</f>
        <v>0</v>
      </c>
      <c r="M563" s="206">
        <f>'ALL Other SINs - Proposal'!M563</f>
        <v>0</v>
      </c>
      <c r="N563" s="251">
        <f>'ALL Other SINs - Proposal'!V563</f>
        <v>0</v>
      </c>
      <c r="O563" s="201" t="str">
        <f>'Price Analysis'!N563</f>
        <v xml:space="preserve"> </v>
      </c>
      <c r="P563" s="53" t="str">
        <f>IF(ISBLANK('ALL Other SINs - Proposal'!AA563)," ",'ALL Other SINs - Proposal'!AA563)</f>
        <v xml:space="preserve"> </v>
      </c>
      <c r="Q563" s="95" t="str">
        <f>'ALL Other SINs - Proposal'!AC563</f>
        <v xml:space="preserve"> </v>
      </c>
      <c r="R563" s="100" t="str">
        <f>IF(ISBLANK('ALL Other SINs - Proposal'!AA563)," ",ROUND(Q563,2))</f>
        <v xml:space="preserve"> </v>
      </c>
      <c r="S563" s="54"/>
    </row>
    <row r="564" spans="1:19" ht="20.100000000000001" customHeight="1" x14ac:dyDescent="0.2">
      <c r="A564" s="127">
        <f>'ALL Other SINs - Proposal'!A564</f>
        <v>0</v>
      </c>
      <c r="B564" s="121">
        <f>'ALL Other SINs - Proposal'!B564</f>
        <v>0</v>
      </c>
      <c r="C564" s="121">
        <f>'ALL Other SINs - Proposal'!C564</f>
        <v>0</v>
      </c>
      <c r="D564" s="121">
        <f>'ALL Other SINs - Proposal'!D564</f>
        <v>0</v>
      </c>
      <c r="E564" s="121">
        <f>'ALL Other SINs - Proposal'!E564</f>
        <v>0</v>
      </c>
      <c r="F564" s="171">
        <f>'ALL Other SINs - Proposal'!F564</f>
        <v>0</v>
      </c>
      <c r="G564" s="51">
        <f>'ALL Other SINs - Proposal'!G564</f>
        <v>0</v>
      </c>
      <c r="H564" s="125">
        <f>'ALL Other SINs - Proposal'!H564</f>
        <v>0</v>
      </c>
      <c r="I564" s="125">
        <f>'ALL Other SINs - Proposal'!I564</f>
        <v>0</v>
      </c>
      <c r="J564" s="125">
        <f>'ALL Other SINs - Proposal'!J564</f>
        <v>0</v>
      </c>
      <c r="K564" s="125">
        <f>'ALL Other SINs - Proposal'!K564</f>
        <v>0</v>
      </c>
      <c r="L564" s="125">
        <f>'ALL Other SINs - Proposal'!L564</f>
        <v>0</v>
      </c>
      <c r="M564" s="206">
        <f>'ALL Other SINs - Proposal'!M564</f>
        <v>0</v>
      </c>
      <c r="N564" s="251">
        <f>'ALL Other SINs - Proposal'!V564</f>
        <v>0</v>
      </c>
      <c r="O564" s="201" t="str">
        <f>'Price Analysis'!N564</f>
        <v xml:space="preserve"> </v>
      </c>
      <c r="P564" s="53" t="str">
        <f>IF(ISBLANK('ALL Other SINs - Proposal'!AA564)," ",'ALL Other SINs - Proposal'!AA564)</f>
        <v xml:space="preserve"> </v>
      </c>
      <c r="Q564" s="95" t="str">
        <f>'ALL Other SINs - Proposal'!AC564</f>
        <v xml:space="preserve"> </v>
      </c>
      <c r="R564" s="100" t="str">
        <f>IF(ISBLANK('ALL Other SINs - Proposal'!AA564)," ",ROUND(Q564,2))</f>
        <v xml:space="preserve"> </v>
      </c>
      <c r="S564" s="54"/>
    </row>
    <row r="565" spans="1:19" ht="20.100000000000001" customHeight="1" x14ac:dyDescent="0.2">
      <c r="A565" s="127">
        <f>'ALL Other SINs - Proposal'!A565</f>
        <v>0</v>
      </c>
      <c r="B565" s="121">
        <f>'ALL Other SINs - Proposal'!B565</f>
        <v>0</v>
      </c>
      <c r="C565" s="121">
        <f>'ALL Other SINs - Proposal'!C565</f>
        <v>0</v>
      </c>
      <c r="D565" s="121">
        <f>'ALL Other SINs - Proposal'!D565</f>
        <v>0</v>
      </c>
      <c r="E565" s="121">
        <f>'ALL Other SINs - Proposal'!E565</f>
        <v>0</v>
      </c>
      <c r="F565" s="171">
        <f>'ALL Other SINs - Proposal'!F565</f>
        <v>0</v>
      </c>
      <c r="G565" s="51">
        <f>'ALL Other SINs - Proposal'!G565</f>
        <v>0</v>
      </c>
      <c r="H565" s="125">
        <f>'ALL Other SINs - Proposal'!H565</f>
        <v>0</v>
      </c>
      <c r="I565" s="125">
        <f>'ALL Other SINs - Proposal'!I565</f>
        <v>0</v>
      </c>
      <c r="J565" s="125">
        <f>'ALL Other SINs - Proposal'!J565</f>
        <v>0</v>
      </c>
      <c r="K565" s="125">
        <f>'ALL Other SINs - Proposal'!K565</f>
        <v>0</v>
      </c>
      <c r="L565" s="125">
        <f>'ALL Other SINs - Proposal'!L565</f>
        <v>0</v>
      </c>
      <c r="M565" s="206">
        <f>'ALL Other SINs - Proposal'!M565</f>
        <v>0</v>
      </c>
      <c r="N565" s="251">
        <f>'ALL Other SINs - Proposal'!V565</f>
        <v>0</v>
      </c>
      <c r="O565" s="201" t="str">
        <f>'Price Analysis'!N565</f>
        <v xml:space="preserve"> </v>
      </c>
      <c r="P565" s="53" t="str">
        <f>IF(ISBLANK('ALL Other SINs - Proposal'!AA565)," ",'ALL Other SINs - Proposal'!AA565)</f>
        <v xml:space="preserve"> </v>
      </c>
      <c r="Q565" s="95" t="str">
        <f>'ALL Other SINs - Proposal'!AC565</f>
        <v xml:space="preserve"> </v>
      </c>
      <c r="R565" s="100" t="str">
        <f>IF(ISBLANK('ALL Other SINs - Proposal'!AA565)," ",ROUND(Q565,2))</f>
        <v xml:space="preserve"> </v>
      </c>
      <c r="S565" s="54"/>
    </row>
    <row r="566" spans="1:19" ht="20.100000000000001" customHeight="1" x14ac:dyDescent="0.2">
      <c r="A566" s="127">
        <f>'ALL Other SINs - Proposal'!A566</f>
        <v>0</v>
      </c>
      <c r="B566" s="121">
        <f>'ALL Other SINs - Proposal'!B566</f>
        <v>0</v>
      </c>
      <c r="C566" s="121">
        <f>'ALL Other SINs - Proposal'!C566</f>
        <v>0</v>
      </c>
      <c r="D566" s="121">
        <f>'ALL Other SINs - Proposal'!D566</f>
        <v>0</v>
      </c>
      <c r="E566" s="121">
        <f>'ALL Other SINs - Proposal'!E566</f>
        <v>0</v>
      </c>
      <c r="F566" s="171">
        <f>'ALL Other SINs - Proposal'!F566</f>
        <v>0</v>
      </c>
      <c r="G566" s="51">
        <f>'ALL Other SINs - Proposal'!G566</f>
        <v>0</v>
      </c>
      <c r="H566" s="125">
        <f>'ALL Other SINs - Proposal'!H566</f>
        <v>0</v>
      </c>
      <c r="I566" s="125">
        <f>'ALL Other SINs - Proposal'!I566</f>
        <v>0</v>
      </c>
      <c r="J566" s="125">
        <f>'ALL Other SINs - Proposal'!J566</f>
        <v>0</v>
      </c>
      <c r="K566" s="125">
        <f>'ALL Other SINs - Proposal'!K566</f>
        <v>0</v>
      </c>
      <c r="L566" s="125">
        <f>'ALL Other SINs - Proposal'!L566</f>
        <v>0</v>
      </c>
      <c r="M566" s="206">
        <f>'ALL Other SINs - Proposal'!M566</f>
        <v>0</v>
      </c>
      <c r="N566" s="251">
        <f>'ALL Other SINs - Proposal'!V566</f>
        <v>0</v>
      </c>
      <c r="O566" s="201" t="str">
        <f>'Price Analysis'!N566</f>
        <v xml:space="preserve"> </v>
      </c>
      <c r="P566" s="53" t="str">
        <f>IF(ISBLANK('ALL Other SINs - Proposal'!AA566)," ",'ALL Other SINs - Proposal'!AA566)</f>
        <v xml:space="preserve"> </v>
      </c>
      <c r="Q566" s="95" t="str">
        <f>'ALL Other SINs - Proposal'!AC566</f>
        <v xml:space="preserve"> </v>
      </c>
      <c r="R566" s="100" t="str">
        <f>IF(ISBLANK('ALL Other SINs - Proposal'!AA566)," ",ROUND(Q566,2))</f>
        <v xml:space="preserve"> </v>
      </c>
      <c r="S566" s="54"/>
    </row>
    <row r="567" spans="1:19" ht="20.100000000000001" customHeight="1" x14ac:dyDescent="0.2">
      <c r="A567" s="127">
        <f>'ALL Other SINs - Proposal'!A567</f>
        <v>0</v>
      </c>
      <c r="B567" s="121">
        <f>'ALL Other SINs - Proposal'!B567</f>
        <v>0</v>
      </c>
      <c r="C567" s="121">
        <f>'ALL Other SINs - Proposal'!C567</f>
        <v>0</v>
      </c>
      <c r="D567" s="121">
        <f>'ALL Other SINs - Proposal'!D567</f>
        <v>0</v>
      </c>
      <c r="E567" s="121">
        <f>'ALL Other SINs - Proposal'!E567</f>
        <v>0</v>
      </c>
      <c r="F567" s="171">
        <f>'ALL Other SINs - Proposal'!F567</f>
        <v>0</v>
      </c>
      <c r="G567" s="51">
        <f>'ALL Other SINs - Proposal'!G567</f>
        <v>0</v>
      </c>
      <c r="H567" s="125">
        <f>'ALL Other SINs - Proposal'!H567</f>
        <v>0</v>
      </c>
      <c r="I567" s="125">
        <f>'ALL Other SINs - Proposal'!I567</f>
        <v>0</v>
      </c>
      <c r="J567" s="125">
        <f>'ALL Other SINs - Proposal'!J567</f>
        <v>0</v>
      </c>
      <c r="K567" s="125">
        <f>'ALL Other SINs - Proposal'!K567</f>
        <v>0</v>
      </c>
      <c r="L567" s="125">
        <f>'ALL Other SINs - Proposal'!L567</f>
        <v>0</v>
      </c>
      <c r="M567" s="206">
        <f>'ALL Other SINs - Proposal'!M567</f>
        <v>0</v>
      </c>
      <c r="N567" s="251">
        <f>'ALL Other SINs - Proposal'!V567</f>
        <v>0</v>
      </c>
      <c r="O567" s="201" t="str">
        <f>'Price Analysis'!N567</f>
        <v xml:space="preserve"> </v>
      </c>
      <c r="P567" s="53" t="str">
        <f>IF(ISBLANK('ALL Other SINs - Proposal'!AA567)," ",'ALL Other SINs - Proposal'!AA567)</f>
        <v xml:space="preserve"> </v>
      </c>
      <c r="Q567" s="95" t="str">
        <f>'ALL Other SINs - Proposal'!AC567</f>
        <v xml:space="preserve"> </v>
      </c>
      <c r="R567" s="100" t="str">
        <f>IF(ISBLANK('ALL Other SINs - Proposal'!AA567)," ",ROUND(Q567,2))</f>
        <v xml:space="preserve"> </v>
      </c>
      <c r="S567" s="54"/>
    </row>
    <row r="568" spans="1:19" ht="20.100000000000001" customHeight="1" x14ac:dyDescent="0.2">
      <c r="A568" s="127">
        <f>'ALL Other SINs - Proposal'!A568</f>
        <v>0</v>
      </c>
      <c r="B568" s="121">
        <f>'ALL Other SINs - Proposal'!B568</f>
        <v>0</v>
      </c>
      <c r="C568" s="121">
        <f>'ALL Other SINs - Proposal'!C568</f>
        <v>0</v>
      </c>
      <c r="D568" s="121">
        <f>'ALL Other SINs - Proposal'!D568</f>
        <v>0</v>
      </c>
      <c r="E568" s="121">
        <f>'ALL Other SINs - Proposal'!E568</f>
        <v>0</v>
      </c>
      <c r="F568" s="171">
        <f>'ALL Other SINs - Proposal'!F568</f>
        <v>0</v>
      </c>
      <c r="G568" s="51">
        <f>'ALL Other SINs - Proposal'!G568</f>
        <v>0</v>
      </c>
      <c r="H568" s="125">
        <f>'ALL Other SINs - Proposal'!H568</f>
        <v>0</v>
      </c>
      <c r="I568" s="125">
        <f>'ALL Other SINs - Proposal'!I568</f>
        <v>0</v>
      </c>
      <c r="J568" s="125">
        <f>'ALL Other SINs - Proposal'!J568</f>
        <v>0</v>
      </c>
      <c r="K568" s="125">
        <f>'ALL Other SINs - Proposal'!K568</f>
        <v>0</v>
      </c>
      <c r="L568" s="125">
        <f>'ALL Other SINs - Proposal'!L568</f>
        <v>0</v>
      </c>
      <c r="M568" s="206">
        <f>'ALL Other SINs - Proposal'!M568</f>
        <v>0</v>
      </c>
      <c r="N568" s="251">
        <f>'ALL Other SINs - Proposal'!V568</f>
        <v>0</v>
      </c>
      <c r="O568" s="201" t="str">
        <f>'Price Analysis'!N568</f>
        <v xml:space="preserve"> </v>
      </c>
      <c r="P568" s="53" t="str">
        <f>IF(ISBLANK('ALL Other SINs - Proposal'!AA568)," ",'ALL Other SINs - Proposal'!AA568)</f>
        <v xml:space="preserve"> </v>
      </c>
      <c r="Q568" s="95" t="str">
        <f>'ALL Other SINs - Proposal'!AC568</f>
        <v xml:space="preserve"> </v>
      </c>
      <c r="R568" s="100" t="str">
        <f>IF(ISBLANK('ALL Other SINs - Proposal'!AA568)," ",ROUND(Q568,2))</f>
        <v xml:space="preserve"> </v>
      </c>
      <c r="S568" s="54"/>
    </row>
    <row r="569" spans="1:19" ht="20.100000000000001" customHeight="1" x14ac:dyDescent="0.2">
      <c r="A569" s="127">
        <f>'ALL Other SINs - Proposal'!A569</f>
        <v>0</v>
      </c>
      <c r="B569" s="121">
        <f>'ALL Other SINs - Proposal'!B569</f>
        <v>0</v>
      </c>
      <c r="C569" s="121">
        <f>'ALL Other SINs - Proposal'!C569</f>
        <v>0</v>
      </c>
      <c r="D569" s="121">
        <f>'ALL Other SINs - Proposal'!D569</f>
        <v>0</v>
      </c>
      <c r="E569" s="121">
        <f>'ALL Other SINs - Proposal'!E569</f>
        <v>0</v>
      </c>
      <c r="F569" s="171">
        <f>'ALL Other SINs - Proposal'!F569</f>
        <v>0</v>
      </c>
      <c r="G569" s="51">
        <f>'ALL Other SINs - Proposal'!G569</f>
        <v>0</v>
      </c>
      <c r="H569" s="125">
        <f>'ALL Other SINs - Proposal'!H569</f>
        <v>0</v>
      </c>
      <c r="I569" s="125">
        <f>'ALL Other SINs - Proposal'!I569</f>
        <v>0</v>
      </c>
      <c r="J569" s="125">
        <f>'ALL Other SINs - Proposal'!J569</f>
        <v>0</v>
      </c>
      <c r="K569" s="125">
        <f>'ALL Other SINs - Proposal'!K569</f>
        <v>0</v>
      </c>
      <c r="L569" s="125">
        <f>'ALL Other SINs - Proposal'!L569</f>
        <v>0</v>
      </c>
      <c r="M569" s="206">
        <f>'ALL Other SINs - Proposal'!M569</f>
        <v>0</v>
      </c>
      <c r="N569" s="251">
        <f>'ALL Other SINs - Proposal'!V569</f>
        <v>0</v>
      </c>
      <c r="O569" s="201" t="str">
        <f>'Price Analysis'!N569</f>
        <v xml:space="preserve"> </v>
      </c>
      <c r="P569" s="53" t="str">
        <f>IF(ISBLANK('ALL Other SINs - Proposal'!AA569)," ",'ALL Other SINs - Proposal'!AA569)</f>
        <v xml:space="preserve"> </v>
      </c>
      <c r="Q569" s="95" t="str">
        <f>'ALL Other SINs - Proposal'!AC569</f>
        <v xml:space="preserve"> </v>
      </c>
      <c r="R569" s="100" t="str">
        <f>IF(ISBLANK('ALL Other SINs - Proposal'!AA569)," ",ROUND(Q569,2))</f>
        <v xml:space="preserve"> </v>
      </c>
      <c r="S569" s="54"/>
    </row>
    <row r="570" spans="1:19" ht="20.100000000000001" customHeight="1" x14ac:dyDescent="0.2">
      <c r="A570" s="127">
        <f>'ALL Other SINs - Proposal'!A570</f>
        <v>0</v>
      </c>
      <c r="B570" s="121">
        <f>'ALL Other SINs - Proposal'!B570</f>
        <v>0</v>
      </c>
      <c r="C570" s="121">
        <f>'ALL Other SINs - Proposal'!C570</f>
        <v>0</v>
      </c>
      <c r="D570" s="121">
        <f>'ALL Other SINs - Proposal'!D570</f>
        <v>0</v>
      </c>
      <c r="E570" s="121">
        <f>'ALL Other SINs - Proposal'!E570</f>
        <v>0</v>
      </c>
      <c r="F570" s="171">
        <f>'ALL Other SINs - Proposal'!F570</f>
        <v>0</v>
      </c>
      <c r="G570" s="51">
        <f>'ALL Other SINs - Proposal'!G570</f>
        <v>0</v>
      </c>
      <c r="H570" s="125">
        <f>'ALL Other SINs - Proposal'!H570</f>
        <v>0</v>
      </c>
      <c r="I570" s="125">
        <f>'ALL Other SINs - Proposal'!I570</f>
        <v>0</v>
      </c>
      <c r="J570" s="125">
        <f>'ALL Other SINs - Proposal'!J570</f>
        <v>0</v>
      </c>
      <c r="K570" s="125">
        <f>'ALL Other SINs - Proposal'!K570</f>
        <v>0</v>
      </c>
      <c r="L570" s="125">
        <f>'ALL Other SINs - Proposal'!L570</f>
        <v>0</v>
      </c>
      <c r="M570" s="206">
        <f>'ALL Other SINs - Proposal'!M570</f>
        <v>0</v>
      </c>
      <c r="N570" s="251">
        <f>'ALL Other SINs - Proposal'!V570</f>
        <v>0</v>
      </c>
      <c r="O570" s="201" t="str">
        <f>'Price Analysis'!N570</f>
        <v xml:space="preserve"> </v>
      </c>
      <c r="P570" s="53" t="str">
        <f>IF(ISBLANK('ALL Other SINs - Proposal'!AA570)," ",'ALL Other SINs - Proposal'!AA570)</f>
        <v xml:space="preserve"> </v>
      </c>
      <c r="Q570" s="95" t="str">
        <f>'ALL Other SINs - Proposal'!AC570</f>
        <v xml:space="preserve"> </v>
      </c>
      <c r="R570" s="100" t="str">
        <f>IF(ISBLANK('ALL Other SINs - Proposal'!AA570)," ",ROUND(Q570,2))</f>
        <v xml:space="preserve"> </v>
      </c>
      <c r="S570" s="54"/>
    </row>
    <row r="571" spans="1:19" ht="20.100000000000001" customHeight="1" x14ac:dyDescent="0.2">
      <c r="A571" s="127">
        <f>'ALL Other SINs - Proposal'!A571</f>
        <v>0</v>
      </c>
      <c r="B571" s="121">
        <f>'ALL Other SINs - Proposal'!B571</f>
        <v>0</v>
      </c>
      <c r="C571" s="121">
        <f>'ALL Other SINs - Proposal'!C571</f>
        <v>0</v>
      </c>
      <c r="D571" s="121">
        <f>'ALL Other SINs - Proposal'!D571</f>
        <v>0</v>
      </c>
      <c r="E571" s="121">
        <f>'ALL Other SINs - Proposal'!E571</f>
        <v>0</v>
      </c>
      <c r="F571" s="171">
        <f>'ALL Other SINs - Proposal'!F571</f>
        <v>0</v>
      </c>
      <c r="G571" s="51">
        <f>'ALL Other SINs - Proposal'!G571</f>
        <v>0</v>
      </c>
      <c r="H571" s="125">
        <f>'ALL Other SINs - Proposal'!H571</f>
        <v>0</v>
      </c>
      <c r="I571" s="125">
        <f>'ALL Other SINs - Proposal'!I571</f>
        <v>0</v>
      </c>
      <c r="J571" s="125">
        <f>'ALL Other SINs - Proposal'!J571</f>
        <v>0</v>
      </c>
      <c r="K571" s="125">
        <f>'ALL Other SINs - Proposal'!K571</f>
        <v>0</v>
      </c>
      <c r="L571" s="125">
        <f>'ALL Other SINs - Proposal'!L571</f>
        <v>0</v>
      </c>
      <c r="M571" s="206">
        <f>'ALL Other SINs - Proposal'!M571</f>
        <v>0</v>
      </c>
      <c r="N571" s="251">
        <f>'ALL Other SINs - Proposal'!V571</f>
        <v>0</v>
      </c>
      <c r="O571" s="201" t="str">
        <f>'Price Analysis'!N571</f>
        <v xml:space="preserve"> </v>
      </c>
      <c r="P571" s="53" t="str">
        <f>IF(ISBLANK('ALL Other SINs - Proposal'!AA571)," ",'ALL Other SINs - Proposal'!AA571)</f>
        <v xml:space="preserve"> </v>
      </c>
      <c r="Q571" s="95" t="str">
        <f>'ALL Other SINs - Proposal'!AC571</f>
        <v xml:space="preserve"> </v>
      </c>
      <c r="R571" s="100" t="str">
        <f>IF(ISBLANK('ALL Other SINs - Proposal'!AA571)," ",ROUND(Q571,2))</f>
        <v xml:space="preserve"> </v>
      </c>
      <c r="S571" s="54"/>
    </row>
    <row r="572" spans="1:19" ht="20.100000000000001" customHeight="1" x14ac:dyDescent="0.2">
      <c r="A572" s="127">
        <f>'ALL Other SINs - Proposal'!A572</f>
        <v>0</v>
      </c>
      <c r="B572" s="121">
        <f>'ALL Other SINs - Proposal'!B572</f>
        <v>0</v>
      </c>
      <c r="C572" s="121">
        <f>'ALL Other SINs - Proposal'!C572</f>
        <v>0</v>
      </c>
      <c r="D572" s="121">
        <f>'ALL Other SINs - Proposal'!D572</f>
        <v>0</v>
      </c>
      <c r="E572" s="121">
        <f>'ALL Other SINs - Proposal'!E572</f>
        <v>0</v>
      </c>
      <c r="F572" s="171">
        <f>'ALL Other SINs - Proposal'!F572</f>
        <v>0</v>
      </c>
      <c r="G572" s="51">
        <f>'ALL Other SINs - Proposal'!G572</f>
        <v>0</v>
      </c>
      <c r="H572" s="125">
        <f>'ALL Other SINs - Proposal'!H572</f>
        <v>0</v>
      </c>
      <c r="I572" s="125">
        <f>'ALL Other SINs - Proposal'!I572</f>
        <v>0</v>
      </c>
      <c r="J572" s="125">
        <f>'ALL Other SINs - Proposal'!J572</f>
        <v>0</v>
      </c>
      <c r="K572" s="125">
        <f>'ALL Other SINs - Proposal'!K572</f>
        <v>0</v>
      </c>
      <c r="L572" s="125">
        <f>'ALL Other SINs - Proposal'!L572</f>
        <v>0</v>
      </c>
      <c r="M572" s="206">
        <f>'ALL Other SINs - Proposal'!M572</f>
        <v>0</v>
      </c>
      <c r="N572" s="251">
        <f>'ALL Other SINs - Proposal'!V572</f>
        <v>0</v>
      </c>
      <c r="O572" s="201" t="str">
        <f>'Price Analysis'!N572</f>
        <v xml:space="preserve"> </v>
      </c>
      <c r="P572" s="53" t="str">
        <f>IF(ISBLANK('ALL Other SINs - Proposal'!AA572)," ",'ALL Other SINs - Proposal'!AA572)</f>
        <v xml:space="preserve"> </v>
      </c>
      <c r="Q572" s="95" t="str">
        <f>'ALL Other SINs - Proposal'!AC572</f>
        <v xml:space="preserve"> </v>
      </c>
      <c r="R572" s="100" t="str">
        <f>IF(ISBLANK('ALL Other SINs - Proposal'!AA572)," ",ROUND(Q572,2))</f>
        <v xml:space="preserve"> </v>
      </c>
      <c r="S572" s="54"/>
    </row>
    <row r="573" spans="1:19" ht="20.100000000000001" customHeight="1" x14ac:dyDescent="0.2">
      <c r="A573" s="127">
        <f>'ALL Other SINs - Proposal'!A573</f>
        <v>0</v>
      </c>
      <c r="B573" s="121">
        <f>'ALL Other SINs - Proposal'!B573</f>
        <v>0</v>
      </c>
      <c r="C573" s="121">
        <f>'ALL Other SINs - Proposal'!C573</f>
        <v>0</v>
      </c>
      <c r="D573" s="121">
        <f>'ALL Other SINs - Proposal'!D573</f>
        <v>0</v>
      </c>
      <c r="E573" s="121">
        <f>'ALL Other SINs - Proposal'!E573</f>
        <v>0</v>
      </c>
      <c r="F573" s="171">
        <f>'ALL Other SINs - Proposal'!F573</f>
        <v>0</v>
      </c>
      <c r="G573" s="51">
        <f>'ALL Other SINs - Proposal'!G573</f>
        <v>0</v>
      </c>
      <c r="H573" s="125">
        <f>'ALL Other SINs - Proposal'!H573</f>
        <v>0</v>
      </c>
      <c r="I573" s="125">
        <f>'ALL Other SINs - Proposal'!I573</f>
        <v>0</v>
      </c>
      <c r="J573" s="125">
        <f>'ALL Other SINs - Proposal'!J573</f>
        <v>0</v>
      </c>
      <c r="K573" s="125">
        <f>'ALL Other SINs - Proposal'!K573</f>
        <v>0</v>
      </c>
      <c r="L573" s="125">
        <f>'ALL Other SINs - Proposal'!L573</f>
        <v>0</v>
      </c>
      <c r="M573" s="206">
        <f>'ALL Other SINs - Proposal'!M573</f>
        <v>0</v>
      </c>
      <c r="N573" s="251">
        <f>'ALL Other SINs - Proposal'!V573</f>
        <v>0</v>
      </c>
      <c r="O573" s="201" t="str">
        <f>'Price Analysis'!N573</f>
        <v xml:space="preserve"> </v>
      </c>
      <c r="P573" s="53" t="str">
        <f>IF(ISBLANK('ALL Other SINs - Proposal'!AA573)," ",'ALL Other SINs - Proposal'!AA573)</f>
        <v xml:space="preserve"> </v>
      </c>
      <c r="Q573" s="95" t="str">
        <f>'ALL Other SINs - Proposal'!AC573</f>
        <v xml:space="preserve"> </v>
      </c>
      <c r="R573" s="100" t="str">
        <f>IF(ISBLANK('ALL Other SINs - Proposal'!AA573)," ",ROUND(Q573,2))</f>
        <v xml:space="preserve"> </v>
      </c>
      <c r="S573" s="54"/>
    </row>
    <row r="574" spans="1:19" ht="20.100000000000001" customHeight="1" x14ac:dyDescent="0.2">
      <c r="A574" s="127">
        <f>'ALL Other SINs - Proposal'!A574</f>
        <v>0</v>
      </c>
      <c r="B574" s="121">
        <f>'ALL Other SINs - Proposal'!B574</f>
        <v>0</v>
      </c>
      <c r="C574" s="121">
        <f>'ALL Other SINs - Proposal'!C574</f>
        <v>0</v>
      </c>
      <c r="D574" s="121">
        <f>'ALL Other SINs - Proposal'!D574</f>
        <v>0</v>
      </c>
      <c r="E574" s="121">
        <f>'ALL Other SINs - Proposal'!E574</f>
        <v>0</v>
      </c>
      <c r="F574" s="171">
        <f>'ALL Other SINs - Proposal'!F574</f>
        <v>0</v>
      </c>
      <c r="G574" s="51">
        <f>'ALL Other SINs - Proposal'!G574</f>
        <v>0</v>
      </c>
      <c r="H574" s="125">
        <f>'ALL Other SINs - Proposal'!H574</f>
        <v>0</v>
      </c>
      <c r="I574" s="125">
        <f>'ALL Other SINs - Proposal'!I574</f>
        <v>0</v>
      </c>
      <c r="J574" s="125">
        <f>'ALL Other SINs - Proposal'!J574</f>
        <v>0</v>
      </c>
      <c r="K574" s="125">
        <f>'ALL Other SINs - Proposal'!K574</f>
        <v>0</v>
      </c>
      <c r="L574" s="125">
        <f>'ALL Other SINs - Proposal'!L574</f>
        <v>0</v>
      </c>
      <c r="M574" s="206">
        <f>'ALL Other SINs - Proposal'!M574</f>
        <v>0</v>
      </c>
      <c r="N574" s="251">
        <f>'ALL Other SINs - Proposal'!V574</f>
        <v>0</v>
      </c>
      <c r="O574" s="201" t="str">
        <f>'Price Analysis'!N574</f>
        <v xml:space="preserve"> </v>
      </c>
      <c r="P574" s="53" t="str">
        <f>IF(ISBLANK('ALL Other SINs - Proposal'!AA574)," ",'ALL Other SINs - Proposal'!AA574)</f>
        <v xml:space="preserve"> </v>
      </c>
      <c r="Q574" s="95" t="str">
        <f>'ALL Other SINs - Proposal'!AC574</f>
        <v xml:space="preserve"> </v>
      </c>
      <c r="R574" s="100" t="str">
        <f>IF(ISBLANK('ALL Other SINs - Proposal'!AA574)," ",ROUND(Q574,2))</f>
        <v xml:space="preserve"> </v>
      </c>
      <c r="S574" s="54"/>
    </row>
    <row r="575" spans="1:19" ht="20.100000000000001" customHeight="1" x14ac:dyDescent="0.2">
      <c r="A575" s="127">
        <f>'ALL Other SINs - Proposal'!A575</f>
        <v>0</v>
      </c>
      <c r="B575" s="121">
        <f>'ALL Other SINs - Proposal'!B575</f>
        <v>0</v>
      </c>
      <c r="C575" s="121">
        <f>'ALL Other SINs - Proposal'!C575</f>
        <v>0</v>
      </c>
      <c r="D575" s="121">
        <f>'ALL Other SINs - Proposal'!D575</f>
        <v>0</v>
      </c>
      <c r="E575" s="121">
        <f>'ALL Other SINs - Proposal'!E575</f>
        <v>0</v>
      </c>
      <c r="F575" s="171">
        <f>'ALL Other SINs - Proposal'!F575</f>
        <v>0</v>
      </c>
      <c r="G575" s="51">
        <f>'ALL Other SINs - Proposal'!G575</f>
        <v>0</v>
      </c>
      <c r="H575" s="125">
        <f>'ALL Other SINs - Proposal'!H575</f>
        <v>0</v>
      </c>
      <c r="I575" s="125">
        <f>'ALL Other SINs - Proposal'!I575</f>
        <v>0</v>
      </c>
      <c r="J575" s="125">
        <f>'ALL Other SINs - Proposal'!J575</f>
        <v>0</v>
      </c>
      <c r="K575" s="125">
        <f>'ALL Other SINs - Proposal'!K575</f>
        <v>0</v>
      </c>
      <c r="L575" s="125">
        <f>'ALL Other SINs - Proposal'!L575</f>
        <v>0</v>
      </c>
      <c r="M575" s="206">
        <f>'ALL Other SINs - Proposal'!M575</f>
        <v>0</v>
      </c>
      <c r="N575" s="251">
        <f>'ALL Other SINs - Proposal'!V575</f>
        <v>0</v>
      </c>
      <c r="O575" s="201" t="str">
        <f>'Price Analysis'!N575</f>
        <v xml:space="preserve"> </v>
      </c>
      <c r="P575" s="53" t="str">
        <f>IF(ISBLANK('ALL Other SINs - Proposal'!AA575)," ",'ALL Other SINs - Proposal'!AA575)</f>
        <v xml:space="preserve"> </v>
      </c>
      <c r="Q575" s="95" t="str">
        <f>'ALL Other SINs - Proposal'!AC575</f>
        <v xml:space="preserve"> </v>
      </c>
      <c r="R575" s="100" t="str">
        <f>IF(ISBLANK('ALL Other SINs - Proposal'!AA575)," ",ROUND(Q575,2))</f>
        <v xml:space="preserve"> </v>
      </c>
      <c r="S575" s="54"/>
    </row>
    <row r="576" spans="1:19" ht="20.100000000000001" customHeight="1" x14ac:dyDescent="0.2">
      <c r="A576" s="127">
        <f>'ALL Other SINs - Proposal'!A576</f>
        <v>0</v>
      </c>
      <c r="B576" s="121">
        <f>'ALL Other SINs - Proposal'!B576</f>
        <v>0</v>
      </c>
      <c r="C576" s="121">
        <f>'ALL Other SINs - Proposal'!C576</f>
        <v>0</v>
      </c>
      <c r="D576" s="121">
        <f>'ALL Other SINs - Proposal'!D576</f>
        <v>0</v>
      </c>
      <c r="E576" s="121">
        <f>'ALL Other SINs - Proposal'!E576</f>
        <v>0</v>
      </c>
      <c r="F576" s="171">
        <f>'ALL Other SINs - Proposal'!F576</f>
        <v>0</v>
      </c>
      <c r="G576" s="51">
        <f>'ALL Other SINs - Proposal'!G576</f>
        <v>0</v>
      </c>
      <c r="H576" s="125">
        <f>'ALL Other SINs - Proposal'!H576</f>
        <v>0</v>
      </c>
      <c r="I576" s="125">
        <f>'ALL Other SINs - Proposal'!I576</f>
        <v>0</v>
      </c>
      <c r="J576" s="125">
        <f>'ALL Other SINs - Proposal'!J576</f>
        <v>0</v>
      </c>
      <c r="K576" s="125">
        <f>'ALL Other SINs - Proposal'!K576</f>
        <v>0</v>
      </c>
      <c r="L576" s="125">
        <f>'ALL Other SINs - Proposal'!L576</f>
        <v>0</v>
      </c>
      <c r="M576" s="206">
        <f>'ALL Other SINs - Proposal'!M576</f>
        <v>0</v>
      </c>
      <c r="N576" s="251">
        <f>'ALL Other SINs - Proposal'!V576</f>
        <v>0</v>
      </c>
      <c r="O576" s="201" t="str">
        <f>'Price Analysis'!N576</f>
        <v xml:space="preserve"> </v>
      </c>
      <c r="P576" s="53" t="str">
        <f>IF(ISBLANK('ALL Other SINs - Proposal'!AA576)," ",'ALL Other SINs - Proposal'!AA576)</f>
        <v xml:space="preserve"> </v>
      </c>
      <c r="Q576" s="95" t="str">
        <f>'ALL Other SINs - Proposal'!AC576</f>
        <v xml:space="preserve"> </v>
      </c>
      <c r="R576" s="100" t="str">
        <f>IF(ISBLANK('ALL Other SINs - Proposal'!AA576)," ",ROUND(Q576,2))</f>
        <v xml:space="preserve"> </v>
      </c>
      <c r="S576" s="54"/>
    </row>
    <row r="577" spans="1:19" ht="20.100000000000001" customHeight="1" x14ac:dyDescent="0.2">
      <c r="A577" s="127">
        <f>'ALL Other SINs - Proposal'!A577</f>
        <v>0</v>
      </c>
      <c r="B577" s="121">
        <f>'ALL Other SINs - Proposal'!B577</f>
        <v>0</v>
      </c>
      <c r="C577" s="121">
        <f>'ALL Other SINs - Proposal'!C577</f>
        <v>0</v>
      </c>
      <c r="D577" s="121">
        <f>'ALL Other SINs - Proposal'!D577</f>
        <v>0</v>
      </c>
      <c r="E577" s="121">
        <f>'ALL Other SINs - Proposal'!E577</f>
        <v>0</v>
      </c>
      <c r="F577" s="171">
        <f>'ALL Other SINs - Proposal'!F577</f>
        <v>0</v>
      </c>
      <c r="G577" s="51">
        <f>'ALL Other SINs - Proposal'!G577</f>
        <v>0</v>
      </c>
      <c r="H577" s="125">
        <f>'ALL Other SINs - Proposal'!H577</f>
        <v>0</v>
      </c>
      <c r="I577" s="125">
        <f>'ALL Other SINs - Proposal'!I577</f>
        <v>0</v>
      </c>
      <c r="J577" s="125">
        <f>'ALL Other SINs - Proposal'!J577</f>
        <v>0</v>
      </c>
      <c r="K577" s="125">
        <f>'ALL Other SINs - Proposal'!K577</f>
        <v>0</v>
      </c>
      <c r="L577" s="125">
        <f>'ALL Other SINs - Proposal'!L577</f>
        <v>0</v>
      </c>
      <c r="M577" s="206">
        <f>'ALL Other SINs - Proposal'!M577</f>
        <v>0</v>
      </c>
      <c r="N577" s="251">
        <f>'ALL Other SINs - Proposal'!V577</f>
        <v>0</v>
      </c>
      <c r="O577" s="201" t="str">
        <f>'Price Analysis'!N577</f>
        <v xml:space="preserve"> </v>
      </c>
      <c r="P577" s="53" t="str">
        <f>IF(ISBLANK('ALL Other SINs - Proposal'!AA577)," ",'ALL Other SINs - Proposal'!AA577)</f>
        <v xml:space="preserve"> </v>
      </c>
      <c r="Q577" s="95" t="str">
        <f>'ALL Other SINs - Proposal'!AC577</f>
        <v xml:space="preserve"> </v>
      </c>
      <c r="R577" s="100" t="str">
        <f>IF(ISBLANK('ALL Other SINs - Proposal'!AA577)," ",ROUND(Q577,2))</f>
        <v xml:space="preserve"> </v>
      </c>
      <c r="S577" s="54"/>
    </row>
    <row r="578" spans="1:19" ht="20.100000000000001" customHeight="1" x14ac:dyDescent="0.2">
      <c r="A578" s="127">
        <f>'ALL Other SINs - Proposal'!A578</f>
        <v>0</v>
      </c>
      <c r="B578" s="121">
        <f>'ALL Other SINs - Proposal'!B578</f>
        <v>0</v>
      </c>
      <c r="C578" s="121">
        <f>'ALL Other SINs - Proposal'!C578</f>
        <v>0</v>
      </c>
      <c r="D578" s="121">
        <f>'ALL Other SINs - Proposal'!D578</f>
        <v>0</v>
      </c>
      <c r="E578" s="121">
        <f>'ALL Other SINs - Proposal'!E578</f>
        <v>0</v>
      </c>
      <c r="F578" s="171">
        <f>'ALL Other SINs - Proposal'!F578</f>
        <v>0</v>
      </c>
      <c r="G578" s="51">
        <f>'ALL Other SINs - Proposal'!G578</f>
        <v>0</v>
      </c>
      <c r="H578" s="125">
        <f>'ALL Other SINs - Proposal'!H578</f>
        <v>0</v>
      </c>
      <c r="I578" s="125">
        <f>'ALL Other SINs - Proposal'!I578</f>
        <v>0</v>
      </c>
      <c r="J578" s="125">
        <f>'ALL Other SINs - Proposal'!J578</f>
        <v>0</v>
      </c>
      <c r="K578" s="125">
        <f>'ALL Other SINs - Proposal'!K578</f>
        <v>0</v>
      </c>
      <c r="L578" s="125">
        <f>'ALL Other SINs - Proposal'!L578</f>
        <v>0</v>
      </c>
      <c r="M578" s="206">
        <f>'ALL Other SINs - Proposal'!M578</f>
        <v>0</v>
      </c>
      <c r="N578" s="251">
        <f>'ALL Other SINs - Proposal'!V578</f>
        <v>0</v>
      </c>
      <c r="O578" s="201" t="str">
        <f>'Price Analysis'!N578</f>
        <v xml:space="preserve"> </v>
      </c>
      <c r="P578" s="53" t="str">
        <f>IF(ISBLANK('ALL Other SINs - Proposal'!AA578)," ",'ALL Other SINs - Proposal'!AA578)</f>
        <v xml:space="preserve"> </v>
      </c>
      <c r="Q578" s="95" t="str">
        <f>'ALL Other SINs - Proposal'!AC578</f>
        <v xml:space="preserve"> </v>
      </c>
      <c r="R578" s="100" t="str">
        <f>IF(ISBLANK('ALL Other SINs - Proposal'!AA578)," ",ROUND(Q578,2))</f>
        <v xml:space="preserve"> </v>
      </c>
      <c r="S578" s="54"/>
    </row>
    <row r="579" spans="1:19" ht="20.100000000000001" customHeight="1" x14ac:dyDescent="0.2">
      <c r="A579" s="127">
        <f>'ALL Other SINs - Proposal'!A579</f>
        <v>0</v>
      </c>
      <c r="B579" s="121">
        <f>'ALL Other SINs - Proposal'!B579</f>
        <v>0</v>
      </c>
      <c r="C579" s="121">
        <f>'ALL Other SINs - Proposal'!C579</f>
        <v>0</v>
      </c>
      <c r="D579" s="121">
        <f>'ALL Other SINs - Proposal'!D579</f>
        <v>0</v>
      </c>
      <c r="E579" s="121">
        <f>'ALL Other SINs - Proposal'!E579</f>
        <v>0</v>
      </c>
      <c r="F579" s="171">
        <f>'ALL Other SINs - Proposal'!F579</f>
        <v>0</v>
      </c>
      <c r="G579" s="51">
        <f>'ALL Other SINs - Proposal'!G579</f>
        <v>0</v>
      </c>
      <c r="H579" s="125">
        <f>'ALL Other SINs - Proposal'!H579</f>
        <v>0</v>
      </c>
      <c r="I579" s="125">
        <f>'ALL Other SINs - Proposal'!I579</f>
        <v>0</v>
      </c>
      <c r="J579" s="125">
        <f>'ALL Other SINs - Proposal'!J579</f>
        <v>0</v>
      </c>
      <c r="K579" s="125">
        <f>'ALL Other SINs - Proposal'!K579</f>
        <v>0</v>
      </c>
      <c r="L579" s="125">
        <f>'ALL Other SINs - Proposal'!L579</f>
        <v>0</v>
      </c>
      <c r="M579" s="206">
        <f>'ALL Other SINs - Proposal'!M579</f>
        <v>0</v>
      </c>
      <c r="N579" s="251">
        <f>'ALL Other SINs - Proposal'!V579</f>
        <v>0</v>
      </c>
      <c r="O579" s="201" t="str">
        <f>'Price Analysis'!N579</f>
        <v xml:space="preserve"> </v>
      </c>
      <c r="P579" s="53" t="str">
        <f>IF(ISBLANK('ALL Other SINs - Proposal'!AA579)," ",'ALL Other SINs - Proposal'!AA579)</f>
        <v xml:space="preserve"> </v>
      </c>
      <c r="Q579" s="95" t="str">
        <f>'ALL Other SINs - Proposal'!AC579</f>
        <v xml:space="preserve"> </v>
      </c>
      <c r="R579" s="100" t="str">
        <f>IF(ISBLANK('ALL Other SINs - Proposal'!AA579)," ",ROUND(Q579,2))</f>
        <v xml:space="preserve"> </v>
      </c>
      <c r="S579" s="54"/>
    </row>
    <row r="580" spans="1:19" ht="20.100000000000001" customHeight="1" x14ac:dyDescent="0.2">
      <c r="A580" s="127">
        <f>'ALL Other SINs - Proposal'!A580</f>
        <v>0</v>
      </c>
      <c r="B580" s="121">
        <f>'ALL Other SINs - Proposal'!B580</f>
        <v>0</v>
      </c>
      <c r="C580" s="121">
        <f>'ALL Other SINs - Proposal'!C580</f>
        <v>0</v>
      </c>
      <c r="D580" s="121">
        <f>'ALL Other SINs - Proposal'!D580</f>
        <v>0</v>
      </c>
      <c r="E580" s="121">
        <f>'ALL Other SINs - Proposal'!E580</f>
        <v>0</v>
      </c>
      <c r="F580" s="171">
        <f>'ALL Other SINs - Proposal'!F580</f>
        <v>0</v>
      </c>
      <c r="G580" s="51">
        <f>'ALL Other SINs - Proposal'!G580</f>
        <v>0</v>
      </c>
      <c r="H580" s="125">
        <f>'ALL Other SINs - Proposal'!H580</f>
        <v>0</v>
      </c>
      <c r="I580" s="125">
        <f>'ALL Other SINs - Proposal'!I580</f>
        <v>0</v>
      </c>
      <c r="J580" s="125">
        <f>'ALL Other SINs - Proposal'!J580</f>
        <v>0</v>
      </c>
      <c r="K580" s="125">
        <f>'ALL Other SINs - Proposal'!K580</f>
        <v>0</v>
      </c>
      <c r="L580" s="125">
        <f>'ALL Other SINs - Proposal'!L580</f>
        <v>0</v>
      </c>
      <c r="M580" s="206">
        <f>'ALL Other SINs - Proposal'!M580</f>
        <v>0</v>
      </c>
      <c r="N580" s="251">
        <f>'ALL Other SINs - Proposal'!V580</f>
        <v>0</v>
      </c>
      <c r="O580" s="201" t="str">
        <f>'Price Analysis'!N580</f>
        <v xml:space="preserve"> </v>
      </c>
      <c r="P580" s="53" t="str">
        <f>IF(ISBLANK('ALL Other SINs - Proposal'!AA580)," ",'ALL Other SINs - Proposal'!AA580)</f>
        <v xml:space="preserve"> </v>
      </c>
      <c r="Q580" s="95" t="str">
        <f>'ALL Other SINs - Proposal'!AC580</f>
        <v xml:space="preserve"> </v>
      </c>
      <c r="R580" s="100" t="str">
        <f>IF(ISBLANK('ALL Other SINs - Proposal'!AA580)," ",ROUND(Q580,2))</f>
        <v xml:space="preserve"> </v>
      </c>
      <c r="S580" s="54"/>
    </row>
    <row r="581" spans="1:19" ht="20.100000000000001" customHeight="1" x14ac:dyDescent="0.2">
      <c r="A581" s="127">
        <f>'ALL Other SINs - Proposal'!A581</f>
        <v>0</v>
      </c>
      <c r="B581" s="121">
        <f>'ALL Other SINs - Proposal'!B581</f>
        <v>0</v>
      </c>
      <c r="C581" s="121">
        <f>'ALL Other SINs - Proposal'!C581</f>
        <v>0</v>
      </c>
      <c r="D581" s="121">
        <f>'ALL Other SINs - Proposal'!D581</f>
        <v>0</v>
      </c>
      <c r="E581" s="121">
        <f>'ALL Other SINs - Proposal'!E581</f>
        <v>0</v>
      </c>
      <c r="F581" s="171">
        <f>'ALL Other SINs - Proposal'!F581</f>
        <v>0</v>
      </c>
      <c r="G581" s="51">
        <f>'ALL Other SINs - Proposal'!G581</f>
        <v>0</v>
      </c>
      <c r="H581" s="125">
        <f>'ALL Other SINs - Proposal'!H581</f>
        <v>0</v>
      </c>
      <c r="I581" s="125">
        <f>'ALL Other SINs - Proposal'!I581</f>
        <v>0</v>
      </c>
      <c r="J581" s="125">
        <f>'ALL Other SINs - Proposal'!J581</f>
        <v>0</v>
      </c>
      <c r="K581" s="125">
        <f>'ALL Other SINs - Proposal'!K581</f>
        <v>0</v>
      </c>
      <c r="L581" s="125">
        <f>'ALL Other SINs - Proposal'!L581</f>
        <v>0</v>
      </c>
      <c r="M581" s="206">
        <f>'ALL Other SINs - Proposal'!M581</f>
        <v>0</v>
      </c>
      <c r="N581" s="251">
        <f>'ALL Other SINs - Proposal'!V581</f>
        <v>0</v>
      </c>
      <c r="O581" s="201" t="str">
        <f>'Price Analysis'!N581</f>
        <v xml:space="preserve"> </v>
      </c>
      <c r="P581" s="53" t="str">
        <f>IF(ISBLANK('ALL Other SINs - Proposal'!AA581)," ",'ALL Other SINs - Proposal'!AA581)</f>
        <v xml:space="preserve"> </v>
      </c>
      <c r="Q581" s="95" t="str">
        <f>'ALL Other SINs - Proposal'!AC581</f>
        <v xml:space="preserve"> </v>
      </c>
      <c r="R581" s="100" t="str">
        <f>IF(ISBLANK('ALL Other SINs - Proposal'!AA581)," ",ROUND(Q581,2))</f>
        <v xml:space="preserve"> </v>
      </c>
      <c r="S581" s="54"/>
    </row>
    <row r="582" spans="1:19" ht="20.100000000000001" customHeight="1" x14ac:dyDescent="0.2">
      <c r="A582" s="127">
        <f>'ALL Other SINs - Proposal'!A582</f>
        <v>0</v>
      </c>
      <c r="B582" s="121">
        <f>'ALL Other SINs - Proposal'!B582</f>
        <v>0</v>
      </c>
      <c r="C582" s="121">
        <f>'ALL Other SINs - Proposal'!C582</f>
        <v>0</v>
      </c>
      <c r="D582" s="121">
        <f>'ALL Other SINs - Proposal'!D582</f>
        <v>0</v>
      </c>
      <c r="E582" s="121">
        <f>'ALL Other SINs - Proposal'!E582</f>
        <v>0</v>
      </c>
      <c r="F582" s="171">
        <f>'ALL Other SINs - Proposal'!F582</f>
        <v>0</v>
      </c>
      <c r="G582" s="51">
        <f>'ALL Other SINs - Proposal'!G582</f>
        <v>0</v>
      </c>
      <c r="H582" s="125">
        <f>'ALL Other SINs - Proposal'!H582</f>
        <v>0</v>
      </c>
      <c r="I582" s="125">
        <f>'ALL Other SINs - Proposal'!I582</f>
        <v>0</v>
      </c>
      <c r="J582" s="125">
        <f>'ALL Other SINs - Proposal'!J582</f>
        <v>0</v>
      </c>
      <c r="K582" s="125">
        <f>'ALL Other SINs - Proposal'!K582</f>
        <v>0</v>
      </c>
      <c r="L582" s="125">
        <f>'ALL Other SINs - Proposal'!L582</f>
        <v>0</v>
      </c>
      <c r="M582" s="206">
        <f>'ALL Other SINs - Proposal'!M582</f>
        <v>0</v>
      </c>
      <c r="N582" s="251">
        <f>'ALL Other SINs - Proposal'!V582</f>
        <v>0</v>
      </c>
      <c r="O582" s="201" t="str">
        <f>'Price Analysis'!N582</f>
        <v xml:space="preserve"> </v>
      </c>
      <c r="P582" s="53" t="str">
        <f>IF(ISBLANK('ALL Other SINs - Proposal'!AA582)," ",'ALL Other SINs - Proposal'!AA582)</f>
        <v xml:space="preserve"> </v>
      </c>
      <c r="Q582" s="95" t="str">
        <f>'ALL Other SINs - Proposal'!AC582</f>
        <v xml:space="preserve"> </v>
      </c>
      <c r="R582" s="100" t="str">
        <f>IF(ISBLANK('ALL Other SINs - Proposal'!AA582)," ",ROUND(Q582,2))</f>
        <v xml:space="preserve"> </v>
      </c>
      <c r="S582" s="54"/>
    </row>
    <row r="583" spans="1:19" ht="20.100000000000001" customHeight="1" x14ac:dyDescent="0.2">
      <c r="A583" s="127">
        <f>'ALL Other SINs - Proposal'!A583</f>
        <v>0</v>
      </c>
      <c r="B583" s="121">
        <f>'ALL Other SINs - Proposal'!B583</f>
        <v>0</v>
      </c>
      <c r="C583" s="121">
        <f>'ALL Other SINs - Proposal'!C583</f>
        <v>0</v>
      </c>
      <c r="D583" s="121">
        <f>'ALL Other SINs - Proposal'!D583</f>
        <v>0</v>
      </c>
      <c r="E583" s="121">
        <f>'ALL Other SINs - Proposal'!E583</f>
        <v>0</v>
      </c>
      <c r="F583" s="171">
        <f>'ALL Other SINs - Proposal'!F583</f>
        <v>0</v>
      </c>
      <c r="G583" s="51">
        <f>'ALL Other SINs - Proposal'!G583</f>
        <v>0</v>
      </c>
      <c r="H583" s="125">
        <f>'ALL Other SINs - Proposal'!H583</f>
        <v>0</v>
      </c>
      <c r="I583" s="125">
        <f>'ALL Other SINs - Proposal'!I583</f>
        <v>0</v>
      </c>
      <c r="J583" s="125">
        <f>'ALL Other SINs - Proposal'!J583</f>
        <v>0</v>
      </c>
      <c r="K583" s="125">
        <f>'ALL Other SINs - Proposal'!K583</f>
        <v>0</v>
      </c>
      <c r="L583" s="125">
        <f>'ALL Other SINs - Proposal'!L583</f>
        <v>0</v>
      </c>
      <c r="M583" s="206">
        <f>'ALL Other SINs - Proposal'!M583</f>
        <v>0</v>
      </c>
      <c r="N583" s="251">
        <f>'ALL Other SINs - Proposal'!V583</f>
        <v>0</v>
      </c>
      <c r="O583" s="201" t="str">
        <f>'Price Analysis'!N583</f>
        <v xml:space="preserve"> </v>
      </c>
      <c r="P583" s="53" t="str">
        <f>IF(ISBLANK('ALL Other SINs - Proposal'!AA583)," ",'ALL Other SINs - Proposal'!AA583)</f>
        <v xml:space="preserve"> </v>
      </c>
      <c r="Q583" s="95" t="str">
        <f>'ALL Other SINs - Proposal'!AC583</f>
        <v xml:space="preserve"> </v>
      </c>
      <c r="R583" s="100" t="str">
        <f>IF(ISBLANK('ALL Other SINs - Proposal'!AA583)," ",ROUND(Q583,2))</f>
        <v xml:space="preserve"> </v>
      </c>
      <c r="S583" s="54"/>
    </row>
    <row r="584" spans="1:19" ht="20.100000000000001" customHeight="1" x14ac:dyDescent="0.2">
      <c r="A584" s="127">
        <f>'ALL Other SINs - Proposal'!A584</f>
        <v>0</v>
      </c>
      <c r="B584" s="121">
        <f>'ALL Other SINs - Proposal'!B584</f>
        <v>0</v>
      </c>
      <c r="C584" s="121">
        <f>'ALL Other SINs - Proposal'!C584</f>
        <v>0</v>
      </c>
      <c r="D584" s="121">
        <f>'ALL Other SINs - Proposal'!D584</f>
        <v>0</v>
      </c>
      <c r="E584" s="121">
        <f>'ALL Other SINs - Proposal'!E584</f>
        <v>0</v>
      </c>
      <c r="F584" s="171">
        <f>'ALL Other SINs - Proposal'!F584</f>
        <v>0</v>
      </c>
      <c r="G584" s="51">
        <f>'ALL Other SINs - Proposal'!G584</f>
        <v>0</v>
      </c>
      <c r="H584" s="125">
        <f>'ALL Other SINs - Proposal'!H584</f>
        <v>0</v>
      </c>
      <c r="I584" s="125">
        <f>'ALL Other SINs - Proposal'!I584</f>
        <v>0</v>
      </c>
      <c r="J584" s="125">
        <f>'ALL Other SINs - Proposal'!J584</f>
        <v>0</v>
      </c>
      <c r="K584" s="125">
        <f>'ALL Other SINs - Proposal'!K584</f>
        <v>0</v>
      </c>
      <c r="L584" s="125">
        <f>'ALL Other SINs - Proposal'!L584</f>
        <v>0</v>
      </c>
      <c r="M584" s="206">
        <f>'ALL Other SINs - Proposal'!M584</f>
        <v>0</v>
      </c>
      <c r="N584" s="251">
        <f>'ALL Other SINs - Proposal'!V584</f>
        <v>0</v>
      </c>
      <c r="O584" s="201" t="str">
        <f>'Price Analysis'!N584</f>
        <v xml:space="preserve"> </v>
      </c>
      <c r="P584" s="53" t="str">
        <f>IF(ISBLANK('ALL Other SINs - Proposal'!AA584)," ",'ALL Other SINs - Proposal'!AA584)</f>
        <v xml:space="preserve"> </v>
      </c>
      <c r="Q584" s="95" t="str">
        <f>'ALL Other SINs - Proposal'!AC584</f>
        <v xml:space="preserve"> </v>
      </c>
      <c r="R584" s="100" t="str">
        <f>IF(ISBLANK('ALL Other SINs - Proposal'!AA584)," ",ROUND(Q584,2))</f>
        <v xml:space="preserve"> </v>
      </c>
      <c r="S584" s="54"/>
    </row>
    <row r="585" spans="1:19" ht="20.100000000000001" customHeight="1" x14ac:dyDescent="0.2">
      <c r="A585" s="127">
        <f>'ALL Other SINs - Proposal'!A585</f>
        <v>0</v>
      </c>
      <c r="B585" s="121">
        <f>'ALL Other SINs - Proposal'!B585</f>
        <v>0</v>
      </c>
      <c r="C585" s="121">
        <f>'ALL Other SINs - Proposal'!C585</f>
        <v>0</v>
      </c>
      <c r="D585" s="121">
        <f>'ALL Other SINs - Proposal'!D585</f>
        <v>0</v>
      </c>
      <c r="E585" s="121">
        <f>'ALL Other SINs - Proposal'!E585</f>
        <v>0</v>
      </c>
      <c r="F585" s="171">
        <f>'ALL Other SINs - Proposal'!F585</f>
        <v>0</v>
      </c>
      <c r="G585" s="51">
        <f>'ALL Other SINs - Proposal'!G585</f>
        <v>0</v>
      </c>
      <c r="H585" s="125">
        <f>'ALL Other SINs - Proposal'!H585</f>
        <v>0</v>
      </c>
      <c r="I585" s="125">
        <f>'ALL Other SINs - Proposal'!I585</f>
        <v>0</v>
      </c>
      <c r="J585" s="125">
        <f>'ALL Other SINs - Proposal'!J585</f>
        <v>0</v>
      </c>
      <c r="K585" s="125">
        <f>'ALL Other SINs - Proposal'!K585</f>
        <v>0</v>
      </c>
      <c r="L585" s="125">
        <f>'ALL Other SINs - Proposal'!L585</f>
        <v>0</v>
      </c>
      <c r="M585" s="206">
        <f>'ALL Other SINs - Proposal'!M585</f>
        <v>0</v>
      </c>
      <c r="N585" s="251">
        <f>'ALL Other SINs - Proposal'!V585</f>
        <v>0</v>
      </c>
      <c r="O585" s="201" t="str">
        <f>'Price Analysis'!N585</f>
        <v xml:space="preserve"> </v>
      </c>
      <c r="P585" s="53" t="str">
        <f>IF(ISBLANK('ALL Other SINs - Proposal'!AA585)," ",'ALL Other SINs - Proposal'!AA585)</f>
        <v xml:space="preserve"> </v>
      </c>
      <c r="Q585" s="95" t="str">
        <f>'ALL Other SINs - Proposal'!AC585</f>
        <v xml:space="preserve"> </v>
      </c>
      <c r="R585" s="100" t="str">
        <f>IF(ISBLANK('ALL Other SINs - Proposal'!AA585)," ",ROUND(Q585,2))</f>
        <v xml:space="preserve"> </v>
      </c>
      <c r="S585" s="54"/>
    </row>
    <row r="586" spans="1:19" ht="20.100000000000001" customHeight="1" x14ac:dyDescent="0.2">
      <c r="A586" s="127">
        <f>'ALL Other SINs - Proposal'!A586</f>
        <v>0</v>
      </c>
      <c r="B586" s="121">
        <f>'ALL Other SINs - Proposal'!B586</f>
        <v>0</v>
      </c>
      <c r="C586" s="121">
        <f>'ALL Other SINs - Proposal'!C586</f>
        <v>0</v>
      </c>
      <c r="D586" s="121">
        <f>'ALL Other SINs - Proposal'!D586</f>
        <v>0</v>
      </c>
      <c r="E586" s="121">
        <f>'ALL Other SINs - Proposal'!E586</f>
        <v>0</v>
      </c>
      <c r="F586" s="171">
        <f>'ALL Other SINs - Proposal'!F586</f>
        <v>0</v>
      </c>
      <c r="G586" s="51">
        <f>'ALL Other SINs - Proposal'!G586</f>
        <v>0</v>
      </c>
      <c r="H586" s="125">
        <f>'ALL Other SINs - Proposal'!H586</f>
        <v>0</v>
      </c>
      <c r="I586" s="125">
        <f>'ALL Other SINs - Proposal'!I586</f>
        <v>0</v>
      </c>
      <c r="J586" s="125">
        <f>'ALL Other SINs - Proposal'!J586</f>
        <v>0</v>
      </c>
      <c r="K586" s="125">
        <f>'ALL Other SINs - Proposal'!K586</f>
        <v>0</v>
      </c>
      <c r="L586" s="125">
        <f>'ALL Other SINs - Proposal'!L586</f>
        <v>0</v>
      </c>
      <c r="M586" s="206">
        <f>'ALL Other SINs - Proposal'!M586</f>
        <v>0</v>
      </c>
      <c r="N586" s="251">
        <f>'ALL Other SINs - Proposal'!V586</f>
        <v>0</v>
      </c>
      <c r="O586" s="201" t="str">
        <f>'Price Analysis'!N586</f>
        <v xml:space="preserve"> </v>
      </c>
      <c r="P586" s="53" t="str">
        <f>IF(ISBLANK('ALL Other SINs - Proposal'!AA586)," ",'ALL Other SINs - Proposal'!AA586)</f>
        <v xml:space="preserve"> </v>
      </c>
      <c r="Q586" s="95" t="str">
        <f>'ALL Other SINs - Proposal'!AC586</f>
        <v xml:space="preserve"> </v>
      </c>
      <c r="R586" s="100" t="str">
        <f>IF(ISBLANK('ALL Other SINs - Proposal'!AA586)," ",ROUND(Q586,2))</f>
        <v xml:space="preserve"> </v>
      </c>
      <c r="S586" s="54"/>
    </row>
    <row r="587" spans="1:19" ht="20.100000000000001" customHeight="1" x14ac:dyDescent="0.2">
      <c r="A587" s="127">
        <f>'ALL Other SINs - Proposal'!A587</f>
        <v>0</v>
      </c>
      <c r="B587" s="121">
        <f>'ALL Other SINs - Proposal'!B587</f>
        <v>0</v>
      </c>
      <c r="C587" s="121">
        <f>'ALL Other SINs - Proposal'!C587</f>
        <v>0</v>
      </c>
      <c r="D587" s="121">
        <f>'ALL Other SINs - Proposal'!D587</f>
        <v>0</v>
      </c>
      <c r="E587" s="121">
        <f>'ALL Other SINs - Proposal'!E587</f>
        <v>0</v>
      </c>
      <c r="F587" s="171">
        <f>'ALL Other SINs - Proposal'!F587</f>
        <v>0</v>
      </c>
      <c r="G587" s="51">
        <f>'ALL Other SINs - Proposal'!G587</f>
        <v>0</v>
      </c>
      <c r="H587" s="125">
        <f>'ALL Other SINs - Proposal'!H587</f>
        <v>0</v>
      </c>
      <c r="I587" s="125">
        <f>'ALL Other SINs - Proposal'!I587</f>
        <v>0</v>
      </c>
      <c r="J587" s="125">
        <f>'ALL Other SINs - Proposal'!J587</f>
        <v>0</v>
      </c>
      <c r="K587" s="125">
        <f>'ALL Other SINs - Proposal'!K587</f>
        <v>0</v>
      </c>
      <c r="L587" s="125">
        <f>'ALL Other SINs - Proposal'!L587</f>
        <v>0</v>
      </c>
      <c r="M587" s="206">
        <f>'ALL Other SINs - Proposal'!M587</f>
        <v>0</v>
      </c>
      <c r="N587" s="251">
        <f>'ALL Other SINs - Proposal'!V587</f>
        <v>0</v>
      </c>
      <c r="O587" s="201" t="str">
        <f>'Price Analysis'!N587</f>
        <v xml:space="preserve"> </v>
      </c>
      <c r="P587" s="53" t="str">
        <f>IF(ISBLANK('ALL Other SINs - Proposal'!AA587)," ",'ALL Other SINs - Proposal'!AA587)</f>
        <v xml:space="preserve"> </v>
      </c>
      <c r="Q587" s="95" t="str">
        <f>'ALL Other SINs - Proposal'!AC587</f>
        <v xml:space="preserve"> </v>
      </c>
      <c r="R587" s="100" t="str">
        <f>IF(ISBLANK('ALL Other SINs - Proposal'!AA587)," ",ROUND(Q587,2))</f>
        <v xml:space="preserve"> </v>
      </c>
      <c r="S587" s="54"/>
    </row>
    <row r="588" spans="1:19" ht="20.100000000000001" customHeight="1" x14ac:dyDescent="0.2">
      <c r="A588" s="127">
        <f>'ALL Other SINs - Proposal'!A588</f>
        <v>0</v>
      </c>
      <c r="B588" s="121">
        <f>'ALL Other SINs - Proposal'!B588</f>
        <v>0</v>
      </c>
      <c r="C588" s="121">
        <f>'ALL Other SINs - Proposal'!C588</f>
        <v>0</v>
      </c>
      <c r="D588" s="121">
        <f>'ALL Other SINs - Proposal'!D588</f>
        <v>0</v>
      </c>
      <c r="E588" s="121">
        <f>'ALL Other SINs - Proposal'!E588</f>
        <v>0</v>
      </c>
      <c r="F588" s="171">
        <f>'ALL Other SINs - Proposal'!F588</f>
        <v>0</v>
      </c>
      <c r="G588" s="51">
        <f>'ALL Other SINs - Proposal'!G588</f>
        <v>0</v>
      </c>
      <c r="H588" s="125">
        <f>'ALL Other SINs - Proposal'!H588</f>
        <v>0</v>
      </c>
      <c r="I588" s="125">
        <f>'ALL Other SINs - Proposal'!I588</f>
        <v>0</v>
      </c>
      <c r="J588" s="125">
        <f>'ALL Other SINs - Proposal'!J588</f>
        <v>0</v>
      </c>
      <c r="K588" s="125">
        <f>'ALL Other SINs - Proposal'!K588</f>
        <v>0</v>
      </c>
      <c r="L588" s="125">
        <f>'ALL Other SINs - Proposal'!L588</f>
        <v>0</v>
      </c>
      <c r="M588" s="206">
        <f>'ALL Other SINs - Proposal'!M588</f>
        <v>0</v>
      </c>
      <c r="N588" s="251">
        <f>'ALL Other SINs - Proposal'!V588</f>
        <v>0</v>
      </c>
      <c r="O588" s="201" t="str">
        <f>'Price Analysis'!N588</f>
        <v xml:space="preserve"> </v>
      </c>
      <c r="P588" s="53" t="str">
        <f>IF(ISBLANK('ALL Other SINs - Proposal'!AA588)," ",'ALL Other SINs - Proposal'!AA588)</f>
        <v xml:space="preserve"> </v>
      </c>
      <c r="Q588" s="95" t="str">
        <f>'ALL Other SINs - Proposal'!AC588</f>
        <v xml:space="preserve"> </v>
      </c>
      <c r="R588" s="100" t="str">
        <f>IF(ISBLANK('ALL Other SINs - Proposal'!AA588)," ",ROUND(Q588,2))</f>
        <v xml:space="preserve"> </v>
      </c>
      <c r="S588" s="54"/>
    </row>
    <row r="589" spans="1:19" ht="20.100000000000001" customHeight="1" x14ac:dyDescent="0.2">
      <c r="A589" s="127">
        <f>'ALL Other SINs - Proposal'!A589</f>
        <v>0</v>
      </c>
      <c r="B589" s="121">
        <f>'ALL Other SINs - Proposal'!B589</f>
        <v>0</v>
      </c>
      <c r="C589" s="121">
        <f>'ALL Other SINs - Proposal'!C589</f>
        <v>0</v>
      </c>
      <c r="D589" s="121">
        <f>'ALL Other SINs - Proposal'!D589</f>
        <v>0</v>
      </c>
      <c r="E589" s="121">
        <f>'ALL Other SINs - Proposal'!E589</f>
        <v>0</v>
      </c>
      <c r="F589" s="171">
        <f>'ALL Other SINs - Proposal'!F589</f>
        <v>0</v>
      </c>
      <c r="G589" s="51">
        <f>'ALL Other SINs - Proposal'!G589</f>
        <v>0</v>
      </c>
      <c r="H589" s="125">
        <f>'ALL Other SINs - Proposal'!H589</f>
        <v>0</v>
      </c>
      <c r="I589" s="125">
        <f>'ALL Other SINs - Proposal'!I589</f>
        <v>0</v>
      </c>
      <c r="J589" s="125">
        <f>'ALL Other SINs - Proposal'!J589</f>
        <v>0</v>
      </c>
      <c r="K589" s="125">
        <f>'ALL Other SINs - Proposal'!K589</f>
        <v>0</v>
      </c>
      <c r="L589" s="125">
        <f>'ALL Other SINs - Proposal'!L589</f>
        <v>0</v>
      </c>
      <c r="M589" s="206">
        <f>'ALL Other SINs - Proposal'!M589</f>
        <v>0</v>
      </c>
      <c r="N589" s="251">
        <f>'ALL Other SINs - Proposal'!V589</f>
        <v>0</v>
      </c>
      <c r="O589" s="201" t="str">
        <f>'Price Analysis'!N589</f>
        <v xml:space="preserve"> </v>
      </c>
      <c r="P589" s="53" t="str">
        <f>IF(ISBLANK('ALL Other SINs - Proposal'!AA589)," ",'ALL Other SINs - Proposal'!AA589)</f>
        <v xml:space="preserve"> </v>
      </c>
      <c r="Q589" s="95" t="str">
        <f>'ALL Other SINs - Proposal'!AC589</f>
        <v xml:space="preserve"> </v>
      </c>
      <c r="R589" s="100" t="str">
        <f>IF(ISBLANK('ALL Other SINs - Proposal'!AA589)," ",ROUND(Q589,2))</f>
        <v xml:space="preserve"> </v>
      </c>
      <c r="S589" s="54"/>
    </row>
    <row r="590" spans="1:19" ht="20.100000000000001" customHeight="1" x14ac:dyDescent="0.2">
      <c r="A590" s="127">
        <f>'ALL Other SINs - Proposal'!A590</f>
        <v>0</v>
      </c>
      <c r="B590" s="121">
        <f>'ALL Other SINs - Proposal'!B590</f>
        <v>0</v>
      </c>
      <c r="C590" s="121">
        <f>'ALL Other SINs - Proposal'!C590</f>
        <v>0</v>
      </c>
      <c r="D590" s="121">
        <f>'ALL Other SINs - Proposal'!D590</f>
        <v>0</v>
      </c>
      <c r="E590" s="121">
        <f>'ALL Other SINs - Proposal'!E590</f>
        <v>0</v>
      </c>
      <c r="F590" s="171">
        <f>'ALL Other SINs - Proposal'!F590</f>
        <v>0</v>
      </c>
      <c r="G590" s="51">
        <f>'ALL Other SINs - Proposal'!G590</f>
        <v>0</v>
      </c>
      <c r="H590" s="125">
        <f>'ALL Other SINs - Proposal'!H590</f>
        <v>0</v>
      </c>
      <c r="I590" s="125">
        <f>'ALL Other SINs - Proposal'!I590</f>
        <v>0</v>
      </c>
      <c r="J590" s="125">
        <f>'ALL Other SINs - Proposal'!J590</f>
        <v>0</v>
      </c>
      <c r="K590" s="125">
        <f>'ALL Other SINs - Proposal'!K590</f>
        <v>0</v>
      </c>
      <c r="L590" s="125">
        <f>'ALL Other SINs - Proposal'!L590</f>
        <v>0</v>
      </c>
      <c r="M590" s="206">
        <f>'ALL Other SINs - Proposal'!M590</f>
        <v>0</v>
      </c>
      <c r="N590" s="251">
        <f>'ALL Other SINs - Proposal'!V590</f>
        <v>0</v>
      </c>
      <c r="O590" s="201" t="str">
        <f>'Price Analysis'!N590</f>
        <v xml:space="preserve"> </v>
      </c>
      <c r="P590" s="53" t="str">
        <f>IF(ISBLANK('ALL Other SINs - Proposal'!AA590)," ",'ALL Other SINs - Proposal'!AA590)</f>
        <v xml:space="preserve"> </v>
      </c>
      <c r="Q590" s="95" t="str">
        <f>'ALL Other SINs - Proposal'!AC590</f>
        <v xml:space="preserve"> </v>
      </c>
      <c r="R590" s="100" t="str">
        <f>IF(ISBLANK('ALL Other SINs - Proposal'!AA590)," ",ROUND(Q590,2))</f>
        <v xml:space="preserve"> </v>
      </c>
      <c r="S590" s="54"/>
    </row>
    <row r="591" spans="1:19" ht="20.100000000000001" customHeight="1" x14ac:dyDescent="0.2">
      <c r="A591" s="127">
        <f>'ALL Other SINs - Proposal'!A591</f>
        <v>0</v>
      </c>
      <c r="B591" s="121">
        <f>'ALL Other SINs - Proposal'!B591</f>
        <v>0</v>
      </c>
      <c r="C591" s="121">
        <f>'ALL Other SINs - Proposal'!C591</f>
        <v>0</v>
      </c>
      <c r="D591" s="121">
        <f>'ALL Other SINs - Proposal'!D591</f>
        <v>0</v>
      </c>
      <c r="E591" s="121">
        <f>'ALL Other SINs - Proposal'!E591</f>
        <v>0</v>
      </c>
      <c r="F591" s="171">
        <f>'ALL Other SINs - Proposal'!F591</f>
        <v>0</v>
      </c>
      <c r="G591" s="51">
        <f>'ALL Other SINs - Proposal'!G591</f>
        <v>0</v>
      </c>
      <c r="H591" s="125">
        <f>'ALL Other SINs - Proposal'!H591</f>
        <v>0</v>
      </c>
      <c r="I591" s="125">
        <f>'ALL Other SINs - Proposal'!I591</f>
        <v>0</v>
      </c>
      <c r="J591" s="125">
        <f>'ALL Other SINs - Proposal'!J591</f>
        <v>0</v>
      </c>
      <c r="K591" s="125">
        <f>'ALL Other SINs - Proposal'!K591</f>
        <v>0</v>
      </c>
      <c r="L591" s="125">
        <f>'ALL Other SINs - Proposal'!L591</f>
        <v>0</v>
      </c>
      <c r="M591" s="206">
        <f>'ALL Other SINs - Proposal'!M591</f>
        <v>0</v>
      </c>
      <c r="N591" s="251">
        <f>'ALL Other SINs - Proposal'!V591</f>
        <v>0</v>
      </c>
      <c r="O591" s="201" t="str">
        <f>'Price Analysis'!N591</f>
        <v xml:space="preserve"> </v>
      </c>
      <c r="P591" s="53" t="str">
        <f>IF(ISBLANK('ALL Other SINs - Proposal'!AA591)," ",'ALL Other SINs - Proposal'!AA591)</f>
        <v xml:space="preserve"> </v>
      </c>
      <c r="Q591" s="95" t="str">
        <f>'ALL Other SINs - Proposal'!AC591</f>
        <v xml:space="preserve"> </v>
      </c>
      <c r="R591" s="100" t="str">
        <f>IF(ISBLANK('ALL Other SINs - Proposal'!AA591)," ",ROUND(Q591,2))</f>
        <v xml:space="preserve"> </v>
      </c>
      <c r="S591" s="54"/>
    </row>
    <row r="592" spans="1:19" ht="20.100000000000001" customHeight="1" x14ac:dyDescent="0.2">
      <c r="A592" s="127">
        <f>'ALL Other SINs - Proposal'!A592</f>
        <v>0</v>
      </c>
      <c r="B592" s="121">
        <f>'ALL Other SINs - Proposal'!B592</f>
        <v>0</v>
      </c>
      <c r="C592" s="121">
        <f>'ALL Other SINs - Proposal'!C592</f>
        <v>0</v>
      </c>
      <c r="D592" s="121">
        <f>'ALL Other SINs - Proposal'!D592</f>
        <v>0</v>
      </c>
      <c r="E592" s="121">
        <f>'ALL Other SINs - Proposal'!E592</f>
        <v>0</v>
      </c>
      <c r="F592" s="171">
        <f>'ALL Other SINs - Proposal'!F592</f>
        <v>0</v>
      </c>
      <c r="G592" s="51">
        <f>'ALL Other SINs - Proposal'!G592</f>
        <v>0</v>
      </c>
      <c r="H592" s="125">
        <f>'ALL Other SINs - Proposal'!H592</f>
        <v>0</v>
      </c>
      <c r="I592" s="125">
        <f>'ALL Other SINs - Proposal'!I592</f>
        <v>0</v>
      </c>
      <c r="J592" s="125">
        <f>'ALL Other SINs - Proposal'!J592</f>
        <v>0</v>
      </c>
      <c r="K592" s="125">
        <f>'ALL Other SINs - Proposal'!K592</f>
        <v>0</v>
      </c>
      <c r="L592" s="125">
        <f>'ALL Other SINs - Proposal'!L592</f>
        <v>0</v>
      </c>
      <c r="M592" s="206">
        <f>'ALL Other SINs - Proposal'!M592</f>
        <v>0</v>
      </c>
      <c r="N592" s="251">
        <f>'ALL Other SINs - Proposal'!V592</f>
        <v>0</v>
      </c>
      <c r="O592" s="201" t="str">
        <f>'Price Analysis'!N592</f>
        <v xml:space="preserve"> </v>
      </c>
      <c r="P592" s="53" t="str">
        <f>IF(ISBLANK('ALL Other SINs - Proposal'!AA592)," ",'ALL Other SINs - Proposal'!AA592)</f>
        <v xml:space="preserve"> </v>
      </c>
      <c r="Q592" s="95" t="str">
        <f>'ALL Other SINs - Proposal'!AC592</f>
        <v xml:space="preserve"> </v>
      </c>
      <c r="R592" s="100" t="str">
        <f>IF(ISBLANK('ALL Other SINs - Proposal'!AA592)," ",ROUND(Q592,2))</f>
        <v xml:space="preserve"> </v>
      </c>
      <c r="S592" s="54"/>
    </row>
    <row r="593" spans="1:19" ht="20.100000000000001" customHeight="1" x14ac:dyDescent="0.2">
      <c r="A593" s="127">
        <f>'ALL Other SINs - Proposal'!A593</f>
        <v>0</v>
      </c>
      <c r="B593" s="121">
        <f>'ALL Other SINs - Proposal'!B593</f>
        <v>0</v>
      </c>
      <c r="C593" s="121">
        <f>'ALL Other SINs - Proposal'!C593</f>
        <v>0</v>
      </c>
      <c r="D593" s="121">
        <f>'ALL Other SINs - Proposal'!D593</f>
        <v>0</v>
      </c>
      <c r="E593" s="121">
        <f>'ALL Other SINs - Proposal'!E593</f>
        <v>0</v>
      </c>
      <c r="F593" s="171">
        <f>'ALL Other SINs - Proposal'!F593</f>
        <v>0</v>
      </c>
      <c r="G593" s="51">
        <f>'ALL Other SINs - Proposal'!G593</f>
        <v>0</v>
      </c>
      <c r="H593" s="125">
        <f>'ALL Other SINs - Proposal'!H593</f>
        <v>0</v>
      </c>
      <c r="I593" s="125">
        <f>'ALL Other SINs - Proposal'!I593</f>
        <v>0</v>
      </c>
      <c r="J593" s="125">
        <f>'ALL Other SINs - Proposal'!J593</f>
        <v>0</v>
      </c>
      <c r="K593" s="125">
        <f>'ALL Other SINs - Proposal'!K593</f>
        <v>0</v>
      </c>
      <c r="L593" s="125">
        <f>'ALL Other SINs - Proposal'!L593</f>
        <v>0</v>
      </c>
      <c r="M593" s="206">
        <f>'ALL Other SINs - Proposal'!M593</f>
        <v>0</v>
      </c>
      <c r="N593" s="251">
        <f>'ALL Other SINs - Proposal'!V593</f>
        <v>0</v>
      </c>
      <c r="O593" s="201" t="str">
        <f>'Price Analysis'!N593</f>
        <v xml:space="preserve"> </v>
      </c>
      <c r="P593" s="53" t="str">
        <f>IF(ISBLANK('ALL Other SINs - Proposal'!AA593)," ",'ALL Other SINs - Proposal'!AA593)</f>
        <v xml:space="preserve"> </v>
      </c>
      <c r="Q593" s="95" t="str">
        <f>'ALL Other SINs - Proposal'!AC593</f>
        <v xml:space="preserve"> </v>
      </c>
      <c r="R593" s="100" t="str">
        <f>IF(ISBLANK('ALL Other SINs - Proposal'!AA593)," ",ROUND(Q593,2))</f>
        <v xml:space="preserve"> </v>
      </c>
      <c r="S593" s="54"/>
    </row>
    <row r="594" spans="1:19" ht="20.100000000000001" customHeight="1" x14ac:dyDescent="0.2">
      <c r="A594" s="127">
        <f>'ALL Other SINs - Proposal'!A594</f>
        <v>0</v>
      </c>
      <c r="B594" s="121">
        <f>'ALL Other SINs - Proposal'!B594</f>
        <v>0</v>
      </c>
      <c r="C594" s="121">
        <f>'ALL Other SINs - Proposal'!C594</f>
        <v>0</v>
      </c>
      <c r="D594" s="121">
        <f>'ALL Other SINs - Proposal'!D594</f>
        <v>0</v>
      </c>
      <c r="E594" s="121">
        <f>'ALL Other SINs - Proposal'!E594</f>
        <v>0</v>
      </c>
      <c r="F594" s="171">
        <f>'ALL Other SINs - Proposal'!F594</f>
        <v>0</v>
      </c>
      <c r="G594" s="51">
        <f>'ALL Other SINs - Proposal'!G594</f>
        <v>0</v>
      </c>
      <c r="H594" s="125">
        <f>'ALL Other SINs - Proposal'!H594</f>
        <v>0</v>
      </c>
      <c r="I594" s="125">
        <f>'ALL Other SINs - Proposal'!I594</f>
        <v>0</v>
      </c>
      <c r="J594" s="125">
        <f>'ALL Other SINs - Proposal'!J594</f>
        <v>0</v>
      </c>
      <c r="K594" s="125">
        <f>'ALL Other SINs - Proposal'!K594</f>
        <v>0</v>
      </c>
      <c r="L594" s="125">
        <f>'ALL Other SINs - Proposal'!L594</f>
        <v>0</v>
      </c>
      <c r="M594" s="206">
        <f>'ALL Other SINs - Proposal'!M594</f>
        <v>0</v>
      </c>
      <c r="N594" s="251">
        <f>'ALL Other SINs - Proposal'!V594</f>
        <v>0</v>
      </c>
      <c r="O594" s="201" t="str">
        <f>'Price Analysis'!N594</f>
        <v xml:space="preserve"> </v>
      </c>
      <c r="P594" s="53" t="str">
        <f>IF(ISBLANK('ALL Other SINs - Proposal'!AA594)," ",'ALL Other SINs - Proposal'!AA594)</f>
        <v xml:space="preserve"> </v>
      </c>
      <c r="Q594" s="95" t="str">
        <f>'ALL Other SINs - Proposal'!AC594</f>
        <v xml:space="preserve"> </v>
      </c>
      <c r="R594" s="100" t="str">
        <f>IF(ISBLANK('ALL Other SINs - Proposal'!AA594)," ",ROUND(Q594,2))</f>
        <v xml:space="preserve"> </v>
      </c>
      <c r="S594" s="54"/>
    </row>
    <row r="595" spans="1:19" ht="20.100000000000001" customHeight="1" x14ac:dyDescent="0.2">
      <c r="A595" s="127">
        <f>'ALL Other SINs - Proposal'!A595</f>
        <v>0</v>
      </c>
      <c r="B595" s="121">
        <f>'ALL Other SINs - Proposal'!B595</f>
        <v>0</v>
      </c>
      <c r="C595" s="121">
        <f>'ALL Other SINs - Proposal'!C595</f>
        <v>0</v>
      </c>
      <c r="D595" s="121">
        <f>'ALL Other SINs - Proposal'!D595</f>
        <v>0</v>
      </c>
      <c r="E595" s="121">
        <f>'ALL Other SINs - Proposal'!E595</f>
        <v>0</v>
      </c>
      <c r="F595" s="171">
        <f>'ALL Other SINs - Proposal'!F595</f>
        <v>0</v>
      </c>
      <c r="G595" s="51">
        <f>'ALL Other SINs - Proposal'!G595</f>
        <v>0</v>
      </c>
      <c r="H595" s="125">
        <f>'ALL Other SINs - Proposal'!H595</f>
        <v>0</v>
      </c>
      <c r="I595" s="125">
        <f>'ALL Other SINs - Proposal'!I595</f>
        <v>0</v>
      </c>
      <c r="J595" s="125">
        <f>'ALL Other SINs - Proposal'!J595</f>
        <v>0</v>
      </c>
      <c r="K595" s="125">
        <f>'ALL Other SINs - Proposal'!K595</f>
        <v>0</v>
      </c>
      <c r="L595" s="125">
        <f>'ALL Other SINs - Proposal'!L595</f>
        <v>0</v>
      </c>
      <c r="M595" s="206">
        <f>'ALL Other SINs - Proposal'!M595</f>
        <v>0</v>
      </c>
      <c r="N595" s="251">
        <f>'ALL Other SINs - Proposal'!V595</f>
        <v>0</v>
      </c>
      <c r="O595" s="201" t="str">
        <f>'Price Analysis'!N595</f>
        <v xml:space="preserve"> </v>
      </c>
      <c r="P595" s="53" t="str">
        <f>IF(ISBLANK('ALL Other SINs - Proposal'!AA595)," ",'ALL Other SINs - Proposal'!AA595)</f>
        <v xml:space="preserve"> </v>
      </c>
      <c r="Q595" s="95" t="str">
        <f>'ALL Other SINs - Proposal'!AC595</f>
        <v xml:space="preserve"> </v>
      </c>
      <c r="R595" s="100" t="str">
        <f>IF(ISBLANK('ALL Other SINs - Proposal'!AA595)," ",ROUND(Q595,2))</f>
        <v xml:space="preserve"> </v>
      </c>
      <c r="S595" s="54"/>
    </row>
    <row r="596" spans="1:19" ht="20.100000000000001" customHeight="1" x14ac:dyDescent="0.2">
      <c r="A596" s="127">
        <f>'ALL Other SINs - Proposal'!A596</f>
        <v>0</v>
      </c>
      <c r="B596" s="121">
        <f>'ALL Other SINs - Proposal'!B596</f>
        <v>0</v>
      </c>
      <c r="C596" s="121">
        <f>'ALL Other SINs - Proposal'!C596</f>
        <v>0</v>
      </c>
      <c r="D596" s="121">
        <f>'ALL Other SINs - Proposal'!D596</f>
        <v>0</v>
      </c>
      <c r="E596" s="121">
        <f>'ALL Other SINs - Proposal'!E596</f>
        <v>0</v>
      </c>
      <c r="F596" s="171">
        <f>'ALL Other SINs - Proposal'!F596</f>
        <v>0</v>
      </c>
      <c r="G596" s="51">
        <f>'ALL Other SINs - Proposal'!G596</f>
        <v>0</v>
      </c>
      <c r="H596" s="125">
        <f>'ALL Other SINs - Proposal'!H596</f>
        <v>0</v>
      </c>
      <c r="I596" s="125">
        <f>'ALL Other SINs - Proposal'!I596</f>
        <v>0</v>
      </c>
      <c r="J596" s="125">
        <f>'ALL Other SINs - Proposal'!J596</f>
        <v>0</v>
      </c>
      <c r="K596" s="125">
        <f>'ALL Other SINs - Proposal'!K596</f>
        <v>0</v>
      </c>
      <c r="L596" s="125">
        <f>'ALL Other SINs - Proposal'!L596</f>
        <v>0</v>
      </c>
      <c r="M596" s="206">
        <f>'ALL Other SINs - Proposal'!M596</f>
        <v>0</v>
      </c>
      <c r="N596" s="251">
        <f>'ALL Other SINs - Proposal'!V596</f>
        <v>0</v>
      </c>
      <c r="O596" s="201" t="str">
        <f>'Price Analysis'!N596</f>
        <v xml:space="preserve"> </v>
      </c>
      <c r="P596" s="53" t="str">
        <f>IF(ISBLANK('ALL Other SINs - Proposal'!AA596)," ",'ALL Other SINs - Proposal'!AA596)</f>
        <v xml:space="preserve"> </v>
      </c>
      <c r="Q596" s="95" t="str">
        <f>'ALL Other SINs - Proposal'!AC596</f>
        <v xml:space="preserve"> </v>
      </c>
      <c r="R596" s="100" t="str">
        <f>IF(ISBLANK('ALL Other SINs - Proposal'!AA596)," ",ROUND(Q596,2))</f>
        <v xml:space="preserve"> </v>
      </c>
      <c r="S596" s="54"/>
    </row>
    <row r="597" spans="1:19" ht="20.100000000000001" customHeight="1" x14ac:dyDescent="0.2">
      <c r="A597" s="127">
        <f>'ALL Other SINs - Proposal'!A597</f>
        <v>0</v>
      </c>
      <c r="B597" s="121">
        <f>'ALL Other SINs - Proposal'!B597</f>
        <v>0</v>
      </c>
      <c r="C597" s="121">
        <f>'ALL Other SINs - Proposal'!C597</f>
        <v>0</v>
      </c>
      <c r="D597" s="121">
        <f>'ALL Other SINs - Proposal'!D597</f>
        <v>0</v>
      </c>
      <c r="E597" s="121">
        <f>'ALL Other SINs - Proposal'!E597</f>
        <v>0</v>
      </c>
      <c r="F597" s="171">
        <f>'ALL Other SINs - Proposal'!F597</f>
        <v>0</v>
      </c>
      <c r="G597" s="51">
        <f>'ALL Other SINs - Proposal'!G597</f>
        <v>0</v>
      </c>
      <c r="H597" s="125">
        <f>'ALL Other SINs - Proposal'!H597</f>
        <v>0</v>
      </c>
      <c r="I597" s="125">
        <f>'ALL Other SINs - Proposal'!I597</f>
        <v>0</v>
      </c>
      <c r="J597" s="125">
        <f>'ALL Other SINs - Proposal'!J597</f>
        <v>0</v>
      </c>
      <c r="K597" s="125">
        <f>'ALL Other SINs - Proposal'!K597</f>
        <v>0</v>
      </c>
      <c r="L597" s="125">
        <f>'ALL Other SINs - Proposal'!L597</f>
        <v>0</v>
      </c>
      <c r="M597" s="206">
        <f>'ALL Other SINs - Proposal'!M597</f>
        <v>0</v>
      </c>
      <c r="N597" s="251">
        <f>'ALL Other SINs - Proposal'!V597</f>
        <v>0</v>
      </c>
      <c r="O597" s="201" t="str">
        <f>'Price Analysis'!N597</f>
        <v xml:space="preserve"> </v>
      </c>
      <c r="P597" s="53" t="str">
        <f>IF(ISBLANK('ALL Other SINs - Proposal'!AA597)," ",'ALL Other SINs - Proposal'!AA597)</f>
        <v xml:space="preserve"> </v>
      </c>
      <c r="Q597" s="95" t="str">
        <f>'ALL Other SINs - Proposal'!AC597</f>
        <v xml:space="preserve"> </v>
      </c>
      <c r="R597" s="100" t="str">
        <f>IF(ISBLANK('ALL Other SINs - Proposal'!AA597)," ",ROUND(Q597,2))</f>
        <v xml:space="preserve"> </v>
      </c>
      <c r="S597" s="54"/>
    </row>
    <row r="598" spans="1:19" ht="20.100000000000001" customHeight="1" x14ac:dyDescent="0.2">
      <c r="A598" s="127">
        <f>'ALL Other SINs - Proposal'!A598</f>
        <v>0</v>
      </c>
      <c r="B598" s="121">
        <f>'ALL Other SINs - Proposal'!B598</f>
        <v>0</v>
      </c>
      <c r="C598" s="121">
        <f>'ALL Other SINs - Proposal'!C598</f>
        <v>0</v>
      </c>
      <c r="D598" s="121">
        <f>'ALL Other SINs - Proposal'!D598</f>
        <v>0</v>
      </c>
      <c r="E598" s="121">
        <f>'ALL Other SINs - Proposal'!E598</f>
        <v>0</v>
      </c>
      <c r="F598" s="171">
        <f>'ALL Other SINs - Proposal'!F598</f>
        <v>0</v>
      </c>
      <c r="G598" s="51">
        <f>'ALL Other SINs - Proposal'!G598</f>
        <v>0</v>
      </c>
      <c r="H598" s="125">
        <f>'ALL Other SINs - Proposal'!H598</f>
        <v>0</v>
      </c>
      <c r="I598" s="125">
        <f>'ALL Other SINs - Proposal'!I598</f>
        <v>0</v>
      </c>
      <c r="J598" s="125">
        <f>'ALL Other SINs - Proposal'!J598</f>
        <v>0</v>
      </c>
      <c r="K598" s="125">
        <f>'ALL Other SINs - Proposal'!K598</f>
        <v>0</v>
      </c>
      <c r="L598" s="125">
        <f>'ALL Other SINs - Proposal'!L598</f>
        <v>0</v>
      </c>
      <c r="M598" s="206">
        <f>'ALL Other SINs - Proposal'!M598</f>
        <v>0</v>
      </c>
      <c r="N598" s="251">
        <f>'ALL Other SINs - Proposal'!V598</f>
        <v>0</v>
      </c>
      <c r="O598" s="201" t="str">
        <f>'Price Analysis'!N598</f>
        <v xml:space="preserve"> </v>
      </c>
      <c r="P598" s="53" t="str">
        <f>IF(ISBLANK('ALL Other SINs - Proposal'!AA598)," ",'ALL Other SINs - Proposal'!AA598)</f>
        <v xml:space="preserve"> </v>
      </c>
      <c r="Q598" s="95" t="str">
        <f>'ALL Other SINs - Proposal'!AC598</f>
        <v xml:space="preserve"> </v>
      </c>
      <c r="R598" s="100" t="str">
        <f>IF(ISBLANK('ALL Other SINs - Proposal'!AA598)," ",ROUND(Q598,2))</f>
        <v xml:space="preserve"> </v>
      </c>
      <c r="S598" s="54"/>
    </row>
    <row r="599" spans="1:19" ht="20.100000000000001" customHeight="1" x14ac:dyDescent="0.2">
      <c r="A599" s="127">
        <f>'ALL Other SINs - Proposal'!A599</f>
        <v>0</v>
      </c>
      <c r="B599" s="121">
        <f>'ALL Other SINs - Proposal'!B599</f>
        <v>0</v>
      </c>
      <c r="C599" s="121">
        <f>'ALL Other SINs - Proposal'!C599</f>
        <v>0</v>
      </c>
      <c r="D599" s="121">
        <f>'ALL Other SINs - Proposal'!D599</f>
        <v>0</v>
      </c>
      <c r="E599" s="121">
        <f>'ALL Other SINs - Proposal'!E599</f>
        <v>0</v>
      </c>
      <c r="F599" s="171">
        <f>'ALL Other SINs - Proposal'!F599</f>
        <v>0</v>
      </c>
      <c r="G599" s="51">
        <f>'ALL Other SINs - Proposal'!G599</f>
        <v>0</v>
      </c>
      <c r="H599" s="125">
        <f>'ALL Other SINs - Proposal'!H599</f>
        <v>0</v>
      </c>
      <c r="I599" s="125">
        <f>'ALL Other SINs - Proposal'!I599</f>
        <v>0</v>
      </c>
      <c r="J599" s="125">
        <f>'ALL Other SINs - Proposal'!J599</f>
        <v>0</v>
      </c>
      <c r="K599" s="125">
        <f>'ALL Other SINs - Proposal'!K599</f>
        <v>0</v>
      </c>
      <c r="L599" s="125">
        <f>'ALL Other SINs - Proposal'!L599</f>
        <v>0</v>
      </c>
      <c r="M599" s="206">
        <f>'ALL Other SINs - Proposal'!M599</f>
        <v>0</v>
      </c>
      <c r="N599" s="251">
        <f>'ALL Other SINs - Proposal'!V599</f>
        <v>0</v>
      </c>
      <c r="O599" s="201" t="str">
        <f>'Price Analysis'!N599</f>
        <v xml:space="preserve"> </v>
      </c>
      <c r="P599" s="53" t="str">
        <f>IF(ISBLANK('ALL Other SINs - Proposal'!AA599)," ",'ALL Other SINs - Proposal'!AA599)</f>
        <v xml:space="preserve"> </v>
      </c>
      <c r="Q599" s="95" t="str">
        <f>'ALL Other SINs - Proposal'!AC599</f>
        <v xml:space="preserve"> </v>
      </c>
      <c r="R599" s="100" t="str">
        <f>IF(ISBLANK('ALL Other SINs - Proposal'!AA599)," ",ROUND(Q599,2))</f>
        <v xml:space="preserve"> </v>
      </c>
      <c r="S599" s="54"/>
    </row>
    <row r="600" spans="1:19" ht="20.100000000000001" customHeight="1" x14ac:dyDescent="0.2">
      <c r="A600" s="127">
        <f>'ALL Other SINs - Proposal'!A600</f>
        <v>0</v>
      </c>
      <c r="B600" s="121">
        <f>'ALL Other SINs - Proposal'!B600</f>
        <v>0</v>
      </c>
      <c r="C600" s="121">
        <f>'ALL Other SINs - Proposal'!C600</f>
        <v>0</v>
      </c>
      <c r="D600" s="121">
        <f>'ALL Other SINs - Proposal'!D600</f>
        <v>0</v>
      </c>
      <c r="E600" s="121">
        <f>'ALL Other SINs - Proposal'!E600</f>
        <v>0</v>
      </c>
      <c r="F600" s="171">
        <f>'ALL Other SINs - Proposal'!F600</f>
        <v>0</v>
      </c>
      <c r="G600" s="51">
        <f>'ALL Other SINs - Proposal'!G600</f>
        <v>0</v>
      </c>
      <c r="H600" s="125">
        <f>'ALL Other SINs - Proposal'!H600</f>
        <v>0</v>
      </c>
      <c r="I600" s="125">
        <f>'ALL Other SINs - Proposal'!I600</f>
        <v>0</v>
      </c>
      <c r="J600" s="125">
        <f>'ALL Other SINs - Proposal'!J600</f>
        <v>0</v>
      </c>
      <c r="K600" s="125">
        <f>'ALL Other SINs - Proposal'!K600</f>
        <v>0</v>
      </c>
      <c r="L600" s="125">
        <f>'ALL Other SINs - Proposal'!L600</f>
        <v>0</v>
      </c>
      <c r="M600" s="206">
        <f>'ALL Other SINs - Proposal'!M600</f>
        <v>0</v>
      </c>
      <c r="N600" s="251">
        <f>'ALL Other SINs - Proposal'!V600</f>
        <v>0</v>
      </c>
      <c r="O600" s="201" t="str">
        <f>'Price Analysis'!N600</f>
        <v xml:space="preserve"> </v>
      </c>
      <c r="P600" s="53" t="str">
        <f>IF(ISBLANK('ALL Other SINs - Proposal'!AA600)," ",'ALL Other SINs - Proposal'!AA600)</f>
        <v xml:space="preserve"> </v>
      </c>
      <c r="Q600" s="95" t="str">
        <f>'ALL Other SINs - Proposal'!AC600</f>
        <v xml:space="preserve"> </v>
      </c>
      <c r="R600" s="100" t="str">
        <f>IF(ISBLANK('ALL Other SINs - Proposal'!AA600)," ",ROUND(Q600,2))</f>
        <v xml:space="preserve"> </v>
      </c>
      <c r="S600" s="54"/>
    </row>
    <row r="601" spans="1:19" ht="20.100000000000001" customHeight="1" x14ac:dyDescent="0.2">
      <c r="A601" s="127">
        <f>'ALL Other SINs - Proposal'!A601</f>
        <v>0</v>
      </c>
      <c r="B601" s="121">
        <f>'ALL Other SINs - Proposal'!B601</f>
        <v>0</v>
      </c>
      <c r="C601" s="121">
        <f>'ALL Other SINs - Proposal'!C601</f>
        <v>0</v>
      </c>
      <c r="D601" s="121">
        <f>'ALL Other SINs - Proposal'!D601</f>
        <v>0</v>
      </c>
      <c r="E601" s="121">
        <f>'ALL Other SINs - Proposal'!E601</f>
        <v>0</v>
      </c>
      <c r="F601" s="171">
        <f>'ALL Other SINs - Proposal'!F601</f>
        <v>0</v>
      </c>
      <c r="G601" s="51">
        <f>'ALL Other SINs - Proposal'!G601</f>
        <v>0</v>
      </c>
      <c r="H601" s="125">
        <f>'ALL Other SINs - Proposal'!H601</f>
        <v>0</v>
      </c>
      <c r="I601" s="125">
        <f>'ALL Other SINs - Proposal'!I601</f>
        <v>0</v>
      </c>
      <c r="J601" s="125">
        <f>'ALL Other SINs - Proposal'!J601</f>
        <v>0</v>
      </c>
      <c r="K601" s="125">
        <f>'ALL Other SINs - Proposal'!K601</f>
        <v>0</v>
      </c>
      <c r="L601" s="125">
        <f>'ALL Other SINs - Proposal'!L601</f>
        <v>0</v>
      </c>
      <c r="M601" s="206">
        <f>'ALL Other SINs - Proposal'!M601</f>
        <v>0</v>
      </c>
      <c r="N601" s="251">
        <f>'ALL Other SINs - Proposal'!V601</f>
        <v>0</v>
      </c>
      <c r="O601" s="201" t="str">
        <f>'Price Analysis'!N601</f>
        <v xml:space="preserve"> </v>
      </c>
      <c r="P601" s="53" t="str">
        <f>IF(ISBLANK('ALL Other SINs - Proposal'!AA601)," ",'ALL Other SINs - Proposal'!AA601)</f>
        <v xml:space="preserve"> </v>
      </c>
      <c r="Q601" s="95" t="str">
        <f>'ALL Other SINs - Proposal'!AC601</f>
        <v xml:space="preserve"> </v>
      </c>
      <c r="R601" s="100" t="str">
        <f>IF(ISBLANK('ALL Other SINs - Proposal'!AA601)," ",ROUND(Q601,2))</f>
        <v xml:space="preserve"> </v>
      </c>
      <c r="S601" s="54"/>
    </row>
    <row r="602" spans="1:19" ht="20.100000000000001" customHeight="1" x14ac:dyDescent="0.2">
      <c r="A602" s="127">
        <f>'ALL Other SINs - Proposal'!A602</f>
        <v>0</v>
      </c>
      <c r="B602" s="121">
        <f>'ALL Other SINs - Proposal'!B602</f>
        <v>0</v>
      </c>
      <c r="C602" s="121">
        <f>'ALL Other SINs - Proposal'!C602</f>
        <v>0</v>
      </c>
      <c r="D602" s="121">
        <f>'ALL Other SINs - Proposal'!D602</f>
        <v>0</v>
      </c>
      <c r="E602" s="121">
        <f>'ALL Other SINs - Proposal'!E602</f>
        <v>0</v>
      </c>
      <c r="F602" s="171">
        <f>'ALL Other SINs - Proposal'!F602</f>
        <v>0</v>
      </c>
      <c r="G602" s="51">
        <f>'ALL Other SINs - Proposal'!G602</f>
        <v>0</v>
      </c>
      <c r="H602" s="125">
        <f>'ALL Other SINs - Proposal'!H602</f>
        <v>0</v>
      </c>
      <c r="I602" s="125">
        <f>'ALL Other SINs - Proposal'!I602</f>
        <v>0</v>
      </c>
      <c r="J602" s="125">
        <f>'ALL Other SINs - Proposal'!J602</f>
        <v>0</v>
      </c>
      <c r="K602" s="125">
        <f>'ALL Other SINs - Proposal'!K602</f>
        <v>0</v>
      </c>
      <c r="L602" s="125">
        <f>'ALL Other SINs - Proposal'!L602</f>
        <v>0</v>
      </c>
      <c r="M602" s="206">
        <f>'ALL Other SINs - Proposal'!M602</f>
        <v>0</v>
      </c>
      <c r="N602" s="251">
        <f>'ALL Other SINs - Proposal'!V602</f>
        <v>0</v>
      </c>
      <c r="O602" s="201" t="str">
        <f>'Price Analysis'!N602</f>
        <v xml:space="preserve"> </v>
      </c>
      <c r="P602" s="53" t="str">
        <f>IF(ISBLANK('ALL Other SINs - Proposal'!AA602)," ",'ALL Other SINs - Proposal'!AA602)</f>
        <v xml:space="preserve"> </v>
      </c>
      <c r="Q602" s="95" t="str">
        <f>'ALL Other SINs - Proposal'!AC602</f>
        <v xml:space="preserve"> </v>
      </c>
      <c r="R602" s="100" t="str">
        <f>IF(ISBLANK('ALL Other SINs - Proposal'!AA602)," ",ROUND(Q602,2))</f>
        <v xml:space="preserve"> </v>
      </c>
      <c r="S602" s="54"/>
    </row>
    <row r="603" spans="1:19" ht="20.100000000000001" customHeight="1" x14ac:dyDescent="0.2">
      <c r="A603" s="127">
        <f>'ALL Other SINs - Proposal'!A603</f>
        <v>0</v>
      </c>
      <c r="B603" s="121">
        <f>'ALL Other SINs - Proposal'!B603</f>
        <v>0</v>
      </c>
      <c r="C603" s="121">
        <f>'ALL Other SINs - Proposal'!C603</f>
        <v>0</v>
      </c>
      <c r="D603" s="121">
        <f>'ALL Other SINs - Proposal'!D603</f>
        <v>0</v>
      </c>
      <c r="E603" s="121">
        <f>'ALL Other SINs - Proposal'!E603</f>
        <v>0</v>
      </c>
      <c r="F603" s="171">
        <f>'ALL Other SINs - Proposal'!F603</f>
        <v>0</v>
      </c>
      <c r="G603" s="51">
        <f>'ALL Other SINs - Proposal'!G603</f>
        <v>0</v>
      </c>
      <c r="H603" s="125">
        <f>'ALL Other SINs - Proposal'!H603</f>
        <v>0</v>
      </c>
      <c r="I603" s="125">
        <f>'ALL Other SINs - Proposal'!I603</f>
        <v>0</v>
      </c>
      <c r="J603" s="125">
        <f>'ALL Other SINs - Proposal'!J603</f>
        <v>0</v>
      </c>
      <c r="K603" s="125">
        <f>'ALL Other SINs - Proposal'!K603</f>
        <v>0</v>
      </c>
      <c r="L603" s="125">
        <f>'ALL Other SINs - Proposal'!L603</f>
        <v>0</v>
      </c>
      <c r="M603" s="206">
        <f>'ALL Other SINs - Proposal'!M603</f>
        <v>0</v>
      </c>
      <c r="N603" s="251">
        <f>'ALL Other SINs - Proposal'!V603</f>
        <v>0</v>
      </c>
      <c r="O603" s="201" t="str">
        <f>'Price Analysis'!N603</f>
        <v xml:space="preserve"> </v>
      </c>
      <c r="P603" s="53" t="str">
        <f>IF(ISBLANK('ALL Other SINs - Proposal'!AA603)," ",'ALL Other SINs - Proposal'!AA603)</f>
        <v xml:space="preserve"> </v>
      </c>
      <c r="Q603" s="95" t="str">
        <f>'ALL Other SINs - Proposal'!AC603</f>
        <v xml:space="preserve"> </v>
      </c>
      <c r="R603" s="100" t="str">
        <f>IF(ISBLANK('ALL Other SINs - Proposal'!AA603)," ",ROUND(Q603,2))</f>
        <v xml:space="preserve"> </v>
      </c>
      <c r="S603" s="54"/>
    </row>
    <row r="604" spans="1:19" ht="20.100000000000001" customHeight="1" x14ac:dyDescent="0.2">
      <c r="A604" s="127">
        <f>'ALL Other SINs - Proposal'!A604</f>
        <v>0</v>
      </c>
      <c r="B604" s="121">
        <f>'ALL Other SINs - Proposal'!B604</f>
        <v>0</v>
      </c>
      <c r="C604" s="121">
        <f>'ALL Other SINs - Proposal'!C604</f>
        <v>0</v>
      </c>
      <c r="D604" s="121">
        <f>'ALL Other SINs - Proposal'!D604</f>
        <v>0</v>
      </c>
      <c r="E604" s="121">
        <f>'ALL Other SINs - Proposal'!E604</f>
        <v>0</v>
      </c>
      <c r="F604" s="171">
        <f>'ALL Other SINs - Proposal'!F604</f>
        <v>0</v>
      </c>
      <c r="G604" s="51">
        <f>'ALL Other SINs - Proposal'!G604</f>
        <v>0</v>
      </c>
      <c r="H604" s="125">
        <f>'ALL Other SINs - Proposal'!H604</f>
        <v>0</v>
      </c>
      <c r="I604" s="125">
        <f>'ALL Other SINs - Proposal'!I604</f>
        <v>0</v>
      </c>
      <c r="J604" s="125">
        <f>'ALL Other SINs - Proposal'!J604</f>
        <v>0</v>
      </c>
      <c r="K604" s="125">
        <f>'ALL Other SINs - Proposal'!K604</f>
        <v>0</v>
      </c>
      <c r="L604" s="125">
        <f>'ALL Other SINs - Proposal'!L604</f>
        <v>0</v>
      </c>
      <c r="M604" s="206">
        <f>'ALL Other SINs - Proposal'!M604</f>
        <v>0</v>
      </c>
      <c r="N604" s="251">
        <f>'ALL Other SINs - Proposal'!V604</f>
        <v>0</v>
      </c>
      <c r="O604" s="201" t="str">
        <f>'Price Analysis'!N604</f>
        <v xml:space="preserve"> </v>
      </c>
      <c r="P604" s="53" t="str">
        <f>IF(ISBLANK('ALL Other SINs - Proposal'!AA604)," ",'ALL Other SINs - Proposal'!AA604)</f>
        <v xml:space="preserve"> </v>
      </c>
      <c r="Q604" s="95" t="str">
        <f>'ALL Other SINs - Proposal'!AC604</f>
        <v xml:space="preserve"> </v>
      </c>
      <c r="R604" s="100" t="str">
        <f>IF(ISBLANK('ALL Other SINs - Proposal'!AA604)," ",ROUND(Q604,2))</f>
        <v xml:space="preserve"> </v>
      </c>
      <c r="S604" s="54"/>
    </row>
    <row r="605" spans="1:19" ht="20.100000000000001" customHeight="1" x14ac:dyDescent="0.2">
      <c r="A605" s="127">
        <f>'ALL Other SINs - Proposal'!A605</f>
        <v>0</v>
      </c>
      <c r="B605" s="121">
        <f>'ALL Other SINs - Proposal'!B605</f>
        <v>0</v>
      </c>
      <c r="C605" s="121">
        <f>'ALL Other SINs - Proposal'!C605</f>
        <v>0</v>
      </c>
      <c r="D605" s="121">
        <f>'ALL Other SINs - Proposal'!D605</f>
        <v>0</v>
      </c>
      <c r="E605" s="121">
        <f>'ALL Other SINs - Proposal'!E605</f>
        <v>0</v>
      </c>
      <c r="F605" s="171">
        <f>'ALL Other SINs - Proposal'!F605</f>
        <v>0</v>
      </c>
      <c r="G605" s="51">
        <f>'ALL Other SINs - Proposal'!G605</f>
        <v>0</v>
      </c>
      <c r="H605" s="125">
        <f>'ALL Other SINs - Proposal'!H605</f>
        <v>0</v>
      </c>
      <c r="I605" s="125">
        <f>'ALL Other SINs - Proposal'!I605</f>
        <v>0</v>
      </c>
      <c r="J605" s="125">
        <f>'ALL Other SINs - Proposal'!J605</f>
        <v>0</v>
      </c>
      <c r="K605" s="125">
        <f>'ALL Other SINs - Proposal'!K605</f>
        <v>0</v>
      </c>
      <c r="L605" s="125">
        <f>'ALL Other SINs - Proposal'!L605</f>
        <v>0</v>
      </c>
      <c r="M605" s="206">
        <f>'ALL Other SINs - Proposal'!M605</f>
        <v>0</v>
      </c>
      <c r="N605" s="251">
        <f>'ALL Other SINs - Proposal'!V605</f>
        <v>0</v>
      </c>
      <c r="O605" s="201" t="str">
        <f>'Price Analysis'!N605</f>
        <v xml:space="preserve"> </v>
      </c>
      <c r="P605" s="53" t="str">
        <f>IF(ISBLANK('ALL Other SINs - Proposal'!AA605)," ",'ALL Other SINs - Proposal'!AA605)</f>
        <v xml:space="preserve"> </v>
      </c>
      <c r="Q605" s="95" t="str">
        <f>'ALL Other SINs - Proposal'!AC605</f>
        <v xml:space="preserve"> </v>
      </c>
      <c r="R605" s="100" t="str">
        <f>IF(ISBLANK('ALL Other SINs - Proposal'!AA605)," ",ROUND(Q605,2))</f>
        <v xml:space="preserve"> </v>
      </c>
      <c r="S605" s="54"/>
    </row>
    <row r="606" spans="1:19" ht="20.100000000000001" customHeight="1" x14ac:dyDescent="0.2">
      <c r="A606" s="127">
        <f>'ALL Other SINs - Proposal'!A606</f>
        <v>0</v>
      </c>
      <c r="B606" s="121">
        <f>'ALL Other SINs - Proposal'!B606</f>
        <v>0</v>
      </c>
      <c r="C606" s="121">
        <f>'ALL Other SINs - Proposal'!C606</f>
        <v>0</v>
      </c>
      <c r="D606" s="121">
        <f>'ALL Other SINs - Proposal'!D606</f>
        <v>0</v>
      </c>
      <c r="E606" s="121">
        <f>'ALL Other SINs - Proposal'!E606</f>
        <v>0</v>
      </c>
      <c r="F606" s="171">
        <f>'ALL Other SINs - Proposal'!F606</f>
        <v>0</v>
      </c>
      <c r="G606" s="51">
        <f>'ALL Other SINs - Proposal'!G606</f>
        <v>0</v>
      </c>
      <c r="H606" s="125">
        <f>'ALL Other SINs - Proposal'!H606</f>
        <v>0</v>
      </c>
      <c r="I606" s="125">
        <f>'ALL Other SINs - Proposal'!I606</f>
        <v>0</v>
      </c>
      <c r="J606" s="125">
        <f>'ALL Other SINs - Proposal'!J606</f>
        <v>0</v>
      </c>
      <c r="K606" s="125">
        <f>'ALL Other SINs - Proposal'!K606</f>
        <v>0</v>
      </c>
      <c r="L606" s="125">
        <f>'ALL Other SINs - Proposal'!L606</f>
        <v>0</v>
      </c>
      <c r="M606" s="206">
        <f>'ALL Other SINs - Proposal'!M606</f>
        <v>0</v>
      </c>
      <c r="N606" s="251">
        <f>'ALL Other SINs - Proposal'!V606</f>
        <v>0</v>
      </c>
      <c r="O606" s="201" t="str">
        <f>'Price Analysis'!N606</f>
        <v xml:space="preserve"> </v>
      </c>
      <c r="P606" s="53" t="str">
        <f>IF(ISBLANK('ALL Other SINs - Proposal'!AA606)," ",'ALL Other SINs - Proposal'!AA606)</f>
        <v xml:space="preserve"> </v>
      </c>
      <c r="Q606" s="95" t="str">
        <f>'ALL Other SINs - Proposal'!AC606</f>
        <v xml:space="preserve"> </v>
      </c>
      <c r="R606" s="100" t="str">
        <f>IF(ISBLANK('ALL Other SINs - Proposal'!AA606)," ",ROUND(Q606,2))</f>
        <v xml:space="preserve"> </v>
      </c>
      <c r="S606" s="54"/>
    </row>
    <row r="607" spans="1:19" ht="20.100000000000001" customHeight="1" x14ac:dyDescent="0.2">
      <c r="A607" s="127">
        <f>'ALL Other SINs - Proposal'!A607</f>
        <v>0</v>
      </c>
      <c r="B607" s="121">
        <f>'ALL Other SINs - Proposal'!B607</f>
        <v>0</v>
      </c>
      <c r="C607" s="121">
        <f>'ALL Other SINs - Proposal'!C607</f>
        <v>0</v>
      </c>
      <c r="D607" s="121">
        <f>'ALL Other SINs - Proposal'!D607</f>
        <v>0</v>
      </c>
      <c r="E607" s="121">
        <f>'ALL Other SINs - Proposal'!E607</f>
        <v>0</v>
      </c>
      <c r="F607" s="171">
        <f>'ALL Other SINs - Proposal'!F607</f>
        <v>0</v>
      </c>
      <c r="G607" s="51">
        <f>'ALL Other SINs - Proposal'!G607</f>
        <v>0</v>
      </c>
      <c r="H607" s="125">
        <f>'ALL Other SINs - Proposal'!H607</f>
        <v>0</v>
      </c>
      <c r="I607" s="125">
        <f>'ALL Other SINs - Proposal'!I607</f>
        <v>0</v>
      </c>
      <c r="J607" s="125">
        <f>'ALL Other SINs - Proposal'!J607</f>
        <v>0</v>
      </c>
      <c r="K607" s="125">
        <f>'ALL Other SINs - Proposal'!K607</f>
        <v>0</v>
      </c>
      <c r="L607" s="125">
        <f>'ALL Other SINs - Proposal'!L607</f>
        <v>0</v>
      </c>
      <c r="M607" s="206">
        <f>'ALL Other SINs - Proposal'!M607</f>
        <v>0</v>
      </c>
      <c r="N607" s="251">
        <f>'ALL Other SINs - Proposal'!V607</f>
        <v>0</v>
      </c>
      <c r="O607" s="201" t="str">
        <f>'Price Analysis'!N607</f>
        <v xml:space="preserve"> </v>
      </c>
      <c r="P607" s="53" t="str">
        <f>IF(ISBLANK('ALL Other SINs - Proposal'!AA607)," ",'ALL Other SINs - Proposal'!AA607)</f>
        <v xml:space="preserve"> </v>
      </c>
      <c r="Q607" s="95" t="str">
        <f>'ALL Other SINs - Proposal'!AC607</f>
        <v xml:space="preserve"> </v>
      </c>
      <c r="R607" s="100" t="str">
        <f>IF(ISBLANK('ALL Other SINs - Proposal'!AA607)," ",ROUND(Q607,2))</f>
        <v xml:space="preserve"> </v>
      </c>
      <c r="S607" s="54"/>
    </row>
    <row r="608" spans="1:19" ht="20.100000000000001" customHeight="1" x14ac:dyDescent="0.2">
      <c r="A608" s="127">
        <f>'ALL Other SINs - Proposal'!A608</f>
        <v>0</v>
      </c>
      <c r="B608" s="121">
        <f>'ALL Other SINs - Proposal'!B608</f>
        <v>0</v>
      </c>
      <c r="C608" s="121">
        <f>'ALL Other SINs - Proposal'!C608</f>
        <v>0</v>
      </c>
      <c r="D608" s="121">
        <f>'ALL Other SINs - Proposal'!D608</f>
        <v>0</v>
      </c>
      <c r="E608" s="121">
        <f>'ALL Other SINs - Proposal'!E608</f>
        <v>0</v>
      </c>
      <c r="F608" s="171">
        <f>'ALL Other SINs - Proposal'!F608</f>
        <v>0</v>
      </c>
      <c r="G608" s="51">
        <f>'ALL Other SINs - Proposal'!G608</f>
        <v>0</v>
      </c>
      <c r="H608" s="125">
        <f>'ALL Other SINs - Proposal'!H608</f>
        <v>0</v>
      </c>
      <c r="I608" s="125">
        <f>'ALL Other SINs - Proposal'!I608</f>
        <v>0</v>
      </c>
      <c r="J608" s="125">
        <f>'ALL Other SINs - Proposal'!J608</f>
        <v>0</v>
      </c>
      <c r="K608" s="125">
        <f>'ALL Other SINs - Proposal'!K608</f>
        <v>0</v>
      </c>
      <c r="L608" s="125">
        <f>'ALL Other SINs - Proposal'!L608</f>
        <v>0</v>
      </c>
      <c r="M608" s="206">
        <f>'ALL Other SINs - Proposal'!M608</f>
        <v>0</v>
      </c>
      <c r="N608" s="251">
        <f>'ALL Other SINs - Proposal'!V608</f>
        <v>0</v>
      </c>
      <c r="O608" s="201" t="str">
        <f>'Price Analysis'!N608</f>
        <v xml:space="preserve"> </v>
      </c>
      <c r="P608" s="53" t="str">
        <f>IF(ISBLANK('ALL Other SINs - Proposal'!AA608)," ",'ALL Other SINs - Proposal'!AA608)</f>
        <v xml:space="preserve"> </v>
      </c>
      <c r="Q608" s="95" t="str">
        <f>'ALL Other SINs - Proposal'!AC608</f>
        <v xml:space="preserve"> </v>
      </c>
      <c r="R608" s="100" t="str">
        <f>IF(ISBLANK('ALL Other SINs - Proposal'!AA608)," ",ROUND(Q608,2))</f>
        <v xml:space="preserve"> </v>
      </c>
      <c r="S608" s="54"/>
    </row>
    <row r="609" spans="1:19" ht="20.100000000000001" customHeight="1" x14ac:dyDescent="0.2">
      <c r="A609" s="127">
        <f>'ALL Other SINs - Proposal'!A609</f>
        <v>0</v>
      </c>
      <c r="B609" s="121">
        <f>'ALL Other SINs - Proposal'!B609</f>
        <v>0</v>
      </c>
      <c r="C609" s="121">
        <f>'ALL Other SINs - Proposal'!C609</f>
        <v>0</v>
      </c>
      <c r="D609" s="121">
        <f>'ALL Other SINs - Proposal'!D609</f>
        <v>0</v>
      </c>
      <c r="E609" s="121">
        <f>'ALL Other SINs - Proposal'!E609</f>
        <v>0</v>
      </c>
      <c r="F609" s="171">
        <f>'ALL Other SINs - Proposal'!F609</f>
        <v>0</v>
      </c>
      <c r="G609" s="51">
        <f>'ALL Other SINs - Proposal'!G609</f>
        <v>0</v>
      </c>
      <c r="H609" s="125">
        <f>'ALL Other SINs - Proposal'!H609</f>
        <v>0</v>
      </c>
      <c r="I609" s="125">
        <f>'ALL Other SINs - Proposal'!I609</f>
        <v>0</v>
      </c>
      <c r="J609" s="125">
        <f>'ALL Other SINs - Proposal'!J609</f>
        <v>0</v>
      </c>
      <c r="K609" s="125">
        <f>'ALL Other SINs - Proposal'!K609</f>
        <v>0</v>
      </c>
      <c r="L609" s="125">
        <f>'ALL Other SINs - Proposal'!L609</f>
        <v>0</v>
      </c>
      <c r="M609" s="206">
        <f>'ALL Other SINs - Proposal'!M609</f>
        <v>0</v>
      </c>
      <c r="N609" s="251">
        <f>'ALL Other SINs - Proposal'!V609</f>
        <v>0</v>
      </c>
      <c r="O609" s="201" t="str">
        <f>'Price Analysis'!N609</f>
        <v xml:space="preserve"> </v>
      </c>
      <c r="P609" s="53" t="str">
        <f>IF(ISBLANK('ALL Other SINs - Proposal'!AA609)," ",'ALL Other SINs - Proposal'!AA609)</f>
        <v xml:space="preserve"> </v>
      </c>
      <c r="Q609" s="95" t="str">
        <f>'ALL Other SINs - Proposal'!AC609</f>
        <v xml:space="preserve"> </v>
      </c>
      <c r="R609" s="100" t="str">
        <f>IF(ISBLANK('ALL Other SINs - Proposal'!AA609)," ",ROUND(Q609,2))</f>
        <v xml:space="preserve"> </v>
      </c>
      <c r="S609" s="54"/>
    </row>
    <row r="610" spans="1:19" ht="20.100000000000001" customHeight="1" x14ac:dyDescent="0.2">
      <c r="A610" s="127">
        <f>'ALL Other SINs - Proposal'!A610</f>
        <v>0</v>
      </c>
      <c r="B610" s="121">
        <f>'ALL Other SINs - Proposal'!B610</f>
        <v>0</v>
      </c>
      <c r="C610" s="121">
        <f>'ALL Other SINs - Proposal'!C610</f>
        <v>0</v>
      </c>
      <c r="D610" s="121">
        <f>'ALL Other SINs - Proposal'!D610</f>
        <v>0</v>
      </c>
      <c r="E610" s="121">
        <f>'ALL Other SINs - Proposal'!E610</f>
        <v>0</v>
      </c>
      <c r="F610" s="171">
        <f>'ALL Other SINs - Proposal'!F610</f>
        <v>0</v>
      </c>
      <c r="G610" s="51">
        <f>'ALL Other SINs - Proposal'!G610</f>
        <v>0</v>
      </c>
      <c r="H610" s="125">
        <f>'ALL Other SINs - Proposal'!H610</f>
        <v>0</v>
      </c>
      <c r="I610" s="125">
        <f>'ALL Other SINs - Proposal'!I610</f>
        <v>0</v>
      </c>
      <c r="J610" s="125">
        <f>'ALL Other SINs - Proposal'!J610</f>
        <v>0</v>
      </c>
      <c r="K610" s="125">
        <f>'ALL Other SINs - Proposal'!K610</f>
        <v>0</v>
      </c>
      <c r="L610" s="125">
        <f>'ALL Other SINs - Proposal'!L610</f>
        <v>0</v>
      </c>
      <c r="M610" s="206">
        <f>'ALL Other SINs - Proposal'!M610</f>
        <v>0</v>
      </c>
      <c r="N610" s="251">
        <f>'ALL Other SINs - Proposal'!V610</f>
        <v>0</v>
      </c>
      <c r="O610" s="201" t="str">
        <f>'Price Analysis'!N610</f>
        <v xml:space="preserve"> </v>
      </c>
      <c r="P610" s="53" t="str">
        <f>IF(ISBLANK('ALL Other SINs - Proposal'!AA610)," ",'ALL Other SINs - Proposal'!AA610)</f>
        <v xml:space="preserve"> </v>
      </c>
      <c r="Q610" s="95" t="str">
        <f>'ALL Other SINs - Proposal'!AC610</f>
        <v xml:space="preserve"> </v>
      </c>
      <c r="R610" s="100" t="str">
        <f>IF(ISBLANK('ALL Other SINs - Proposal'!AA610)," ",ROUND(Q610,2))</f>
        <v xml:space="preserve"> </v>
      </c>
      <c r="S610" s="54"/>
    </row>
    <row r="611" spans="1:19" ht="20.100000000000001" customHeight="1" x14ac:dyDescent="0.2">
      <c r="A611" s="127">
        <f>'ALL Other SINs - Proposal'!A611</f>
        <v>0</v>
      </c>
      <c r="B611" s="121">
        <f>'ALL Other SINs - Proposal'!B611</f>
        <v>0</v>
      </c>
      <c r="C611" s="121">
        <f>'ALL Other SINs - Proposal'!C611</f>
        <v>0</v>
      </c>
      <c r="D611" s="121">
        <f>'ALL Other SINs - Proposal'!D611</f>
        <v>0</v>
      </c>
      <c r="E611" s="121">
        <f>'ALL Other SINs - Proposal'!E611</f>
        <v>0</v>
      </c>
      <c r="F611" s="171">
        <f>'ALL Other SINs - Proposal'!F611</f>
        <v>0</v>
      </c>
      <c r="G611" s="51">
        <f>'ALL Other SINs - Proposal'!G611</f>
        <v>0</v>
      </c>
      <c r="H611" s="125">
        <f>'ALL Other SINs - Proposal'!H611</f>
        <v>0</v>
      </c>
      <c r="I611" s="125">
        <f>'ALL Other SINs - Proposal'!I611</f>
        <v>0</v>
      </c>
      <c r="J611" s="125">
        <f>'ALL Other SINs - Proposal'!J611</f>
        <v>0</v>
      </c>
      <c r="K611" s="125">
        <f>'ALL Other SINs - Proposal'!K611</f>
        <v>0</v>
      </c>
      <c r="L611" s="125">
        <f>'ALL Other SINs - Proposal'!L611</f>
        <v>0</v>
      </c>
      <c r="M611" s="206">
        <f>'ALL Other SINs - Proposal'!M611</f>
        <v>0</v>
      </c>
      <c r="N611" s="251">
        <f>'ALL Other SINs - Proposal'!V611</f>
        <v>0</v>
      </c>
      <c r="O611" s="201" t="str">
        <f>'Price Analysis'!N611</f>
        <v xml:space="preserve"> </v>
      </c>
      <c r="P611" s="53" t="str">
        <f>IF(ISBLANK('ALL Other SINs - Proposal'!AA611)," ",'ALL Other SINs - Proposal'!AA611)</f>
        <v xml:space="preserve"> </v>
      </c>
      <c r="Q611" s="95" t="str">
        <f>'ALL Other SINs - Proposal'!AC611</f>
        <v xml:space="preserve"> </v>
      </c>
      <c r="R611" s="100" t="str">
        <f>IF(ISBLANK('ALL Other SINs - Proposal'!AA611)," ",ROUND(Q611,2))</f>
        <v xml:space="preserve"> </v>
      </c>
      <c r="S611" s="54"/>
    </row>
    <row r="612" spans="1:19" ht="20.100000000000001" customHeight="1" x14ac:dyDescent="0.2">
      <c r="A612" s="127">
        <f>'ALL Other SINs - Proposal'!A612</f>
        <v>0</v>
      </c>
      <c r="B612" s="121">
        <f>'ALL Other SINs - Proposal'!B612</f>
        <v>0</v>
      </c>
      <c r="C612" s="121">
        <f>'ALL Other SINs - Proposal'!C612</f>
        <v>0</v>
      </c>
      <c r="D612" s="121">
        <f>'ALL Other SINs - Proposal'!D612</f>
        <v>0</v>
      </c>
      <c r="E612" s="121">
        <f>'ALL Other SINs - Proposal'!E612</f>
        <v>0</v>
      </c>
      <c r="F612" s="171">
        <f>'ALL Other SINs - Proposal'!F612</f>
        <v>0</v>
      </c>
      <c r="G612" s="51">
        <f>'ALL Other SINs - Proposal'!G612</f>
        <v>0</v>
      </c>
      <c r="H612" s="125">
        <f>'ALL Other SINs - Proposal'!H612</f>
        <v>0</v>
      </c>
      <c r="I612" s="125">
        <f>'ALL Other SINs - Proposal'!I612</f>
        <v>0</v>
      </c>
      <c r="J612" s="125">
        <f>'ALL Other SINs - Proposal'!J612</f>
        <v>0</v>
      </c>
      <c r="K612" s="125">
        <f>'ALL Other SINs - Proposal'!K612</f>
        <v>0</v>
      </c>
      <c r="L612" s="125">
        <f>'ALL Other SINs - Proposal'!L612</f>
        <v>0</v>
      </c>
      <c r="M612" s="206">
        <f>'ALL Other SINs - Proposal'!M612</f>
        <v>0</v>
      </c>
      <c r="N612" s="251">
        <f>'ALL Other SINs - Proposal'!V612</f>
        <v>0</v>
      </c>
      <c r="O612" s="201" t="str">
        <f>'Price Analysis'!N612</f>
        <v xml:space="preserve"> </v>
      </c>
      <c r="P612" s="53" t="str">
        <f>IF(ISBLANK('ALL Other SINs - Proposal'!AA612)," ",'ALL Other SINs - Proposal'!AA612)</f>
        <v xml:space="preserve"> </v>
      </c>
      <c r="Q612" s="95" t="str">
        <f>'ALL Other SINs - Proposal'!AC612</f>
        <v xml:space="preserve"> </v>
      </c>
      <c r="R612" s="100" t="str">
        <f>IF(ISBLANK('ALL Other SINs - Proposal'!AA612)," ",ROUND(Q612,2))</f>
        <v xml:space="preserve"> </v>
      </c>
      <c r="S612" s="54"/>
    </row>
    <row r="613" spans="1:19" ht="20.100000000000001" customHeight="1" x14ac:dyDescent="0.2">
      <c r="A613" s="127">
        <f>'ALL Other SINs - Proposal'!A613</f>
        <v>0</v>
      </c>
      <c r="B613" s="121">
        <f>'ALL Other SINs - Proposal'!B613</f>
        <v>0</v>
      </c>
      <c r="C613" s="121">
        <f>'ALL Other SINs - Proposal'!C613</f>
        <v>0</v>
      </c>
      <c r="D613" s="121">
        <f>'ALL Other SINs - Proposal'!D613</f>
        <v>0</v>
      </c>
      <c r="E613" s="121">
        <f>'ALL Other SINs - Proposal'!E613</f>
        <v>0</v>
      </c>
      <c r="F613" s="171">
        <f>'ALL Other SINs - Proposal'!F613</f>
        <v>0</v>
      </c>
      <c r="G613" s="51">
        <f>'ALL Other SINs - Proposal'!G613</f>
        <v>0</v>
      </c>
      <c r="H613" s="125">
        <f>'ALL Other SINs - Proposal'!H613</f>
        <v>0</v>
      </c>
      <c r="I613" s="125">
        <f>'ALL Other SINs - Proposal'!I613</f>
        <v>0</v>
      </c>
      <c r="J613" s="125">
        <f>'ALL Other SINs - Proposal'!J613</f>
        <v>0</v>
      </c>
      <c r="K613" s="125">
        <f>'ALL Other SINs - Proposal'!K613</f>
        <v>0</v>
      </c>
      <c r="L613" s="125">
        <f>'ALL Other SINs - Proposal'!L613</f>
        <v>0</v>
      </c>
      <c r="M613" s="206">
        <f>'ALL Other SINs - Proposal'!M613</f>
        <v>0</v>
      </c>
      <c r="N613" s="251">
        <f>'ALL Other SINs - Proposal'!V613</f>
        <v>0</v>
      </c>
      <c r="O613" s="201" t="str">
        <f>'Price Analysis'!N613</f>
        <v xml:space="preserve"> </v>
      </c>
      <c r="P613" s="53" t="str">
        <f>IF(ISBLANK('ALL Other SINs - Proposal'!AA613)," ",'ALL Other SINs - Proposal'!AA613)</f>
        <v xml:space="preserve"> </v>
      </c>
      <c r="Q613" s="95" t="str">
        <f>'ALL Other SINs - Proposal'!AC613</f>
        <v xml:space="preserve"> </v>
      </c>
      <c r="R613" s="100" t="str">
        <f>IF(ISBLANK('ALL Other SINs - Proposal'!AA613)," ",ROUND(Q613,2))</f>
        <v xml:space="preserve"> </v>
      </c>
      <c r="S613" s="54"/>
    </row>
    <row r="614" spans="1:19" ht="20.100000000000001" customHeight="1" x14ac:dyDescent="0.2">
      <c r="A614" s="127">
        <f>'ALL Other SINs - Proposal'!A614</f>
        <v>0</v>
      </c>
      <c r="B614" s="121">
        <f>'ALL Other SINs - Proposal'!B614</f>
        <v>0</v>
      </c>
      <c r="C614" s="121">
        <f>'ALL Other SINs - Proposal'!C614</f>
        <v>0</v>
      </c>
      <c r="D614" s="121">
        <f>'ALL Other SINs - Proposal'!D614</f>
        <v>0</v>
      </c>
      <c r="E614" s="121">
        <f>'ALL Other SINs - Proposal'!E614</f>
        <v>0</v>
      </c>
      <c r="F614" s="171">
        <f>'ALL Other SINs - Proposal'!F614</f>
        <v>0</v>
      </c>
      <c r="G614" s="51">
        <f>'ALL Other SINs - Proposal'!G614</f>
        <v>0</v>
      </c>
      <c r="H614" s="125">
        <f>'ALL Other SINs - Proposal'!H614</f>
        <v>0</v>
      </c>
      <c r="I614" s="125">
        <f>'ALL Other SINs - Proposal'!I614</f>
        <v>0</v>
      </c>
      <c r="J614" s="125">
        <f>'ALL Other SINs - Proposal'!J614</f>
        <v>0</v>
      </c>
      <c r="K614" s="125">
        <f>'ALL Other SINs - Proposal'!K614</f>
        <v>0</v>
      </c>
      <c r="L614" s="125">
        <f>'ALL Other SINs - Proposal'!L614</f>
        <v>0</v>
      </c>
      <c r="M614" s="206">
        <f>'ALL Other SINs - Proposal'!M614</f>
        <v>0</v>
      </c>
      <c r="N614" s="251">
        <f>'ALL Other SINs - Proposal'!V614</f>
        <v>0</v>
      </c>
      <c r="O614" s="201" t="str">
        <f>'Price Analysis'!N614</f>
        <v xml:space="preserve"> </v>
      </c>
      <c r="P614" s="53" t="str">
        <f>IF(ISBLANK('ALL Other SINs - Proposal'!AA614)," ",'ALL Other SINs - Proposal'!AA614)</f>
        <v xml:space="preserve"> </v>
      </c>
      <c r="Q614" s="95" t="str">
        <f>'ALL Other SINs - Proposal'!AC614</f>
        <v xml:space="preserve"> </v>
      </c>
      <c r="R614" s="100" t="str">
        <f>IF(ISBLANK('ALL Other SINs - Proposal'!AA614)," ",ROUND(Q614,2))</f>
        <v xml:space="preserve"> </v>
      </c>
      <c r="S614" s="54"/>
    </row>
    <row r="615" spans="1:19" ht="20.100000000000001" customHeight="1" x14ac:dyDescent="0.2">
      <c r="A615" s="127">
        <f>'ALL Other SINs - Proposal'!A615</f>
        <v>0</v>
      </c>
      <c r="B615" s="121">
        <f>'ALL Other SINs - Proposal'!B615</f>
        <v>0</v>
      </c>
      <c r="C615" s="121">
        <f>'ALL Other SINs - Proposal'!C615</f>
        <v>0</v>
      </c>
      <c r="D615" s="121">
        <f>'ALL Other SINs - Proposal'!D615</f>
        <v>0</v>
      </c>
      <c r="E615" s="121">
        <f>'ALL Other SINs - Proposal'!E615</f>
        <v>0</v>
      </c>
      <c r="F615" s="171">
        <f>'ALL Other SINs - Proposal'!F615</f>
        <v>0</v>
      </c>
      <c r="G615" s="51">
        <f>'ALL Other SINs - Proposal'!G615</f>
        <v>0</v>
      </c>
      <c r="H615" s="125">
        <f>'ALL Other SINs - Proposal'!H615</f>
        <v>0</v>
      </c>
      <c r="I615" s="125">
        <f>'ALL Other SINs - Proposal'!I615</f>
        <v>0</v>
      </c>
      <c r="J615" s="125">
        <f>'ALL Other SINs - Proposal'!J615</f>
        <v>0</v>
      </c>
      <c r="K615" s="125">
        <f>'ALL Other SINs - Proposal'!K615</f>
        <v>0</v>
      </c>
      <c r="L615" s="125">
        <f>'ALL Other SINs - Proposal'!L615</f>
        <v>0</v>
      </c>
      <c r="M615" s="206">
        <f>'ALL Other SINs - Proposal'!M615</f>
        <v>0</v>
      </c>
      <c r="N615" s="251">
        <f>'ALL Other SINs - Proposal'!V615</f>
        <v>0</v>
      </c>
      <c r="O615" s="201" t="str">
        <f>'Price Analysis'!N615</f>
        <v xml:space="preserve"> </v>
      </c>
      <c r="P615" s="53" t="str">
        <f>IF(ISBLANK('ALL Other SINs - Proposal'!AA615)," ",'ALL Other SINs - Proposal'!AA615)</f>
        <v xml:space="preserve"> </v>
      </c>
      <c r="Q615" s="95" t="str">
        <f>'ALL Other SINs - Proposal'!AC615</f>
        <v xml:space="preserve"> </v>
      </c>
      <c r="R615" s="100" t="str">
        <f>IF(ISBLANK('ALL Other SINs - Proposal'!AA615)," ",ROUND(Q615,2))</f>
        <v xml:space="preserve"> </v>
      </c>
      <c r="S615" s="54"/>
    </row>
    <row r="616" spans="1:19" ht="20.100000000000001" customHeight="1" x14ac:dyDescent="0.2">
      <c r="A616" s="127">
        <f>'ALL Other SINs - Proposal'!A616</f>
        <v>0</v>
      </c>
      <c r="B616" s="121">
        <f>'ALL Other SINs - Proposal'!B616</f>
        <v>0</v>
      </c>
      <c r="C616" s="121">
        <f>'ALL Other SINs - Proposal'!C616</f>
        <v>0</v>
      </c>
      <c r="D616" s="121">
        <f>'ALL Other SINs - Proposal'!D616</f>
        <v>0</v>
      </c>
      <c r="E616" s="121">
        <f>'ALL Other SINs - Proposal'!E616</f>
        <v>0</v>
      </c>
      <c r="F616" s="171">
        <f>'ALL Other SINs - Proposal'!F616</f>
        <v>0</v>
      </c>
      <c r="G616" s="51">
        <f>'ALL Other SINs - Proposal'!G616</f>
        <v>0</v>
      </c>
      <c r="H616" s="125">
        <f>'ALL Other SINs - Proposal'!H616</f>
        <v>0</v>
      </c>
      <c r="I616" s="125">
        <f>'ALL Other SINs - Proposal'!I616</f>
        <v>0</v>
      </c>
      <c r="J616" s="125">
        <f>'ALL Other SINs - Proposal'!J616</f>
        <v>0</v>
      </c>
      <c r="K616" s="125">
        <f>'ALL Other SINs - Proposal'!K616</f>
        <v>0</v>
      </c>
      <c r="L616" s="125">
        <f>'ALL Other SINs - Proposal'!L616</f>
        <v>0</v>
      </c>
      <c r="M616" s="206">
        <f>'ALL Other SINs - Proposal'!M616</f>
        <v>0</v>
      </c>
      <c r="N616" s="251">
        <f>'ALL Other SINs - Proposal'!V616</f>
        <v>0</v>
      </c>
      <c r="O616" s="201" t="str">
        <f>'Price Analysis'!N616</f>
        <v xml:space="preserve"> </v>
      </c>
      <c r="P616" s="53" t="str">
        <f>IF(ISBLANK('ALL Other SINs - Proposal'!AA616)," ",'ALL Other SINs - Proposal'!AA616)</f>
        <v xml:space="preserve"> </v>
      </c>
      <c r="Q616" s="95" t="str">
        <f>'ALL Other SINs - Proposal'!AC616</f>
        <v xml:space="preserve"> </v>
      </c>
      <c r="R616" s="100" t="str">
        <f>IF(ISBLANK('ALL Other SINs - Proposal'!AA616)," ",ROUND(Q616,2))</f>
        <v xml:space="preserve"> </v>
      </c>
      <c r="S616" s="54"/>
    </row>
    <row r="617" spans="1:19" ht="20.100000000000001" customHeight="1" x14ac:dyDescent="0.2">
      <c r="A617" s="127">
        <f>'ALL Other SINs - Proposal'!A617</f>
        <v>0</v>
      </c>
      <c r="B617" s="121">
        <f>'ALL Other SINs - Proposal'!B617</f>
        <v>0</v>
      </c>
      <c r="C617" s="121">
        <f>'ALL Other SINs - Proposal'!C617</f>
        <v>0</v>
      </c>
      <c r="D617" s="121">
        <f>'ALL Other SINs - Proposal'!D617</f>
        <v>0</v>
      </c>
      <c r="E617" s="121">
        <f>'ALL Other SINs - Proposal'!E617</f>
        <v>0</v>
      </c>
      <c r="F617" s="171">
        <f>'ALL Other SINs - Proposal'!F617</f>
        <v>0</v>
      </c>
      <c r="G617" s="51">
        <f>'ALL Other SINs - Proposal'!G617</f>
        <v>0</v>
      </c>
      <c r="H617" s="125">
        <f>'ALL Other SINs - Proposal'!H617</f>
        <v>0</v>
      </c>
      <c r="I617" s="125">
        <f>'ALL Other SINs - Proposal'!I617</f>
        <v>0</v>
      </c>
      <c r="J617" s="125">
        <f>'ALL Other SINs - Proposal'!J617</f>
        <v>0</v>
      </c>
      <c r="K617" s="125">
        <f>'ALL Other SINs - Proposal'!K617</f>
        <v>0</v>
      </c>
      <c r="L617" s="125">
        <f>'ALL Other SINs - Proposal'!L617</f>
        <v>0</v>
      </c>
      <c r="M617" s="206">
        <f>'ALL Other SINs - Proposal'!M617</f>
        <v>0</v>
      </c>
      <c r="N617" s="251">
        <f>'ALL Other SINs - Proposal'!V617</f>
        <v>0</v>
      </c>
      <c r="O617" s="201" t="str">
        <f>'Price Analysis'!N617</f>
        <v xml:space="preserve"> </v>
      </c>
      <c r="P617" s="53" t="str">
        <f>IF(ISBLANK('ALL Other SINs - Proposal'!AA617)," ",'ALL Other SINs - Proposal'!AA617)</f>
        <v xml:space="preserve"> </v>
      </c>
      <c r="Q617" s="95" t="str">
        <f>'ALL Other SINs - Proposal'!AC617</f>
        <v xml:space="preserve"> </v>
      </c>
      <c r="R617" s="100" t="str">
        <f>IF(ISBLANK('ALL Other SINs - Proposal'!AA617)," ",ROUND(Q617,2))</f>
        <v xml:space="preserve"> </v>
      </c>
      <c r="S617" s="54"/>
    </row>
    <row r="618" spans="1:19" ht="20.100000000000001" customHeight="1" x14ac:dyDescent="0.2">
      <c r="A618" s="127">
        <f>'ALL Other SINs - Proposal'!A618</f>
        <v>0</v>
      </c>
      <c r="B618" s="121">
        <f>'ALL Other SINs - Proposal'!B618</f>
        <v>0</v>
      </c>
      <c r="C618" s="121">
        <f>'ALL Other SINs - Proposal'!C618</f>
        <v>0</v>
      </c>
      <c r="D618" s="121">
        <f>'ALL Other SINs - Proposal'!D618</f>
        <v>0</v>
      </c>
      <c r="E618" s="121">
        <f>'ALL Other SINs - Proposal'!E618</f>
        <v>0</v>
      </c>
      <c r="F618" s="171">
        <f>'ALL Other SINs - Proposal'!F618</f>
        <v>0</v>
      </c>
      <c r="G618" s="51">
        <f>'ALL Other SINs - Proposal'!G618</f>
        <v>0</v>
      </c>
      <c r="H618" s="125">
        <f>'ALL Other SINs - Proposal'!H618</f>
        <v>0</v>
      </c>
      <c r="I618" s="125">
        <f>'ALL Other SINs - Proposal'!I618</f>
        <v>0</v>
      </c>
      <c r="J618" s="125">
        <f>'ALL Other SINs - Proposal'!J618</f>
        <v>0</v>
      </c>
      <c r="K618" s="125">
        <f>'ALL Other SINs - Proposal'!K618</f>
        <v>0</v>
      </c>
      <c r="L618" s="125">
        <f>'ALL Other SINs - Proposal'!L618</f>
        <v>0</v>
      </c>
      <c r="M618" s="206">
        <f>'ALL Other SINs - Proposal'!M618</f>
        <v>0</v>
      </c>
      <c r="N618" s="251">
        <f>'ALL Other SINs - Proposal'!V618</f>
        <v>0</v>
      </c>
      <c r="O618" s="201" t="str">
        <f>'Price Analysis'!N618</f>
        <v xml:space="preserve"> </v>
      </c>
      <c r="P618" s="53" t="str">
        <f>IF(ISBLANK('ALL Other SINs - Proposal'!AA618)," ",'ALL Other SINs - Proposal'!AA618)</f>
        <v xml:space="preserve"> </v>
      </c>
      <c r="Q618" s="95" t="str">
        <f>'ALL Other SINs - Proposal'!AC618</f>
        <v xml:space="preserve"> </v>
      </c>
      <c r="R618" s="100" t="str">
        <f>IF(ISBLANK('ALL Other SINs - Proposal'!AA618)," ",ROUND(Q618,2))</f>
        <v xml:space="preserve"> </v>
      </c>
      <c r="S618" s="54"/>
    </row>
    <row r="619" spans="1:19" ht="20.100000000000001" customHeight="1" x14ac:dyDescent="0.2">
      <c r="A619" s="127">
        <f>'ALL Other SINs - Proposal'!A619</f>
        <v>0</v>
      </c>
      <c r="B619" s="121">
        <f>'ALL Other SINs - Proposal'!B619</f>
        <v>0</v>
      </c>
      <c r="C619" s="121">
        <f>'ALL Other SINs - Proposal'!C619</f>
        <v>0</v>
      </c>
      <c r="D619" s="121">
        <f>'ALL Other SINs - Proposal'!D619</f>
        <v>0</v>
      </c>
      <c r="E619" s="121">
        <f>'ALL Other SINs - Proposal'!E619</f>
        <v>0</v>
      </c>
      <c r="F619" s="171">
        <f>'ALL Other SINs - Proposal'!F619</f>
        <v>0</v>
      </c>
      <c r="G619" s="51">
        <f>'ALL Other SINs - Proposal'!G619</f>
        <v>0</v>
      </c>
      <c r="H619" s="125">
        <f>'ALL Other SINs - Proposal'!H619</f>
        <v>0</v>
      </c>
      <c r="I619" s="125">
        <f>'ALL Other SINs - Proposal'!I619</f>
        <v>0</v>
      </c>
      <c r="J619" s="125">
        <f>'ALL Other SINs - Proposal'!J619</f>
        <v>0</v>
      </c>
      <c r="K619" s="125">
        <f>'ALL Other SINs - Proposal'!K619</f>
        <v>0</v>
      </c>
      <c r="L619" s="125">
        <f>'ALL Other SINs - Proposal'!L619</f>
        <v>0</v>
      </c>
      <c r="M619" s="206">
        <f>'ALL Other SINs - Proposal'!M619</f>
        <v>0</v>
      </c>
      <c r="N619" s="251">
        <f>'ALL Other SINs - Proposal'!V619</f>
        <v>0</v>
      </c>
      <c r="O619" s="201" t="str">
        <f>'Price Analysis'!N619</f>
        <v xml:space="preserve"> </v>
      </c>
      <c r="P619" s="53" t="str">
        <f>IF(ISBLANK('ALL Other SINs - Proposal'!AA619)," ",'ALL Other SINs - Proposal'!AA619)</f>
        <v xml:space="preserve"> </v>
      </c>
      <c r="Q619" s="95" t="str">
        <f>'ALL Other SINs - Proposal'!AC619</f>
        <v xml:space="preserve"> </v>
      </c>
      <c r="R619" s="100" t="str">
        <f>IF(ISBLANK('ALL Other SINs - Proposal'!AA619)," ",ROUND(Q619,2))</f>
        <v xml:space="preserve"> </v>
      </c>
      <c r="S619" s="54"/>
    </row>
    <row r="620" spans="1:19" ht="20.100000000000001" customHeight="1" x14ac:dyDescent="0.2">
      <c r="A620" s="127">
        <f>'ALL Other SINs - Proposal'!A620</f>
        <v>0</v>
      </c>
      <c r="B620" s="121">
        <f>'ALL Other SINs - Proposal'!B620</f>
        <v>0</v>
      </c>
      <c r="C620" s="121">
        <f>'ALL Other SINs - Proposal'!C620</f>
        <v>0</v>
      </c>
      <c r="D620" s="121">
        <f>'ALL Other SINs - Proposal'!D620</f>
        <v>0</v>
      </c>
      <c r="E620" s="121">
        <f>'ALL Other SINs - Proposal'!E620</f>
        <v>0</v>
      </c>
      <c r="F620" s="171">
        <f>'ALL Other SINs - Proposal'!F620</f>
        <v>0</v>
      </c>
      <c r="G620" s="51">
        <f>'ALL Other SINs - Proposal'!G620</f>
        <v>0</v>
      </c>
      <c r="H620" s="125">
        <f>'ALL Other SINs - Proposal'!H620</f>
        <v>0</v>
      </c>
      <c r="I620" s="125">
        <f>'ALL Other SINs - Proposal'!I620</f>
        <v>0</v>
      </c>
      <c r="J620" s="125">
        <f>'ALL Other SINs - Proposal'!J620</f>
        <v>0</v>
      </c>
      <c r="K620" s="125">
        <f>'ALL Other SINs - Proposal'!K620</f>
        <v>0</v>
      </c>
      <c r="L620" s="125">
        <f>'ALL Other SINs - Proposal'!L620</f>
        <v>0</v>
      </c>
      <c r="M620" s="206">
        <f>'ALL Other SINs - Proposal'!M620</f>
        <v>0</v>
      </c>
      <c r="N620" s="251">
        <f>'ALL Other SINs - Proposal'!V620</f>
        <v>0</v>
      </c>
      <c r="O620" s="201" t="str">
        <f>'Price Analysis'!N620</f>
        <v xml:space="preserve"> </v>
      </c>
      <c r="P620" s="53" t="str">
        <f>IF(ISBLANK('ALL Other SINs - Proposal'!AA620)," ",'ALL Other SINs - Proposal'!AA620)</f>
        <v xml:space="preserve"> </v>
      </c>
      <c r="Q620" s="95" t="str">
        <f>'ALL Other SINs - Proposal'!AC620</f>
        <v xml:space="preserve"> </v>
      </c>
      <c r="R620" s="100" t="str">
        <f>IF(ISBLANK('ALL Other SINs - Proposal'!AA620)," ",ROUND(Q620,2))</f>
        <v xml:space="preserve"> </v>
      </c>
      <c r="S620" s="54"/>
    </row>
    <row r="621" spans="1:19" ht="20.100000000000001" customHeight="1" x14ac:dyDescent="0.2">
      <c r="A621" s="127">
        <f>'ALL Other SINs - Proposal'!A621</f>
        <v>0</v>
      </c>
      <c r="B621" s="121">
        <f>'ALL Other SINs - Proposal'!B621</f>
        <v>0</v>
      </c>
      <c r="C621" s="121">
        <f>'ALL Other SINs - Proposal'!C621</f>
        <v>0</v>
      </c>
      <c r="D621" s="121">
        <f>'ALL Other SINs - Proposal'!D621</f>
        <v>0</v>
      </c>
      <c r="E621" s="121">
        <f>'ALL Other SINs - Proposal'!E621</f>
        <v>0</v>
      </c>
      <c r="F621" s="171">
        <f>'ALL Other SINs - Proposal'!F621</f>
        <v>0</v>
      </c>
      <c r="G621" s="51">
        <f>'ALL Other SINs - Proposal'!G621</f>
        <v>0</v>
      </c>
      <c r="H621" s="125">
        <f>'ALL Other SINs - Proposal'!H621</f>
        <v>0</v>
      </c>
      <c r="I621" s="125">
        <f>'ALL Other SINs - Proposal'!I621</f>
        <v>0</v>
      </c>
      <c r="J621" s="125">
        <f>'ALL Other SINs - Proposal'!J621</f>
        <v>0</v>
      </c>
      <c r="K621" s="125">
        <f>'ALL Other SINs - Proposal'!K621</f>
        <v>0</v>
      </c>
      <c r="L621" s="125">
        <f>'ALL Other SINs - Proposal'!L621</f>
        <v>0</v>
      </c>
      <c r="M621" s="206">
        <f>'ALL Other SINs - Proposal'!M621</f>
        <v>0</v>
      </c>
      <c r="N621" s="251">
        <f>'ALL Other SINs - Proposal'!V621</f>
        <v>0</v>
      </c>
      <c r="O621" s="201" t="str">
        <f>'Price Analysis'!N621</f>
        <v xml:space="preserve"> </v>
      </c>
      <c r="P621" s="53" t="str">
        <f>IF(ISBLANK('ALL Other SINs - Proposal'!AA621)," ",'ALL Other SINs - Proposal'!AA621)</f>
        <v xml:space="preserve"> </v>
      </c>
      <c r="Q621" s="95" t="str">
        <f>'ALL Other SINs - Proposal'!AC621</f>
        <v xml:space="preserve"> </v>
      </c>
      <c r="R621" s="100" t="str">
        <f>IF(ISBLANK('ALL Other SINs - Proposal'!AA621)," ",ROUND(Q621,2))</f>
        <v xml:space="preserve"> </v>
      </c>
      <c r="S621" s="54"/>
    </row>
    <row r="622" spans="1:19" ht="20.100000000000001" customHeight="1" x14ac:dyDescent="0.2">
      <c r="A622" s="127">
        <f>'ALL Other SINs - Proposal'!A622</f>
        <v>0</v>
      </c>
      <c r="B622" s="121">
        <f>'ALL Other SINs - Proposal'!B622</f>
        <v>0</v>
      </c>
      <c r="C622" s="121">
        <f>'ALL Other SINs - Proposal'!C622</f>
        <v>0</v>
      </c>
      <c r="D622" s="121">
        <f>'ALL Other SINs - Proposal'!D622</f>
        <v>0</v>
      </c>
      <c r="E622" s="121">
        <f>'ALL Other SINs - Proposal'!E622</f>
        <v>0</v>
      </c>
      <c r="F622" s="171">
        <f>'ALL Other SINs - Proposal'!F622</f>
        <v>0</v>
      </c>
      <c r="G622" s="51">
        <f>'ALL Other SINs - Proposal'!G622</f>
        <v>0</v>
      </c>
      <c r="H622" s="125">
        <f>'ALL Other SINs - Proposal'!H622</f>
        <v>0</v>
      </c>
      <c r="I622" s="125">
        <f>'ALL Other SINs - Proposal'!I622</f>
        <v>0</v>
      </c>
      <c r="J622" s="125">
        <f>'ALL Other SINs - Proposal'!J622</f>
        <v>0</v>
      </c>
      <c r="K622" s="125">
        <f>'ALL Other SINs - Proposal'!K622</f>
        <v>0</v>
      </c>
      <c r="L622" s="125">
        <f>'ALL Other SINs - Proposal'!L622</f>
        <v>0</v>
      </c>
      <c r="M622" s="206">
        <f>'ALL Other SINs - Proposal'!M622</f>
        <v>0</v>
      </c>
      <c r="N622" s="251">
        <f>'ALL Other SINs - Proposal'!V622</f>
        <v>0</v>
      </c>
      <c r="O622" s="201" t="str">
        <f>'Price Analysis'!N622</f>
        <v xml:space="preserve"> </v>
      </c>
      <c r="P622" s="53" t="str">
        <f>IF(ISBLANK('ALL Other SINs - Proposal'!AA622)," ",'ALL Other SINs - Proposal'!AA622)</f>
        <v xml:space="preserve"> </v>
      </c>
      <c r="Q622" s="95" t="str">
        <f>'ALL Other SINs - Proposal'!AC622</f>
        <v xml:space="preserve"> </v>
      </c>
      <c r="R622" s="100" t="str">
        <f>IF(ISBLANK('ALL Other SINs - Proposal'!AA622)," ",ROUND(Q622,2))</f>
        <v xml:space="preserve"> </v>
      </c>
      <c r="S622" s="54"/>
    </row>
    <row r="623" spans="1:19" ht="20.100000000000001" customHeight="1" x14ac:dyDescent="0.2">
      <c r="A623" s="127">
        <f>'ALL Other SINs - Proposal'!A623</f>
        <v>0</v>
      </c>
      <c r="B623" s="121">
        <f>'ALL Other SINs - Proposal'!B623</f>
        <v>0</v>
      </c>
      <c r="C623" s="121">
        <f>'ALL Other SINs - Proposal'!C623</f>
        <v>0</v>
      </c>
      <c r="D623" s="121">
        <f>'ALL Other SINs - Proposal'!D623</f>
        <v>0</v>
      </c>
      <c r="E623" s="121">
        <f>'ALL Other SINs - Proposal'!E623</f>
        <v>0</v>
      </c>
      <c r="F623" s="171">
        <f>'ALL Other SINs - Proposal'!F623</f>
        <v>0</v>
      </c>
      <c r="G623" s="51">
        <f>'ALL Other SINs - Proposal'!G623</f>
        <v>0</v>
      </c>
      <c r="H623" s="125">
        <f>'ALL Other SINs - Proposal'!H623</f>
        <v>0</v>
      </c>
      <c r="I623" s="125">
        <f>'ALL Other SINs - Proposal'!I623</f>
        <v>0</v>
      </c>
      <c r="J623" s="125">
        <f>'ALL Other SINs - Proposal'!J623</f>
        <v>0</v>
      </c>
      <c r="K623" s="125">
        <f>'ALL Other SINs - Proposal'!K623</f>
        <v>0</v>
      </c>
      <c r="L623" s="125">
        <f>'ALL Other SINs - Proposal'!L623</f>
        <v>0</v>
      </c>
      <c r="M623" s="206">
        <f>'ALL Other SINs - Proposal'!M623</f>
        <v>0</v>
      </c>
      <c r="N623" s="251">
        <f>'ALL Other SINs - Proposal'!V623</f>
        <v>0</v>
      </c>
      <c r="O623" s="201" t="str">
        <f>'Price Analysis'!N623</f>
        <v xml:space="preserve"> </v>
      </c>
      <c r="P623" s="53" t="str">
        <f>IF(ISBLANK('ALL Other SINs - Proposal'!AA623)," ",'ALL Other SINs - Proposal'!AA623)</f>
        <v xml:space="preserve"> </v>
      </c>
      <c r="Q623" s="95" t="str">
        <f>'ALL Other SINs - Proposal'!AC623</f>
        <v xml:space="preserve"> </v>
      </c>
      <c r="R623" s="100" t="str">
        <f>IF(ISBLANK('ALL Other SINs - Proposal'!AA623)," ",ROUND(Q623,2))</f>
        <v xml:space="preserve"> </v>
      </c>
      <c r="S623" s="54"/>
    </row>
    <row r="624" spans="1:19" ht="20.100000000000001" customHeight="1" x14ac:dyDescent="0.2">
      <c r="A624" s="127">
        <f>'ALL Other SINs - Proposal'!A624</f>
        <v>0</v>
      </c>
      <c r="B624" s="121">
        <f>'ALL Other SINs - Proposal'!B624</f>
        <v>0</v>
      </c>
      <c r="C624" s="121">
        <f>'ALL Other SINs - Proposal'!C624</f>
        <v>0</v>
      </c>
      <c r="D624" s="121">
        <f>'ALL Other SINs - Proposal'!D624</f>
        <v>0</v>
      </c>
      <c r="E624" s="121">
        <f>'ALL Other SINs - Proposal'!E624</f>
        <v>0</v>
      </c>
      <c r="F624" s="171">
        <f>'ALL Other SINs - Proposal'!F624</f>
        <v>0</v>
      </c>
      <c r="G624" s="51">
        <f>'ALL Other SINs - Proposal'!G624</f>
        <v>0</v>
      </c>
      <c r="H624" s="125">
        <f>'ALL Other SINs - Proposal'!H624</f>
        <v>0</v>
      </c>
      <c r="I624" s="125">
        <f>'ALL Other SINs - Proposal'!I624</f>
        <v>0</v>
      </c>
      <c r="J624" s="125">
        <f>'ALL Other SINs - Proposal'!J624</f>
        <v>0</v>
      </c>
      <c r="K624" s="125">
        <f>'ALL Other SINs - Proposal'!K624</f>
        <v>0</v>
      </c>
      <c r="L624" s="125">
        <f>'ALL Other SINs - Proposal'!L624</f>
        <v>0</v>
      </c>
      <c r="M624" s="206">
        <f>'ALL Other SINs - Proposal'!M624</f>
        <v>0</v>
      </c>
      <c r="N624" s="251">
        <f>'ALL Other SINs - Proposal'!V624</f>
        <v>0</v>
      </c>
      <c r="O624" s="201" t="str">
        <f>'Price Analysis'!N624</f>
        <v xml:space="preserve"> </v>
      </c>
      <c r="P624" s="53" t="str">
        <f>IF(ISBLANK('ALL Other SINs - Proposal'!AA624)," ",'ALL Other SINs - Proposal'!AA624)</f>
        <v xml:space="preserve"> </v>
      </c>
      <c r="Q624" s="95" t="str">
        <f>'ALL Other SINs - Proposal'!AC624</f>
        <v xml:space="preserve"> </v>
      </c>
      <c r="R624" s="100" t="str">
        <f>IF(ISBLANK('ALL Other SINs - Proposal'!AA624)," ",ROUND(Q624,2))</f>
        <v xml:space="preserve"> </v>
      </c>
      <c r="S624" s="54"/>
    </row>
    <row r="625" spans="1:19" ht="20.100000000000001" customHeight="1" x14ac:dyDescent="0.2">
      <c r="A625" s="127">
        <f>'ALL Other SINs - Proposal'!A625</f>
        <v>0</v>
      </c>
      <c r="B625" s="121">
        <f>'ALL Other SINs - Proposal'!B625</f>
        <v>0</v>
      </c>
      <c r="C625" s="121">
        <f>'ALL Other SINs - Proposal'!C625</f>
        <v>0</v>
      </c>
      <c r="D625" s="121">
        <f>'ALL Other SINs - Proposal'!D625</f>
        <v>0</v>
      </c>
      <c r="E625" s="121">
        <f>'ALL Other SINs - Proposal'!E625</f>
        <v>0</v>
      </c>
      <c r="F625" s="171">
        <f>'ALL Other SINs - Proposal'!F625</f>
        <v>0</v>
      </c>
      <c r="G625" s="51">
        <f>'ALL Other SINs - Proposal'!G625</f>
        <v>0</v>
      </c>
      <c r="H625" s="125">
        <f>'ALL Other SINs - Proposal'!H625</f>
        <v>0</v>
      </c>
      <c r="I625" s="125">
        <f>'ALL Other SINs - Proposal'!I625</f>
        <v>0</v>
      </c>
      <c r="J625" s="125">
        <f>'ALL Other SINs - Proposal'!J625</f>
        <v>0</v>
      </c>
      <c r="K625" s="125">
        <f>'ALL Other SINs - Proposal'!K625</f>
        <v>0</v>
      </c>
      <c r="L625" s="125">
        <f>'ALL Other SINs - Proposal'!L625</f>
        <v>0</v>
      </c>
      <c r="M625" s="206">
        <f>'ALL Other SINs - Proposal'!M625</f>
        <v>0</v>
      </c>
      <c r="N625" s="251">
        <f>'ALL Other SINs - Proposal'!V625</f>
        <v>0</v>
      </c>
      <c r="O625" s="201" t="str">
        <f>'Price Analysis'!N625</f>
        <v xml:space="preserve"> </v>
      </c>
      <c r="P625" s="53" t="str">
        <f>IF(ISBLANK('ALL Other SINs - Proposal'!AA625)," ",'ALL Other SINs - Proposal'!AA625)</f>
        <v xml:space="preserve"> </v>
      </c>
      <c r="Q625" s="95" t="str">
        <f>'ALL Other SINs - Proposal'!AC625</f>
        <v xml:space="preserve"> </v>
      </c>
      <c r="R625" s="100" t="str">
        <f>IF(ISBLANK('ALL Other SINs - Proposal'!AA625)," ",ROUND(Q625,2))</f>
        <v xml:space="preserve"> </v>
      </c>
      <c r="S625" s="54"/>
    </row>
    <row r="626" spans="1:19" ht="20.100000000000001" customHeight="1" x14ac:dyDescent="0.2">
      <c r="A626" s="127">
        <f>'ALL Other SINs - Proposal'!A626</f>
        <v>0</v>
      </c>
      <c r="B626" s="121">
        <f>'ALL Other SINs - Proposal'!B626</f>
        <v>0</v>
      </c>
      <c r="C626" s="121">
        <f>'ALL Other SINs - Proposal'!C626</f>
        <v>0</v>
      </c>
      <c r="D626" s="121">
        <f>'ALL Other SINs - Proposal'!D626</f>
        <v>0</v>
      </c>
      <c r="E626" s="121">
        <f>'ALL Other SINs - Proposal'!E626</f>
        <v>0</v>
      </c>
      <c r="F626" s="171">
        <f>'ALL Other SINs - Proposal'!F626</f>
        <v>0</v>
      </c>
      <c r="G626" s="51">
        <f>'ALL Other SINs - Proposal'!G626</f>
        <v>0</v>
      </c>
      <c r="H626" s="125">
        <f>'ALL Other SINs - Proposal'!H626</f>
        <v>0</v>
      </c>
      <c r="I626" s="125">
        <f>'ALL Other SINs - Proposal'!I626</f>
        <v>0</v>
      </c>
      <c r="J626" s="125">
        <f>'ALL Other SINs - Proposal'!J626</f>
        <v>0</v>
      </c>
      <c r="K626" s="125">
        <f>'ALL Other SINs - Proposal'!K626</f>
        <v>0</v>
      </c>
      <c r="L626" s="125">
        <f>'ALL Other SINs - Proposal'!L626</f>
        <v>0</v>
      </c>
      <c r="M626" s="206">
        <f>'ALL Other SINs - Proposal'!M626</f>
        <v>0</v>
      </c>
      <c r="N626" s="251">
        <f>'ALL Other SINs - Proposal'!V626</f>
        <v>0</v>
      </c>
      <c r="O626" s="201" t="str">
        <f>'Price Analysis'!N626</f>
        <v xml:space="preserve"> </v>
      </c>
      <c r="P626" s="53" t="str">
        <f>IF(ISBLANK('ALL Other SINs - Proposal'!AA626)," ",'ALL Other SINs - Proposal'!AA626)</f>
        <v xml:space="preserve"> </v>
      </c>
      <c r="Q626" s="95" t="str">
        <f>'ALL Other SINs - Proposal'!AC626</f>
        <v xml:space="preserve"> </v>
      </c>
      <c r="R626" s="100" t="str">
        <f>IF(ISBLANK('ALL Other SINs - Proposal'!AA626)," ",ROUND(Q626,2))</f>
        <v xml:space="preserve"> </v>
      </c>
      <c r="S626" s="54"/>
    </row>
    <row r="627" spans="1:19" ht="20.100000000000001" customHeight="1" x14ac:dyDescent="0.2">
      <c r="A627" s="127">
        <f>'ALL Other SINs - Proposal'!A627</f>
        <v>0</v>
      </c>
      <c r="B627" s="121">
        <f>'ALL Other SINs - Proposal'!B627</f>
        <v>0</v>
      </c>
      <c r="C627" s="121">
        <f>'ALL Other SINs - Proposal'!C627</f>
        <v>0</v>
      </c>
      <c r="D627" s="121">
        <f>'ALL Other SINs - Proposal'!D627</f>
        <v>0</v>
      </c>
      <c r="E627" s="121">
        <f>'ALL Other SINs - Proposal'!E627</f>
        <v>0</v>
      </c>
      <c r="F627" s="171">
        <f>'ALL Other SINs - Proposal'!F627</f>
        <v>0</v>
      </c>
      <c r="G627" s="51">
        <f>'ALL Other SINs - Proposal'!G627</f>
        <v>0</v>
      </c>
      <c r="H627" s="125">
        <f>'ALL Other SINs - Proposal'!H627</f>
        <v>0</v>
      </c>
      <c r="I627" s="125">
        <f>'ALL Other SINs - Proposal'!I627</f>
        <v>0</v>
      </c>
      <c r="J627" s="125">
        <f>'ALL Other SINs - Proposal'!J627</f>
        <v>0</v>
      </c>
      <c r="K627" s="125">
        <f>'ALL Other SINs - Proposal'!K627</f>
        <v>0</v>
      </c>
      <c r="L627" s="125">
        <f>'ALL Other SINs - Proposal'!L627</f>
        <v>0</v>
      </c>
      <c r="M627" s="206">
        <f>'ALL Other SINs - Proposal'!M627</f>
        <v>0</v>
      </c>
      <c r="N627" s="251">
        <f>'ALL Other SINs - Proposal'!V627</f>
        <v>0</v>
      </c>
      <c r="O627" s="201" t="str">
        <f>'Price Analysis'!N627</f>
        <v xml:space="preserve"> </v>
      </c>
      <c r="P627" s="53" t="str">
        <f>IF(ISBLANK('ALL Other SINs - Proposal'!AA627)," ",'ALL Other SINs - Proposal'!AA627)</f>
        <v xml:space="preserve"> </v>
      </c>
      <c r="Q627" s="95" t="str">
        <f>'ALL Other SINs - Proposal'!AC627</f>
        <v xml:space="preserve"> </v>
      </c>
      <c r="R627" s="100" t="str">
        <f>IF(ISBLANK('ALL Other SINs - Proposal'!AA627)," ",ROUND(Q627,2))</f>
        <v xml:space="preserve"> </v>
      </c>
      <c r="S627" s="54"/>
    </row>
    <row r="628" spans="1:19" ht="20.100000000000001" customHeight="1" x14ac:dyDescent="0.2">
      <c r="A628" s="127">
        <f>'ALL Other SINs - Proposal'!A628</f>
        <v>0</v>
      </c>
      <c r="B628" s="121">
        <f>'ALL Other SINs - Proposal'!B628</f>
        <v>0</v>
      </c>
      <c r="C628" s="121">
        <f>'ALL Other SINs - Proposal'!C628</f>
        <v>0</v>
      </c>
      <c r="D628" s="121">
        <f>'ALL Other SINs - Proposal'!D628</f>
        <v>0</v>
      </c>
      <c r="E628" s="121">
        <f>'ALL Other SINs - Proposal'!E628</f>
        <v>0</v>
      </c>
      <c r="F628" s="171">
        <f>'ALL Other SINs - Proposal'!F628</f>
        <v>0</v>
      </c>
      <c r="G628" s="51">
        <f>'ALL Other SINs - Proposal'!G628</f>
        <v>0</v>
      </c>
      <c r="H628" s="125">
        <f>'ALL Other SINs - Proposal'!H628</f>
        <v>0</v>
      </c>
      <c r="I628" s="125">
        <f>'ALL Other SINs - Proposal'!I628</f>
        <v>0</v>
      </c>
      <c r="J628" s="125">
        <f>'ALL Other SINs - Proposal'!J628</f>
        <v>0</v>
      </c>
      <c r="K628" s="125">
        <f>'ALL Other SINs - Proposal'!K628</f>
        <v>0</v>
      </c>
      <c r="L628" s="125">
        <f>'ALL Other SINs - Proposal'!L628</f>
        <v>0</v>
      </c>
      <c r="M628" s="206">
        <f>'ALL Other SINs - Proposal'!M628</f>
        <v>0</v>
      </c>
      <c r="N628" s="251">
        <f>'ALL Other SINs - Proposal'!V628</f>
        <v>0</v>
      </c>
      <c r="O628" s="201" t="str">
        <f>'Price Analysis'!N628</f>
        <v xml:space="preserve"> </v>
      </c>
      <c r="P628" s="53" t="str">
        <f>IF(ISBLANK('ALL Other SINs - Proposal'!AA628)," ",'ALL Other SINs - Proposal'!AA628)</f>
        <v xml:space="preserve"> </v>
      </c>
      <c r="Q628" s="95" t="str">
        <f>'ALL Other SINs - Proposal'!AC628</f>
        <v xml:space="preserve"> </v>
      </c>
      <c r="R628" s="100" t="str">
        <f>IF(ISBLANK('ALL Other SINs - Proposal'!AA628)," ",ROUND(Q628,2))</f>
        <v xml:space="preserve"> </v>
      </c>
      <c r="S628" s="54"/>
    </row>
    <row r="629" spans="1:19" ht="20.100000000000001" customHeight="1" x14ac:dyDescent="0.2">
      <c r="A629" s="127">
        <f>'ALL Other SINs - Proposal'!A629</f>
        <v>0</v>
      </c>
      <c r="B629" s="121">
        <f>'ALL Other SINs - Proposal'!B629</f>
        <v>0</v>
      </c>
      <c r="C629" s="121">
        <f>'ALL Other SINs - Proposal'!C629</f>
        <v>0</v>
      </c>
      <c r="D629" s="121">
        <f>'ALL Other SINs - Proposal'!D629</f>
        <v>0</v>
      </c>
      <c r="E629" s="121">
        <f>'ALL Other SINs - Proposal'!E629</f>
        <v>0</v>
      </c>
      <c r="F629" s="171">
        <f>'ALL Other SINs - Proposal'!F629</f>
        <v>0</v>
      </c>
      <c r="G629" s="51">
        <f>'ALL Other SINs - Proposal'!G629</f>
        <v>0</v>
      </c>
      <c r="H629" s="125">
        <f>'ALL Other SINs - Proposal'!H629</f>
        <v>0</v>
      </c>
      <c r="I629" s="125">
        <f>'ALL Other SINs - Proposal'!I629</f>
        <v>0</v>
      </c>
      <c r="J629" s="125">
        <f>'ALL Other SINs - Proposal'!J629</f>
        <v>0</v>
      </c>
      <c r="K629" s="125">
        <f>'ALL Other SINs - Proposal'!K629</f>
        <v>0</v>
      </c>
      <c r="L629" s="125">
        <f>'ALL Other SINs - Proposal'!L629</f>
        <v>0</v>
      </c>
      <c r="M629" s="206">
        <f>'ALL Other SINs - Proposal'!M629</f>
        <v>0</v>
      </c>
      <c r="N629" s="251">
        <f>'ALL Other SINs - Proposal'!V629</f>
        <v>0</v>
      </c>
      <c r="O629" s="201" t="str">
        <f>'Price Analysis'!N629</f>
        <v xml:space="preserve"> </v>
      </c>
      <c r="P629" s="53" t="str">
        <f>IF(ISBLANK('ALL Other SINs - Proposal'!AA629)," ",'ALL Other SINs - Proposal'!AA629)</f>
        <v xml:space="preserve"> </v>
      </c>
      <c r="Q629" s="95" t="str">
        <f>'ALL Other SINs - Proposal'!AC629</f>
        <v xml:space="preserve"> </v>
      </c>
      <c r="R629" s="100" t="str">
        <f>IF(ISBLANK('ALL Other SINs - Proposal'!AA629)," ",ROUND(Q629,2))</f>
        <v xml:space="preserve"> </v>
      </c>
      <c r="S629" s="54"/>
    </row>
    <row r="630" spans="1:19" ht="20.100000000000001" customHeight="1" x14ac:dyDescent="0.2">
      <c r="A630" s="127">
        <f>'ALL Other SINs - Proposal'!A630</f>
        <v>0</v>
      </c>
      <c r="B630" s="121">
        <f>'ALL Other SINs - Proposal'!B630</f>
        <v>0</v>
      </c>
      <c r="C630" s="121">
        <f>'ALL Other SINs - Proposal'!C630</f>
        <v>0</v>
      </c>
      <c r="D630" s="121">
        <f>'ALL Other SINs - Proposal'!D630</f>
        <v>0</v>
      </c>
      <c r="E630" s="121">
        <f>'ALL Other SINs - Proposal'!E630</f>
        <v>0</v>
      </c>
      <c r="F630" s="171">
        <f>'ALL Other SINs - Proposal'!F630</f>
        <v>0</v>
      </c>
      <c r="G630" s="51">
        <f>'ALL Other SINs - Proposal'!G630</f>
        <v>0</v>
      </c>
      <c r="H630" s="125">
        <f>'ALL Other SINs - Proposal'!H630</f>
        <v>0</v>
      </c>
      <c r="I630" s="125">
        <f>'ALL Other SINs - Proposal'!I630</f>
        <v>0</v>
      </c>
      <c r="J630" s="125">
        <f>'ALL Other SINs - Proposal'!J630</f>
        <v>0</v>
      </c>
      <c r="K630" s="125">
        <f>'ALL Other SINs - Proposal'!K630</f>
        <v>0</v>
      </c>
      <c r="L630" s="125">
        <f>'ALL Other SINs - Proposal'!L630</f>
        <v>0</v>
      </c>
      <c r="M630" s="206">
        <f>'ALL Other SINs - Proposal'!M630</f>
        <v>0</v>
      </c>
      <c r="N630" s="251">
        <f>'ALL Other SINs - Proposal'!V630</f>
        <v>0</v>
      </c>
      <c r="O630" s="201" t="str">
        <f>'Price Analysis'!N630</f>
        <v xml:space="preserve"> </v>
      </c>
      <c r="P630" s="53" t="str">
        <f>IF(ISBLANK('ALL Other SINs - Proposal'!AA630)," ",'ALL Other SINs - Proposal'!AA630)</f>
        <v xml:space="preserve"> </v>
      </c>
      <c r="Q630" s="95" t="str">
        <f>'ALL Other SINs - Proposal'!AC630</f>
        <v xml:space="preserve"> </v>
      </c>
      <c r="R630" s="100" t="str">
        <f>IF(ISBLANK('ALL Other SINs - Proposal'!AA630)," ",ROUND(Q630,2))</f>
        <v xml:space="preserve"> </v>
      </c>
      <c r="S630" s="54"/>
    </row>
    <row r="631" spans="1:19" ht="20.100000000000001" customHeight="1" x14ac:dyDescent="0.2">
      <c r="A631" s="127">
        <f>'ALL Other SINs - Proposal'!A631</f>
        <v>0</v>
      </c>
      <c r="B631" s="121">
        <f>'ALL Other SINs - Proposal'!B631</f>
        <v>0</v>
      </c>
      <c r="C631" s="121">
        <f>'ALL Other SINs - Proposal'!C631</f>
        <v>0</v>
      </c>
      <c r="D631" s="121">
        <f>'ALL Other SINs - Proposal'!D631</f>
        <v>0</v>
      </c>
      <c r="E631" s="121">
        <f>'ALL Other SINs - Proposal'!E631</f>
        <v>0</v>
      </c>
      <c r="F631" s="171">
        <f>'ALL Other SINs - Proposal'!F631</f>
        <v>0</v>
      </c>
      <c r="G631" s="51">
        <f>'ALL Other SINs - Proposal'!G631</f>
        <v>0</v>
      </c>
      <c r="H631" s="125">
        <f>'ALL Other SINs - Proposal'!H631</f>
        <v>0</v>
      </c>
      <c r="I631" s="125">
        <f>'ALL Other SINs - Proposal'!I631</f>
        <v>0</v>
      </c>
      <c r="J631" s="125">
        <f>'ALL Other SINs - Proposal'!J631</f>
        <v>0</v>
      </c>
      <c r="K631" s="125">
        <f>'ALL Other SINs - Proposal'!K631</f>
        <v>0</v>
      </c>
      <c r="L631" s="125">
        <f>'ALL Other SINs - Proposal'!L631</f>
        <v>0</v>
      </c>
      <c r="M631" s="206">
        <f>'ALL Other SINs - Proposal'!M631</f>
        <v>0</v>
      </c>
      <c r="N631" s="251">
        <f>'ALL Other SINs - Proposal'!V631</f>
        <v>0</v>
      </c>
      <c r="O631" s="201" t="str">
        <f>'Price Analysis'!N631</f>
        <v xml:space="preserve"> </v>
      </c>
      <c r="P631" s="53" t="str">
        <f>IF(ISBLANK('ALL Other SINs - Proposal'!AA631)," ",'ALL Other SINs - Proposal'!AA631)</f>
        <v xml:space="preserve"> </v>
      </c>
      <c r="Q631" s="95" t="str">
        <f>'ALL Other SINs - Proposal'!AC631</f>
        <v xml:space="preserve"> </v>
      </c>
      <c r="R631" s="100" t="str">
        <f>IF(ISBLANK('ALL Other SINs - Proposal'!AA631)," ",ROUND(Q631,2))</f>
        <v xml:space="preserve"> </v>
      </c>
      <c r="S631" s="54"/>
    </row>
    <row r="632" spans="1:19" ht="20.100000000000001" customHeight="1" x14ac:dyDescent="0.2">
      <c r="A632" s="127">
        <f>'ALL Other SINs - Proposal'!A632</f>
        <v>0</v>
      </c>
      <c r="B632" s="121">
        <f>'ALL Other SINs - Proposal'!B632</f>
        <v>0</v>
      </c>
      <c r="C632" s="121">
        <f>'ALL Other SINs - Proposal'!C632</f>
        <v>0</v>
      </c>
      <c r="D632" s="121">
        <f>'ALL Other SINs - Proposal'!D632</f>
        <v>0</v>
      </c>
      <c r="E632" s="121">
        <f>'ALL Other SINs - Proposal'!E632</f>
        <v>0</v>
      </c>
      <c r="F632" s="171">
        <f>'ALL Other SINs - Proposal'!F632</f>
        <v>0</v>
      </c>
      <c r="G632" s="51">
        <f>'ALL Other SINs - Proposal'!G632</f>
        <v>0</v>
      </c>
      <c r="H632" s="125">
        <f>'ALL Other SINs - Proposal'!H632</f>
        <v>0</v>
      </c>
      <c r="I632" s="125">
        <f>'ALL Other SINs - Proposal'!I632</f>
        <v>0</v>
      </c>
      <c r="J632" s="125">
        <f>'ALL Other SINs - Proposal'!J632</f>
        <v>0</v>
      </c>
      <c r="K632" s="125">
        <f>'ALL Other SINs - Proposal'!K632</f>
        <v>0</v>
      </c>
      <c r="L632" s="125">
        <f>'ALL Other SINs - Proposal'!L632</f>
        <v>0</v>
      </c>
      <c r="M632" s="206">
        <f>'ALL Other SINs - Proposal'!M632</f>
        <v>0</v>
      </c>
      <c r="N632" s="251">
        <f>'ALL Other SINs - Proposal'!V632</f>
        <v>0</v>
      </c>
      <c r="O632" s="201" t="str">
        <f>'Price Analysis'!N632</f>
        <v xml:space="preserve"> </v>
      </c>
      <c r="P632" s="53" t="str">
        <f>IF(ISBLANK('ALL Other SINs - Proposal'!AA632)," ",'ALL Other SINs - Proposal'!AA632)</f>
        <v xml:space="preserve"> </v>
      </c>
      <c r="Q632" s="95" t="str">
        <f>'ALL Other SINs - Proposal'!AC632</f>
        <v xml:space="preserve"> </v>
      </c>
      <c r="R632" s="100" t="str">
        <f>IF(ISBLANK('ALL Other SINs - Proposal'!AA632)," ",ROUND(Q632,2))</f>
        <v xml:space="preserve"> </v>
      </c>
      <c r="S632" s="54"/>
    </row>
    <row r="633" spans="1:19" ht="20.100000000000001" customHeight="1" x14ac:dyDescent="0.2">
      <c r="A633" s="127">
        <f>'ALL Other SINs - Proposal'!A633</f>
        <v>0</v>
      </c>
      <c r="B633" s="121">
        <f>'ALL Other SINs - Proposal'!B633</f>
        <v>0</v>
      </c>
      <c r="C633" s="121">
        <f>'ALL Other SINs - Proposal'!C633</f>
        <v>0</v>
      </c>
      <c r="D633" s="121">
        <f>'ALL Other SINs - Proposal'!D633</f>
        <v>0</v>
      </c>
      <c r="E633" s="121">
        <f>'ALL Other SINs - Proposal'!E633</f>
        <v>0</v>
      </c>
      <c r="F633" s="171">
        <f>'ALL Other SINs - Proposal'!F633</f>
        <v>0</v>
      </c>
      <c r="G633" s="51">
        <f>'ALL Other SINs - Proposal'!G633</f>
        <v>0</v>
      </c>
      <c r="H633" s="125">
        <f>'ALL Other SINs - Proposal'!H633</f>
        <v>0</v>
      </c>
      <c r="I633" s="125">
        <f>'ALL Other SINs - Proposal'!I633</f>
        <v>0</v>
      </c>
      <c r="J633" s="125">
        <f>'ALL Other SINs - Proposal'!J633</f>
        <v>0</v>
      </c>
      <c r="K633" s="125">
        <f>'ALL Other SINs - Proposal'!K633</f>
        <v>0</v>
      </c>
      <c r="L633" s="125">
        <f>'ALL Other SINs - Proposal'!L633</f>
        <v>0</v>
      </c>
      <c r="M633" s="206">
        <f>'ALL Other SINs - Proposal'!M633</f>
        <v>0</v>
      </c>
      <c r="N633" s="251">
        <f>'ALL Other SINs - Proposal'!V633</f>
        <v>0</v>
      </c>
      <c r="O633" s="201" t="str">
        <f>'Price Analysis'!N633</f>
        <v xml:space="preserve"> </v>
      </c>
      <c r="P633" s="53" t="str">
        <f>IF(ISBLANK('ALL Other SINs - Proposal'!AA633)," ",'ALL Other SINs - Proposal'!AA633)</f>
        <v xml:space="preserve"> </v>
      </c>
      <c r="Q633" s="95" t="str">
        <f>'ALL Other SINs - Proposal'!AC633</f>
        <v xml:space="preserve"> </v>
      </c>
      <c r="R633" s="100" t="str">
        <f>IF(ISBLANK('ALL Other SINs - Proposal'!AA633)," ",ROUND(Q633,2))</f>
        <v xml:space="preserve"> </v>
      </c>
      <c r="S633" s="54"/>
    </row>
    <row r="634" spans="1:19" ht="20.100000000000001" customHeight="1" x14ac:dyDescent="0.2">
      <c r="A634" s="127">
        <f>'ALL Other SINs - Proposal'!A634</f>
        <v>0</v>
      </c>
      <c r="B634" s="121">
        <f>'ALL Other SINs - Proposal'!B634</f>
        <v>0</v>
      </c>
      <c r="C634" s="121">
        <f>'ALL Other SINs - Proposal'!C634</f>
        <v>0</v>
      </c>
      <c r="D634" s="121">
        <f>'ALL Other SINs - Proposal'!D634</f>
        <v>0</v>
      </c>
      <c r="E634" s="121">
        <f>'ALL Other SINs - Proposal'!E634</f>
        <v>0</v>
      </c>
      <c r="F634" s="171">
        <f>'ALL Other SINs - Proposal'!F634</f>
        <v>0</v>
      </c>
      <c r="G634" s="51">
        <f>'ALL Other SINs - Proposal'!G634</f>
        <v>0</v>
      </c>
      <c r="H634" s="125">
        <f>'ALL Other SINs - Proposal'!H634</f>
        <v>0</v>
      </c>
      <c r="I634" s="125">
        <f>'ALL Other SINs - Proposal'!I634</f>
        <v>0</v>
      </c>
      <c r="J634" s="125">
        <f>'ALL Other SINs - Proposal'!J634</f>
        <v>0</v>
      </c>
      <c r="K634" s="125">
        <f>'ALL Other SINs - Proposal'!K634</f>
        <v>0</v>
      </c>
      <c r="L634" s="125">
        <f>'ALL Other SINs - Proposal'!L634</f>
        <v>0</v>
      </c>
      <c r="M634" s="206">
        <f>'ALL Other SINs - Proposal'!M634</f>
        <v>0</v>
      </c>
      <c r="N634" s="251">
        <f>'ALL Other SINs - Proposal'!V634</f>
        <v>0</v>
      </c>
      <c r="O634" s="201" t="str">
        <f>'Price Analysis'!N634</f>
        <v xml:space="preserve"> </v>
      </c>
      <c r="P634" s="53" t="str">
        <f>IF(ISBLANK('ALL Other SINs - Proposal'!AA634)," ",'ALL Other SINs - Proposal'!AA634)</f>
        <v xml:space="preserve"> </v>
      </c>
      <c r="Q634" s="95" t="str">
        <f>'ALL Other SINs - Proposal'!AC634</f>
        <v xml:space="preserve"> </v>
      </c>
      <c r="R634" s="100" t="str">
        <f>IF(ISBLANK('ALL Other SINs - Proposal'!AA634)," ",ROUND(Q634,2))</f>
        <v xml:space="preserve"> </v>
      </c>
      <c r="S634" s="54"/>
    </row>
    <row r="635" spans="1:19" ht="20.100000000000001" customHeight="1" x14ac:dyDescent="0.2">
      <c r="A635" s="127">
        <f>'ALL Other SINs - Proposal'!A635</f>
        <v>0</v>
      </c>
      <c r="B635" s="121">
        <f>'ALL Other SINs - Proposal'!B635</f>
        <v>0</v>
      </c>
      <c r="C635" s="121">
        <f>'ALL Other SINs - Proposal'!C635</f>
        <v>0</v>
      </c>
      <c r="D635" s="121">
        <f>'ALL Other SINs - Proposal'!D635</f>
        <v>0</v>
      </c>
      <c r="E635" s="121">
        <f>'ALL Other SINs - Proposal'!E635</f>
        <v>0</v>
      </c>
      <c r="F635" s="171">
        <f>'ALL Other SINs - Proposal'!F635</f>
        <v>0</v>
      </c>
      <c r="G635" s="51">
        <f>'ALL Other SINs - Proposal'!G635</f>
        <v>0</v>
      </c>
      <c r="H635" s="125">
        <f>'ALL Other SINs - Proposal'!H635</f>
        <v>0</v>
      </c>
      <c r="I635" s="125">
        <f>'ALL Other SINs - Proposal'!I635</f>
        <v>0</v>
      </c>
      <c r="J635" s="125">
        <f>'ALL Other SINs - Proposal'!J635</f>
        <v>0</v>
      </c>
      <c r="K635" s="125">
        <f>'ALL Other SINs - Proposal'!K635</f>
        <v>0</v>
      </c>
      <c r="L635" s="125">
        <f>'ALL Other SINs - Proposal'!L635</f>
        <v>0</v>
      </c>
      <c r="M635" s="206">
        <f>'ALL Other SINs - Proposal'!M635</f>
        <v>0</v>
      </c>
      <c r="N635" s="251">
        <f>'ALL Other SINs - Proposal'!V635</f>
        <v>0</v>
      </c>
      <c r="O635" s="201" t="str">
        <f>'Price Analysis'!N635</f>
        <v xml:space="preserve"> </v>
      </c>
      <c r="P635" s="53" t="str">
        <f>IF(ISBLANK('ALL Other SINs - Proposal'!AA635)," ",'ALL Other SINs - Proposal'!AA635)</f>
        <v xml:space="preserve"> </v>
      </c>
      <c r="Q635" s="95" t="str">
        <f>'ALL Other SINs - Proposal'!AC635</f>
        <v xml:space="preserve"> </v>
      </c>
      <c r="R635" s="100" t="str">
        <f>IF(ISBLANK('ALL Other SINs - Proposal'!AA635)," ",ROUND(Q635,2))</f>
        <v xml:space="preserve"> </v>
      </c>
      <c r="S635" s="54"/>
    </row>
    <row r="636" spans="1:19" ht="20.100000000000001" customHeight="1" x14ac:dyDescent="0.2">
      <c r="A636" s="127">
        <f>'ALL Other SINs - Proposal'!A636</f>
        <v>0</v>
      </c>
      <c r="B636" s="121">
        <f>'ALL Other SINs - Proposal'!B636</f>
        <v>0</v>
      </c>
      <c r="C636" s="121">
        <f>'ALL Other SINs - Proposal'!C636</f>
        <v>0</v>
      </c>
      <c r="D636" s="121">
        <f>'ALL Other SINs - Proposal'!D636</f>
        <v>0</v>
      </c>
      <c r="E636" s="121">
        <f>'ALL Other SINs - Proposal'!E636</f>
        <v>0</v>
      </c>
      <c r="F636" s="171">
        <f>'ALL Other SINs - Proposal'!F636</f>
        <v>0</v>
      </c>
      <c r="G636" s="51">
        <f>'ALL Other SINs - Proposal'!G636</f>
        <v>0</v>
      </c>
      <c r="H636" s="125">
        <f>'ALL Other SINs - Proposal'!H636</f>
        <v>0</v>
      </c>
      <c r="I636" s="125">
        <f>'ALL Other SINs - Proposal'!I636</f>
        <v>0</v>
      </c>
      <c r="J636" s="125">
        <f>'ALL Other SINs - Proposal'!J636</f>
        <v>0</v>
      </c>
      <c r="K636" s="125">
        <f>'ALL Other SINs - Proposal'!K636</f>
        <v>0</v>
      </c>
      <c r="L636" s="125">
        <f>'ALL Other SINs - Proposal'!L636</f>
        <v>0</v>
      </c>
      <c r="M636" s="206">
        <f>'ALL Other SINs - Proposal'!M636</f>
        <v>0</v>
      </c>
      <c r="N636" s="251">
        <f>'ALL Other SINs - Proposal'!V636</f>
        <v>0</v>
      </c>
      <c r="O636" s="201" t="str">
        <f>'Price Analysis'!N636</f>
        <v xml:space="preserve"> </v>
      </c>
      <c r="P636" s="53" t="str">
        <f>IF(ISBLANK('ALL Other SINs - Proposal'!AA636)," ",'ALL Other SINs - Proposal'!AA636)</f>
        <v xml:space="preserve"> </v>
      </c>
      <c r="Q636" s="95" t="str">
        <f>'ALL Other SINs - Proposal'!AC636</f>
        <v xml:space="preserve"> </v>
      </c>
      <c r="R636" s="100" t="str">
        <f>IF(ISBLANK('ALL Other SINs - Proposal'!AA636)," ",ROUND(Q636,2))</f>
        <v xml:space="preserve"> </v>
      </c>
      <c r="S636" s="54"/>
    </row>
    <row r="637" spans="1:19" ht="20.100000000000001" customHeight="1" x14ac:dyDescent="0.2">
      <c r="A637" s="127">
        <f>'ALL Other SINs - Proposal'!A637</f>
        <v>0</v>
      </c>
      <c r="B637" s="121">
        <f>'ALL Other SINs - Proposal'!B637</f>
        <v>0</v>
      </c>
      <c r="C637" s="121">
        <f>'ALL Other SINs - Proposal'!C637</f>
        <v>0</v>
      </c>
      <c r="D637" s="121">
        <f>'ALL Other SINs - Proposal'!D637</f>
        <v>0</v>
      </c>
      <c r="E637" s="121">
        <f>'ALL Other SINs - Proposal'!E637</f>
        <v>0</v>
      </c>
      <c r="F637" s="171">
        <f>'ALL Other SINs - Proposal'!F637</f>
        <v>0</v>
      </c>
      <c r="G637" s="51">
        <f>'ALL Other SINs - Proposal'!G637</f>
        <v>0</v>
      </c>
      <c r="H637" s="125">
        <f>'ALL Other SINs - Proposal'!H637</f>
        <v>0</v>
      </c>
      <c r="I637" s="125">
        <f>'ALL Other SINs - Proposal'!I637</f>
        <v>0</v>
      </c>
      <c r="J637" s="125">
        <f>'ALL Other SINs - Proposal'!J637</f>
        <v>0</v>
      </c>
      <c r="K637" s="125">
        <f>'ALL Other SINs - Proposal'!K637</f>
        <v>0</v>
      </c>
      <c r="L637" s="125">
        <f>'ALL Other SINs - Proposal'!L637</f>
        <v>0</v>
      </c>
      <c r="M637" s="206">
        <f>'ALL Other SINs - Proposal'!M637</f>
        <v>0</v>
      </c>
      <c r="N637" s="251">
        <f>'ALL Other SINs - Proposal'!V637</f>
        <v>0</v>
      </c>
      <c r="O637" s="201" t="str">
        <f>'Price Analysis'!N637</f>
        <v xml:space="preserve"> </v>
      </c>
      <c r="P637" s="53" t="str">
        <f>IF(ISBLANK('ALL Other SINs - Proposal'!AA637)," ",'ALL Other SINs - Proposal'!AA637)</f>
        <v xml:space="preserve"> </v>
      </c>
      <c r="Q637" s="95" t="str">
        <f>'ALL Other SINs - Proposal'!AC637</f>
        <v xml:space="preserve"> </v>
      </c>
      <c r="R637" s="100" t="str">
        <f>IF(ISBLANK('ALL Other SINs - Proposal'!AA637)," ",ROUND(Q637,2))</f>
        <v xml:space="preserve"> </v>
      </c>
      <c r="S637" s="54"/>
    </row>
    <row r="638" spans="1:19" ht="20.100000000000001" customHeight="1" x14ac:dyDescent="0.2">
      <c r="A638" s="127">
        <f>'ALL Other SINs - Proposal'!A638</f>
        <v>0</v>
      </c>
      <c r="B638" s="121">
        <f>'ALL Other SINs - Proposal'!B638</f>
        <v>0</v>
      </c>
      <c r="C638" s="121">
        <f>'ALL Other SINs - Proposal'!C638</f>
        <v>0</v>
      </c>
      <c r="D638" s="121">
        <f>'ALL Other SINs - Proposal'!D638</f>
        <v>0</v>
      </c>
      <c r="E638" s="121">
        <f>'ALL Other SINs - Proposal'!E638</f>
        <v>0</v>
      </c>
      <c r="F638" s="171">
        <f>'ALL Other SINs - Proposal'!F638</f>
        <v>0</v>
      </c>
      <c r="G638" s="51">
        <f>'ALL Other SINs - Proposal'!G638</f>
        <v>0</v>
      </c>
      <c r="H638" s="125">
        <f>'ALL Other SINs - Proposal'!H638</f>
        <v>0</v>
      </c>
      <c r="I638" s="125">
        <f>'ALL Other SINs - Proposal'!I638</f>
        <v>0</v>
      </c>
      <c r="J638" s="125">
        <f>'ALL Other SINs - Proposal'!J638</f>
        <v>0</v>
      </c>
      <c r="K638" s="125">
        <f>'ALL Other SINs - Proposal'!K638</f>
        <v>0</v>
      </c>
      <c r="L638" s="125">
        <f>'ALL Other SINs - Proposal'!L638</f>
        <v>0</v>
      </c>
      <c r="M638" s="206">
        <f>'ALL Other SINs - Proposal'!M638</f>
        <v>0</v>
      </c>
      <c r="N638" s="251">
        <f>'ALL Other SINs - Proposal'!V638</f>
        <v>0</v>
      </c>
      <c r="O638" s="201" t="str">
        <f>'Price Analysis'!N638</f>
        <v xml:space="preserve"> </v>
      </c>
      <c r="P638" s="53" t="str">
        <f>IF(ISBLANK('ALL Other SINs - Proposal'!AA638)," ",'ALL Other SINs - Proposal'!AA638)</f>
        <v xml:space="preserve"> </v>
      </c>
      <c r="Q638" s="95" t="str">
        <f>'ALL Other SINs - Proposal'!AC638</f>
        <v xml:space="preserve"> </v>
      </c>
      <c r="R638" s="100" t="str">
        <f>IF(ISBLANK('ALL Other SINs - Proposal'!AA638)," ",ROUND(Q638,2))</f>
        <v xml:space="preserve"> </v>
      </c>
      <c r="S638" s="54"/>
    </row>
    <row r="639" spans="1:19" ht="20.100000000000001" customHeight="1" x14ac:dyDescent="0.2">
      <c r="A639" s="127">
        <f>'ALL Other SINs - Proposal'!A639</f>
        <v>0</v>
      </c>
      <c r="B639" s="121">
        <f>'ALL Other SINs - Proposal'!B639</f>
        <v>0</v>
      </c>
      <c r="C639" s="121">
        <f>'ALL Other SINs - Proposal'!C639</f>
        <v>0</v>
      </c>
      <c r="D639" s="121">
        <f>'ALL Other SINs - Proposal'!D639</f>
        <v>0</v>
      </c>
      <c r="E639" s="121">
        <f>'ALL Other SINs - Proposal'!E639</f>
        <v>0</v>
      </c>
      <c r="F639" s="171">
        <f>'ALL Other SINs - Proposal'!F639</f>
        <v>0</v>
      </c>
      <c r="G639" s="51">
        <f>'ALL Other SINs - Proposal'!G639</f>
        <v>0</v>
      </c>
      <c r="H639" s="125">
        <f>'ALL Other SINs - Proposal'!H639</f>
        <v>0</v>
      </c>
      <c r="I639" s="125">
        <f>'ALL Other SINs - Proposal'!I639</f>
        <v>0</v>
      </c>
      <c r="J639" s="125">
        <f>'ALL Other SINs - Proposal'!J639</f>
        <v>0</v>
      </c>
      <c r="K639" s="125">
        <f>'ALL Other SINs - Proposal'!K639</f>
        <v>0</v>
      </c>
      <c r="L639" s="125">
        <f>'ALL Other SINs - Proposal'!L639</f>
        <v>0</v>
      </c>
      <c r="M639" s="206">
        <f>'ALL Other SINs - Proposal'!M639</f>
        <v>0</v>
      </c>
      <c r="N639" s="251">
        <f>'ALL Other SINs - Proposal'!V639</f>
        <v>0</v>
      </c>
      <c r="O639" s="201" t="str">
        <f>'Price Analysis'!N639</f>
        <v xml:space="preserve"> </v>
      </c>
      <c r="P639" s="53" t="str">
        <f>IF(ISBLANK('ALL Other SINs - Proposal'!AA639)," ",'ALL Other SINs - Proposal'!AA639)</f>
        <v xml:space="preserve"> </v>
      </c>
      <c r="Q639" s="95" t="str">
        <f>'ALL Other SINs - Proposal'!AC639</f>
        <v xml:space="preserve"> </v>
      </c>
      <c r="R639" s="100" t="str">
        <f>IF(ISBLANK('ALL Other SINs - Proposal'!AA639)," ",ROUND(Q639,2))</f>
        <v xml:space="preserve"> </v>
      </c>
      <c r="S639" s="54"/>
    </row>
    <row r="640" spans="1:19" ht="20.100000000000001" customHeight="1" x14ac:dyDescent="0.2">
      <c r="A640" s="127">
        <f>'ALL Other SINs - Proposal'!A640</f>
        <v>0</v>
      </c>
      <c r="B640" s="121">
        <f>'ALL Other SINs - Proposal'!B640</f>
        <v>0</v>
      </c>
      <c r="C640" s="121">
        <f>'ALL Other SINs - Proposal'!C640</f>
        <v>0</v>
      </c>
      <c r="D640" s="121">
        <f>'ALL Other SINs - Proposal'!D640</f>
        <v>0</v>
      </c>
      <c r="E640" s="121">
        <f>'ALL Other SINs - Proposal'!E640</f>
        <v>0</v>
      </c>
      <c r="F640" s="171">
        <f>'ALL Other SINs - Proposal'!F640</f>
        <v>0</v>
      </c>
      <c r="G640" s="51">
        <f>'ALL Other SINs - Proposal'!G640</f>
        <v>0</v>
      </c>
      <c r="H640" s="125">
        <f>'ALL Other SINs - Proposal'!H640</f>
        <v>0</v>
      </c>
      <c r="I640" s="125">
        <f>'ALL Other SINs - Proposal'!I640</f>
        <v>0</v>
      </c>
      <c r="J640" s="125">
        <f>'ALL Other SINs - Proposal'!J640</f>
        <v>0</v>
      </c>
      <c r="K640" s="125">
        <f>'ALL Other SINs - Proposal'!K640</f>
        <v>0</v>
      </c>
      <c r="L640" s="125">
        <f>'ALL Other SINs - Proposal'!L640</f>
        <v>0</v>
      </c>
      <c r="M640" s="206">
        <f>'ALL Other SINs - Proposal'!M640</f>
        <v>0</v>
      </c>
      <c r="N640" s="251">
        <f>'ALL Other SINs - Proposal'!V640</f>
        <v>0</v>
      </c>
      <c r="O640" s="201" t="str">
        <f>'Price Analysis'!N640</f>
        <v xml:space="preserve"> </v>
      </c>
      <c r="P640" s="53" t="str">
        <f>IF(ISBLANK('ALL Other SINs - Proposal'!AA640)," ",'ALL Other SINs - Proposal'!AA640)</f>
        <v xml:space="preserve"> </v>
      </c>
      <c r="Q640" s="95" t="str">
        <f>'ALL Other SINs - Proposal'!AC640</f>
        <v xml:space="preserve"> </v>
      </c>
      <c r="R640" s="100" t="str">
        <f>IF(ISBLANK('ALL Other SINs - Proposal'!AA640)," ",ROUND(Q640,2))</f>
        <v xml:space="preserve"> </v>
      </c>
      <c r="S640" s="54"/>
    </row>
    <row r="641" spans="1:19" ht="20.100000000000001" customHeight="1" x14ac:dyDescent="0.2">
      <c r="A641" s="127">
        <f>'ALL Other SINs - Proposal'!A641</f>
        <v>0</v>
      </c>
      <c r="B641" s="121">
        <f>'ALL Other SINs - Proposal'!B641</f>
        <v>0</v>
      </c>
      <c r="C641" s="121">
        <f>'ALL Other SINs - Proposal'!C641</f>
        <v>0</v>
      </c>
      <c r="D641" s="121">
        <f>'ALL Other SINs - Proposal'!D641</f>
        <v>0</v>
      </c>
      <c r="E641" s="121">
        <f>'ALL Other SINs - Proposal'!E641</f>
        <v>0</v>
      </c>
      <c r="F641" s="171">
        <f>'ALL Other SINs - Proposal'!F641</f>
        <v>0</v>
      </c>
      <c r="G641" s="51">
        <f>'ALL Other SINs - Proposal'!G641</f>
        <v>0</v>
      </c>
      <c r="H641" s="125">
        <f>'ALL Other SINs - Proposal'!H641</f>
        <v>0</v>
      </c>
      <c r="I641" s="125">
        <f>'ALL Other SINs - Proposal'!I641</f>
        <v>0</v>
      </c>
      <c r="J641" s="125">
        <f>'ALL Other SINs - Proposal'!J641</f>
        <v>0</v>
      </c>
      <c r="K641" s="125">
        <f>'ALL Other SINs - Proposal'!K641</f>
        <v>0</v>
      </c>
      <c r="L641" s="125">
        <f>'ALL Other SINs - Proposal'!L641</f>
        <v>0</v>
      </c>
      <c r="M641" s="206">
        <f>'ALL Other SINs - Proposal'!M641</f>
        <v>0</v>
      </c>
      <c r="N641" s="251">
        <f>'ALL Other SINs - Proposal'!V641</f>
        <v>0</v>
      </c>
      <c r="O641" s="201" t="str">
        <f>'Price Analysis'!N641</f>
        <v xml:space="preserve"> </v>
      </c>
      <c r="P641" s="53" t="str">
        <f>IF(ISBLANK('ALL Other SINs - Proposal'!AA641)," ",'ALL Other SINs - Proposal'!AA641)</f>
        <v xml:space="preserve"> </v>
      </c>
      <c r="Q641" s="95" t="str">
        <f>'ALL Other SINs - Proposal'!AC641</f>
        <v xml:space="preserve"> </v>
      </c>
      <c r="R641" s="100" t="str">
        <f>IF(ISBLANK('ALL Other SINs - Proposal'!AA641)," ",ROUND(Q641,2))</f>
        <v xml:space="preserve"> </v>
      </c>
      <c r="S641" s="54"/>
    </row>
    <row r="642" spans="1:19" ht="20.100000000000001" customHeight="1" x14ac:dyDescent="0.2">
      <c r="A642" s="127">
        <f>'ALL Other SINs - Proposal'!A642</f>
        <v>0</v>
      </c>
      <c r="B642" s="121">
        <f>'ALL Other SINs - Proposal'!B642</f>
        <v>0</v>
      </c>
      <c r="C642" s="121">
        <f>'ALL Other SINs - Proposal'!C642</f>
        <v>0</v>
      </c>
      <c r="D642" s="121">
        <f>'ALL Other SINs - Proposal'!D642</f>
        <v>0</v>
      </c>
      <c r="E642" s="121">
        <f>'ALL Other SINs - Proposal'!E642</f>
        <v>0</v>
      </c>
      <c r="F642" s="171">
        <f>'ALL Other SINs - Proposal'!F642</f>
        <v>0</v>
      </c>
      <c r="G642" s="51">
        <f>'ALL Other SINs - Proposal'!G642</f>
        <v>0</v>
      </c>
      <c r="H642" s="125">
        <f>'ALL Other SINs - Proposal'!H642</f>
        <v>0</v>
      </c>
      <c r="I642" s="125">
        <f>'ALL Other SINs - Proposal'!I642</f>
        <v>0</v>
      </c>
      <c r="J642" s="125">
        <f>'ALL Other SINs - Proposal'!J642</f>
        <v>0</v>
      </c>
      <c r="K642" s="125">
        <f>'ALL Other SINs - Proposal'!K642</f>
        <v>0</v>
      </c>
      <c r="L642" s="125">
        <f>'ALL Other SINs - Proposal'!L642</f>
        <v>0</v>
      </c>
      <c r="M642" s="206">
        <f>'ALL Other SINs - Proposal'!M642</f>
        <v>0</v>
      </c>
      <c r="N642" s="251">
        <f>'ALL Other SINs - Proposal'!V642</f>
        <v>0</v>
      </c>
      <c r="O642" s="201" t="str">
        <f>'Price Analysis'!N642</f>
        <v xml:space="preserve"> </v>
      </c>
      <c r="P642" s="53" t="str">
        <f>IF(ISBLANK('ALL Other SINs - Proposal'!AA642)," ",'ALL Other SINs - Proposal'!AA642)</f>
        <v xml:space="preserve"> </v>
      </c>
      <c r="Q642" s="95" t="str">
        <f>'ALL Other SINs - Proposal'!AC642</f>
        <v xml:space="preserve"> </v>
      </c>
      <c r="R642" s="100" t="str">
        <f>IF(ISBLANK('ALL Other SINs - Proposal'!AA642)," ",ROUND(Q642,2))</f>
        <v xml:space="preserve"> </v>
      </c>
      <c r="S642" s="54"/>
    </row>
    <row r="643" spans="1:19" ht="20.100000000000001" customHeight="1" x14ac:dyDescent="0.2">
      <c r="A643" s="127">
        <f>'ALL Other SINs - Proposal'!A643</f>
        <v>0</v>
      </c>
      <c r="B643" s="121">
        <f>'ALL Other SINs - Proposal'!B643</f>
        <v>0</v>
      </c>
      <c r="C643" s="121">
        <f>'ALL Other SINs - Proposal'!C643</f>
        <v>0</v>
      </c>
      <c r="D643" s="121">
        <f>'ALL Other SINs - Proposal'!D643</f>
        <v>0</v>
      </c>
      <c r="E643" s="121">
        <f>'ALL Other SINs - Proposal'!E643</f>
        <v>0</v>
      </c>
      <c r="F643" s="171">
        <f>'ALL Other SINs - Proposal'!F643</f>
        <v>0</v>
      </c>
      <c r="G643" s="51">
        <f>'ALL Other SINs - Proposal'!G643</f>
        <v>0</v>
      </c>
      <c r="H643" s="125">
        <f>'ALL Other SINs - Proposal'!H643</f>
        <v>0</v>
      </c>
      <c r="I643" s="125">
        <f>'ALL Other SINs - Proposal'!I643</f>
        <v>0</v>
      </c>
      <c r="J643" s="125">
        <f>'ALL Other SINs - Proposal'!J643</f>
        <v>0</v>
      </c>
      <c r="K643" s="125">
        <f>'ALL Other SINs - Proposal'!K643</f>
        <v>0</v>
      </c>
      <c r="L643" s="125">
        <f>'ALL Other SINs - Proposal'!L643</f>
        <v>0</v>
      </c>
      <c r="M643" s="206">
        <f>'ALL Other SINs - Proposal'!M643</f>
        <v>0</v>
      </c>
      <c r="N643" s="251">
        <f>'ALL Other SINs - Proposal'!V643</f>
        <v>0</v>
      </c>
      <c r="O643" s="201" t="str">
        <f>'Price Analysis'!N643</f>
        <v xml:space="preserve"> </v>
      </c>
      <c r="P643" s="53" t="str">
        <f>IF(ISBLANK('ALL Other SINs - Proposal'!AA643)," ",'ALL Other SINs - Proposal'!AA643)</f>
        <v xml:space="preserve"> </v>
      </c>
      <c r="Q643" s="95" t="str">
        <f>'ALL Other SINs - Proposal'!AC643</f>
        <v xml:space="preserve"> </v>
      </c>
      <c r="R643" s="100" t="str">
        <f>IF(ISBLANK('ALL Other SINs - Proposal'!AA643)," ",ROUND(Q643,2))</f>
        <v xml:space="preserve"> </v>
      </c>
      <c r="S643" s="54"/>
    </row>
    <row r="644" spans="1:19" ht="20.100000000000001" customHeight="1" x14ac:dyDescent="0.2">
      <c r="A644" s="127">
        <f>'ALL Other SINs - Proposal'!A644</f>
        <v>0</v>
      </c>
      <c r="B644" s="121">
        <f>'ALL Other SINs - Proposal'!B644</f>
        <v>0</v>
      </c>
      <c r="C644" s="121">
        <f>'ALL Other SINs - Proposal'!C644</f>
        <v>0</v>
      </c>
      <c r="D644" s="121">
        <f>'ALL Other SINs - Proposal'!D644</f>
        <v>0</v>
      </c>
      <c r="E644" s="121">
        <f>'ALL Other SINs - Proposal'!E644</f>
        <v>0</v>
      </c>
      <c r="F644" s="171">
        <f>'ALL Other SINs - Proposal'!F644</f>
        <v>0</v>
      </c>
      <c r="G644" s="51">
        <f>'ALL Other SINs - Proposal'!G644</f>
        <v>0</v>
      </c>
      <c r="H644" s="125">
        <f>'ALL Other SINs - Proposal'!H644</f>
        <v>0</v>
      </c>
      <c r="I644" s="125">
        <f>'ALL Other SINs - Proposal'!I644</f>
        <v>0</v>
      </c>
      <c r="J644" s="125">
        <f>'ALL Other SINs - Proposal'!J644</f>
        <v>0</v>
      </c>
      <c r="K644" s="125">
        <f>'ALL Other SINs - Proposal'!K644</f>
        <v>0</v>
      </c>
      <c r="L644" s="125">
        <f>'ALL Other SINs - Proposal'!L644</f>
        <v>0</v>
      </c>
      <c r="M644" s="206">
        <f>'ALL Other SINs - Proposal'!M644</f>
        <v>0</v>
      </c>
      <c r="N644" s="251">
        <f>'ALL Other SINs - Proposal'!V644</f>
        <v>0</v>
      </c>
      <c r="O644" s="201" t="str">
        <f>'Price Analysis'!N644</f>
        <v xml:space="preserve"> </v>
      </c>
      <c r="P644" s="53" t="str">
        <f>IF(ISBLANK('ALL Other SINs - Proposal'!AA644)," ",'ALL Other SINs - Proposal'!AA644)</f>
        <v xml:space="preserve"> </v>
      </c>
      <c r="Q644" s="95" t="str">
        <f>'ALL Other SINs - Proposal'!AC644</f>
        <v xml:space="preserve"> </v>
      </c>
      <c r="R644" s="100" t="str">
        <f>IF(ISBLANK('ALL Other SINs - Proposal'!AA644)," ",ROUND(Q644,2))</f>
        <v xml:space="preserve"> </v>
      </c>
      <c r="S644" s="54"/>
    </row>
    <row r="645" spans="1:19" ht="20.100000000000001" customHeight="1" x14ac:dyDescent="0.2">
      <c r="A645" s="127">
        <f>'ALL Other SINs - Proposal'!A645</f>
        <v>0</v>
      </c>
      <c r="B645" s="121">
        <f>'ALL Other SINs - Proposal'!B645</f>
        <v>0</v>
      </c>
      <c r="C645" s="121">
        <f>'ALL Other SINs - Proposal'!C645</f>
        <v>0</v>
      </c>
      <c r="D645" s="121">
        <f>'ALL Other SINs - Proposal'!D645</f>
        <v>0</v>
      </c>
      <c r="E645" s="121">
        <f>'ALL Other SINs - Proposal'!E645</f>
        <v>0</v>
      </c>
      <c r="F645" s="171">
        <f>'ALL Other SINs - Proposal'!F645</f>
        <v>0</v>
      </c>
      <c r="G645" s="51">
        <f>'ALL Other SINs - Proposal'!G645</f>
        <v>0</v>
      </c>
      <c r="H645" s="125">
        <f>'ALL Other SINs - Proposal'!H645</f>
        <v>0</v>
      </c>
      <c r="I645" s="125">
        <f>'ALL Other SINs - Proposal'!I645</f>
        <v>0</v>
      </c>
      <c r="J645" s="125">
        <f>'ALL Other SINs - Proposal'!J645</f>
        <v>0</v>
      </c>
      <c r="K645" s="125">
        <f>'ALL Other SINs - Proposal'!K645</f>
        <v>0</v>
      </c>
      <c r="L645" s="125">
        <f>'ALL Other SINs - Proposal'!L645</f>
        <v>0</v>
      </c>
      <c r="M645" s="206">
        <f>'ALL Other SINs - Proposal'!M645</f>
        <v>0</v>
      </c>
      <c r="N645" s="251">
        <f>'ALL Other SINs - Proposal'!V645</f>
        <v>0</v>
      </c>
      <c r="O645" s="201" t="str">
        <f>'Price Analysis'!N645</f>
        <v xml:space="preserve"> </v>
      </c>
      <c r="P645" s="53" t="str">
        <f>IF(ISBLANK('ALL Other SINs - Proposal'!AA645)," ",'ALL Other SINs - Proposal'!AA645)</f>
        <v xml:space="preserve"> </v>
      </c>
      <c r="Q645" s="95" t="str">
        <f>'ALL Other SINs - Proposal'!AC645</f>
        <v xml:space="preserve"> </v>
      </c>
      <c r="R645" s="100" t="str">
        <f>IF(ISBLANK('ALL Other SINs - Proposal'!AA645)," ",ROUND(Q645,2))</f>
        <v xml:space="preserve"> </v>
      </c>
      <c r="S645" s="54"/>
    </row>
    <row r="646" spans="1:19" ht="20.100000000000001" customHeight="1" x14ac:dyDescent="0.2">
      <c r="A646" s="127">
        <f>'ALL Other SINs - Proposal'!A646</f>
        <v>0</v>
      </c>
      <c r="B646" s="121">
        <f>'ALL Other SINs - Proposal'!B646</f>
        <v>0</v>
      </c>
      <c r="C646" s="121">
        <f>'ALL Other SINs - Proposal'!C646</f>
        <v>0</v>
      </c>
      <c r="D646" s="121">
        <f>'ALL Other SINs - Proposal'!D646</f>
        <v>0</v>
      </c>
      <c r="E646" s="121">
        <f>'ALL Other SINs - Proposal'!E646</f>
        <v>0</v>
      </c>
      <c r="F646" s="171">
        <f>'ALL Other SINs - Proposal'!F646</f>
        <v>0</v>
      </c>
      <c r="G646" s="51">
        <f>'ALL Other SINs - Proposal'!G646</f>
        <v>0</v>
      </c>
      <c r="H646" s="125">
        <f>'ALL Other SINs - Proposal'!H646</f>
        <v>0</v>
      </c>
      <c r="I646" s="125">
        <f>'ALL Other SINs - Proposal'!I646</f>
        <v>0</v>
      </c>
      <c r="J646" s="125">
        <f>'ALL Other SINs - Proposal'!J646</f>
        <v>0</v>
      </c>
      <c r="K646" s="125">
        <f>'ALL Other SINs - Proposal'!K646</f>
        <v>0</v>
      </c>
      <c r="L646" s="125">
        <f>'ALL Other SINs - Proposal'!L646</f>
        <v>0</v>
      </c>
      <c r="M646" s="206">
        <f>'ALL Other SINs - Proposal'!M646</f>
        <v>0</v>
      </c>
      <c r="N646" s="251">
        <f>'ALL Other SINs - Proposal'!V646</f>
        <v>0</v>
      </c>
      <c r="O646" s="201" t="str">
        <f>'Price Analysis'!N646</f>
        <v xml:space="preserve"> </v>
      </c>
      <c r="P646" s="53" t="str">
        <f>IF(ISBLANK('ALL Other SINs - Proposal'!AA646)," ",'ALL Other SINs - Proposal'!AA646)</f>
        <v xml:space="preserve"> </v>
      </c>
      <c r="Q646" s="95" t="str">
        <f>'ALL Other SINs - Proposal'!AC646</f>
        <v xml:space="preserve"> </v>
      </c>
      <c r="R646" s="100" t="str">
        <f>IF(ISBLANK('ALL Other SINs - Proposal'!AA646)," ",ROUND(Q646,2))</f>
        <v xml:space="preserve"> </v>
      </c>
      <c r="S646" s="54"/>
    </row>
    <row r="647" spans="1:19" ht="20.100000000000001" customHeight="1" x14ac:dyDescent="0.2">
      <c r="A647" s="127">
        <f>'ALL Other SINs - Proposal'!A647</f>
        <v>0</v>
      </c>
      <c r="B647" s="121">
        <f>'ALL Other SINs - Proposal'!B647</f>
        <v>0</v>
      </c>
      <c r="C647" s="121">
        <f>'ALL Other SINs - Proposal'!C647</f>
        <v>0</v>
      </c>
      <c r="D647" s="121">
        <f>'ALL Other SINs - Proposal'!D647</f>
        <v>0</v>
      </c>
      <c r="E647" s="121">
        <f>'ALL Other SINs - Proposal'!E647</f>
        <v>0</v>
      </c>
      <c r="F647" s="171">
        <f>'ALL Other SINs - Proposal'!F647</f>
        <v>0</v>
      </c>
      <c r="G647" s="51">
        <f>'ALL Other SINs - Proposal'!G647</f>
        <v>0</v>
      </c>
      <c r="H647" s="125">
        <f>'ALL Other SINs - Proposal'!H647</f>
        <v>0</v>
      </c>
      <c r="I647" s="125">
        <f>'ALL Other SINs - Proposal'!I647</f>
        <v>0</v>
      </c>
      <c r="J647" s="125">
        <f>'ALL Other SINs - Proposal'!J647</f>
        <v>0</v>
      </c>
      <c r="K647" s="125">
        <f>'ALL Other SINs - Proposal'!K647</f>
        <v>0</v>
      </c>
      <c r="L647" s="125">
        <f>'ALL Other SINs - Proposal'!L647</f>
        <v>0</v>
      </c>
      <c r="M647" s="206">
        <f>'ALL Other SINs - Proposal'!M647</f>
        <v>0</v>
      </c>
      <c r="N647" s="251">
        <f>'ALL Other SINs - Proposal'!V647</f>
        <v>0</v>
      </c>
      <c r="O647" s="201" t="str">
        <f>'Price Analysis'!N647</f>
        <v xml:space="preserve"> </v>
      </c>
      <c r="P647" s="53" t="str">
        <f>IF(ISBLANK('ALL Other SINs - Proposal'!AA647)," ",'ALL Other SINs - Proposal'!AA647)</f>
        <v xml:space="preserve"> </v>
      </c>
      <c r="Q647" s="95" t="str">
        <f>'ALL Other SINs - Proposal'!AC647</f>
        <v xml:space="preserve"> </v>
      </c>
      <c r="R647" s="100" t="str">
        <f>IF(ISBLANK('ALL Other SINs - Proposal'!AA647)," ",ROUND(Q647,2))</f>
        <v xml:space="preserve"> </v>
      </c>
      <c r="S647" s="54"/>
    </row>
    <row r="648" spans="1:19" ht="20.100000000000001" customHeight="1" x14ac:dyDescent="0.2">
      <c r="A648" s="127">
        <f>'ALL Other SINs - Proposal'!A648</f>
        <v>0</v>
      </c>
      <c r="B648" s="121">
        <f>'ALL Other SINs - Proposal'!B648</f>
        <v>0</v>
      </c>
      <c r="C648" s="121">
        <f>'ALL Other SINs - Proposal'!C648</f>
        <v>0</v>
      </c>
      <c r="D648" s="121">
        <f>'ALL Other SINs - Proposal'!D648</f>
        <v>0</v>
      </c>
      <c r="E648" s="121">
        <f>'ALL Other SINs - Proposal'!E648</f>
        <v>0</v>
      </c>
      <c r="F648" s="171">
        <f>'ALL Other SINs - Proposal'!F648</f>
        <v>0</v>
      </c>
      <c r="G648" s="51">
        <f>'ALL Other SINs - Proposal'!G648</f>
        <v>0</v>
      </c>
      <c r="H648" s="125">
        <f>'ALL Other SINs - Proposal'!H648</f>
        <v>0</v>
      </c>
      <c r="I648" s="125">
        <f>'ALL Other SINs - Proposal'!I648</f>
        <v>0</v>
      </c>
      <c r="J648" s="125">
        <f>'ALL Other SINs - Proposal'!J648</f>
        <v>0</v>
      </c>
      <c r="K648" s="125">
        <f>'ALL Other SINs - Proposal'!K648</f>
        <v>0</v>
      </c>
      <c r="L648" s="125">
        <f>'ALL Other SINs - Proposal'!L648</f>
        <v>0</v>
      </c>
      <c r="M648" s="206">
        <f>'ALL Other SINs - Proposal'!M648</f>
        <v>0</v>
      </c>
      <c r="N648" s="251">
        <f>'ALL Other SINs - Proposal'!V648</f>
        <v>0</v>
      </c>
      <c r="O648" s="201" t="str">
        <f>'Price Analysis'!N648</f>
        <v xml:space="preserve"> </v>
      </c>
      <c r="P648" s="53" t="str">
        <f>IF(ISBLANK('ALL Other SINs - Proposal'!AA648)," ",'ALL Other SINs - Proposal'!AA648)</f>
        <v xml:space="preserve"> </v>
      </c>
      <c r="Q648" s="95" t="str">
        <f>'ALL Other SINs - Proposal'!AC648</f>
        <v xml:space="preserve"> </v>
      </c>
      <c r="R648" s="100" t="str">
        <f>IF(ISBLANK('ALL Other SINs - Proposal'!AA648)," ",ROUND(Q648,2))</f>
        <v xml:space="preserve"> </v>
      </c>
      <c r="S648" s="54"/>
    </row>
    <row r="649" spans="1:19" ht="20.100000000000001" customHeight="1" x14ac:dyDescent="0.2">
      <c r="A649" s="127">
        <f>'ALL Other SINs - Proposal'!A649</f>
        <v>0</v>
      </c>
      <c r="B649" s="121">
        <f>'ALL Other SINs - Proposal'!B649</f>
        <v>0</v>
      </c>
      <c r="C649" s="121">
        <f>'ALL Other SINs - Proposal'!C649</f>
        <v>0</v>
      </c>
      <c r="D649" s="121">
        <f>'ALL Other SINs - Proposal'!D649</f>
        <v>0</v>
      </c>
      <c r="E649" s="121">
        <f>'ALL Other SINs - Proposal'!E649</f>
        <v>0</v>
      </c>
      <c r="F649" s="171">
        <f>'ALL Other SINs - Proposal'!F649</f>
        <v>0</v>
      </c>
      <c r="G649" s="51">
        <f>'ALL Other SINs - Proposal'!G649</f>
        <v>0</v>
      </c>
      <c r="H649" s="125">
        <f>'ALL Other SINs - Proposal'!H649</f>
        <v>0</v>
      </c>
      <c r="I649" s="125">
        <f>'ALL Other SINs - Proposal'!I649</f>
        <v>0</v>
      </c>
      <c r="J649" s="125">
        <f>'ALL Other SINs - Proposal'!J649</f>
        <v>0</v>
      </c>
      <c r="K649" s="125">
        <f>'ALL Other SINs - Proposal'!K649</f>
        <v>0</v>
      </c>
      <c r="L649" s="125">
        <f>'ALL Other SINs - Proposal'!L649</f>
        <v>0</v>
      </c>
      <c r="M649" s="206">
        <f>'ALL Other SINs - Proposal'!M649</f>
        <v>0</v>
      </c>
      <c r="N649" s="251">
        <f>'ALL Other SINs - Proposal'!V649</f>
        <v>0</v>
      </c>
      <c r="O649" s="201" t="str">
        <f>'Price Analysis'!N649</f>
        <v xml:space="preserve"> </v>
      </c>
      <c r="P649" s="53" t="str">
        <f>IF(ISBLANK('ALL Other SINs - Proposal'!AA649)," ",'ALL Other SINs - Proposal'!AA649)</f>
        <v xml:space="preserve"> </v>
      </c>
      <c r="Q649" s="95" t="str">
        <f>'ALL Other SINs - Proposal'!AC649</f>
        <v xml:space="preserve"> </v>
      </c>
      <c r="R649" s="100" t="str">
        <f>IF(ISBLANK('ALL Other SINs - Proposal'!AA649)," ",ROUND(Q649,2))</f>
        <v xml:space="preserve"> </v>
      </c>
      <c r="S649" s="54"/>
    </row>
    <row r="650" spans="1:19" ht="20.100000000000001" customHeight="1" x14ac:dyDescent="0.2">
      <c r="A650" s="127">
        <f>'ALL Other SINs - Proposal'!A650</f>
        <v>0</v>
      </c>
      <c r="B650" s="121">
        <f>'ALL Other SINs - Proposal'!B650</f>
        <v>0</v>
      </c>
      <c r="C650" s="121">
        <f>'ALL Other SINs - Proposal'!C650</f>
        <v>0</v>
      </c>
      <c r="D650" s="121">
        <f>'ALL Other SINs - Proposal'!D650</f>
        <v>0</v>
      </c>
      <c r="E650" s="121">
        <f>'ALL Other SINs - Proposal'!E650</f>
        <v>0</v>
      </c>
      <c r="F650" s="171">
        <f>'ALL Other SINs - Proposal'!F650</f>
        <v>0</v>
      </c>
      <c r="G650" s="51">
        <f>'ALL Other SINs - Proposal'!G650</f>
        <v>0</v>
      </c>
      <c r="H650" s="125">
        <f>'ALL Other SINs - Proposal'!H650</f>
        <v>0</v>
      </c>
      <c r="I650" s="125">
        <f>'ALL Other SINs - Proposal'!I650</f>
        <v>0</v>
      </c>
      <c r="J650" s="125">
        <f>'ALL Other SINs - Proposal'!J650</f>
        <v>0</v>
      </c>
      <c r="K650" s="125">
        <f>'ALL Other SINs - Proposal'!K650</f>
        <v>0</v>
      </c>
      <c r="L650" s="125">
        <f>'ALL Other SINs - Proposal'!L650</f>
        <v>0</v>
      </c>
      <c r="M650" s="206">
        <f>'ALL Other SINs - Proposal'!M650</f>
        <v>0</v>
      </c>
      <c r="N650" s="251">
        <f>'ALL Other SINs - Proposal'!V650</f>
        <v>0</v>
      </c>
      <c r="O650" s="201" t="str">
        <f>'Price Analysis'!N650</f>
        <v xml:space="preserve"> </v>
      </c>
      <c r="P650" s="53" t="str">
        <f>IF(ISBLANK('ALL Other SINs - Proposal'!AA650)," ",'ALL Other SINs - Proposal'!AA650)</f>
        <v xml:space="preserve"> </v>
      </c>
      <c r="Q650" s="95" t="str">
        <f>'ALL Other SINs - Proposal'!AC650</f>
        <v xml:space="preserve"> </v>
      </c>
      <c r="R650" s="100" t="str">
        <f>IF(ISBLANK('ALL Other SINs - Proposal'!AA650)," ",ROUND(Q650,2))</f>
        <v xml:space="preserve"> </v>
      </c>
      <c r="S650" s="54"/>
    </row>
    <row r="651" spans="1:19" ht="20.100000000000001" customHeight="1" x14ac:dyDescent="0.2">
      <c r="A651" s="127">
        <f>'ALL Other SINs - Proposal'!A651</f>
        <v>0</v>
      </c>
      <c r="B651" s="121">
        <f>'ALL Other SINs - Proposal'!B651</f>
        <v>0</v>
      </c>
      <c r="C651" s="121">
        <f>'ALL Other SINs - Proposal'!C651</f>
        <v>0</v>
      </c>
      <c r="D651" s="121">
        <f>'ALL Other SINs - Proposal'!D651</f>
        <v>0</v>
      </c>
      <c r="E651" s="121">
        <f>'ALL Other SINs - Proposal'!E651</f>
        <v>0</v>
      </c>
      <c r="F651" s="171">
        <f>'ALL Other SINs - Proposal'!F651</f>
        <v>0</v>
      </c>
      <c r="G651" s="51">
        <f>'ALL Other SINs - Proposal'!G651</f>
        <v>0</v>
      </c>
      <c r="H651" s="125">
        <f>'ALL Other SINs - Proposal'!H651</f>
        <v>0</v>
      </c>
      <c r="I651" s="125">
        <f>'ALL Other SINs - Proposal'!I651</f>
        <v>0</v>
      </c>
      <c r="J651" s="125">
        <f>'ALL Other SINs - Proposal'!J651</f>
        <v>0</v>
      </c>
      <c r="K651" s="125">
        <f>'ALL Other SINs - Proposal'!K651</f>
        <v>0</v>
      </c>
      <c r="L651" s="125">
        <f>'ALL Other SINs - Proposal'!L651</f>
        <v>0</v>
      </c>
      <c r="M651" s="206">
        <f>'ALL Other SINs - Proposal'!M651</f>
        <v>0</v>
      </c>
      <c r="N651" s="251">
        <f>'ALL Other SINs - Proposal'!V651</f>
        <v>0</v>
      </c>
      <c r="O651" s="201" t="str">
        <f>'Price Analysis'!N651</f>
        <v xml:space="preserve"> </v>
      </c>
      <c r="P651" s="53" t="str">
        <f>IF(ISBLANK('ALL Other SINs - Proposal'!AA651)," ",'ALL Other SINs - Proposal'!AA651)</f>
        <v xml:space="preserve"> </v>
      </c>
      <c r="Q651" s="95" t="str">
        <f>'ALL Other SINs - Proposal'!AC651</f>
        <v xml:space="preserve"> </v>
      </c>
      <c r="R651" s="100" t="str">
        <f>IF(ISBLANK('ALL Other SINs - Proposal'!AA651)," ",ROUND(Q651,2))</f>
        <v xml:space="preserve"> </v>
      </c>
      <c r="S651" s="54"/>
    </row>
    <row r="652" spans="1:19" ht="20.100000000000001" customHeight="1" x14ac:dyDescent="0.2">
      <c r="A652" s="127">
        <f>'ALL Other SINs - Proposal'!A652</f>
        <v>0</v>
      </c>
      <c r="B652" s="121">
        <f>'ALL Other SINs - Proposal'!B652</f>
        <v>0</v>
      </c>
      <c r="C652" s="121">
        <f>'ALL Other SINs - Proposal'!C652</f>
        <v>0</v>
      </c>
      <c r="D652" s="121">
        <f>'ALL Other SINs - Proposal'!D652</f>
        <v>0</v>
      </c>
      <c r="E652" s="121">
        <f>'ALL Other SINs - Proposal'!E652</f>
        <v>0</v>
      </c>
      <c r="F652" s="171">
        <f>'ALL Other SINs - Proposal'!F652</f>
        <v>0</v>
      </c>
      <c r="G652" s="51">
        <f>'ALL Other SINs - Proposal'!G652</f>
        <v>0</v>
      </c>
      <c r="H652" s="125">
        <f>'ALL Other SINs - Proposal'!H652</f>
        <v>0</v>
      </c>
      <c r="I652" s="125">
        <f>'ALL Other SINs - Proposal'!I652</f>
        <v>0</v>
      </c>
      <c r="J652" s="125">
        <f>'ALL Other SINs - Proposal'!J652</f>
        <v>0</v>
      </c>
      <c r="K652" s="125">
        <f>'ALL Other SINs - Proposal'!K652</f>
        <v>0</v>
      </c>
      <c r="L652" s="125">
        <f>'ALL Other SINs - Proposal'!L652</f>
        <v>0</v>
      </c>
      <c r="M652" s="206">
        <f>'ALL Other SINs - Proposal'!M652</f>
        <v>0</v>
      </c>
      <c r="N652" s="251">
        <f>'ALL Other SINs - Proposal'!V652</f>
        <v>0</v>
      </c>
      <c r="O652" s="201" t="str">
        <f>'Price Analysis'!N652</f>
        <v xml:space="preserve"> </v>
      </c>
      <c r="P652" s="53" t="str">
        <f>IF(ISBLANK('ALL Other SINs - Proposal'!AA652)," ",'ALL Other SINs - Proposal'!AA652)</f>
        <v xml:space="preserve"> </v>
      </c>
      <c r="Q652" s="95" t="str">
        <f>'ALL Other SINs - Proposal'!AC652</f>
        <v xml:space="preserve"> </v>
      </c>
      <c r="R652" s="100" t="str">
        <f>IF(ISBLANK('ALL Other SINs - Proposal'!AA652)," ",ROUND(Q652,2))</f>
        <v xml:space="preserve"> </v>
      </c>
      <c r="S652" s="54"/>
    </row>
    <row r="653" spans="1:19" ht="20.100000000000001" customHeight="1" x14ac:dyDescent="0.2">
      <c r="A653" s="127">
        <f>'ALL Other SINs - Proposal'!A653</f>
        <v>0</v>
      </c>
      <c r="B653" s="121">
        <f>'ALL Other SINs - Proposal'!B653</f>
        <v>0</v>
      </c>
      <c r="C653" s="121">
        <f>'ALL Other SINs - Proposal'!C653</f>
        <v>0</v>
      </c>
      <c r="D653" s="121">
        <f>'ALL Other SINs - Proposal'!D653</f>
        <v>0</v>
      </c>
      <c r="E653" s="121">
        <f>'ALL Other SINs - Proposal'!E653</f>
        <v>0</v>
      </c>
      <c r="F653" s="171">
        <f>'ALL Other SINs - Proposal'!F653</f>
        <v>0</v>
      </c>
      <c r="G653" s="51">
        <f>'ALL Other SINs - Proposal'!G653</f>
        <v>0</v>
      </c>
      <c r="H653" s="125">
        <f>'ALL Other SINs - Proposal'!H653</f>
        <v>0</v>
      </c>
      <c r="I653" s="125">
        <f>'ALL Other SINs - Proposal'!I653</f>
        <v>0</v>
      </c>
      <c r="J653" s="125">
        <f>'ALL Other SINs - Proposal'!J653</f>
        <v>0</v>
      </c>
      <c r="K653" s="125">
        <f>'ALL Other SINs - Proposal'!K653</f>
        <v>0</v>
      </c>
      <c r="L653" s="125">
        <f>'ALL Other SINs - Proposal'!L653</f>
        <v>0</v>
      </c>
      <c r="M653" s="206">
        <f>'ALL Other SINs - Proposal'!M653</f>
        <v>0</v>
      </c>
      <c r="N653" s="251">
        <f>'ALL Other SINs - Proposal'!V653</f>
        <v>0</v>
      </c>
      <c r="O653" s="201" t="str">
        <f>'Price Analysis'!N653</f>
        <v xml:space="preserve"> </v>
      </c>
      <c r="P653" s="53" t="str">
        <f>IF(ISBLANK('ALL Other SINs - Proposal'!AA653)," ",'ALL Other SINs - Proposal'!AA653)</f>
        <v xml:space="preserve"> </v>
      </c>
      <c r="Q653" s="95" t="str">
        <f>'ALL Other SINs - Proposal'!AC653</f>
        <v xml:space="preserve"> </v>
      </c>
      <c r="R653" s="100" t="str">
        <f>IF(ISBLANK('ALL Other SINs - Proposal'!AA653)," ",ROUND(Q653,2))</f>
        <v xml:space="preserve"> </v>
      </c>
      <c r="S653" s="54"/>
    </row>
    <row r="654" spans="1:19" ht="20.100000000000001" customHeight="1" x14ac:dyDescent="0.2">
      <c r="A654" s="127">
        <f>'ALL Other SINs - Proposal'!A654</f>
        <v>0</v>
      </c>
      <c r="B654" s="121">
        <f>'ALL Other SINs - Proposal'!B654</f>
        <v>0</v>
      </c>
      <c r="C654" s="121">
        <f>'ALL Other SINs - Proposal'!C654</f>
        <v>0</v>
      </c>
      <c r="D654" s="121">
        <f>'ALL Other SINs - Proposal'!D654</f>
        <v>0</v>
      </c>
      <c r="E654" s="121">
        <f>'ALL Other SINs - Proposal'!E654</f>
        <v>0</v>
      </c>
      <c r="F654" s="171">
        <f>'ALL Other SINs - Proposal'!F654</f>
        <v>0</v>
      </c>
      <c r="G654" s="51">
        <f>'ALL Other SINs - Proposal'!G654</f>
        <v>0</v>
      </c>
      <c r="H654" s="125">
        <f>'ALL Other SINs - Proposal'!H654</f>
        <v>0</v>
      </c>
      <c r="I654" s="125">
        <f>'ALL Other SINs - Proposal'!I654</f>
        <v>0</v>
      </c>
      <c r="J654" s="125">
        <f>'ALL Other SINs - Proposal'!J654</f>
        <v>0</v>
      </c>
      <c r="K654" s="125">
        <f>'ALL Other SINs - Proposal'!K654</f>
        <v>0</v>
      </c>
      <c r="L654" s="125">
        <f>'ALL Other SINs - Proposal'!L654</f>
        <v>0</v>
      </c>
      <c r="M654" s="206">
        <f>'ALL Other SINs - Proposal'!M654</f>
        <v>0</v>
      </c>
      <c r="N654" s="251">
        <f>'ALL Other SINs - Proposal'!V654</f>
        <v>0</v>
      </c>
      <c r="O654" s="201" t="str">
        <f>'Price Analysis'!N654</f>
        <v xml:space="preserve"> </v>
      </c>
      <c r="P654" s="53" t="str">
        <f>IF(ISBLANK('ALL Other SINs - Proposal'!AA654)," ",'ALL Other SINs - Proposal'!AA654)</f>
        <v xml:space="preserve"> </v>
      </c>
      <c r="Q654" s="95" t="str">
        <f>'ALL Other SINs - Proposal'!AC654</f>
        <v xml:space="preserve"> </v>
      </c>
      <c r="R654" s="100" t="str">
        <f>IF(ISBLANK('ALL Other SINs - Proposal'!AA654)," ",ROUND(Q654,2))</f>
        <v xml:space="preserve"> </v>
      </c>
      <c r="S654" s="54"/>
    </row>
    <row r="655" spans="1:19" ht="20.100000000000001" customHeight="1" x14ac:dyDescent="0.2">
      <c r="A655" s="127">
        <f>'ALL Other SINs - Proposal'!A655</f>
        <v>0</v>
      </c>
      <c r="B655" s="121">
        <f>'ALL Other SINs - Proposal'!B655</f>
        <v>0</v>
      </c>
      <c r="C655" s="121">
        <f>'ALL Other SINs - Proposal'!C655</f>
        <v>0</v>
      </c>
      <c r="D655" s="121">
        <f>'ALL Other SINs - Proposal'!D655</f>
        <v>0</v>
      </c>
      <c r="E655" s="121">
        <f>'ALL Other SINs - Proposal'!E655</f>
        <v>0</v>
      </c>
      <c r="F655" s="171">
        <f>'ALL Other SINs - Proposal'!F655</f>
        <v>0</v>
      </c>
      <c r="G655" s="51">
        <f>'ALL Other SINs - Proposal'!G655</f>
        <v>0</v>
      </c>
      <c r="H655" s="125">
        <f>'ALL Other SINs - Proposal'!H655</f>
        <v>0</v>
      </c>
      <c r="I655" s="125">
        <f>'ALL Other SINs - Proposal'!I655</f>
        <v>0</v>
      </c>
      <c r="J655" s="125">
        <f>'ALL Other SINs - Proposal'!J655</f>
        <v>0</v>
      </c>
      <c r="K655" s="125">
        <f>'ALL Other SINs - Proposal'!K655</f>
        <v>0</v>
      </c>
      <c r="L655" s="125">
        <f>'ALL Other SINs - Proposal'!L655</f>
        <v>0</v>
      </c>
      <c r="M655" s="206">
        <f>'ALL Other SINs - Proposal'!M655</f>
        <v>0</v>
      </c>
      <c r="N655" s="251">
        <f>'ALL Other SINs - Proposal'!V655</f>
        <v>0</v>
      </c>
      <c r="O655" s="201" t="str">
        <f>'Price Analysis'!N655</f>
        <v xml:space="preserve"> </v>
      </c>
      <c r="P655" s="53" t="str">
        <f>IF(ISBLANK('ALL Other SINs - Proposal'!AA655)," ",'ALL Other SINs - Proposal'!AA655)</f>
        <v xml:space="preserve"> </v>
      </c>
      <c r="Q655" s="95" t="str">
        <f>'ALL Other SINs - Proposal'!AC655</f>
        <v xml:space="preserve"> </v>
      </c>
      <c r="R655" s="100" t="str">
        <f>IF(ISBLANK('ALL Other SINs - Proposal'!AA655)," ",ROUND(Q655,2))</f>
        <v xml:space="preserve"> </v>
      </c>
      <c r="S655" s="54"/>
    </row>
    <row r="656" spans="1:19" ht="20.100000000000001" customHeight="1" x14ac:dyDescent="0.2">
      <c r="A656" s="127">
        <f>'ALL Other SINs - Proposal'!A656</f>
        <v>0</v>
      </c>
      <c r="B656" s="121">
        <f>'ALL Other SINs - Proposal'!B656</f>
        <v>0</v>
      </c>
      <c r="C656" s="121">
        <f>'ALL Other SINs - Proposal'!C656</f>
        <v>0</v>
      </c>
      <c r="D656" s="121">
        <f>'ALL Other SINs - Proposal'!D656</f>
        <v>0</v>
      </c>
      <c r="E656" s="121">
        <f>'ALL Other SINs - Proposal'!E656</f>
        <v>0</v>
      </c>
      <c r="F656" s="171">
        <f>'ALL Other SINs - Proposal'!F656</f>
        <v>0</v>
      </c>
      <c r="G656" s="51">
        <f>'ALL Other SINs - Proposal'!G656</f>
        <v>0</v>
      </c>
      <c r="H656" s="125">
        <f>'ALL Other SINs - Proposal'!H656</f>
        <v>0</v>
      </c>
      <c r="I656" s="125">
        <f>'ALL Other SINs - Proposal'!I656</f>
        <v>0</v>
      </c>
      <c r="J656" s="125">
        <f>'ALL Other SINs - Proposal'!J656</f>
        <v>0</v>
      </c>
      <c r="K656" s="125">
        <f>'ALL Other SINs - Proposal'!K656</f>
        <v>0</v>
      </c>
      <c r="L656" s="125">
        <f>'ALL Other SINs - Proposal'!L656</f>
        <v>0</v>
      </c>
      <c r="M656" s="206">
        <f>'ALL Other SINs - Proposal'!M656</f>
        <v>0</v>
      </c>
      <c r="N656" s="251">
        <f>'ALL Other SINs - Proposal'!V656</f>
        <v>0</v>
      </c>
      <c r="O656" s="201" t="str">
        <f>'Price Analysis'!N656</f>
        <v xml:space="preserve"> </v>
      </c>
      <c r="P656" s="53" t="str">
        <f>IF(ISBLANK('ALL Other SINs - Proposal'!AA656)," ",'ALL Other SINs - Proposal'!AA656)</f>
        <v xml:space="preserve"> </v>
      </c>
      <c r="Q656" s="95" t="str">
        <f>'ALL Other SINs - Proposal'!AC656</f>
        <v xml:space="preserve"> </v>
      </c>
      <c r="R656" s="100" t="str">
        <f>IF(ISBLANK('ALL Other SINs - Proposal'!AA656)," ",ROUND(Q656,2))</f>
        <v xml:space="preserve"> </v>
      </c>
      <c r="S656" s="54"/>
    </row>
    <row r="657" spans="1:19" ht="20.100000000000001" customHeight="1" x14ac:dyDescent="0.2">
      <c r="A657" s="127">
        <f>'ALL Other SINs - Proposal'!A657</f>
        <v>0</v>
      </c>
      <c r="B657" s="121">
        <f>'ALL Other SINs - Proposal'!B657</f>
        <v>0</v>
      </c>
      <c r="C657" s="121">
        <f>'ALL Other SINs - Proposal'!C657</f>
        <v>0</v>
      </c>
      <c r="D657" s="121">
        <f>'ALL Other SINs - Proposal'!D657</f>
        <v>0</v>
      </c>
      <c r="E657" s="121">
        <f>'ALL Other SINs - Proposal'!E657</f>
        <v>0</v>
      </c>
      <c r="F657" s="171">
        <f>'ALL Other SINs - Proposal'!F657</f>
        <v>0</v>
      </c>
      <c r="G657" s="51">
        <f>'ALL Other SINs - Proposal'!G657</f>
        <v>0</v>
      </c>
      <c r="H657" s="125">
        <f>'ALL Other SINs - Proposal'!H657</f>
        <v>0</v>
      </c>
      <c r="I657" s="125">
        <f>'ALL Other SINs - Proposal'!I657</f>
        <v>0</v>
      </c>
      <c r="J657" s="125">
        <f>'ALL Other SINs - Proposal'!J657</f>
        <v>0</v>
      </c>
      <c r="K657" s="125">
        <f>'ALL Other SINs - Proposal'!K657</f>
        <v>0</v>
      </c>
      <c r="L657" s="125">
        <f>'ALL Other SINs - Proposal'!L657</f>
        <v>0</v>
      </c>
      <c r="M657" s="206">
        <f>'ALL Other SINs - Proposal'!M657</f>
        <v>0</v>
      </c>
      <c r="N657" s="251">
        <f>'ALL Other SINs - Proposal'!V657</f>
        <v>0</v>
      </c>
      <c r="O657" s="201" t="str">
        <f>'Price Analysis'!N657</f>
        <v xml:space="preserve"> </v>
      </c>
      <c r="P657" s="53" t="str">
        <f>IF(ISBLANK('ALL Other SINs - Proposal'!AA657)," ",'ALL Other SINs - Proposal'!AA657)</f>
        <v xml:space="preserve"> </v>
      </c>
      <c r="Q657" s="95" t="str">
        <f>'ALL Other SINs - Proposal'!AC657</f>
        <v xml:space="preserve"> </v>
      </c>
      <c r="R657" s="100" t="str">
        <f>IF(ISBLANK('ALL Other SINs - Proposal'!AA657)," ",ROUND(Q657,2))</f>
        <v xml:space="preserve"> </v>
      </c>
      <c r="S657" s="54"/>
    </row>
    <row r="658" spans="1:19" ht="20.100000000000001" customHeight="1" x14ac:dyDescent="0.2">
      <c r="A658" s="127">
        <f>'ALL Other SINs - Proposal'!A658</f>
        <v>0</v>
      </c>
      <c r="B658" s="121">
        <f>'ALL Other SINs - Proposal'!B658</f>
        <v>0</v>
      </c>
      <c r="C658" s="121">
        <f>'ALL Other SINs - Proposal'!C658</f>
        <v>0</v>
      </c>
      <c r="D658" s="121">
        <f>'ALL Other SINs - Proposal'!D658</f>
        <v>0</v>
      </c>
      <c r="E658" s="121">
        <f>'ALL Other SINs - Proposal'!E658</f>
        <v>0</v>
      </c>
      <c r="F658" s="171">
        <f>'ALL Other SINs - Proposal'!F658</f>
        <v>0</v>
      </c>
      <c r="G658" s="51">
        <f>'ALL Other SINs - Proposal'!G658</f>
        <v>0</v>
      </c>
      <c r="H658" s="125">
        <f>'ALL Other SINs - Proposal'!H658</f>
        <v>0</v>
      </c>
      <c r="I658" s="125">
        <f>'ALL Other SINs - Proposal'!I658</f>
        <v>0</v>
      </c>
      <c r="J658" s="125">
        <f>'ALL Other SINs - Proposal'!J658</f>
        <v>0</v>
      </c>
      <c r="K658" s="125">
        <f>'ALL Other SINs - Proposal'!K658</f>
        <v>0</v>
      </c>
      <c r="L658" s="125">
        <f>'ALL Other SINs - Proposal'!L658</f>
        <v>0</v>
      </c>
      <c r="M658" s="206">
        <f>'ALL Other SINs - Proposal'!M658</f>
        <v>0</v>
      </c>
      <c r="N658" s="251">
        <f>'ALL Other SINs - Proposal'!V658</f>
        <v>0</v>
      </c>
      <c r="O658" s="201" t="str">
        <f>'Price Analysis'!N658</f>
        <v xml:space="preserve"> </v>
      </c>
      <c r="P658" s="53" t="str">
        <f>IF(ISBLANK('ALL Other SINs - Proposal'!AA658)," ",'ALL Other SINs - Proposal'!AA658)</f>
        <v xml:space="preserve"> </v>
      </c>
      <c r="Q658" s="95" t="str">
        <f>'ALL Other SINs - Proposal'!AC658</f>
        <v xml:space="preserve"> </v>
      </c>
      <c r="R658" s="100" t="str">
        <f>IF(ISBLANK('ALL Other SINs - Proposal'!AA658)," ",ROUND(Q658,2))</f>
        <v xml:space="preserve"> </v>
      </c>
      <c r="S658" s="54"/>
    </row>
    <row r="659" spans="1:19" ht="20.100000000000001" customHeight="1" x14ac:dyDescent="0.2">
      <c r="A659" s="127">
        <f>'ALL Other SINs - Proposal'!A659</f>
        <v>0</v>
      </c>
      <c r="B659" s="121">
        <f>'ALL Other SINs - Proposal'!B659</f>
        <v>0</v>
      </c>
      <c r="C659" s="121">
        <f>'ALL Other SINs - Proposal'!C659</f>
        <v>0</v>
      </c>
      <c r="D659" s="121">
        <f>'ALL Other SINs - Proposal'!D659</f>
        <v>0</v>
      </c>
      <c r="E659" s="121">
        <f>'ALL Other SINs - Proposal'!E659</f>
        <v>0</v>
      </c>
      <c r="F659" s="171">
        <f>'ALL Other SINs - Proposal'!F659</f>
        <v>0</v>
      </c>
      <c r="G659" s="51">
        <f>'ALL Other SINs - Proposal'!G659</f>
        <v>0</v>
      </c>
      <c r="H659" s="125">
        <f>'ALL Other SINs - Proposal'!H659</f>
        <v>0</v>
      </c>
      <c r="I659" s="125">
        <f>'ALL Other SINs - Proposal'!I659</f>
        <v>0</v>
      </c>
      <c r="J659" s="125">
        <f>'ALL Other SINs - Proposal'!J659</f>
        <v>0</v>
      </c>
      <c r="K659" s="125">
        <f>'ALL Other SINs - Proposal'!K659</f>
        <v>0</v>
      </c>
      <c r="L659" s="125">
        <f>'ALL Other SINs - Proposal'!L659</f>
        <v>0</v>
      </c>
      <c r="M659" s="206">
        <f>'ALL Other SINs - Proposal'!M659</f>
        <v>0</v>
      </c>
      <c r="N659" s="251">
        <f>'ALL Other SINs - Proposal'!V659</f>
        <v>0</v>
      </c>
      <c r="O659" s="201" t="str">
        <f>'Price Analysis'!N659</f>
        <v xml:space="preserve"> </v>
      </c>
      <c r="P659" s="53" t="str">
        <f>IF(ISBLANK('ALL Other SINs - Proposal'!AA659)," ",'ALL Other SINs - Proposal'!AA659)</f>
        <v xml:space="preserve"> </v>
      </c>
      <c r="Q659" s="95" t="str">
        <f>'ALL Other SINs - Proposal'!AC659</f>
        <v xml:space="preserve"> </v>
      </c>
      <c r="R659" s="100" t="str">
        <f>IF(ISBLANK('ALL Other SINs - Proposal'!AA659)," ",ROUND(Q659,2))</f>
        <v xml:space="preserve"> </v>
      </c>
      <c r="S659" s="54"/>
    </row>
    <row r="660" spans="1:19" ht="20.100000000000001" customHeight="1" x14ac:dyDescent="0.2">
      <c r="A660" s="127">
        <f>'ALL Other SINs - Proposal'!A660</f>
        <v>0</v>
      </c>
      <c r="B660" s="121">
        <f>'ALL Other SINs - Proposal'!B660</f>
        <v>0</v>
      </c>
      <c r="C660" s="121">
        <f>'ALL Other SINs - Proposal'!C660</f>
        <v>0</v>
      </c>
      <c r="D660" s="121">
        <f>'ALL Other SINs - Proposal'!D660</f>
        <v>0</v>
      </c>
      <c r="E660" s="121">
        <f>'ALL Other SINs - Proposal'!E660</f>
        <v>0</v>
      </c>
      <c r="F660" s="171">
        <f>'ALL Other SINs - Proposal'!F660</f>
        <v>0</v>
      </c>
      <c r="G660" s="51">
        <f>'ALL Other SINs - Proposal'!G660</f>
        <v>0</v>
      </c>
      <c r="H660" s="125">
        <f>'ALL Other SINs - Proposal'!H660</f>
        <v>0</v>
      </c>
      <c r="I660" s="125">
        <f>'ALL Other SINs - Proposal'!I660</f>
        <v>0</v>
      </c>
      <c r="J660" s="125">
        <f>'ALL Other SINs - Proposal'!J660</f>
        <v>0</v>
      </c>
      <c r="K660" s="125">
        <f>'ALL Other SINs - Proposal'!K660</f>
        <v>0</v>
      </c>
      <c r="L660" s="125">
        <f>'ALL Other SINs - Proposal'!L660</f>
        <v>0</v>
      </c>
      <c r="M660" s="206">
        <f>'ALL Other SINs - Proposal'!M660</f>
        <v>0</v>
      </c>
      <c r="N660" s="251">
        <f>'ALL Other SINs - Proposal'!V660</f>
        <v>0</v>
      </c>
      <c r="O660" s="201" t="str">
        <f>'Price Analysis'!N660</f>
        <v xml:space="preserve"> </v>
      </c>
      <c r="P660" s="53" t="str">
        <f>IF(ISBLANK('ALL Other SINs - Proposal'!AA660)," ",'ALL Other SINs - Proposal'!AA660)</f>
        <v xml:space="preserve"> </v>
      </c>
      <c r="Q660" s="95" t="str">
        <f>'ALL Other SINs - Proposal'!AC660</f>
        <v xml:space="preserve"> </v>
      </c>
      <c r="R660" s="100" t="str">
        <f>IF(ISBLANK('ALL Other SINs - Proposal'!AA660)," ",ROUND(Q660,2))</f>
        <v xml:space="preserve"> </v>
      </c>
      <c r="S660" s="54"/>
    </row>
    <row r="661" spans="1:19" ht="20.100000000000001" customHeight="1" x14ac:dyDescent="0.2">
      <c r="A661" s="127">
        <f>'ALL Other SINs - Proposal'!A661</f>
        <v>0</v>
      </c>
      <c r="B661" s="121">
        <f>'ALL Other SINs - Proposal'!B661</f>
        <v>0</v>
      </c>
      <c r="C661" s="121">
        <f>'ALL Other SINs - Proposal'!C661</f>
        <v>0</v>
      </c>
      <c r="D661" s="121">
        <f>'ALL Other SINs - Proposal'!D661</f>
        <v>0</v>
      </c>
      <c r="E661" s="121">
        <f>'ALL Other SINs - Proposal'!E661</f>
        <v>0</v>
      </c>
      <c r="F661" s="171">
        <f>'ALL Other SINs - Proposal'!F661</f>
        <v>0</v>
      </c>
      <c r="G661" s="51">
        <f>'ALL Other SINs - Proposal'!G661</f>
        <v>0</v>
      </c>
      <c r="H661" s="125">
        <f>'ALL Other SINs - Proposal'!H661</f>
        <v>0</v>
      </c>
      <c r="I661" s="125">
        <f>'ALL Other SINs - Proposal'!I661</f>
        <v>0</v>
      </c>
      <c r="J661" s="125">
        <f>'ALL Other SINs - Proposal'!J661</f>
        <v>0</v>
      </c>
      <c r="K661" s="125">
        <f>'ALL Other SINs - Proposal'!K661</f>
        <v>0</v>
      </c>
      <c r="L661" s="125">
        <f>'ALL Other SINs - Proposal'!L661</f>
        <v>0</v>
      </c>
      <c r="M661" s="206">
        <f>'ALL Other SINs - Proposal'!M661</f>
        <v>0</v>
      </c>
      <c r="N661" s="251">
        <f>'ALL Other SINs - Proposal'!V661</f>
        <v>0</v>
      </c>
      <c r="O661" s="201" t="str">
        <f>'Price Analysis'!N661</f>
        <v xml:space="preserve"> </v>
      </c>
      <c r="P661" s="53" t="str">
        <f>IF(ISBLANK('ALL Other SINs - Proposal'!AA661)," ",'ALL Other SINs - Proposal'!AA661)</f>
        <v xml:space="preserve"> </v>
      </c>
      <c r="Q661" s="95" t="str">
        <f>'ALL Other SINs - Proposal'!AC661</f>
        <v xml:space="preserve"> </v>
      </c>
      <c r="R661" s="100" t="str">
        <f>IF(ISBLANK('ALL Other SINs - Proposal'!AA661)," ",ROUND(Q661,2))</f>
        <v xml:space="preserve"> </v>
      </c>
      <c r="S661" s="54"/>
    </row>
    <row r="662" spans="1:19" ht="20.100000000000001" customHeight="1" x14ac:dyDescent="0.2">
      <c r="A662" s="127">
        <f>'ALL Other SINs - Proposal'!A662</f>
        <v>0</v>
      </c>
      <c r="B662" s="121">
        <f>'ALL Other SINs - Proposal'!B662</f>
        <v>0</v>
      </c>
      <c r="C662" s="121">
        <f>'ALL Other SINs - Proposal'!C662</f>
        <v>0</v>
      </c>
      <c r="D662" s="121">
        <f>'ALL Other SINs - Proposal'!D662</f>
        <v>0</v>
      </c>
      <c r="E662" s="121">
        <f>'ALL Other SINs - Proposal'!E662</f>
        <v>0</v>
      </c>
      <c r="F662" s="171">
        <f>'ALL Other SINs - Proposal'!F662</f>
        <v>0</v>
      </c>
      <c r="G662" s="51">
        <f>'ALL Other SINs - Proposal'!G662</f>
        <v>0</v>
      </c>
      <c r="H662" s="125">
        <f>'ALL Other SINs - Proposal'!H662</f>
        <v>0</v>
      </c>
      <c r="I662" s="125">
        <f>'ALL Other SINs - Proposal'!I662</f>
        <v>0</v>
      </c>
      <c r="J662" s="125">
        <f>'ALL Other SINs - Proposal'!J662</f>
        <v>0</v>
      </c>
      <c r="K662" s="125">
        <f>'ALL Other SINs - Proposal'!K662</f>
        <v>0</v>
      </c>
      <c r="L662" s="125">
        <f>'ALL Other SINs - Proposal'!L662</f>
        <v>0</v>
      </c>
      <c r="M662" s="206">
        <f>'ALL Other SINs - Proposal'!M662</f>
        <v>0</v>
      </c>
      <c r="N662" s="251">
        <f>'ALL Other SINs - Proposal'!V662</f>
        <v>0</v>
      </c>
      <c r="O662" s="201" t="str">
        <f>'Price Analysis'!N662</f>
        <v xml:space="preserve"> </v>
      </c>
      <c r="P662" s="53" t="str">
        <f>IF(ISBLANK('ALL Other SINs - Proposal'!AA662)," ",'ALL Other SINs - Proposal'!AA662)</f>
        <v xml:space="preserve"> </v>
      </c>
      <c r="Q662" s="95" t="str">
        <f>'ALL Other SINs - Proposal'!AC662</f>
        <v xml:space="preserve"> </v>
      </c>
      <c r="R662" s="100" t="str">
        <f>IF(ISBLANK('ALL Other SINs - Proposal'!AA662)," ",ROUND(Q662,2))</f>
        <v xml:space="preserve"> </v>
      </c>
      <c r="S662" s="54"/>
    </row>
    <row r="663" spans="1:19" ht="20.100000000000001" customHeight="1" x14ac:dyDescent="0.2">
      <c r="A663" s="127">
        <f>'ALL Other SINs - Proposal'!A663</f>
        <v>0</v>
      </c>
      <c r="B663" s="121">
        <f>'ALL Other SINs - Proposal'!B663</f>
        <v>0</v>
      </c>
      <c r="C663" s="121">
        <f>'ALL Other SINs - Proposal'!C663</f>
        <v>0</v>
      </c>
      <c r="D663" s="121">
        <f>'ALL Other SINs - Proposal'!D663</f>
        <v>0</v>
      </c>
      <c r="E663" s="121">
        <f>'ALL Other SINs - Proposal'!E663</f>
        <v>0</v>
      </c>
      <c r="F663" s="171">
        <f>'ALL Other SINs - Proposal'!F663</f>
        <v>0</v>
      </c>
      <c r="G663" s="51">
        <f>'ALL Other SINs - Proposal'!G663</f>
        <v>0</v>
      </c>
      <c r="H663" s="125">
        <f>'ALL Other SINs - Proposal'!H663</f>
        <v>0</v>
      </c>
      <c r="I663" s="125">
        <f>'ALL Other SINs - Proposal'!I663</f>
        <v>0</v>
      </c>
      <c r="J663" s="125">
        <f>'ALL Other SINs - Proposal'!J663</f>
        <v>0</v>
      </c>
      <c r="K663" s="125">
        <f>'ALL Other SINs - Proposal'!K663</f>
        <v>0</v>
      </c>
      <c r="L663" s="125">
        <f>'ALL Other SINs - Proposal'!L663</f>
        <v>0</v>
      </c>
      <c r="M663" s="206">
        <f>'ALL Other SINs - Proposal'!M663</f>
        <v>0</v>
      </c>
      <c r="N663" s="251">
        <f>'ALL Other SINs - Proposal'!V663</f>
        <v>0</v>
      </c>
      <c r="O663" s="201" t="str">
        <f>'Price Analysis'!N663</f>
        <v xml:space="preserve"> </v>
      </c>
      <c r="P663" s="53" t="str">
        <f>IF(ISBLANK('ALL Other SINs - Proposal'!AA663)," ",'ALL Other SINs - Proposal'!AA663)</f>
        <v xml:space="preserve"> </v>
      </c>
      <c r="Q663" s="95" t="str">
        <f>'ALL Other SINs - Proposal'!AC663</f>
        <v xml:space="preserve"> </v>
      </c>
      <c r="R663" s="100" t="str">
        <f>IF(ISBLANK('ALL Other SINs - Proposal'!AA663)," ",ROUND(Q663,2))</f>
        <v xml:space="preserve"> </v>
      </c>
      <c r="S663" s="54"/>
    </row>
    <row r="664" spans="1:19" ht="20.100000000000001" customHeight="1" x14ac:dyDescent="0.2">
      <c r="A664" s="127">
        <f>'ALL Other SINs - Proposal'!A664</f>
        <v>0</v>
      </c>
      <c r="B664" s="121">
        <f>'ALL Other SINs - Proposal'!B664</f>
        <v>0</v>
      </c>
      <c r="C664" s="121">
        <f>'ALL Other SINs - Proposal'!C664</f>
        <v>0</v>
      </c>
      <c r="D664" s="121">
        <f>'ALL Other SINs - Proposal'!D664</f>
        <v>0</v>
      </c>
      <c r="E664" s="121">
        <f>'ALL Other SINs - Proposal'!E664</f>
        <v>0</v>
      </c>
      <c r="F664" s="171">
        <f>'ALL Other SINs - Proposal'!F664</f>
        <v>0</v>
      </c>
      <c r="G664" s="51">
        <f>'ALL Other SINs - Proposal'!G664</f>
        <v>0</v>
      </c>
      <c r="H664" s="125">
        <f>'ALL Other SINs - Proposal'!H664</f>
        <v>0</v>
      </c>
      <c r="I664" s="125">
        <f>'ALL Other SINs - Proposal'!I664</f>
        <v>0</v>
      </c>
      <c r="J664" s="125">
        <f>'ALL Other SINs - Proposal'!J664</f>
        <v>0</v>
      </c>
      <c r="K664" s="125">
        <f>'ALL Other SINs - Proposal'!K664</f>
        <v>0</v>
      </c>
      <c r="L664" s="125">
        <f>'ALL Other SINs - Proposal'!L664</f>
        <v>0</v>
      </c>
      <c r="M664" s="206">
        <f>'ALL Other SINs - Proposal'!M664</f>
        <v>0</v>
      </c>
      <c r="N664" s="251">
        <f>'ALL Other SINs - Proposal'!V664</f>
        <v>0</v>
      </c>
      <c r="O664" s="201" t="str">
        <f>'Price Analysis'!N664</f>
        <v xml:space="preserve"> </v>
      </c>
      <c r="P664" s="53" t="str">
        <f>IF(ISBLANK('ALL Other SINs - Proposal'!AA664)," ",'ALL Other SINs - Proposal'!AA664)</f>
        <v xml:space="preserve"> </v>
      </c>
      <c r="Q664" s="95" t="str">
        <f>'ALL Other SINs - Proposal'!AC664</f>
        <v xml:space="preserve"> </v>
      </c>
      <c r="R664" s="100" t="str">
        <f>IF(ISBLANK('ALL Other SINs - Proposal'!AA664)," ",ROUND(Q664,2))</f>
        <v xml:space="preserve"> </v>
      </c>
      <c r="S664" s="54"/>
    </row>
    <row r="665" spans="1:19" ht="20.100000000000001" customHeight="1" x14ac:dyDescent="0.2">
      <c r="A665" s="127">
        <f>'ALL Other SINs - Proposal'!A665</f>
        <v>0</v>
      </c>
      <c r="B665" s="121">
        <f>'ALL Other SINs - Proposal'!B665</f>
        <v>0</v>
      </c>
      <c r="C665" s="121">
        <f>'ALL Other SINs - Proposal'!C665</f>
        <v>0</v>
      </c>
      <c r="D665" s="121">
        <f>'ALL Other SINs - Proposal'!D665</f>
        <v>0</v>
      </c>
      <c r="E665" s="121">
        <f>'ALL Other SINs - Proposal'!E665</f>
        <v>0</v>
      </c>
      <c r="F665" s="171">
        <f>'ALL Other SINs - Proposal'!F665</f>
        <v>0</v>
      </c>
      <c r="G665" s="51">
        <f>'ALL Other SINs - Proposal'!G665</f>
        <v>0</v>
      </c>
      <c r="H665" s="125">
        <f>'ALL Other SINs - Proposal'!H665</f>
        <v>0</v>
      </c>
      <c r="I665" s="125">
        <f>'ALL Other SINs - Proposal'!I665</f>
        <v>0</v>
      </c>
      <c r="J665" s="125">
        <f>'ALL Other SINs - Proposal'!J665</f>
        <v>0</v>
      </c>
      <c r="K665" s="125">
        <f>'ALL Other SINs - Proposal'!K665</f>
        <v>0</v>
      </c>
      <c r="L665" s="125">
        <f>'ALL Other SINs - Proposal'!L665</f>
        <v>0</v>
      </c>
      <c r="M665" s="206">
        <f>'ALL Other SINs - Proposal'!M665</f>
        <v>0</v>
      </c>
      <c r="N665" s="251">
        <f>'ALL Other SINs - Proposal'!V665</f>
        <v>0</v>
      </c>
      <c r="O665" s="201" t="str">
        <f>'Price Analysis'!N665</f>
        <v xml:space="preserve"> </v>
      </c>
      <c r="P665" s="53" t="str">
        <f>IF(ISBLANK('ALL Other SINs - Proposal'!AA665)," ",'ALL Other SINs - Proposal'!AA665)</f>
        <v xml:space="preserve"> </v>
      </c>
      <c r="Q665" s="95" t="str">
        <f>'ALL Other SINs - Proposal'!AC665</f>
        <v xml:space="preserve"> </v>
      </c>
      <c r="R665" s="100" t="str">
        <f>IF(ISBLANK('ALL Other SINs - Proposal'!AA665)," ",ROUND(Q665,2))</f>
        <v xml:space="preserve"> </v>
      </c>
      <c r="S665" s="54"/>
    </row>
    <row r="666" spans="1:19" ht="20.100000000000001" customHeight="1" x14ac:dyDescent="0.2">
      <c r="A666" s="127">
        <f>'ALL Other SINs - Proposal'!A666</f>
        <v>0</v>
      </c>
      <c r="B666" s="121">
        <f>'ALL Other SINs - Proposal'!B666</f>
        <v>0</v>
      </c>
      <c r="C666" s="121">
        <f>'ALL Other SINs - Proposal'!C666</f>
        <v>0</v>
      </c>
      <c r="D666" s="121">
        <f>'ALL Other SINs - Proposal'!D666</f>
        <v>0</v>
      </c>
      <c r="E666" s="121">
        <f>'ALL Other SINs - Proposal'!E666</f>
        <v>0</v>
      </c>
      <c r="F666" s="171">
        <f>'ALL Other SINs - Proposal'!F666</f>
        <v>0</v>
      </c>
      <c r="G666" s="51">
        <f>'ALL Other SINs - Proposal'!G666</f>
        <v>0</v>
      </c>
      <c r="H666" s="125">
        <f>'ALL Other SINs - Proposal'!H666</f>
        <v>0</v>
      </c>
      <c r="I666" s="125">
        <f>'ALL Other SINs - Proposal'!I666</f>
        <v>0</v>
      </c>
      <c r="J666" s="125">
        <f>'ALL Other SINs - Proposal'!J666</f>
        <v>0</v>
      </c>
      <c r="K666" s="125">
        <f>'ALL Other SINs - Proposal'!K666</f>
        <v>0</v>
      </c>
      <c r="L666" s="125">
        <f>'ALL Other SINs - Proposal'!L666</f>
        <v>0</v>
      </c>
      <c r="M666" s="206">
        <f>'ALL Other SINs - Proposal'!M666</f>
        <v>0</v>
      </c>
      <c r="N666" s="251">
        <f>'ALL Other SINs - Proposal'!V666</f>
        <v>0</v>
      </c>
      <c r="O666" s="201" t="str">
        <f>'Price Analysis'!N666</f>
        <v xml:space="preserve"> </v>
      </c>
      <c r="P666" s="53" t="str">
        <f>IF(ISBLANK('ALL Other SINs - Proposal'!AA666)," ",'ALL Other SINs - Proposal'!AA666)</f>
        <v xml:space="preserve"> </v>
      </c>
      <c r="Q666" s="95" t="str">
        <f>'ALL Other SINs - Proposal'!AC666</f>
        <v xml:space="preserve"> </v>
      </c>
      <c r="R666" s="100" t="str">
        <f>IF(ISBLANK('ALL Other SINs - Proposal'!AA666)," ",ROUND(Q666,2))</f>
        <v xml:space="preserve"> </v>
      </c>
      <c r="S666" s="54"/>
    </row>
    <row r="667" spans="1:19" ht="20.100000000000001" customHeight="1" x14ac:dyDescent="0.2">
      <c r="A667" s="127">
        <f>'ALL Other SINs - Proposal'!A667</f>
        <v>0</v>
      </c>
      <c r="B667" s="121">
        <f>'ALL Other SINs - Proposal'!B667</f>
        <v>0</v>
      </c>
      <c r="C667" s="121">
        <f>'ALL Other SINs - Proposal'!C667</f>
        <v>0</v>
      </c>
      <c r="D667" s="121">
        <f>'ALL Other SINs - Proposal'!D667</f>
        <v>0</v>
      </c>
      <c r="E667" s="121">
        <f>'ALL Other SINs - Proposal'!E667</f>
        <v>0</v>
      </c>
      <c r="F667" s="171">
        <f>'ALL Other SINs - Proposal'!F667</f>
        <v>0</v>
      </c>
      <c r="G667" s="51">
        <f>'ALL Other SINs - Proposal'!G667</f>
        <v>0</v>
      </c>
      <c r="H667" s="125">
        <f>'ALL Other SINs - Proposal'!H667</f>
        <v>0</v>
      </c>
      <c r="I667" s="125">
        <f>'ALL Other SINs - Proposal'!I667</f>
        <v>0</v>
      </c>
      <c r="J667" s="125">
        <f>'ALL Other SINs - Proposal'!J667</f>
        <v>0</v>
      </c>
      <c r="K667" s="125">
        <f>'ALL Other SINs - Proposal'!K667</f>
        <v>0</v>
      </c>
      <c r="L667" s="125">
        <f>'ALL Other SINs - Proposal'!L667</f>
        <v>0</v>
      </c>
      <c r="M667" s="206">
        <f>'ALL Other SINs - Proposal'!M667</f>
        <v>0</v>
      </c>
      <c r="N667" s="251">
        <f>'ALL Other SINs - Proposal'!V667</f>
        <v>0</v>
      </c>
      <c r="O667" s="201" t="str">
        <f>'Price Analysis'!N667</f>
        <v xml:space="preserve"> </v>
      </c>
      <c r="P667" s="53" t="str">
        <f>IF(ISBLANK('ALL Other SINs - Proposal'!AA667)," ",'ALL Other SINs - Proposal'!AA667)</f>
        <v xml:space="preserve"> </v>
      </c>
      <c r="Q667" s="95" t="str">
        <f>'ALL Other SINs - Proposal'!AC667</f>
        <v xml:space="preserve"> </v>
      </c>
      <c r="R667" s="100" t="str">
        <f>IF(ISBLANK('ALL Other SINs - Proposal'!AA667)," ",ROUND(Q667,2))</f>
        <v xml:space="preserve"> </v>
      </c>
      <c r="S667" s="54"/>
    </row>
    <row r="668" spans="1:19" ht="20.100000000000001" customHeight="1" x14ac:dyDescent="0.2">
      <c r="A668" s="127">
        <f>'ALL Other SINs - Proposal'!A668</f>
        <v>0</v>
      </c>
      <c r="B668" s="121">
        <f>'ALL Other SINs - Proposal'!B668</f>
        <v>0</v>
      </c>
      <c r="C668" s="121">
        <f>'ALL Other SINs - Proposal'!C668</f>
        <v>0</v>
      </c>
      <c r="D668" s="121">
        <f>'ALL Other SINs - Proposal'!D668</f>
        <v>0</v>
      </c>
      <c r="E668" s="121">
        <f>'ALL Other SINs - Proposal'!E668</f>
        <v>0</v>
      </c>
      <c r="F668" s="171">
        <f>'ALL Other SINs - Proposal'!F668</f>
        <v>0</v>
      </c>
      <c r="G668" s="51">
        <f>'ALL Other SINs - Proposal'!G668</f>
        <v>0</v>
      </c>
      <c r="H668" s="125">
        <f>'ALL Other SINs - Proposal'!H668</f>
        <v>0</v>
      </c>
      <c r="I668" s="125">
        <f>'ALL Other SINs - Proposal'!I668</f>
        <v>0</v>
      </c>
      <c r="J668" s="125">
        <f>'ALL Other SINs - Proposal'!J668</f>
        <v>0</v>
      </c>
      <c r="K668" s="125">
        <f>'ALL Other SINs - Proposal'!K668</f>
        <v>0</v>
      </c>
      <c r="L668" s="125">
        <f>'ALL Other SINs - Proposal'!L668</f>
        <v>0</v>
      </c>
      <c r="M668" s="206">
        <f>'ALL Other SINs - Proposal'!M668</f>
        <v>0</v>
      </c>
      <c r="N668" s="251">
        <f>'ALL Other SINs - Proposal'!V668</f>
        <v>0</v>
      </c>
      <c r="O668" s="201" t="str">
        <f>'Price Analysis'!N668</f>
        <v xml:space="preserve"> </v>
      </c>
      <c r="P668" s="53" t="str">
        <f>IF(ISBLANK('ALL Other SINs - Proposal'!AA668)," ",'ALL Other SINs - Proposal'!AA668)</f>
        <v xml:space="preserve"> </v>
      </c>
      <c r="Q668" s="95" t="str">
        <f>'ALL Other SINs - Proposal'!AC668</f>
        <v xml:space="preserve"> </v>
      </c>
      <c r="R668" s="100" t="str">
        <f>IF(ISBLANK('ALL Other SINs - Proposal'!AA668)," ",ROUND(Q668,2))</f>
        <v xml:space="preserve"> </v>
      </c>
      <c r="S668" s="54"/>
    </row>
    <row r="669" spans="1:19" ht="20.100000000000001" customHeight="1" x14ac:dyDescent="0.2">
      <c r="A669" s="127">
        <f>'ALL Other SINs - Proposal'!A669</f>
        <v>0</v>
      </c>
      <c r="B669" s="121">
        <f>'ALL Other SINs - Proposal'!B669</f>
        <v>0</v>
      </c>
      <c r="C669" s="121">
        <f>'ALL Other SINs - Proposal'!C669</f>
        <v>0</v>
      </c>
      <c r="D669" s="121">
        <f>'ALL Other SINs - Proposal'!D669</f>
        <v>0</v>
      </c>
      <c r="E669" s="121">
        <f>'ALL Other SINs - Proposal'!E669</f>
        <v>0</v>
      </c>
      <c r="F669" s="171">
        <f>'ALL Other SINs - Proposal'!F669</f>
        <v>0</v>
      </c>
      <c r="G669" s="51">
        <f>'ALL Other SINs - Proposal'!G669</f>
        <v>0</v>
      </c>
      <c r="H669" s="125">
        <f>'ALL Other SINs - Proposal'!H669</f>
        <v>0</v>
      </c>
      <c r="I669" s="125">
        <f>'ALL Other SINs - Proposal'!I669</f>
        <v>0</v>
      </c>
      <c r="J669" s="125">
        <f>'ALL Other SINs - Proposal'!J669</f>
        <v>0</v>
      </c>
      <c r="K669" s="125">
        <f>'ALL Other SINs - Proposal'!K669</f>
        <v>0</v>
      </c>
      <c r="L669" s="125">
        <f>'ALL Other SINs - Proposal'!L669</f>
        <v>0</v>
      </c>
      <c r="M669" s="206">
        <f>'ALL Other SINs - Proposal'!M669</f>
        <v>0</v>
      </c>
      <c r="N669" s="251">
        <f>'ALL Other SINs - Proposal'!V669</f>
        <v>0</v>
      </c>
      <c r="O669" s="201" t="str">
        <f>'Price Analysis'!N669</f>
        <v xml:space="preserve"> </v>
      </c>
      <c r="P669" s="53" t="str">
        <f>IF(ISBLANK('ALL Other SINs - Proposal'!AA669)," ",'ALL Other SINs - Proposal'!AA669)</f>
        <v xml:space="preserve"> </v>
      </c>
      <c r="Q669" s="95" t="str">
        <f>'ALL Other SINs - Proposal'!AC669</f>
        <v xml:space="preserve"> </v>
      </c>
      <c r="R669" s="100" t="str">
        <f>IF(ISBLANK('ALL Other SINs - Proposal'!AA669)," ",ROUND(Q669,2))</f>
        <v xml:space="preserve"> </v>
      </c>
      <c r="S669" s="54"/>
    </row>
    <row r="670" spans="1:19" ht="20.100000000000001" customHeight="1" x14ac:dyDescent="0.2">
      <c r="A670" s="127">
        <f>'ALL Other SINs - Proposal'!A670</f>
        <v>0</v>
      </c>
      <c r="B670" s="121">
        <f>'ALL Other SINs - Proposal'!B670</f>
        <v>0</v>
      </c>
      <c r="C670" s="121">
        <f>'ALL Other SINs - Proposal'!C670</f>
        <v>0</v>
      </c>
      <c r="D670" s="121">
        <f>'ALL Other SINs - Proposal'!D670</f>
        <v>0</v>
      </c>
      <c r="E670" s="121">
        <f>'ALL Other SINs - Proposal'!E670</f>
        <v>0</v>
      </c>
      <c r="F670" s="171">
        <f>'ALL Other SINs - Proposal'!F670</f>
        <v>0</v>
      </c>
      <c r="G670" s="51">
        <f>'ALL Other SINs - Proposal'!G670</f>
        <v>0</v>
      </c>
      <c r="H670" s="125">
        <f>'ALL Other SINs - Proposal'!H670</f>
        <v>0</v>
      </c>
      <c r="I670" s="125">
        <f>'ALL Other SINs - Proposal'!I670</f>
        <v>0</v>
      </c>
      <c r="J670" s="125">
        <f>'ALL Other SINs - Proposal'!J670</f>
        <v>0</v>
      </c>
      <c r="K670" s="125">
        <f>'ALL Other SINs - Proposal'!K670</f>
        <v>0</v>
      </c>
      <c r="L670" s="125">
        <f>'ALL Other SINs - Proposal'!L670</f>
        <v>0</v>
      </c>
      <c r="M670" s="206">
        <f>'ALL Other SINs - Proposal'!M670</f>
        <v>0</v>
      </c>
      <c r="N670" s="251">
        <f>'ALL Other SINs - Proposal'!V670</f>
        <v>0</v>
      </c>
      <c r="O670" s="201" t="str">
        <f>'Price Analysis'!N670</f>
        <v xml:space="preserve"> </v>
      </c>
      <c r="P670" s="53" t="str">
        <f>IF(ISBLANK('ALL Other SINs - Proposal'!AA670)," ",'ALL Other SINs - Proposal'!AA670)</f>
        <v xml:space="preserve"> </v>
      </c>
      <c r="Q670" s="95" t="str">
        <f>'ALL Other SINs - Proposal'!AC670</f>
        <v xml:space="preserve"> </v>
      </c>
      <c r="R670" s="100" t="str">
        <f>IF(ISBLANK('ALL Other SINs - Proposal'!AA670)," ",ROUND(Q670,2))</f>
        <v xml:space="preserve"> </v>
      </c>
      <c r="S670" s="54"/>
    </row>
    <row r="671" spans="1:19" ht="20.100000000000001" customHeight="1" x14ac:dyDescent="0.2">
      <c r="A671" s="127">
        <f>'ALL Other SINs - Proposal'!A671</f>
        <v>0</v>
      </c>
      <c r="B671" s="121">
        <f>'ALL Other SINs - Proposal'!B671</f>
        <v>0</v>
      </c>
      <c r="C671" s="121">
        <f>'ALL Other SINs - Proposal'!C671</f>
        <v>0</v>
      </c>
      <c r="D671" s="121">
        <f>'ALL Other SINs - Proposal'!D671</f>
        <v>0</v>
      </c>
      <c r="E671" s="121">
        <f>'ALL Other SINs - Proposal'!E671</f>
        <v>0</v>
      </c>
      <c r="F671" s="171">
        <f>'ALL Other SINs - Proposal'!F671</f>
        <v>0</v>
      </c>
      <c r="G671" s="51">
        <f>'ALL Other SINs - Proposal'!G671</f>
        <v>0</v>
      </c>
      <c r="H671" s="125">
        <f>'ALL Other SINs - Proposal'!H671</f>
        <v>0</v>
      </c>
      <c r="I671" s="125">
        <f>'ALL Other SINs - Proposal'!I671</f>
        <v>0</v>
      </c>
      <c r="J671" s="125">
        <f>'ALL Other SINs - Proposal'!J671</f>
        <v>0</v>
      </c>
      <c r="K671" s="125">
        <f>'ALL Other SINs - Proposal'!K671</f>
        <v>0</v>
      </c>
      <c r="L671" s="125">
        <f>'ALL Other SINs - Proposal'!L671</f>
        <v>0</v>
      </c>
      <c r="M671" s="206">
        <f>'ALL Other SINs - Proposal'!M671</f>
        <v>0</v>
      </c>
      <c r="N671" s="251">
        <f>'ALL Other SINs - Proposal'!V671</f>
        <v>0</v>
      </c>
      <c r="O671" s="201" t="str">
        <f>'Price Analysis'!N671</f>
        <v xml:space="preserve"> </v>
      </c>
      <c r="P671" s="53" t="str">
        <f>IF(ISBLANK('ALL Other SINs - Proposal'!AA671)," ",'ALL Other SINs - Proposal'!AA671)</f>
        <v xml:space="preserve"> </v>
      </c>
      <c r="Q671" s="95" t="str">
        <f>'ALL Other SINs - Proposal'!AC671</f>
        <v xml:space="preserve"> </v>
      </c>
      <c r="R671" s="100" t="str">
        <f>IF(ISBLANK('ALL Other SINs - Proposal'!AA671)," ",ROUND(Q671,2))</f>
        <v xml:space="preserve"> </v>
      </c>
      <c r="S671" s="54"/>
    </row>
    <row r="672" spans="1:19" ht="20.100000000000001" customHeight="1" x14ac:dyDescent="0.2">
      <c r="A672" s="127">
        <f>'ALL Other SINs - Proposal'!A672</f>
        <v>0</v>
      </c>
      <c r="B672" s="121">
        <f>'ALL Other SINs - Proposal'!B672</f>
        <v>0</v>
      </c>
      <c r="C672" s="121">
        <f>'ALL Other SINs - Proposal'!C672</f>
        <v>0</v>
      </c>
      <c r="D672" s="121">
        <f>'ALL Other SINs - Proposal'!D672</f>
        <v>0</v>
      </c>
      <c r="E672" s="121">
        <f>'ALL Other SINs - Proposal'!E672</f>
        <v>0</v>
      </c>
      <c r="F672" s="171">
        <f>'ALL Other SINs - Proposal'!F672</f>
        <v>0</v>
      </c>
      <c r="G672" s="51">
        <f>'ALL Other SINs - Proposal'!G672</f>
        <v>0</v>
      </c>
      <c r="H672" s="125">
        <f>'ALL Other SINs - Proposal'!H672</f>
        <v>0</v>
      </c>
      <c r="I672" s="125">
        <f>'ALL Other SINs - Proposal'!I672</f>
        <v>0</v>
      </c>
      <c r="J672" s="125">
        <f>'ALL Other SINs - Proposal'!J672</f>
        <v>0</v>
      </c>
      <c r="K672" s="125">
        <f>'ALL Other SINs - Proposal'!K672</f>
        <v>0</v>
      </c>
      <c r="L672" s="125">
        <f>'ALL Other SINs - Proposal'!L672</f>
        <v>0</v>
      </c>
      <c r="M672" s="206">
        <f>'ALL Other SINs - Proposal'!M672</f>
        <v>0</v>
      </c>
      <c r="N672" s="251">
        <f>'ALL Other SINs - Proposal'!V672</f>
        <v>0</v>
      </c>
      <c r="O672" s="201" t="str">
        <f>'Price Analysis'!N672</f>
        <v xml:space="preserve"> </v>
      </c>
      <c r="P672" s="53" t="str">
        <f>IF(ISBLANK('ALL Other SINs - Proposal'!AA672)," ",'ALL Other SINs - Proposal'!AA672)</f>
        <v xml:space="preserve"> </v>
      </c>
      <c r="Q672" s="95" t="str">
        <f>'ALL Other SINs - Proposal'!AC672</f>
        <v xml:space="preserve"> </v>
      </c>
      <c r="R672" s="100" t="str">
        <f>IF(ISBLANK('ALL Other SINs - Proposal'!AA672)," ",ROUND(Q672,2))</f>
        <v xml:space="preserve"> </v>
      </c>
      <c r="S672" s="54"/>
    </row>
    <row r="673" spans="1:19" ht="20.100000000000001" customHeight="1" x14ac:dyDescent="0.2">
      <c r="A673" s="127">
        <f>'ALL Other SINs - Proposal'!A673</f>
        <v>0</v>
      </c>
      <c r="B673" s="121">
        <f>'ALL Other SINs - Proposal'!B673</f>
        <v>0</v>
      </c>
      <c r="C673" s="121">
        <f>'ALL Other SINs - Proposal'!C673</f>
        <v>0</v>
      </c>
      <c r="D673" s="121">
        <f>'ALL Other SINs - Proposal'!D673</f>
        <v>0</v>
      </c>
      <c r="E673" s="121">
        <f>'ALL Other SINs - Proposal'!E673</f>
        <v>0</v>
      </c>
      <c r="F673" s="171">
        <f>'ALL Other SINs - Proposal'!F673</f>
        <v>0</v>
      </c>
      <c r="G673" s="51">
        <f>'ALL Other SINs - Proposal'!G673</f>
        <v>0</v>
      </c>
      <c r="H673" s="125">
        <f>'ALL Other SINs - Proposal'!H673</f>
        <v>0</v>
      </c>
      <c r="I673" s="125">
        <f>'ALL Other SINs - Proposal'!I673</f>
        <v>0</v>
      </c>
      <c r="J673" s="125">
        <f>'ALL Other SINs - Proposal'!J673</f>
        <v>0</v>
      </c>
      <c r="K673" s="125">
        <f>'ALL Other SINs - Proposal'!K673</f>
        <v>0</v>
      </c>
      <c r="L673" s="125">
        <f>'ALL Other SINs - Proposal'!L673</f>
        <v>0</v>
      </c>
      <c r="M673" s="206">
        <f>'ALL Other SINs - Proposal'!M673</f>
        <v>0</v>
      </c>
      <c r="N673" s="251">
        <f>'ALL Other SINs - Proposal'!V673</f>
        <v>0</v>
      </c>
      <c r="O673" s="201" t="str">
        <f>'Price Analysis'!N673</f>
        <v xml:space="preserve"> </v>
      </c>
      <c r="P673" s="53" t="str">
        <f>IF(ISBLANK('ALL Other SINs - Proposal'!AA673)," ",'ALL Other SINs - Proposal'!AA673)</f>
        <v xml:space="preserve"> </v>
      </c>
      <c r="Q673" s="95" t="str">
        <f>'ALL Other SINs - Proposal'!AC673</f>
        <v xml:space="preserve"> </v>
      </c>
      <c r="R673" s="100" t="str">
        <f>IF(ISBLANK('ALL Other SINs - Proposal'!AA673)," ",ROUND(Q673,2))</f>
        <v xml:space="preserve"> </v>
      </c>
      <c r="S673" s="54"/>
    </row>
    <row r="674" spans="1:19" ht="20.100000000000001" customHeight="1" x14ac:dyDescent="0.2">
      <c r="A674" s="127">
        <f>'ALL Other SINs - Proposal'!A674</f>
        <v>0</v>
      </c>
      <c r="B674" s="121">
        <f>'ALL Other SINs - Proposal'!B674</f>
        <v>0</v>
      </c>
      <c r="C674" s="121">
        <f>'ALL Other SINs - Proposal'!C674</f>
        <v>0</v>
      </c>
      <c r="D674" s="121">
        <f>'ALL Other SINs - Proposal'!D674</f>
        <v>0</v>
      </c>
      <c r="E674" s="121">
        <f>'ALL Other SINs - Proposal'!E674</f>
        <v>0</v>
      </c>
      <c r="F674" s="171">
        <f>'ALL Other SINs - Proposal'!F674</f>
        <v>0</v>
      </c>
      <c r="G674" s="51">
        <f>'ALL Other SINs - Proposal'!G674</f>
        <v>0</v>
      </c>
      <c r="H674" s="125">
        <f>'ALL Other SINs - Proposal'!H674</f>
        <v>0</v>
      </c>
      <c r="I674" s="125">
        <f>'ALL Other SINs - Proposal'!I674</f>
        <v>0</v>
      </c>
      <c r="J674" s="125">
        <f>'ALL Other SINs - Proposal'!J674</f>
        <v>0</v>
      </c>
      <c r="K674" s="125">
        <f>'ALL Other SINs - Proposal'!K674</f>
        <v>0</v>
      </c>
      <c r="L674" s="125">
        <f>'ALL Other SINs - Proposal'!L674</f>
        <v>0</v>
      </c>
      <c r="M674" s="206">
        <f>'ALL Other SINs - Proposal'!M674</f>
        <v>0</v>
      </c>
      <c r="N674" s="251">
        <f>'ALL Other SINs - Proposal'!V674</f>
        <v>0</v>
      </c>
      <c r="O674" s="201" t="str">
        <f>'Price Analysis'!N674</f>
        <v xml:space="preserve"> </v>
      </c>
      <c r="P674" s="53" t="str">
        <f>IF(ISBLANK('ALL Other SINs - Proposal'!AA674)," ",'ALL Other SINs - Proposal'!AA674)</f>
        <v xml:space="preserve"> </v>
      </c>
      <c r="Q674" s="95" t="str">
        <f>'ALL Other SINs - Proposal'!AC674</f>
        <v xml:space="preserve"> </v>
      </c>
      <c r="R674" s="100" t="str">
        <f>IF(ISBLANK('ALL Other SINs - Proposal'!AA674)," ",ROUND(Q674,2))</f>
        <v xml:space="preserve"> </v>
      </c>
      <c r="S674" s="54"/>
    </row>
    <row r="675" spans="1:19" ht="20.100000000000001" customHeight="1" x14ac:dyDescent="0.2">
      <c r="A675" s="127">
        <f>'ALL Other SINs - Proposal'!A675</f>
        <v>0</v>
      </c>
      <c r="B675" s="121">
        <f>'ALL Other SINs - Proposal'!B675</f>
        <v>0</v>
      </c>
      <c r="C675" s="121">
        <f>'ALL Other SINs - Proposal'!C675</f>
        <v>0</v>
      </c>
      <c r="D675" s="121">
        <f>'ALL Other SINs - Proposal'!D675</f>
        <v>0</v>
      </c>
      <c r="E675" s="121">
        <f>'ALL Other SINs - Proposal'!E675</f>
        <v>0</v>
      </c>
      <c r="F675" s="171">
        <f>'ALL Other SINs - Proposal'!F675</f>
        <v>0</v>
      </c>
      <c r="G675" s="51">
        <f>'ALL Other SINs - Proposal'!G675</f>
        <v>0</v>
      </c>
      <c r="H675" s="125">
        <f>'ALL Other SINs - Proposal'!H675</f>
        <v>0</v>
      </c>
      <c r="I675" s="125">
        <f>'ALL Other SINs - Proposal'!I675</f>
        <v>0</v>
      </c>
      <c r="J675" s="125">
        <f>'ALL Other SINs - Proposal'!J675</f>
        <v>0</v>
      </c>
      <c r="K675" s="125">
        <f>'ALL Other SINs - Proposal'!K675</f>
        <v>0</v>
      </c>
      <c r="L675" s="125">
        <f>'ALL Other SINs - Proposal'!L675</f>
        <v>0</v>
      </c>
      <c r="M675" s="206">
        <f>'ALL Other SINs - Proposal'!M675</f>
        <v>0</v>
      </c>
      <c r="N675" s="251">
        <f>'ALL Other SINs - Proposal'!V675</f>
        <v>0</v>
      </c>
      <c r="O675" s="201" t="str">
        <f>'Price Analysis'!N675</f>
        <v xml:space="preserve"> </v>
      </c>
      <c r="P675" s="53" t="str">
        <f>IF(ISBLANK('ALL Other SINs - Proposal'!AA675)," ",'ALL Other SINs - Proposal'!AA675)</f>
        <v xml:space="preserve"> </v>
      </c>
      <c r="Q675" s="95" t="str">
        <f>'ALL Other SINs - Proposal'!AC675</f>
        <v xml:space="preserve"> </v>
      </c>
      <c r="R675" s="100" t="str">
        <f>IF(ISBLANK('ALL Other SINs - Proposal'!AA675)," ",ROUND(Q675,2))</f>
        <v xml:space="preserve"> </v>
      </c>
      <c r="S675" s="54"/>
    </row>
    <row r="676" spans="1:19" ht="20.100000000000001" customHeight="1" x14ac:dyDescent="0.2">
      <c r="A676" s="127">
        <f>'ALL Other SINs - Proposal'!A676</f>
        <v>0</v>
      </c>
      <c r="B676" s="121">
        <f>'ALL Other SINs - Proposal'!B676</f>
        <v>0</v>
      </c>
      <c r="C676" s="121">
        <f>'ALL Other SINs - Proposal'!C676</f>
        <v>0</v>
      </c>
      <c r="D676" s="121">
        <f>'ALL Other SINs - Proposal'!D676</f>
        <v>0</v>
      </c>
      <c r="E676" s="121">
        <f>'ALL Other SINs - Proposal'!E676</f>
        <v>0</v>
      </c>
      <c r="F676" s="171">
        <f>'ALL Other SINs - Proposal'!F676</f>
        <v>0</v>
      </c>
      <c r="G676" s="51">
        <f>'ALL Other SINs - Proposal'!G676</f>
        <v>0</v>
      </c>
      <c r="H676" s="125">
        <f>'ALL Other SINs - Proposal'!H676</f>
        <v>0</v>
      </c>
      <c r="I676" s="125">
        <f>'ALL Other SINs - Proposal'!I676</f>
        <v>0</v>
      </c>
      <c r="J676" s="125">
        <f>'ALL Other SINs - Proposal'!J676</f>
        <v>0</v>
      </c>
      <c r="K676" s="125">
        <f>'ALL Other SINs - Proposal'!K676</f>
        <v>0</v>
      </c>
      <c r="L676" s="125">
        <f>'ALL Other SINs - Proposal'!L676</f>
        <v>0</v>
      </c>
      <c r="M676" s="206">
        <f>'ALL Other SINs - Proposal'!M676</f>
        <v>0</v>
      </c>
      <c r="N676" s="251">
        <f>'ALL Other SINs - Proposal'!V676</f>
        <v>0</v>
      </c>
      <c r="O676" s="201" t="str">
        <f>'Price Analysis'!N676</f>
        <v xml:space="preserve"> </v>
      </c>
      <c r="P676" s="53" t="str">
        <f>IF(ISBLANK('ALL Other SINs - Proposal'!AA676)," ",'ALL Other SINs - Proposal'!AA676)</f>
        <v xml:space="preserve"> </v>
      </c>
      <c r="Q676" s="95" t="str">
        <f>'ALL Other SINs - Proposal'!AC676</f>
        <v xml:space="preserve"> </v>
      </c>
      <c r="R676" s="100" t="str">
        <f>IF(ISBLANK('ALL Other SINs - Proposal'!AA676)," ",ROUND(Q676,2))</f>
        <v xml:space="preserve"> </v>
      </c>
      <c r="S676" s="54"/>
    </row>
    <row r="677" spans="1:19" ht="20.100000000000001" customHeight="1" x14ac:dyDescent="0.2">
      <c r="A677" s="127">
        <f>'ALL Other SINs - Proposal'!A677</f>
        <v>0</v>
      </c>
      <c r="B677" s="121">
        <f>'ALL Other SINs - Proposal'!B677</f>
        <v>0</v>
      </c>
      <c r="C677" s="121">
        <f>'ALL Other SINs - Proposal'!C677</f>
        <v>0</v>
      </c>
      <c r="D677" s="121">
        <f>'ALL Other SINs - Proposal'!D677</f>
        <v>0</v>
      </c>
      <c r="E677" s="121">
        <f>'ALL Other SINs - Proposal'!E677</f>
        <v>0</v>
      </c>
      <c r="F677" s="171">
        <f>'ALL Other SINs - Proposal'!F677</f>
        <v>0</v>
      </c>
      <c r="G677" s="51">
        <f>'ALL Other SINs - Proposal'!G677</f>
        <v>0</v>
      </c>
      <c r="H677" s="125">
        <f>'ALL Other SINs - Proposal'!H677</f>
        <v>0</v>
      </c>
      <c r="I677" s="125">
        <f>'ALL Other SINs - Proposal'!I677</f>
        <v>0</v>
      </c>
      <c r="J677" s="125">
        <f>'ALL Other SINs - Proposal'!J677</f>
        <v>0</v>
      </c>
      <c r="K677" s="125">
        <f>'ALL Other SINs - Proposal'!K677</f>
        <v>0</v>
      </c>
      <c r="L677" s="125">
        <f>'ALL Other SINs - Proposal'!L677</f>
        <v>0</v>
      </c>
      <c r="M677" s="206">
        <f>'ALL Other SINs - Proposal'!M677</f>
        <v>0</v>
      </c>
      <c r="N677" s="251">
        <f>'ALL Other SINs - Proposal'!V677</f>
        <v>0</v>
      </c>
      <c r="O677" s="201" t="str">
        <f>'Price Analysis'!N677</f>
        <v xml:space="preserve"> </v>
      </c>
      <c r="P677" s="53" t="str">
        <f>IF(ISBLANK('ALL Other SINs - Proposal'!AA677)," ",'ALL Other SINs - Proposal'!AA677)</f>
        <v xml:space="preserve"> </v>
      </c>
      <c r="Q677" s="95" t="str">
        <f>'ALL Other SINs - Proposal'!AC677</f>
        <v xml:space="preserve"> </v>
      </c>
      <c r="R677" s="100" t="str">
        <f>IF(ISBLANK('ALL Other SINs - Proposal'!AA677)," ",ROUND(Q677,2))</f>
        <v xml:space="preserve"> </v>
      </c>
      <c r="S677" s="54"/>
    </row>
    <row r="678" spans="1:19" ht="20.100000000000001" customHeight="1" x14ac:dyDescent="0.2">
      <c r="A678" s="127">
        <f>'ALL Other SINs - Proposal'!A678</f>
        <v>0</v>
      </c>
      <c r="B678" s="121">
        <f>'ALL Other SINs - Proposal'!B678</f>
        <v>0</v>
      </c>
      <c r="C678" s="121">
        <f>'ALL Other SINs - Proposal'!C678</f>
        <v>0</v>
      </c>
      <c r="D678" s="121">
        <f>'ALL Other SINs - Proposal'!D678</f>
        <v>0</v>
      </c>
      <c r="E678" s="121">
        <f>'ALL Other SINs - Proposal'!E678</f>
        <v>0</v>
      </c>
      <c r="F678" s="171">
        <f>'ALL Other SINs - Proposal'!F678</f>
        <v>0</v>
      </c>
      <c r="G678" s="51">
        <f>'ALL Other SINs - Proposal'!G678</f>
        <v>0</v>
      </c>
      <c r="H678" s="125">
        <f>'ALL Other SINs - Proposal'!H678</f>
        <v>0</v>
      </c>
      <c r="I678" s="125">
        <f>'ALL Other SINs - Proposal'!I678</f>
        <v>0</v>
      </c>
      <c r="J678" s="125">
        <f>'ALL Other SINs - Proposal'!J678</f>
        <v>0</v>
      </c>
      <c r="K678" s="125">
        <f>'ALL Other SINs - Proposal'!K678</f>
        <v>0</v>
      </c>
      <c r="L678" s="125">
        <f>'ALL Other SINs - Proposal'!L678</f>
        <v>0</v>
      </c>
      <c r="M678" s="206">
        <f>'ALL Other SINs - Proposal'!M678</f>
        <v>0</v>
      </c>
      <c r="N678" s="251">
        <f>'ALL Other SINs - Proposal'!V678</f>
        <v>0</v>
      </c>
      <c r="O678" s="201" t="str">
        <f>'Price Analysis'!N678</f>
        <v xml:space="preserve"> </v>
      </c>
      <c r="P678" s="53" t="str">
        <f>IF(ISBLANK('ALL Other SINs - Proposal'!AA678)," ",'ALL Other SINs - Proposal'!AA678)</f>
        <v xml:space="preserve"> </v>
      </c>
      <c r="Q678" s="95" t="str">
        <f>'ALL Other SINs - Proposal'!AC678</f>
        <v xml:space="preserve"> </v>
      </c>
      <c r="R678" s="100" t="str">
        <f>IF(ISBLANK('ALL Other SINs - Proposal'!AA678)," ",ROUND(Q678,2))</f>
        <v xml:space="preserve"> </v>
      </c>
      <c r="S678" s="54"/>
    </row>
    <row r="679" spans="1:19" ht="20.100000000000001" customHeight="1" x14ac:dyDescent="0.2">
      <c r="A679" s="127">
        <f>'ALL Other SINs - Proposal'!A679</f>
        <v>0</v>
      </c>
      <c r="B679" s="121">
        <f>'ALL Other SINs - Proposal'!B679</f>
        <v>0</v>
      </c>
      <c r="C679" s="121">
        <f>'ALL Other SINs - Proposal'!C679</f>
        <v>0</v>
      </c>
      <c r="D679" s="121">
        <f>'ALL Other SINs - Proposal'!D679</f>
        <v>0</v>
      </c>
      <c r="E679" s="121">
        <f>'ALL Other SINs - Proposal'!E679</f>
        <v>0</v>
      </c>
      <c r="F679" s="171">
        <f>'ALL Other SINs - Proposal'!F679</f>
        <v>0</v>
      </c>
      <c r="G679" s="51">
        <f>'ALL Other SINs - Proposal'!G679</f>
        <v>0</v>
      </c>
      <c r="H679" s="125">
        <f>'ALL Other SINs - Proposal'!H679</f>
        <v>0</v>
      </c>
      <c r="I679" s="125">
        <f>'ALL Other SINs - Proposal'!I679</f>
        <v>0</v>
      </c>
      <c r="J679" s="125">
        <f>'ALL Other SINs - Proposal'!J679</f>
        <v>0</v>
      </c>
      <c r="K679" s="125">
        <f>'ALL Other SINs - Proposal'!K679</f>
        <v>0</v>
      </c>
      <c r="L679" s="125">
        <f>'ALL Other SINs - Proposal'!L679</f>
        <v>0</v>
      </c>
      <c r="M679" s="206">
        <f>'ALL Other SINs - Proposal'!M679</f>
        <v>0</v>
      </c>
      <c r="N679" s="251">
        <f>'ALL Other SINs - Proposal'!V679</f>
        <v>0</v>
      </c>
      <c r="O679" s="201" t="str">
        <f>'Price Analysis'!N679</f>
        <v xml:space="preserve"> </v>
      </c>
      <c r="P679" s="53" t="str">
        <f>IF(ISBLANK('ALL Other SINs - Proposal'!AA679)," ",'ALL Other SINs - Proposal'!AA679)</f>
        <v xml:space="preserve"> </v>
      </c>
      <c r="Q679" s="95" t="str">
        <f>'ALL Other SINs - Proposal'!AC679</f>
        <v xml:space="preserve"> </v>
      </c>
      <c r="R679" s="100" t="str">
        <f>IF(ISBLANK('ALL Other SINs - Proposal'!AA679)," ",ROUND(Q679,2))</f>
        <v xml:space="preserve"> </v>
      </c>
      <c r="S679" s="54"/>
    </row>
    <row r="680" spans="1:19" ht="20.100000000000001" customHeight="1" x14ac:dyDescent="0.2">
      <c r="A680" s="127">
        <f>'ALL Other SINs - Proposal'!A680</f>
        <v>0</v>
      </c>
      <c r="B680" s="121">
        <f>'ALL Other SINs - Proposal'!B680</f>
        <v>0</v>
      </c>
      <c r="C680" s="121">
        <f>'ALL Other SINs - Proposal'!C680</f>
        <v>0</v>
      </c>
      <c r="D680" s="121">
        <f>'ALL Other SINs - Proposal'!D680</f>
        <v>0</v>
      </c>
      <c r="E680" s="121">
        <f>'ALL Other SINs - Proposal'!E680</f>
        <v>0</v>
      </c>
      <c r="F680" s="171">
        <f>'ALL Other SINs - Proposal'!F680</f>
        <v>0</v>
      </c>
      <c r="G680" s="51">
        <f>'ALL Other SINs - Proposal'!G680</f>
        <v>0</v>
      </c>
      <c r="H680" s="125">
        <f>'ALL Other SINs - Proposal'!H680</f>
        <v>0</v>
      </c>
      <c r="I680" s="125">
        <f>'ALL Other SINs - Proposal'!I680</f>
        <v>0</v>
      </c>
      <c r="J680" s="125">
        <f>'ALL Other SINs - Proposal'!J680</f>
        <v>0</v>
      </c>
      <c r="K680" s="125">
        <f>'ALL Other SINs - Proposal'!K680</f>
        <v>0</v>
      </c>
      <c r="L680" s="125">
        <f>'ALL Other SINs - Proposal'!L680</f>
        <v>0</v>
      </c>
      <c r="M680" s="206">
        <f>'ALL Other SINs - Proposal'!M680</f>
        <v>0</v>
      </c>
      <c r="N680" s="251">
        <f>'ALL Other SINs - Proposal'!V680</f>
        <v>0</v>
      </c>
      <c r="O680" s="201" t="str">
        <f>'Price Analysis'!N680</f>
        <v xml:space="preserve"> </v>
      </c>
      <c r="P680" s="53" t="str">
        <f>IF(ISBLANK('ALL Other SINs - Proposal'!AA680)," ",'ALL Other SINs - Proposal'!AA680)</f>
        <v xml:space="preserve"> </v>
      </c>
      <c r="Q680" s="95" t="str">
        <f>'ALL Other SINs - Proposal'!AC680</f>
        <v xml:space="preserve"> </v>
      </c>
      <c r="R680" s="100" t="str">
        <f>IF(ISBLANK('ALL Other SINs - Proposal'!AA680)," ",ROUND(Q680,2))</f>
        <v xml:space="preserve"> </v>
      </c>
      <c r="S680" s="54"/>
    </row>
    <row r="681" spans="1:19" ht="20.100000000000001" customHeight="1" x14ac:dyDescent="0.2">
      <c r="A681" s="127">
        <f>'ALL Other SINs - Proposal'!A681</f>
        <v>0</v>
      </c>
      <c r="B681" s="121">
        <f>'ALL Other SINs - Proposal'!B681</f>
        <v>0</v>
      </c>
      <c r="C681" s="121">
        <f>'ALL Other SINs - Proposal'!C681</f>
        <v>0</v>
      </c>
      <c r="D681" s="121">
        <f>'ALL Other SINs - Proposal'!D681</f>
        <v>0</v>
      </c>
      <c r="E681" s="121">
        <f>'ALL Other SINs - Proposal'!E681</f>
        <v>0</v>
      </c>
      <c r="F681" s="171">
        <f>'ALL Other SINs - Proposal'!F681</f>
        <v>0</v>
      </c>
      <c r="G681" s="51">
        <f>'ALL Other SINs - Proposal'!G681</f>
        <v>0</v>
      </c>
      <c r="H681" s="125">
        <f>'ALL Other SINs - Proposal'!H681</f>
        <v>0</v>
      </c>
      <c r="I681" s="125">
        <f>'ALL Other SINs - Proposal'!I681</f>
        <v>0</v>
      </c>
      <c r="J681" s="125">
        <f>'ALL Other SINs - Proposal'!J681</f>
        <v>0</v>
      </c>
      <c r="K681" s="125">
        <f>'ALL Other SINs - Proposal'!K681</f>
        <v>0</v>
      </c>
      <c r="L681" s="125">
        <f>'ALL Other SINs - Proposal'!L681</f>
        <v>0</v>
      </c>
      <c r="M681" s="206">
        <f>'ALL Other SINs - Proposal'!M681</f>
        <v>0</v>
      </c>
      <c r="N681" s="251">
        <f>'ALL Other SINs - Proposal'!V681</f>
        <v>0</v>
      </c>
      <c r="O681" s="201" t="str">
        <f>'Price Analysis'!N681</f>
        <v xml:space="preserve"> </v>
      </c>
      <c r="P681" s="53" t="str">
        <f>IF(ISBLANK('ALL Other SINs - Proposal'!AA681)," ",'ALL Other SINs - Proposal'!AA681)</f>
        <v xml:space="preserve"> </v>
      </c>
      <c r="Q681" s="95" t="str">
        <f>'ALL Other SINs - Proposal'!AC681</f>
        <v xml:space="preserve"> </v>
      </c>
      <c r="R681" s="100" t="str">
        <f>IF(ISBLANK('ALL Other SINs - Proposal'!AA681)," ",ROUND(Q681,2))</f>
        <v xml:space="preserve"> </v>
      </c>
      <c r="S681" s="54"/>
    </row>
    <row r="682" spans="1:19" ht="20.100000000000001" customHeight="1" x14ac:dyDescent="0.2">
      <c r="A682" s="127">
        <f>'ALL Other SINs - Proposal'!A682</f>
        <v>0</v>
      </c>
      <c r="B682" s="121">
        <f>'ALL Other SINs - Proposal'!B682</f>
        <v>0</v>
      </c>
      <c r="C682" s="121">
        <f>'ALL Other SINs - Proposal'!C682</f>
        <v>0</v>
      </c>
      <c r="D682" s="121">
        <f>'ALL Other SINs - Proposal'!D682</f>
        <v>0</v>
      </c>
      <c r="E682" s="121">
        <f>'ALL Other SINs - Proposal'!E682</f>
        <v>0</v>
      </c>
      <c r="F682" s="171">
        <f>'ALL Other SINs - Proposal'!F682</f>
        <v>0</v>
      </c>
      <c r="G682" s="51">
        <f>'ALL Other SINs - Proposal'!G682</f>
        <v>0</v>
      </c>
      <c r="H682" s="125">
        <f>'ALL Other SINs - Proposal'!H682</f>
        <v>0</v>
      </c>
      <c r="I682" s="125">
        <f>'ALL Other SINs - Proposal'!I682</f>
        <v>0</v>
      </c>
      <c r="J682" s="125">
        <f>'ALL Other SINs - Proposal'!J682</f>
        <v>0</v>
      </c>
      <c r="K682" s="125">
        <f>'ALL Other SINs - Proposal'!K682</f>
        <v>0</v>
      </c>
      <c r="L682" s="125">
        <f>'ALL Other SINs - Proposal'!L682</f>
        <v>0</v>
      </c>
      <c r="M682" s="206">
        <f>'ALL Other SINs - Proposal'!M682</f>
        <v>0</v>
      </c>
      <c r="N682" s="251">
        <f>'ALL Other SINs - Proposal'!V682</f>
        <v>0</v>
      </c>
      <c r="O682" s="201" t="str">
        <f>'Price Analysis'!N682</f>
        <v xml:space="preserve"> </v>
      </c>
      <c r="P682" s="53" t="str">
        <f>IF(ISBLANK('ALL Other SINs - Proposal'!AA682)," ",'ALL Other SINs - Proposal'!AA682)</f>
        <v xml:space="preserve"> </v>
      </c>
      <c r="Q682" s="95" t="str">
        <f>'ALL Other SINs - Proposal'!AC682</f>
        <v xml:space="preserve"> </v>
      </c>
      <c r="R682" s="100" t="str">
        <f>IF(ISBLANK('ALL Other SINs - Proposal'!AA682)," ",ROUND(Q682,2))</f>
        <v xml:space="preserve"> </v>
      </c>
      <c r="S682" s="54"/>
    </row>
    <row r="683" spans="1:19" ht="20.100000000000001" customHeight="1" x14ac:dyDescent="0.2">
      <c r="A683" s="127">
        <f>'ALL Other SINs - Proposal'!A683</f>
        <v>0</v>
      </c>
      <c r="B683" s="121">
        <f>'ALL Other SINs - Proposal'!B683</f>
        <v>0</v>
      </c>
      <c r="C683" s="121">
        <f>'ALL Other SINs - Proposal'!C683</f>
        <v>0</v>
      </c>
      <c r="D683" s="121">
        <f>'ALL Other SINs - Proposal'!D683</f>
        <v>0</v>
      </c>
      <c r="E683" s="121">
        <f>'ALL Other SINs - Proposal'!E683</f>
        <v>0</v>
      </c>
      <c r="F683" s="171">
        <f>'ALL Other SINs - Proposal'!F683</f>
        <v>0</v>
      </c>
      <c r="G683" s="51">
        <f>'ALL Other SINs - Proposal'!G683</f>
        <v>0</v>
      </c>
      <c r="H683" s="125">
        <f>'ALL Other SINs - Proposal'!H683</f>
        <v>0</v>
      </c>
      <c r="I683" s="125">
        <f>'ALL Other SINs - Proposal'!I683</f>
        <v>0</v>
      </c>
      <c r="J683" s="125">
        <f>'ALL Other SINs - Proposal'!J683</f>
        <v>0</v>
      </c>
      <c r="K683" s="125">
        <f>'ALL Other SINs - Proposal'!K683</f>
        <v>0</v>
      </c>
      <c r="L683" s="125">
        <f>'ALL Other SINs - Proposal'!L683</f>
        <v>0</v>
      </c>
      <c r="M683" s="206">
        <f>'ALL Other SINs - Proposal'!M683</f>
        <v>0</v>
      </c>
      <c r="N683" s="251">
        <f>'ALL Other SINs - Proposal'!V683</f>
        <v>0</v>
      </c>
      <c r="O683" s="201" t="str">
        <f>'Price Analysis'!N683</f>
        <v xml:space="preserve"> </v>
      </c>
      <c r="P683" s="53" t="str">
        <f>IF(ISBLANK('ALL Other SINs - Proposal'!AA683)," ",'ALL Other SINs - Proposal'!AA683)</f>
        <v xml:space="preserve"> </v>
      </c>
      <c r="Q683" s="95" t="str">
        <f>'ALL Other SINs - Proposal'!AC683</f>
        <v xml:space="preserve"> </v>
      </c>
      <c r="R683" s="100" t="str">
        <f>IF(ISBLANK('ALL Other SINs - Proposal'!AA683)," ",ROUND(Q683,2))</f>
        <v xml:space="preserve"> </v>
      </c>
      <c r="S683" s="54"/>
    </row>
    <row r="684" spans="1:19" ht="20.100000000000001" customHeight="1" x14ac:dyDescent="0.2">
      <c r="A684" s="127">
        <f>'ALL Other SINs - Proposal'!A684</f>
        <v>0</v>
      </c>
      <c r="B684" s="121">
        <f>'ALL Other SINs - Proposal'!B684</f>
        <v>0</v>
      </c>
      <c r="C684" s="121">
        <f>'ALL Other SINs - Proposal'!C684</f>
        <v>0</v>
      </c>
      <c r="D684" s="121">
        <f>'ALL Other SINs - Proposal'!D684</f>
        <v>0</v>
      </c>
      <c r="E684" s="121">
        <f>'ALL Other SINs - Proposal'!E684</f>
        <v>0</v>
      </c>
      <c r="F684" s="171">
        <f>'ALL Other SINs - Proposal'!F684</f>
        <v>0</v>
      </c>
      <c r="G684" s="51">
        <f>'ALL Other SINs - Proposal'!G684</f>
        <v>0</v>
      </c>
      <c r="H684" s="125">
        <f>'ALL Other SINs - Proposal'!H684</f>
        <v>0</v>
      </c>
      <c r="I684" s="125">
        <f>'ALL Other SINs - Proposal'!I684</f>
        <v>0</v>
      </c>
      <c r="J684" s="125">
        <f>'ALL Other SINs - Proposal'!J684</f>
        <v>0</v>
      </c>
      <c r="K684" s="125">
        <f>'ALL Other SINs - Proposal'!K684</f>
        <v>0</v>
      </c>
      <c r="L684" s="125">
        <f>'ALL Other SINs - Proposal'!L684</f>
        <v>0</v>
      </c>
      <c r="M684" s="206">
        <f>'ALL Other SINs - Proposal'!M684</f>
        <v>0</v>
      </c>
      <c r="N684" s="251">
        <f>'ALL Other SINs - Proposal'!V684</f>
        <v>0</v>
      </c>
      <c r="O684" s="201" t="str">
        <f>'Price Analysis'!N684</f>
        <v xml:space="preserve"> </v>
      </c>
      <c r="P684" s="53" t="str">
        <f>IF(ISBLANK('ALL Other SINs - Proposal'!AA684)," ",'ALL Other SINs - Proposal'!AA684)</f>
        <v xml:space="preserve"> </v>
      </c>
      <c r="Q684" s="95" t="str">
        <f>'ALL Other SINs - Proposal'!AC684</f>
        <v xml:space="preserve"> </v>
      </c>
      <c r="R684" s="100" t="str">
        <f>IF(ISBLANK('ALL Other SINs - Proposal'!AA684)," ",ROUND(Q684,2))</f>
        <v xml:space="preserve"> </v>
      </c>
      <c r="S684" s="54"/>
    </row>
    <row r="685" spans="1:19" ht="20.100000000000001" customHeight="1" x14ac:dyDescent="0.2">
      <c r="A685" s="127">
        <f>'ALL Other SINs - Proposal'!A685</f>
        <v>0</v>
      </c>
      <c r="B685" s="121">
        <f>'ALL Other SINs - Proposal'!B685</f>
        <v>0</v>
      </c>
      <c r="C685" s="121">
        <f>'ALL Other SINs - Proposal'!C685</f>
        <v>0</v>
      </c>
      <c r="D685" s="121">
        <f>'ALL Other SINs - Proposal'!D685</f>
        <v>0</v>
      </c>
      <c r="E685" s="121">
        <f>'ALL Other SINs - Proposal'!E685</f>
        <v>0</v>
      </c>
      <c r="F685" s="171">
        <f>'ALL Other SINs - Proposal'!F685</f>
        <v>0</v>
      </c>
      <c r="G685" s="51">
        <f>'ALL Other SINs - Proposal'!G685</f>
        <v>0</v>
      </c>
      <c r="H685" s="125">
        <f>'ALL Other SINs - Proposal'!H685</f>
        <v>0</v>
      </c>
      <c r="I685" s="125">
        <f>'ALL Other SINs - Proposal'!I685</f>
        <v>0</v>
      </c>
      <c r="J685" s="125">
        <f>'ALL Other SINs - Proposal'!J685</f>
        <v>0</v>
      </c>
      <c r="K685" s="125">
        <f>'ALL Other SINs - Proposal'!K685</f>
        <v>0</v>
      </c>
      <c r="L685" s="125">
        <f>'ALL Other SINs - Proposal'!L685</f>
        <v>0</v>
      </c>
      <c r="M685" s="206">
        <f>'ALL Other SINs - Proposal'!M685</f>
        <v>0</v>
      </c>
      <c r="N685" s="251">
        <f>'ALL Other SINs - Proposal'!V685</f>
        <v>0</v>
      </c>
      <c r="O685" s="201" t="str">
        <f>'Price Analysis'!N685</f>
        <v xml:space="preserve"> </v>
      </c>
      <c r="P685" s="53" t="str">
        <f>IF(ISBLANK('ALL Other SINs - Proposal'!AA685)," ",'ALL Other SINs - Proposal'!AA685)</f>
        <v xml:space="preserve"> </v>
      </c>
      <c r="Q685" s="95" t="str">
        <f>'ALL Other SINs - Proposal'!AC685</f>
        <v xml:space="preserve"> </v>
      </c>
      <c r="R685" s="100" t="str">
        <f>IF(ISBLANK('ALL Other SINs - Proposal'!AA685)," ",ROUND(Q685,2))</f>
        <v xml:space="preserve"> </v>
      </c>
      <c r="S685" s="54"/>
    </row>
    <row r="686" spans="1:19" ht="20.100000000000001" customHeight="1" x14ac:dyDescent="0.2">
      <c r="A686" s="127">
        <f>'ALL Other SINs - Proposal'!A686</f>
        <v>0</v>
      </c>
      <c r="B686" s="121">
        <f>'ALL Other SINs - Proposal'!B686</f>
        <v>0</v>
      </c>
      <c r="C686" s="121">
        <f>'ALL Other SINs - Proposal'!C686</f>
        <v>0</v>
      </c>
      <c r="D686" s="121">
        <f>'ALL Other SINs - Proposal'!D686</f>
        <v>0</v>
      </c>
      <c r="E686" s="121">
        <f>'ALL Other SINs - Proposal'!E686</f>
        <v>0</v>
      </c>
      <c r="F686" s="171">
        <f>'ALL Other SINs - Proposal'!F686</f>
        <v>0</v>
      </c>
      <c r="G686" s="51">
        <f>'ALL Other SINs - Proposal'!G686</f>
        <v>0</v>
      </c>
      <c r="H686" s="125">
        <f>'ALL Other SINs - Proposal'!H686</f>
        <v>0</v>
      </c>
      <c r="I686" s="125">
        <f>'ALL Other SINs - Proposal'!I686</f>
        <v>0</v>
      </c>
      <c r="J686" s="125">
        <f>'ALL Other SINs - Proposal'!J686</f>
        <v>0</v>
      </c>
      <c r="K686" s="125">
        <f>'ALL Other SINs - Proposal'!K686</f>
        <v>0</v>
      </c>
      <c r="L686" s="125">
        <f>'ALL Other SINs - Proposal'!L686</f>
        <v>0</v>
      </c>
      <c r="M686" s="206">
        <f>'ALL Other SINs - Proposal'!M686</f>
        <v>0</v>
      </c>
      <c r="N686" s="251">
        <f>'ALL Other SINs - Proposal'!V686</f>
        <v>0</v>
      </c>
      <c r="O686" s="201" t="str">
        <f>'Price Analysis'!N686</f>
        <v xml:space="preserve"> </v>
      </c>
      <c r="P686" s="53" t="str">
        <f>IF(ISBLANK('ALL Other SINs - Proposal'!AA686)," ",'ALL Other SINs - Proposal'!AA686)</f>
        <v xml:space="preserve"> </v>
      </c>
      <c r="Q686" s="95" t="str">
        <f>'ALL Other SINs - Proposal'!AC686</f>
        <v xml:space="preserve"> </v>
      </c>
      <c r="R686" s="100" t="str">
        <f>IF(ISBLANK('ALL Other SINs - Proposal'!AA686)," ",ROUND(Q686,2))</f>
        <v xml:space="preserve"> </v>
      </c>
      <c r="S686" s="54"/>
    </row>
    <row r="687" spans="1:19" ht="20.100000000000001" customHeight="1" x14ac:dyDescent="0.2">
      <c r="A687" s="127">
        <f>'ALL Other SINs - Proposal'!A687</f>
        <v>0</v>
      </c>
      <c r="B687" s="121">
        <f>'ALL Other SINs - Proposal'!B687</f>
        <v>0</v>
      </c>
      <c r="C687" s="121">
        <f>'ALL Other SINs - Proposal'!C687</f>
        <v>0</v>
      </c>
      <c r="D687" s="121">
        <f>'ALL Other SINs - Proposal'!D687</f>
        <v>0</v>
      </c>
      <c r="E687" s="121">
        <f>'ALL Other SINs - Proposal'!E687</f>
        <v>0</v>
      </c>
      <c r="F687" s="171">
        <f>'ALL Other SINs - Proposal'!F687</f>
        <v>0</v>
      </c>
      <c r="G687" s="51">
        <f>'ALL Other SINs - Proposal'!G687</f>
        <v>0</v>
      </c>
      <c r="H687" s="125">
        <f>'ALL Other SINs - Proposal'!H687</f>
        <v>0</v>
      </c>
      <c r="I687" s="125">
        <f>'ALL Other SINs - Proposal'!I687</f>
        <v>0</v>
      </c>
      <c r="J687" s="125">
        <f>'ALL Other SINs - Proposal'!J687</f>
        <v>0</v>
      </c>
      <c r="K687" s="125">
        <f>'ALL Other SINs - Proposal'!K687</f>
        <v>0</v>
      </c>
      <c r="L687" s="125">
        <f>'ALL Other SINs - Proposal'!L687</f>
        <v>0</v>
      </c>
      <c r="M687" s="206">
        <f>'ALL Other SINs - Proposal'!M687</f>
        <v>0</v>
      </c>
      <c r="N687" s="251">
        <f>'ALL Other SINs - Proposal'!V687</f>
        <v>0</v>
      </c>
      <c r="O687" s="201" t="str">
        <f>'Price Analysis'!N687</f>
        <v xml:space="preserve"> </v>
      </c>
      <c r="P687" s="53" t="str">
        <f>IF(ISBLANK('ALL Other SINs - Proposal'!AA687)," ",'ALL Other SINs - Proposal'!AA687)</f>
        <v xml:space="preserve"> </v>
      </c>
      <c r="Q687" s="95" t="str">
        <f>'ALL Other SINs - Proposal'!AC687</f>
        <v xml:space="preserve"> </v>
      </c>
      <c r="R687" s="100" t="str">
        <f>IF(ISBLANK('ALL Other SINs - Proposal'!AA687)," ",ROUND(Q687,2))</f>
        <v xml:space="preserve"> </v>
      </c>
      <c r="S687" s="54"/>
    </row>
    <row r="688" spans="1:19" ht="20.100000000000001" customHeight="1" x14ac:dyDescent="0.2">
      <c r="A688" s="127">
        <f>'ALL Other SINs - Proposal'!A688</f>
        <v>0</v>
      </c>
      <c r="B688" s="121">
        <f>'ALL Other SINs - Proposal'!B688</f>
        <v>0</v>
      </c>
      <c r="C688" s="121">
        <f>'ALL Other SINs - Proposal'!C688</f>
        <v>0</v>
      </c>
      <c r="D688" s="121">
        <f>'ALL Other SINs - Proposal'!D688</f>
        <v>0</v>
      </c>
      <c r="E688" s="121">
        <f>'ALL Other SINs - Proposal'!E688</f>
        <v>0</v>
      </c>
      <c r="F688" s="171">
        <f>'ALL Other SINs - Proposal'!F688</f>
        <v>0</v>
      </c>
      <c r="G688" s="51">
        <f>'ALL Other SINs - Proposal'!G688</f>
        <v>0</v>
      </c>
      <c r="H688" s="125">
        <f>'ALL Other SINs - Proposal'!H688</f>
        <v>0</v>
      </c>
      <c r="I688" s="125">
        <f>'ALL Other SINs - Proposal'!I688</f>
        <v>0</v>
      </c>
      <c r="J688" s="125">
        <f>'ALL Other SINs - Proposal'!J688</f>
        <v>0</v>
      </c>
      <c r="K688" s="125">
        <f>'ALL Other SINs - Proposal'!K688</f>
        <v>0</v>
      </c>
      <c r="L688" s="125">
        <f>'ALL Other SINs - Proposal'!L688</f>
        <v>0</v>
      </c>
      <c r="M688" s="206">
        <f>'ALL Other SINs - Proposal'!M688</f>
        <v>0</v>
      </c>
      <c r="N688" s="251">
        <f>'ALL Other SINs - Proposal'!V688</f>
        <v>0</v>
      </c>
      <c r="O688" s="201" t="str">
        <f>'Price Analysis'!N688</f>
        <v xml:space="preserve"> </v>
      </c>
      <c r="P688" s="53" t="str">
        <f>IF(ISBLANK('ALL Other SINs - Proposal'!AA688)," ",'ALL Other SINs - Proposal'!AA688)</f>
        <v xml:space="preserve"> </v>
      </c>
      <c r="Q688" s="95" t="str">
        <f>'ALL Other SINs - Proposal'!AC688</f>
        <v xml:space="preserve"> </v>
      </c>
      <c r="R688" s="100" t="str">
        <f>IF(ISBLANK('ALL Other SINs - Proposal'!AA688)," ",ROUND(Q688,2))</f>
        <v xml:space="preserve"> </v>
      </c>
      <c r="S688" s="54"/>
    </row>
    <row r="689" spans="1:19" ht="20.100000000000001" customHeight="1" x14ac:dyDescent="0.2">
      <c r="A689" s="127">
        <f>'ALL Other SINs - Proposal'!A689</f>
        <v>0</v>
      </c>
      <c r="B689" s="121">
        <f>'ALL Other SINs - Proposal'!B689</f>
        <v>0</v>
      </c>
      <c r="C689" s="121">
        <f>'ALL Other SINs - Proposal'!C689</f>
        <v>0</v>
      </c>
      <c r="D689" s="121">
        <f>'ALL Other SINs - Proposal'!D689</f>
        <v>0</v>
      </c>
      <c r="E689" s="121">
        <f>'ALL Other SINs - Proposal'!E689</f>
        <v>0</v>
      </c>
      <c r="F689" s="171">
        <f>'ALL Other SINs - Proposal'!F689</f>
        <v>0</v>
      </c>
      <c r="G689" s="51">
        <f>'ALL Other SINs - Proposal'!G689</f>
        <v>0</v>
      </c>
      <c r="H689" s="125">
        <f>'ALL Other SINs - Proposal'!H689</f>
        <v>0</v>
      </c>
      <c r="I689" s="125">
        <f>'ALL Other SINs - Proposal'!I689</f>
        <v>0</v>
      </c>
      <c r="J689" s="125">
        <f>'ALL Other SINs - Proposal'!J689</f>
        <v>0</v>
      </c>
      <c r="K689" s="125">
        <f>'ALL Other SINs - Proposal'!K689</f>
        <v>0</v>
      </c>
      <c r="L689" s="125">
        <f>'ALL Other SINs - Proposal'!L689</f>
        <v>0</v>
      </c>
      <c r="M689" s="206">
        <f>'ALL Other SINs - Proposal'!M689</f>
        <v>0</v>
      </c>
      <c r="N689" s="251">
        <f>'ALL Other SINs - Proposal'!V689</f>
        <v>0</v>
      </c>
      <c r="O689" s="201" t="str">
        <f>'Price Analysis'!N689</f>
        <v xml:space="preserve"> </v>
      </c>
      <c r="P689" s="53" t="str">
        <f>IF(ISBLANK('ALL Other SINs - Proposal'!AA689)," ",'ALL Other SINs - Proposal'!AA689)</f>
        <v xml:space="preserve"> </v>
      </c>
      <c r="Q689" s="95" t="str">
        <f>'ALL Other SINs - Proposal'!AC689</f>
        <v xml:space="preserve"> </v>
      </c>
      <c r="R689" s="100" t="str">
        <f>IF(ISBLANK('ALL Other SINs - Proposal'!AA689)," ",ROUND(Q689,2))</f>
        <v xml:space="preserve"> </v>
      </c>
      <c r="S689" s="54"/>
    </row>
    <row r="690" spans="1:19" ht="20.100000000000001" customHeight="1" x14ac:dyDescent="0.2">
      <c r="A690" s="127">
        <f>'ALL Other SINs - Proposal'!A690</f>
        <v>0</v>
      </c>
      <c r="B690" s="121">
        <f>'ALL Other SINs - Proposal'!B690</f>
        <v>0</v>
      </c>
      <c r="C690" s="121">
        <f>'ALL Other SINs - Proposal'!C690</f>
        <v>0</v>
      </c>
      <c r="D690" s="121">
        <f>'ALL Other SINs - Proposal'!D690</f>
        <v>0</v>
      </c>
      <c r="E690" s="121">
        <f>'ALL Other SINs - Proposal'!E690</f>
        <v>0</v>
      </c>
      <c r="F690" s="171">
        <f>'ALL Other SINs - Proposal'!F690</f>
        <v>0</v>
      </c>
      <c r="G690" s="51">
        <f>'ALL Other SINs - Proposal'!G690</f>
        <v>0</v>
      </c>
      <c r="H690" s="125">
        <f>'ALL Other SINs - Proposal'!H690</f>
        <v>0</v>
      </c>
      <c r="I690" s="125">
        <f>'ALL Other SINs - Proposal'!I690</f>
        <v>0</v>
      </c>
      <c r="J690" s="125">
        <f>'ALL Other SINs - Proposal'!J690</f>
        <v>0</v>
      </c>
      <c r="K690" s="125">
        <f>'ALL Other SINs - Proposal'!K690</f>
        <v>0</v>
      </c>
      <c r="L690" s="125">
        <f>'ALL Other SINs - Proposal'!L690</f>
        <v>0</v>
      </c>
      <c r="M690" s="206">
        <f>'ALL Other SINs - Proposal'!M690</f>
        <v>0</v>
      </c>
      <c r="N690" s="251">
        <f>'ALL Other SINs - Proposal'!V690</f>
        <v>0</v>
      </c>
      <c r="O690" s="201" t="str">
        <f>'Price Analysis'!N690</f>
        <v xml:space="preserve"> </v>
      </c>
      <c r="P690" s="53" t="str">
        <f>IF(ISBLANK('ALL Other SINs - Proposal'!AA690)," ",'ALL Other SINs - Proposal'!AA690)</f>
        <v xml:space="preserve"> </v>
      </c>
      <c r="Q690" s="95" t="str">
        <f>'ALL Other SINs - Proposal'!AC690</f>
        <v xml:space="preserve"> </v>
      </c>
      <c r="R690" s="100" t="str">
        <f>IF(ISBLANK('ALL Other SINs - Proposal'!AA690)," ",ROUND(Q690,2))</f>
        <v xml:space="preserve"> </v>
      </c>
      <c r="S690" s="54"/>
    </row>
    <row r="691" spans="1:19" ht="20.100000000000001" customHeight="1" x14ac:dyDescent="0.2">
      <c r="A691" s="127">
        <f>'ALL Other SINs - Proposal'!A691</f>
        <v>0</v>
      </c>
      <c r="B691" s="121">
        <f>'ALL Other SINs - Proposal'!B691</f>
        <v>0</v>
      </c>
      <c r="C691" s="121">
        <f>'ALL Other SINs - Proposal'!C691</f>
        <v>0</v>
      </c>
      <c r="D691" s="121">
        <f>'ALL Other SINs - Proposal'!D691</f>
        <v>0</v>
      </c>
      <c r="E691" s="121">
        <f>'ALL Other SINs - Proposal'!E691</f>
        <v>0</v>
      </c>
      <c r="F691" s="171">
        <f>'ALL Other SINs - Proposal'!F691</f>
        <v>0</v>
      </c>
      <c r="G691" s="51">
        <f>'ALL Other SINs - Proposal'!G691</f>
        <v>0</v>
      </c>
      <c r="H691" s="125">
        <f>'ALL Other SINs - Proposal'!H691</f>
        <v>0</v>
      </c>
      <c r="I691" s="125">
        <f>'ALL Other SINs - Proposal'!I691</f>
        <v>0</v>
      </c>
      <c r="J691" s="125">
        <f>'ALL Other SINs - Proposal'!J691</f>
        <v>0</v>
      </c>
      <c r="K691" s="125">
        <f>'ALL Other SINs - Proposal'!K691</f>
        <v>0</v>
      </c>
      <c r="L691" s="125">
        <f>'ALL Other SINs - Proposal'!L691</f>
        <v>0</v>
      </c>
      <c r="M691" s="206">
        <f>'ALL Other SINs - Proposal'!M691</f>
        <v>0</v>
      </c>
      <c r="N691" s="251">
        <f>'ALL Other SINs - Proposal'!V691</f>
        <v>0</v>
      </c>
      <c r="O691" s="201" t="str">
        <f>'Price Analysis'!N691</f>
        <v xml:space="preserve"> </v>
      </c>
      <c r="P691" s="53" t="str">
        <f>IF(ISBLANK('ALL Other SINs - Proposal'!AA691)," ",'ALL Other SINs - Proposal'!AA691)</f>
        <v xml:space="preserve"> </v>
      </c>
      <c r="Q691" s="95" t="str">
        <f>'ALL Other SINs - Proposal'!AC691</f>
        <v xml:space="preserve"> </v>
      </c>
      <c r="R691" s="100" t="str">
        <f>IF(ISBLANK('ALL Other SINs - Proposal'!AA691)," ",ROUND(Q691,2))</f>
        <v xml:space="preserve"> </v>
      </c>
      <c r="S691" s="54"/>
    </row>
    <row r="692" spans="1:19" ht="20.100000000000001" customHeight="1" x14ac:dyDescent="0.2">
      <c r="A692" s="127">
        <f>'ALL Other SINs - Proposal'!A692</f>
        <v>0</v>
      </c>
      <c r="B692" s="121">
        <f>'ALL Other SINs - Proposal'!B692</f>
        <v>0</v>
      </c>
      <c r="C692" s="121">
        <f>'ALL Other SINs - Proposal'!C692</f>
        <v>0</v>
      </c>
      <c r="D692" s="121">
        <f>'ALL Other SINs - Proposal'!D692</f>
        <v>0</v>
      </c>
      <c r="E692" s="121">
        <f>'ALL Other SINs - Proposal'!E692</f>
        <v>0</v>
      </c>
      <c r="F692" s="171">
        <f>'ALL Other SINs - Proposal'!F692</f>
        <v>0</v>
      </c>
      <c r="G692" s="51">
        <f>'ALL Other SINs - Proposal'!G692</f>
        <v>0</v>
      </c>
      <c r="H692" s="125">
        <f>'ALL Other SINs - Proposal'!H692</f>
        <v>0</v>
      </c>
      <c r="I692" s="125">
        <f>'ALL Other SINs - Proposal'!I692</f>
        <v>0</v>
      </c>
      <c r="J692" s="125">
        <f>'ALL Other SINs - Proposal'!J692</f>
        <v>0</v>
      </c>
      <c r="K692" s="125">
        <f>'ALL Other SINs - Proposal'!K692</f>
        <v>0</v>
      </c>
      <c r="L692" s="125">
        <f>'ALL Other SINs - Proposal'!L692</f>
        <v>0</v>
      </c>
      <c r="M692" s="206">
        <f>'ALL Other SINs - Proposal'!M692</f>
        <v>0</v>
      </c>
      <c r="N692" s="251">
        <f>'ALL Other SINs - Proposal'!V692</f>
        <v>0</v>
      </c>
      <c r="O692" s="201" t="str">
        <f>'Price Analysis'!N692</f>
        <v xml:space="preserve"> </v>
      </c>
      <c r="P692" s="53" t="str">
        <f>IF(ISBLANK('ALL Other SINs - Proposal'!AA692)," ",'ALL Other SINs - Proposal'!AA692)</f>
        <v xml:space="preserve"> </v>
      </c>
      <c r="Q692" s="95" t="str">
        <f>'ALL Other SINs - Proposal'!AC692</f>
        <v xml:space="preserve"> </v>
      </c>
      <c r="R692" s="100" t="str">
        <f>IF(ISBLANK('ALL Other SINs - Proposal'!AA692)," ",ROUND(Q692,2))</f>
        <v xml:space="preserve"> </v>
      </c>
      <c r="S692" s="54"/>
    </row>
    <row r="693" spans="1:19" ht="20.100000000000001" customHeight="1" x14ac:dyDescent="0.2">
      <c r="A693" s="127">
        <f>'ALL Other SINs - Proposal'!A693</f>
        <v>0</v>
      </c>
      <c r="B693" s="121">
        <f>'ALL Other SINs - Proposal'!B693</f>
        <v>0</v>
      </c>
      <c r="C693" s="121">
        <f>'ALL Other SINs - Proposal'!C693</f>
        <v>0</v>
      </c>
      <c r="D693" s="121">
        <f>'ALL Other SINs - Proposal'!D693</f>
        <v>0</v>
      </c>
      <c r="E693" s="121">
        <f>'ALL Other SINs - Proposal'!E693</f>
        <v>0</v>
      </c>
      <c r="F693" s="171">
        <f>'ALL Other SINs - Proposal'!F693</f>
        <v>0</v>
      </c>
      <c r="G693" s="51">
        <f>'ALL Other SINs - Proposal'!G693</f>
        <v>0</v>
      </c>
      <c r="H693" s="125">
        <f>'ALL Other SINs - Proposal'!H693</f>
        <v>0</v>
      </c>
      <c r="I693" s="125">
        <f>'ALL Other SINs - Proposal'!I693</f>
        <v>0</v>
      </c>
      <c r="J693" s="125">
        <f>'ALL Other SINs - Proposal'!J693</f>
        <v>0</v>
      </c>
      <c r="K693" s="125">
        <f>'ALL Other SINs - Proposal'!K693</f>
        <v>0</v>
      </c>
      <c r="L693" s="125">
        <f>'ALL Other SINs - Proposal'!L693</f>
        <v>0</v>
      </c>
      <c r="M693" s="206">
        <f>'ALL Other SINs - Proposal'!M693</f>
        <v>0</v>
      </c>
      <c r="N693" s="251">
        <f>'ALL Other SINs - Proposal'!V693</f>
        <v>0</v>
      </c>
      <c r="O693" s="201" t="str">
        <f>'Price Analysis'!N693</f>
        <v xml:space="preserve"> </v>
      </c>
      <c r="P693" s="53" t="str">
        <f>IF(ISBLANK('ALL Other SINs - Proposal'!AA693)," ",'ALL Other SINs - Proposal'!AA693)</f>
        <v xml:space="preserve"> </v>
      </c>
      <c r="Q693" s="95" t="str">
        <f>'ALL Other SINs - Proposal'!AC693</f>
        <v xml:space="preserve"> </v>
      </c>
      <c r="R693" s="100" t="str">
        <f>IF(ISBLANK('ALL Other SINs - Proposal'!AA693)," ",ROUND(Q693,2))</f>
        <v xml:space="preserve"> </v>
      </c>
      <c r="S693" s="54"/>
    </row>
    <row r="694" spans="1:19" ht="20.100000000000001" customHeight="1" x14ac:dyDescent="0.2">
      <c r="A694" s="127">
        <f>'ALL Other SINs - Proposal'!A694</f>
        <v>0</v>
      </c>
      <c r="B694" s="121">
        <f>'ALL Other SINs - Proposal'!B694</f>
        <v>0</v>
      </c>
      <c r="C694" s="121">
        <f>'ALL Other SINs - Proposal'!C694</f>
        <v>0</v>
      </c>
      <c r="D694" s="121">
        <f>'ALL Other SINs - Proposal'!D694</f>
        <v>0</v>
      </c>
      <c r="E694" s="121">
        <f>'ALL Other SINs - Proposal'!E694</f>
        <v>0</v>
      </c>
      <c r="F694" s="171">
        <f>'ALL Other SINs - Proposal'!F694</f>
        <v>0</v>
      </c>
      <c r="G694" s="51">
        <f>'ALL Other SINs - Proposal'!G694</f>
        <v>0</v>
      </c>
      <c r="H694" s="125">
        <f>'ALL Other SINs - Proposal'!H694</f>
        <v>0</v>
      </c>
      <c r="I694" s="125">
        <f>'ALL Other SINs - Proposal'!I694</f>
        <v>0</v>
      </c>
      <c r="J694" s="125">
        <f>'ALL Other SINs - Proposal'!J694</f>
        <v>0</v>
      </c>
      <c r="K694" s="125">
        <f>'ALL Other SINs - Proposal'!K694</f>
        <v>0</v>
      </c>
      <c r="L694" s="125">
        <f>'ALL Other SINs - Proposal'!L694</f>
        <v>0</v>
      </c>
      <c r="M694" s="206">
        <f>'ALL Other SINs - Proposal'!M694</f>
        <v>0</v>
      </c>
      <c r="N694" s="251">
        <f>'ALL Other SINs - Proposal'!V694</f>
        <v>0</v>
      </c>
      <c r="O694" s="201" t="str">
        <f>'Price Analysis'!N694</f>
        <v xml:space="preserve"> </v>
      </c>
      <c r="P694" s="53" t="str">
        <f>IF(ISBLANK('ALL Other SINs - Proposal'!AA694)," ",'ALL Other SINs - Proposal'!AA694)</f>
        <v xml:space="preserve"> </v>
      </c>
      <c r="Q694" s="95" t="str">
        <f>'ALL Other SINs - Proposal'!AC694</f>
        <v xml:space="preserve"> </v>
      </c>
      <c r="R694" s="100" t="str">
        <f>IF(ISBLANK('ALL Other SINs - Proposal'!AA694)," ",ROUND(Q694,2))</f>
        <v xml:space="preserve"> </v>
      </c>
      <c r="S694" s="54"/>
    </row>
    <row r="695" spans="1:19" ht="20.100000000000001" customHeight="1" x14ac:dyDescent="0.2">
      <c r="A695" s="127">
        <f>'ALL Other SINs - Proposal'!A695</f>
        <v>0</v>
      </c>
      <c r="B695" s="121">
        <f>'ALL Other SINs - Proposal'!B695</f>
        <v>0</v>
      </c>
      <c r="C695" s="121">
        <f>'ALL Other SINs - Proposal'!C695</f>
        <v>0</v>
      </c>
      <c r="D695" s="121">
        <f>'ALL Other SINs - Proposal'!D695</f>
        <v>0</v>
      </c>
      <c r="E695" s="121">
        <f>'ALL Other SINs - Proposal'!E695</f>
        <v>0</v>
      </c>
      <c r="F695" s="171">
        <f>'ALL Other SINs - Proposal'!F695</f>
        <v>0</v>
      </c>
      <c r="G695" s="51">
        <f>'ALL Other SINs - Proposal'!G695</f>
        <v>0</v>
      </c>
      <c r="H695" s="125">
        <f>'ALL Other SINs - Proposal'!H695</f>
        <v>0</v>
      </c>
      <c r="I695" s="125">
        <f>'ALL Other SINs - Proposal'!I695</f>
        <v>0</v>
      </c>
      <c r="J695" s="125">
        <f>'ALL Other SINs - Proposal'!J695</f>
        <v>0</v>
      </c>
      <c r="K695" s="125">
        <f>'ALL Other SINs - Proposal'!K695</f>
        <v>0</v>
      </c>
      <c r="L695" s="125">
        <f>'ALL Other SINs - Proposal'!L695</f>
        <v>0</v>
      </c>
      <c r="M695" s="206">
        <f>'ALL Other SINs - Proposal'!M695</f>
        <v>0</v>
      </c>
      <c r="N695" s="251">
        <f>'ALL Other SINs - Proposal'!V695</f>
        <v>0</v>
      </c>
      <c r="O695" s="201" t="str">
        <f>'Price Analysis'!N695</f>
        <v xml:space="preserve"> </v>
      </c>
      <c r="P695" s="53" t="str">
        <f>IF(ISBLANK('ALL Other SINs - Proposal'!AA695)," ",'ALL Other SINs - Proposal'!AA695)</f>
        <v xml:space="preserve"> </v>
      </c>
      <c r="Q695" s="95" t="str">
        <f>'ALL Other SINs - Proposal'!AC695</f>
        <v xml:space="preserve"> </v>
      </c>
      <c r="R695" s="100" t="str">
        <f>IF(ISBLANK('ALL Other SINs - Proposal'!AA695)," ",ROUND(Q695,2))</f>
        <v xml:space="preserve"> </v>
      </c>
      <c r="S695" s="54"/>
    </row>
    <row r="696" spans="1:19" ht="20.100000000000001" customHeight="1" x14ac:dyDescent="0.2">
      <c r="A696" s="127">
        <f>'ALL Other SINs - Proposal'!A696</f>
        <v>0</v>
      </c>
      <c r="B696" s="121">
        <f>'ALL Other SINs - Proposal'!B696</f>
        <v>0</v>
      </c>
      <c r="C696" s="121">
        <f>'ALL Other SINs - Proposal'!C696</f>
        <v>0</v>
      </c>
      <c r="D696" s="121">
        <f>'ALL Other SINs - Proposal'!D696</f>
        <v>0</v>
      </c>
      <c r="E696" s="121">
        <f>'ALL Other SINs - Proposal'!E696</f>
        <v>0</v>
      </c>
      <c r="F696" s="171">
        <f>'ALL Other SINs - Proposal'!F696</f>
        <v>0</v>
      </c>
      <c r="G696" s="51">
        <f>'ALL Other SINs - Proposal'!G696</f>
        <v>0</v>
      </c>
      <c r="H696" s="125">
        <f>'ALL Other SINs - Proposal'!H696</f>
        <v>0</v>
      </c>
      <c r="I696" s="125">
        <f>'ALL Other SINs - Proposal'!I696</f>
        <v>0</v>
      </c>
      <c r="J696" s="125">
        <f>'ALL Other SINs - Proposal'!J696</f>
        <v>0</v>
      </c>
      <c r="K696" s="125">
        <f>'ALL Other SINs - Proposal'!K696</f>
        <v>0</v>
      </c>
      <c r="L696" s="125">
        <f>'ALL Other SINs - Proposal'!L696</f>
        <v>0</v>
      </c>
      <c r="M696" s="206">
        <f>'ALL Other SINs - Proposal'!M696</f>
        <v>0</v>
      </c>
      <c r="N696" s="251">
        <f>'ALL Other SINs - Proposal'!V696</f>
        <v>0</v>
      </c>
      <c r="O696" s="201" t="str">
        <f>'Price Analysis'!N696</f>
        <v xml:space="preserve"> </v>
      </c>
      <c r="P696" s="53" t="str">
        <f>IF(ISBLANK('ALL Other SINs - Proposal'!AA696)," ",'ALL Other SINs - Proposal'!AA696)</f>
        <v xml:space="preserve"> </v>
      </c>
      <c r="Q696" s="95" t="str">
        <f>'ALL Other SINs - Proposal'!AC696</f>
        <v xml:space="preserve"> </v>
      </c>
      <c r="R696" s="100" t="str">
        <f>IF(ISBLANK('ALL Other SINs - Proposal'!AA696)," ",ROUND(Q696,2))</f>
        <v xml:space="preserve"> </v>
      </c>
      <c r="S696" s="54"/>
    </row>
    <row r="697" spans="1:19" ht="20.100000000000001" customHeight="1" x14ac:dyDescent="0.2">
      <c r="A697" s="127">
        <f>'ALL Other SINs - Proposal'!A697</f>
        <v>0</v>
      </c>
      <c r="B697" s="121">
        <f>'ALL Other SINs - Proposal'!B697</f>
        <v>0</v>
      </c>
      <c r="C697" s="121">
        <f>'ALL Other SINs - Proposal'!C697</f>
        <v>0</v>
      </c>
      <c r="D697" s="121">
        <f>'ALL Other SINs - Proposal'!D697</f>
        <v>0</v>
      </c>
      <c r="E697" s="121">
        <f>'ALL Other SINs - Proposal'!E697</f>
        <v>0</v>
      </c>
      <c r="F697" s="171">
        <f>'ALL Other SINs - Proposal'!F697</f>
        <v>0</v>
      </c>
      <c r="G697" s="51">
        <f>'ALL Other SINs - Proposal'!G697</f>
        <v>0</v>
      </c>
      <c r="H697" s="125">
        <f>'ALL Other SINs - Proposal'!H697</f>
        <v>0</v>
      </c>
      <c r="I697" s="125">
        <f>'ALL Other SINs - Proposal'!I697</f>
        <v>0</v>
      </c>
      <c r="J697" s="125">
        <f>'ALL Other SINs - Proposal'!J697</f>
        <v>0</v>
      </c>
      <c r="K697" s="125">
        <f>'ALL Other SINs - Proposal'!K697</f>
        <v>0</v>
      </c>
      <c r="L697" s="125">
        <f>'ALL Other SINs - Proposal'!L697</f>
        <v>0</v>
      </c>
      <c r="M697" s="206">
        <f>'ALL Other SINs - Proposal'!M697</f>
        <v>0</v>
      </c>
      <c r="N697" s="251">
        <f>'ALL Other SINs - Proposal'!V697</f>
        <v>0</v>
      </c>
      <c r="O697" s="201" t="str">
        <f>'Price Analysis'!N697</f>
        <v xml:space="preserve"> </v>
      </c>
      <c r="P697" s="53" t="str">
        <f>IF(ISBLANK('ALL Other SINs - Proposal'!AA697)," ",'ALL Other SINs - Proposal'!AA697)</f>
        <v xml:space="preserve"> </v>
      </c>
      <c r="Q697" s="95" t="str">
        <f>'ALL Other SINs - Proposal'!AC697</f>
        <v xml:space="preserve"> </v>
      </c>
      <c r="R697" s="100" t="str">
        <f>IF(ISBLANK('ALL Other SINs - Proposal'!AA697)," ",ROUND(Q697,2))</f>
        <v xml:space="preserve"> </v>
      </c>
      <c r="S697" s="54"/>
    </row>
    <row r="698" spans="1:19" ht="20.100000000000001" customHeight="1" x14ac:dyDescent="0.2">
      <c r="A698" s="127">
        <f>'ALL Other SINs - Proposal'!A698</f>
        <v>0</v>
      </c>
      <c r="B698" s="121">
        <f>'ALL Other SINs - Proposal'!B698</f>
        <v>0</v>
      </c>
      <c r="C698" s="121">
        <f>'ALL Other SINs - Proposal'!C698</f>
        <v>0</v>
      </c>
      <c r="D698" s="121">
        <f>'ALL Other SINs - Proposal'!D698</f>
        <v>0</v>
      </c>
      <c r="E698" s="121">
        <f>'ALL Other SINs - Proposal'!E698</f>
        <v>0</v>
      </c>
      <c r="F698" s="171">
        <f>'ALL Other SINs - Proposal'!F698</f>
        <v>0</v>
      </c>
      <c r="G698" s="51">
        <f>'ALL Other SINs - Proposal'!G698</f>
        <v>0</v>
      </c>
      <c r="H698" s="125">
        <f>'ALL Other SINs - Proposal'!H698</f>
        <v>0</v>
      </c>
      <c r="I698" s="125">
        <f>'ALL Other SINs - Proposal'!I698</f>
        <v>0</v>
      </c>
      <c r="J698" s="125">
        <f>'ALL Other SINs - Proposal'!J698</f>
        <v>0</v>
      </c>
      <c r="K698" s="125">
        <f>'ALL Other SINs - Proposal'!K698</f>
        <v>0</v>
      </c>
      <c r="L698" s="125">
        <f>'ALL Other SINs - Proposal'!L698</f>
        <v>0</v>
      </c>
      <c r="M698" s="206">
        <f>'ALL Other SINs - Proposal'!M698</f>
        <v>0</v>
      </c>
      <c r="N698" s="251">
        <f>'ALL Other SINs - Proposal'!V698</f>
        <v>0</v>
      </c>
      <c r="O698" s="201" t="str">
        <f>'Price Analysis'!N698</f>
        <v xml:space="preserve"> </v>
      </c>
      <c r="P698" s="53" t="str">
        <f>IF(ISBLANK('ALL Other SINs - Proposal'!AA698)," ",'ALL Other SINs - Proposal'!AA698)</f>
        <v xml:space="preserve"> </v>
      </c>
      <c r="Q698" s="95" t="str">
        <f>'ALL Other SINs - Proposal'!AC698</f>
        <v xml:space="preserve"> </v>
      </c>
      <c r="R698" s="100" t="str">
        <f>IF(ISBLANK('ALL Other SINs - Proposal'!AA698)," ",ROUND(Q698,2))</f>
        <v xml:space="preserve"> </v>
      </c>
      <c r="S698" s="54"/>
    </row>
    <row r="699" spans="1:19" ht="20.100000000000001" customHeight="1" x14ac:dyDescent="0.2">
      <c r="A699" s="127">
        <f>'ALL Other SINs - Proposal'!A699</f>
        <v>0</v>
      </c>
      <c r="B699" s="121">
        <f>'ALL Other SINs - Proposal'!B699</f>
        <v>0</v>
      </c>
      <c r="C699" s="121">
        <f>'ALL Other SINs - Proposal'!C699</f>
        <v>0</v>
      </c>
      <c r="D699" s="121">
        <f>'ALL Other SINs - Proposal'!D699</f>
        <v>0</v>
      </c>
      <c r="E699" s="121">
        <f>'ALL Other SINs - Proposal'!E699</f>
        <v>0</v>
      </c>
      <c r="F699" s="171">
        <f>'ALL Other SINs - Proposal'!F699</f>
        <v>0</v>
      </c>
      <c r="G699" s="51">
        <f>'ALL Other SINs - Proposal'!G699</f>
        <v>0</v>
      </c>
      <c r="H699" s="125">
        <f>'ALL Other SINs - Proposal'!H699</f>
        <v>0</v>
      </c>
      <c r="I699" s="125">
        <f>'ALL Other SINs - Proposal'!I699</f>
        <v>0</v>
      </c>
      <c r="J699" s="125">
        <f>'ALL Other SINs - Proposal'!J699</f>
        <v>0</v>
      </c>
      <c r="K699" s="125">
        <f>'ALL Other SINs - Proposal'!K699</f>
        <v>0</v>
      </c>
      <c r="L699" s="125">
        <f>'ALL Other SINs - Proposal'!L699</f>
        <v>0</v>
      </c>
      <c r="M699" s="206">
        <f>'ALL Other SINs - Proposal'!M699</f>
        <v>0</v>
      </c>
      <c r="N699" s="251">
        <f>'ALL Other SINs - Proposal'!V699</f>
        <v>0</v>
      </c>
      <c r="O699" s="201" t="str">
        <f>'Price Analysis'!N699</f>
        <v xml:space="preserve"> </v>
      </c>
      <c r="P699" s="53" t="str">
        <f>IF(ISBLANK('ALL Other SINs - Proposal'!AA699)," ",'ALL Other SINs - Proposal'!AA699)</f>
        <v xml:space="preserve"> </v>
      </c>
      <c r="Q699" s="95" t="str">
        <f>'ALL Other SINs - Proposal'!AC699</f>
        <v xml:space="preserve"> </v>
      </c>
      <c r="R699" s="100" t="str">
        <f>IF(ISBLANK('ALL Other SINs - Proposal'!AA699)," ",ROUND(Q699,2))</f>
        <v xml:space="preserve"> </v>
      </c>
      <c r="S699" s="54"/>
    </row>
    <row r="700" spans="1:19" ht="20.100000000000001" customHeight="1" x14ac:dyDescent="0.2">
      <c r="A700" s="127">
        <f>'ALL Other SINs - Proposal'!A700</f>
        <v>0</v>
      </c>
      <c r="B700" s="121">
        <f>'ALL Other SINs - Proposal'!B700</f>
        <v>0</v>
      </c>
      <c r="C700" s="121">
        <f>'ALL Other SINs - Proposal'!C700</f>
        <v>0</v>
      </c>
      <c r="D700" s="121">
        <f>'ALL Other SINs - Proposal'!D700</f>
        <v>0</v>
      </c>
      <c r="E700" s="121">
        <f>'ALL Other SINs - Proposal'!E700</f>
        <v>0</v>
      </c>
      <c r="F700" s="171">
        <f>'ALL Other SINs - Proposal'!F700</f>
        <v>0</v>
      </c>
      <c r="G700" s="51">
        <f>'ALL Other SINs - Proposal'!G700</f>
        <v>0</v>
      </c>
      <c r="H700" s="125">
        <f>'ALL Other SINs - Proposal'!H700</f>
        <v>0</v>
      </c>
      <c r="I700" s="125">
        <f>'ALL Other SINs - Proposal'!I700</f>
        <v>0</v>
      </c>
      <c r="J700" s="125">
        <f>'ALL Other SINs - Proposal'!J700</f>
        <v>0</v>
      </c>
      <c r="K700" s="125">
        <f>'ALL Other SINs - Proposal'!K700</f>
        <v>0</v>
      </c>
      <c r="L700" s="125">
        <f>'ALL Other SINs - Proposal'!L700</f>
        <v>0</v>
      </c>
      <c r="M700" s="206">
        <f>'ALL Other SINs - Proposal'!M700</f>
        <v>0</v>
      </c>
      <c r="N700" s="251">
        <f>'ALL Other SINs - Proposal'!V700</f>
        <v>0</v>
      </c>
      <c r="O700" s="201" t="str">
        <f>'Price Analysis'!N700</f>
        <v xml:space="preserve"> </v>
      </c>
      <c r="P700" s="53" t="str">
        <f>IF(ISBLANK('ALL Other SINs - Proposal'!AA700)," ",'ALL Other SINs - Proposal'!AA700)</f>
        <v xml:space="preserve"> </v>
      </c>
      <c r="Q700" s="95" t="str">
        <f>'ALL Other SINs - Proposal'!AC700</f>
        <v xml:space="preserve"> </v>
      </c>
      <c r="R700" s="100" t="str">
        <f>IF(ISBLANK('ALL Other SINs - Proposal'!AA700)," ",ROUND(Q700,2))</f>
        <v xml:space="preserve"> </v>
      </c>
      <c r="S700" s="54"/>
    </row>
    <row r="701" spans="1:19" ht="20.100000000000001" customHeight="1" x14ac:dyDescent="0.2">
      <c r="A701" s="127">
        <f>'ALL Other SINs - Proposal'!A701</f>
        <v>0</v>
      </c>
      <c r="B701" s="121">
        <f>'ALL Other SINs - Proposal'!B701</f>
        <v>0</v>
      </c>
      <c r="C701" s="121">
        <f>'ALL Other SINs - Proposal'!C701</f>
        <v>0</v>
      </c>
      <c r="D701" s="121">
        <f>'ALL Other SINs - Proposal'!D701</f>
        <v>0</v>
      </c>
      <c r="E701" s="121">
        <f>'ALL Other SINs - Proposal'!E701</f>
        <v>0</v>
      </c>
      <c r="F701" s="171">
        <f>'ALL Other SINs - Proposal'!F701</f>
        <v>0</v>
      </c>
      <c r="G701" s="51">
        <f>'ALL Other SINs - Proposal'!G701</f>
        <v>0</v>
      </c>
      <c r="H701" s="125">
        <f>'ALL Other SINs - Proposal'!H701</f>
        <v>0</v>
      </c>
      <c r="I701" s="125">
        <f>'ALL Other SINs - Proposal'!I701</f>
        <v>0</v>
      </c>
      <c r="J701" s="125">
        <f>'ALL Other SINs - Proposal'!J701</f>
        <v>0</v>
      </c>
      <c r="K701" s="125">
        <f>'ALL Other SINs - Proposal'!K701</f>
        <v>0</v>
      </c>
      <c r="L701" s="125">
        <f>'ALL Other SINs - Proposal'!L701</f>
        <v>0</v>
      </c>
      <c r="M701" s="206">
        <f>'ALL Other SINs - Proposal'!M701</f>
        <v>0</v>
      </c>
      <c r="N701" s="251">
        <f>'ALL Other SINs - Proposal'!V701</f>
        <v>0</v>
      </c>
      <c r="O701" s="201" t="str">
        <f>'Price Analysis'!N701</f>
        <v xml:space="preserve"> </v>
      </c>
      <c r="P701" s="53" t="str">
        <f>IF(ISBLANK('ALL Other SINs - Proposal'!AA701)," ",'ALL Other SINs - Proposal'!AA701)</f>
        <v xml:space="preserve"> </v>
      </c>
      <c r="Q701" s="95" t="str">
        <f>'ALL Other SINs - Proposal'!AC701</f>
        <v xml:space="preserve"> </v>
      </c>
      <c r="R701" s="100" t="str">
        <f>IF(ISBLANK('ALL Other SINs - Proposal'!AA701)," ",ROUND(Q701,2))</f>
        <v xml:space="preserve"> </v>
      </c>
      <c r="S701" s="54"/>
    </row>
    <row r="702" spans="1:19" ht="20.100000000000001" customHeight="1" x14ac:dyDescent="0.2">
      <c r="A702" s="127">
        <f>'ALL Other SINs - Proposal'!A702</f>
        <v>0</v>
      </c>
      <c r="B702" s="121">
        <f>'ALL Other SINs - Proposal'!B702</f>
        <v>0</v>
      </c>
      <c r="C702" s="121">
        <f>'ALL Other SINs - Proposal'!C702</f>
        <v>0</v>
      </c>
      <c r="D702" s="121">
        <f>'ALL Other SINs - Proposal'!D702</f>
        <v>0</v>
      </c>
      <c r="E702" s="121">
        <f>'ALL Other SINs - Proposal'!E702</f>
        <v>0</v>
      </c>
      <c r="F702" s="171">
        <f>'ALL Other SINs - Proposal'!F702</f>
        <v>0</v>
      </c>
      <c r="G702" s="51">
        <f>'ALL Other SINs - Proposal'!G702</f>
        <v>0</v>
      </c>
      <c r="H702" s="125">
        <f>'ALL Other SINs - Proposal'!H702</f>
        <v>0</v>
      </c>
      <c r="I702" s="125">
        <f>'ALL Other SINs - Proposal'!I702</f>
        <v>0</v>
      </c>
      <c r="J702" s="125">
        <f>'ALL Other SINs - Proposal'!J702</f>
        <v>0</v>
      </c>
      <c r="K702" s="125">
        <f>'ALL Other SINs - Proposal'!K702</f>
        <v>0</v>
      </c>
      <c r="L702" s="125">
        <f>'ALL Other SINs - Proposal'!L702</f>
        <v>0</v>
      </c>
      <c r="M702" s="206">
        <f>'ALL Other SINs - Proposal'!M702</f>
        <v>0</v>
      </c>
      <c r="N702" s="251">
        <f>'ALL Other SINs - Proposal'!V702</f>
        <v>0</v>
      </c>
      <c r="O702" s="201" t="str">
        <f>'Price Analysis'!N702</f>
        <v xml:space="preserve"> </v>
      </c>
      <c r="P702" s="53" t="str">
        <f>IF(ISBLANK('ALL Other SINs - Proposal'!AA702)," ",'ALL Other SINs - Proposal'!AA702)</f>
        <v xml:space="preserve"> </v>
      </c>
      <c r="Q702" s="95" t="str">
        <f>'ALL Other SINs - Proposal'!AC702</f>
        <v xml:space="preserve"> </v>
      </c>
      <c r="R702" s="100" t="str">
        <f>IF(ISBLANK('ALL Other SINs - Proposal'!AA702)," ",ROUND(Q702,2))</f>
        <v xml:space="preserve"> </v>
      </c>
      <c r="S702" s="54"/>
    </row>
    <row r="703" spans="1:19" ht="20.100000000000001" customHeight="1" x14ac:dyDescent="0.2">
      <c r="A703" s="127">
        <f>'ALL Other SINs - Proposal'!A703</f>
        <v>0</v>
      </c>
      <c r="B703" s="121">
        <f>'ALL Other SINs - Proposal'!B703</f>
        <v>0</v>
      </c>
      <c r="C703" s="121">
        <f>'ALL Other SINs - Proposal'!C703</f>
        <v>0</v>
      </c>
      <c r="D703" s="121">
        <f>'ALL Other SINs - Proposal'!D703</f>
        <v>0</v>
      </c>
      <c r="E703" s="121">
        <f>'ALL Other SINs - Proposal'!E703</f>
        <v>0</v>
      </c>
      <c r="F703" s="171">
        <f>'ALL Other SINs - Proposal'!F703</f>
        <v>0</v>
      </c>
      <c r="G703" s="51">
        <f>'ALL Other SINs - Proposal'!G703</f>
        <v>0</v>
      </c>
      <c r="H703" s="125">
        <f>'ALL Other SINs - Proposal'!H703</f>
        <v>0</v>
      </c>
      <c r="I703" s="125">
        <f>'ALL Other SINs - Proposal'!I703</f>
        <v>0</v>
      </c>
      <c r="J703" s="125">
        <f>'ALL Other SINs - Proposal'!J703</f>
        <v>0</v>
      </c>
      <c r="K703" s="125">
        <f>'ALL Other SINs - Proposal'!K703</f>
        <v>0</v>
      </c>
      <c r="L703" s="125">
        <f>'ALL Other SINs - Proposal'!L703</f>
        <v>0</v>
      </c>
      <c r="M703" s="206">
        <f>'ALL Other SINs - Proposal'!M703</f>
        <v>0</v>
      </c>
      <c r="N703" s="251">
        <f>'ALL Other SINs - Proposal'!V703</f>
        <v>0</v>
      </c>
      <c r="O703" s="201" t="str">
        <f>'Price Analysis'!N703</f>
        <v xml:space="preserve"> </v>
      </c>
      <c r="P703" s="53" t="str">
        <f>IF(ISBLANK('ALL Other SINs - Proposal'!AA703)," ",'ALL Other SINs - Proposal'!AA703)</f>
        <v xml:space="preserve"> </v>
      </c>
      <c r="Q703" s="95" t="str">
        <f>'ALL Other SINs - Proposal'!AC703</f>
        <v xml:space="preserve"> </v>
      </c>
      <c r="R703" s="100" t="str">
        <f>IF(ISBLANK('ALL Other SINs - Proposal'!AA703)," ",ROUND(Q703,2))</f>
        <v xml:space="preserve"> </v>
      </c>
      <c r="S703" s="54"/>
    </row>
    <row r="704" spans="1:19" ht="20.100000000000001" customHeight="1" x14ac:dyDescent="0.2">
      <c r="A704" s="127">
        <f>'ALL Other SINs - Proposal'!A704</f>
        <v>0</v>
      </c>
      <c r="B704" s="121">
        <f>'ALL Other SINs - Proposal'!B704</f>
        <v>0</v>
      </c>
      <c r="C704" s="121">
        <f>'ALL Other SINs - Proposal'!C704</f>
        <v>0</v>
      </c>
      <c r="D704" s="121">
        <f>'ALL Other SINs - Proposal'!D704</f>
        <v>0</v>
      </c>
      <c r="E704" s="121">
        <f>'ALL Other SINs - Proposal'!E704</f>
        <v>0</v>
      </c>
      <c r="F704" s="171">
        <f>'ALL Other SINs - Proposal'!F704</f>
        <v>0</v>
      </c>
      <c r="G704" s="51">
        <f>'ALL Other SINs - Proposal'!G704</f>
        <v>0</v>
      </c>
      <c r="H704" s="125">
        <f>'ALL Other SINs - Proposal'!H704</f>
        <v>0</v>
      </c>
      <c r="I704" s="125">
        <f>'ALL Other SINs - Proposal'!I704</f>
        <v>0</v>
      </c>
      <c r="J704" s="125">
        <f>'ALL Other SINs - Proposal'!J704</f>
        <v>0</v>
      </c>
      <c r="K704" s="125">
        <f>'ALL Other SINs - Proposal'!K704</f>
        <v>0</v>
      </c>
      <c r="L704" s="125">
        <f>'ALL Other SINs - Proposal'!L704</f>
        <v>0</v>
      </c>
      <c r="M704" s="206">
        <f>'ALL Other SINs - Proposal'!M704</f>
        <v>0</v>
      </c>
      <c r="N704" s="251">
        <f>'ALL Other SINs - Proposal'!V704</f>
        <v>0</v>
      </c>
      <c r="O704" s="201" t="str">
        <f>'Price Analysis'!N704</f>
        <v xml:space="preserve"> </v>
      </c>
      <c r="P704" s="53" t="str">
        <f>IF(ISBLANK('ALL Other SINs - Proposal'!AA704)," ",'ALL Other SINs - Proposal'!AA704)</f>
        <v xml:space="preserve"> </v>
      </c>
      <c r="Q704" s="95" t="str">
        <f>'ALL Other SINs - Proposal'!AC704</f>
        <v xml:space="preserve"> </v>
      </c>
      <c r="R704" s="100" t="str">
        <f>IF(ISBLANK('ALL Other SINs - Proposal'!AA704)," ",ROUND(Q704,2))</f>
        <v xml:space="preserve"> </v>
      </c>
      <c r="S704" s="54"/>
    </row>
    <row r="705" spans="1:19" ht="20.100000000000001" customHeight="1" x14ac:dyDescent="0.2">
      <c r="A705" s="127">
        <f>'ALL Other SINs - Proposal'!A705</f>
        <v>0</v>
      </c>
      <c r="B705" s="121">
        <f>'ALL Other SINs - Proposal'!B705</f>
        <v>0</v>
      </c>
      <c r="C705" s="121">
        <f>'ALL Other SINs - Proposal'!C705</f>
        <v>0</v>
      </c>
      <c r="D705" s="121">
        <f>'ALL Other SINs - Proposal'!D705</f>
        <v>0</v>
      </c>
      <c r="E705" s="121">
        <f>'ALL Other SINs - Proposal'!E705</f>
        <v>0</v>
      </c>
      <c r="F705" s="171">
        <f>'ALL Other SINs - Proposal'!F705</f>
        <v>0</v>
      </c>
      <c r="G705" s="51">
        <f>'ALL Other SINs - Proposal'!G705</f>
        <v>0</v>
      </c>
      <c r="H705" s="125">
        <f>'ALL Other SINs - Proposal'!H705</f>
        <v>0</v>
      </c>
      <c r="I705" s="125">
        <f>'ALL Other SINs - Proposal'!I705</f>
        <v>0</v>
      </c>
      <c r="J705" s="125">
        <f>'ALL Other SINs - Proposal'!J705</f>
        <v>0</v>
      </c>
      <c r="K705" s="125">
        <f>'ALL Other SINs - Proposal'!K705</f>
        <v>0</v>
      </c>
      <c r="L705" s="125">
        <f>'ALL Other SINs - Proposal'!L705</f>
        <v>0</v>
      </c>
      <c r="M705" s="206">
        <f>'ALL Other SINs - Proposal'!M705</f>
        <v>0</v>
      </c>
      <c r="N705" s="251">
        <f>'ALL Other SINs - Proposal'!V705</f>
        <v>0</v>
      </c>
      <c r="O705" s="201" t="str">
        <f>'Price Analysis'!N705</f>
        <v xml:space="preserve"> </v>
      </c>
      <c r="P705" s="53" t="str">
        <f>IF(ISBLANK('ALL Other SINs - Proposal'!AA705)," ",'ALL Other SINs - Proposal'!AA705)</f>
        <v xml:space="preserve"> </v>
      </c>
      <c r="Q705" s="95" t="str">
        <f>'ALL Other SINs - Proposal'!AC705</f>
        <v xml:space="preserve"> </v>
      </c>
      <c r="R705" s="100" t="str">
        <f>IF(ISBLANK('ALL Other SINs - Proposal'!AA705)," ",ROUND(Q705,2))</f>
        <v xml:space="preserve"> </v>
      </c>
      <c r="S705" s="54"/>
    </row>
    <row r="706" spans="1:19" ht="20.100000000000001" customHeight="1" x14ac:dyDescent="0.2">
      <c r="A706" s="127">
        <f>'ALL Other SINs - Proposal'!A706</f>
        <v>0</v>
      </c>
      <c r="B706" s="121">
        <f>'ALL Other SINs - Proposal'!B706</f>
        <v>0</v>
      </c>
      <c r="C706" s="121">
        <f>'ALL Other SINs - Proposal'!C706</f>
        <v>0</v>
      </c>
      <c r="D706" s="121">
        <f>'ALL Other SINs - Proposal'!D706</f>
        <v>0</v>
      </c>
      <c r="E706" s="121">
        <f>'ALL Other SINs - Proposal'!E706</f>
        <v>0</v>
      </c>
      <c r="F706" s="171">
        <f>'ALL Other SINs - Proposal'!F706</f>
        <v>0</v>
      </c>
      <c r="G706" s="51">
        <f>'ALL Other SINs - Proposal'!G706</f>
        <v>0</v>
      </c>
      <c r="H706" s="125">
        <f>'ALL Other SINs - Proposal'!H706</f>
        <v>0</v>
      </c>
      <c r="I706" s="125">
        <f>'ALL Other SINs - Proposal'!I706</f>
        <v>0</v>
      </c>
      <c r="J706" s="125">
        <f>'ALL Other SINs - Proposal'!J706</f>
        <v>0</v>
      </c>
      <c r="K706" s="125">
        <f>'ALL Other SINs - Proposal'!K706</f>
        <v>0</v>
      </c>
      <c r="L706" s="125">
        <f>'ALL Other SINs - Proposal'!L706</f>
        <v>0</v>
      </c>
      <c r="M706" s="206">
        <f>'ALL Other SINs - Proposal'!M706</f>
        <v>0</v>
      </c>
      <c r="N706" s="251">
        <f>'ALL Other SINs - Proposal'!V706</f>
        <v>0</v>
      </c>
      <c r="O706" s="201" t="str">
        <f>'Price Analysis'!N706</f>
        <v xml:space="preserve"> </v>
      </c>
      <c r="P706" s="53" t="str">
        <f>IF(ISBLANK('ALL Other SINs - Proposal'!AA706)," ",'ALL Other SINs - Proposal'!AA706)</f>
        <v xml:space="preserve"> </v>
      </c>
      <c r="Q706" s="95" t="str">
        <f>'ALL Other SINs - Proposal'!AC706</f>
        <v xml:space="preserve"> </v>
      </c>
      <c r="R706" s="100" t="str">
        <f>IF(ISBLANK('ALL Other SINs - Proposal'!AA706)," ",ROUND(Q706,2))</f>
        <v xml:space="preserve"> </v>
      </c>
      <c r="S706" s="54"/>
    </row>
    <row r="707" spans="1:19" ht="20.100000000000001" customHeight="1" x14ac:dyDescent="0.2">
      <c r="A707" s="127">
        <f>'ALL Other SINs - Proposal'!A707</f>
        <v>0</v>
      </c>
      <c r="B707" s="121">
        <f>'ALL Other SINs - Proposal'!B707</f>
        <v>0</v>
      </c>
      <c r="C707" s="121">
        <f>'ALL Other SINs - Proposal'!C707</f>
        <v>0</v>
      </c>
      <c r="D707" s="121">
        <f>'ALL Other SINs - Proposal'!D707</f>
        <v>0</v>
      </c>
      <c r="E707" s="121">
        <f>'ALL Other SINs - Proposal'!E707</f>
        <v>0</v>
      </c>
      <c r="F707" s="171">
        <f>'ALL Other SINs - Proposal'!F707</f>
        <v>0</v>
      </c>
      <c r="G707" s="51">
        <f>'ALL Other SINs - Proposal'!G707</f>
        <v>0</v>
      </c>
      <c r="H707" s="125">
        <f>'ALL Other SINs - Proposal'!H707</f>
        <v>0</v>
      </c>
      <c r="I707" s="125">
        <f>'ALL Other SINs - Proposal'!I707</f>
        <v>0</v>
      </c>
      <c r="J707" s="125">
        <f>'ALL Other SINs - Proposal'!J707</f>
        <v>0</v>
      </c>
      <c r="K707" s="125">
        <f>'ALL Other SINs - Proposal'!K707</f>
        <v>0</v>
      </c>
      <c r="L707" s="125">
        <f>'ALL Other SINs - Proposal'!L707</f>
        <v>0</v>
      </c>
      <c r="M707" s="206">
        <f>'ALL Other SINs - Proposal'!M707</f>
        <v>0</v>
      </c>
      <c r="N707" s="251">
        <f>'ALL Other SINs - Proposal'!V707</f>
        <v>0</v>
      </c>
      <c r="O707" s="201" t="str">
        <f>'Price Analysis'!N707</f>
        <v xml:space="preserve"> </v>
      </c>
      <c r="P707" s="53" t="str">
        <f>IF(ISBLANK('ALL Other SINs - Proposal'!AA707)," ",'ALL Other SINs - Proposal'!AA707)</f>
        <v xml:space="preserve"> </v>
      </c>
      <c r="Q707" s="95" t="str">
        <f>'ALL Other SINs - Proposal'!AC707</f>
        <v xml:space="preserve"> </v>
      </c>
      <c r="R707" s="100" t="str">
        <f>IF(ISBLANK('ALL Other SINs - Proposal'!AA707)," ",ROUND(Q707,2))</f>
        <v xml:space="preserve"> </v>
      </c>
      <c r="S707" s="54"/>
    </row>
    <row r="708" spans="1:19" ht="20.100000000000001" customHeight="1" x14ac:dyDescent="0.2">
      <c r="A708" s="127">
        <f>'ALL Other SINs - Proposal'!A708</f>
        <v>0</v>
      </c>
      <c r="B708" s="121">
        <f>'ALL Other SINs - Proposal'!B708</f>
        <v>0</v>
      </c>
      <c r="C708" s="121">
        <f>'ALL Other SINs - Proposal'!C708</f>
        <v>0</v>
      </c>
      <c r="D708" s="121">
        <f>'ALL Other SINs - Proposal'!D708</f>
        <v>0</v>
      </c>
      <c r="E708" s="121">
        <f>'ALL Other SINs - Proposal'!E708</f>
        <v>0</v>
      </c>
      <c r="F708" s="171">
        <f>'ALL Other SINs - Proposal'!F708</f>
        <v>0</v>
      </c>
      <c r="G708" s="51">
        <f>'ALL Other SINs - Proposal'!G708</f>
        <v>0</v>
      </c>
      <c r="H708" s="125">
        <f>'ALL Other SINs - Proposal'!H708</f>
        <v>0</v>
      </c>
      <c r="I708" s="125">
        <f>'ALL Other SINs - Proposal'!I708</f>
        <v>0</v>
      </c>
      <c r="J708" s="125">
        <f>'ALL Other SINs - Proposal'!J708</f>
        <v>0</v>
      </c>
      <c r="K708" s="125">
        <f>'ALL Other SINs - Proposal'!K708</f>
        <v>0</v>
      </c>
      <c r="L708" s="125">
        <f>'ALL Other SINs - Proposal'!L708</f>
        <v>0</v>
      </c>
      <c r="M708" s="206">
        <f>'ALL Other SINs - Proposal'!M708</f>
        <v>0</v>
      </c>
      <c r="N708" s="251">
        <f>'ALL Other SINs - Proposal'!V708</f>
        <v>0</v>
      </c>
      <c r="O708" s="201" t="str">
        <f>'Price Analysis'!N708</f>
        <v xml:space="preserve"> </v>
      </c>
      <c r="P708" s="53" t="str">
        <f>IF(ISBLANK('ALL Other SINs - Proposal'!AA708)," ",'ALL Other SINs - Proposal'!AA708)</f>
        <v xml:space="preserve"> </v>
      </c>
      <c r="Q708" s="95" t="str">
        <f>'ALL Other SINs - Proposal'!AC708</f>
        <v xml:space="preserve"> </v>
      </c>
      <c r="R708" s="100" t="str">
        <f>IF(ISBLANK('ALL Other SINs - Proposal'!AA708)," ",ROUND(Q708,2))</f>
        <v xml:space="preserve"> </v>
      </c>
      <c r="S708" s="54"/>
    </row>
    <row r="709" spans="1:19" ht="20.100000000000001" customHeight="1" x14ac:dyDescent="0.2">
      <c r="A709" s="127">
        <f>'ALL Other SINs - Proposal'!A709</f>
        <v>0</v>
      </c>
      <c r="B709" s="121">
        <f>'ALL Other SINs - Proposal'!B709</f>
        <v>0</v>
      </c>
      <c r="C709" s="121">
        <f>'ALL Other SINs - Proposal'!C709</f>
        <v>0</v>
      </c>
      <c r="D709" s="121">
        <f>'ALL Other SINs - Proposal'!D709</f>
        <v>0</v>
      </c>
      <c r="E709" s="121">
        <f>'ALL Other SINs - Proposal'!E709</f>
        <v>0</v>
      </c>
      <c r="F709" s="171">
        <f>'ALL Other SINs - Proposal'!F709</f>
        <v>0</v>
      </c>
      <c r="G709" s="51">
        <f>'ALL Other SINs - Proposal'!G709</f>
        <v>0</v>
      </c>
      <c r="H709" s="125">
        <f>'ALL Other SINs - Proposal'!H709</f>
        <v>0</v>
      </c>
      <c r="I709" s="125">
        <f>'ALL Other SINs - Proposal'!I709</f>
        <v>0</v>
      </c>
      <c r="J709" s="125">
        <f>'ALL Other SINs - Proposal'!J709</f>
        <v>0</v>
      </c>
      <c r="K709" s="125">
        <f>'ALL Other SINs - Proposal'!K709</f>
        <v>0</v>
      </c>
      <c r="L709" s="125">
        <f>'ALL Other SINs - Proposal'!L709</f>
        <v>0</v>
      </c>
      <c r="M709" s="206">
        <f>'ALL Other SINs - Proposal'!M709</f>
        <v>0</v>
      </c>
      <c r="N709" s="251">
        <f>'ALL Other SINs - Proposal'!V709</f>
        <v>0</v>
      </c>
      <c r="O709" s="201" t="str">
        <f>'Price Analysis'!N709</f>
        <v xml:space="preserve"> </v>
      </c>
      <c r="P709" s="53" t="str">
        <f>IF(ISBLANK('ALL Other SINs - Proposal'!AA709)," ",'ALL Other SINs - Proposal'!AA709)</f>
        <v xml:space="preserve"> </v>
      </c>
      <c r="Q709" s="95" t="str">
        <f>'ALL Other SINs - Proposal'!AC709</f>
        <v xml:space="preserve"> </v>
      </c>
      <c r="R709" s="100" t="str">
        <f>IF(ISBLANK('ALL Other SINs - Proposal'!AA709)," ",ROUND(Q709,2))</f>
        <v xml:space="preserve"> </v>
      </c>
      <c r="S709" s="54"/>
    </row>
    <row r="710" spans="1:19" ht="20.100000000000001" customHeight="1" x14ac:dyDescent="0.2">
      <c r="A710" s="127">
        <f>'ALL Other SINs - Proposal'!A710</f>
        <v>0</v>
      </c>
      <c r="B710" s="121">
        <f>'ALL Other SINs - Proposal'!B710</f>
        <v>0</v>
      </c>
      <c r="C710" s="121">
        <f>'ALL Other SINs - Proposal'!C710</f>
        <v>0</v>
      </c>
      <c r="D710" s="121">
        <f>'ALL Other SINs - Proposal'!D710</f>
        <v>0</v>
      </c>
      <c r="E710" s="121">
        <f>'ALL Other SINs - Proposal'!E710</f>
        <v>0</v>
      </c>
      <c r="F710" s="171">
        <f>'ALL Other SINs - Proposal'!F710</f>
        <v>0</v>
      </c>
      <c r="G710" s="51">
        <f>'ALL Other SINs - Proposal'!G710</f>
        <v>0</v>
      </c>
      <c r="H710" s="125">
        <f>'ALL Other SINs - Proposal'!H710</f>
        <v>0</v>
      </c>
      <c r="I710" s="125">
        <f>'ALL Other SINs - Proposal'!I710</f>
        <v>0</v>
      </c>
      <c r="J710" s="125">
        <f>'ALL Other SINs - Proposal'!J710</f>
        <v>0</v>
      </c>
      <c r="K710" s="125">
        <f>'ALL Other SINs - Proposal'!K710</f>
        <v>0</v>
      </c>
      <c r="L710" s="125">
        <f>'ALL Other SINs - Proposal'!L710</f>
        <v>0</v>
      </c>
      <c r="M710" s="206">
        <f>'ALL Other SINs - Proposal'!M710</f>
        <v>0</v>
      </c>
      <c r="N710" s="251">
        <f>'ALL Other SINs - Proposal'!V710</f>
        <v>0</v>
      </c>
      <c r="O710" s="201" t="str">
        <f>'Price Analysis'!N710</f>
        <v xml:space="preserve"> </v>
      </c>
      <c r="P710" s="53" t="str">
        <f>IF(ISBLANK('ALL Other SINs - Proposal'!AA710)," ",'ALL Other SINs - Proposal'!AA710)</f>
        <v xml:space="preserve"> </v>
      </c>
      <c r="Q710" s="95" t="str">
        <f>'ALL Other SINs - Proposal'!AC710</f>
        <v xml:space="preserve"> </v>
      </c>
      <c r="R710" s="100" t="str">
        <f>IF(ISBLANK('ALL Other SINs - Proposal'!AA710)," ",ROUND(Q710,2))</f>
        <v xml:space="preserve"> </v>
      </c>
      <c r="S710" s="54"/>
    </row>
    <row r="711" spans="1:19" ht="20.100000000000001" customHeight="1" x14ac:dyDescent="0.2">
      <c r="A711" s="127">
        <f>'ALL Other SINs - Proposal'!A711</f>
        <v>0</v>
      </c>
      <c r="B711" s="121">
        <f>'ALL Other SINs - Proposal'!B711</f>
        <v>0</v>
      </c>
      <c r="C711" s="121">
        <f>'ALL Other SINs - Proposal'!C711</f>
        <v>0</v>
      </c>
      <c r="D711" s="121">
        <f>'ALL Other SINs - Proposal'!D711</f>
        <v>0</v>
      </c>
      <c r="E711" s="121">
        <f>'ALL Other SINs - Proposal'!E711</f>
        <v>0</v>
      </c>
      <c r="F711" s="171">
        <f>'ALL Other SINs - Proposal'!F711</f>
        <v>0</v>
      </c>
      <c r="G711" s="51">
        <f>'ALL Other SINs - Proposal'!G711</f>
        <v>0</v>
      </c>
      <c r="H711" s="125">
        <f>'ALL Other SINs - Proposal'!H711</f>
        <v>0</v>
      </c>
      <c r="I711" s="125">
        <f>'ALL Other SINs - Proposal'!I711</f>
        <v>0</v>
      </c>
      <c r="J711" s="125">
        <f>'ALL Other SINs - Proposal'!J711</f>
        <v>0</v>
      </c>
      <c r="K711" s="125">
        <f>'ALL Other SINs - Proposal'!K711</f>
        <v>0</v>
      </c>
      <c r="L711" s="125">
        <f>'ALL Other SINs - Proposal'!L711</f>
        <v>0</v>
      </c>
      <c r="M711" s="206">
        <f>'ALL Other SINs - Proposal'!M711</f>
        <v>0</v>
      </c>
      <c r="N711" s="251">
        <f>'ALL Other SINs - Proposal'!V711</f>
        <v>0</v>
      </c>
      <c r="O711" s="201" t="str">
        <f>'Price Analysis'!N711</f>
        <v xml:space="preserve"> </v>
      </c>
      <c r="P711" s="53" t="str">
        <f>IF(ISBLANK('ALL Other SINs - Proposal'!AA711)," ",'ALL Other SINs - Proposal'!AA711)</f>
        <v xml:space="preserve"> </v>
      </c>
      <c r="Q711" s="95" t="str">
        <f>'ALL Other SINs - Proposal'!AC711</f>
        <v xml:space="preserve"> </v>
      </c>
      <c r="R711" s="100" t="str">
        <f>IF(ISBLANK('ALL Other SINs - Proposal'!AA711)," ",ROUND(Q711,2))</f>
        <v xml:space="preserve"> </v>
      </c>
      <c r="S711" s="54"/>
    </row>
    <row r="712" spans="1:19" ht="20.100000000000001" customHeight="1" x14ac:dyDescent="0.2">
      <c r="A712" s="127">
        <f>'ALL Other SINs - Proposal'!A712</f>
        <v>0</v>
      </c>
      <c r="B712" s="121">
        <f>'ALL Other SINs - Proposal'!B712</f>
        <v>0</v>
      </c>
      <c r="C712" s="121">
        <f>'ALL Other SINs - Proposal'!C712</f>
        <v>0</v>
      </c>
      <c r="D712" s="121">
        <f>'ALL Other SINs - Proposal'!D712</f>
        <v>0</v>
      </c>
      <c r="E712" s="121">
        <f>'ALL Other SINs - Proposal'!E712</f>
        <v>0</v>
      </c>
      <c r="F712" s="171">
        <f>'ALL Other SINs - Proposal'!F712</f>
        <v>0</v>
      </c>
      <c r="G712" s="51">
        <f>'ALL Other SINs - Proposal'!G712</f>
        <v>0</v>
      </c>
      <c r="H712" s="125">
        <f>'ALL Other SINs - Proposal'!H712</f>
        <v>0</v>
      </c>
      <c r="I712" s="125">
        <f>'ALL Other SINs - Proposal'!I712</f>
        <v>0</v>
      </c>
      <c r="J712" s="125">
        <f>'ALL Other SINs - Proposal'!J712</f>
        <v>0</v>
      </c>
      <c r="K712" s="125">
        <f>'ALL Other SINs - Proposal'!K712</f>
        <v>0</v>
      </c>
      <c r="L712" s="125">
        <f>'ALL Other SINs - Proposal'!L712</f>
        <v>0</v>
      </c>
      <c r="M712" s="206">
        <f>'ALL Other SINs - Proposal'!M712</f>
        <v>0</v>
      </c>
      <c r="N712" s="251">
        <f>'ALL Other SINs - Proposal'!V712</f>
        <v>0</v>
      </c>
      <c r="O712" s="201" t="str">
        <f>'Price Analysis'!N712</f>
        <v xml:space="preserve"> </v>
      </c>
      <c r="P712" s="53" t="str">
        <f>IF(ISBLANK('ALL Other SINs - Proposal'!AA712)," ",'ALL Other SINs - Proposal'!AA712)</f>
        <v xml:space="preserve"> </v>
      </c>
      <c r="Q712" s="95" t="str">
        <f>'ALL Other SINs - Proposal'!AC712</f>
        <v xml:space="preserve"> </v>
      </c>
      <c r="R712" s="100" t="str">
        <f>IF(ISBLANK('ALL Other SINs - Proposal'!AA712)," ",ROUND(Q712,2))</f>
        <v xml:space="preserve"> </v>
      </c>
      <c r="S712" s="54"/>
    </row>
    <row r="713" spans="1:19" ht="20.100000000000001" customHeight="1" x14ac:dyDescent="0.2">
      <c r="A713" s="127">
        <f>'ALL Other SINs - Proposal'!A713</f>
        <v>0</v>
      </c>
      <c r="B713" s="121">
        <f>'ALL Other SINs - Proposal'!B713</f>
        <v>0</v>
      </c>
      <c r="C713" s="121">
        <f>'ALL Other SINs - Proposal'!C713</f>
        <v>0</v>
      </c>
      <c r="D713" s="121">
        <f>'ALL Other SINs - Proposal'!D713</f>
        <v>0</v>
      </c>
      <c r="E713" s="121">
        <f>'ALL Other SINs - Proposal'!E713</f>
        <v>0</v>
      </c>
      <c r="F713" s="171">
        <f>'ALL Other SINs - Proposal'!F713</f>
        <v>0</v>
      </c>
      <c r="G713" s="51">
        <f>'ALL Other SINs - Proposal'!G713</f>
        <v>0</v>
      </c>
      <c r="H713" s="125">
        <f>'ALL Other SINs - Proposal'!H713</f>
        <v>0</v>
      </c>
      <c r="I713" s="125">
        <f>'ALL Other SINs - Proposal'!I713</f>
        <v>0</v>
      </c>
      <c r="J713" s="125">
        <f>'ALL Other SINs - Proposal'!J713</f>
        <v>0</v>
      </c>
      <c r="K713" s="125">
        <f>'ALL Other SINs - Proposal'!K713</f>
        <v>0</v>
      </c>
      <c r="L713" s="125">
        <f>'ALL Other SINs - Proposal'!L713</f>
        <v>0</v>
      </c>
      <c r="M713" s="206">
        <f>'ALL Other SINs - Proposal'!M713</f>
        <v>0</v>
      </c>
      <c r="N713" s="251">
        <f>'ALL Other SINs - Proposal'!V713</f>
        <v>0</v>
      </c>
      <c r="O713" s="201" t="str">
        <f>'Price Analysis'!N713</f>
        <v xml:space="preserve"> </v>
      </c>
      <c r="P713" s="53" t="str">
        <f>IF(ISBLANK('ALL Other SINs - Proposal'!AA713)," ",'ALL Other SINs - Proposal'!AA713)</f>
        <v xml:space="preserve"> </v>
      </c>
      <c r="Q713" s="95" t="str">
        <f>'ALL Other SINs - Proposal'!AC713</f>
        <v xml:space="preserve"> </v>
      </c>
      <c r="R713" s="100" t="str">
        <f>IF(ISBLANK('ALL Other SINs - Proposal'!AA713)," ",ROUND(Q713,2))</f>
        <v xml:space="preserve"> </v>
      </c>
      <c r="S713" s="54"/>
    </row>
    <row r="714" spans="1:19" ht="20.100000000000001" customHeight="1" x14ac:dyDescent="0.2">
      <c r="A714" s="127">
        <f>'ALL Other SINs - Proposal'!A714</f>
        <v>0</v>
      </c>
      <c r="B714" s="121">
        <f>'ALL Other SINs - Proposal'!B714</f>
        <v>0</v>
      </c>
      <c r="C714" s="121">
        <f>'ALL Other SINs - Proposal'!C714</f>
        <v>0</v>
      </c>
      <c r="D714" s="121">
        <f>'ALL Other SINs - Proposal'!D714</f>
        <v>0</v>
      </c>
      <c r="E714" s="121">
        <f>'ALL Other SINs - Proposal'!E714</f>
        <v>0</v>
      </c>
      <c r="F714" s="171">
        <f>'ALL Other SINs - Proposal'!F714</f>
        <v>0</v>
      </c>
      <c r="G714" s="51">
        <f>'ALL Other SINs - Proposal'!G714</f>
        <v>0</v>
      </c>
      <c r="H714" s="125">
        <f>'ALL Other SINs - Proposal'!H714</f>
        <v>0</v>
      </c>
      <c r="I714" s="125">
        <f>'ALL Other SINs - Proposal'!I714</f>
        <v>0</v>
      </c>
      <c r="J714" s="125">
        <f>'ALL Other SINs - Proposal'!J714</f>
        <v>0</v>
      </c>
      <c r="K714" s="125">
        <f>'ALL Other SINs - Proposal'!K714</f>
        <v>0</v>
      </c>
      <c r="L714" s="125">
        <f>'ALL Other SINs - Proposal'!L714</f>
        <v>0</v>
      </c>
      <c r="M714" s="206">
        <f>'ALL Other SINs - Proposal'!M714</f>
        <v>0</v>
      </c>
      <c r="N714" s="251">
        <f>'ALL Other SINs - Proposal'!V714</f>
        <v>0</v>
      </c>
      <c r="O714" s="201" t="str">
        <f>'Price Analysis'!N714</f>
        <v xml:space="preserve"> </v>
      </c>
      <c r="P714" s="53" t="str">
        <f>IF(ISBLANK('ALL Other SINs - Proposal'!AA714)," ",'ALL Other SINs - Proposal'!AA714)</f>
        <v xml:space="preserve"> </v>
      </c>
      <c r="Q714" s="95" t="str">
        <f>'ALL Other SINs - Proposal'!AC714</f>
        <v xml:space="preserve"> </v>
      </c>
      <c r="R714" s="100" t="str">
        <f>IF(ISBLANK('ALL Other SINs - Proposal'!AA714)," ",ROUND(Q714,2))</f>
        <v xml:space="preserve"> </v>
      </c>
      <c r="S714" s="54"/>
    </row>
    <row r="715" spans="1:19" ht="20.100000000000001" customHeight="1" x14ac:dyDescent="0.2">
      <c r="A715" s="127">
        <f>'ALL Other SINs - Proposal'!A715</f>
        <v>0</v>
      </c>
      <c r="B715" s="121">
        <f>'ALL Other SINs - Proposal'!B715</f>
        <v>0</v>
      </c>
      <c r="C715" s="121">
        <f>'ALL Other SINs - Proposal'!C715</f>
        <v>0</v>
      </c>
      <c r="D715" s="121">
        <f>'ALL Other SINs - Proposal'!D715</f>
        <v>0</v>
      </c>
      <c r="E715" s="121">
        <f>'ALL Other SINs - Proposal'!E715</f>
        <v>0</v>
      </c>
      <c r="F715" s="171">
        <f>'ALL Other SINs - Proposal'!F715</f>
        <v>0</v>
      </c>
      <c r="G715" s="51">
        <f>'ALL Other SINs - Proposal'!G715</f>
        <v>0</v>
      </c>
      <c r="H715" s="125">
        <f>'ALL Other SINs - Proposal'!H715</f>
        <v>0</v>
      </c>
      <c r="I715" s="125">
        <f>'ALL Other SINs - Proposal'!I715</f>
        <v>0</v>
      </c>
      <c r="J715" s="125">
        <f>'ALL Other SINs - Proposal'!J715</f>
        <v>0</v>
      </c>
      <c r="K715" s="125">
        <f>'ALL Other SINs - Proposal'!K715</f>
        <v>0</v>
      </c>
      <c r="L715" s="125">
        <f>'ALL Other SINs - Proposal'!L715</f>
        <v>0</v>
      </c>
      <c r="M715" s="206">
        <f>'ALL Other SINs - Proposal'!M715</f>
        <v>0</v>
      </c>
      <c r="N715" s="251">
        <f>'ALL Other SINs - Proposal'!V715</f>
        <v>0</v>
      </c>
      <c r="O715" s="201" t="str">
        <f>'Price Analysis'!N715</f>
        <v xml:space="preserve"> </v>
      </c>
      <c r="P715" s="53" t="str">
        <f>IF(ISBLANK('ALL Other SINs - Proposal'!AA715)," ",'ALL Other SINs - Proposal'!AA715)</f>
        <v xml:space="preserve"> </v>
      </c>
      <c r="Q715" s="95" t="str">
        <f>'ALL Other SINs - Proposal'!AC715</f>
        <v xml:space="preserve"> </v>
      </c>
      <c r="R715" s="100" t="str">
        <f>IF(ISBLANK('ALL Other SINs - Proposal'!AA715)," ",ROUND(Q715,2))</f>
        <v xml:space="preserve"> </v>
      </c>
      <c r="S715" s="54"/>
    </row>
    <row r="716" spans="1:19" ht="20.100000000000001" customHeight="1" x14ac:dyDescent="0.2">
      <c r="A716" s="127">
        <f>'ALL Other SINs - Proposal'!A716</f>
        <v>0</v>
      </c>
      <c r="B716" s="121">
        <f>'ALL Other SINs - Proposal'!B716</f>
        <v>0</v>
      </c>
      <c r="C716" s="121">
        <f>'ALL Other SINs - Proposal'!C716</f>
        <v>0</v>
      </c>
      <c r="D716" s="121">
        <f>'ALL Other SINs - Proposal'!D716</f>
        <v>0</v>
      </c>
      <c r="E716" s="121">
        <f>'ALL Other SINs - Proposal'!E716</f>
        <v>0</v>
      </c>
      <c r="F716" s="171">
        <f>'ALL Other SINs - Proposal'!F716</f>
        <v>0</v>
      </c>
      <c r="G716" s="51">
        <f>'ALL Other SINs - Proposal'!G716</f>
        <v>0</v>
      </c>
      <c r="H716" s="125">
        <f>'ALL Other SINs - Proposal'!H716</f>
        <v>0</v>
      </c>
      <c r="I716" s="125">
        <f>'ALL Other SINs - Proposal'!I716</f>
        <v>0</v>
      </c>
      <c r="J716" s="125">
        <f>'ALL Other SINs - Proposal'!J716</f>
        <v>0</v>
      </c>
      <c r="K716" s="125">
        <f>'ALL Other SINs - Proposal'!K716</f>
        <v>0</v>
      </c>
      <c r="L716" s="125">
        <f>'ALL Other SINs - Proposal'!L716</f>
        <v>0</v>
      </c>
      <c r="M716" s="206">
        <f>'ALL Other SINs - Proposal'!M716</f>
        <v>0</v>
      </c>
      <c r="N716" s="251">
        <f>'ALL Other SINs - Proposal'!V716</f>
        <v>0</v>
      </c>
      <c r="O716" s="201" t="str">
        <f>'Price Analysis'!N716</f>
        <v xml:space="preserve"> </v>
      </c>
      <c r="P716" s="53" t="str">
        <f>IF(ISBLANK('ALL Other SINs - Proposal'!AA716)," ",'ALL Other SINs - Proposal'!AA716)</f>
        <v xml:space="preserve"> </v>
      </c>
      <c r="Q716" s="95" t="str">
        <f>'ALL Other SINs - Proposal'!AC716</f>
        <v xml:space="preserve"> </v>
      </c>
      <c r="R716" s="100" t="str">
        <f>IF(ISBLANK('ALL Other SINs - Proposal'!AA716)," ",ROUND(Q716,2))</f>
        <v xml:space="preserve"> </v>
      </c>
      <c r="S716" s="54"/>
    </row>
    <row r="717" spans="1:19" ht="20.100000000000001" customHeight="1" x14ac:dyDescent="0.2">
      <c r="A717" s="127">
        <f>'ALL Other SINs - Proposal'!A717</f>
        <v>0</v>
      </c>
      <c r="B717" s="121">
        <f>'ALL Other SINs - Proposal'!B717</f>
        <v>0</v>
      </c>
      <c r="C717" s="121">
        <f>'ALL Other SINs - Proposal'!C717</f>
        <v>0</v>
      </c>
      <c r="D717" s="121">
        <f>'ALL Other SINs - Proposal'!D717</f>
        <v>0</v>
      </c>
      <c r="E717" s="121">
        <f>'ALL Other SINs - Proposal'!E717</f>
        <v>0</v>
      </c>
      <c r="F717" s="171">
        <f>'ALL Other SINs - Proposal'!F717</f>
        <v>0</v>
      </c>
      <c r="G717" s="51">
        <f>'ALL Other SINs - Proposal'!G717</f>
        <v>0</v>
      </c>
      <c r="H717" s="125">
        <f>'ALL Other SINs - Proposal'!H717</f>
        <v>0</v>
      </c>
      <c r="I717" s="125">
        <f>'ALL Other SINs - Proposal'!I717</f>
        <v>0</v>
      </c>
      <c r="J717" s="125">
        <f>'ALL Other SINs - Proposal'!J717</f>
        <v>0</v>
      </c>
      <c r="K717" s="125">
        <f>'ALL Other SINs - Proposal'!K717</f>
        <v>0</v>
      </c>
      <c r="L717" s="125">
        <f>'ALL Other SINs - Proposal'!L717</f>
        <v>0</v>
      </c>
      <c r="M717" s="206">
        <f>'ALL Other SINs - Proposal'!M717</f>
        <v>0</v>
      </c>
      <c r="N717" s="251">
        <f>'ALL Other SINs - Proposal'!V717</f>
        <v>0</v>
      </c>
      <c r="O717" s="201" t="str">
        <f>'Price Analysis'!N717</f>
        <v xml:space="preserve"> </v>
      </c>
      <c r="P717" s="53" t="str">
        <f>IF(ISBLANK('ALL Other SINs - Proposal'!AA717)," ",'ALL Other SINs - Proposal'!AA717)</f>
        <v xml:space="preserve"> </v>
      </c>
      <c r="Q717" s="95" t="str">
        <f>'ALL Other SINs - Proposal'!AC717</f>
        <v xml:space="preserve"> </v>
      </c>
      <c r="R717" s="100" t="str">
        <f>IF(ISBLANK('ALL Other SINs - Proposal'!AA717)," ",ROUND(Q717,2))</f>
        <v xml:space="preserve"> </v>
      </c>
      <c r="S717" s="54"/>
    </row>
    <row r="718" spans="1:19" ht="20.100000000000001" customHeight="1" x14ac:dyDescent="0.2">
      <c r="A718" s="127">
        <f>'ALL Other SINs - Proposal'!A718</f>
        <v>0</v>
      </c>
      <c r="B718" s="121">
        <f>'ALL Other SINs - Proposal'!B718</f>
        <v>0</v>
      </c>
      <c r="C718" s="121">
        <f>'ALL Other SINs - Proposal'!C718</f>
        <v>0</v>
      </c>
      <c r="D718" s="121">
        <f>'ALL Other SINs - Proposal'!D718</f>
        <v>0</v>
      </c>
      <c r="E718" s="121">
        <f>'ALL Other SINs - Proposal'!E718</f>
        <v>0</v>
      </c>
      <c r="F718" s="171">
        <f>'ALL Other SINs - Proposal'!F718</f>
        <v>0</v>
      </c>
      <c r="G718" s="51">
        <f>'ALL Other SINs - Proposal'!G718</f>
        <v>0</v>
      </c>
      <c r="H718" s="125">
        <f>'ALL Other SINs - Proposal'!H718</f>
        <v>0</v>
      </c>
      <c r="I718" s="125">
        <f>'ALL Other SINs - Proposal'!I718</f>
        <v>0</v>
      </c>
      <c r="J718" s="125">
        <f>'ALL Other SINs - Proposal'!J718</f>
        <v>0</v>
      </c>
      <c r="K718" s="125">
        <f>'ALL Other SINs - Proposal'!K718</f>
        <v>0</v>
      </c>
      <c r="L718" s="125">
        <f>'ALL Other SINs - Proposal'!L718</f>
        <v>0</v>
      </c>
      <c r="M718" s="206">
        <f>'ALL Other SINs - Proposal'!M718</f>
        <v>0</v>
      </c>
      <c r="N718" s="251">
        <f>'ALL Other SINs - Proposal'!V718</f>
        <v>0</v>
      </c>
      <c r="O718" s="201" t="str">
        <f>'Price Analysis'!N718</f>
        <v xml:space="preserve"> </v>
      </c>
      <c r="P718" s="53" t="str">
        <f>IF(ISBLANK('ALL Other SINs - Proposal'!AA718)," ",'ALL Other SINs - Proposal'!AA718)</f>
        <v xml:space="preserve"> </v>
      </c>
      <c r="Q718" s="95" t="str">
        <f>'ALL Other SINs - Proposal'!AC718</f>
        <v xml:space="preserve"> </v>
      </c>
      <c r="R718" s="100" t="str">
        <f>IF(ISBLANK('ALL Other SINs - Proposal'!AA718)," ",ROUND(Q718,2))</f>
        <v xml:space="preserve"> </v>
      </c>
      <c r="S718" s="54"/>
    </row>
    <row r="719" spans="1:19" ht="20.100000000000001" customHeight="1" x14ac:dyDescent="0.2">
      <c r="A719" s="127">
        <f>'ALL Other SINs - Proposal'!A719</f>
        <v>0</v>
      </c>
      <c r="B719" s="121">
        <f>'ALL Other SINs - Proposal'!B719</f>
        <v>0</v>
      </c>
      <c r="C719" s="121">
        <f>'ALL Other SINs - Proposal'!C719</f>
        <v>0</v>
      </c>
      <c r="D719" s="121">
        <f>'ALL Other SINs - Proposal'!D719</f>
        <v>0</v>
      </c>
      <c r="E719" s="121">
        <f>'ALL Other SINs - Proposal'!E719</f>
        <v>0</v>
      </c>
      <c r="F719" s="171">
        <f>'ALL Other SINs - Proposal'!F719</f>
        <v>0</v>
      </c>
      <c r="G719" s="51">
        <f>'ALL Other SINs - Proposal'!G719</f>
        <v>0</v>
      </c>
      <c r="H719" s="125">
        <f>'ALL Other SINs - Proposal'!H719</f>
        <v>0</v>
      </c>
      <c r="I719" s="125">
        <f>'ALL Other SINs - Proposal'!I719</f>
        <v>0</v>
      </c>
      <c r="J719" s="125">
        <f>'ALL Other SINs - Proposal'!J719</f>
        <v>0</v>
      </c>
      <c r="K719" s="125">
        <f>'ALL Other SINs - Proposal'!K719</f>
        <v>0</v>
      </c>
      <c r="L719" s="125">
        <f>'ALL Other SINs - Proposal'!L719</f>
        <v>0</v>
      </c>
      <c r="M719" s="206">
        <f>'ALL Other SINs - Proposal'!M719</f>
        <v>0</v>
      </c>
      <c r="N719" s="251">
        <f>'ALL Other SINs - Proposal'!V719</f>
        <v>0</v>
      </c>
      <c r="O719" s="201" t="str">
        <f>'Price Analysis'!N719</f>
        <v xml:space="preserve"> </v>
      </c>
      <c r="P719" s="53" t="str">
        <f>IF(ISBLANK('ALL Other SINs - Proposal'!AA719)," ",'ALL Other SINs - Proposal'!AA719)</f>
        <v xml:space="preserve"> </v>
      </c>
      <c r="Q719" s="95" t="str">
        <f>'ALL Other SINs - Proposal'!AC719</f>
        <v xml:space="preserve"> </v>
      </c>
      <c r="R719" s="100" t="str">
        <f>IF(ISBLANK('ALL Other SINs - Proposal'!AA719)," ",ROUND(Q719,2))</f>
        <v xml:space="preserve"> </v>
      </c>
      <c r="S719" s="54"/>
    </row>
    <row r="720" spans="1:19" ht="20.100000000000001" customHeight="1" x14ac:dyDescent="0.2">
      <c r="A720" s="127">
        <f>'ALL Other SINs - Proposal'!A720</f>
        <v>0</v>
      </c>
      <c r="B720" s="121">
        <f>'ALL Other SINs - Proposal'!B720</f>
        <v>0</v>
      </c>
      <c r="C720" s="121">
        <f>'ALL Other SINs - Proposal'!C720</f>
        <v>0</v>
      </c>
      <c r="D720" s="121">
        <f>'ALL Other SINs - Proposal'!D720</f>
        <v>0</v>
      </c>
      <c r="E720" s="121">
        <f>'ALL Other SINs - Proposal'!E720</f>
        <v>0</v>
      </c>
      <c r="F720" s="171">
        <f>'ALL Other SINs - Proposal'!F720</f>
        <v>0</v>
      </c>
      <c r="G720" s="51">
        <f>'ALL Other SINs - Proposal'!G720</f>
        <v>0</v>
      </c>
      <c r="H720" s="125">
        <f>'ALL Other SINs - Proposal'!H720</f>
        <v>0</v>
      </c>
      <c r="I720" s="125">
        <f>'ALL Other SINs - Proposal'!I720</f>
        <v>0</v>
      </c>
      <c r="J720" s="125">
        <f>'ALL Other SINs - Proposal'!J720</f>
        <v>0</v>
      </c>
      <c r="K720" s="125">
        <f>'ALL Other SINs - Proposal'!K720</f>
        <v>0</v>
      </c>
      <c r="L720" s="125">
        <f>'ALL Other SINs - Proposal'!L720</f>
        <v>0</v>
      </c>
      <c r="M720" s="206">
        <f>'ALL Other SINs - Proposal'!M720</f>
        <v>0</v>
      </c>
      <c r="N720" s="251">
        <f>'ALL Other SINs - Proposal'!V720</f>
        <v>0</v>
      </c>
      <c r="O720" s="201" t="str">
        <f>'Price Analysis'!N720</f>
        <v xml:space="preserve"> </v>
      </c>
      <c r="P720" s="53" t="str">
        <f>IF(ISBLANK('ALL Other SINs - Proposal'!AA720)," ",'ALL Other SINs - Proposal'!AA720)</f>
        <v xml:space="preserve"> </v>
      </c>
      <c r="Q720" s="95" t="str">
        <f>'ALL Other SINs - Proposal'!AC720</f>
        <v xml:space="preserve"> </v>
      </c>
      <c r="R720" s="100" t="str">
        <f>IF(ISBLANK('ALL Other SINs - Proposal'!AA720)," ",ROUND(Q720,2))</f>
        <v xml:space="preserve"> </v>
      </c>
      <c r="S720" s="54"/>
    </row>
    <row r="721" spans="1:19" ht="20.100000000000001" customHeight="1" x14ac:dyDescent="0.2">
      <c r="A721" s="127">
        <f>'ALL Other SINs - Proposal'!A721</f>
        <v>0</v>
      </c>
      <c r="B721" s="121">
        <f>'ALL Other SINs - Proposal'!B721</f>
        <v>0</v>
      </c>
      <c r="C721" s="121">
        <f>'ALL Other SINs - Proposal'!C721</f>
        <v>0</v>
      </c>
      <c r="D721" s="121">
        <f>'ALL Other SINs - Proposal'!D721</f>
        <v>0</v>
      </c>
      <c r="E721" s="121">
        <f>'ALL Other SINs - Proposal'!E721</f>
        <v>0</v>
      </c>
      <c r="F721" s="171">
        <f>'ALL Other SINs - Proposal'!F721</f>
        <v>0</v>
      </c>
      <c r="G721" s="51">
        <f>'ALL Other SINs - Proposal'!G721</f>
        <v>0</v>
      </c>
      <c r="H721" s="125">
        <f>'ALL Other SINs - Proposal'!H721</f>
        <v>0</v>
      </c>
      <c r="I721" s="125">
        <f>'ALL Other SINs - Proposal'!I721</f>
        <v>0</v>
      </c>
      <c r="J721" s="125">
        <f>'ALL Other SINs - Proposal'!J721</f>
        <v>0</v>
      </c>
      <c r="K721" s="125">
        <f>'ALL Other SINs - Proposal'!K721</f>
        <v>0</v>
      </c>
      <c r="L721" s="125">
        <f>'ALL Other SINs - Proposal'!L721</f>
        <v>0</v>
      </c>
      <c r="M721" s="206">
        <f>'ALL Other SINs - Proposal'!M721</f>
        <v>0</v>
      </c>
      <c r="N721" s="251">
        <f>'ALL Other SINs - Proposal'!V721</f>
        <v>0</v>
      </c>
      <c r="O721" s="201" t="str">
        <f>'Price Analysis'!N721</f>
        <v xml:space="preserve"> </v>
      </c>
      <c r="P721" s="53" t="str">
        <f>IF(ISBLANK('ALL Other SINs - Proposal'!AA721)," ",'ALL Other SINs - Proposal'!AA721)</f>
        <v xml:space="preserve"> </v>
      </c>
      <c r="Q721" s="95" t="str">
        <f>'ALL Other SINs - Proposal'!AC721</f>
        <v xml:space="preserve"> </v>
      </c>
      <c r="R721" s="100" t="str">
        <f>IF(ISBLANK('ALL Other SINs - Proposal'!AA721)," ",ROUND(Q721,2))</f>
        <v xml:space="preserve"> </v>
      </c>
      <c r="S721" s="54"/>
    </row>
    <row r="722" spans="1:19" ht="20.100000000000001" customHeight="1" x14ac:dyDescent="0.2">
      <c r="A722" s="127">
        <f>'ALL Other SINs - Proposal'!A722</f>
        <v>0</v>
      </c>
      <c r="B722" s="121">
        <f>'ALL Other SINs - Proposal'!B722</f>
        <v>0</v>
      </c>
      <c r="C722" s="121">
        <f>'ALL Other SINs - Proposal'!C722</f>
        <v>0</v>
      </c>
      <c r="D722" s="121">
        <f>'ALL Other SINs - Proposal'!D722</f>
        <v>0</v>
      </c>
      <c r="E722" s="121">
        <f>'ALL Other SINs - Proposal'!E722</f>
        <v>0</v>
      </c>
      <c r="F722" s="171">
        <f>'ALL Other SINs - Proposal'!F722</f>
        <v>0</v>
      </c>
      <c r="G722" s="51">
        <f>'ALL Other SINs - Proposal'!G722</f>
        <v>0</v>
      </c>
      <c r="H722" s="125">
        <f>'ALL Other SINs - Proposal'!H722</f>
        <v>0</v>
      </c>
      <c r="I722" s="125">
        <f>'ALL Other SINs - Proposal'!I722</f>
        <v>0</v>
      </c>
      <c r="J722" s="125">
        <f>'ALL Other SINs - Proposal'!J722</f>
        <v>0</v>
      </c>
      <c r="K722" s="125">
        <f>'ALL Other SINs - Proposal'!K722</f>
        <v>0</v>
      </c>
      <c r="L722" s="125">
        <f>'ALL Other SINs - Proposal'!L722</f>
        <v>0</v>
      </c>
      <c r="M722" s="206">
        <f>'ALL Other SINs - Proposal'!M722</f>
        <v>0</v>
      </c>
      <c r="N722" s="251">
        <f>'ALL Other SINs - Proposal'!V722</f>
        <v>0</v>
      </c>
      <c r="O722" s="201" t="str">
        <f>'Price Analysis'!N722</f>
        <v xml:space="preserve"> </v>
      </c>
      <c r="P722" s="53" t="str">
        <f>IF(ISBLANK('ALL Other SINs - Proposal'!AA722)," ",'ALL Other SINs - Proposal'!AA722)</f>
        <v xml:space="preserve"> </v>
      </c>
      <c r="Q722" s="95" t="str">
        <f>'ALL Other SINs - Proposal'!AC722</f>
        <v xml:space="preserve"> </v>
      </c>
      <c r="R722" s="100" t="str">
        <f>IF(ISBLANK('ALL Other SINs - Proposal'!AA722)," ",ROUND(Q722,2))</f>
        <v xml:space="preserve"> </v>
      </c>
      <c r="S722" s="54"/>
    </row>
    <row r="723" spans="1:19" ht="20.100000000000001" customHeight="1" x14ac:dyDescent="0.2">
      <c r="A723" s="127">
        <f>'ALL Other SINs - Proposal'!A723</f>
        <v>0</v>
      </c>
      <c r="B723" s="121">
        <f>'ALL Other SINs - Proposal'!B723</f>
        <v>0</v>
      </c>
      <c r="C723" s="121">
        <f>'ALL Other SINs - Proposal'!C723</f>
        <v>0</v>
      </c>
      <c r="D723" s="121">
        <f>'ALL Other SINs - Proposal'!D723</f>
        <v>0</v>
      </c>
      <c r="E723" s="121">
        <f>'ALL Other SINs - Proposal'!E723</f>
        <v>0</v>
      </c>
      <c r="F723" s="171">
        <f>'ALL Other SINs - Proposal'!F723</f>
        <v>0</v>
      </c>
      <c r="G723" s="51">
        <f>'ALL Other SINs - Proposal'!G723</f>
        <v>0</v>
      </c>
      <c r="H723" s="125">
        <f>'ALL Other SINs - Proposal'!H723</f>
        <v>0</v>
      </c>
      <c r="I723" s="125">
        <f>'ALL Other SINs - Proposal'!I723</f>
        <v>0</v>
      </c>
      <c r="J723" s="125">
        <f>'ALL Other SINs - Proposal'!J723</f>
        <v>0</v>
      </c>
      <c r="K723" s="125">
        <f>'ALL Other SINs - Proposal'!K723</f>
        <v>0</v>
      </c>
      <c r="L723" s="125">
        <f>'ALL Other SINs - Proposal'!L723</f>
        <v>0</v>
      </c>
      <c r="M723" s="206">
        <f>'ALL Other SINs - Proposal'!M723</f>
        <v>0</v>
      </c>
      <c r="N723" s="251">
        <f>'ALL Other SINs - Proposal'!V723</f>
        <v>0</v>
      </c>
      <c r="O723" s="201" t="str">
        <f>'Price Analysis'!N723</f>
        <v xml:space="preserve"> </v>
      </c>
      <c r="P723" s="53" t="str">
        <f>IF(ISBLANK('ALL Other SINs - Proposal'!AA723)," ",'ALL Other SINs - Proposal'!AA723)</f>
        <v xml:space="preserve"> </v>
      </c>
      <c r="Q723" s="95" t="str">
        <f>'ALL Other SINs - Proposal'!AC723</f>
        <v xml:space="preserve"> </v>
      </c>
      <c r="R723" s="100" t="str">
        <f>IF(ISBLANK('ALL Other SINs - Proposal'!AA723)," ",ROUND(Q723,2))</f>
        <v xml:space="preserve"> </v>
      </c>
      <c r="S723" s="54"/>
    </row>
    <row r="724" spans="1:19" ht="20.100000000000001" customHeight="1" x14ac:dyDescent="0.2">
      <c r="A724" s="127">
        <f>'ALL Other SINs - Proposal'!A724</f>
        <v>0</v>
      </c>
      <c r="B724" s="121">
        <f>'ALL Other SINs - Proposal'!B724</f>
        <v>0</v>
      </c>
      <c r="C724" s="121">
        <f>'ALL Other SINs - Proposal'!C724</f>
        <v>0</v>
      </c>
      <c r="D724" s="121">
        <f>'ALL Other SINs - Proposal'!D724</f>
        <v>0</v>
      </c>
      <c r="E724" s="121">
        <f>'ALL Other SINs - Proposal'!E724</f>
        <v>0</v>
      </c>
      <c r="F724" s="171">
        <f>'ALL Other SINs - Proposal'!F724</f>
        <v>0</v>
      </c>
      <c r="G724" s="51">
        <f>'ALL Other SINs - Proposal'!G724</f>
        <v>0</v>
      </c>
      <c r="H724" s="125">
        <f>'ALL Other SINs - Proposal'!H724</f>
        <v>0</v>
      </c>
      <c r="I724" s="125">
        <f>'ALL Other SINs - Proposal'!I724</f>
        <v>0</v>
      </c>
      <c r="J724" s="125">
        <f>'ALL Other SINs - Proposal'!J724</f>
        <v>0</v>
      </c>
      <c r="K724" s="125">
        <f>'ALL Other SINs - Proposal'!K724</f>
        <v>0</v>
      </c>
      <c r="L724" s="125">
        <f>'ALL Other SINs - Proposal'!L724</f>
        <v>0</v>
      </c>
      <c r="M724" s="206">
        <f>'ALL Other SINs - Proposal'!M724</f>
        <v>0</v>
      </c>
      <c r="N724" s="251">
        <f>'ALL Other SINs - Proposal'!V724</f>
        <v>0</v>
      </c>
      <c r="O724" s="201" t="str">
        <f>'Price Analysis'!N724</f>
        <v xml:space="preserve"> </v>
      </c>
      <c r="P724" s="53" t="str">
        <f>IF(ISBLANK('ALL Other SINs - Proposal'!AA724)," ",'ALL Other SINs - Proposal'!AA724)</f>
        <v xml:space="preserve"> </v>
      </c>
      <c r="Q724" s="95" t="str">
        <f>'ALL Other SINs - Proposal'!AC724</f>
        <v xml:space="preserve"> </v>
      </c>
      <c r="R724" s="100" t="str">
        <f>IF(ISBLANK('ALL Other SINs - Proposal'!AA724)," ",ROUND(Q724,2))</f>
        <v xml:space="preserve"> </v>
      </c>
      <c r="S724" s="54"/>
    </row>
    <row r="725" spans="1:19" ht="20.100000000000001" customHeight="1" x14ac:dyDescent="0.2">
      <c r="A725" s="127">
        <f>'ALL Other SINs - Proposal'!A725</f>
        <v>0</v>
      </c>
      <c r="B725" s="121">
        <f>'ALL Other SINs - Proposal'!B725</f>
        <v>0</v>
      </c>
      <c r="C725" s="121">
        <f>'ALL Other SINs - Proposal'!C725</f>
        <v>0</v>
      </c>
      <c r="D725" s="121">
        <f>'ALL Other SINs - Proposal'!D725</f>
        <v>0</v>
      </c>
      <c r="E725" s="121">
        <f>'ALL Other SINs - Proposal'!E725</f>
        <v>0</v>
      </c>
      <c r="F725" s="171">
        <f>'ALL Other SINs - Proposal'!F725</f>
        <v>0</v>
      </c>
      <c r="G725" s="51">
        <f>'ALL Other SINs - Proposal'!G725</f>
        <v>0</v>
      </c>
      <c r="H725" s="125">
        <f>'ALL Other SINs - Proposal'!H725</f>
        <v>0</v>
      </c>
      <c r="I725" s="125">
        <f>'ALL Other SINs - Proposal'!I725</f>
        <v>0</v>
      </c>
      <c r="J725" s="125">
        <f>'ALL Other SINs - Proposal'!J725</f>
        <v>0</v>
      </c>
      <c r="K725" s="125">
        <f>'ALL Other SINs - Proposal'!K725</f>
        <v>0</v>
      </c>
      <c r="L725" s="125">
        <f>'ALL Other SINs - Proposal'!L725</f>
        <v>0</v>
      </c>
      <c r="M725" s="206">
        <f>'ALL Other SINs - Proposal'!M725</f>
        <v>0</v>
      </c>
      <c r="N725" s="251">
        <f>'ALL Other SINs - Proposal'!V725</f>
        <v>0</v>
      </c>
      <c r="O725" s="201" t="str">
        <f>'Price Analysis'!N725</f>
        <v xml:space="preserve"> </v>
      </c>
      <c r="P725" s="53" t="str">
        <f>IF(ISBLANK('ALL Other SINs - Proposal'!AA725)," ",'ALL Other SINs - Proposal'!AA725)</f>
        <v xml:space="preserve"> </v>
      </c>
      <c r="Q725" s="95" t="str">
        <f>'ALL Other SINs - Proposal'!AC725</f>
        <v xml:space="preserve"> </v>
      </c>
      <c r="R725" s="100" t="str">
        <f>IF(ISBLANK('ALL Other SINs - Proposal'!AA725)," ",ROUND(Q725,2))</f>
        <v xml:space="preserve"> </v>
      </c>
      <c r="S725" s="54"/>
    </row>
    <row r="726" spans="1:19" ht="20.100000000000001" customHeight="1" x14ac:dyDescent="0.2">
      <c r="A726" s="127">
        <f>'ALL Other SINs - Proposal'!A726</f>
        <v>0</v>
      </c>
      <c r="B726" s="121">
        <f>'ALL Other SINs - Proposal'!B726</f>
        <v>0</v>
      </c>
      <c r="C726" s="121">
        <f>'ALL Other SINs - Proposal'!C726</f>
        <v>0</v>
      </c>
      <c r="D726" s="121">
        <f>'ALL Other SINs - Proposal'!D726</f>
        <v>0</v>
      </c>
      <c r="E726" s="121">
        <f>'ALL Other SINs - Proposal'!E726</f>
        <v>0</v>
      </c>
      <c r="F726" s="171">
        <f>'ALL Other SINs - Proposal'!F726</f>
        <v>0</v>
      </c>
      <c r="G726" s="51">
        <f>'ALL Other SINs - Proposal'!G726</f>
        <v>0</v>
      </c>
      <c r="H726" s="125">
        <f>'ALL Other SINs - Proposal'!H726</f>
        <v>0</v>
      </c>
      <c r="I726" s="125">
        <f>'ALL Other SINs - Proposal'!I726</f>
        <v>0</v>
      </c>
      <c r="J726" s="125">
        <f>'ALL Other SINs - Proposal'!J726</f>
        <v>0</v>
      </c>
      <c r="K726" s="125">
        <f>'ALL Other SINs - Proposal'!K726</f>
        <v>0</v>
      </c>
      <c r="L726" s="125">
        <f>'ALL Other SINs - Proposal'!L726</f>
        <v>0</v>
      </c>
      <c r="M726" s="206">
        <f>'ALL Other SINs - Proposal'!M726</f>
        <v>0</v>
      </c>
      <c r="N726" s="251">
        <f>'ALL Other SINs - Proposal'!V726</f>
        <v>0</v>
      </c>
      <c r="O726" s="201" t="str">
        <f>'Price Analysis'!N726</f>
        <v xml:space="preserve"> </v>
      </c>
      <c r="P726" s="53" t="str">
        <f>IF(ISBLANK('ALL Other SINs - Proposal'!AA726)," ",'ALL Other SINs - Proposal'!AA726)</f>
        <v xml:space="preserve"> </v>
      </c>
      <c r="Q726" s="95" t="str">
        <f>'ALL Other SINs - Proposal'!AC726</f>
        <v xml:space="preserve"> </v>
      </c>
      <c r="R726" s="100" t="str">
        <f>IF(ISBLANK('ALL Other SINs - Proposal'!AA726)," ",ROUND(Q726,2))</f>
        <v xml:space="preserve"> </v>
      </c>
      <c r="S726" s="54"/>
    </row>
    <row r="727" spans="1:19" ht="20.100000000000001" customHeight="1" x14ac:dyDescent="0.2">
      <c r="A727" s="127">
        <f>'ALL Other SINs - Proposal'!A727</f>
        <v>0</v>
      </c>
      <c r="B727" s="121">
        <f>'ALL Other SINs - Proposal'!B727</f>
        <v>0</v>
      </c>
      <c r="C727" s="121">
        <f>'ALL Other SINs - Proposal'!C727</f>
        <v>0</v>
      </c>
      <c r="D727" s="121">
        <f>'ALL Other SINs - Proposal'!D727</f>
        <v>0</v>
      </c>
      <c r="E727" s="121">
        <f>'ALL Other SINs - Proposal'!E727</f>
        <v>0</v>
      </c>
      <c r="F727" s="171">
        <f>'ALL Other SINs - Proposal'!F727</f>
        <v>0</v>
      </c>
      <c r="G727" s="51">
        <f>'ALL Other SINs - Proposal'!G727</f>
        <v>0</v>
      </c>
      <c r="H727" s="125">
        <f>'ALL Other SINs - Proposal'!H727</f>
        <v>0</v>
      </c>
      <c r="I727" s="125">
        <f>'ALL Other SINs - Proposal'!I727</f>
        <v>0</v>
      </c>
      <c r="J727" s="125">
        <f>'ALL Other SINs - Proposal'!J727</f>
        <v>0</v>
      </c>
      <c r="K727" s="125">
        <f>'ALL Other SINs - Proposal'!K727</f>
        <v>0</v>
      </c>
      <c r="L727" s="125">
        <f>'ALL Other SINs - Proposal'!L727</f>
        <v>0</v>
      </c>
      <c r="M727" s="206">
        <f>'ALL Other SINs - Proposal'!M727</f>
        <v>0</v>
      </c>
      <c r="N727" s="251">
        <f>'ALL Other SINs - Proposal'!V727</f>
        <v>0</v>
      </c>
      <c r="O727" s="201" t="str">
        <f>'Price Analysis'!N727</f>
        <v xml:space="preserve"> </v>
      </c>
      <c r="P727" s="53" t="str">
        <f>IF(ISBLANK('ALL Other SINs - Proposal'!AA727)," ",'ALL Other SINs - Proposal'!AA727)</f>
        <v xml:space="preserve"> </v>
      </c>
      <c r="Q727" s="95" t="str">
        <f>'ALL Other SINs - Proposal'!AC727</f>
        <v xml:space="preserve"> </v>
      </c>
      <c r="R727" s="100" t="str">
        <f>IF(ISBLANK('ALL Other SINs - Proposal'!AA727)," ",ROUND(Q727,2))</f>
        <v xml:space="preserve"> </v>
      </c>
      <c r="S727" s="54"/>
    </row>
    <row r="728" spans="1:19" ht="20.100000000000001" customHeight="1" x14ac:dyDescent="0.2">
      <c r="A728" s="127">
        <f>'ALL Other SINs - Proposal'!A728</f>
        <v>0</v>
      </c>
      <c r="B728" s="121">
        <f>'ALL Other SINs - Proposal'!B728</f>
        <v>0</v>
      </c>
      <c r="C728" s="121">
        <f>'ALL Other SINs - Proposal'!C728</f>
        <v>0</v>
      </c>
      <c r="D728" s="121">
        <f>'ALL Other SINs - Proposal'!D728</f>
        <v>0</v>
      </c>
      <c r="E728" s="121">
        <f>'ALL Other SINs - Proposal'!E728</f>
        <v>0</v>
      </c>
      <c r="F728" s="171">
        <f>'ALL Other SINs - Proposal'!F728</f>
        <v>0</v>
      </c>
      <c r="G728" s="51">
        <f>'ALL Other SINs - Proposal'!G728</f>
        <v>0</v>
      </c>
      <c r="H728" s="125">
        <f>'ALL Other SINs - Proposal'!H728</f>
        <v>0</v>
      </c>
      <c r="I728" s="125">
        <f>'ALL Other SINs - Proposal'!I728</f>
        <v>0</v>
      </c>
      <c r="J728" s="125">
        <f>'ALL Other SINs - Proposal'!J728</f>
        <v>0</v>
      </c>
      <c r="K728" s="125">
        <f>'ALL Other SINs - Proposal'!K728</f>
        <v>0</v>
      </c>
      <c r="L728" s="125">
        <f>'ALL Other SINs - Proposal'!L728</f>
        <v>0</v>
      </c>
      <c r="M728" s="206">
        <f>'ALL Other SINs - Proposal'!M728</f>
        <v>0</v>
      </c>
      <c r="N728" s="251">
        <f>'ALL Other SINs - Proposal'!V728</f>
        <v>0</v>
      </c>
      <c r="O728" s="201" t="str">
        <f>'Price Analysis'!N728</f>
        <v xml:space="preserve"> </v>
      </c>
      <c r="P728" s="53" t="str">
        <f>IF(ISBLANK('ALL Other SINs - Proposal'!AA728)," ",'ALL Other SINs - Proposal'!AA728)</f>
        <v xml:space="preserve"> </v>
      </c>
      <c r="Q728" s="95" t="str">
        <f>'ALL Other SINs - Proposal'!AC728</f>
        <v xml:space="preserve"> </v>
      </c>
      <c r="R728" s="100" t="str">
        <f>IF(ISBLANK('ALL Other SINs - Proposal'!AA728)," ",ROUND(Q728,2))</f>
        <v xml:space="preserve"> </v>
      </c>
      <c r="S728" s="54"/>
    </row>
    <row r="729" spans="1:19" ht="20.100000000000001" customHeight="1" x14ac:dyDescent="0.2">
      <c r="A729" s="127">
        <f>'ALL Other SINs - Proposal'!A729</f>
        <v>0</v>
      </c>
      <c r="B729" s="121">
        <f>'ALL Other SINs - Proposal'!B729</f>
        <v>0</v>
      </c>
      <c r="C729" s="121">
        <f>'ALL Other SINs - Proposal'!C729</f>
        <v>0</v>
      </c>
      <c r="D729" s="121">
        <f>'ALL Other SINs - Proposal'!D729</f>
        <v>0</v>
      </c>
      <c r="E729" s="121">
        <f>'ALL Other SINs - Proposal'!E729</f>
        <v>0</v>
      </c>
      <c r="F729" s="171">
        <f>'ALL Other SINs - Proposal'!F729</f>
        <v>0</v>
      </c>
      <c r="G729" s="51">
        <f>'ALL Other SINs - Proposal'!G729</f>
        <v>0</v>
      </c>
      <c r="H729" s="125">
        <f>'ALL Other SINs - Proposal'!H729</f>
        <v>0</v>
      </c>
      <c r="I729" s="125">
        <f>'ALL Other SINs - Proposal'!I729</f>
        <v>0</v>
      </c>
      <c r="J729" s="125">
        <f>'ALL Other SINs - Proposal'!J729</f>
        <v>0</v>
      </c>
      <c r="K729" s="125">
        <f>'ALL Other SINs - Proposal'!K729</f>
        <v>0</v>
      </c>
      <c r="L729" s="125">
        <f>'ALL Other SINs - Proposal'!L729</f>
        <v>0</v>
      </c>
      <c r="M729" s="206">
        <f>'ALL Other SINs - Proposal'!M729</f>
        <v>0</v>
      </c>
      <c r="N729" s="251">
        <f>'ALL Other SINs - Proposal'!V729</f>
        <v>0</v>
      </c>
      <c r="O729" s="201" t="str">
        <f>'Price Analysis'!N729</f>
        <v xml:space="preserve"> </v>
      </c>
      <c r="P729" s="53" t="str">
        <f>IF(ISBLANK('ALL Other SINs - Proposal'!AA729)," ",'ALL Other SINs - Proposal'!AA729)</f>
        <v xml:space="preserve"> </v>
      </c>
      <c r="Q729" s="95" t="str">
        <f>'ALL Other SINs - Proposal'!AC729</f>
        <v xml:space="preserve"> </v>
      </c>
      <c r="R729" s="100" t="str">
        <f>IF(ISBLANK('ALL Other SINs - Proposal'!AA729)," ",ROUND(Q729,2))</f>
        <v xml:space="preserve"> </v>
      </c>
      <c r="S729" s="54"/>
    </row>
    <row r="730" spans="1:19" ht="20.100000000000001" customHeight="1" x14ac:dyDescent="0.2">
      <c r="A730" s="127">
        <f>'ALL Other SINs - Proposal'!A730</f>
        <v>0</v>
      </c>
      <c r="B730" s="121">
        <f>'ALL Other SINs - Proposal'!B730</f>
        <v>0</v>
      </c>
      <c r="C730" s="121">
        <f>'ALL Other SINs - Proposal'!C730</f>
        <v>0</v>
      </c>
      <c r="D730" s="121">
        <f>'ALL Other SINs - Proposal'!D730</f>
        <v>0</v>
      </c>
      <c r="E730" s="121">
        <f>'ALL Other SINs - Proposal'!E730</f>
        <v>0</v>
      </c>
      <c r="F730" s="171">
        <f>'ALL Other SINs - Proposal'!F730</f>
        <v>0</v>
      </c>
      <c r="G730" s="51">
        <f>'ALL Other SINs - Proposal'!G730</f>
        <v>0</v>
      </c>
      <c r="H730" s="125">
        <f>'ALL Other SINs - Proposal'!H730</f>
        <v>0</v>
      </c>
      <c r="I730" s="125">
        <f>'ALL Other SINs - Proposal'!I730</f>
        <v>0</v>
      </c>
      <c r="J730" s="125">
        <f>'ALL Other SINs - Proposal'!J730</f>
        <v>0</v>
      </c>
      <c r="K730" s="125">
        <f>'ALL Other SINs - Proposal'!K730</f>
        <v>0</v>
      </c>
      <c r="L730" s="125">
        <f>'ALL Other SINs - Proposal'!L730</f>
        <v>0</v>
      </c>
      <c r="M730" s="206">
        <f>'ALL Other SINs - Proposal'!M730</f>
        <v>0</v>
      </c>
      <c r="N730" s="251">
        <f>'ALL Other SINs - Proposal'!V730</f>
        <v>0</v>
      </c>
      <c r="O730" s="201" t="str">
        <f>'Price Analysis'!N730</f>
        <v xml:space="preserve"> </v>
      </c>
      <c r="P730" s="53" t="str">
        <f>IF(ISBLANK('ALL Other SINs - Proposal'!AA730)," ",'ALL Other SINs - Proposal'!AA730)</f>
        <v xml:space="preserve"> </v>
      </c>
      <c r="Q730" s="95" t="str">
        <f>'ALL Other SINs - Proposal'!AC730</f>
        <v xml:space="preserve"> </v>
      </c>
      <c r="R730" s="100" t="str">
        <f>IF(ISBLANK('ALL Other SINs - Proposal'!AA730)," ",ROUND(Q730,2))</f>
        <v xml:space="preserve"> </v>
      </c>
      <c r="S730" s="54"/>
    </row>
    <row r="731" spans="1:19" ht="20.100000000000001" customHeight="1" x14ac:dyDescent="0.2">
      <c r="A731" s="127">
        <f>'ALL Other SINs - Proposal'!A731</f>
        <v>0</v>
      </c>
      <c r="B731" s="121">
        <f>'ALL Other SINs - Proposal'!B731</f>
        <v>0</v>
      </c>
      <c r="C731" s="121">
        <f>'ALL Other SINs - Proposal'!C731</f>
        <v>0</v>
      </c>
      <c r="D731" s="121">
        <f>'ALL Other SINs - Proposal'!D731</f>
        <v>0</v>
      </c>
      <c r="E731" s="121">
        <f>'ALL Other SINs - Proposal'!E731</f>
        <v>0</v>
      </c>
      <c r="F731" s="171">
        <f>'ALL Other SINs - Proposal'!F731</f>
        <v>0</v>
      </c>
      <c r="G731" s="51">
        <f>'ALL Other SINs - Proposal'!G731</f>
        <v>0</v>
      </c>
      <c r="H731" s="125">
        <f>'ALL Other SINs - Proposal'!H731</f>
        <v>0</v>
      </c>
      <c r="I731" s="125">
        <f>'ALL Other SINs - Proposal'!I731</f>
        <v>0</v>
      </c>
      <c r="J731" s="125">
        <f>'ALL Other SINs - Proposal'!J731</f>
        <v>0</v>
      </c>
      <c r="K731" s="125">
        <f>'ALL Other SINs - Proposal'!K731</f>
        <v>0</v>
      </c>
      <c r="L731" s="125">
        <f>'ALL Other SINs - Proposal'!L731</f>
        <v>0</v>
      </c>
      <c r="M731" s="206">
        <f>'ALL Other SINs - Proposal'!M731</f>
        <v>0</v>
      </c>
      <c r="N731" s="251">
        <f>'ALL Other SINs - Proposal'!V731</f>
        <v>0</v>
      </c>
      <c r="O731" s="201" t="str">
        <f>'Price Analysis'!N731</f>
        <v xml:space="preserve"> </v>
      </c>
      <c r="P731" s="53" t="str">
        <f>IF(ISBLANK('ALL Other SINs - Proposal'!AA731)," ",'ALL Other SINs - Proposal'!AA731)</f>
        <v xml:space="preserve"> </v>
      </c>
      <c r="Q731" s="95" t="str">
        <f>'ALL Other SINs - Proposal'!AC731</f>
        <v xml:space="preserve"> </v>
      </c>
      <c r="R731" s="100" t="str">
        <f>IF(ISBLANK('ALL Other SINs - Proposal'!AA731)," ",ROUND(Q731,2))</f>
        <v xml:space="preserve"> </v>
      </c>
      <c r="S731" s="54"/>
    </row>
    <row r="732" spans="1:19" ht="20.100000000000001" customHeight="1" x14ac:dyDescent="0.2">
      <c r="A732" s="127">
        <f>'ALL Other SINs - Proposal'!A732</f>
        <v>0</v>
      </c>
      <c r="B732" s="121">
        <f>'ALL Other SINs - Proposal'!B732</f>
        <v>0</v>
      </c>
      <c r="C732" s="121">
        <f>'ALL Other SINs - Proposal'!C732</f>
        <v>0</v>
      </c>
      <c r="D732" s="121">
        <f>'ALL Other SINs - Proposal'!D732</f>
        <v>0</v>
      </c>
      <c r="E732" s="121">
        <f>'ALL Other SINs - Proposal'!E732</f>
        <v>0</v>
      </c>
      <c r="F732" s="171">
        <f>'ALL Other SINs - Proposal'!F732</f>
        <v>0</v>
      </c>
      <c r="G732" s="51">
        <f>'ALL Other SINs - Proposal'!G732</f>
        <v>0</v>
      </c>
      <c r="H732" s="125">
        <f>'ALL Other SINs - Proposal'!H732</f>
        <v>0</v>
      </c>
      <c r="I732" s="125">
        <f>'ALL Other SINs - Proposal'!I732</f>
        <v>0</v>
      </c>
      <c r="J732" s="125">
        <f>'ALL Other SINs - Proposal'!J732</f>
        <v>0</v>
      </c>
      <c r="K732" s="125">
        <f>'ALL Other SINs - Proposal'!K732</f>
        <v>0</v>
      </c>
      <c r="L732" s="125">
        <f>'ALL Other SINs - Proposal'!L732</f>
        <v>0</v>
      </c>
      <c r="M732" s="206">
        <f>'ALL Other SINs - Proposal'!M732</f>
        <v>0</v>
      </c>
      <c r="N732" s="251">
        <f>'ALL Other SINs - Proposal'!V732</f>
        <v>0</v>
      </c>
      <c r="O732" s="201" t="str">
        <f>'Price Analysis'!N732</f>
        <v xml:space="preserve"> </v>
      </c>
      <c r="P732" s="53" t="str">
        <f>IF(ISBLANK('ALL Other SINs - Proposal'!AA732)," ",'ALL Other SINs - Proposal'!AA732)</f>
        <v xml:space="preserve"> </v>
      </c>
      <c r="Q732" s="95" t="str">
        <f>'ALL Other SINs - Proposal'!AC732</f>
        <v xml:space="preserve"> </v>
      </c>
      <c r="R732" s="100" t="str">
        <f>IF(ISBLANK('ALL Other SINs - Proposal'!AA732)," ",ROUND(Q732,2))</f>
        <v xml:space="preserve"> </v>
      </c>
      <c r="S732" s="54"/>
    </row>
    <row r="733" spans="1:19" ht="20.100000000000001" customHeight="1" x14ac:dyDescent="0.2">
      <c r="A733" s="127">
        <f>'ALL Other SINs - Proposal'!A733</f>
        <v>0</v>
      </c>
      <c r="B733" s="121">
        <f>'ALL Other SINs - Proposal'!B733</f>
        <v>0</v>
      </c>
      <c r="C733" s="121">
        <f>'ALL Other SINs - Proposal'!C733</f>
        <v>0</v>
      </c>
      <c r="D733" s="121">
        <f>'ALL Other SINs - Proposal'!D733</f>
        <v>0</v>
      </c>
      <c r="E733" s="121">
        <f>'ALL Other SINs - Proposal'!E733</f>
        <v>0</v>
      </c>
      <c r="F733" s="171">
        <f>'ALL Other SINs - Proposal'!F733</f>
        <v>0</v>
      </c>
      <c r="G733" s="51">
        <f>'ALL Other SINs - Proposal'!G733</f>
        <v>0</v>
      </c>
      <c r="H733" s="125">
        <f>'ALL Other SINs - Proposal'!H733</f>
        <v>0</v>
      </c>
      <c r="I733" s="125">
        <f>'ALL Other SINs - Proposal'!I733</f>
        <v>0</v>
      </c>
      <c r="J733" s="125">
        <f>'ALL Other SINs - Proposal'!J733</f>
        <v>0</v>
      </c>
      <c r="K733" s="125">
        <f>'ALL Other SINs - Proposal'!K733</f>
        <v>0</v>
      </c>
      <c r="L733" s="125">
        <f>'ALL Other SINs - Proposal'!L733</f>
        <v>0</v>
      </c>
      <c r="M733" s="206">
        <f>'ALL Other SINs - Proposal'!M733</f>
        <v>0</v>
      </c>
      <c r="N733" s="251">
        <f>'ALL Other SINs - Proposal'!V733</f>
        <v>0</v>
      </c>
      <c r="O733" s="201" t="str">
        <f>'Price Analysis'!N733</f>
        <v xml:space="preserve"> </v>
      </c>
      <c r="P733" s="53" t="str">
        <f>IF(ISBLANK('ALL Other SINs - Proposal'!AA733)," ",'ALL Other SINs - Proposal'!AA733)</f>
        <v xml:space="preserve"> </v>
      </c>
      <c r="Q733" s="95" t="str">
        <f>'ALL Other SINs - Proposal'!AC733</f>
        <v xml:space="preserve"> </v>
      </c>
      <c r="R733" s="100" t="str">
        <f>IF(ISBLANK('ALL Other SINs - Proposal'!AA733)," ",ROUND(Q733,2))</f>
        <v xml:space="preserve"> </v>
      </c>
      <c r="S733" s="54"/>
    </row>
    <row r="734" spans="1:19" ht="20.100000000000001" customHeight="1" x14ac:dyDescent="0.2">
      <c r="A734" s="127">
        <f>'ALL Other SINs - Proposal'!A734</f>
        <v>0</v>
      </c>
      <c r="B734" s="121">
        <f>'ALL Other SINs - Proposal'!B734</f>
        <v>0</v>
      </c>
      <c r="C734" s="121">
        <f>'ALL Other SINs - Proposal'!C734</f>
        <v>0</v>
      </c>
      <c r="D734" s="121">
        <f>'ALL Other SINs - Proposal'!D734</f>
        <v>0</v>
      </c>
      <c r="E734" s="121">
        <f>'ALL Other SINs - Proposal'!E734</f>
        <v>0</v>
      </c>
      <c r="F734" s="171">
        <f>'ALL Other SINs - Proposal'!F734</f>
        <v>0</v>
      </c>
      <c r="G734" s="51">
        <f>'ALL Other SINs - Proposal'!G734</f>
        <v>0</v>
      </c>
      <c r="H734" s="125">
        <f>'ALL Other SINs - Proposal'!H734</f>
        <v>0</v>
      </c>
      <c r="I734" s="125">
        <f>'ALL Other SINs - Proposal'!I734</f>
        <v>0</v>
      </c>
      <c r="J734" s="125">
        <f>'ALL Other SINs - Proposal'!J734</f>
        <v>0</v>
      </c>
      <c r="K734" s="125">
        <f>'ALL Other SINs - Proposal'!K734</f>
        <v>0</v>
      </c>
      <c r="L734" s="125">
        <f>'ALL Other SINs - Proposal'!L734</f>
        <v>0</v>
      </c>
      <c r="M734" s="206">
        <f>'ALL Other SINs - Proposal'!M734</f>
        <v>0</v>
      </c>
      <c r="N734" s="251">
        <f>'ALL Other SINs - Proposal'!V734</f>
        <v>0</v>
      </c>
      <c r="O734" s="201" t="str">
        <f>'Price Analysis'!N734</f>
        <v xml:space="preserve"> </v>
      </c>
      <c r="P734" s="53" t="str">
        <f>IF(ISBLANK('ALL Other SINs - Proposal'!AA734)," ",'ALL Other SINs - Proposal'!AA734)</f>
        <v xml:space="preserve"> </v>
      </c>
      <c r="Q734" s="95" t="str">
        <f>'ALL Other SINs - Proposal'!AC734</f>
        <v xml:space="preserve"> </v>
      </c>
      <c r="R734" s="100" t="str">
        <f>IF(ISBLANK('ALL Other SINs - Proposal'!AA734)," ",ROUND(Q734,2))</f>
        <v xml:space="preserve"> </v>
      </c>
      <c r="S734" s="54"/>
    </row>
    <row r="735" spans="1:19" ht="20.100000000000001" customHeight="1" x14ac:dyDescent="0.2">
      <c r="A735" s="127">
        <f>'ALL Other SINs - Proposal'!A735</f>
        <v>0</v>
      </c>
      <c r="B735" s="121">
        <f>'ALL Other SINs - Proposal'!B735</f>
        <v>0</v>
      </c>
      <c r="C735" s="121">
        <f>'ALL Other SINs - Proposal'!C735</f>
        <v>0</v>
      </c>
      <c r="D735" s="121">
        <f>'ALL Other SINs - Proposal'!D735</f>
        <v>0</v>
      </c>
      <c r="E735" s="121">
        <f>'ALL Other SINs - Proposal'!E735</f>
        <v>0</v>
      </c>
      <c r="F735" s="171">
        <f>'ALL Other SINs - Proposal'!F735</f>
        <v>0</v>
      </c>
      <c r="G735" s="51">
        <f>'ALL Other SINs - Proposal'!G735</f>
        <v>0</v>
      </c>
      <c r="H735" s="125">
        <f>'ALL Other SINs - Proposal'!H735</f>
        <v>0</v>
      </c>
      <c r="I735" s="125">
        <f>'ALL Other SINs - Proposal'!I735</f>
        <v>0</v>
      </c>
      <c r="J735" s="125">
        <f>'ALL Other SINs - Proposal'!J735</f>
        <v>0</v>
      </c>
      <c r="K735" s="125">
        <f>'ALL Other SINs - Proposal'!K735</f>
        <v>0</v>
      </c>
      <c r="L735" s="125">
        <f>'ALL Other SINs - Proposal'!L735</f>
        <v>0</v>
      </c>
      <c r="M735" s="206">
        <f>'ALL Other SINs - Proposal'!M735</f>
        <v>0</v>
      </c>
      <c r="N735" s="251">
        <f>'ALL Other SINs - Proposal'!V735</f>
        <v>0</v>
      </c>
      <c r="O735" s="201" t="str">
        <f>'Price Analysis'!N735</f>
        <v xml:space="preserve"> </v>
      </c>
      <c r="P735" s="53" t="str">
        <f>IF(ISBLANK('ALL Other SINs - Proposal'!AA735)," ",'ALL Other SINs - Proposal'!AA735)</f>
        <v xml:space="preserve"> </v>
      </c>
      <c r="Q735" s="95" t="str">
        <f>'ALL Other SINs - Proposal'!AC735</f>
        <v xml:space="preserve"> </v>
      </c>
      <c r="R735" s="100" t="str">
        <f>IF(ISBLANK('ALL Other SINs - Proposal'!AA735)," ",ROUND(Q735,2))</f>
        <v xml:space="preserve"> </v>
      </c>
      <c r="S735" s="54"/>
    </row>
    <row r="736" spans="1:19" ht="20.100000000000001" customHeight="1" x14ac:dyDescent="0.2">
      <c r="A736" s="127">
        <f>'ALL Other SINs - Proposal'!A736</f>
        <v>0</v>
      </c>
      <c r="B736" s="121">
        <f>'ALL Other SINs - Proposal'!B736</f>
        <v>0</v>
      </c>
      <c r="C736" s="121">
        <f>'ALL Other SINs - Proposal'!C736</f>
        <v>0</v>
      </c>
      <c r="D736" s="121">
        <f>'ALL Other SINs - Proposal'!D736</f>
        <v>0</v>
      </c>
      <c r="E736" s="121">
        <f>'ALL Other SINs - Proposal'!E736</f>
        <v>0</v>
      </c>
      <c r="F736" s="171">
        <f>'ALL Other SINs - Proposal'!F736</f>
        <v>0</v>
      </c>
      <c r="G736" s="51">
        <f>'ALL Other SINs - Proposal'!G736</f>
        <v>0</v>
      </c>
      <c r="H736" s="125">
        <f>'ALL Other SINs - Proposal'!H736</f>
        <v>0</v>
      </c>
      <c r="I736" s="125">
        <f>'ALL Other SINs - Proposal'!I736</f>
        <v>0</v>
      </c>
      <c r="J736" s="125">
        <f>'ALL Other SINs - Proposal'!J736</f>
        <v>0</v>
      </c>
      <c r="K736" s="125">
        <f>'ALL Other SINs - Proposal'!K736</f>
        <v>0</v>
      </c>
      <c r="L736" s="125">
        <f>'ALL Other SINs - Proposal'!L736</f>
        <v>0</v>
      </c>
      <c r="M736" s="206">
        <f>'ALL Other SINs - Proposal'!M736</f>
        <v>0</v>
      </c>
      <c r="N736" s="251">
        <f>'ALL Other SINs - Proposal'!V736</f>
        <v>0</v>
      </c>
      <c r="O736" s="201" t="str">
        <f>'Price Analysis'!N736</f>
        <v xml:space="preserve"> </v>
      </c>
      <c r="P736" s="53" t="str">
        <f>IF(ISBLANK('ALL Other SINs - Proposal'!AA736)," ",'ALL Other SINs - Proposal'!AA736)</f>
        <v xml:space="preserve"> </v>
      </c>
      <c r="Q736" s="95" t="str">
        <f>'ALL Other SINs - Proposal'!AC736</f>
        <v xml:space="preserve"> </v>
      </c>
      <c r="R736" s="100" t="str">
        <f>IF(ISBLANK('ALL Other SINs - Proposal'!AA736)," ",ROUND(Q736,2))</f>
        <v xml:space="preserve"> </v>
      </c>
      <c r="S736" s="54"/>
    </row>
    <row r="737" spans="1:19" ht="20.100000000000001" customHeight="1" x14ac:dyDescent="0.2">
      <c r="A737" s="127">
        <f>'ALL Other SINs - Proposal'!A737</f>
        <v>0</v>
      </c>
      <c r="B737" s="121">
        <f>'ALL Other SINs - Proposal'!B737</f>
        <v>0</v>
      </c>
      <c r="C737" s="121">
        <f>'ALL Other SINs - Proposal'!C737</f>
        <v>0</v>
      </c>
      <c r="D737" s="121">
        <f>'ALL Other SINs - Proposal'!D737</f>
        <v>0</v>
      </c>
      <c r="E737" s="121">
        <f>'ALL Other SINs - Proposal'!E737</f>
        <v>0</v>
      </c>
      <c r="F737" s="171">
        <f>'ALL Other SINs - Proposal'!F737</f>
        <v>0</v>
      </c>
      <c r="G737" s="51">
        <f>'ALL Other SINs - Proposal'!G737</f>
        <v>0</v>
      </c>
      <c r="H737" s="125">
        <f>'ALL Other SINs - Proposal'!H737</f>
        <v>0</v>
      </c>
      <c r="I737" s="125">
        <f>'ALL Other SINs - Proposal'!I737</f>
        <v>0</v>
      </c>
      <c r="J737" s="125">
        <f>'ALL Other SINs - Proposal'!J737</f>
        <v>0</v>
      </c>
      <c r="K737" s="125">
        <f>'ALL Other SINs - Proposal'!K737</f>
        <v>0</v>
      </c>
      <c r="L737" s="125">
        <f>'ALL Other SINs - Proposal'!L737</f>
        <v>0</v>
      </c>
      <c r="M737" s="206">
        <f>'ALL Other SINs - Proposal'!M737</f>
        <v>0</v>
      </c>
      <c r="N737" s="251">
        <f>'ALL Other SINs - Proposal'!V737</f>
        <v>0</v>
      </c>
      <c r="O737" s="201" t="str">
        <f>'Price Analysis'!N737</f>
        <v xml:space="preserve"> </v>
      </c>
      <c r="P737" s="53" t="str">
        <f>IF(ISBLANK('ALL Other SINs - Proposal'!AA737)," ",'ALL Other SINs - Proposal'!AA737)</f>
        <v xml:space="preserve"> </v>
      </c>
      <c r="Q737" s="95" t="str">
        <f>'ALL Other SINs - Proposal'!AC737</f>
        <v xml:space="preserve"> </v>
      </c>
      <c r="R737" s="100" t="str">
        <f>IF(ISBLANK('ALL Other SINs - Proposal'!AA737)," ",ROUND(Q737,2))</f>
        <v xml:space="preserve"> </v>
      </c>
      <c r="S737" s="54"/>
    </row>
    <row r="738" spans="1:19" ht="20.100000000000001" customHeight="1" x14ac:dyDescent="0.2">
      <c r="A738" s="127">
        <f>'ALL Other SINs - Proposal'!A738</f>
        <v>0</v>
      </c>
      <c r="B738" s="121">
        <f>'ALL Other SINs - Proposal'!B738</f>
        <v>0</v>
      </c>
      <c r="C738" s="121">
        <f>'ALL Other SINs - Proposal'!C738</f>
        <v>0</v>
      </c>
      <c r="D738" s="121">
        <f>'ALL Other SINs - Proposal'!D738</f>
        <v>0</v>
      </c>
      <c r="E738" s="121">
        <f>'ALL Other SINs - Proposal'!E738</f>
        <v>0</v>
      </c>
      <c r="F738" s="171">
        <f>'ALL Other SINs - Proposal'!F738</f>
        <v>0</v>
      </c>
      <c r="G738" s="51">
        <f>'ALL Other SINs - Proposal'!G738</f>
        <v>0</v>
      </c>
      <c r="H738" s="125">
        <f>'ALL Other SINs - Proposal'!H738</f>
        <v>0</v>
      </c>
      <c r="I738" s="125">
        <f>'ALL Other SINs - Proposal'!I738</f>
        <v>0</v>
      </c>
      <c r="J738" s="125">
        <f>'ALL Other SINs - Proposal'!J738</f>
        <v>0</v>
      </c>
      <c r="K738" s="125">
        <f>'ALL Other SINs - Proposal'!K738</f>
        <v>0</v>
      </c>
      <c r="L738" s="125">
        <f>'ALL Other SINs - Proposal'!L738</f>
        <v>0</v>
      </c>
      <c r="M738" s="206">
        <f>'ALL Other SINs - Proposal'!M738</f>
        <v>0</v>
      </c>
      <c r="N738" s="251">
        <f>'ALL Other SINs - Proposal'!V738</f>
        <v>0</v>
      </c>
      <c r="O738" s="201" t="str">
        <f>'Price Analysis'!N738</f>
        <v xml:space="preserve"> </v>
      </c>
      <c r="P738" s="53" t="str">
        <f>IF(ISBLANK('ALL Other SINs - Proposal'!AA738)," ",'ALL Other SINs - Proposal'!AA738)</f>
        <v xml:space="preserve"> </v>
      </c>
      <c r="Q738" s="95" t="str">
        <f>'ALL Other SINs - Proposal'!AC738</f>
        <v xml:space="preserve"> </v>
      </c>
      <c r="R738" s="100" t="str">
        <f>IF(ISBLANK('ALL Other SINs - Proposal'!AA738)," ",ROUND(Q738,2))</f>
        <v xml:space="preserve"> </v>
      </c>
      <c r="S738" s="54"/>
    </row>
    <row r="739" spans="1:19" ht="20.100000000000001" customHeight="1" x14ac:dyDescent="0.2">
      <c r="A739" s="127">
        <f>'ALL Other SINs - Proposal'!A739</f>
        <v>0</v>
      </c>
      <c r="B739" s="121">
        <f>'ALL Other SINs - Proposal'!B739</f>
        <v>0</v>
      </c>
      <c r="C739" s="121">
        <f>'ALL Other SINs - Proposal'!C739</f>
        <v>0</v>
      </c>
      <c r="D739" s="121">
        <f>'ALL Other SINs - Proposal'!D739</f>
        <v>0</v>
      </c>
      <c r="E739" s="121">
        <f>'ALL Other SINs - Proposal'!E739</f>
        <v>0</v>
      </c>
      <c r="F739" s="171">
        <f>'ALL Other SINs - Proposal'!F739</f>
        <v>0</v>
      </c>
      <c r="G739" s="51">
        <f>'ALL Other SINs - Proposal'!G739</f>
        <v>0</v>
      </c>
      <c r="H739" s="125">
        <f>'ALL Other SINs - Proposal'!H739</f>
        <v>0</v>
      </c>
      <c r="I739" s="125">
        <f>'ALL Other SINs - Proposal'!I739</f>
        <v>0</v>
      </c>
      <c r="J739" s="125">
        <f>'ALL Other SINs - Proposal'!J739</f>
        <v>0</v>
      </c>
      <c r="K739" s="125">
        <f>'ALL Other SINs - Proposal'!K739</f>
        <v>0</v>
      </c>
      <c r="L739" s="125">
        <f>'ALL Other SINs - Proposal'!L739</f>
        <v>0</v>
      </c>
      <c r="M739" s="206">
        <f>'ALL Other SINs - Proposal'!M739</f>
        <v>0</v>
      </c>
      <c r="N739" s="251">
        <f>'ALL Other SINs - Proposal'!V739</f>
        <v>0</v>
      </c>
      <c r="O739" s="201" t="str">
        <f>'Price Analysis'!N739</f>
        <v xml:space="preserve"> </v>
      </c>
      <c r="P739" s="53" t="str">
        <f>IF(ISBLANK('ALL Other SINs - Proposal'!AA739)," ",'ALL Other SINs - Proposal'!AA739)</f>
        <v xml:space="preserve"> </v>
      </c>
      <c r="Q739" s="95" t="str">
        <f>'ALL Other SINs - Proposal'!AC739</f>
        <v xml:space="preserve"> </v>
      </c>
      <c r="R739" s="100" t="str">
        <f>IF(ISBLANK('ALL Other SINs - Proposal'!AA739)," ",ROUND(Q739,2))</f>
        <v xml:space="preserve"> </v>
      </c>
      <c r="S739" s="54"/>
    </row>
    <row r="740" spans="1:19" ht="20.100000000000001" customHeight="1" x14ac:dyDescent="0.2">
      <c r="A740" s="127">
        <f>'ALL Other SINs - Proposal'!A740</f>
        <v>0</v>
      </c>
      <c r="B740" s="121">
        <f>'ALL Other SINs - Proposal'!B740</f>
        <v>0</v>
      </c>
      <c r="C740" s="121">
        <f>'ALL Other SINs - Proposal'!C740</f>
        <v>0</v>
      </c>
      <c r="D740" s="121">
        <f>'ALL Other SINs - Proposal'!D740</f>
        <v>0</v>
      </c>
      <c r="E740" s="121">
        <f>'ALL Other SINs - Proposal'!E740</f>
        <v>0</v>
      </c>
      <c r="F740" s="171">
        <f>'ALL Other SINs - Proposal'!F740</f>
        <v>0</v>
      </c>
      <c r="G740" s="51">
        <f>'ALL Other SINs - Proposal'!G740</f>
        <v>0</v>
      </c>
      <c r="H740" s="125">
        <f>'ALL Other SINs - Proposal'!H740</f>
        <v>0</v>
      </c>
      <c r="I740" s="125">
        <f>'ALL Other SINs - Proposal'!I740</f>
        <v>0</v>
      </c>
      <c r="J740" s="125">
        <f>'ALL Other SINs - Proposal'!J740</f>
        <v>0</v>
      </c>
      <c r="K740" s="125">
        <f>'ALL Other SINs - Proposal'!K740</f>
        <v>0</v>
      </c>
      <c r="L740" s="125">
        <f>'ALL Other SINs - Proposal'!L740</f>
        <v>0</v>
      </c>
      <c r="M740" s="206">
        <f>'ALL Other SINs - Proposal'!M740</f>
        <v>0</v>
      </c>
      <c r="N740" s="251">
        <f>'ALL Other SINs - Proposal'!V740</f>
        <v>0</v>
      </c>
      <c r="O740" s="201" t="str">
        <f>'Price Analysis'!N740</f>
        <v xml:space="preserve"> </v>
      </c>
      <c r="P740" s="53" t="str">
        <f>IF(ISBLANK('ALL Other SINs - Proposal'!AA740)," ",'ALL Other SINs - Proposal'!AA740)</f>
        <v xml:space="preserve"> </v>
      </c>
      <c r="Q740" s="95" t="str">
        <f>'ALL Other SINs - Proposal'!AC740</f>
        <v xml:space="preserve"> </v>
      </c>
      <c r="R740" s="100" t="str">
        <f>IF(ISBLANK('ALL Other SINs - Proposal'!AA740)," ",ROUND(Q740,2))</f>
        <v xml:space="preserve"> </v>
      </c>
      <c r="S740" s="54"/>
    </row>
    <row r="741" spans="1:19" ht="20.100000000000001" customHeight="1" x14ac:dyDescent="0.2">
      <c r="A741" s="127">
        <f>'ALL Other SINs - Proposal'!A741</f>
        <v>0</v>
      </c>
      <c r="B741" s="121">
        <f>'ALL Other SINs - Proposal'!B741</f>
        <v>0</v>
      </c>
      <c r="C741" s="121">
        <f>'ALL Other SINs - Proposal'!C741</f>
        <v>0</v>
      </c>
      <c r="D741" s="121">
        <f>'ALL Other SINs - Proposal'!D741</f>
        <v>0</v>
      </c>
      <c r="E741" s="121">
        <f>'ALL Other SINs - Proposal'!E741</f>
        <v>0</v>
      </c>
      <c r="F741" s="171">
        <f>'ALL Other SINs - Proposal'!F741</f>
        <v>0</v>
      </c>
      <c r="G741" s="51">
        <f>'ALL Other SINs - Proposal'!G741</f>
        <v>0</v>
      </c>
      <c r="H741" s="125">
        <f>'ALL Other SINs - Proposal'!H741</f>
        <v>0</v>
      </c>
      <c r="I741" s="125">
        <f>'ALL Other SINs - Proposal'!I741</f>
        <v>0</v>
      </c>
      <c r="J741" s="125">
        <f>'ALL Other SINs - Proposal'!J741</f>
        <v>0</v>
      </c>
      <c r="K741" s="125">
        <f>'ALL Other SINs - Proposal'!K741</f>
        <v>0</v>
      </c>
      <c r="L741" s="125">
        <f>'ALL Other SINs - Proposal'!L741</f>
        <v>0</v>
      </c>
      <c r="M741" s="206">
        <f>'ALL Other SINs - Proposal'!M741</f>
        <v>0</v>
      </c>
      <c r="N741" s="251">
        <f>'ALL Other SINs - Proposal'!V741</f>
        <v>0</v>
      </c>
      <c r="O741" s="201" t="str">
        <f>'Price Analysis'!N741</f>
        <v xml:space="preserve"> </v>
      </c>
      <c r="P741" s="53" t="str">
        <f>IF(ISBLANK('ALL Other SINs - Proposal'!AA741)," ",'ALL Other SINs - Proposal'!AA741)</f>
        <v xml:space="preserve"> </v>
      </c>
      <c r="Q741" s="95" t="str">
        <f>'ALL Other SINs - Proposal'!AC741</f>
        <v xml:space="preserve"> </v>
      </c>
      <c r="R741" s="100" t="str">
        <f>IF(ISBLANK('ALL Other SINs - Proposal'!AA741)," ",ROUND(Q741,2))</f>
        <v xml:space="preserve"> </v>
      </c>
      <c r="S741" s="54"/>
    </row>
    <row r="742" spans="1:19" ht="20.100000000000001" customHeight="1" x14ac:dyDescent="0.2">
      <c r="A742" s="127">
        <f>'ALL Other SINs - Proposal'!A742</f>
        <v>0</v>
      </c>
      <c r="B742" s="121">
        <f>'ALL Other SINs - Proposal'!B742</f>
        <v>0</v>
      </c>
      <c r="C742" s="121">
        <f>'ALL Other SINs - Proposal'!C742</f>
        <v>0</v>
      </c>
      <c r="D742" s="121">
        <f>'ALL Other SINs - Proposal'!D742</f>
        <v>0</v>
      </c>
      <c r="E742" s="121">
        <f>'ALL Other SINs - Proposal'!E742</f>
        <v>0</v>
      </c>
      <c r="F742" s="171">
        <f>'ALL Other SINs - Proposal'!F742</f>
        <v>0</v>
      </c>
      <c r="G742" s="51">
        <f>'ALL Other SINs - Proposal'!G742</f>
        <v>0</v>
      </c>
      <c r="H742" s="125">
        <f>'ALL Other SINs - Proposal'!H742</f>
        <v>0</v>
      </c>
      <c r="I742" s="125">
        <f>'ALL Other SINs - Proposal'!I742</f>
        <v>0</v>
      </c>
      <c r="J742" s="125">
        <f>'ALL Other SINs - Proposal'!J742</f>
        <v>0</v>
      </c>
      <c r="K742" s="125">
        <f>'ALL Other SINs - Proposal'!K742</f>
        <v>0</v>
      </c>
      <c r="L742" s="125">
        <f>'ALL Other SINs - Proposal'!L742</f>
        <v>0</v>
      </c>
      <c r="M742" s="206">
        <f>'ALL Other SINs - Proposal'!M742</f>
        <v>0</v>
      </c>
      <c r="N742" s="251">
        <f>'ALL Other SINs - Proposal'!V742</f>
        <v>0</v>
      </c>
      <c r="O742" s="201" t="str">
        <f>'Price Analysis'!N742</f>
        <v xml:space="preserve"> </v>
      </c>
      <c r="P742" s="53" t="str">
        <f>IF(ISBLANK('ALL Other SINs - Proposal'!AA742)," ",'ALL Other SINs - Proposal'!AA742)</f>
        <v xml:space="preserve"> </v>
      </c>
      <c r="Q742" s="95" t="str">
        <f>'ALL Other SINs - Proposal'!AC742</f>
        <v xml:space="preserve"> </v>
      </c>
      <c r="R742" s="100" t="str">
        <f>IF(ISBLANK('ALL Other SINs - Proposal'!AA742)," ",ROUND(Q742,2))</f>
        <v xml:space="preserve"> </v>
      </c>
      <c r="S742" s="54"/>
    </row>
    <row r="743" spans="1:19" ht="20.100000000000001" customHeight="1" x14ac:dyDescent="0.2">
      <c r="A743" s="127">
        <f>'ALL Other SINs - Proposal'!A743</f>
        <v>0</v>
      </c>
      <c r="B743" s="121">
        <f>'ALL Other SINs - Proposal'!B743</f>
        <v>0</v>
      </c>
      <c r="C743" s="121">
        <f>'ALL Other SINs - Proposal'!C743</f>
        <v>0</v>
      </c>
      <c r="D743" s="121">
        <f>'ALL Other SINs - Proposal'!D743</f>
        <v>0</v>
      </c>
      <c r="E743" s="121">
        <f>'ALL Other SINs - Proposal'!E743</f>
        <v>0</v>
      </c>
      <c r="F743" s="171">
        <f>'ALL Other SINs - Proposal'!F743</f>
        <v>0</v>
      </c>
      <c r="G743" s="51">
        <f>'ALL Other SINs - Proposal'!G743</f>
        <v>0</v>
      </c>
      <c r="H743" s="125">
        <f>'ALL Other SINs - Proposal'!H743</f>
        <v>0</v>
      </c>
      <c r="I743" s="125">
        <f>'ALL Other SINs - Proposal'!I743</f>
        <v>0</v>
      </c>
      <c r="J743" s="125">
        <f>'ALL Other SINs - Proposal'!J743</f>
        <v>0</v>
      </c>
      <c r="K743" s="125">
        <f>'ALL Other SINs - Proposal'!K743</f>
        <v>0</v>
      </c>
      <c r="L743" s="125">
        <f>'ALL Other SINs - Proposal'!L743</f>
        <v>0</v>
      </c>
      <c r="M743" s="206">
        <f>'ALL Other SINs - Proposal'!M743</f>
        <v>0</v>
      </c>
      <c r="N743" s="251">
        <f>'ALL Other SINs - Proposal'!V743</f>
        <v>0</v>
      </c>
      <c r="O743" s="201" t="str">
        <f>'Price Analysis'!N743</f>
        <v xml:space="preserve"> </v>
      </c>
      <c r="P743" s="53" t="str">
        <f>IF(ISBLANK('ALL Other SINs - Proposal'!AA743)," ",'ALL Other SINs - Proposal'!AA743)</f>
        <v xml:space="preserve"> </v>
      </c>
      <c r="Q743" s="95" t="str">
        <f>'ALL Other SINs - Proposal'!AC743</f>
        <v xml:space="preserve"> </v>
      </c>
      <c r="R743" s="100" t="str">
        <f>IF(ISBLANK('ALL Other SINs - Proposal'!AA743)," ",ROUND(Q743,2))</f>
        <v xml:space="preserve"> </v>
      </c>
      <c r="S743" s="54"/>
    </row>
    <row r="744" spans="1:19" ht="20.100000000000001" customHeight="1" x14ac:dyDescent="0.2">
      <c r="A744" s="127">
        <f>'ALL Other SINs - Proposal'!A744</f>
        <v>0</v>
      </c>
      <c r="B744" s="121">
        <f>'ALL Other SINs - Proposal'!B744</f>
        <v>0</v>
      </c>
      <c r="C744" s="121">
        <f>'ALL Other SINs - Proposal'!C744</f>
        <v>0</v>
      </c>
      <c r="D744" s="121">
        <f>'ALL Other SINs - Proposal'!D744</f>
        <v>0</v>
      </c>
      <c r="E744" s="121">
        <f>'ALL Other SINs - Proposal'!E744</f>
        <v>0</v>
      </c>
      <c r="F744" s="171">
        <f>'ALL Other SINs - Proposal'!F744</f>
        <v>0</v>
      </c>
      <c r="G744" s="51">
        <f>'ALL Other SINs - Proposal'!G744</f>
        <v>0</v>
      </c>
      <c r="H744" s="125">
        <f>'ALL Other SINs - Proposal'!H744</f>
        <v>0</v>
      </c>
      <c r="I744" s="125">
        <f>'ALL Other SINs - Proposal'!I744</f>
        <v>0</v>
      </c>
      <c r="J744" s="125">
        <f>'ALL Other SINs - Proposal'!J744</f>
        <v>0</v>
      </c>
      <c r="K744" s="125">
        <f>'ALL Other SINs - Proposal'!K744</f>
        <v>0</v>
      </c>
      <c r="L744" s="125">
        <f>'ALL Other SINs - Proposal'!L744</f>
        <v>0</v>
      </c>
      <c r="M744" s="206">
        <f>'ALL Other SINs - Proposal'!M744</f>
        <v>0</v>
      </c>
      <c r="N744" s="251">
        <f>'ALL Other SINs - Proposal'!V744</f>
        <v>0</v>
      </c>
      <c r="O744" s="201" t="str">
        <f>'Price Analysis'!N744</f>
        <v xml:space="preserve"> </v>
      </c>
      <c r="P744" s="53" t="str">
        <f>IF(ISBLANK('ALL Other SINs - Proposal'!AA744)," ",'ALL Other SINs - Proposal'!AA744)</f>
        <v xml:space="preserve"> </v>
      </c>
      <c r="Q744" s="95" t="str">
        <f>'ALL Other SINs - Proposal'!AC744</f>
        <v xml:space="preserve"> </v>
      </c>
      <c r="R744" s="100" t="str">
        <f>IF(ISBLANK('ALL Other SINs - Proposal'!AA744)," ",ROUND(Q744,2))</f>
        <v xml:space="preserve"> </v>
      </c>
      <c r="S744" s="54"/>
    </row>
    <row r="745" spans="1:19" ht="20.100000000000001" customHeight="1" x14ac:dyDescent="0.2">
      <c r="A745" s="127">
        <f>'ALL Other SINs - Proposal'!A745</f>
        <v>0</v>
      </c>
      <c r="B745" s="121">
        <f>'ALL Other SINs - Proposal'!B745</f>
        <v>0</v>
      </c>
      <c r="C745" s="121">
        <f>'ALL Other SINs - Proposal'!C745</f>
        <v>0</v>
      </c>
      <c r="D745" s="121">
        <f>'ALL Other SINs - Proposal'!D745</f>
        <v>0</v>
      </c>
      <c r="E745" s="121">
        <f>'ALL Other SINs - Proposal'!E745</f>
        <v>0</v>
      </c>
      <c r="F745" s="171">
        <f>'ALL Other SINs - Proposal'!F745</f>
        <v>0</v>
      </c>
      <c r="G745" s="51">
        <f>'ALL Other SINs - Proposal'!G745</f>
        <v>0</v>
      </c>
      <c r="H745" s="125">
        <f>'ALL Other SINs - Proposal'!H745</f>
        <v>0</v>
      </c>
      <c r="I745" s="125">
        <f>'ALL Other SINs - Proposal'!I745</f>
        <v>0</v>
      </c>
      <c r="J745" s="125">
        <f>'ALL Other SINs - Proposal'!J745</f>
        <v>0</v>
      </c>
      <c r="K745" s="125">
        <f>'ALL Other SINs - Proposal'!K745</f>
        <v>0</v>
      </c>
      <c r="L745" s="125">
        <f>'ALL Other SINs - Proposal'!L745</f>
        <v>0</v>
      </c>
      <c r="M745" s="206">
        <f>'ALL Other SINs - Proposal'!M745</f>
        <v>0</v>
      </c>
      <c r="N745" s="251">
        <f>'ALL Other SINs - Proposal'!V745</f>
        <v>0</v>
      </c>
      <c r="O745" s="201" t="str">
        <f>'Price Analysis'!N745</f>
        <v xml:space="preserve"> </v>
      </c>
      <c r="P745" s="53" t="str">
        <f>IF(ISBLANK('ALL Other SINs - Proposal'!AA745)," ",'ALL Other SINs - Proposal'!AA745)</f>
        <v xml:space="preserve"> </v>
      </c>
      <c r="Q745" s="95" t="str">
        <f>'ALL Other SINs - Proposal'!AC745</f>
        <v xml:space="preserve"> </v>
      </c>
      <c r="R745" s="100" t="str">
        <f>IF(ISBLANK('ALL Other SINs - Proposal'!AA745)," ",ROUND(Q745,2))</f>
        <v xml:space="preserve"> </v>
      </c>
      <c r="S745" s="54"/>
    </row>
    <row r="746" spans="1:19" ht="20.100000000000001" customHeight="1" x14ac:dyDescent="0.2">
      <c r="A746" s="127">
        <f>'ALL Other SINs - Proposal'!A746</f>
        <v>0</v>
      </c>
      <c r="B746" s="121">
        <f>'ALL Other SINs - Proposal'!B746</f>
        <v>0</v>
      </c>
      <c r="C746" s="121">
        <f>'ALL Other SINs - Proposal'!C746</f>
        <v>0</v>
      </c>
      <c r="D746" s="121">
        <f>'ALL Other SINs - Proposal'!D746</f>
        <v>0</v>
      </c>
      <c r="E746" s="121">
        <f>'ALL Other SINs - Proposal'!E746</f>
        <v>0</v>
      </c>
      <c r="F746" s="171">
        <f>'ALL Other SINs - Proposal'!F746</f>
        <v>0</v>
      </c>
      <c r="G746" s="51">
        <f>'ALL Other SINs - Proposal'!G746</f>
        <v>0</v>
      </c>
      <c r="H746" s="125">
        <f>'ALL Other SINs - Proposal'!H746</f>
        <v>0</v>
      </c>
      <c r="I746" s="125">
        <f>'ALL Other SINs - Proposal'!I746</f>
        <v>0</v>
      </c>
      <c r="J746" s="125">
        <f>'ALL Other SINs - Proposal'!J746</f>
        <v>0</v>
      </c>
      <c r="K746" s="125">
        <f>'ALL Other SINs - Proposal'!K746</f>
        <v>0</v>
      </c>
      <c r="L746" s="125">
        <f>'ALL Other SINs - Proposal'!L746</f>
        <v>0</v>
      </c>
      <c r="M746" s="206">
        <f>'ALL Other SINs - Proposal'!M746</f>
        <v>0</v>
      </c>
      <c r="N746" s="251">
        <f>'ALL Other SINs - Proposal'!V746</f>
        <v>0</v>
      </c>
      <c r="O746" s="201" t="str">
        <f>'Price Analysis'!N746</f>
        <v xml:space="preserve"> </v>
      </c>
      <c r="P746" s="53" t="str">
        <f>IF(ISBLANK('ALL Other SINs - Proposal'!AA746)," ",'ALL Other SINs - Proposal'!AA746)</f>
        <v xml:space="preserve"> </v>
      </c>
      <c r="Q746" s="95" t="str">
        <f>'ALL Other SINs - Proposal'!AC746</f>
        <v xml:space="preserve"> </v>
      </c>
      <c r="R746" s="100" t="str">
        <f>IF(ISBLANK('ALL Other SINs - Proposal'!AA746)," ",ROUND(Q746,2))</f>
        <v xml:space="preserve"> </v>
      </c>
      <c r="S746" s="54"/>
    </row>
    <row r="747" spans="1:19" ht="20.100000000000001" customHeight="1" x14ac:dyDescent="0.2">
      <c r="A747" s="127">
        <f>'ALL Other SINs - Proposal'!A747</f>
        <v>0</v>
      </c>
      <c r="B747" s="121">
        <f>'ALL Other SINs - Proposal'!B747</f>
        <v>0</v>
      </c>
      <c r="C747" s="121">
        <f>'ALL Other SINs - Proposal'!C747</f>
        <v>0</v>
      </c>
      <c r="D747" s="121">
        <f>'ALL Other SINs - Proposal'!D747</f>
        <v>0</v>
      </c>
      <c r="E747" s="121">
        <f>'ALL Other SINs - Proposal'!E747</f>
        <v>0</v>
      </c>
      <c r="F747" s="171">
        <f>'ALL Other SINs - Proposal'!F747</f>
        <v>0</v>
      </c>
      <c r="G747" s="51">
        <f>'ALL Other SINs - Proposal'!G747</f>
        <v>0</v>
      </c>
      <c r="H747" s="125">
        <f>'ALL Other SINs - Proposal'!H747</f>
        <v>0</v>
      </c>
      <c r="I747" s="125">
        <f>'ALL Other SINs - Proposal'!I747</f>
        <v>0</v>
      </c>
      <c r="J747" s="125">
        <f>'ALL Other SINs - Proposal'!J747</f>
        <v>0</v>
      </c>
      <c r="K747" s="125">
        <f>'ALL Other SINs - Proposal'!K747</f>
        <v>0</v>
      </c>
      <c r="L747" s="125">
        <f>'ALL Other SINs - Proposal'!L747</f>
        <v>0</v>
      </c>
      <c r="M747" s="206">
        <f>'ALL Other SINs - Proposal'!M747</f>
        <v>0</v>
      </c>
      <c r="N747" s="251">
        <f>'ALL Other SINs - Proposal'!V747</f>
        <v>0</v>
      </c>
      <c r="O747" s="201" t="str">
        <f>'Price Analysis'!N747</f>
        <v xml:space="preserve"> </v>
      </c>
      <c r="P747" s="53" t="str">
        <f>IF(ISBLANK('ALL Other SINs - Proposal'!AA747)," ",'ALL Other SINs - Proposal'!AA747)</f>
        <v xml:space="preserve"> </v>
      </c>
      <c r="Q747" s="95" t="str">
        <f>'ALL Other SINs - Proposal'!AC747</f>
        <v xml:space="preserve"> </v>
      </c>
      <c r="R747" s="100" t="str">
        <f>IF(ISBLANK('ALL Other SINs - Proposal'!AA747)," ",ROUND(Q747,2))</f>
        <v xml:space="preserve"> </v>
      </c>
      <c r="S747" s="54"/>
    </row>
    <row r="748" spans="1:19" ht="20.100000000000001" customHeight="1" x14ac:dyDescent="0.2">
      <c r="A748" s="127">
        <f>'ALL Other SINs - Proposal'!A748</f>
        <v>0</v>
      </c>
      <c r="B748" s="121">
        <f>'ALL Other SINs - Proposal'!B748</f>
        <v>0</v>
      </c>
      <c r="C748" s="121">
        <f>'ALL Other SINs - Proposal'!C748</f>
        <v>0</v>
      </c>
      <c r="D748" s="121">
        <f>'ALL Other SINs - Proposal'!D748</f>
        <v>0</v>
      </c>
      <c r="E748" s="121">
        <f>'ALL Other SINs - Proposal'!E748</f>
        <v>0</v>
      </c>
      <c r="F748" s="171">
        <f>'ALL Other SINs - Proposal'!F748</f>
        <v>0</v>
      </c>
      <c r="G748" s="51">
        <f>'ALL Other SINs - Proposal'!G748</f>
        <v>0</v>
      </c>
      <c r="H748" s="125">
        <f>'ALL Other SINs - Proposal'!H748</f>
        <v>0</v>
      </c>
      <c r="I748" s="125">
        <f>'ALL Other SINs - Proposal'!I748</f>
        <v>0</v>
      </c>
      <c r="J748" s="125">
        <f>'ALL Other SINs - Proposal'!J748</f>
        <v>0</v>
      </c>
      <c r="K748" s="125">
        <f>'ALL Other SINs - Proposal'!K748</f>
        <v>0</v>
      </c>
      <c r="L748" s="125">
        <f>'ALL Other SINs - Proposal'!L748</f>
        <v>0</v>
      </c>
      <c r="M748" s="206">
        <f>'ALL Other SINs - Proposal'!M748</f>
        <v>0</v>
      </c>
      <c r="N748" s="251">
        <f>'ALL Other SINs - Proposal'!V748</f>
        <v>0</v>
      </c>
      <c r="O748" s="201" t="str">
        <f>'Price Analysis'!N748</f>
        <v xml:space="preserve"> </v>
      </c>
      <c r="P748" s="53" t="str">
        <f>IF(ISBLANK('ALL Other SINs - Proposal'!AA748)," ",'ALL Other SINs - Proposal'!AA748)</f>
        <v xml:space="preserve"> </v>
      </c>
      <c r="Q748" s="95" t="str">
        <f>'ALL Other SINs - Proposal'!AC748</f>
        <v xml:space="preserve"> </v>
      </c>
      <c r="R748" s="100" t="str">
        <f>IF(ISBLANK('ALL Other SINs - Proposal'!AA748)," ",ROUND(Q748,2))</f>
        <v xml:space="preserve"> </v>
      </c>
      <c r="S748" s="54"/>
    </row>
    <row r="749" spans="1:19" ht="20.100000000000001" customHeight="1" x14ac:dyDescent="0.2">
      <c r="A749" s="127">
        <f>'ALL Other SINs - Proposal'!A749</f>
        <v>0</v>
      </c>
      <c r="B749" s="121">
        <f>'ALL Other SINs - Proposal'!B749</f>
        <v>0</v>
      </c>
      <c r="C749" s="121">
        <f>'ALL Other SINs - Proposal'!C749</f>
        <v>0</v>
      </c>
      <c r="D749" s="121">
        <f>'ALL Other SINs - Proposal'!D749</f>
        <v>0</v>
      </c>
      <c r="E749" s="121">
        <f>'ALL Other SINs - Proposal'!E749</f>
        <v>0</v>
      </c>
      <c r="F749" s="171">
        <f>'ALL Other SINs - Proposal'!F749</f>
        <v>0</v>
      </c>
      <c r="G749" s="51">
        <f>'ALL Other SINs - Proposal'!G749</f>
        <v>0</v>
      </c>
      <c r="H749" s="125">
        <f>'ALL Other SINs - Proposal'!H749</f>
        <v>0</v>
      </c>
      <c r="I749" s="125">
        <f>'ALL Other SINs - Proposal'!I749</f>
        <v>0</v>
      </c>
      <c r="J749" s="125">
        <f>'ALL Other SINs - Proposal'!J749</f>
        <v>0</v>
      </c>
      <c r="K749" s="125">
        <f>'ALL Other SINs - Proposal'!K749</f>
        <v>0</v>
      </c>
      <c r="L749" s="125">
        <f>'ALL Other SINs - Proposal'!L749</f>
        <v>0</v>
      </c>
      <c r="M749" s="206">
        <f>'ALL Other SINs - Proposal'!M749</f>
        <v>0</v>
      </c>
      <c r="N749" s="251">
        <f>'ALL Other SINs - Proposal'!V749</f>
        <v>0</v>
      </c>
      <c r="O749" s="201" t="str">
        <f>'Price Analysis'!N749</f>
        <v xml:space="preserve"> </v>
      </c>
      <c r="P749" s="53" t="str">
        <f>IF(ISBLANK('ALL Other SINs - Proposal'!AA749)," ",'ALL Other SINs - Proposal'!AA749)</f>
        <v xml:space="preserve"> </v>
      </c>
      <c r="Q749" s="95" t="str">
        <f>'ALL Other SINs - Proposal'!AC749</f>
        <v xml:space="preserve"> </v>
      </c>
      <c r="R749" s="100" t="str">
        <f>IF(ISBLANK('ALL Other SINs - Proposal'!AA749)," ",ROUND(Q749,2))</f>
        <v xml:space="preserve"> </v>
      </c>
      <c r="S749" s="54"/>
    </row>
    <row r="750" spans="1:19" ht="20.100000000000001" customHeight="1" x14ac:dyDescent="0.2">
      <c r="A750" s="127">
        <f>'ALL Other SINs - Proposal'!A750</f>
        <v>0</v>
      </c>
      <c r="B750" s="121">
        <f>'ALL Other SINs - Proposal'!B750</f>
        <v>0</v>
      </c>
      <c r="C750" s="121">
        <f>'ALL Other SINs - Proposal'!C750</f>
        <v>0</v>
      </c>
      <c r="D750" s="121">
        <f>'ALL Other SINs - Proposal'!D750</f>
        <v>0</v>
      </c>
      <c r="E750" s="121">
        <f>'ALL Other SINs - Proposal'!E750</f>
        <v>0</v>
      </c>
      <c r="F750" s="171">
        <f>'ALL Other SINs - Proposal'!F750</f>
        <v>0</v>
      </c>
      <c r="G750" s="51">
        <f>'ALL Other SINs - Proposal'!G750</f>
        <v>0</v>
      </c>
      <c r="H750" s="125">
        <f>'ALL Other SINs - Proposal'!H750</f>
        <v>0</v>
      </c>
      <c r="I750" s="125">
        <f>'ALL Other SINs - Proposal'!I750</f>
        <v>0</v>
      </c>
      <c r="J750" s="125">
        <f>'ALL Other SINs - Proposal'!J750</f>
        <v>0</v>
      </c>
      <c r="K750" s="125">
        <f>'ALL Other SINs - Proposal'!K750</f>
        <v>0</v>
      </c>
      <c r="L750" s="125">
        <f>'ALL Other SINs - Proposal'!L750</f>
        <v>0</v>
      </c>
      <c r="M750" s="206">
        <f>'ALL Other SINs - Proposal'!M750</f>
        <v>0</v>
      </c>
      <c r="N750" s="251">
        <f>'ALL Other SINs - Proposal'!V750</f>
        <v>0</v>
      </c>
      <c r="O750" s="201" t="str">
        <f>'Price Analysis'!N750</f>
        <v xml:space="preserve"> </v>
      </c>
      <c r="P750" s="53" t="str">
        <f>IF(ISBLANK('ALL Other SINs - Proposal'!AA750)," ",'ALL Other SINs - Proposal'!AA750)</f>
        <v xml:space="preserve"> </v>
      </c>
      <c r="Q750" s="95" t="str">
        <f>'ALL Other SINs - Proposal'!AC750</f>
        <v xml:space="preserve"> </v>
      </c>
      <c r="R750" s="100" t="str">
        <f>IF(ISBLANK('ALL Other SINs - Proposal'!AA750)," ",ROUND(Q750,2))</f>
        <v xml:space="preserve"> </v>
      </c>
      <c r="S750" s="54"/>
    </row>
    <row r="751" spans="1:19" ht="20.100000000000001" customHeight="1" x14ac:dyDescent="0.2">
      <c r="A751" s="127">
        <f>'ALL Other SINs - Proposal'!A751</f>
        <v>0</v>
      </c>
      <c r="B751" s="121">
        <f>'ALL Other SINs - Proposal'!B751</f>
        <v>0</v>
      </c>
      <c r="C751" s="121">
        <f>'ALL Other SINs - Proposal'!C751</f>
        <v>0</v>
      </c>
      <c r="D751" s="121">
        <f>'ALL Other SINs - Proposal'!D751</f>
        <v>0</v>
      </c>
      <c r="E751" s="121">
        <f>'ALL Other SINs - Proposal'!E751</f>
        <v>0</v>
      </c>
      <c r="F751" s="171">
        <f>'ALL Other SINs - Proposal'!F751</f>
        <v>0</v>
      </c>
      <c r="G751" s="51">
        <f>'ALL Other SINs - Proposal'!G751</f>
        <v>0</v>
      </c>
      <c r="H751" s="125">
        <f>'ALL Other SINs - Proposal'!H751</f>
        <v>0</v>
      </c>
      <c r="I751" s="125">
        <f>'ALL Other SINs - Proposal'!I751</f>
        <v>0</v>
      </c>
      <c r="J751" s="125">
        <f>'ALL Other SINs - Proposal'!J751</f>
        <v>0</v>
      </c>
      <c r="K751" s="125">
        <f>'ALL Other SINs - Proposal'!K751</f>
        <v>0</v>
      </c>
      <c r="L751" s="125">
        <f>'ALL Other SINs - Proposal'!L751</f>
        <v>0</v>
      </c>
      <c r="M751" s="206">
        <f>'ALL Other SINs - Proposal'!M751</f>
        <v>0</v>
      </c>
      <c r="N751" s="251">
        <f>'ALL Other SINs - Proposal'!V751</f>
        <v>0</v>
      </c>
      <c r="O751" s="201" t="str">
        <f>'Price Analysis'!N751</f>
        <v xml:space="preserve"> </v>
      </c>
      <c r="P751" s="53" t="str">
        <f>IF(ISBLANK('ALL Other SINs - Proposal'!AA751)," ",'ALL Other SINs - Proposal'!AA751)</f>
        <v xml:space="preserve"> </v>
      </c>
      <c r="Q751" s="95" t="str">
        <f>'ALL Other SINs - Proposal'!AC751</f>
        <v xml:space="preserve"> </v>
      </c>
      <c r="R751" s="100" t="str">
        <f>IF(ISBLANK('ALL Other SINs - Proposal'!AA751)," ",ROUND(Q751,2))</f>
        <v xml:space="preserve"> </v>
      </c>
      <c r="S751" s="54"/>
    </row>
    <row r="752" spans="1:19" ht="20.100000000000001" customHeight="1" x14ac:dyDescent="0.2">
      <c r="A752" s="127">
        <f>'ALL Other SINs - Proposal'!A752</f>
        <v>0</v>
      </c>
      <c r="B752" s="121">
        <f>'ALL Other SINs - Proposal'!B752</f>
        <v>0</v>
      </c>
      <c r="C752" s="121">
        <f>'ALL Other SINs - Proposal'!C752</f>
        <v>0</v>
      </c>
      <c r="D752" s="121">
        <f>'ALL Other SINs - Proposal'!D752</f>
        <v>0</v>
      </c>
      <c r="E752" s="121">
        <f>'ALL Other SINs - Proposal'!E752</f>
        <v>0</v>
      </c>
      <c r="F752" s="171">
        <f>'ALL Other SINs - Proposal'!F752</f>
        <v>0</v>
      </c>
      <c r="G752" s="51">
        <f>'ALL Other SINs - Proposal'!G752</f>
        <v>0</v>
      </c>
      <c r="H752" s="125">
        <f>'ALL Other SINs - Proposal'!H752</f>
        <v>0</v>
      </c>
      <c r="I752" s="125">
        <f>'ALL Other SINs - Proposal'!I752</f>
        <v>0</v>
      </c>
      <c r="J752" s="125">
        <f>'ALL Other SINs - Proposal'!J752</f>
        <v>0</v>
      </c>
      <c r="K752" s="125">
        <f>'ALL Other SINs - Proposal'!K752</f>
        <v>0</v>
      </c>
      <c r="L752" s="125">
        <f>'ALL Other SINs - Proposal'!L752</f>
        <v>0</v>
      </c>
      <c r="M752" s="206">
        <f>'ALL Other SINs - Proposal'!M752</f>
        <v>0</v>
      </c>
      <c r="N752" s="251">
        <f>'ALL Other SINs - Proposal'!V752</f>
        <v>0</v>
      </c>
      <c r="O752" s="201" t="str">
        <f>'Price Analysis'!N752</f>
        <v xml:space="preserve"> </v>
      </c>
      <c r="P752" s="53" t="str">
        <f>IF(ISBLANK('ALL Other SINs - Proposal'!AA752)," ",'ALL Other SINs - Proposal'!AA752)</f>
        <v xml:space="preserve"> </v>
      </c>
      <c r="Q752" s="95" t="str">
        <f>'ALL Other SINs - Proposal'!AC752</f>
        <v xml:space="preserve"> </v>
      </c>
      <c r="R752" s="100" t="str">
        <f>IF(ISBLANK('ALL Other SINs - Proposal'!AA752)," ",ROUND(Q752,2))</f>
        <v xml:space="preserve"> </v>
      </c>
      <c r="S752" s="54"/>
    </row>
    <row r="753" spans="1:19" ht="20.100000000000001" customHeight="1" x14ac:dyDescent="0.2">
      <c r="A753" s="127">
        <f>'ALL Other SINs - Proposal'!A753</f>
        <v>0</v>
      </c>
      <c r="B753" s="121">
        <f>'ALL Other SINs - Proposal'!B753</f>
        <v>0</v>
      </c>
      <c r="C753" s="121">
        <f>'ALL Other SINs - Proposal'!C753</f>
        <v>0</v>
      </c>
      <c r="D753" s="121">
        <f>'ALL Other SINs - Proposal'!D753</f>
        <v>0</v>
      </c>
      <c r="E753" s="121">
        <f>'ALL Other SINs - Proposal'!E753</f>
        <v>0</v>
      </c>
      <c r="F753" s="171">
        <f>'ALL Other SINs - Proposal'!F753</f>
        <v>0</v>
      </c>
      <c r="G753" s="51">
        <f>'ALL Other SINs - Proposal'!G753</f>
        <v>0</v>
      </c>
      <c r="H753" s="125">
        <f>'ALL Other SINs - Proposal'!H753</f>
        <v>0</v>
      </c>
      <c r="I753" s="125">
        <f>'ALL Other SINs - Proposal'!I753</f>
        <v>0</v>
      </c>
      <c r="J753" s="125">
        <f>'ALL Other SINs - Proposal'!J753</f>
        <v>0</v>
      </c>
      <c r="K753" s="125">
        <f>'ALL Other SINs - Proposal'!K753</f>
        <v>0</v>
      </c>
      <c r="L753" s="125">
        <f>'ALL Other SINs - Proposal'!L753</f>
        <v>0</v>
      </c>
      <c r="M753" s="206">
        <f>'ALL Other SINs - Proposal'!M753</f>
        <v>0</v>
      </c>
      <c r="N753" s="251">
        <f>'ALL Other SINs - Proposal'!V753</f>
        <v>0</v>
      </c>
      <c r="O753" s="201" t="str">
        <f>'Price Analysis'!N753</f>
        <v xml:space="preserve"> </v>
      </c>
      <c r="P753" s="53" t="str">
        <f>IF(ISBLANK('ALL Other SINs - Proposal'!AA753)," ",'ALL Other SINs - Proposal'!AA753)</f>
        <v xml:space="preserve"> </v>
      </c>
      <c r="Q753" s="95" t="str">
        <f>'ALL Other SINs - Proposal'!AC753</f>
        <v xml:space="preserve"> </v>
      </c>
      <c r="R753" s="100" t="str">
        <f>IF(ISBLANK('ALL Other SINs - Proposal'!AA753)," ",ROUND(Q753,2))</f>
        <v xml:space="preserve"> </v>
      </c>
      <c r="S753" s="54"/>
    </row>
    <row r="754" spans="1:19" ht="20.100000000000001" customHeight="1" x14ac:dyDescent="0.2">
      <c r="A754" s="127">
        <f>'ALL Other SINs - Proposal'!A754</f>
        <v>0</v>
      </c>
      <c r="B754" s="121">
        <f>'ALL Other SINs - Proposal'!B754</f>
        <v>0</v>
      </c>
      <c r="C754" s="121">
        <f>'ALL Other SINs - Proposal'!C754</f>
        <v>0</v>
      </c>
      <c r="D754" s="121">
        <f>'ALL Other SINs - Proposal'!D754</f>
        <v>0</v>
      </c>
      <c r="E754" s="121">
        <f>'ALL Other SINs - Proposal'!E754</f>
        <v>0</v>
      </c>
      <c r="F754" s="171">
        <f>'ALL Other SINs - Proposal'!F754</f>
        <v>0</v>
      </c>
      <c r="G754" s="51">
        <f>'ALL Other SINs - Proposal'!G754</f>
        <v>0</v>
      </c>
      <c r="H754" s="125">
        <f>'ALL Other SINs - Proposal'!H754</f>
        <v>0</v>
      </c>
      <c r="I754" s="125">
        <f>'ALL Other SINs - Proposal'!I754</f>
        <v>0</v>
      </c>
      <c r="J754" s="125">
        <f>'ALL Other SINs - Proposal'!J754</f>
        <v>0</v>
      </c>
      <c r="K754" s="125">
        <f>'ALL Other SINs - Proposal'!K754</f>
        <v>0</v>
      </c>
      <c r="L754" s="125">
        <f>'ALL Other SINs - Proposal'!L754</f>
        <v>0</v>
      </c>
      <c r="M754" s="206">
        <f>'ALL Other SINs - Proposal'!M754</f>
        <v>0</v>
      </c>
      <c r="N754" s="251">
        <f>'ALL Other SINs - Proposal'!V754</f>
        <v>0</v>
      </c>
      <c r="O754" s="201" t="str">
        <f>'Price Analysis'!N754</f>
        <v xml:space="preserve"> </v>
      </c>
      <c r="P754" s="53" t="str">
        <f>IF(ISBLANK('ALL Other SINs - Proposal'!AA754)," ",'ALL Other SINs - Proposal'!AA754)</f>
        <v xml:space="preserve"> </v>
      </c>
      <c r="Q754" s="95" t="str">
        <f>'ALL Other SINs - Proposal'!AC754</f>
        <v xml:space="preserve"> </v>
      </c>
      <c r="R754" s="100" t="str">
        <f>IF(ISBLANK('ALL Other SINs - Proposal'!AA754)," ",ROUND(Q754,2))</f>
        <v xml:space="preserve"> </v>
      </c>
      <c r="S754" s="54"/>
    </row>
    <row r="755" spans="1:19" ht="20.100000000000001" customHeight="1" x14ac:dyDescent="0.2">
      <c r="A755" s="127">
        <f>'ALL Other SINs - Proposal'!A755</f>
        <v>0</v>
      </c>
      <c r="B755" s="121">
        <f>'ALL Other SINs - Proposal'!B755</f>
        <v>0</v>
      </c>
      <c r="C755" s="121">
        <f>'ALL Other SINs - Proposal'!C755</f>
        <v>0</v>
      </c>
      <c r="D755" s="121">
        <f>'ALL Other SINs - Proposal'!D755</f>
        <v>0</v>
      </c>
      <c r="E755" s="121">
        <f>'ALL Other SINs - Proposal'!E755</f>
        <v>0</v>
      </c>
      <c r="F755" s="171">
        <f>'ALL Other SINs - Proposal'!F755</f>
        <v>0</v>
      </c>
      <c r="G755" s="51">
        <f>'ALL Other SINs - Proposal'!G755</f>
        <v>0</v>
      </c>
      <c r="H755" s="125">
        <f>'ALL Other SINs - Proposal'!H755</f>
        <v>0</v>
      </c>
      <c r="I755" s="125">
        <f>'ALL Other SINs - Proposal'!I755</f>
        <v>0</v>
      </c>
      <c r="J755" s="125">
        <f>'ALL Other SINs - Proposal'!J755</f>
        <v>0</v>
      </c>
      <c r="K755" s="125">
        <f>'ALL Other SINs - Proposal'!K755</f>
        <v>0</v>
      </c>
      <c r="L755" s="125">
        <f>'ALL Other SINs - Proposal'!L755</f>
        <v>0</v>
      </c>
      <c r="M755" s="206">
        <f>'ALL Other SINs - Proposal'!M755</f>
        <v>0</v>
      </c>
      <c r="N755" s="251">
        <f>'ALL Other SINs - Proposal'!V755</f>
        <v>0</v>
      </c>
      <c r="O755" s="201" t="str">
        <f>'Price Analysis'!N755</f>
        <v xml:space="preserve"> </v>
      </c>
      <c r="P755" s="53" t="str">
        <f>IF(ISBLANK('ALL Other SINs - Proposal'!AA755)," ",'ALL Other SINs - Proposal'!AA755)</f>
        <v xml:space="preserve"> </v>
      </c>
      <c r="Q755" s="95" t="str">
        <f>'ALL Other SINs - Proposal'!AC755</f>
        <v xml:space="preserve"> </v>
      </c>
      <c r="R755" s="100" t="str">
        <f>IF(ISBLANK('ALL Other SINs - Proposal'!AA755)," ",ROUND(Q755,2))</f>
        <v xml:space="preserve"> </v>
      </c>
      <c r="S755" s="54"/>
    </row>
    <row r="756" spans="1:19" ht="20.100000000000001" customHeight="1" x14ac:dyDescent="0.2">
      <c r="A756" s="127">
        <f>'ALL Other SINs - Proposal'!A756</f>
        <v>0</v>
      </c>
      <c r="B756" s="121">
        <f>'ALL Other SINs - Proposal'!B756</f>
        <v>0</v>
      </c>
      <c r="C756" s="121">
        <f>'ALL Other SINs - Proposal'!C756</f>
        <v>0</v>
      </c>
      <c r="D756" s="121">
        <f>'ALL Other SINs - Proposal'!D756</f>
        <v>0</v>
      </c>
      <c r="E756" s="121">
        <f>'ALL Other SINs - Proposal'!E756</f>
        <v>0</v>
      </c>
      <c r="F756" s="171">
        <f>'ALL Other SINs - Proposal'!F756</f>
        <v>0</v>
      </c>
      <c r="G756" s="51">
        <f>'ALL Other SINs - Proposal'!G756</f>
        <v>0</v>
      </c>
      <c r="H756" s="125">
        <f>'ALL Other SINs - Proposal'!H756</f>
        <v>0</v>
      </c>
      <c r="I756" s="125">
        <f>'ALL Other SINs - Proposal'!I756</f>
        <v>0</v>
      </c>
      <c r="J756" s="125">
        <f>'ALL Other SINs - Proposal'!J756</f>
        <v>0</v>
      </c>
      <c r="K756" s="125">
        <f>'ALL Other SINs - Proposal'!K756</f>
        <v>0</v>
      </c>
      <c r="L756" s="125">
        <f>'ALL Other SINs - Proposal'!L756</f>
        <v>0</v>
      </c>
      <c r="M756" s="206">
        <f>'ALL Other SINs - Proposal'!M756</f>
        <v>0</v>
      </c>
      <c r="N756" s="251">
        <f>'ALL Other SINs - Proposal'!V756</f>
        <v>0</v>
      </c>
      <c r="O756" s="201" t="str">
        <f>'Price Analysis'!N756</f>
        <v xml:space="preserve"> </v>
      </c>
      <c r="P756" s="53" t="str">
        <f>IF(ISBLANK('ALL Other SINs - Proposal'!AA756)," ",'ALL Other SINs - Proposal'!AA756)</f>
        <v xml:space="preserve"> </v>
      </c>
      <c r="Q756" s="95" t="str">
        <f>'ALL Other SINs - Proposal'!AC756</f>
        <v xml:space="preserve"> </v>
      </c>
      <c r="R756" s="100" t="str">
        <f>IF(ISBLANK('ALL Other SINs - Proposal'!AA756)," ",ROUND(Q756,2))</f>
        <v xml:space="preserve"> </v>
      </c>
      <c r="S756" s="54"/>
    </row>
    <row r="757" spans="1:19" ht="20.100000000000001" customHeight="1" x14ac:dyDescent="0.2">
      <c r="A757" s="127">
        <f>'ALL Other SINs - Proposal'!A757</f>
        <v>0</v>
      </c>
      <c r="B757" s="121">
        <f>'ALL Other SINs - Proposal'!B757</f>
        <v>0</v>
      </c>
      <c r="C757" s="121">
        <f>'ALL Other SINs - Proposal'!C757</f>
        <v>0</v>
      </c>
      <c r="D757" s="121">
        <f>'ALL Other SINs - Proposal'!D757</f>
        <v>0</v>
      </c>
      <c r="E757" s="121">
        <f>'ALL Other SINs - Proposal'!E757</f>
        <v>0</v>
      </c>
      <c r="F757" s="171">
        <f>'ALL Other SINs - Proposal'!F757</f>
        <v>0</v>
      </c>
      <c r="G757" s="51">
        <f>'ALL Other SINs - Proposal'!G757</f>
        <v>0</v>
      </c>
      <c r="H757" s="125">
        <f>'ALL Other SINs - Proposal'!H757</f>
        <v>0</v>
      </c>
      <c r="I757" s="125">
        <f>'ALL Other SINs - Proposal'!I757</f>
        <v>0</v>
      </c>
      <c r="J757" s="125">
        <f>'ALL Other SINs - Proposal'!J757</f>
        <v>0</v>
      </c>
      <c r="K757" s="125">
        <f>'ALL Other SINs - Proposal'!K757</f>
        <v>0</v>
      </c>
      <c r="L757" s="125">
        <f>'ALL Other SINs - Proposal'!L757</f>
        <v>0</v>
      </c>
      <c r="M757" s="206">
        <f>'ALL Other SINs - Proposal'!M757</f>
        <v>0</v>
      </c>
      <c r="N757" s="251">
        <f>'ALL Other SINs - Proposal'!V757</f>
        <v>0</v>
      </c>
      <c r="O757" s="201" t="str">
        <f>'Price Analysis'!N757</f>
        <v xml:space="preserve"> </v>
      </c>
      <c r="P757" s="53" t="str">
        <f>IF(ISBLANK('ALL Other SINs - Proposal'!AA757)," ",'ALL Other SINs - Proposal'!AA757)</f>
        <v xml:space="preserve"> </v>
      </c>
      <c r="Q757" s="95" t="str">
        <f>'ALL Other SINs - Proposal'!AC757</f>
        <v xml:space="preserve"> </v>
      </c>
      <c r="R757" s="100" t="str">
        <f>IF(ISBLANK('ALL Other SINs - Proposal'!AA757)," ",ROUND(Q757,2))</f>
        <v xml:space="preserve"> </v>
      </c>
      <c r="S757" s="54"/>
    </row>
    <row r="758" spans="1:19" ht="20.100000000000001" customHeight="1" x14ac:dyDescent="0.2">
      <c r="A758" s="127">
        <f>'ALL Other SINs - Proposal'!A758</f>
        <v>0</v>
      </c>
      <c r="B758" s="121">
        <f>'ALL Other SINs - Proposal'!B758</f>
        <v>0</v>
      </c>
      <c r="C758" s="121">
        <f>'ALL Other SINs - Proposal'!C758</f>
        <v>0</v>
      </c>
      <c r="D758" s="121">
        <f>'ALL Other SINs - Proposal'!D758</f>
        <v>0</v>
      </c>
      <c r="E758" s="121">
        <f>'ALL Other SINs - Proposal'!E758</f>
        <v>0</v>
      </c>
      <c r="F758" s="171">
        <f>'ALL Other SINs - Proposal'!F758</f>
        <v>0</v>
      </c>
      <c r="G758" s="51">
        <f>'ALL Other SINs - Proposal'!G758</f>
        <v>0</v>
      </c>
      <c r="H758" s="125">
        <f>'ALL Other SINs - Proposal'!H758</f>
        <v>0</v>
      </c>
      <c r="I758" s="125">
        <f>'ALL Other SINs - Proposal'!I758</f>
        <v>0</v>
      </c>
      <c r="J758" s="125">
        <f>'ALL Other SINs - Proposal'!J758</f>
        <v>0</v>
      </c>
      <c r="K758" s="125">
        <f>'ALL Other SINs - Proposal'!K758</f>
        <v>0</v>
      </c>
      <c r="L758" s="125">
        <f>'ALL Other SINs - Proposal'!L758</f>
        <v>0</v>
      </c>
      <c r="M758" s="206">
        <f>'ALL Other SINs - Proposal'!M758</f>
        <v>0</v>
      </c>
      <c r="N758" s="251">
        <f>'ALL Other SINs - Proposal'!V758</f>
        <v>0</v>
      </c>
      <c r="O758" s="201" t="str">
        <f>'Price Analysis'!N758</f>
        <v xml:space="preserve"> </v>
      </c>
      <c r="P758" s="53" t="str">
        <f>IF(ISBLANK('ALL Other SINs - Proposal'!AA758)," ",'ALL Other SINs - Proposal'!AA758)</f>
        <v xml:space="preserve"> </v>
      </c>
      <c r="Q758" s="95" t="str">
        <f>'ALL Other SINs - Proposal'!AC758</f>
        <v xml:space="preserve"> </v>
      </c>
      <c r="R758" s="100" t="str">
        <f>IF(ISBLANK('ALL Other SINs - Proposal'!AA758)," ",ROUND(Q758,2))</f>
        <v xml:space="preserve"> </v>
      </c>
      <c r="S758" s="54"/>
    </row>
    <row r="759" spans="1:19" ht="20.100000000000001" customHeight="1" x14ac:dyDescent="0.2">
      <c r="A759" s="127">
        <f>'ALL Other SINs - Proposal'!A759</f>
        <v>0</v>
      </c>
      <c r="B759" s="121">
        <f>'ALL Other SINs - Proposal'!B759</f>
        <v>0</v>
      </c>
      <c r="C759" s="121">
        <f>'ALL Other SINs - Proposal'!C759</f>
        <v>0</v>
      </c>
      <c r="D759" s="121">
        <f>'ALL Other SINs - Proposal'!D759</f>
        <v>0</v>
      </c>
      <c r="E759" s="121">
        <f>'ALL Other SINs - Proposal'!E759</f>
        <v>0</v>
      </c>
      <c r="F759" s="171">
        <f>'ALL Other SINs - Proposal'!F759</f>
        <v>0</v>
      </c>
      <c r="G759" s="51">
        <f>'ALL Other SINs - Proposal'!G759</f>
        <v>0</v>
      </c>
      <c r="H759" s="125">
        <f>'ALL Other SINs - Proposal'!H759</f>
        <v>0</v>
      </c>
      <c r="I759" s="125">
        <f>'ALL Other SINs - Proposal'!I759</f>
        <v>0</v>
      </c>
      <c r="J759" s="125">
        <f>'ALL Other SINs - Proposal'!J759</f>
        <v>0</v>
      </c>
      <c r="K759" s="125">
        <f>'ALL Other SINs - Proposal'!K759</f>
        <v>0</v>
      </c>
      <c r="L759" s="125">
        <f>'ALL Other SINs - Proposal'!L759</f>
        <v>0</v>
      </c>
      <c r="M759" s="206">
        <f>'ALL Other SINs - Proposal'!M759</f>
        <v>0</v>
      </c>
      <c r="N759" s="251">
        <f>'ALL Other SINs - Proposal'!V759</f>
        <v>0</v>
      </c>
      <c r="O759" s="201" t="str">
        <f>'Price Analysis'!N759</f>
        <v xml:space="preserve"> </v>
      </c>
      <c r="P759" s="53" t="str">
        <f>IF(ISBLANK('ALL Other SINs - Proposal'!AA759)," ",'ALL Other SINs - Proposal'!AA759)</f>
        <v xml:space="preserve"> </v>
      </c>
      <c r="Q759" s="95" t="str">
        <f>'ALL Other SINs - Proposal'!AC759</f>
        <v xml:space="preserve"> </v>
      </c>
      <c r="R759" s="100" t="str">
        <f>IF(ISBLANK('ALL Other SINs - Proposal'!AA759)," ",ROUND(Q759,2))</f>
        <v xml:space="preserve"> </v>
      </c>
      <c r="S759" s="54"/>
    </row>
    <row r="760" spans="1:19" ht="20.100000000000001" customHeight="1" x14ac:dyDescent="0.2">
      <c r="A760" s="127">
        <f>'ALL Other SINs - Proposal'!A760</f>
        <v>0</v>
      </c>
      <c r="B760" s="121">
        <f>'ALL Other SINs - Proposal'!B760</f>
        <v>0</v>
      </c>
      <c r="C760" s="121">
        <f>'ALL Other SINs - Proposal'!C760</f>
        <v>0</v>
      </c>
      <c r="D760" s="121">
        <f>'ALL Other SINs - Proposal'!D760</f>
        <v>0</v>
      </c>
      <c r="E760" s="121">
        <f>'ALL Other SINs - Proposal'!E760</f>
        <v>0</v>
      </c>
      <c r="F760" s="171">
        <f>'ALL Other SINs - Proposal'!F760</f>
        <v>0</v>
      </c>
      <c r="G760" s="51">
        <f>'ALL Other SINs - Proposal'!G760</f>
        <v>0</v>
      </c>
      <c r="H760" s="125">
        <f>'ALL Other SINs - Proposal'!H760</f>
        <v>0</v>
      </c>
      <c r="I760" s="125">
        <f>'ALL Other SINs - Proposal'!I760</f>
        <v>0</v>
      </c>
      <c r="J760" s="125">
        <f>'ALL Other SINs - Proposal'!J760</f>
        <v>0</v>
      </c>
      <c r="K760" s="125">
        <f>'ALL Other SINs - Proposal'!K760</f>
        <v>0</v>
      </c>
      <c r="L760" s="125">
        <f>'ALL Other SINs - Proposal'!L760</f>
        <v>0</v>
      </c>
      <c r="M760" s="206">
        <f>'ALL Other SINs - Proposal'!M760</f>
        <v>0</v>
      </c>
      <c r="N760" s="251">
        <f>'ALL Other SINs - Proposal'!V760</f>
        <v>0</v>
      </c>
      <c r="O760" s="201" t="str">
        <f>'Price Analysis'!N760</f>
        <v xml:space="preserve"> </v>
      </c>
      <c r="P760" s="53" t="str">
        <f>IF(ISBLANK('ALL Other SINs - Proposal'!AA760)," ",'ALL Other SINs - Proposal'!AA760)</f>
        <v xml:space="preserve"> </v>
      </c>
      <c r="Q760" s="95" t="str">
        <f>'ALL Other SINs - Proposal'!AC760</f>
        <v xml:space="preserve"> </v>
      </c>
      <c r="R760" s="100" t="str">
        <f>IF(ISBLANK('ALL Other SINs - Proposal'!AA760)," ",ROUND(Q760,2))</f>
        <v xml:space="preserve"> </v>
      </c>
      <c r="S760" s="54"/>
    </row>
    <row r="761" spans="1:19" ht="20.100000000000001" customHeight="1" x14ac:dyDescent="0.2">
      <c r="A761" s="127">
        <f>'ALL Other SINs - Proposal'!A761</f>
        <v>0</v>
      </c>
      <c r="B761" s="121">
        <f>'ALL Other SINs - Proposal'!B761</f>
        <v>0</v>
      </c>
      <c r="C761" s="121">
        <f>'ALL Other SINs - Proposal'!C761</f>
        <v>0</v>
      </c>
      <c r="D761" s="121">
        <f>'ALL Other SINs - Proposal'!D761</f>
        <v>0</v>
      </c>
      <c r="E761" s="121">
        <f>'ALL Other SINs - Proposal'!E761</f>
        <v>0</v>
      </c>
      <c r="F761" s="171">
        <f>'ALL Other SINs - Proposal'!F761</f>
        <v>0</v>
      </c>
      <c r="G761" s="51">
        <f>'ALL Other SINs - Proposal'!G761</f>
        <v>0</v>
      </c>
      <c r="H761" s="125">
        <f>'ALL Other SINs - Proposal'!H761</f>
        <v>0</v>
      </c>
      <c r="I761" s="125">
        <f>'ALL Other SINs - Proposal'!I761</f>
        <v>0</v>
      </c>
      <c r="J761" s="125">
        <f>'ALL Other SINs - Proposal'!J761</f>
        <v>0</v>
      </c>
      <c r="K761" s="125">
        <f>'ALL Other SINs - Proposal'!K761</f>
        <v>0</v>
      </c>
      <c r="L761" s="125">
        <f>'ALL Other SINs - Proposal'!L761</f>
        <v>0</v>
      </c>
      <c r="M761" s="206">
        <f>'ALL Other SINs - Proposal'!M761</f>
        <v>0</v>
      </c>
      <c r="N761" s="251">
        <f>'ALL Other SINs - Proposal'!V761</f>
        <v>0</v>
      </c>
      <c r="O761" s="201" t="str">
        <f>'Price Analysis'!N761</f>
        <v xml:space="preserve"> </v>
      </c>
      <c r="P761" s="53" t="str">
        <f>IF(ISBLANK('ALL Other SINs - Proposal'!AA761)," ",'ALL Other SINs - Proposal'!AA761)</f>
        <v xml:space="preserve"> </v>
      </c>
      <c r="Q761" s="95" t="str">
        <f>'ALL Other SINs - Proposal'!AC761</f>
        <v xml:space="preserve"> </v>
      </c>
      <c r="R761" s="100" t="str">
        <f>IF(ISBLANK('ALL Other SINs - Proposal'!AA761)," ",ROUND(Q761,2))</f>
        <v xml:space="preserve"> </v>
      </c>
      <c r="S761" s="54"/>
    </row>
    <row r="762" spans="1:19" ht="20.100000000000001" customHeight="1" x14ac:dyDescent="0.2">
      <c r="A762" s="127">
        <f>'ALL Other SINs - Proposal'!A762</f>
        <v>0</v>
      </c>
      <c r="B762" s="121">
        <f>'ALL Other SINs - Proposal'!B762</f>
        <v>0</v>
      </c>
      <c r="C762" s="121">
        <f>'ALL Other SINs - Proposal'!C762</f>
        <v>0</v>
      </c>
      <c r="D762" s="121">
        <f>'ALL Other SINs - Proposal'!D762</f>
        <v>0</v>
      </c>
      <c r="E762" s="121">
        <f>'ALL Other SINs - Proposal'!E762</f>
        <v>0</v>
      </c>
      <c r="F762" s="171">
        <f>'ALL Other SINs - Proposal'!F762</f>
        <v>0</v>
      </c>
      <c r="G762" s="51">
        <f>'ALL Other SINs - Proposal'!G762</f>
        <v>0</v>
      </c>
      <c r="H762" s="125">
        <f>'ALL Other SINs - Proposal'!H762</f>
        <v>0</v>
      </c>
      <c r="I762" s="125">
        <f>'ALL Other SINs - Proposal'!I762</f>
        <v>0</v>
      </c>
      <c r="J762" s="125">
        <f>'ALL Other SINs - Proposal'!J762</f>
        <v>0</v>
      </c>
      <c r="K762" s="125">
        <f>'ALL Other SINs - Proposal'!K762</f>
        <v>0</v>
      </c>
      <c r="L762" s="125">
        <f>'ALL Other SINs - Proposal'!L762</f>
        <v>0</v>
      </c>
      <c r="M762" s="206">
        <f>'ALL Other SINs - Proposal'!M762</f>
        <v>0</v>
      </c>
      <c r="N762" s="251">
        <f>'ALL Other SINs - Proposal'!V762</f>
        <v>0</v>
      </c>
      <c r="O762" s="201" t="str">
        <f>'Price Analysis'!N762</f>
        <v xml:space="preserve"> </v>
      </c>
      <c r="P762" s="53" t="str">
        <f>IF(ISBLANK('ALL Other SINs - Proposal'!AA762)," ",'ALL Other SINs - Proposal'!AA762)</f>
        <v xml:space="preserve"> </v>
      </c>
      <c r="Q762" s="95" t="str">
        <f>'ALL Other SINs - Proposal'!AC762</f>
        <v xml:space="preserve"> </v>
      </c>
      <c r="R762" s="100" t="str">
        <f>IF(ISBLANK('ALL Other SINs - Proposal'!AA762)," ",ROUND(Q762,2))</f>
        <v xml:space="preserve"> </v>
      </c>
      <c r="S762" s="54"/>
    </row>
    <row r="763" spans="1:19" ht="20.100000000000001" customHeight="1" x14ac:dyDescent="0.2">
      <c r="A763" s="127">
        <f>'ALL Other SINs - Proposal'!A763</f>
        <v>0</v>
      </c>
      <c r="B763" s="121">
        <f>'ALL Other SINs - Proposal'!B763</f>
        <v>0</v>
      </c>
      <c r="C763" s="121">
        <f>'ALL Other SINs - Proposal'!C763</f>
        <v>0</v>
      </c>
      <c r="D763" s="121">
        <f>'ALL Other SINs - Proposal'!D763</f>
        <v>0</v>
      </c>
      <c r="E763" s="121">
        <f>'ALL Other SINs - Proposal'!E763</f>
        <v>0</v>
      </c>
      <c r="F763" s="171">
        <f>'ALL Other SINs - Proposal'!F763</f>
        <v>0</v>
      </c>
      <c r="G763" s="51">
        <f>'ALL Other SINs - Proposal'!G763</f>
        <v>0</v>
      </c>
      <c r="H763" s="125">
        <f>'ALL Other SINs - Proposal'!H763</f>
        <v>0</v>
      </c>
      <c r="I763" s="125">
        <f>'ALL Other SINs - Proposal'!I763</f>
        <v>0</v>
      </c>
      <c r="J763" s="125">
        <f>'ALL Other SINs - Proposal'!J763</f>
        <v>0</v>
      </c>
      <c r="K763" s="125">
        <f>'ALL Other SINs - Proposal'!K763</f>
        <v>0</v>
      </c>
      <c r="L763" s="125">
        <f>'ALL Other SINs - Proposal'!L763</f>
        <v>0</v>
      </c>
      <c r="M763" s="206">
        <f>'ALL Other SINs - Proposal'!M763</f>
        <v>0</v>
      </c>
      <c r="N763" s="251">
        <f>'ALL Other SINs - Proposal'!V763</f>
        <v>0</v>
      </c>
      <c r="O763" s="201" t="str">
        <f>'Price Analysis'!N763</f>
        <v xml:space="preserve"> </v>
      </c>
      <c r="P763" s="53" t="str">
        <f>IF(ISBLANK('ALL Other SINs - Proposal'!AA763)," ",'ALL Other SINs - Proposal'!AA763)</f>
        <v xml:space="preserve"> </v>
      </c>
      <c r="Q763" s="95" t="str">
        <f>'ALL Other SINs - Proposal'!AC763</f>
        <v xml:space="preserve"> </v>
      </c>
      <c r="R763" s="100" t="str">
        <f>IF(ISBLANK('ALL Other SINs - Proposal'!AA763)," ",ROUND(Q763,2))</f>
        <v xml:space="preserve"> </v>
      </c>
      <c r="S763" s="54"/>
    </row>
    <row r="764" spans="1:19" ht="20.100000000000001" customHeight="1" x14ac:dyDescent="0.2">
      <c r="A764" s="127">
        <f>'ALL Other SINs - Proposal'!A764</f>
        <v>0</v>
      </c>
      <c r="B764" s="121">
        <f>'ALL Other SINs - Proposal'!B764</f>
        <v>0</v>
      </c>
      <c r="C764" s="121">
        <f>'ALL Other SINs - Proposal'!C764</f>
        <v>0</v>
      </c>
      <c r="D764" s="121">
        <f>'ALL Other SINs - Proposal'!D764</f>
        <v>0</v>
      </c>
      <c r="E764" s="121">
        <f>'ALL Other SINs - Proposal'!E764</f>
        <v>0</v>
      </c>
      <c r="F764" s="171">
        <f>'ALL Other SINs - Proposal'!F764</f>
        <v>0</v>
      </c>
      <c r="G764" s="51">
        <f>'ALL Other SINs - Proposal'!G764</f>
        <v>0</v>
      </c>
      <c r="H764" s="125">
        <f>'ALL Other SINs - Proposal'!H764</f>
        <v>0</v>
      </c>
      <c r="I764" s="125">
        <f>'ALL Other SINs - Proposal'!I764</f>
        <v>0</v>
      </c>
      <c r="J764" s="125">
        <f>'ALL Other SINs - Proposal'!J764</f>
        <v>0</v>
      </c>
      <c r="K764" s="125">
        <f>'ALL Other SINs - Proposal'!K764</f>
        <v>0</v>
      </c>
      <c r="L764" s="125">
        <f>'ALL Other SINs - Proposal'!L764</f>
        <v>0</v>
      </c>
      <c r="M764" s="206">
        <f>'ALL Other SINs - Proposal'!M764</f>
        <v>0</v>
      </c>
      <c r="N764" s="251">
        <f>'ALL Other SINs - Proposal'!V764</f>
        <v>0</v>
      </c>
      <c r="O764" s="201" t="str">
        <f>'Price Analysis'!N764</f>
        <v xml:space="preserve"> </v>
      </c>
      <c r="P764" s="53" t="str">
        <f>IF(ISBLANK('ALL Other SINs - Proposal'!AA764)," ",'ALL Other SINs - Proposal'!AA764)</f>
        <v xml:space="preserve"> </v>
      </c>
      <c r="Q764" s="95" t="str">
        <f>'ALL Other SINs - Proposal'!AC764</f>
        <v xml:space="preserve"> </v>
      </c>
      <c r="R764" s="100" t="str">
        <f>IF(ISBLANK('ALL Other SINs - Proposal'!AA764)," ",ROUND(Q764,2))</f>
        <v xml:space="preserve"> </v>
      </c>
      <c r="S764" s="54"/>
    </row>
    <row r="765" spans="1:19" ht="20.100000000000001" customHeight="1" x14ac:dyDescent="0.2">
      <c r="A765" s="127">
        <f>'ALL Other SINs - Proposal'!A765</f>
        <v>0</v>
      </c>
      <c r="B765" s="121">
        <f>'ALL Other SINs - Proposal'!B765</f>
        <v>0</v>
      </c>
      <c r="C765" s="121">
        <f>'ALL Other SINs - Proposal'!C765</f>
        <v>0</v>
      </c>
      <c r="D765" s="121">
        <f>'ALL Other SINs - Proposal'!D765</f>
        <v>0</v>
      </c>
      <c r="E765" s="121">
        <f>'ALL Other SINs - Proposal'!E765</f>
        <v>0</v>
      </c>
      <c r="F765" s="171">
        <f>'ALL Other SINs - Proposal'!F765</f>
        <v>0</v>
      </c>
      <c r="G765" s="51">
        <f>'ALL Other SINs - Proposal'!G765</f>
        <v>0</v>
      </c>
      <c r="H765" s="125">
        <f>'ALL Other SINs - Proposal'!H765</f>
        <v>0</v>
      </c>
      <c r="I765" s="125">
        <f>'ALL Other SINs - Proposal'!I765</f>
        <v>0</v>
      </c>
      <c r="J765" s="125">
        <f>'ALL Other SINs - Proposal'!J765</f>
        <v>0</v>
      </c>
      <c r="K765" s="125">
        <f>'ALL Other SINs - Proposal'!K765</f>
        <v>0</v>
      </c>
      <c r="L765" s="125">
        <f>'ALL Other SINs - Proposal'!L765</f>
        <v>0</v>
      </c>
      <c r="M765" s="206">
        <f>'ALL Other SINs - Proposal'!M765</f>
        <v>0</v>
      </c>
      <c r="N765" s="251">
        <f>'ALL Other SINs - Proposal'!V765</f>
        <v>0</v>
      </c>
      <c r="O765" s="201" t="str">
        <f>'Price Analysis'!N765</f>
        <v xml:space="preserve"> </v>
      </c>
      <c r="P765" s="53" t="str">
        <f>IF(ISBLANK('ALL Other SINs - Proposal'!AA765)," ",'ALL Other SINs - Proposal'!AA765)</f>
        <v xml:space="preserve"> </v>
      </c>
      <c r="Q765" s="95" t="str">
        <f>'ALL Other SINs - Proposal'!AC765</f>
        <v xml:space="preserve"> </v>
      </c>
      <c r="R765" s="100" t="str">
        <f>IF(ISBLANK('ALL Other SINs - Proposal'!AA765)," ",ROUND(Q765,2))</f>
        <v xml:space="preserve"> </v>
      </c>
      <c r="S765" s="54"/>
    </row>
    <row r="766" spans="1:19" ht="20.100000000000001" customHeight="1" x14ac:dyDescent="0.2">
      <c r="A766" s="127">
        <f>'ALL Other SINs - Proposal'!A766</f>
        <v>0</v>
      </c>
      <c r="B766" s="121">
        <f>'ALL Other SINs - Proposal'!B766</f>
        <v>0</v>
      </c>
      <c r="C766" s="121">
        <f>'ALL Other SINs - Proposal'!C766</f>
        <v>0</v>
      </c>
      <c r="D766" s="121">
        <f>'ALL Other SINs - Proposal'!D766</f>
        <v>0</v>
      </c>
      <c r="E766" s="121">
        <f>'ALL Other SINs - Proposal'!E766</f>
        <v>0</v>
      </c>
      <c r="F766" s="171">
        <f>'ALL Other SINs - Proposal'!F766</f>
        <v>0</v>
      </c>
      <c r="G766" s="51">
        <f>'ALL Other SINs - Proposal'!G766</f>
        <v>0</v>
      </c>
      <c r="H766" s="125">
        <f>'ALL Other SINs - Proposal'!H766</f>
        <v>0</v>
      </c>
      <c r="I766" s="125">
        <f>'ALL Other SINs - Proposal'!I766</f>
        <v>0</v>
      </c>
      <c r="J766" s="125">
        <f>'ALL Other SINs - Proposal'!J766</f>
        <v>0</v>
      </c>
      <c r="K766" s="125">
        <f>'ALL Other SINs - Proposal'!K766</f>
        <v>0</v>
      </c>
      <c r="L766" s="125">
        <f>'ALL Other SINs - Proposal'!L766</f>
        <v>0</v>
      </c>
      <c r="M766" s="206">
        <f>'ALL Other SINs - Proposal'!M766</f>
        <v>0</v>
      </c>
      <c r="N766" s="251">
        <f>'ALL Other SINs - Proposal'!V766</f>
        <v>0</v>
      </c>
      <c r="O766" s="201" t="str">
        <f>'Price Analysis'!N766</f>
        <v xml:space="preserve"> </v>
      </c>
      <c r="P766" s="53" t="str">
        <f>IF(ISBLANK('ALL Other SINs - Proposal'!AA766)," ",'ALL Other SINs - Proposal'!AA766)</f>
        <v xml:space="preserve"> </v>
      </c>
      <c r="Q766" s="95" t="str">
        <f>'ALL Other SINs - Proposal'!AC766</f>
        <v xml:space="preserve"> </v>
      </c>
      <c r="R766" s="100" t="str">
        <f>IF(ISBLANK('ALL Other SINs - Proposal'!AA766)," ",ROUND(Q766,2))</f>
        <v xml:space="preserve"> </v>
      </c>
      <c r="S766" s="54"/>
    </row>
    <row r="767" spans="1:19" ht="20.100000000000001" customHeight="1" x14ac:dyDescent="0.2">
      <c r="A767" s="127">
        <f>'ALL Other SINs - Proposal'!A767</f>
        <v>0</v>
      </c>
      <c r="B767" s="121">
        <f>'ALL Other SINs - Proposal'!B767</f>
        <v>0</v>
      </c>
      <c r="C767" s="121">
        <f>'ALL Other SINs - Proposal'!C767</f>
        <v>0</v>
      </c>
      <c r="D767" s="121">
        <f>'ALL Other SINs - Proposal'!D767</f>
        <v>0</v>
      </c>
      <c r="E767" s="121">
        <f>'ALL Other SINs - Proposal'!E767</f>
        <v>0</v>
      </c>
      <c r="F767" s="171">
        <f>'ALL Other SINs - Proposal'!F767</f>
        <v>0</v>
      </c>
      <c r="G767" s="51">
        <f>'ALL Other SINs - Proposal'!G767</f>
        <v>0</v>
      </c>
      <c r="H767" s="125">
        <f>'ALL Other SINs - Proposal'!H767</f>
        <v>0</v>
      </c>
      <c r="I767" s="125">
        <f>'ALL Other SINs - Proposal'!I767</f>
        <v>0</v>
      </c>
      <c r="J767" s="125">
        <f>'ALL Other SINs - Proposal'!J767</f>
        <v>0</v>
      </c>
      <c r="K767" s="125">
        <f>'ALL Other SINs - Proposal'!K767</f>
        <v>0</v>
      </c>
      <c r="L767" s="125">
        <f>'ALL Other SINs - Proposal'!L767</f>
        <v>0</v>
      </c>
      <c r="M767" s="206">
        <f>'ALL Other SINs - Proposal'!M767</f>
        <v>0</v>
      </c>
      <c r="N767" s="251">
        <f>'ALL Other SINs - Proposal'!V767</f>
        <v>0</v>
      </c>
      <c r="O767" s="201" t="str">
        <f>'Price Analysis'!N767</f>
        <v xml:space="preserve"> </v>
      </c>
      <c r="P767" s="53" t="str">
        <f>IF(ISBLANK('ALL Other SINs - Proposal'!AA767)," ",'ALL Other SINs - Proposal'!AA767)</f>
        <v xml:space="preserve"> </v>
      </c>
      <c r="Q767" s="95" t="str">
        <f>'ALL Other SINs - Proposal'!AC767</f>
        <v xml:space="preserve"> </v>
      </c>
      <c r="R767" s="100" t="str">
        <f>IF(ISBLANK('ALL Other SINs - Proposal'!AA767)," ",ROUND(Q767,2))</f>
        <v xml:space="preserve"> </v>
      </c>
      <c r="S767" s="54"/>
    </row>
    <row r="768" spans="1:19" ht="20.100000000000001" customHeight="1" x14ac:dyDescent="0.2">
      <c r="A768" s="127">
        <f>'ALL Other SINs - Proposal'!A768</f>
        <v>0</v>
      </c>
      <c r="B768" s="121">
        <f>'ALL Other SINs - Proposal'!B768</f>
        <v>0</v>
      </c>
      <c r="C768" s="121">
        <f>'ALL Other SINs - Proposal'!C768</f>
        <v>0</v>
      </c>
      <c r="D768" s="121">
        <f>'ALL Other SINs - Proposal'!D768</f>
        <v>0</v>
      </c>
      <c r="E768" s="121">
        <f>'ALL Other SINs - Proposal'!E768</f>
        <v>0</v>
      </c>
      <c r="F768" s="171">
        <f>'ALL Other SINs - Proposal'!F768</f>
        <v>0</v>
      </c>
      <c r="G768" s="51">
        <f>'ALL Other SINs - Proposal'!G768</f>
        <v>0</v>
      </c>
      <c r="H768" s="125">
        <f>'ALL Other SINs - Proposal'!H768</f>
        <v>0</v>
      </c>
      <c r="I768" s="125">
        <f>'ALL Other SINs - Proposal'!I768</f>
        <v>0</v>
      </c>
      <c r="J768" s="125">
        <f>'ALL Other SINs - Proposal'!J768</f>
        <v>0</v>
      </c>
      <c r="K768" s="125">
        <f>'ALL Other SINs - Proposal'!K768</f>
        <v>0</v>
      </c>
      <c r="L768" s="125">
        <f>'ALL Other SINs - Proposal'!L768</f>
        <v>0</v>
      </c>
      <c r="M768" s="206">
        <f>'ALL Other SINs - Proposal'!M768</f>
        <v>0</v>
      </c>
      <c r="N768" s="251">
        <f>'ALL Other SINs - Proposal'!V768</f>
        <v>0</v>
      </c>
      <c r="O768" s="201" t="str">
        <f>'Price Analysis'!N768</f>
        <v xml:space="preserve"> </v>
      </c>
      <c r="P768" s="53" t="str">
        <f>IF(ISBLANK('ALL Other SINs - Proposal'!AA768)," ",'ALL Other SINs - Proposal'!AA768)</f>
        <v xml:space="preserve"> </v>
      </c>
      <c r="Q768" s="95" t="str">
        <f>'ALL Other SINs - Proposal'!AC768</f>
        <v xml:space="preserve"> </v>
      </c>
      <c r="R768" s="100" t="str">
        <f>IF(ISBLANK('ALL Other SINs - Proposal'!AA768)," ",ROUND(Q768,2))</f>
        <v xml:space="preserve"> </v>
      </c>
      <c r="S768" s="54"/>
    </row>
    <row r="769" spans="1:19" ht="20.100000000000001" customHeight="1" x14ac:dyDescent="0.2">
      <c r="A769" s="127">
        <f>'ALL Other SINs - Proposal'!A769</f>
        <v>0</v>
      </c>
      <c r="B769" s="121">
        <f>'ALL Other SINs - Proposal'!B769</f>
        <v>0</v>
      </c>
      <c r="C769" s="121">
        <f>'ALL Other SINs - Proposal'!C769</f>
        <v>0</v>
      </c>
      <c r="D769" s="121">
        <f>'ALL Other SINs - Proposal'!D769</f>
        <v>0</v>
      </c>
      <c r="E769" s="121">
        <f>'ALL Other SINs - Proposal'!E769</f>
        <v>0</v>
      </c>
      <c r="F769" s="171">
        <f>'ALL Other SINs - Proposal'!F769</f>
        <v>0</v>
      </c>
      <c r="G769" s="51">
        <f>'ALL Other SINs - Proposal'!G769</f>
        <v>0</v>
      </c>
      <c r="H769" s="125">
        <f>'ALL Other SINs - Proposal'!H769</f>
        <v>0</v>
      </c>
      <c r="I769" s="125">
        <f>'ALL Other SINs - Proposal'!I769</f>
        <v>0</v>
      </c>
      <c r="J769" s="125">
        <f>'ALL Other SINs - Proposal'!J769</f>
        <v>0</v>
      </c>
      <c r="K769" s="125">
        <f>'ALL Other SINs - Proposal'!K769</f>
        <v>0</v>
      </c>
      <c r="L769" s="125">
        <f>'ALL Other SINs - Proposal'!L769</f>
        <v>0</v>
      </c>
      <c r="M769" s="206">
        <f>'ALL Other SINs - Proposal'!M769</f>
        <v>0</v>
      </c>
      <c r="N769" s="251">
        <f>'ALL Other SINs - Proposal'!V769</f>
        <v>0</v>
      </c>
      <c r="O769" s="201" t="str">
        <f>'Price Analysis'!N769</f>
        <v xml:space="preserve"> </v>
      </c>
      <c r="P769" s="53" t="str">
        <f>IF(ISBLANK('ALL Other SINs - Proposal'!AA769)," ",'ALL Other SINs - Proposal'!AA769)</f>
        <v xml:space="preserve"> </v>
      </c>
      <c r="Q769" s="95" t="str">
        <f>'ALL Other SINs - Proposal'!AC769</f>
        <v xml:space="preserve"> </v>
      </c>
      <c r="R769" s="100" t="str">
        <f>IF(ISBLANK('ALL Other SINs - Proposal'!AA769)," ",ROUND(Q769,2))</f>
        <v xml:space="preserve"> </v>
      </c>
      <c r="S769" s="54"/>
    </row>
    <row r="770" spans="1:19" ht="20.100000000000001" customHeight="1" x14ac:dyDescent="0.2">
      <c r="A770" s="127">
        <f>'ALL Other SINs - Proposal'!A770</f>
        <v>0</v>
      </c>
      <c r="B770" s="121">
        <f>'ALL Other SINs - Proposal'!B770</f>
        <v>0</v>
      </c>
      <c r="C770" s="121">
        <f>'ALL Other SINs - Proposal'!C770</f>
        <v>0</v>
      </c>
      <c r="D770" s="121">
        <f>'ALL Other SINs - Proposal'!D770</f>
        <v>0</v>
      </c>
      <c r="E770" s="121">
        <f>'ALL Other SINs - Proposal'!E770</f>
        <v>0</v>
      </c>
      <c r="F770" s="171">
        <f>'ALL Other SINs - Proposal'!F770</f>
        <v>0</v>
      </c>
      <c r="G770" s="51">
        <f>'ALL Other SINs - Proposal'!G770</f>
        <v>0</v>
      </c>
      <c r="H770" s="125">
        <f>'ALL Other SINs - Proposal'!H770</f>
        <v>0</v>
      </c>
      <c r="I770" s="125">
        <f>'ALL Other SINs - Proposal'!I770</f>
        <v>0</v>
      </c>
      <c r="J770" s="125">
        <f>'ALL Other SINs - Proposal'!J770</f>
        <v>0</v>
      </c>
      <c r="K770" s="125">
        <f>'ALL Other SINs - Proposal'!K770</f>
        <v>0</v>
      </c>
      <c r="L770" s="125">
        <f>'ALL Other SINs - Proposal'!L770</f>
        <v>0</v>
      </c>
      <c r="M770" s="206">
        <f>'ALL Other SINs - Proposal'!M770</f>
        <v>0</v>
      </c>
      <c r="N770" s="251">
        <f>'ALL Other SINs - Proposal'!V770</f>
        <v>0</v>
      </c>
      <c r="O770" s="201" t="str">
        <f>'Price Analysis'!N770</f>
        <v xml:space="preserve"> </v>
      </c>
      <c r="P770" s="53" t="str">
        <f>IF(ISBLANK('ALL Other SINs - Proposal'!AA770)," ",'ALL Other SINs - Proposal'!AA770)</f>
        <v xml:space="preserve"> </v>
      </c>
      <c r="Q770" s="95" t="str">
        <f>'ALL Other SINs - Proposal'!AC770</f>
        <v xml:space="preserve"> </v>
      </c>
      <c r="R770" s="100" t="str">
        <f>IF(ISBLANK('ALL Other SINs - Proposal'!AA770)," ",ROUND(Q770,2))</f>
        <v xml:space="preserve"> </v>
      </c>
      <c r="S770" s="54"/>
    </row>
    <row r="771" spans="1:19" ht="20.100000000000001" customHeight="1" x14ac:dyDescent="0.2">
      <c r="A771" s="127">
        <f>'ALL Other SINs - Proposal'!A771</f>
        <v>0</v>
      </c>
      <c r="B771" s="121">
        <f>'ALL Other SINs - Proposal'!B771</f>
        <v>0</v>
      </c>
      <c r="C771" s="121">
        <f>'ALL Other SINs - Proposal'!C771</f>
        <v>0</v>
      </c>
      <c r="D771" s="121">
        <f>'ALL Other SINs - Proposal'!D771</f>
        <v>0</v>
      </c>
      <c r="E771" s="121">
        <f>'ALL Other SINs - Proposal'!E771</f>
        <v>0</v>
      </c>
      <c r="F771" s="171">
        <f>'ALL Other SINs - Proposal'!F771</f>
        <v>0</v>
      </c>
      <c r="G771" s="51">
        <f>'ALL Other SINs - Proposal'!G771</f>
        <v>0</v>
      </c>
      <c r="H771" s="125">
        <f>'ALL Other SINs - Proposal'!H771</f>
        <v>0</v>
      </c>
      <c r="I771" s="125">
        <f>'ALL Other SINs - Proposal'!I771</f>
        <v>0</v>
      </c>
      <c r="J771" s="125">
        <f>'ALL Other SINs - Proposal'!J771</f>
        <v>0</v>
      </c>
      <c r="K771" s="125">
        <f>'ALL Other SINs - Proposal'!K771</f>
        <v>0</v>
      </c>
      <c r="L771" s="125">
        <f>'ALL Other SINs - Proposal'!L771</f>
        <v>0</v>
      </c>
      <c r="M771" s="206">
        <f>'ALL Other SINs - Proposal'!M771</f>
        <v>0</v>
      </c>
      <c r="N771" s="251">
        <f>'ALL Other SINs - Proposal'!V771</f>
        <v>0</v>
      </c>
      <c r="O771" s="201" t="str">
        <f>'Price Analysis'!N771</f>
        <v xml:space="preserve"> </v>
      </c>
      <c r="P771" s="53" t="str">
        <f>IF(ISBLANK('ALL Other SINs - Proposal'!AA771)," ",'ALL Other SINs - Proposal'!AA771)</f>
        <v xml:space="preserve"> </v>
      </c>
      <c r="Q771" s="95" t="str">
        <f>'ALL Other SINs - Proposal'!AC771</f>
        <v xml:space="preserve"> </v>
      </c>
      <c r="R771" s="100" t="str">
        <f>IF(ISBLANK('ALL Other SINs - Proposal'!AA771)," ",ROUND(Q771,2))</f>
        <v xml:space="preserve"> </v>
      </c>
      <c r="S771" s="54"/>
    </row>
    <row r="772" spans="1:19" ht="20.100000000000001" customHeight="1" x14ac:dyDescent="0.2">
      <c r="A772" s="127">
        <f>'ALL Other SINs - Proposal'!A772</f>
        <v>0</v>
      </c>
      <c r="B772" s="121">
        <f>'ALL Other SINs - Proposal'!B772</f>
        <v>0</v>
      </c>
      <c r="C772" s="121">
        <f>'ALL Other SINs - Proposal'!C772</f>
        <v>0</v>
      </c>
      <c r="D772" s="121">
        <f>'ALL Other SINs - Proposal'!D772</f>
        <v>0</v>
      </c>
      <c r="E772" s="121">
        <f>'ALL Other SINs - Proposal'!E772</f>
        <v>0</v>
      </c>
      <c r="F772" s="171">
        <f>'ALL Other SINs - Proposal'!F772</f>
        <v>0</v>
      </c>
      <c r="G772" s="51">
        <f>'ALL Other SINs - Proposal'!G772</f>
        <v>0</v>
      </c>
      <c r="H772" s="125">
        <f>'ALL Other SINs - Proposal'!H772</f>
        <v>0</v>
      </c>
      <c r="I772" s="125">
        <f>'ALL Other SINs - Proposal'!I772</f>
        <v>0</v>
      </c>
      <c r="J772" s="125">
        <f>'ALL Other SINs - Proposal'!J772</f>
        <v>0</v>
      </c>
      <c r="K772" s="125">
        <f>'ALL Other SINs - Proposal'!K772</f>
        <v>0</v>
      </c>
      <c r="L772" s="125">
        <f>'ALL Other SINs - Proposal'!L772</f>
        <v>0</v>
      </c>
      <c r="M772" s="206">
        <f>'ALL Other SINs - Proposal'!M772</f>
        <v>0</v>
      </c>
      <c r="N772" s="251">
        <f>'ALL Other SINs - Proposal'!V772</f>
        <v>0</v>
      </c>
      <c r="O772" s="201" t="str">
        <f>'Price Analysis'!N772</f>
        <v xml:space="preserve"> </v>
      </c>
      <c r="P772" s="53" t="str">
        <f>IF(ISBLANK('ALL Other SINs - Proposal'!AA772)," ",'ALL Other SINs - Proposal'!AA772)</f>
        <v xml:space="preserve"> </v>
      </c>
      <c r="Q772" s="95" t="str">
        <f>'ALL Other SINs - Proposal'!AC772</f>
        <v xml:space="preserve"> </v>
      </c>
      <c r="R772" s="100" t="str">
        <f>IF(ISBLANK('ALL Other SINs - Proposal'!AA772)," ",ROUND(Q772,2))</f>
        <v xml:space="preserve"> </v>
      </c>
      <c r="S772" s="54"/>
    </row>
    <row r="773" spans="1:19" ht="20.100000000000001" customHeight="1" x14ac:dyDescent="0.2">
      <c r="A773" s="127">
        <f>'ALL Other SINs - Proposal'!A773</f>
        <v>0</v>
      </c>
      <c r="B773" s="121">
        <f>'ALL Other SINs - Proposal'!B773</f>
        <v>0</v>
      </c>
      <c r="C773" s="121">
        <f>'ALL Other SINs - Proposal'!C773</f>
        <v>0</v>
      </c>
      <c r="D773" s="121">
        <f>'ALL Other SINs - Proposal'!D773</f>
        <v>0</v>
      </c>
      <c r="E773" s="121">
        <f>'ALL Other SINs - Proposal'!E773</f>
        <v>0</v>
      </c>
      <c r="F773" s="171">
        <f>'ALL Other SINs - Proposal'!F773</f>
        <v>0</v>
      </c>
      <c r="G773" s="51">
        <f>'ALL Other SINs - Proposal'!G773</f>
        <v>0</v>
      </c>
      <c r="H773" s="125">
        <f>'ALL Other SINs - Proposal'!H773</f>
        <v>0</v>
      </c>
      <c r="I773" s="125">
        <f>'ALL Other SINs - Proposal'!I773</f>
        <v>0</v>
      </c>
      <c r="J773" s="125">
        <f>'ALL Other SINs - Proposal'!J773</f>
        <v>0</v>
      </c>
      <c r="K773" s="125">
        <f>'ALL Other SINs - Proposal'!K773</f>
        <v>0</v>
      </c>
      <c r="L773" s="125">
        <f>'ALL Other SINs - Proposal'!L773</f>
        <v>0</v>
      </c>
      <c r="M773" s="206">
        <f>'ALL Other SINs - Proposal'!M773</f>
        <v>0</v>
      </c>
      <c r="N773" s="251">
        <f>'ALL Other SINs - Proposal'!V773</f>
        <v>0</v>
      </c>
      <c r="O773" s="201" t="str">
        <f>'Price Analysis'!N773</f>
        <v xml:space="preserve"> </v>
      </c>
      <c r="P773" s="53" t="str">
        <f>IF(ISBLANK('ALL Other SINs - Proposal'!AA773)," ",'ALL Other SINs - Proposal'!AA773)</f>
        <v xml:space="preserve"> </v>
      </c>
      <c r="Q773" s="95" t="str">
        <f>'ALL Other SINs - Proposal'!AC773</f>
        <v xml:space="preserve"> </v>
      </c>
      <c r="R773" s="100" t="str">
        <f>IF(ISBLANK('ALL Other SINs - Proposal'!AA773)," ",ROUND(Q773,2))</f>
        <v xml:space="preserve"> </v>
      </c>
      <c r="S773" s="54"/>
    </row>
    <row r="774" spans="1:19" ht="20.100000000000001" customHeight="1" x14ac:dyDescent="0.2">
      <c r="A774" s="127">
        <f>'ALL Other SINs - Proposal'!A774</f>
        <v>0</v>
      </c>
      <c r="B774" s="121">
        <f>'ALL Other SINs - Proposal'!B774</f>
        <v>0</v>
      </c>
      <c r="C774" s="121">
        <f>'ALL Other SINs - Proposal'!C774</f>
        <v>0</v>
      </c>
      <c r="D774" s="121">
        <f>'ALL Other SINs - Proposal'!D774</f>
        <v>0</v>
      </c>
      <c r="E774" s="121">
        <f>'ALL Other SINs - Proposal'!E774</f>
        <v>0</v>
      </c>
      <c r="F774" s="171">
        <f>'ALL Other SINs - Proposal'!F774</f>
        <v>0</v>
      </c>
      <c r="G774" s="51">
        <f>'ALL Other SINs - Proposal'!G774</f>
        <v>0</v>
      </c>
      <c r="H774" s="125">
        <f>'ALL Other SINs - Proposal'!H774</f>
        <v>0</v>
      </c>
      <c r="I774" s="125">
        <f>'ALL Other SINs - Proposal'!I774</f>
        <v>0</v>
      </c>
      <c r="J774" s="125">
        <f>'ALL Other SINs - Proposal'!J774</f>
        <v>0</v>
      </c>
      <c r="K774" s="125">
        <f>'ALL Other SINs - Proposal'!K774</f>
        <v>0</v>
      </c>
      <c r="L774" s="125">
        <f>'ALL Other SINs - Proposal'!L774</f>
        <v>0</v>
      </c>
      <c r="M774" s="206">
        <f>'ALL Other SINs - Proposal'!M774</f>
        <v>0</v>
      </c>
      <c r="N774" s="251">
        <f>'ALL Other SINs - Proposal'!V774</f>
        <v>0</v>
      </c>
      <c r="O774" s="201" t="str">
        <f>'Price Analysis'!N774</f>
        <v xml:space="preserve"> </v>
      </c>
      <c r="P774" s="53" t="str">
        <f>IF(ISBLANK('ALL Other SINs - Proposal'!AA774)," ",'ALL Other SINs - Proposal'!AA774)</f>
        <v xml:space="preserve"> </v>
      </c>
      <c r="Q774" s="95" t="str">
        <f>'ALL Other SINs - Proposal'!AC774</f>
        <v xml:space="preserve"> </v>
      </c>
      <c r="R774" s="100" t="str">
        <f>IF(ISBLANK('ALL Other SINs - Proposal'!AA774)," ",ROUND(Q774,2))</f>
        <v xml:space="preserve"> </v>
      </c>
      <c r="S774" s="54"/>
    </row>
    <row r="775" spans="1:19" ht="20.100000000000001" customHeight="1" x14ac:dyDescent="0.2">
      <c r="A775" s="127">
        <f>'ALL Other SINs - Proposal'!A775</f>
        <v>0</v>
      </c>
      <c r="B775" s="121">
        <f>'ALL Other SINs - Proposal'!B775</f>
        <v>0</v>
      </c>
      <c r="C775" s="121">
        <f>'ALL Other SINs - Proposal'!C775</f>
        <v>0</v>
      </c>
      <c r="D775" s="121">
        <f>'ALL Other SINs - Proposal'!D775</f>
        <v>0</v>
      </c>
      <c r="E775" s="121">
        <f>'ALL Other SINs - Proposal'!E775</f>
        <v>0</v>
      </c>
      <c r="F775" s="171">
        <f>'ALL Other SINs - Proposal'!F775</f>
        <v>0</v>
      </c>
      <c r="G775" s="51">
        <f>'ALL Other SINs - Proposal'!G775</f>
        <v>0</v>
      </c>
      <c r="H775" s="125">
        <f>'ALL Other SINs - Proposal'!H775</f>
        <v>0</v>
      </c>
      <c r="I775" s="125">
        <f>'ALL Other SINs - Proposal'!I775</f>
        <v>0</v>
      </c>
      <c r="J775" s="125">
        <f>'ALL Other SINs - Proposal'!J775</f>
        <v>0</v>
      </c>
      <c r="K775" s="125">
        <f>'ALL Other SINs - Proposal'!K775</f>
        <v>0</v>
      </c>
      <c r="L775" s="125">
        <f>'ALL Other SINs - Proposal'!L775</f>
        <v>0</v>
      </c>
      <c r="M775" s="206">
        <f>'ALL Other SINs - Proposal'!M775</f>
        <v>0</v>
      </c>
      <c r="N775" s="251">
        <f>'ALL Other SINs - Proposal'!V775</f>
        <v>0</v>
      </c>
      <c r="O775" s="201" t="str">
        <f>'Price Analysis'!N775</f>
        <v xml:space="preserve"> </v>
      </c>
      <c r="P775" s="53" t="str">
        <f>IF(ISBLANK('ALL Other SINs - Proposal'!AA775)," ",'ALL Other SINs - Proposal'!AA775)</f>
        <v xml:space="preserve"> </v>
      </c>
      <c r="Q775" s="95" t="str">
        <f>'ALL Other SINs - Proposal'!AC775</f>
        <v xml:space="preserve"> </v>
      </c>
      <c r="R775" s="100" t="str">
        <f>IF(ISBLANK('ALL Other SINs - Proposal'!AA775)," ",ROUND(Q775,2))</f>
        <v xml:space="preserve"> </v>
      </c>
      <c r="S775" s="54"/>
    </row>
    <row r="776" spans="1:19" ht="20.100000000000001" customHeight="1" x14ac:dyDescent="0.2">
      <c r="A776" s="127">
        <f>'ALL Other SINs - Proposal'!A776</f>
        <v>0</v>
      </c>
      <c r="B776" s="121">
        <f>'ALL Other SINs - Proposal'!B776</f>
        <v>0</v>
      </c>
      <c r="C776" s="121">
        <f>'ALL Other SINs - Proposal'!C776</f>
        <v>0</v>
      </c>
      <c r="D776" s="121">
        <f>'ALL Other SINs - Proposal'!D776</f>
        <v>0</v>
      </c>
      <c r="E776" s="121">
        <f>'ALL Other SINs - Proposal'!E776</f>
        <v>0</v>
      </c>
      <c r="F776" s="171">
        <f>'ALL Other SINs - Proposal'!F776</f>
        <v>0</v>
      </c>
      <c r="G776" s="51">
        <f>'ALL Other SINs - Proposal'!G776</f>
        <v>0</v>
      </c>
      <c r="H776" s="125">
        <f>'ALL Other SINs - Proposal'!H776</f>
        <v>0</v>
      </c>
      <c r="I776" s="125">
        <f>'ALL Other SINs - Proposal'!I776</f>
        <v>0</v>
      </c>
      <c r="J776" s="125">
        <f>'ALL Other SINs - Proposal'!J776</f>
        <v>0</v>
      </c>
      <c r="K776" s="125">
        <f>'ALL Other SINs - Proposal'!K776</f>
        <v>0</v>
      </c>
      <c r="L776" s="125">
        <f>'ALL Other SINs - Proposal'!L776</f>
        <v>0</v>
      </c>
      <c r="M776" s="206">
        <f>'ALL Other SINs - Proposal'!M776</f>
        <v>0</v>
      </c>
      <c r="N776" s="251">
        <f>'ALL Other SINs - Proposal'!V776</f>
        <v>0</v>
      </c>
      <c r="O776" s="201" t="str">
        <f>'Price Analysis'!N776</f>
        <v xml:space="preserve"> </v>
      </c>
      <c r="P776" s="53" t="str">
        <f>IF(ISBLANK('ALL Other SINs - Proposal'!AA776)," ",'ALL Other SINs - Proposal'!AA776)</f>
        <v xml:space="preserve"> </v>
      </c>
      <c r="Q776" s="95" t="str">
        <f>'ALL Other SINs - Proposal'!AC776</f>
        <v xml:space="preserve"> </v>
      </c>
      <c r="R776" s="100" t="str">
        <f>IF(ISBLANK('ALL Other SINs - Proposal'!AA776)," ",ROUND(Q776,2))</f>
        <v xml:space="preserve"> </v>
      </c>
      <c r="S776" s="54"/>
    </row>
    <row r="777" spans="1:19" ht="20.100000000000001" customHeight="1" x14ac:dyDescent="0.2">
      <c r="A777" s="127">
        <f>'ALL Other SINs - Proposal'!A777</f>
        <v>0</v>
      </c>
      <c r="B777" s="121">
        <f>'ALL Other SINs - Proposal'!B777</f>
        <v>0</v>
      </c>
      <c r="C777" s="121">
        <f>'ALL Other SINs - Proposal'!C777</f>
        <v>0</v>
      </c>
      <c r="D777" s="121">
        <f>'ALL Other SINs - Proposal'!D777</f>
        <v>0</v>
      </c>
      <c r="E777" s="121">
        <f>'ALL Other SINs - Proposal'!E777</f>
        <v>0</v>
      </c>
      <c r="F777" s="171">
        <f>'ALL Other SINs - Proposal'!F777</f>
        <v>0</v>
      </c>
      <c r="G777" s="51">
        <f>'ALL Other SINs - Proposal'!G777</f>
        <v>0</v>
      </c>
      <c r="H777" s="125">
        <f>'ALL Other SINs - Proposal'!H777</f>
        <v>0</v>
      </c>
      <c r="I777" s="125">
        <f>'ALL Other SINs - Proposal'!I777</f>
        <v>0</v>
      </c>
      <c r="J777" s="125">
        <f>'ALL Other SINs - Proposal'!J777</f>
        <v>0</v>
      </c>
      <c r="K777" s="125">
        <f>'ALL Other SINs - Proposal'!K777</f>
        <v>0</v>
      </c>
      <c r="L777" s="125">
        <f>'ALL Other SINs - Proposal'!L777</f>
        <v>0</v>
      </c>
      <c r="M777" s="206">
        <f>'ALL Other SINs - Proposal'!M777</f>
        <v>0</v>
      </c>
      <c r="N777" s="251">
        <f>'ALL Other SINs - Proposal'!V777</f>
        <v>0</v>
      </c>
      <c r="O777" s="201" t="str">
        <f>'Price Analysis'!N777</f>
        <v xml:space="preserve"> </v>
      </c>
      <c r="P777" s="53" t="str">
        <f>IF(ISBLANK('ALL Other SINs - Proposal'!AA777)," ",'ALL Other SINs - Proposal'!AA777)</f>
        <v xml:space="preserve"> </v>
      </c>
      <c r="Q777" s="95" t="str">
        <f>'ALL Other SINs - Proposal'!AC777</f>
        <v xml:space="preserve"> </v>
      </c>
      <c r="R777" s="100" t="str">
        <f>IF(ISBLANK('ALL Other SINs - Proposal'!AA777)," ",ROUND(Q777,2))</f>
        <v xml:space="preserve"> </v>
      </c>
      <c r="S777" s="54"/>
    </row>
    <row r="778" spans="1:19" ht="20.100000000000001" customHeight="1" x14ac:dyDescent="0.2">
      <c r="A778" s="127">
        <f>'ALL Other SINs - Proposal'!A778</f>
        <v>0</v>
      </c>
      <c r="B778" s="121">
        <f>'ALL Other SINs - Proposal'!B778</f>
        <v>0</v>
      </c>
      <c r="C778" s="121">
        <f>'ALL Other SINs - Proposal'!C778</f>
        <v>0</v>
      </c>
      <c r="D778" s="121">
        <f>'ALL Other SINs - Proposal'!D778</f>
        <v>0</v>
      </c>
      <c r="E778" s="121">
        <f>'ALL Other SINs - Proposal'!E778</f>
        <v>0</v>
      </c>
      <c r="F778" s="171">
        <f>'ALL Other SINs - Proposal'!F778</f>
        <v>0</v>
      </c>
      <c r="G778" s="51">
        <f>'ALL Other SINs - Proposal'!G778</f>
        <v>0</v>
      </c>
      <c r="H778" s="125">
        <f>'ALL Other SINs - Proposal'!H778</f>
        <v>0</v>
      </c>
      <c r="I778" s="125">
        <f>'ALL Other SINs - Proposal'!I778</f>
        <v>0</v>
      </c>
      <c r="J778" s="125">
        <f>'ALL Other SINs - Proposal'!J778</f>
        <v>0</v>
      </c>
      <c r="K778" s="125">
        <f>'ALL Other SINs - Proposal'!K778</f>
        <v>0</v>
      </c>
      <c r="L778" s="125">
        <f>'ALL Other SINs - Proposal'!L778</f>
        <v>0</v>
      </c>
      <c r="M778" s="206">
        <f>'ALL Other SINs - Proposal'!M778</f>
        <v>0</v>
      </c>
      <c r="N778" s="251">
        <f>'ALL Other SINs - Proposal'!V778</f>
        <v>0</v>
      </c>
      <c r="O778" s="201" t="str">
        <f>'Price Analysis'!N778</f>
        <v xml:space="preserve"> </v>
      </c>
      <c r="P778" s="53" t="str">
        <f>IF(ISBLANK('ALL Other SINs - Proposal'!AA778)," ",'ALL Other SINs - Proposal'!AA778)</f>
        <v xml:space="preserve"> </v>
      </c>
      <c r="Q778" s="95" t="str">
        <f>'ALL Other SINs - Proposal'!AC778</f>
        <v xml:space="preserve"> </v>
      </c>
      <c r="R778" s="100" t="str">
        <f>IF(ISBLANK('ALL Other SINs - Proposal'!AA778)," ",ROUND(Q778,2))</f>
        <v xml:space="preserve"> </v>
      </c>
      <c r="S778" s="54"/>
    </row>
    <row r="779" spans="1:19" ht="20.100000000000001" customHeight="1" x14ac:dyDescent="0.2">
      <c r="A779" s="127">
        <f>'ALL Other SINs - Proposal'!A779</f>
        <v>0</v>
      </c>
      <c r="B779" s="121">
        <f>'ALL Other SINs - Proposal'!B779</f>
        <v>0</v>
      </c>
      <c r="C779" s="121">
        <f>'ALL Other SINs - Proposal'!C779</f>
        <v>0</v>
      </c>
      <c r="D779" s="121">
        <f>'ALL Other SINs - Proposal'!D779</f>
        <v>0</v>
      </c>
      <c r="E779" s="121">
        <f>'ALL Other SINs - Proposal'!E779</f>
        <v>0</v>
      </c>
      <c r="F779" s="171">
        <f>'ALL Other SINs - Proposal'!F779</f>
        <v>0</v>
      </c>
      <c r="G779" s="51">
        <f>'ALL Other SINs - Proposal'!G779</f>
        <v>0</v>
      </c>
      <c r="H779" s="125">
        <f>'ALL Other SINs - Proposal'!H779</f>
        <v>0</v>
      </c>
      <c r="I779" s="125">
        <f>'ALL Other SINs - Proposal'!I779</f>
        <v>0</v>
      </c>
      <c r="J779" s="125">
        <f>'ALL Other SINs - Proposal'!J779</f>
        <v>0</v>
      </c>
      <c r="K779" s="125">
        <f>'ALL Other SINs - Proposal'!K779</f>
        <v>0</v>
      </c>
      <c r="L779" s="125">
        <f>'ALL Other SINs - Proposal'!L779</f>
        <v>0</v>
      </c>
      <c r="M779" s="206">
        <f>'ALL Other SINs - Proposal'!M779</f>
        <v>0</v>
      </c>
      <c r="N779" s="251">
        <f>'ALL Other SINs - Proposal'!V779</f>
        <v>0</v>
      </c>
      <c r="O779" s="201" t="str">
        <f>'Price Analysis'!N779</f>
        <v xml:space="preserve"> </v>
      </c>
      <c r="P779" s="53" t="str">
        <f>IF(ISBLANK('ALL Other SINs - Proposal'!AA779)," ",'ALL Other SINs - Proposal'!AA779)</f>
        <v xml:space="preserve"> </v>
      </c>
      <c r="Q779" s="95" t="str">
        <f>'ALL Other SINs - Proposal'!AC779</f>
        <v xml:space="preserve"> </v>
      </c>
      <c r="R779" s="100" t="str">
        <f>IF(ISBLANK('ALL Other SINs - Proposal'!AA779)," ",ROUND(Q779,2))</f>
        <v xml:space="preserve"> </v>
      </c>
      <c r="S779" s="54"/>
    </row>
    <row r="780" spans="1:19" ht="20.100000000000001" customHeight="1" x14ac:dyDescent="0.2">
      <c r="A780" s="127">
        <f>'ALL Other SINs - Proposal'!A780</f>
        <v>0</v>
      </c>
      <c r="B780" s="121">
        <f>'ALL Other SINs - Proposal'!B780</f>
        <v>0</v>
      </c>
      <c r="C780" s="121">
        <f>'ALL Other SINs - Proposal'!C780</f>
        <v>0</v>
      </c>
      <c r="D780" s="121">
        <f>'ALL Other SINs - Proposal'!D780</f>
        <v>0</v>
      </c>
      <c r="E780" s="121">
        <f>'ALL Other SINs - Proposal'!E780</f>
        <v>0</v>
      </c>
      <c r="F780" s="171">
        <f>'ALL Other SINs - Proposal'!F780</f>
        <v>0</v>
      </c>
      <c r="G780" s="51">
        <f>'ALL Other SINs - Proposal'!G780</f>
        <v>0</v>
      </c>
      <c r="H780" s="125">
        <f>'ALL Other SINs - Proposal'!H780</f>
        <v>0</v>
      </c>
      <c r="I780" s="125">
        <f>'ALL Other SINs - Proposal'!I780</f>
        <v>0</v>
      </c>
      <c r="J780" s="125">
        <f>'ALL Other SINs - Proposal'!J780</f>
        <v>0</v>
      </c>
      <c r="K780" s="125">
        <f>'ALL Other SINs - Proposal'!K780</f>
        <v>0</v>
      </c>
      <c r="L780" s="125">
        <f>'ALL Other SINs - Proposal'!L780</f>
        <v>0</v>
      </c>
      <c r="M780" s="206">
        <f>'ALL Other SINs - Proposal'!M780</f>
        <v>0</v>
      </c>
      <c r="N780" s="251">
        <f>'ALL Other SINs - Proposal'!V780</f>
        <v>0</v>
      </c>
      <c r="O780" s="201" t="str">
        <f>'Price Analysis'!N780</f>
        <v xml:space="preserve"> </v>
      </c>
      <c r="P780" s="53" t="str">
        <f>IF(ISBLANK('ALL Other SINs - Proposal'!AA780)," ",'ALL Other SINs - Proposal'!AA780)</f>
        <v xml:space="preserve"> </v>
      </c>
      <c r="Q780" s="95" t="str">
        <f>'ALL Other SINs - Proposal'!AC780</f>
        <v xml:space="preserve"> </v>
      </c>
      <c r="R780" s="100" t="str">
        <f>IF(ISBLANK('ALL Other SINs - Proposal'!AA780)," ",ROUND(Q780,2))</f>
        <v xml:space="preserve"> </v>
      </c>
      <c r="S780" s="54"/>
    </row>
    <row r="781" spans="1:19" ht="20.100000000000001" customHeight="1" x14ac:dyDescent="0.2">
      <c r="A781" s="127">
        <f>'ALL Other SINs - Proposal'!A781</f>
        <v>0</v>
      </c>
      <c r="B781" s="121">
        <f>'ALL Other SINs - Proposal'!B781</f>
        <v>0</v>
      </c>
      <c r="C781" s="121">
        <f>'ALL Other SINs - Proposal'!C781</f>
        <v>0</v>
      </c>
      <c r="D781" s="121">
        <f>'ALL Other SINs - Proposal'!D781</f>
        <v>0</v>
      </c>
      <c r="E781" s="121">
        <f>'ALL Other SINs - Proposal'!E781</f>
        <v>0</v>
      </c>
      <c r="F781" s="171">
        <f>'ALL Other SINs - Proposal'!F781</f>
        <v>0</v>
      </c>
      <c r="G781" s="51">
        <f>'ALL Other SINs - Proposal'!G781</f>
        <v>0</v>
      </c>
      <c r="H781" s="125">
        <f>'ALL Other SINs - Proposal'!H781</f>
        <v>0</v>
      </c>
      <c r="I781" s="125">
        <f>'ALL Other SINs - Proposal'!I781</f>
        <v>0</v>
      </c>
      <c r="J781" s="125">
        <f>'ALL Other SINs - Proposal'!J781</f>
        <v>0</v>
      </c>
      <c r="K781" s="125">
        <f>'ALL Other SINs - Proposal'!K781</f>
        <v>0</v>
      </c>
      <c r="L781" s="125">
        <f>'ALL Other SINs - Proposal'!L781</f>
        <v>0</v>
      </c>
      <c r="M781" s="206">
        <f>'ALL Other SINs - Proposal'!M781</f>
        <v>0</v>
      </c>
      <c r="N781" s="251">
        <f>'ALL Other SINs - Proposal'!V781</f>
        <v>0</v>
      </c>
      <c r="O781" s="201" t="str">
        <f>'Price Analysis'!N781</f>
        <v xml:space="preserve"> </v>
      </c>
      <c r="P781" s="53" t="str">
        <f>IF(ISBLANK('ALL Other SINs - Proposal'!AA781)," ",'ALL Other SINs - Proposal'!AA781)</f>
        <v xml:space="preserve"> </v>
      </c>
      <c r="Q781" s="95" t="str">
        <f>'ALL Other SINs - Proposal'!AC781</f>
        <v xml:space="preserve"> </v>
      </c>
      <c r="R781" s="100" t="str">
        <f>IF(ISBLANK('ALL Other SINs - Proposal'!AA781)," ",ROUND(Q781,2))</f>
        <v xml:space="preserve"> </v>
      </c>
      <c r="S781" s="54"/>
    </row>
    <row r="782" spans="1:19" ht="20.100000000000001" customHeight="1" x14ac:dyDescent="0.2">
      <c r="A782" s="127">
        <f>'ALL Other SINs - Proposal'!A782</f>
        <v>0</v>
      </c>
      <c r="B782" s="121">
        <f>'ALL Other SINs - Proposal'!B782</f>
        <v>0</v>
      </c>
      <c r="C782" s="121">
        <f>'ALL Other SINs - Proposal'!C782</f>
        <v>0</v>
      </c>
      <c r="D782" s="121">
        <f>'ALL Other SINs - Proposal'!D782</f>
        <v>0</v>
      </c>
      <c r="E782" s="121">
        <f>'ALL Other SINs - Proposal'!E782</f>
        <v>0</v>
      </c>
      <c r="F782" s="171">
        <f>'ALL Other SINs - Proposal'!F782</f>
        <v>0</v>
      </c>
      <c r="G782" s="51">
        <f>'ALL Other SINs - Proposal'!G782</f>
        <v>0</v>
      </c>
      <c r="H782" s="125">
        <f>'ALL Other SINs - Proposal'!H782</f>
        <v>0</v>
      </c>
      <c r="I782" s="125">
        <f>'ALL Other SINs - Proposal'!I782</f>
        <v>0</v>
      </c>
      <c r="J782" s="125">
        <f>'ALL Other SINs - Proposal'!J782</f>
        <v>0</v>
      </c>
      <c r="K782" s="125">
        <f>'ALL Other SINs - Proposal'!K782</f>
        <v>0</v>
      </c>
      <c r="L782" s="125">
        <f>'ALL Other SINs - Proposal'!L782</f>
        <v>0</v>
      </c>
      <c r="M782" s="206">
        <f>'ALL Other SINs - Proposal'!M782</f>
        <v>0</v>
      </c>
      <c r="N782" s="251">
        <f>'ALL Other SINs - Proposal'!V782</f>
        <v>0</v>
      </c>
      <c r="O782" s="201" t="str">
        <f>'Price Analysis'!N782</f>
        <v xml:space="preserve"> </v>
      </c>
      <c r="P782" s="53" t="str">
        <f>IF(ISBLANK('ALL Other SINs - Proposal'!AA782)," ",'ALL Other SINs - Proposal'!AA782)</f>
        <v xml:space="preserve"> </v>
      </c>
      <c r="Q782" s="95" t="str">
        <f>'ALL Other SINs - Proposal'!AC782</f>
        <v xml:space="preserve"> </v>
      </c>
      <c r="R782" s="100" t="str">
        <f>IF(ISBLANK('ALL Other SINs - Proposal'!AA782)," ",ROUND(Q782,2))</f>
        <v xml:space="preserve"> </v>
      </c>
      <c r="S782" s="54"/>
    </row>
    <row r="783" spans="1:19" ht="20.100000000000001" customHeight="1" x14ac:dyDescent="0.2">
      <c r="A783" s="127">
        <f>'ALL Other SINs - Proposal'!A783</f>
        <v>0</v>
      </c>
      <c r="B783" s="121">
        <f>'ALL Other SINs - Proposal'!B783</f>
        <v>0</v>
      </c>
      <c r="C783" s="121">
        <f>'ALL Other SINs - Proposal'!C783</f>
        <v>0</v>
      </c>
      <c r="D783" s="121">
        <f>'ALL Other SINs - Proposal'!D783</f>
        <v>0</v>
      </c>
      <c r="E783" s="121">
        <f>'ALL Other SINs - Proposal'!E783</f>
        <v>0</v>
      </c>
      <c r="F783" s="171">
        <f>'ALL Other SINs - Proposal'!F783</f>
        <v>0</v>
      </c>
      <c r="G783" s="51">
        <f>'ALL Other SINs - Proposal'!G783</f>
        <v>0</v>
      </c>
      <c r="H783" s="125">
        <f>'ALL Other SINs - Proposal'!H783</f>
        <v>0</v>
      </c>
      <c r="I783" s="125">
        <f>'ALL Other SINs - Proposal'!I783</f>
        <v>0</v>
      </c>
      <c r="J783" s="125">
        <f>'ALL Other SINs - Proposal'!J783</f>
        <v>0</v>
      </c>
      <c r="K783" s="125">
        <f>'ALL Other SINs - Proposal'!K783</f>
        <v>0</v>
      </c>
      <c r="L783" s="125">
        <f>'ALL Other SINs - Proposal'!L783</f>
        <v>0</v>
      </c>
      <c r="M783" s="206">
        <f>'ALL Other SINs - Proposal'!M783</f>
        <v>0</v>
      </c>
      <c r="N783" s="251">
        <f>'ALL Other SINs - Proposal'!V783</f>
        <v>0</v>
      </c>
      <c r="O783" s="201" t="str">
        <f>'Price Analysis'!N783</f>
        <v xml:space="preserve"> </v>
      </c>
      <c r="P783" s="53" t="str">
        <f>IF(ISBLANK('ALL Other SINs - Proposal'!AA783)," ",'ALL Other SINs - Proposal'!AA783)</f>
        <v xml:space="preserve"> </v>
      </c>
      <c r="Q783" s="95" t="str">
        <f>'ALL Other SINs - Proposal'!AC783</f>
        <v xml:space="preserve"> </v>
      </c>
      <c r="R783" s="100" t="str">
        <f>IF(ISBLANK('ALL Other SINs - Proposal'!AA783)," ",ROUND(Q783,2))</f>
        <v xml:space="preserve"> </v>
      </c>
      <c r="S783" s="54"/>
    </row>
    <row r="784" spans="1:19" ht="20.100000000000001" customHeight="1" x14ac:dyDescent="0.2">
      <c r="A784" s="127">
        <f>'ALL Other SINs - Proposal'!A784</f>
        <v>0</v>
      </c>
      <c r="B784" s="121">
        <f>'ALL Other SINs - Proposal'!B784</f>
        <v>0</v>
      </c>
      <c r="C784" s="121">
        <f>'ALL Other SINs - Proposal'!C784</f>
        <v>0</v>
      </c>
      <c r="D784" s="121">
        <f>'ALL Other SINs - Proposal'!D784</f>
        <v>0</v>
      </c>
      <c r="E784" s="121">
        <f>'ALL Other SINs - Proposal'!E784</f>
        <v>0</v>
      </c>
      <c r="F784" s="171">
        <f>'ALL Other SINs - Proposal'!F784</f>
        <v>0</v>
      </c>
      <c r="G784" s="51">
        <f>'ALL Other SINs - Proposal'!G784</f>
        <v>0</v>
      </c>
      <c r="H784" s="125">
        <f>'ALL Other SINs - Proposal'!H784</f>
        <v>0</v>
      </c>
      <c r="I784" s="125">
        <f>'ALL Other SINs - Proposal'!I784</f>
        <v>0</v>
      </c>
      <c r="J784" s="125">
        <f>'ALL Other SINs - Proposal'!J784</f>
        <v>0</v>
      </c>
      <c r="K784" s="125">
        <f>'ALL Other SINs - Proposal'!K784</f>
        <v>0</v>
      </c>
      <c r="L784" s="125">
        <f>'ALL Other SINs - Proposal'!L784</f>
        <v>0</v>
      </c>
      <c r="M784" s="206">
        <f>'ALL Other SINs - Proposal'!M784</f>
        <v>0</v>
      </c>
      <c r="N784" s="251">
        <f>'ALL Other SINs - Proposal'!V784</f>
        <v>0</v>
      </c>
      <c r="O784" s="201" t="str">
        <f>'Price Analysis'!N784</f>
        <v xml:space="preserve"> </v>
      </c>
      <c r="P784" s="53" t="str">
        <f>IF(ISBLANK('ALL Other SINs - Proposal'!AA784)," ",'ALL Other SINs - Proposal'!AA784)</f>
        <v xml:space="preserve"> </v>
      </c>
      <c r="Q784" s="95" t="str">
        <f>'ALL Other SINs - Proposal'!AC784</f>
        <v xml:space="preserve"> </v>
      </c>
      <c r="R784" s="100" t="str">
        <f>IF(ISBLANK('ALL Other SINs - Proposal'!AA784)," ",ROUND(Q784,2))</f>
        <v xml:space="preserve"> </v>
      </c>
      <c r="S784" s="54"/>
    </row>
    <row r="785" spans="1:19" ht="20.100000000000001" customHeight="1" x14ac:dyDescent="0.2">
      <c r="A785" s="127">
        <f>'ALL Other SINs - Proposal'!A785</f>
        <v>0</v>
      </c>
      <c r="B785" s="121">
        <f>'ALL Other SINs - Proposal'!B785</f>
        <v>0</v>
      </c>
      <c r="C785" s="121">
        <f>'ALL Other SINs - Proposal'!C785</f>
        <v>0</v>
      </c>
      <c r="D785" s="121">
        <f>'ALL Other SINs - Proposal'!D785</f>
        <v>0</v>
      </c>
      <c r="E785" s="121">
        <f>'ALL Other SINs - Proposal'!E785</f>
        <v>0</v>
      </c>
      <c r="F785" s="171">
        <f>'ALL Other SINs - Proposal'!F785</f>
        <v>0</v>
      </c>
      <c r="G785" s="51">
        <f>'ALL Other SINs - Proposal'!G785</f>
        <v>0</v>
      </c>
      <c r="H785" s="125">
        <f>'ALL Other SINs - Proposal'!H785</f>
        <v>0</v>
      </c>
      <c r="I785" s="125">
        <f>'ALL Other SINs - Proposal'!I785</f>
        <v>0</v>
      </c>
      <c r="J785" s="125">
        <f>'ALL Other SINs - Proposal'!J785</f>
        <v>0</v>
      </c>
      <c r="K785" s="125">
        <f>'ALL Other SINs - Proposal'!K785</f>
        <v>0</v>
      </c>
      <c r="L785" s="125">
        <f>'ALL Other SINs - Proposal'!L785</f>
        <v>0</v>
      </c>
      <c r="M785" s="206">
        <f>'ALL Other SINs - Proposal'!M785</f>
        <v>0</v>
      </c>
      <c r="N785" s="251">
        <f>'ALL Other SINs - Proposal'!V785</f>
        <v>0</v>
      </c>
      <c r="O785" s="201" t="str">
        <f>'Price Analysis'!N785</f>
        <v xml:space="preserve"> </v>
      </c>
      <c r="P785" s="53" t="str">
        <f>IF(ISBLANK('ALL Other SINs - Proposal'!AA785)," ",'ALL Other SINs - Proposal'!AA785)</f>
        <v xml:space="preserve"> </v>
      </c>
      <c r="Q785" s="95" t="str">
        <f>'ALL Other SINs - Proposal'!AC785</f>
        <v xml:space="preserve"> </v>
      </c>
      <c r="R785" s="100" t="str">
        <f>IF(ISBLANK('ALL Other SINs - Proposal'!AA785)," ",ROUND(Q785,2))</f>
        <v xml:space="preserve"> </v>
      </c>
      <c r="S785" s="54"/>
    </row>
    <row r="786" spans="1:19" ht="20.100000000000001" customHeight="1" x14ac:dyDescent="0.2">
      <c r="A786" s="127">
        <f>'ALL Other SINs - Proposal'!A786</f>
        <v>0</v>
      </c>
      <c r="B786" s="121">
        <f>'ALL Other SINs - Proposal'!B786</f>
        <v>0</v>
      </c>
      <c r="C786" s="121">
        <f>'ALL Other SINs - Proposal'!C786</f>
        <v>0</v>
      </c>
      <c r="D786" s="121">
        <f>'ALL Other SINs - Proposal'!D786</f>
        <v>0</v>
      </c>
      <c r="E786" s="121">
        <f>'ALL Other SINs - Proposal'!E786</f>
        <v>0</v>
      </c>
      <c r="F786" s="171">
        <f>'ALL Other SINs - Proposal'!F786</f>
        <v>0</v>
      </c>
      <c r="G786" s="51">
        <f>'ALL Other SINs - Proposal'!G786</f>
        <v>0</v>
      </c>
      <c r="H786" s="125">
        <f>'ALL Other SINs - Proposal'!H786</f>
        <v>0</v>
      </c>
      <c r="I786" s="125">
        <f>'ALL Other SINs - Proposal'!I786</f>
        <v>0</v>
      </c>
      <c r="J786" s="125">
        <f>'ALL Other SINs - Proposal'!J786</f>
        <v>0</v>
      </c>
      <c r="K786" s="125">
        <f>'ALL Other SINs - Proposal'!K786</f>
        <v>0</v>
      </c>
      <c r="L786" s="125">
        <f>'ALL Other SINs - Proposal'!L786</f>
        <v>0</v>
      </c>
      <c r="M786" s="206">
        <f>'ALL Other SINs - Proposal'!M786</f>
        <v>0</v>
      </c>
      <c r="N786" s="251">
        <f>'ALL Other SINs - Proposal'!V786</f>
        <v>0</v>
      </c>
      <c r="O786" s="201" t="str">
        <f>'Price Analysis'!N786</f>
        <v xml:space="preserve"> </v>
      </c>
      <c r="P786" s="53" t="str">
        <f>IF(ISBLANK('ALL Other SINs - Proposal'!AA786)," ",'ALL Other SINs - Proposal'!AA786)</f>
        <v xml:space="preserve"> </v>
      </c>
      <c r="Q786" s="95" t="str">
        <f>'ALL Other SINs - Proposal'!AC786</f>
        <v xml:space="preserve"> </v>
      </c>
      <c r="R786" s="100" t="str">
        <f>IF(ISBLANK('ALL Other SINs - Proposal'!AA786)," ",ROUND(Q786,2))</f>
        <v xml:space="preserve"> </v>
      </c>
      <c r="S786" s="54"/>
    </row>
    <row r="787" spans="1:19" ht="20.100000000000001" customHeight="1" x14ac:dyDescent="0.2">
      <c r="A787" s="127">
        <f>'ALL Other SINs - Proposal'!A787</f>
        <v>0</v>
      </c>
      <c r="B787" s="121">
        <f>'ALL Other SINs - Proposal'!B787</f>
        <v>0</v>
      </c>
      <c r="C787" s="121">
        <f>'ALL Other SINs - Proposal'!C787</f>
        <v>0</v>
      </c>
      <c r="D787" s="121">
        <f>'ALL Other SINs - Proposal'!D787</f>
        <v>0</v>
      </c>
      <c r="E787" s="121">
        <f>'ALL Other SINs - Proposal'!E787</f>
        <v>0</v>
      </c>
      <c r="F787" s="171">
        <f>'ALL Other SINs - Proposal'!F787</f>
        <v>0</v>
      </c>
      <c r="G787" s="51">
        <f>'ALL Other SINs - Proposal'!G787</f>
        <v>0</v>
      </c>
      <c r="H787" s="125">
        <f>'ALL Other SINs - Proposal'!H787</f>
        <v>0</v>
      </c>
      <c r="I787" s="125">
        <f>'ALL Other SINs - Proposal'!I787</f>
        <v>0</v>
      </c>
      <c r="J787" s="125">
        <f>'ALL Other SINs - Proposal'!J787</f>
        <v>0</v>
      </c>
      <c r="K787" s="125">
        <f>'ALL Other SINs - Proposal'!K787</f>
        <v>0</v>
      </c>
      <c r="L787" s="125">
        <f>'ALL Other SINs - Proposal'!L787</f>
        <v>0</v>
      </c>
      <c r="M787" s="206">
        <f>'ALL Other SINs - Proposal'!M787</f>
        <v>0</v>
      </c>
      <c r="N787" s="251">
        <f>'ALL Other SINs - Proposal'!V787</f>
        <v>0</v>
      </c>
      <c r="O787" s="201" t="str">
        <f>'Price Analysis'!N787</f>
        <v xml:space="preserve"> </v>
      </c>
      <c r="P787" s="53" t="str">
        <f>IF(ISBLANK('ALL Other SINs - Proposal'!AA787)," ",'ALL Other SINs - Proposal'!AA787)</f>
        <v xml:space="preserve"> </v>
      </c>
      <c r="Q787" s="95" t="str">
        <f>'ALL Other SINs - Proposal'!AC787</f>
        <v xml:space="preserve"> </v>
      </c>
      <c r="R787" s="100" t="str">
        <f>IF(ISBLANK('ALL Other SINs - Proposal'!AA787)," ",ROUND(Q787,2))</f>
        <v xml:space="preserve"> </v>
      </c>
      <c r="S787" s="54"/>
    </row>
    <row r="788" spans="1:19" ht="20.100000000000001" customHeight="1" x14ac:dyDescent="0.2">
      <c r="A788" s="127">
        <f>'ALL Other SINs - Proposal'!A788</f>
        <v>0</v>
      </c>
      <c r="B788" s="121">
        <f>'ALL Other SINs - Proposal'!B788</f>
        <v>0</v>
      </c>
      <c r="C788" s="121">
        <f>'ALL Other SINs - Proposal'!C788</f>
        <v>0</v>
      </c>
      <c r="D788" s="121">
        <f>'ALL Other SINs - Proposal'!D788</f>
        <v>0</v>
      </c>
      <c r="E788" s="121">
        <f>'ALL Other SINs - Proposal'!E788</f>
        <v>0</v>
      </c>
      <c r="F788" s="171">
        <f>'ALL Other SINs - Proposal'!F788</f>
        <v>0</v>
      </c>
      <c r="G788" s="51">
        <f>'ALL Other SINs - Proposal'!G788</f>
        <v>0</v>
      </c>
      <c r="H788" s="125">
        <f>'ALL Other SINs - Proposal'!H788</f>
        <v>0</v>
      </c>
      <c r="I788" s="125">
        <f>'ALL Other SINs - Proposal'!I788</f>
        <v>0</v>
      </c>
      <c r="J788" s="125">
        <f>'ALL Other SINs - Proposal'!J788</f>
        <v>0</v>
      </c>
      <c r="K788" s="125">
        <f>'ALL Other SINs - Proposal'!K788</f>
        <v>0</v>
      </c>
      <c r="L788" s="125">
        <f>'ALL Other SINs - Proposal'!L788</f>
        <v>0</v>
      </c>
      <c r="M788" s="206">
        <f>'ALL Other SINs - Proposal'!M788</f>
        <v>0</v>
      </c>
      <c r="N788" s="251">
        <f>'ALL Other SINs - Proposal'!V788</f>
        <v>0</v>
      </c>
      <c r="O788" s="201" t="str">
        <f>'Price Analysis'!N788</f>
        <v xml:space="preserve"> </v>
      </c>
      <c r="P788" s="53" t="str">
        <f>IF(ISBLANK('ALL Other SINs - Proposal'!AA788)," ",'ALL Other SINs - Proposal'!AA788)</f>
        <v xml:space="preserve"> </v>
      </c>
      <c r="Q788" s="95" t="str">
        <f>'ALL Other SINs - Proposal'!AC788</f>
        <v xml:space="preserve"> </v>
      </c>
      <c r="R788" s="100" t="str">
        <f>IF(ISBLANK('ALL Other SINs - Proposal'!AA788)," ",ROUND(Q788,2))</f>
        <v xml:space="preserve"> </v>
      </c>
      <c r="S788" s="54"/>
    </row>
    <row r="789" spans="1:19" ht="20.100000000000001" customHeight="1" x14ac:dyDescent="0.2">
      <c r="A789" s="127">
        <f>'ALL Other SINs - Proposal'!A789</f>
        <v>0</v>
      </c>
      <c r="B789" s="121">
        <f>'ALL Other SINs - Proposal'!B789</f>
        <v>0</v>
      </c>
      <c r="C789" s="121">
        <f>'ALL Other SINs - Proposal'!C789</f>
        <v>0</v>
      </c>
      <c r="D789" s="121">
        <f>'ALL Other SINs - Proposal'!D789</f>
        <v>0</v>
      </c>
      <c r="E789" s="121">
        <f>'ALL Other SINs - Proposal'!E789</f>
        <v>0</v>
      </c>
      <c r="F789" s="171">
        <f>'ALL Other SINs - Proposal'!F789</f>
        <v>0</v>
      </c>
      <c r="G789" s="51">
        <f>'ALL Other SINs - Proposal'!G789</f>
        <v>0</v>
      </c>
      <c r="H789" s="125">
        <f>'ALL Other SINs - Proposal'!H789</f>
        <v>0</v>
      </c>
      <c r="I789" s="125">
        <f>'ALL Other SINs - Proposal'!I789</f>
        <v>0</v>
      </c>
      <c r="J789" s="125">
        <f>'ALL Other SINs - Proposal'!J789</f>
        <v>0</v>
      </c>
      <c r="K789" s="125">
        <f>'ALL Other SINs - Proposal'!K789</f>
        <v>0</v>
      </c>
      <c r="L789" s="125">
        <f>'ALL Other SINs - Proposal'!L789</f>
        <v>0</v>
      </c>
      <c r="M789" s="206">
        <f>'ALL Other SINs - Proposal'!M789</f>
        <v>0</v>
      </c>
      <c r="N789" s="251">
        <f>'ALL Other SINs - Proposal'!V789</f>
        <v>0</v>
      </c>
      <c r="O789" s="201" t="str">
        <f>'Price Analysis'!N789</f>
        <v xml:space="preserve"> </v>
      </c>
      <c r="P789" s="53" t="str">
        <f>IF(ISBLANK('ALL Other SINs - Proposal'!AA789)," ",'ALL Other SINs - Proposal'!AA789)</f>
        <v xml:space="preserve"> </v>
      </c>
      <c r="Q789" s="95" t="str">
        <f>'ALL Other SINs - Proposal'!AC789</f>
        <v xml:space="preserve"> </v>
      </c>
      <c r="R789" s="100" t="str">
        <f>IF(ISBLANK('ALL Other SINs - Proposal'!AA789)," ",ROUND(Q789,2))</f>
        <v xml:space="preserve"> </v>
      </c>
      <c r="S789" s="54"/>
    </row>
    <row r="790" spans="1:19" ht="20.100000000000001" customHeight="1" x14ac:dyDescent="0.2">
      <c r="A790" s="127">
        <f>'ALL Other SINs - Proposal'!A790</f>
        <v>0</v>
      </c>
      <c r="B790" s="121">
        <f>'ALL Other SINs - Proposal'!B790</f>
        <v>0</v>
      </c>
      <c r="C790" s="121">
        <f>'ALL Other SINs - Proposal'!C790</f>
        <v>0</v>
      </c>
      <c r="D790" s="121">
        <f>'ALL Other SINs - Proposal'!D790</f>
        <v>0</v>
      </c>
      <c r="E790" s="121">
        <f>'ALL Other SINs - Proposal'!E790</f>
        <v>0</v>
      </c>
      <c r="F790" s="171">
        <f>'ALL Other SINs - Proposal'!F790</f>
        <v>0</v>
      </c>
      <c r="G790" s="51">
        <f>'ALL Other SINs - Proposal'!G790</f>
        <v>0</v>
      </c>
      <c r="H790" s="125">
        <f>'ALL Other SINs - Proposal'!H790</f>
        <v>0</v>
      </c>
      <c r="I790" s="125">
        <f>'ALL Other SINs - Proposal'!I790</f>
        <v>0</v>
      </c>
      <c r="J790" s="125">
        <f>'ALL Other SINs - Proposal'!J790</f>
        <v>0</v>
      </c>
      <c r="K790" s="125">
        <f>'ALL Other SINs - Proposal'!K790</f>
        <v>0</v>
      </c>
      <c r="L790" s="125">
        <f>'ALL Other SINs - Proposal'!L790</f>
        <v>0</v>
      </c>
      <c r="M790" s="206">
        <f>'ALL Other SINs - Proposal'!M790</f>
        <v>0</v>
      </c>
      <c r="N790" s="251">
        <f>'ALL Other SINs - Proposal'!V790</f>
        <v>0</v>
      </c>
      <c r="O790" s="201" t="str">
        <f>'Price Analysis'!N790</f>
        <v xml:space="preserve"> </v>
      </c>
      <c r="P790" s="53" t="str">
        <f>IF(ISBLANK('ALL Other SINs - Proposal'!AA790)," ",'ALL Other SINs - Proposal'!AA790)</f>
        <v xml:space="preserve"> </v>
      </c>
      <c r="Q790" s="95" t="str">
        <f>'ALL Other SINs - Proposal'!AC790</f>
        <v xml:space="preserve"> </v>
      </c>
      <c r="R790" s="100" t="str">
        <f>IF(ISBLANK('ALL Other SINs - Proposal'!AA790)," ",ROUND(Q790,2))</f>
        <v xml:space="preserve"> </v>
      </c>
      <c r="S790" s="54"/>
    </row>
    <row r="791" spans="1:19" ht="20.100000000000001" customHeight="1" x14ac:dyDescent="0.2">
      <c r="A791" s="127">
        <f>'ALL Other SINs - Proposal'!A791</f>
        <v>0</v>
      </c>
      <c r="B791" s="121">
        <f>'ALL Other SINs - Proposal'!B791</f>
        <v>0</v>
      </c>
      <c r="C791" s="121">
        <f>'ALL Other SINs - Proposal'!C791</f>
        <v>0</v>
      </c>
      <c r="D791" s="121">
        <f>'ALL Other SINs - Proposal'!D791</f>
        <v>0</v>
      </c>
      <c r="E791" s="121">
        <f>'ALL Other SINs - Proposal'!E791</f>
        <v>0</v>
      </c>
      <c r="F791" s="171">
        <f>'ALL Other SINs - Proposal'!F791</f>
        <v>0</v>
      </c>
      <c r="G791" s="51">
        <f>'ALL Other SINs - Proposal'!G791</f>
        <v>0</v>
      </c>
      <c r="H791" s="125">
        <f>'ALL Other SINs - Proposal'!H791</f>
        <v>0</v>
      </c>
      <c r="I791" s="125">
        <f>'ALL Other SINs - Proposal'!I791</f>
        <v>0</v>
      </c>
      <c r="J791" s="125">
        <f>'ALL Other SINs - Proposal'!J791</f>
        <v>0</v>
      </c>
      <c r="K791" s="125">
        <f>'ALL Other SINs - Proposal'!K791</f>
        <v>0</v>
      </c>
      <c r="L791" s="125">
        <f>'ALL Other SINs - Proposal'!L791</f>
        <v>0</v>
      </c>
      <c r="M791" s="206">
        <f>'ALL Other SINs - Proposal'!M791</f>
        <v>0</v>
      </c>
      <c r="N791" s="251">
        <f>'ALL Other SINs - Proposal'!V791</f>
        <v>0</v>
      </c>
      <c r="O791" s="201" t="str">
        <f>'Price Analysis'!N791</f>
        <v xml:space="preserve"> </v>
      </c>
      <c r="P791" s="53" t="str">
        <f>IF(ISBLANK('ALL Other SINs - Proposal'!AA791)," ",'ALL Other SINs - Proposal'!AA791)</f>
        <v xml:space="preserve"> </v>
      </c>
      <c r="Q791" s="95" t="str">
        <f>'ALL Other SINs - Proposal'!AC791</f>
        <v xml:space="preserve"> </v>
      </c>
      <c r="R791" s="100" t="str">
        <f>IF(ISBLANK('ALL Other SINs - Proposal'!AA791)," ",ROUND(Q791,2))</f>
        <v xml:space="preserve"> </v>
      </c>
      <c r="S791" s="54"/>
    </row>
    <row r="792" spans="1:19" ht="20.100000000000001" customHeight="1" x14ac:dyDescent="0.2">
      <c r="A792" s="127">
        <f>'ALL Other SINs - Proposal'!A792</f>
        <v>0</v>
      </c>
      <c r="B792" s="121">
        <f>'ALL Other SINs - Proposal'!B792</f>
        <v>0</v>
      </c>
      <c r="C792" s="121">
        <f>'ALL Other SINs - Proposal'!C792</f>
        <v>0</v>
      </c>
      <c r="D792" s="121">
        <f>'ALL Other SINs - Proposal'!D792</f>
        <v>0</v>
      </c>
      <c r="E792" s="121">
        <f>'ALL Other SINs - Proposal'!E792</f>
        <v>0</v>
      </c>
      <c r="F792" s="171">
        <f>'ALL Other SINs - Proposal'!F792</f>
        <v>0</v>
      </c>
      <c r="G792" s="51">
        <f>'ALL Other SINs - Proposal'!G792</f>
        <v>0</v>
      </c>
      <c r="H792" s="125">
        <f>'ALL Other SINs - Proposal'!H792</f>
        <v>0</v>
      </c>
      <c r="I792" s="125">
        <f>'ALL Other SINs - Proposal'!I792</f>
        <v>0</v>
      </c>
      <c r="J792" s="125">
        <f>'ALL Other SINs - Proposal'!J792</f>
        <v>0</v>
      </c>
      <c r="K792" s="125">
        <f>'ALL Other SINs - Proposal'!K792</f>
        <v>0</v>
      </c>
      <c r="L792" s="125">
        <f>'ALL Other SINs - Proposal'!L792</f>
        <v>0</v>
      </c>
      <c r="M792" s="206">
        <f>'ALL Other SINs - Proposal'!M792</f>
        <v>0</v>
      </c>
      <c r="N792" s="251">
        <f>'ALL Other SINs - Proposal'!V792</f>
        <v>0</v>
      </c>
      <c r="O792" s="201" t="str">
        <f>'Price Analysis'!N792</f>
        <v xml:space="preserve"> </v>
      </c>
      <c r="P792" s="53" t="str">
        <f>IF(ISBLANK('ALL Other SINs - Proposal'!AA792)," ",'ALL Other SINs - Proposal'!AA792)</f>
        <v xml:space="preserve"> </v>
      </c>
      <c r="Q792" s="95" t="str">
        <f>'ALL Other SINs - Proposal'!AC792</f>
        <v xml:space="preserve"> </v>
      </c>
      <c r="R792" s="100" t="str">
        <f>IF(ISBLANK('ALL Other SINs - Proposal'!AA792)," ",ROUND(Q792,2))</f>
        <v xml:space="preserve"> </v>
      </c>
      <c r="S792" s="54"/>
    </row>
    <row r="793" spans="1:19" ht="20.100000000000001" customHeight="1" x14ac:dyDescent="0.2">
      <c r="A793" s="127">
        <f>'ALL Other SINs - Proposal'!A793</f>
        <v>0</v>
      </c>
      <c r="B793" s="121">
        <f>'ALL Other SINs - Proposal'!B793</f>
        <v>0</v>
      </c>
      <c r="C793" s="121">
        <f>'ALL Other SINs - Proposal'!C793</f>
        <v>0</v>
      </c>
      <c r="D793" s="121">
        <f>'ALL Other SINs - Proposal'!D793</f>
        <v>0</v>
      </c>
      <c r="E793" s="121">
        <f>'ALL Other SINs - Proposal'!E793</f>
        <v>0</v>
      </c>
      <c r="F793" s="171">
        <f>'ALL Other SINs - Proposal'!F793</f>
        <v>0</v>
      </c>
      <c r="G793" s="51">
        <f>'ALL Other SINs - Proposal'!G793</f>
        <v>0</v>
      </c>
      <c r="H793" s="125">
        <f>'ALL Other SINs - Proposal'!H793</f>
        <v>0</v>
      </c>
      <c r="I793" s="125">
        <f>'ALL Other SINs - Proposal'!I793</f>
        <v>0</v>
      </c>
      <c r="J793" s="125">
        <f>'ALL Other SINs - Proposal'!J793</f>
        <v>0</v>
      </c>
      <c r="K793" s="125">
        <f>'ALL Other SINs - Proposal'!K793</f>
        <v>0</v>
      </c>
      <c r="L793" s="125">
        <f>'ALL Other SINs - Proposal'!L793</f>
        <v>0</v>
      </c>
      <c r="M793" s="206">
        <f>'ALL Other SINs - Proposal'!M793</f>
        <v>0</v>
      </c>
      <c r="N793" s="251">
        <f>'ALL Other SINs - Proposal'!V793</f>
        <v>0</v>
      </c>
      <c r="O793" s="201" t="str">
        <f>'Price Analysis'!N793</f>
        <v xml:space="preserve"> </v>
      </c>
      <c r="P793" s="53" t="str">
        <f>IF(ISBLANK('ALL Other SINs - Proposal'!AA793)," ",'ALL Other SINs - Proposal'!AA793)</f>
        <v xml:space="preserve"> </v>
      </c>
      <c r="Q793" s="95" t="str">
        <f>'ALL Other SINs - Proposal'!AC793</f>
        <v xml:space="preserve"> </v>
      </c>
      <c r="R793" s="100" t="str">
        <f>IF(ISBLANK('ALL Other SINs - Proposal'!AA793)," ",ROUND(Q793,2))</f>
        <v xml:space="preserve"> </v>
      </c>
      <c r="S793" s="54"/>
    </row>
    <row r="794" spans="1:19" ht="20.100000000000001" customHeight="1" x14ac:dyDescent="0.2">
      <c r="A794" s="127">
        <f>'ALL Other SINs - Proposal'!A794</f>
        <v>0</v>
      </c>
      <c r="B794" s="121">
        <f>'ALL Other SINs - Proposal'!B794</f>
        <v>0</v>
      </c>
      <c r="C794" s="121">
        <f>'ALL Other SINs - Proposal'!C794</f>
        <v>0</v>
      </c>
      <c r="D794" s="121">
        <f>'ALL Other SINs - Proposal'!D794</f>
        <v>0</v>
      </c>
      <c r="E794" s="121">
        <f>'ALL Other SINs - Proposal'!E794</f>
        <v>0</v>
      </c>
      <c r="F794" s="171">
        <f>'ALL Other SINs - Proposal'!F794</f>
        <v>0</v>
      </c>
      <c r="G794" s="51">
        <f>'ALL Other SINs - Proposal'!G794</f>
        <v>0</v>
      </c>
      <c r="H794" s="125">
        <f>'ALL Other SINs - Proposal'!H794</f>
        <v>0</v>
      </c>
      <c r="I794" s="125">
        <f>'ALL Other SINs - Proposal'!I794</f>
        <v>0</v>
      </c>
      <c r="J794" s="125">
        <f>'ALL Other SINs - Proposal'!J794</f>
        <v>0</v>
      </c>
      <c r="K794" s="125">
        <f>'ALL Other SINs - Proposal'!K794</f>
        <v>0</v>
      </c>
      <c r="L794" s="125">
        <f>'ALL Other SINs - Proposal'!L794</f>
        <v>0</v>
      </c>
      <c r="M794" s="206">
        <f>'ALL Other SINs - Proposal'!M794</f>
        <v>0</v>
      </c>
      <c r="N794" s="251">
        <f>'ALL Other SINs - Proposal'!V794</f>
        <v>0</v>
      </c>
      <c r="O794" s="201" t="str">
        <f>'Price Analysis'!N794</f>
        <v xml:space="preserve"> </v>
      </c>
      <c r="P794" s="53" t="str">
        <f>IF(ISBLANK('ALL Other SINs - Proposal'!AA794)," ",'ALL Other SINs - Proposal'!AA794)</f>
        <v xml:space="preserve"> </v>
      </c>
      <c r="Q794" s="95" t="str">
        <f>'ALL Other SINs - Proposal'!AC794</f>
        <v xml:space="preserve"> </v>
      </c>
      <c r="R794" s="100" t="str">
        <f>IF(ISBLANK('ALL Other SINs - Proposal'!AA794)," ",ROUND(Q794,2))</f>
        <v xml:space="preserve"> </v>
      </c>
      <c r="S794" s="54"/>
    </row>
    <row r="795" spans="1:19" ht="20.100000000000001" customHeight="1" x14ac:dyDescent="0.2">
      <c r="A795" s="127">
        <f>'ALL Other SINs - Proposal'!A795</f>
        <v>0</v>
      </c>
      <c r="B795" s="121">
        <f>'ALL Other SINs - Proposal'!B795</f>
        <v>0</v>
      </c>
      <c r="C795" s="121">
        <f>'ALL Other SINs - Proposal'!C795</f>
        <v>0</v>
      </c>
      <c r="D795" s="121">
        <f>'ALL Other SINs - Proposal'!D795</f>
        <v>0</v>
      </c>
      <c r="E795" s="121">
        <f>'ALL Other SINs - Proposal'!E795</f>
        <v>0</v>
      </c>
      <c r="F795" s="171">
        <f>'ALL Other SINs - Proposal'!F795</f>
        <v>0</v>
      </c>
      <c r="G795" s="51">
        <f>'ALL Other SINs - Proposal'!G795</f>
        <v>0</v>
      </c>
      <c r="H795" s="125">
        <f>'ALL Other SINs - Proposal'!H795</f>
        <v>0</v>
      </c>
      <c r="I795" s="125">
        <f>'ALL Other SINs - Proposal'!I795</f>
        <v>0</v>
      </c>
      <c r="J795" s="125">
        <f>'ALL Other SINs - Proposal'!J795</f>
        <v>0</v>
      </c>
      <c r="K795" s="125">
        <f>'ALL Other SINs - Proposal'!K795</f>
        <v>0</v>
      </c>
      <c r="L795" s="125">
        <f>'ALL Other SINs - Proposal'!L795</f>
        <v>0</v>
      </c>
      <c r="M795" s="206">
        <f>'ALL Other SINs - Proposal'!M795</f>
        <v>0</v>
      </c>
      <c r="N795" s="251">
        <f>'ALL Other SINs - Proposal'!V795</f>
        <v>0</v>
      </c>
      <c r="O795" s="201" t="str">
        <f>'Price Analysis'!N795</f>
        <v xml:space="preserve"> </v>
      </c>
      <c r="P795" s="53" t="str">
        <f>IF(ISBLANK('ALL Other SINs - Proposal'!AA795)," ",'ALL Other SINs - Proposal'!AA795)</f>
        <v xml:space="preserve"> </v>
      </c>
      <c r="Q795" s="95" t="str">
        <f>'ALL Other SINs - Proposal'!AC795</f>
        <v xml:space="preserve"> </v>
      </c>
      <c r="R795" s="100" t="str">
        <f>IF(ISBLANK('ALL Other SINs - Proposal'!AA795)," ",ROUND(Q795,2))</f>
        <v xml:space="preserve"> </v>
      </c>
      <c r="S795" s="54"/>
    </row>
    <row r="796" spans="1:19" ht="20.100000000000001" customHeight="1" x14ac:dyDescent="0.2">
      <c r="A796" s="127">
        <f>'ALL Other SINs - Proposal'!A796</f>
        <v>0</v>
      </c>
      <c r="B796" s="121">
        <f>'ALL Other SINs - Proposal'!B796</f>
        <v>0</v>
      </c>
      <c r="C796" s="121">
        <f>'ALL Other SINs - Proposal'!C796</f>
        <v>0</v>
      </c>
      <c r="D796" s="121">
        <f>'ALL Other SINs - Proposal'!D796</f>
        <v>0</v>
      </c>
      <c r="E796" s="121">
        <f>'ALL Other SINs - Proposal'!E796</f>
        <v>0</v>
      </c>
      <c r="F796" s="171">
        <f>'ALL Other SINs - Proposal'!F796</f>
        <v>0</v>
      </c>
      <c r="G796" s="51">
        <f>'ALL Other SINs - Proposal'!G796</f>
        <v>0</v>
      </c>
      <c r="H796" s="125">
        <f>'ALL Other SINs - Proposal'!H796</f>
        <v>0</v>
      </c>
      <c r="I796" s="125">
        <f>'ALL Other SINs - Proposal'!I796</f>
        <v>0</v>
      </c>
      <c r="J796" s="125">
        <f>'ALL Other SINs - Proposal'!J796</f>
        <v>0</v>
      </c>
      <c r="K796" s="125">
        <f>'ALL Other SINs - Proposal'!K796</f>
        <v>0</v>
      </c>
      <c r="L796" s="125">
        <f>'ALL Other SINs - Proposal'!L796</f>
        <v>0</v>
      </c>
      <c r="M796" s="206">
        <f>'ALL Other SINs - Proposal'!M796</f>
        <v>0</v>
      </c>
      <c r="N796" s="251">
        <f>'ALL Other SINs - Proposal'!V796</f>
        <v>0</v>
      </c>
      <c r="O796" s="201" t="str">
        <f>'Price Analysis'!N796</f>
        <v xml:space="preserve"> </v>
      </c>
      <c r="P796" s="53" t="str">
        <f>IF(ISBLANK('ALL Other SINs - Proposal'!AA796)," ",'ALL Other SINs - Proposal'!AA796)</f>
        <v xml:space="preserve"> </v>
      </c>
      <c r="Q796" s="95" t="str">
        <f>'ALL Other SINs - Proposal'!AC796</f>
        <v xml:space="preserve"> </v>
      </c>
      <c r="R796" s="100" t="str">
        <f>IF(ISBLANK('ALL Other SINs - Proposal'!AA796)," ",ROUND(Q796,2))</f>
        <v xml:space="preserve"> </v>
      </c>
      <c r="S796" s="54"/>
    </row>
    <row r="797" spans="1:19" ht="20.100000000000001" customHeight="1" x14ac:dyDescent="0.2">
      <c r="A797" s="127">
        <f>'ALL Other SINs - Proposal'!A797</f>
        <v>0</v>
      </c>
      <c r="B797" s="121">
        <f>'ALL Other SINs - Proposal'!B797</f>
        <v>0</v>
      </c>
      <c r="C797" s="121">
        <f>'ALL Other SINs - Proposal'!C797</f>
        <v>0</v>
      </c>
      <c r="D797" s="121">
        <f>'ALL Other SINs - Proposal'!D797</f>
        <v>0</v>
      </c>
      <c r="E797" s="121">
        <f>'ALL Other SINs - Proposal'!E797</f>
        <v>0</v>
      </c>
      <c r="F797" s="171">
        <f>'ALL Other SINs - Proposal'!F797</f>
        <v>0</v>
      </c>
      <c r="G797" s="51">
        <f>'ALL Other SINs - Proposal'!G797</f>
        <v>0</v>
      </c>
      <c r="H797" s="125">
        <f>'ALL Other SINs - Proposal'!H797</f>
        <v>0</v>
      </c>
      <c r="I797" s="125">
        <f>'ALL Other SINs - Proposal'!I797</f>
        <v>0</v>
      </c>
      <c r="J797" s="125">
        <f>'ALL Other SINs - Proposal'!J797</f>
        <v>0</v>
      </c>
      <c r="K797" s="125">
        <f>'ALL Other SINs - Proposal'!K797</f>
        <v>0</v>
      </c>
      <c r="L797" s="125">
        <f>'ALL Other SINs - Proposal'!L797</f>
        <v>0</v>
      </c>
      <c r="M797" s="206">
        <f>'ALL Other SINs - Proposal'!M797</f>
        <v>0</v>
      </c>
      <c r="N797" s="251">
        <f>'ALL Other SINs - Proposal'!V797</f>
        <v>0</v>
      </c>
      <c r="O797" s="201" t="str">
        <f>'Price Analysis'!N797</f>
        <v xml:space="preserve"> </v>
      </c>
      <c r="P797" s="53" t="str">
        <f>IF(ISBLANK('ALL Other SINs - Proposal'!AA797)," ",'ALL Other SINs - Proposal'!AA797)</f>
        <v xml:space="preserve"> </v>
      </c>
      <c r="Q797" s="95" t="str">
        <f>'ALL Other SINs - Proposal'!AC797</f>
        <v xml:space="preserve"> </v>
      </c>
      <c r="R797" s="100" t="str">
        <f>IF(ISBLANK('ALL Other SINs - Proposal'!AA797)," ",ROUND(Q797,2))</f>
        <v xml:space="preserve"> </v>
      </c>
      <c r="S797" s="54"/>
    </row>
    <row r="798" spans="1:19" ht="20.100000000000001" customHeight="1" x14ac:dyDescent="0.2">
      <c r="A798" s="127">
        <f>'ALL Other SINs - Proposal'!A798</f>
        <v>0</v>
      </c>
      <c r="B798" s="121">
        <f>'ALL Other SINs - Proposal'!B798</f>
        <v>0</v>
      </c>
      <c r="C798" s="121">
        <f>'ALL Other SINs - Proposal'!C798</f>
        <v>0</v>
      </c>
      <c r="D798" s="121">
        <f>'ALL Other SINs - Proposal'!D798</f>
        <v>0</v>
      </c>
      <c r="E798" s="121">
        <f>'ALL Other SINs - Proposal'!E798</f>
        <v>0</v>
      </c>
      <c r="F798" s="171">
        <f>'ALL Other SINs - Proposal'!F798</f>
        <v>0</v>
      </c>
      <c r="G798" s="51">
        <f>'ALL Other SINs - Proposal'!G798</f>
        <v>0</v>
      </c>
      <c r="H798" s="125">
        <f>'ALL Other SINs - Proposal'!H798</f>
        <v>0</v>
      </c>
      <c r="I798" s="125">
        <f>'ALL Other SINs - Proposal'!I798</f>
        <v>0</v>
      </c>
      <c r="J798" s="125">
        <f>'ALL Other SINs - Proposal'!J798</f>
        <v>0</v>
      </c>
      <c r="K798" s="125">
        <f>'ALL Other SINs - Proposal'!K798</f>
        <v>0</v>
      </c>
      <c r="L798" s="125">
        <f>'ALL Other SINs - Proposal'!L798</f>
        <v>0</v>
      </c>
      <c r="M798" s="206">
        <f>'ALL Other SINs - Proposal'!M798</f>
        <v>0</v>
      </c>
      <c r="N798" s="251">
        <f>'ALL Other SINs - Proposal'!V798</f>
        <v>0</v>
      </c>
      <c r="O798" s="201" t="str">
        <f>'Price Analysis'!N798</f>
        <v xml:space="preserve"> </v>
      </c>
      <c r="P798" s="53" t="str">
        <f>IF(ISBLANK('ALL Other SINs - Proposal'!AA798)," ",'ALL Other SINs - Proposal'!AA798)</f>
        <v xml:space="preserve"> </v>
      </c>
      <c r="Q798" s="95" t="str">
        <f>'ALL Other SINs - Proposal'!AC798</f>
        <v xml:space="preserve"> </v>
      </c>
      <c r="R798" s="100" t="str">
        <f>IF(ISBLANK('ALL Other SINs - Proposal'!AA798)," ",ROUND(Q798,2))</f>
        <v xml:space="preserve"> </v>
      </c>
      <c r="S798" s="54"/>
    </row>
    <row r="799" spans="1:19" ht="20.100000000000001" customHeight="1" x14ac:dyDescent="0.2">
      <c r="A799" s="127">
        <f>'ALL Other SINs - Proposal'!A799</f>
        <v>0</v>
      </c>
      <c r="B799" s="121">
        <f>'ALL Other SINs - Proposal'!B799</f>
        <v>0</v>
      </c>
      <c r="C799" s="121">
        <f>'ALL Other SINs - Proposal'!C799</f>
        <v>0</v>
      </c>
      <c r="D799" s="121">
        <f>'ALL Other SINs - Proposal'!D799</f>
        <v>0</v>
      </c>
      <c r="E799" s="121">
        <f>'ALL Other SINs - Proposal'!E799</f>
        <v>0</v>
      </c>
      <c r="F799" s="171">
        <f>'ALL Other SINs - Proposal'!F799</f>
        <v>0</v>
      </c>
      <c r="G799" s="51">
        <f>'ALL Other SINs - Proposal'!G799</f>
        <v>0</v>
      </c>
      <c r="H799" s="125">
        <f>'ALL Other SINs - Proposal'!H799</f>
        <v>0</v>
      </c>
      <c r="I799" s="125">
        <f>'ALL Other SINs - Proposal'!I799</f>
        <v>0</v>
      </c>
      <c r="J799" s="125">
        <f>'ALL Other SINs - Proposal'!J799</f>
        <v>0</v>
      </c>
      <c r="K799" s="125">
        <f>'ALL Other SINs - Proposal'!K799</f>
        <v>0</v>
      </c>
      <c r="L799" s="125">
        <f>'ALL Other SINs - Proposal'!L799</f>
        <v>0</v>
      </c>
      <c r="M799" s="206">
        <f>'ALL Other SINs - Proposal'!M799</f>
        <v>0</v>
      </c>
      <c r="N799" s="251">
        <f>'ALL Other SINs - Proposal'!V799</f>
        <v>0</v>
      </c>
      <c r="O799" s="201" t="str">
        <f>'Price Analysis'!N799</f>
        <v xml:space="preserve"> </v>
      </c>
      <c r="P799" s="53" t="str">
        <f>IF(ISBLANK('ALL Other SINs - Proposal'!AA799)," ",'ALL Other SINs - Proposal'!AA799)</f>
        <v xml:space="preserve"> </v>
      </c>
      <c r="Q799" s="95" t="str">
        <f>'ALL Other SINs - Proposal'!AC799</f>
        <v xml:space="preserve"> </v>
      </c>
      <c r="R799" s="100" t="str">
        <f>IF(ISBLANK('ALL Other SINs - Proposal'!AA799)," ",ROUND(Q799,2))</f>
        <v xml:space="preserve"> </v>
      </c>
      <c r="S799" s="54"/>
    </row>
    <row r="800" spans="1:19" ht="20.100000000000001" customHeight="1" x14ac:dyDescent="0.2">
      <c r="A800" s="127">
        <f>'ALL Other SINs - Proposal'!A800</f>
        <v>0</v>
      </c>
      <c r="B800" s="121">
        <f>'ALL Other SINs - Proposal'!B800</f>
        <v>0</v>
      </c>
      <c r="C800" s="121">
        <f>'ALL Other SINs - Proposal'!C800</f>
        <v>0</v>
      </c>
      <c r="D800" s="121">
        <f>'ALL Other SINs - Proposal'!D800</f>
        <v>0</v>
      </c>
      <c r="E800" s="121">
        <f>'ALL Other SINs - Proposal'!E800</f>
        <v>0</v>
      </c>
      <c r="F800" s="171">
        <f>'ALL Other SINs - Proposal'!F800</f>
        <v>0</v>
      </c>
      <c r="G800" s="51">
        <f>'ALL Other SINs - Proposal'!G800</f>
        <v>0</v>
      </c>
      <c r="H800" s="125">
        <f>'ALL Other SINs - Proposal'!H800</f>
        <v>0</v>
      </c>
      <c r="I800" s="125">
        <f>'ALL Other SINs - Proposal'!I800</f>
        <v>0</v>
      </c>
      <c r="J800" s="125">
        <f>'ALL Other SINs - Proposal'!J800</f>
        <v>0</v>
      </c>
      <c r="K800" s="125">
        <f>'ALL Other SINs - Proposal'!K800</f>
        <v>0</v>
      </c>
      <c r="L800" s="125">
        <f>'ALL Other SINs - Proposal'!L800</f>
        <v>0</v>
      </c>
      <c r="M800" s="206">
        <f>'ALL Other SINs - Proposal'!M800</f>
        <v>0</v>
      </c>
      <c r="N800" s="251">
        <f>'ALL Other SINs - Proposal'!V800</f>
        <v>0</v>
      </c>
      <c r="O800" s="201" t="str">
        <f>'Price Analysis'!N800</f>
        <v xml:space="preserve"> </v>
      </c>
      <c r="P800" s="53" t="str">
        <f>IF(ISBLANK('ALL Other SINs - Proposal'!AA800)," ",'ALL Other SINs - Proposal'!AA800)</f>
        <v xml:space="preserve"> </v>
      </c>
      <c r="Q800" s="95" t="str">
        <f>'ALL Other SINs - Proposal'!AC800</f>
        <v xml:space="preserve"> </v>
      </c>
      <c r="R800" s="100" t="str">
        <f>IF(ISBLANK('ALL Other SINs - Proposal'!AA800)," ",ROUND(Q800,2))</f>
        <v xml:space="preserve"> </v>
      </c>
      <c r="S800" s="54"/>
    </row>
    <row r="801" spans="1:19" ht="20.100000000000001" customHeight="1" x14ac:dyDescent="0.2">
      <c r="A801" s="127">
        <f>'ALL Other SINs - Proposal'!A801</f>
        <v>0</v>
      </c>
      <c r="B801" s="121">
        <f>'ALL Other SINs - Proposal'!B801</f>
        <v>0</v>
      </c>
      <c r="C801" s="121">
        <f>'ALL Other SINs - Proposal'!C801</f>
        <v>0</v>
      </c>
      <c r="D801" s="121">
        <f>'ALL Other SINs - Proposal'!D801</f>
        <v>0</v>
      </c>
      <c r="E801" s="121">
        <f>'ALL Other SINs - Proposal'!E801</f>
        <v>0</v>
      </c>
      <c r="F801" s="171">
        <f>'ALL Other SINs - Proposal'!F801</f>
        <v>0</v>
      </c>
      <c r="G801" s="51">
        <f>'ALL Other SINs - Proposal'!G801</f>
        <v>0</v>
      </c>
      <c r="H801" s="125">
        <f>'ALL Other SINs - Proposal'!H801</f>
        <v>0</v>
      </c>
      <c r="I801" s="125">
        <f>'ALL Other SINs - Proposal'!I801</f>
        <v>0</v>
      </c>
      <c r="J801" s="125">
        <f>'ALL Other SINs - Proposal'!J801</f>
        <v>0</v>
      </c>
      <c r="K801" s="125">
        <f>'ALL Other SINs - Proposal'!K801</f>
        <v>0</v>
      </c>
      <c r="L801" s="125">
        <f>'ALL Other SINs - Proposal'!L801</f>
        <v>0</v>
      </c>
      <c r="M801" s="206">
        <f>'ALL Other SINs - Proposal'!M801</f>
        <v>0</v>
      </c>
      <c r="N801" s="251">
        <f>'ALL Other SINs - Proposal'!V801</f>
        <v>0</v>
      </c>
      <c r="O801" s="201" t="str">
        <f>'Price Analysis'!N801</f>
        <v xml:space="preserve"> </v>
      </c>
      <c r="P801" s="53" t="str">
        <f>IF(ISBLANK('ALL Other SINs - Proposal'!AA801)," ",'ALL Other SINs - Proposal'!AA801)</f>
        <v xml:space="preserve"> </v>
      </c>
      <c r="Q801" s="95" t="str">
        <f>'ALL Other SINs - Proposal'!AC801</f>
        <v xml:space="preserve"> </v>
      </c>
      <c r="R801" s="100" t="str">
        <f>IF(ISBLANK('ALL Other SINs - Proposal'!AA801)," ",ROUND(Q801,2))</f>
        <v xml:space="preserve"> </v>
      </c>
      <c r="S801" s="54"/>
    </row>
    <row r="802" spans="1:19" ht="20.100000000000001" customHeight="1" x14ac:dyDescent="0.2">
      <c r="A802" s="127">
        <f>'ALL Other SINs - Proposal'!A802</f>
        <v>0</v>
      </c>
      <c r="B802" s="121">
        <f>'ALL Other SINs - Proposal'!B802</f>
        <v>0</v>
      </c>
      <c r="C802" s="121">
        <f>'ALL Other SINs - Proposal'!C802</f>
        <v>0</v>
      </c>
      <c r="D802" s="121">
        <f>'ALL Other SINs - Proposal'!D802</f>
        <v>0</v>
      </c>
      <c r="E802" s="121">
        <f>'ALL Other SINs - Proposal'!E802</f>
        <v>0</v>
      </c>
      <c r="F802" s="171">
        <f>'ALL Other SINs - Proposal'!F802</f>
        <v>0</v>
      </c>
      <c r="G802" s="51">
        <f>'ALL Other SINs - Proposal'!G802</f>
        <v>0</v>
      </c>
      <c r="H802" s="125">
        <f>'ALL Other SINs - Proposal'!H802</f>
        <v>0</v>
      </c>
      <c r="I802" s="125">
        <f>'ALL Other SINs - Proposal'!I802</f>
        <v>0</v>
      </c>
      <c r="J802" s="125">
        <f>'ALL Other SINs - Proposal'!J802</f>
        <v>0</v>
      </c>
      <c r="K802" s="125">
        <f>'ALL Other SINs - Proposal'!K802</f>
        <v>0</v>
      </c>
      <c r="L802" s="125">
        <f>'ALL Other SINs - Proposal'!L802</f>
        <v>0</v>
      </c>
      <c r="M802" s="206">
        <f>'ALL Other SINs - Proposal'!M802</f>
        <v>0</v>
      </c>
      <c r="N802" s="251">
        <f>'ALL Other SINs - Proposal'!V802</f>
        <v>0</v>
      </c>
      <c r="O802" s="201" t="str">
        <f>'Price Analysis'!N802</f>
        <v xml:space="preserve"> </v>
      </c>
      <c r="P802" s="53" t="str">
        <f>IF(ISBLANK('ALL Other SINs - Proposal'!AA802)," ",'ALL Other SINs - Proposal'!AA802)</f>
        <v xml:space="preserve"> </v>
      </c>
      <c r="Q802" s="95" t="str">
        <f>'ALL Other SINs - Proposal'!AC802</f>
        <v xml:space="preserve"> </v>
      </c>
      <c r="R802" s="100" t="str">
        <f>IF(ISBLANK('ALL Other SINs - Proposal'!AA802)," ",ROUND(Q802,2))</f>
        <v xml:space="preserve"> </v>
      </c>
      <c r="S802" s="54"/>
    </row>
    <row r="803" spans="1:19" ht="20.100000000000001" customHeight="1" x14ac:dyDescent="0.2">
      <c r="A803" s="127">
        <f>'ALL Other SINs - Proposal'!A803</f>
        <v>0</v>
      </c>
      <c r="B803" s="121">
        <f>'ALL Other SINs - Proposal'!B803</f>
        <v>0</v>
      </c>
      <c r="C803" s="121">
        <f>'ALL Other SINs - Proposal'!C803</f>
        <v>0</v>
      </c>
      <c r="D803" s="121">
        <f>'ALL Other SINs - Proposal'!D803</f>
        <v>0</v>
      </c>
      <c r="E803" s="121">
        <f>'ALL Other SINs - Proposal'!E803</f>
        <v>0</v>
      </c>
      <c r="F803" s="171">
        <f>'ALL Other SINs - Proposal'!F803</f>
        <v>0</v>
      </c>
      <c r="G803" s="51">
        <f>'ALL Other SINs - Proposal'!G803</f>
        <v>0</v>
      </c>
      <c r="H803" s="125">
        <f>'ALL Other SINs - Proposal'!H803</f>
        <v>0</v>
      </c>
      <c r="I803" s="125">
        <f>'ALL Other SINs - Proposal'!I803</f>
        <v>0</v>
      </c>
      <c r="J803" s="125">
        <f>'ALL Other SINs - Proposal'!J803</f>
        <v>0</v>
      </c>
      <c r="K803" s="125">
        <f>'ALL Other SINs - Proposal'!K803</f>
        <v>0</v>
      </c>
      <c r="L803" s="125">
        <f>'ALL Other SINs - Proposal'!L803</f>
        <v>0</v>
      </c>
      <c r="M803" s="206">
        <f>'ALL Other SINs - Proposal'!M803</f>
        <v>0</v>
      </c>
      <c r="N803" s="251">
        <f>'ALL Other SINs - Proposal'!V803</f>
        <v>0</v>
      </c>
      <c r="O803" s="201" t="str">
        <f>'Price Analysis'!N803</f>
        <v xml:space="preserve"> </v>
      </c>
      <c r="P803" s="53" t="str">
        <f>IF(ISBLANK('ALL Other SINs - Proposal'!AA803)," ",'ALL Other SINs - Proposal'!AA803)</f>
        <v xml:space="preserve"> </v>
      </c>
      <c r="Q803" s="95" t="str">
        <f>'ALL Other SINs - Proposal'!AC803</f>
        <v xml:space="preserve"> </v>
      </c>
      <c r="R803" s="100" t="str">
        <f>IF(ISBLANK('ALL Other SINs - Proposal'!AA803)," ",ROUND(Q803,2))</f>
        <v xml:space="preserve"> </v>
      </c>
      <c r="S803" s="54"/>
    </row>
    <row r="804" spans="1:19" ht="20.100000000000001" customHeight="1" x14ac:dyDescent="0.2">
      <c r="A804" s="127">
        <f>'ALL Other SINs - Proposal'!A804</f>
        <v>0</v>
      </c>
      <c r="B804" s="121">
        <f>'ALL Other SINs - Proposal'!B804</f>
        <v>0</v>
      </c>
      <c r="C804" s="121">
        <f>'ALL Other SINs - Proposal'!C804</f>
        <v>0</v>
      </c>
      <c r="D804" s="121">
        <f>'ALL Other SINs - Proposal'!D804</f>
        <v>0</v>
      </c>
      <c r="E804" s="121">
        <f>'ALL Other SINs - Proposal'!E804</f>
        <v>0</v>
      </c>
      <c r="F804" s="171">
        <f>'ALL Other SINs - Proposal'!F804</f>
        <v>0</v>
      </c>
      <c r="G804" s="51">
        <f>'ALL Other SINs - Proposal'!G804</f>
        <v>0</v>
      </c>
      <c r="H804" s="125">
        <f>'ALL Other SINs - Proposal'!H804</f>
        <v>0</v>
      </c>
      <c r="I804" s="125">
        <f>'ALL Other SINs - Proposal'!I804</f>
        <v>0</v>
      </c>
      <c r="J804" s="125">
        <f>'ALL Other SINs - Proposal'!J804</f>
        <v>0</v>
      </c>
      <c r="K804" s="125">
        <f>'ALL Other SINs - Proposal'!K804</f>
        <v>0</v>
      </c>
      <c r="L804" s="125">
        <f>'ALL Other SINs - Proposal'!L804</f>
        <v>0</v>
      </c>
      <c r="M804" s="206">
        <f>'ALL Other SINs - Proposal'!M804</f>
        <v>0</v>
      </c>
      <c r="N804" s="251">
        <f>'ALL Other SINs - Proposal'!V804</f>
        <v>0</v>
      </c>
      <c r="O804" s="201" t="str">
        <f>'Price Analysis'!N804</f>
        <v xml:space="preserve"> </v>
      </c>
      <c r="P804" s="53" t="str">
        <f>IF(ISBLANK('ALL Other SINs - Proposal'!AA804)," ",'ALL Other SINs - Proposal'!AA804)</f>
        <v xml:space="preserve"> </v>
      </c>
      <c r="Q804" s="95" t="str">
        <f>'ALL Other SINs - Proposal'!AC804</f>
        <v xml:space="preserve"> </v>
      </c>
      <c r="R804" s="100" t="str">
        <f>IF(ISBLANK('ALL Other SINs - Proposal'!AA804)," ",ROUND(Q804,2))</f>
        <v xml:space="preserve"> </v>
      </c>
      <c r="S804" s="54"/>
    </row>
    <row r="805" spans="1:19" ht="20.100000000000001" customHeight="1" x14ac:dyDescent="0.2">
      <c r="A805" s="127">
        <f>'ALL Other SINs - Proposal'!A805</f>
        <v>0</v>
      </c>
      <c r="B805" s="121">
        <f>'ALL Other SINs - Proposal'!B805</f>
        <v>0</v>
      </c>
      <c r="C805" s="121">
        <f>'ALL Other SINs - Proposal'!C805</f>
        <v>0</v>
      </c>
      <c r="D805" s="121">
        <f>'ALL Other SINs - Proposal'!D805</f>
        <v>0</v>
      </c>
      <c r="E805" s="121">
        <f>'ALL Other SINs - Proposal'!E805</f>
        <v>0</v>
      </c>
      <c r="F805" s="171">
        <f>'ALL Other SINs - Proposal'!F805</f>
        <v>0</v>
      </c>
      <c r="G805" s="51">
        <f>'ALL Other SINs - Proposal'!G805</f>
        <v>0</v>
      </c>
      <c r="H805" s="125">
        <f>'ALL Other SINs - Proposal'!H805</f>
        <v>0</v>
      </c>
      <c r="I805" s="125">
        <f>'ALL Other SINs - Proposal'!I805</f>
        <v>0</v>
      </c>
      <c r="J805" s="125">
        <f>'ALL Other SINs - Proposal'!J805</f>
        <v>0</v>
      </c>
      <c r="K805" s="125">
        <f>'ALL Other SINs - Proposal'!K805</f>
        <v>0</v>
      </c>
      <c r="L805" s="125">
        <f>'ALL Other SINs - Proposal'!L805</f>
        <v>0</v>
      </c>
      <c r="M805" s="206">
        <f>'ALL Other SINs - Proposal'!M805</f>
        <v>0</v>
      </c>
      <c r="N805" s="251">
        <f>'ALL Other SINs - Proposal'!V805</f>
        <v>0</v>
      </c>
      <c r="O805" s="201" t="str">
        <f>'Price Analysis'!N805</f>
        <v xml:space="preserve"> </v>
      </c>
      <c r="P805" s="53" t="str">
        <f>IF(ISBLANK('ALL Other SINs - Proposal'!AA805)," ",'ALL Other SINs - Proposal'!AA805)</f>
        <v xml:space="preserve"> </v>
      </c>
      <c r="Q805" s="95" t="str">
        <f>'ALL Other SINs - Proposal'!AC805</f>
        <v xml:space="preserve"> </v>
      </c>
      <c r="R805" s="100" t="str">
        <f>IF(ISBLANK('ALL Other SINs - Proposal'!AA805)," ",ROUND(Q805,2))</f>
        <v xml:space="preserve"> </v>
      </c>
      <c r="S805" s="54"/>
    </row>
    <row r="806" spans="1:19" ht="20.100000000000001" customHeight="1" x14ac:dyDescent="0.2">
      <c r="A806" s="127">
        <f>'ALL Other SINs - Proposal'!A806</f>
        <v>0</v>
      </c>
      <c r="B806" s="121">
        <f>'ALL Other SINs - Proposal'!B806</f>
        <v>0</v>
      </c>
      <c r="C806" s="121">
        <f>'ALL Other SINs - Proposal'!C806</f>
        <v>0</v>
      </c>
      <c r="D806" s="121">
        <f>'ALL Other SINs - Proposal'!D806</f>
        <v>0</v>
      </c>
      <c r="E806" s="121">
        <f>'ALL Other SINs - Proposal'!E806</f>
        <v>0</v>
      </c>
      <c r="F806" s="171">
        <f>'ALL Other SINs - Proposal'!F806</f>
        <v>0</v>
      </c>
      <c r="G806" s="51">
        <f>'ALL Other SINs - Proposal'!G806</f>
        <v>0</v>
      </c>
      <c r="H806" s="125">
        <f>'ALL Other SINs - Proposal'!H806</f>
        <v>0</v>
      </c>
      <c r="I806" s="125">
        <f>'ALL Other SINs - Proposal'!I806</f>
        <v>0</v>
      </c>
      <c r="J806" s="125">
        <f>'ALL Other SINs - Proposal'!J806</f>
        <v>0</v>
      </c>
      <c r="K806" s="125">
        <f>'ALL Other SINs - Proposal'!K806</f>
        <v>0</v>
      </c>
      <c r="L806" s="125">
        <f>'ALL Other SINs - Proposal'!L806</f>
        <v>0</v>
      </c>
      <c r="M806" s="206">
        <f>'ALL Other SINs - Proposal'!M806</f>
        <v>0</v>
      </c>
      <c r="N806" s="251">
        <f>'ALL Other SINs - Proposal'!V806</f>
        <v>0</v>
      </c>
      <c r="O806" s="201" t="str">
        <f>'Price Analysis'!N806</f>
        <v xml:space="preserve"> </v>
      </c>
      <c r="P806" s="53" t="str">
        <f>IF(ISBLANK('ALL Other SINs - Proposal'!AA806)," ",'ALL Other SINs - Proposal'!AA806)</f>
        <v xml:space="preserve"> </v>
      </c>
      <c r="Q806" s="95" t="str">
        <f>'ALL Other SINs - Proposal'!AC806</f>
        <v xml:space="preserve"> </v>
      </c>
      <c r="R806" s="100" t="str">
        <f>IF(ISBLANK('ALL Other SINs - Proposal'!AA806)," ",ROUND(Q806,2))</f>
        <v xml:space="preserve"> </v>
      </c>
      <c r="S806" s="54"/>
    </row>
    <row r="807" spans="1:19" ht="20.100000000000001" customHeight="1" x14ac:dyDescent="0.2">
      <c r="A807" s="127">
        <f>'ALL Other SINs - Proposal'!A807</f>
        <v>0</v>
      </c>
      <c r="B807" s="121">
        <f>'ALL Other SINs - Proposal'!B807</f>
        <v>0</v>
      </c>
      <c r="C807" s="121">
        <f>'ALL Other SINs - Proposal'!C807</f>
        <v>0</v>
      </c>
      <c r="D807" s="121">
        <f>'ALL Other SINs - Proposal'!D807</f>
        <v>0</v>
      </c>
      <c r="E807" s="121">
        <f>'ALL Other SINs - Proposal'!E807</f>
        <v>0</v>
      </c>
      <c r="F807" s="171">
        <f>'ALL Other SINs - Proposal'!F807</f>
        <v>0</v>
      </c>
      <c r="G807" s="51">
        <f>'ALL Other SINs - Proposal'!G807</f>
        <v>0</v>
      </c>
      <c r="H807" s="125">
        <f>'ALL Other SINs - Proposal'!H807</f>
        <v>0</v>
      </c>
      <c r="I807" s="125">
        <f>'ALL Other SINs - Proposal'!I807</f>
        <v>0</v>
      </c>
      <c r="J807" s="125">
        <f>'ALL Other SINs - Proposal'!J807</f>
        <v>0</v>
      </c>
      <c r="K807" s="125">
        <f>'ALL Other SINs - Proposal'!K807</f>
        <v>0</v>
      </c>
      <c r="L807" s="125">
        <f>'ALL Other SINs - Proposal'!L807</f>
        <v>0</v>
      </c>
      <c r="M807" s="206">
        <f>'ALL Other SINs - Proposal'!M807</f>
        <v>0</v>
      </c>
      <c r="N807" s="251">
        <f>'ALL Other SINs - Proposal'!V807</f>
        <v>0</v>
      </c>
      <c r="O807" s="201" t="str">
        <f>'Price Analysis'!N807</f>
        <v xml:space="preserve"> </v>
      </c>
      <c r="P807" s="53" t="str">
        <f>IF(ISBLANK('ALL Other SINs - Proposal'!AA807)," ",'ALL Other SINs - Proposal'!AA807)</f>
        <v xml:space="preserve"> </v>
      </c>
      <c r="Q807" s="95" t="str">
        <f>'ALL Other SINs - Proposal'!AC807</f>
        <v xml:space="preserve"> </v>
      </c>
      <c r="R807" s="100" t="str">
        <f>IF(ISBLANK('ALL Other SINs - Proposal'!AA807)," ",ROUND(Q807,2))</f>
        <v xml:space="preserve"> </v>
      </c>
      <c r="S807" s="54"/>
    </row>
    <row r="808" spans="1:19" ht="20.100000000000001" customHeight="1" x14ac:dyDescent="0.2">
      <c r="A808" s="127">
        <f>'ALL Other SINs - Proposal'!A808</f>
        <v>0</v>
      </c>
      <c r="B808" s="121">
        <f>'ALL Other SINs - Proposal'!B808</f>
        <v>0</v>
      </c>
      <c r="C808" s="121">
        <f>'ALL Other SINs - Proposal'!C808</f>
        <v>0</v>
      </c>
      <c r="D808" s="121">
        <f>'ALL Other SINs - Proposal'!D808</f>
        <v>0</v>
      </c>
      <c r="E808" s="121">
        <f>'ALL Other SINs - Proposal'!E808</f>
        <v>0</v>
      </c>
      <c r="F808" s="171">
        <f>'ALL Other SINs - Proposal'!F808</f>
        <v>0</v>
      </c>
      <c r="G808" s="51">
        <f>'ALL Other SINs - Proposal'!G808</f>
        <v>0</v>
      </c>
      <c r="H808" s="125">
        <f>'ALL Other SINs - Proposal'!H808</f>
        <v>0</v>
      </c>
      <c r="I808" s="125">
        <f>'ALL Other SINs - Proposal'!I808</f>
        <v>0</v>
      </c>
      <c r="J808" s="125">
        <f>'ALL Other SINs - Proposal'!J808</f>
        <v>0</v>
      </c>
      <c r="K808" s="125">
        <f>'ALL Other SINs - Proposal'!K808</f>
        <v>0</v>
      </c>
      <c r="L808" s="125">
        <f>'ALL Other SINs - Proposal'!L808</f>
        <v>0</v>
      </c>
      <c r="M808" s="206">
        <f>'ALL Other SINs - Proposal'!M808</f>
        <v>0</v>
      </c>
      <c r="N808" s="251">
        <f>'ALL Other SINs - Proposal'!V808</f>
        <v>0</v>
      </c>
      <c r="O808" s="201" t="str">
        <f>'Price Analysis'!N808</f>
        <v xml:space="preserve"> </v>
      </c>
      <c r="P808" s="53" t="str">
        <f>IF(ISBLANK('ALL Other SINs - Proposal'!AA808)," ",'ALL Other SINs - Proposal'!AA808)</f>
        <v xml:space="preserve"> </v>
      </c>
      <c r="Q808" s="95" t="str">
        <f>'ALL Other SINs - Proposal'!AC808</f>
        <v xml:space="preserve"> </v>
      </c>
      <c r="R808" s="100" t="str">
        <f>IF(ISBLANK('ALL Other SINs - Proposal'!AA808)," ",ROUND(Q808,2))</f>
        <v xml:space="preserve"> </v>
      </c>
      <c r="S808" s="54"/>
    </row>
    <row r="809" spans="1:19" ht="20.100000000000001" customHeight="1" x14ac:dyDescent="0.2">
      <c r="A809" s="127">
        <f>'ALL Other SINs - Proposal'!A809</f>
        <v>0</v>
      </c>
      <c r="B809" s="121">
        <f>'ALL Other SINs - Proposal'!B809</f>
        <v>0</v>
      </c>
      <c r="C809" s="121">
        <f>'ALL Other SINs - Proposal'!C809</f>
        <v>0</v>
      </c>
      <c r="D809" s="121">
        <f>'ALL Other SINs - Proposal'!D809</f>
        <v>0</v>
      </c>
      <c r="E809" s="121">
        <f>'ALL Other SINs - Proposal'!E809</f>
        <v>0</v>
      </c>
      <c r="F809" s="171">
        <f>'ALL Other SINs - Proposal'!F809</f>
        <v>0</v>
      </c>
      <c r="G809" s="51">
        <f>'ALL Other SINs - Proposal'!G809</f>
        <v>0</v>
      </c>
      <c r="H809" s="125">
        <f>'ALL Other SINs - Proposal'!H809</f>
        <v>0</v>
      </c>
      <c r="I809" s="125">
        <f>'ALL Other SINs - Proposal'!I809</f>
        <v>0</v>
      </c>
      <c r="J809" s="125">
        <f>'ALL Other SINs - Proposal'!J809</f>
        <v>0</v>
      </c>
      <c r="K809" s="125">
        <f>'ALL Other SINs - Proposal'!K809</f>
        <v>0</v>
      </c>
      <c r="L809" s="125">
        <f>'ALL Other SINs - Proposal'!L809</f>
        <v>0</v>
      </c>
      <c r="M809" s="206">
        <f>'ALL Other SINs - Proposal'!M809</f>
        <v>0</v>
      </c>
      <c r="N809" s="251">
        <f>'ALL Other SINs - Proposal'!V809</f>
        <v>0</v>
      </c>
      <c r="O809" s="201" t="str">
        <f>'Price Analysis'!N809</f>
        <v xml:space="preserve"> </v>
      </c>
      <c r="P809" s="53" t="str">
        <f>IF(ISBLANK('ALL Other SINs - Proposal'!AA809)," ",'ALL Other SINs - Proposal'!AA809)</f>
        <v xml:space="preserve"> </v>
      </c>
      <c r="Q809" s="95" t="str">
        <f>'ALL Other SINs - Proposal'!AC809</f>
        <v xml:space="preserve"> </v>
      </c>
      <c r="R809" s="100" t="str">
        <f>IF(ISBLANK('ALL Other SINs - Proposal'!AA809)," ",ROUND(Q809,2))</f>
        <v xml:space="preserve"> </v>
      </c>
      <c r="S809" s="54"/>
    </row>
    <row r="810" spans="1:19" ht="20.100000000000001" customHeight="1" x14ac:dyDescent="0.2">
      <c r="A810" s="127">
        <f>'ALL Other SINs - Proposal'!A810</f>
        <v>0</v>
      </c>
      <c r="B810" s="121">
        <f>'ALL Other SINs - Proposal'!B810</f>
        <v>0</v>
      </c>
      <c r="C810" s="121">
        <f>'ALL Other SINs - Proposal'!C810</f>
        <v>0</v>
      </c>
      <c r="D810" s="121">
        <f>'ALL Other SINs - Proposal'!D810</f>
        <v>0</v>
      </c>
      <c r="E810" s="121">
        <f>'ALL Other SINs - Proposal'!E810</f>
        <v>0</v>
      </c>
      <c r="F810" s="171">
        <f>'ALL Other SINs - Proposal'!F810</f>
        <v>0</v>
      </c>
      <c r="G810" s="51">
        <f>'ALL Other SINs - Proposal'!G810</f>
        <v>0</v>
      </c>
      <c r="H810" s="125">
        <f>'ALL Other SINs - Proposal'!H810</f>
        <v>0</v>
      </c>
      <c r="I810" s="125">
        <f>'ALL Other SINs - Proposal'!I810</f>
        <v>0</v>
      </c>
      <c r="J810" s="125">
        <f>'ALL Other SINs - Proposal'!J810</f>
        <v>0</v>
      </c>
      <c r="K810" s="125">
        <f>'ALL Other SINs - Proposal'!K810</f>
        <v>0</v>
      </c>
      <c r="L810" s="125">
        <f>'ALL Other SINs - Proposal'!L810</f>
        <v>0</v>
      </c>
      <c r="M810" s="206">
        <f>'ALL Other SINs - Proposal'!M810</f>
        <v>0</v>
      </c>
      <c r="N810" s="251">
        <f>'ALL Other SINs - Proposal'!V810</f>
        <v>0</v>
      </c>
      <c r="O810" s="201" t="str">
        <f>'Price Analysis'!N810</f>
        <v xml:space="preserve"> </v>
      </c>
      <c r="P810" s="53" t="str">
        <f>IF(ISBLANK('ALL Other SINs - Proposal'!AA810)," ",'ALL Other SINs - Proposal'!AA810)</f>
        <v xml:space="preserve"> </v>
      </c>
      <c r="Q810" s="95" t="str">
        <f>'ALL Other SINs - Proposal'!AC810</f>
        <v xml:space="preserve"> </v>
      </c>
      <c r="R810" s="100" t="str">
        <f>IF(ISBLANK('ALL Other SINs - Proposal'!AA810)," ",ROUND(Q810,2))</f>
        <v xml:space="preserve"> </v>
      </c>
      <c r="S810" s="54"/>
    </row>
    <row r="811" spans="1:19" ht="20.100000000000001" customHeight="1" x14ac:dyDescent="0.2">
      <c r="A811" s="127">
        <f>'ALL Other SINs - Proposal'!A811</f>
        <v>0</v>
      </c>
      <c r="B811" s="121">
        <f>'ALL Other SINs - Proposal'!B811</f>
        <v>0</v>
      </c>
      <c r="C811" s="121">
        <f>'ALL Other SINs - Proposal'!C811</f>
        <v>0</v>
      </c>
      <c r="D811" s="121">
        <f>'ALL Other SINs - Proposal'!D811</f>
        <v>0</v>
      </c>
      <c r="E811" s="121">
        <f>'ALL Other SINs - Proposal'!E811</f>
        <v>0</v>
      </c>
      <c r="F811" s="171">
        <f>'ALL Other SINs - Proposal'!F811</f>
        <v>0</v>
      </c>
      <c r="G811" s="51">
        <f>'ALL Other SINs - Proposal'!G811</f>
        <v>0</v>
      </c>
      <c r="H811" s="125">
        <f>'ALL Other SINs - Proposal'!H811</f>
        <v>0</v>
      </c>
      <c r="I811" s="125">
        <f>'ALL Other SINs - Proposal'!I811</f>
        <v>0</v>
      </c>
      <c r="J811" s="125">
        <f>'ALL Other SINs - Proposal'!J811</f>
        <v>0</v>
      </c>
      <c r="K811" s="125">
        <f>'ALL Other SINs - Proposal'!K811</f>
        <v>0</v>
      </c>
      <c r="L811" s="125">
        <f>'ALL Other SINs - Proposal'!L811</f>
        <v>0</v>
      </c>
      <c r="M811" s="206">
        <f>'ALL Other SINs - Proposal'!M811</f>
        <v>0</v>
      </c>
      <c r="N811" s="251">
        <f>'ALL Other SINs - Proposal'!V811</f>
        <v>0</v>
      </c>
      <c r="O811" s="201" t="str">
        <f>'Price Analysis'!N811</f>
        <v xml:space="preserve"> </v>
      </c>
      <c r="P811" s="53" t="str">
        <f>IF(ISBLANK('ALL Other SINs - Proposal'!AA811)," ",'ALL Other SINs - Proposal'!AA811)</f>
        <v xml:space="preserve"> </v>
      </c>
      <c r="Q811" s="95" t="str">
        <f>'ALL Other SINs - Proposal'!AC811</f>
        <v xml:space="preserve"> </v>
      </c>
      <c r="R811" s="100" t="str">
        <f>IF(ISBLANK('ALL Other SINs - Proposal'!AA811)," ",ROUND(Q811,2))</f>
        <v xml:space="preserve"> </v>
      </c>
      <c r="S811" s="54"/>
    </row>
    <row r="812" spans="1:19" ht="20.100000000000001" customHeight="1" x14ac:dyDescent="0.2">
      <c r="A812" s="127">
        <f>'ALL Other SINs - Proposal'!A812</f>
        <v>0</v>
      </c>
      <c r="B812" s="121">
        <f>'ALL Other SINs - Proposal'!B812</f>
        <v>0</v>
      </c>
      <c r="C812" s="121">
        <f>'ALL Other SINs - Proposal'!C812</f>
        <v>0</v>
      </c>
      <c r="D812" s="121">
        <f>'ALL Other SINs - Proposal'!D812</f>
        <v>0</v>
      </c>
      <c r="E812" s="121">
        <f>'ALL Other SINs - Proposal'!E812</f>
        <v>0</v>
      </c>
      <c r="F812" s="171">
        <f>'ALL Other SINs - Proposal'!F812</f>
        <v>0</v>
      </c>
      <c r="G812" s="51">
        <f>'ALL Other SINs - Proposal'!G812</f>
        <v>0</v>
      </c>
      <c r="H812" s="125">
        <f>'ALL Other SINs - Proposal'!H812</f>
        <v>0</v>
      </c>
      <c r="I812" s="125">
        <f>'ALL Other SINs - Proposal'!I812</f>
        <v>0</v>
      </c>
      <c r="J812" s="125">
        <f>'ALL Other SINs - Proposal'!J812</f>
        <v>0</v>
      </c>
      <c r="K812" s="125">
        <f>'ALL Other SINs - Proposal'!K812</f>
        <v>0</v>
      </c>
      <c r="L812" s="125">
        <f>'ALL Other SINs - Proposal'!L812</f>
        <v>0</v>
      </c>
      <c r="M812" s="206">
        <f>'ALL Other SINs - Proposal'!M812</f>
        <v>0</v>
      </c>
      <c r="N812" s="251">
        <f>'ALL Other SINs - Proposal'!V812</f>
        <v>0</v>
      </c>
      <c r="O812" s="201" t="str">
        <f>'Price Analysis'!N812</f>
        <v xml:space="preserve"> </v>
      </c>
      <c r="P812" s="53" t="str">
        <f>IF(ISBLANK('ALL Other SINs - Proposal'!AA812)," ",'ALL Other SINs - Proposal'!AA812)</f>
        <v xml:space="preserve"> </v>
      </c>
      <c r="Q812" s="95" t="str">
        <f>'ALL Other SINs - Proposal'!AC812</f>
        <v xml:space="preserve"> </v>
      </c>
      <c r="R812" s="100" t="str">
        <f>IF(ISBLANK('ALL Other SINs - Proposal'!AA812)," ",ROUND(Q812,2))</f>
        <v xml:space="preserve"> </v>
      </c>
      <c r="S812" s="54"/>
    </row>
    <row r="813" spans="1:19" ht="20.100000000000001" customHeight="1" x14ac:dyDescent="0.2">
      <c r="A813" s="127">
        <f>'ALL Other SINs - Proposal'!A813</f>
        <v>0</v>
      </c>
      <c r="B813" s="121">
        <f>'ALL Other SINs - Proposal'!B813</f>
        <v>0</v>
      </c>
      <c r="C813" s="121">
        <f>'ALL Other SINs - Proposal'!C813</f>
        <v>0</v>
      </c>
      <c r="D813" s="121">
        <f>'ALL Other SINs - Proposal'!D813</f>
        <v>0</v>
      </c>
      <c r="E813" s="121">
        <f>'ALL Other SINs - Proposal'!E813</f>
        <v>0</v>
      </c>
      <c r="F813" s="171">
        <f>'ALL Other SINs - Proposal'!F813</f>
        <v>0</v>
      </c>
      <c r="G813" s="51">
        <f>'ALL Other SINs - Proposal'!G813</f>
        <v>0</v>
      </c>
      <c r="H813" s="125">
        <f>'ALL Other SINs - Proposal'!H813</f>
        <v>0</v>
      </c>
      <c r="I813" s="125">
        <f>'ALL Other SINs - Proposal'!I813</f>
        <v>0</v>
      </c>
      <c r="J813" s="125">
        <f>'ALL Other SINs - Proposal'!J813</f>
        <v>0</v>
      </c>
      <c r="K813" s="125">
        <f>'ALL Other SINs - Proposal'!K813</f>
        <v>0</v>
      </c>
      <c r="L813" s="125">
        <f>'ALL Other SINs - Proposal'!L813</f>
        <v>0</v>
      </c>
      <c r="M813" s="206">
        <f>'ALL Other SINs - Proposal'!M813</f>
        <v>0</v>
      </c>
      <c r="N813" s="251">
        <f>'ALL Other SINs - Proposal'!V813</f>
        <v>0</v>
      </c>
      <c r="O813" s="201" t="str">
        <f>'Price Analysis'!N813</f>
        <v xml:space="preserve"> </v>
      </c>
      <c r="P813" s="53" t="str">
        <f>IF(ISBLANK('ALL Other SINs - Proposal'!AA813)," ",'ALL Other SINs - Proposal'!AA813)</f>
        <v xml:space="preserve"> </v>
      </c>
      <c r="Q813" s="95" t="str">
        <f>'ALL Other SINs - Proposal'!AC813</f>
        <v xml:space="preserve"> </v>
      </c>
      <c r="R813" s="100" t="str">
        <f>IF(ISBLANK('ALL Other SINs - Proposal'!AA813)," ",ROUND(Q813,2))</f>
        <v xml:space="preserve"> </v>
      </c>
      <c r="S813" s="54"/>
    </row>
    <row r="814" spans="1:19" ht="20.100000000000001" customHeight="1" x14ac:dyDescent="0.2">
      <c r="A814" s="127">
        <f>'ALL Other SINs - Proposal'!A814</f>
        <v>0</v>
      </c>
      <c r="B814" s="121">
        <f>'ALL Other SINs - Proposal'!B814</f>
        <v>0</v>
      </c>
      <c r="C814" s="121">
        <f>'ALL Other SINs - Proposal'!C814</f>
        <v>0</v>
      </c>
      <c r="D814" s="121">
        <f>'ALL Other SINs - Proposal'!D814</f>
        <v>0</v>
      </c>
      <c r="E814" s="121">
        <f>'ALL Other SINs - Proposal'!E814</f>
        <v>0</v>
      </c>
      <c r="F814" s="171">
        <f>'ALL Other SINs - Proposal'!F814</f>
        <v>0</v>
      </c>
      <c r="G814" s="51">
        <f>'ALL Other SINs - Proposal'!G814</f>
        <v>0</v>
      </c>
      <c r="H814" s="125">
        <f>'ALL Other SINs - Proposal'!H814</f>
        <v>0</v>
      </c>
      <c r="I814" s="125">
        <f>'ALL Other SINs - Proposal'!I814</f>
        <v>0</v>
      </c>
      <c r="J814" s="125">
        <f>'ALL Other SINs - Proposal'!J814</f>
        <v>0</v>
      </c>
      <c r="K814" s="125">
        <f>'ALL Other SINs - Proposal'!K814</f>
        <v>0</v>
      </c>
      <c r="L814" s="125">
        <f>'ALL Other SINs - Proposal'!L814</f>
        <v>0</v>
      </c>
      <c r="M814" s="206">
        <f>'ALL Other SINs - Proposal'!M814</f>
        <v>0</v>
      </c>
      <c r="N814" s="251">
        <f>'ALL Other SINs - Proposal'!V814</f>
        <v>0</v>
      </c>
      <c r="O814" s="201" t="str">
        <f>'Price Analysis'!N814</f>
        <v xml:space="preserve"> </v>
      </c>
      <c r="P814" s="53" t="str">
        <f>IF(ISBLANK('ALL Other SINs - Proposal'!AA814)," ",'ALL Other SINs - Proposal'!AA814)</f>
        <v xml:space="preserve"> </v>
      </c>
      <c r="Q814" s="95" t="str">
        <f>'ALL Other SINs - Proposal'!AC814</f>
        <v xml:space="preserve"> </v>
      </c>
      <c r="R814" s="100" t="str">
        <f>IF(ISBLANK('ALL Other SINs - Proposal'!AA814)," ",ROUND(Q814,2))</f>
        <v xml:space="preserve"> </v>
      </c>
      <c r="S814" s="54"/>
    </row>
    <row r="815" spans="1:19" ht="20.100000000000001" customHeight="1" x14ac:dyDescent="0.2">
      <c r="A815" s="127">
        <f>'ALL Other SINs - Proposal'!A815</f>
        <v>0</v>
      </c>
      <c r="B815" s="121">
        <f>'ALL Other SINs - Proposal'!B815</f>
        <v>0</v>
      </c>
      <c r="C815" s="121">
        <f>'ALL Other SINs - Proposal'!C815</f>
        <v>0</v>
      </c>
      <c r="D815" s="121">
        <f>'ALL Other SINs - Proposal'!D815</f>
        <v>0</v>
      </c>
      <c r="E815" s="121">
        <f>'ALL Other SINs - Proposal'!E815</f>
        <v>0</v>
      </c>
      <c r="F815" s="171">
        <f>'ALL Other SINs - Proposal'!F815</f>
        <v>0</v>
      </c>
      <c r="G815" s="51">
        <f>'ALL Other SINs - Proposal'!G815</f>
        <v>0</v>
      </c>
      <c r="H815" s="125">
        <f>'ALL Other SINs - Proposal'!H815</f>
        <v>0</v>
      </c>
      <c r="I815" s="125">
        <f>'ALL Other SINs - Proposal'!I815</f>
        <v>0</v>
      </c>
      <c r="J815" s="125">
        <f>'ALL Other SINs - Proposal'!J815</f>
        <v>0</v>
      </c>
      <c r="K815" s="125">
        <f>'ALL Other SINs - Proposal'!K815</f>
        <v>0</v>
      </c>
      <c r="L815" s="125">
        <f>'ALL Other SINs - Proposal'!L815</f>
        <v>0</v>
      </c>
      <c r="M815" s="206">
        <f>'ALL Other SINs - Proposal'!M815</f>
        <v>0</v>
      </c>
      <c r="N815" s="251">
        <f>'ALL Other SINs - Proposal'!V815</f>
        <v>0</v>
      </c>
      <c r="O815" s="201" t="str">
        <f>'Price Analysis'!N815</f>
        <v xml:space="preserve"> </v>
      </c>
      <c r="P815" s="53" t="str">
        <f>IF(ISBLANK('ALL Other SINs - Proposal'!AA815)," ",'ALL Other SINs - Proposal'!AA815)</f>
        <v xml:space="preserve"> </v>
      </c>
      <c r="Q815" s="95" t="str">
        <f>'ALL Other SINs - Proposal'!AC815</f>
        <v xml:space="preserve"> </v>
      </c>
      <c r="R815" s="100" t="str">
        <f>IF(ISBLANK('ALL Other SINs - Proposal'!AA815)," ",ROUND(Q815,2))</f>
        <v xml:space="preserve"> </v>
      </c>
      <c r="S815" s="54"/>
    </row>
    <row r="816" spans="1:19" ht="20.100000000000001" customHeight="1" x14ac:dyDescent="0.2">
      <c r="A816" s="127">
        <f>'ALL Other SINs - Proposal'!A816</f>
        <v>0</v>
      </c>
      <c r="B816" s="121">
        <f>'ALL Other SINs - Proposal'!B816</f>
        <v>0</v>
      </c>
      <c r="C816" s="121">
        <f>'ALL Other SINs - Proposal'!C816</f>
        <v>0</v>
      </c>
      <c r="D816" s="121">
        <f>'ALL Other SINs - Proposal'!D816</f>
        <v>0</v>
      </c>
      <c r="E816" s="121">
        <f>'ALL Other SINs - Proposal'!E816</f>
        <v>0</v>
      </c>
      <c r="F816" s="171">
        <f>'ALL Other SINs - Proposal'!F816</f>
        <v>0</v>
      </c>
      <c r="G816" s="51">
        <f>'ALL Other SINs - Proposal'!G816</f>
        <v>0</v>
      </c>
      <c r="H816" s="125">
        <f>'ALL Other SINs - Proposal'!H816</f>
        <v>0</v>
      </c>
      <c r="I816" s="125">
        <f>'ALL Other SINs - Proposal'!I816</f>
        <v>0</v>
      </c>
      <c r="J816" s="125">
        <f>'ALL Other SINs - Proposal'!J816</f>
        <v>0</v>
      </c>
      <c r="K816" s="125">
        <f>'ALL Other SINs - Proposal'!K816</f>
        <v>0</v>
      </c>
      <c r="L816" s="125">
        <f>'ALL Other SINs - Proposal'!L816</f>
        <v>0</v>
      </c>
      <c r="M816" s="206">
        <f>'ALL Other SINs - Proposal'!M816</f>
        <v>0</v>
      </c>
      <c r="N816" s="251">
        <f>'ALL Other SINs - Proposal'!V816</f>
        <v>0</v>
      </c>
      <c r="O816" s="201" t="str">
        <f>'Price Analysis'!N816</f>
        <v xml:space="preserve"> </v>
      </c>
      <c r="P816" s="53" t="str">
        <f>IF(ISBLANK('ALL Other SINs - Proposal'!AA816)," ",'ALL Other SINs - Proposal'!AA816)</f>
        <v xml:space="preserve"> </v>
      </c>
      <c r="Q816" s="95" t="str">
        <f>'ALL Other SINs - Proposal'!AC816</f>
        <v xml:space="preserve"> </v>
      </c>
      <c r="R816" s="100" t="str">
        <f>IF(ISBLANK('ALL Other SINs - Proposal'!AA816)," ",ROUND(Q816,2))</f>
        <v xml:space="preserve"> </v>
      </c>
      <c r="S816" s="54"/>
    </row>
    <row r="817" spans="1:19" ht="20.100000000000001" customHeight="1" x14ac:dyDescent="0.2">
      <c r="A817" s="127">
        <f>'ALL Other SINs - Proposal'!A817</f>
        <v>0</v>
      </c>
      <c r="B817" s="121">
        <f>'ALL Other SINs - Proposal'!B817</f>
        <v>0</v>
      </c>
      <c r="C817" s="121">
        <f>'ALL Other SINs - Proposal'!C817</f>
        <v>0</v>
      </c>
      <c r="D817" s="121">
        <f>'ALL Other SINs - Proposal'!D817</f>
        <v>0</v>
      </c>
      <c r="E817" s="121">
        <f>'ALL Other SINs - Proposal'!E817</f>
        <v>0</v>
      </c>
      <c r="F817" s="171">
        <f>'ALL Other SINs - Proposal'!F817</f>
        <v>0</v>
      </c>
      <c r="G817" s="51">
        <f>'ALL Other SINs - Proposal'!G817</f>
        <v>0</v>
      </c>
      <c r="H817" s="125">
        <f>'ALL Other SINs - Proposal'!H817</f>
        <v>0</v>
      </c>
      <c r="I817" s="125">
        <f>'ALL Other SINs - Proposal'!I817</f>
        <v>0</v>
      </c>
      <c r="J817" s="125">
        <f>'ALL Other SINs - Proposal'!J817</f>
        <v>0</v>
      </c>
      <c r="K817" s="125">
        <f>'ALL Other SINs - Proposal'!K817</f>
        <v>0</v>
      </c>
      <c r="L817" s="125">
        <f>'ALL Other SINs - Proposal'!L817</f>
        <v>0</v>
      </c>
      <c r="M817" s="206">
        <f>'ALL Other SINs - Proposal'!M817</f>
        <v>0</v>
      </c>
      <c r="N817" s="251">
        <f>'ALL Other SINs - Proposal'!V817</f>
        <v>0</v>
      </c>
      <c r="O817" s="201" t="str">
        <f>'Price Analysis'!N817</f>
        <v xml:space="preserve"> </v>
      </c>
      <c r="P817" s="53" t="str">
        <f>IF(ISBLANK('ALL Other SINs - Proposal'!AA817)," ",'ALL Other SINs - Proposal'!AA817)</f>
        <v xml:space="preserve"> </v>
      </c>
      <c r="Q817" s="95" t="str">
        <f>'ALL Other SINs - Proposal'!AC817</f>
        <v xml:space="preserve"> </v>
      </c>
      <c r="R817" s="100" t="str">
        <f>IF(ISBLANK('ALL Other SINs - Proposal'!AA817)," ",ROUND(Q817,2))</f>
        <v xml:space="preserve"> </v>
      </c>
      <c r="S817" s="54"/>
    </row>
    <row r="818" spans="1:19" ht="20.100000000000001" customHeight="1" x14ac:dyDescent="0.2">
      <c r="A818" s="127">
        <f>'ALL Other SINs - Proposal'!A818</f>
        <v>0</v>
      </c>
      <c r="B818" s="121">
        <f>'ALL Other SINs - Proposal'!B818</f>
        <v>0</v>
      </c>
      <c r="C818" s="121">
        <f>'ALL Other SINs - Proposal'!C818</f>
        <v>0</v>
      </c>
      <c r="D818" s="121">
        <f>'ALL Other SINs - Proposal'!D818</f>
        <v>0</v>
      </c>
      <c r="E818" s="121">
        <f>'ALL Other SINs - Proposal'!E818</f>
        <v>0</v>
      </c>
      <c r="F818" s="171">
        <f>'ALL Other SINs - Proposal'!F818</f>
        <v>0</v>
      </c>
      <c r="G818" s="51">
        <f>'ALL Other SINs - Proposal'!G818</f>
        <v>0</v>
      </c>
      <c r="H818" s="125">
        <f>'ALL Other SINs - Proposal'!H818</f>
        <v>0</v>
      </c>
      <c r="I818" s="125">
        <f>'ALL Other SINs - Proposal'!I818</f>
        <v>0</v>
      </c>
      <c r="J818" s="125">
        <f>'ALL Other SINs - Proposal'!J818</f>
        <v>0</v>
      </c>
      <c r="K818" s="125">
        <f>'ALL Other SINs - Proposal'!K818</f>
        <v>0</v>
      </c>
      <c r="L818" s="125">
        <f>'ALL Other SINs - Proposal'!L818</f>
        <v>0</v>
      </c>
      <c r="M818" s="206">
        <f>'ALL Other SINs - Proposal'!M818</f>
        <v>0</v>
      </c>
      <c r="N818" s="251">
        <f>'ALL Other SINs - Proposal'!V818</f>
        <v>0</v>
      </c>
      <c r="O818" s="201" t="str">
        <f>'Price Analysis'!N818</f>
        <v xml:space="preserve"> </v>
      </c>
      <c r="P818" s="53" t="str">
        <f>IF(ISBLANK('ALL Other SINs - Proposal'!AA818)," ",'ALL Other SINs - Proposal'!AA818)</f>
        <v xml:space="preserve"> </v>
      </c>
      <c r="Q818" s="95" t="str">
        <f>'ALL Other SINs - Proposal'!AC818</f>
        <v xml:space="preserve"> </v>
      </c>
      <c r="R818" s="100" t="str">
        <f>IF(ISBLANK('ALL Other SINs - Proposal'!AA818)," ",ROUND(Q818,2))</f>
        <v xml:space="preserve"> </v>
      </c>
      <c r="S818" s="54"/>
    </row>
    <row r="819" spans="1:19" ht="20.100000000000001" customHeight="1" x14ac:dyDescent="0.2">
      <c r="A819" s="127">
        <f>'ALL Other SINs - Proposal'!A819</f>
        <v>0</v>
      </c>
      <c r="B819" s="121">
        <f>'ALL Other SINs - Proposal'!B819</f>
        <v>0</v>
      </c>
      <c r="C819" s="121">
        <f>'ALL Other SINs - Proposal'!C819</f>
        <v>0</v>
      </c>
      <c r="D819" s="121">
        <f>'ALL Other SINs - Proposal'!D819</f>
        <v>0</v>
      </c>
      <c r="E819" s="121">
        <f>'ALL Other SINs - Proposal'!E819</f>
        <v>0</v>
      </c>
      <c r="F819" s="171">
        <f>'ALL Other SINs - Proposal'!F819</f>
        <v>0</v>
      </c>
      <c r="G819" s="51">
        <f>'ALL Other SINs - Proposal'!G819</f>
        <v>0</v>
      </c>
      <c r="H819" s="125">
        <f>'ALL Other SINs - Proposal'!H819</f>
        <v>0</v>
      </c>
      <c r="I819" s="125">
        <f>'ALL Other SINs - Proposal'!I819</f>
        <v>0</v>
      </c>
      <c r="J819" s="125">
        <f>'ALL Other SINs - Proposal'!J819</f>
        <v>0</v>
      </c>
      <c r="K819" s="125">
        <f>'ALL Other SINs - Proposal'!K819</f>
        <v>0</v>
      </c>
      <c r="L819" s="125">
        <f>'ALL Other SINs - Proposal'!L819</f>
        <v>0</v>
      </c>
      <c r="M819" s="206">
        <f>'ALL Other SINs - Proposal'!M819</f>
        <v>0</v>
      </c>
      <c r="N819" s="251">
        <f>'ALL Other SINs - Proposal'!V819</f>
        <v>0</v>
      </c>
      <c r="O819" s="201" t="str">
        <f>'Price Analysis'!N819</f>
        <v xml:space="preserve"> </v>
      </c>
      <c r="P819" s="53" t="str">
        <f>IF(ISBLANK('ALL Other SINs - Proposal'!AA819)," ",'ALL Other SINs - Proposal'!AA819)</f>
        <v xml:space="preserve"> </v>
      </c>
      <c r="Q819" s="95" t="str">
        <f>'ALL Other SINs - Proposal'!AC819</f>
        <v xml:space="preserve"> </v>
      </c>
      <c r="R819" s="100" t="str">
        <f>IF(ISBLANK('ALL Other SINs - Proposal'!AA819)," ",ROUND(Q819,2))</f>
        <v xml:space="preserve"> </v>
      </c>
      <c r="S819" s="54"/>
    </row>
    <row r="820" spans="1:19" ht="20.100000000000001" customHeight="1" x14ac:dyDescent="0.2">
      <c r="A820" s="127">
        <f>'ALL Other SINs - Proposal'!A820</f>
        <v>0</v>
      </c>
      <c r="B820" s="121">
        <f>'ALL Other SINs - Proposal'!B820</f>
        <v>0</v>
      </c>
      <c r="C820" s="121">
        <f>'ALL Other SINs - Proposal'!C820</f>
        <v>0</v>
      </c>
      <c r="D820" s="121">
        <f>'ALL Other SINs - Proposal'!D820</f>
        <v>0</v>
      </c>
      <c r="E820" s="121">
        <f>'ALL Other SINs - Proposal'!E820</f>
        <v>0</v>
      </c>
      <c r="F820" s="171">
        <f>'ALL Other SINs - Proposal'!F820</f>
        <v>0</v>
      </c>
      <c r="G820" s="51">
        <f>'ALL Other SINs - Proposal'!G820</f>
        <v>0</v>
      </c>
      <c r="H820" s="125">
        <f>'ALL Other SINs - Proposal'!H820</f>
        <v>0</v>
      </c>
      <c r="I820" s="125">
        <f>'ALL Other SINs - Proposal'!I820</f>
        <v>0</v>
      </c>
      <c r="J820" s="125">
        <f>'ALL Other SINs - Proposal'!J820</f>
        <v>0</v>
      </c>
      <c r="K820" s="125">
        <f>'ALL Other SINs - Proposal'!K820</f>
        <v>0</v>
      </c>
      <c r="L820" s="125">
        <f>'ALL Other SINs - Proposal'!L820</f>
        <v>0</v>
      </c>
      <c r="M820" s="206">
        <f>'ALL Other SINs - Proposal'!M820</f>
        <v>0</v>
      </c>
      <c r="N820" s="251">
        <f>'ALL Other SINs - Proposal'!V820</f>
        <v>0</v>
      </c>
      <c r="O820" s="201" t="str">
        <f>'Price Analysis'!N820</f>
        <v xml:space="preserve"> </v>
      </c>
      <c r="P820" s="53" t="str">
        <f>IF(ISBLANK('ALL Other SINs - Proposal'!AA820)," ",'ALL Other SINs - Proposal'!AA820)</f>
        <v xml:space="preserve"> </v>
      </c>
      <c r="Q820" s="95" t="str">
        <f>'ALL Other SINs - Proposal'!AC820</f>
        <v xml:space="preserve"> </v>
      </c>
      <c r="R820" s="100" t="str">
        <f>IF(ISBLANK('ALL Other SINs - Proposal'!AA820)," ",ROUND(Q820,2))</f>
        <v xml:space="preserve"> </v>
      </c>
      <c r="S820" s="54"/>
    </row>
    <row r="821" spans="1:19" ht="20.100000000000001" customHeight="1" x14ac:dyDescent="0.2">
      <c r="A821" s="127">
        <f>'ALL Other SINs - Proposal'!A821</f>
        <v>0</v>
      </c>
      <c r="B821" s="121">
        <f>'ALL Other SINs - Proposal'!B821</f>
        <v>0</v>
      </c>
      <c r="C821" s="121">
        <f>'ALL Other SINs - Proposal'!C821</f>
        <v>0</v>
      </c>
      <c r="D821" s="121">
        <f>'ALL Other SINs - Proposal'!D821</f>
        <v>0</v>
      </c>
      <c r="E821" s="121">
        <f>'ALL Other SINs - Proposal'!E821</f>
        <v>0</v>
      </c>
      <c r="F821" s="171">
        <f>'ALL Other SINs - Proposal'!F821</f>
        <v>0</v>
      </c>
      <c r="G821" s="51">
        <f>'ALL Other SINs - Proposal'!G821</f>
        <v>0</v>
      </c>
      <c r="H821" s="125">
        <f>'ALL Other SINs - Proposal'!H821</f>
        <v>0</v>
      </c>
      <c r="I821" s="125">
        <f>'ALL Other SINs - Proposal'!I821</f>
        <v>0</v>
      </c>
      <c r="J821" s="125">
        <f>'ALL Other SINs - Proposal'!J821</f>
        <v>0</v>
      </c>
      <c r="K821" s="125">
        <f>'ALL Other SINs - Proposal'!K821</f>
        <v>0</v>
      </c>
      <c r="L821" s="125">
        <f>'ALL Other SINs - Proposal'!L821</f>
        <v>0</v>
      </c>
      <c r="M821" s="206">
        <f>'ALL Other SINs - Proposal'!M821</f>
        <v>0</v>
      </c>
      <c r="N821" s="251">
        <f>'ALL Other SINs - Proposal'!V821</f>
        <v>0</v>
      </c>
      <c r="O821" s="201" t="str">
        <f>'Price Analysis'!N821</f>
        <v xml:space="preserve"> </v>
      </c>
      <c r="P821" s="53" t="str">
        <f>IF(ISBLANK('ALL Other SINs - Proposal'!AA821)," ",'ALL Other SINs - Proposal'!AA821)</f>
        <v xml:space="preserve"> </v>
      </c>
      <c r="Q821" s="95" t="str">
        <f>'ALL Other SINs - Proposal'!AC821</f>
        <v xml:space="preserve"> </v>
      </c>
      <c r="R821" s="100" t="str">
        <f>IF(ISBLANK('ALL Other SINs - Proposal'!AA821)," ",ROUND(Q821,2))</f>
        <v xml:space="preserve"> </v>
      </c>
      <c r="S821" s="54"/>
    </row>
    <row r="822" spans="1:19" ht="20.100000000000001" customHeight="1" x14ac:dyDescent="0.2">
      <c r="A822" s="127">
        <f>'ALL Other SINs - Proposal'!A822</f>
        <v>0</v>
      </c>
      <c r="B822" s="121">
        <f>'ALL Other SINs - Proposal'!B822</f>
        <v>0</v>
      </c>
      <c r="C822" s="121">
        <f>'ALL Other SINs - Proposal'!C822</f>
        <v>0</v>
      </c>
      <c r="D822" s="121">
        <f>'ALL Other SINs - Proposal'!D822</f>
        <v>0</v>
      </c>
      <c r="E822" s="121">
        <f>'ALL Other SINs - Proposal'!E822</f>
        <v>0</v>
      </c>
      <c r="F822" s="171">
        <f>'ALL Other SINs - Proposal'!F822</f>
        <v>0</v>
      </c>
      <c r="G822" s="51">
        <f>'ALL Other SINs - Proposal'!G822</f>
        <v>0</v>
      </c>
      <c r="H822" s="125">
        <f>'ALL Other SINs - Proposal'!H822</f>
        <v>0</v>
      </c>
      <c r="I822" s="125">
        <f>'ALL Other SINs - Proposal'!I822</f>
        <v>0</v>
      </c>
      <c r="J822" s="125">
        <f>'ALL Other SINs - Proposal'!J822</f>
        <v>0</v>
      </c>
      <c r="K822" s="125">
        <f>'ALL Other SINs - Proposal'!K822</f>
        <v>0</v>
      </c>
      <c r="L822" s="125">
        <f>'ALL Other SINs - Proposal'!L822</f>
        <v>0</v>
      </c>
      <c r="M822" s="206">
        <f>'ALL Other SINs - Proposal'!M822</f>
        <v>0</v>
      </c>
      <c r="N822" s="251">
        <f>'ALL Other SINs - Proposal'!V822</f>
        <v>0</v>
      </c>
      <c r="O822" s="201" t="str">
        <f>'Price Analysis'!N822</f>
        <v xml:space="preserve"> </v>
      </c>
      <c r="P822" s="53" t="str">
        <f>IF(ISBLANK('ALL Other SINs - Proposal'!AA822)," ",'ALL Other SINs - Proposal'!AA822)</f>
        <v xml:space="preserve"> </v>
      </c>
      <c r="Q822" s="95" t="str">
        <f>'ALL Other SINs - Proposal'!AC822</f>
        <v xml:space="preserve"> </v>
      </c>
      <c r="R822" s="100" t="str">
        <f>IF(ISBLANK('ALL Other SINs - Proposal'!AA822)," ",ROUND(Q822,2))</f>
        <v xml:space="preserve"> </v>
      </c>
      <c r="S822" s="54"/>
    </row>
    <row r="823" spans="1:19" ht="20.100000000000001" customHeight="1" x14ac:dyDescent="0.2">
      <c r="A823" s="127">
        <f>'ALL Other SINs - Proposal'!A823</f>
        <v>0</v>
      </c>
      <c r="B823" s="121">
        <f>'ALL Other SINs - Proposal'!B823</f>
        <v>0</v>
      </c>
      <c r="C823" s="121">
        <f>'ALL Other SINs - Proposal'!C823</f>
        <v>0</v>
      </c>
      <c r="D823" s="121">
        <f>'ALL Other SINs - Proposal'!D823</f>
        <v>0</v>
      </c>
      <c r="E823" s="121">
        <f>'ALL Other SINs - Proposal'!E823</f>
        <v>0</v>
      </c>
      <c r="F823" s="171">
        <f>'ALL Other SINs - Proposal'!F823</f>
        <v>0</v>
      </c>
      <c r="G823" s="51">
        <f>'ALL Other SINs - Proposal'!G823</f>
        <v>0</v>
      </c>
      <c r="H823" s="125">
        <f>'ALL Other SINs - Proposal'!H823</f>
        <v>0</v>
      </c>
      <c r="I823" s="125">
        <f>'ALL Other SINs - Proposal'!I823</f>
        <v>0</v>
      </c>
      <c r="J823" s="125">
        <f>'ALL Other SINs - Proposal'!J823</f>
        <v>0</v>
      </c>
      <c r="K823" s="125">
        <f>'ALL Other SINs - Proposal'!K823</f>
        <v>0</v>
      </c>
      <c r="L823" s="125">
        <f>'ALL Other SINs - Proposal'!L823</f>
        <v>0</v>
      </c>
      <c r="M823" s="206">
        <f>'ALL Other SINs - Proposal'!M823</f>
        <v>0</v>
      </c>
      <c r="N823" s="251">
        <f>'ALL Other SINs - Proposal'!V823</f>
        <v>0</v>
      </c>
      <c r="O823" s="201" t="str">
        <f>'Price Analysis'!N823</f>
        <v xml:space="preserve"> </v>
      </c>
      <c r="P823" s="53" t="str">
        <f>IF(ISBLANK('ALL Other SINs - Proposal'!AA823)," ",'ALL Other SINs - Proposal'!AA823)</f>
        <v xml:space="preserve"> </v>
      </c>
      <c r="Q823" s="95" t="str">
        <f>'ALL Other SINs - Proposal'!AC823</f>
        <v xml:space="preserve"> </v>
      </c>
      <c r="R823" s="100" t="str">
        <f>IF(ISBLANK('ALL Other SINs - Proposal'!AA823)," ",ROUND(Q823,2))</f>
        <v xml:space="preserve"> </v>
      </c>
      <c r="S823" s="54"/>
    </row>
    <row r="824" spans="1:19" ht="20.100000000000001" customHeight="1" x14ac:dyDescent="0.2">
      <c r="A824" s="127">
        <f>'ALL Other SINs - Proposal'!A824</f>
        <v>0</v>
      </c>
      <c r="B824" s="121">
        <f>'ALL Other SINs - Proposal'!B824</f>
        <v>0</v>
      </c>
      <c r="C824" s="121">
        <f>'ALL Other SINs - Proposal'!C824</f>
        <v>0</v>
      </c>
      <c r="D824" s="121">
        <f>'ALL Other SINs - Proposal'!D824</f>
        <v>0</v>
      </c>
      <c r="E824" s="121">
        <f>'ALL Other SINs - Proposal'!E824</f>
        <v>0</v>
      </c>
      <c r="F824" s="171">
        <f>'ALL Other SINs - Proposal'!F824</f>
        <v>0</v>
      </c>
      <c r="G824" s="51">
        <f>'ALL Other SINs - Proposal'!G824</f>
        <v>0</v>
      </c>
      <c r="H824" s="125">
        <f>'ALL Other SINs - Proposal'!H824</f>
        <v>0</v>
      </c>
      <c r="I824" s="125">
        <f>'ALL Other SINs - Proposal'!I824</f>
        <v>0</v>
      </c>
      <c r="J824" s="125">
        <f>'ALL Other SINs - Proposal'!J824</f>
        <v>0</v>
      </c>
      <c r="K824" s="125">
        <f>'ALL Other SINs - Proposal'!K824</f>
        <v>0</v>
      </c>
      <c r="L824" s="125">
        <f>'ALL Other SINs - Proposal'!L824</f>
        <v>0</v>
      </c>
      <c r="M824" s="206">
        <f>'ALL Other SINs - Proposal'!M824</f>
        <v>0</v>
      </c>
      <c r="N824" s="251">
        <f>'ALL Other SINs - Proposal'!V824</f>
        <v>0</v>
      </c>
      <c r="O824" s="201" t="str">
        <f>'Price Analysis'!N824</f>
        <v xml:space="preserve"> </v>
      </c>
      <c r="P824" s="53" t="str">
        <f>IF(ISBLANK('ALL Other SINs - Proposal'!AA824)," ",'ALL Other SINs - Proposal'!AA824)</f>
        <v xml:space="preserve"> </v>
      </c>
      <c r="Q824" s="95" t="str">
        <f>'ALL Other SINs - Proposal'!AC824</f>
        <v xml:space="preserve"> </v>
      </c>
      <c r="R824" s="100" t="str">
        <f>IF(ISBLANK('ALL Other SINs - Proposal'!AA824)," ",ROUND(Q824,2))</f>
        <v xml:space="preserve"> </v>
      </c>
      <c r="S824" s="54"/>
    </row>
    <row r="825" spans="1:19" ht="20.100000000000001" customHeight="1" x14ac:dyDescent="0.2">
      <c r="A825" s="127">
        <f>'ALL Other SINs - Proposal'!A825</f>
        <v>0</v>
      </c>
      <c r="B825" s="121">
        <f>'ALL Other SINs - Proposal'!B825</f>
        <v>0</v>
      </c>
      <c r="C825" s="121">
        <f>'ALL Other SINs - Proposal'!C825</f>
        <v>0</v>
      </c>
      <c r="D825" s="121">
        <f>'ALL Other SINs - Proposal'!D825</f>
        <v>0</v>
      </c>
      <c r="E825" s="121">
        <f>'ALL Other SINs - Proposal'!E825</f>
        <v>0</v>
      </c>
      <c r="F825" s="171">
        <f>'ALL Other SINs - Proposal'!F825</f>
        <v>0</v>
      </c>
      <c r="G825" s="51">
        <f>'ALL Other SINs - Proposal'!G825</f>
        <v>0</v>
      </c>
      <c r="H825" s="125">
        <f>'ALL Other SINs - Proposal'!H825</f>
        <v>0</v>
      </c>
      <c r="I825" s="125">
        <f>'ALL Other SINs - Proposal'!I825</f>
        <v>0</v>
      </c>
      <c r="J825" s="125">
        <f>'ALL Other SINs - Proposal'!J825</f>
        <v>0</v>
      </c>
      <c r="K825" s="125">
        <f>'ALL Other SINs - Proposal'!K825</f>
        <v>0</v>
      </c>
      <c r="L825" s="125">
        <f>'ALL Other SINs - Proposal'!L825</f>
        <v>0</v>
      </c>
      <c r="M825" s="206">
        <f>'ALL Other SINs - Proposal'!M825</f>
        <v>0</v>
      </c>
      <c r="N825" s="251">
        <f>'ALL Other SINs - Proposal'!V825</f>
        <v>0</v>
      </c>
      <c r="O825" s="201" t="str">
        <f>'Price Analysis'!N825</f>
        <v xml:space="preserve"> </v>
      </c>
      <c r="P825" s="53" t="str">
        <f>IF(ISBLANK('ALL Other SINs - Proposal'!AA825)," ",'ALL Other SINs - Proposal'!AA825)</f>
        <v xml:space="preserve"> </v>
      </c>
      <c r="Q825" s="95" t="str">
        <f>'ALL Other SINs - Proposal'!AC825</f>
        <v xml:space="preserve"> </v>
      </c>
      <c r="R825" s="100" t="str">
        <f>IF(ISBLANK('ALL Other SINs - Proposal'!AA825)," ",ROUND(Q825,2))</f>
        <v xml:space="preserve"> </v>
      </c>
      <c r="S825" s="54"/>
    </row>
    <row r="826" spans="1:19" ht="20.100000000000001" customHeight="1" x14ac:dyDescent="0.2">
      <c r="A826" s="127">
        <f>'ALL Other SINs - Proposal'!A826</f>
        <v>0</v>
      </c>
      <c r="B826" s="121">
        <f>'ALL Other SINs - Proposal'!B826</f>
        <v>0</v>
      </c>
      <c r="C826" s="121">
        <f>'ALL Other SINs - Proposal'!C826</f>
        <v>0</v>
      </c>
      <c r="D826" s="121">
        <f>'ALL Other SINs - Proposal'!D826</f>
        <v>0</v>
      </c>
      <c r="E826" s="121">
        <f>'ALL Other SINs - Proposal'!E826</f>
        <v>0</v>
      </c>
      <c r="F826" s="171">
        <f>'ALL Other SINs - Proposal'!F826</f>
        <v>0</v>
      </c>
      <c r="G826" s="51">
        <f>'ALL Other SINs - Proposal'!G826</f>
        <v>0</v>
      </c>
      <c r="H826" s="125">
        <f>'ALL Other SINs - Proposal'!H826</f>
        <v>0</v>
      </c>
      <c r="I826" s="125">
        <f>'ALL Other SINs - Proposal'!I826</f>
        <v>0</v>
      </c>
      <c r="J826" s="125">
        <f>'ALL Other SINs - Proposal'!J826</f>
        <v>0</v>
      </c>
      <c r="K826" s="125">
        <f>'ALL Other SINs - Proposal'!K826</f>
        <v>0</v>
      </c>
      <c r="L826" s="125">
        <f>'ALL Other SINs - Proposal'!L826</f>
        <v>0</v>
      </c>
      <c r="M826" s="206">
        <f>'ALL Other SINs - Proposal'!M826</f>
        <v>0</v>
      </c>
      <c r="N826" s="251">
        <f>'ALL Other SINs - Proposal'!V826</f>
        <v>0</v>
      </c>
      <c r="O826" s="201" t="str">
        <f>'Price Analysis'!N826</f>
        <v xml:space="preserve"> </v>
      </c>
      <c r="P826" s="53" t="str">
        <f>IF(ISBLANK('ALL Other SINs - Proposal'!AA826)," ",'ALL Other SINs - Proposal'!AA826)</f>
        <v xml:space="preserve"> </v>
      </c>
      <c r="Q826" s="95" t="str">
        <f>'ALL Other SINs - Proposal'!AC826</f>
        <v xml:space="preserve"> </v>
      </c>
      <c r="R826" s="100" t="str">
        <f>IF(ISBLANK('ALL Other SINs - Proposal'!AA826)," ",ROUND(Q826,2))</f>
        <v xml:space="preserve"> </v>
      </c>
      <c r="S826" s="54"/>
    </row>
    <row r="827" spans="1:19" ht="20.100000000000001" customHeight="1" x14ac:dyDescent="0.2">
      <c r="A827" s="127">
        <f>'ALL Other SINs - Proposal'!A827</f>
        <v>0</v>
      </c>
      <c r="B827" s="121">
        <f>'ALL Other SINs - Proposal'!B827</f>
        <v>0</v>
      </c>
      <c r="C827" s="121">
        <f>'ALL Other SINs - Proposal'!C827</f>
        <v>0</v>
      </c>
      <c r="D827" s="121">
        <f>'ALL Other SINs - Proposal'!D827</f>
        <v>0</v>
      </c>
      <c r="E827" s="121">
        <f>'ALL Other SINs - Proposal'!E827</f>
        <v>0</v>
      </c>
      <c r="F827" s="171">
        <f>'ALL Other SINs - Proposal'!F827</f>
        <v>0</v>
      </c>
      <c r="G827" s="51">
        <f>'ALL Other SINs - Proposal'!G827</f>
        <v>0</v>
      </c>
      <c r="H827" s="125">
        <f>'ALL Other SINs - Proposal'!H827</f>
        <v>0</v>
      </c>
      <c r="I827" s="125">
        <f>'ALL Other SINs - Proposal'!I827</f>
        <v>0</v>
      </c>
      <c r="J827" s="125">
        <f>'ALL Other SINs - Proposal'!J827</f>
        <v>0</v>
      </c>
      <c r="K827" s="125">
        <f>'ALL Other SINs - Proposal'!K827</f>
        <v>0</v>
      </c>
      <c r="L827" s="125">
        <f>'ALL Other SINs - Proposal'!L827</f>
        <v>0</v>
      </c>
      <c r="M827" s="206">
        <f>'ALL Other SINs - Proposal'!M827</f>
        <v>0</v>
      </c>
      <c r="N827" s="251">
        <f>'ALL Other SINs - Proposal'!V827</f>
        <v>0</v>
      </c>
      <c r="O827" s="201" t="str">
        <f>'Price Analysis'!N827</f>
        <v xml:space="preserve"> </v>
      </c>
      <c r="P827" s="53" t="str">
        <f>IF(ISBLANK('ALL Other SINs - Proposal'!AA827)," ",'ALL Other SINs - Proposal'!AA827)</f>
        <v xml:space="preserve"> </v>
      </c>
      <c r="Q827" s="95" t="str">
        <f>'ALL Other SINs - Proposal'!AC827</f>
        <v xml:space="preserve"> </v>
      </c>
      <c r="R827" s="100" t="str">
        <f>IF(ISBLANK('ALL Other SINs - Proposal'!AA827)," ",ROUND(Q827,2))</f>
        <v xml:space="preserve"> </v>
      </c>
      <c r="S827" s="54"/>
    </row>
    <row r="828" spans="1:19" ht="20.100000000000001" customHeight="1" x14ac:dyDescent="0.2">
      <c r="A828" s="127">
        <f>'ALL Other SINs - Proposal'!A828</f>
        <v>0</v>
      </c>
      <c r="B828" s="121">
        <f>'ALL Other SINs - Proposal'!B828</f>
        <v>0</v>
      </c>
      <c r="C828" s="121">
        <f>'ALL Other SINs - Proposal'!C828</f>
        <v>0</v>
      </c>
      <c r="D828" s="121">
        <f>'ALL Other SINs - Proposal'!D828</f>
        <v>0</v>
      </c>
      <c r="E828" s="121">
        <f>'ALL Other SINs - Proposal'!E828</f>
        <v>0</v>
      </c>
      <c r="F828" s="171">
        <f>'ALL Other SINs - Proposal'!F828</f>
        <v>0</v>
      </c>
      <c r="G828" s="51">
        <f>'ALL Other SINs - Proposal'!G828</f>
        <v>0</v>
      </c>
      <c r="H828" s="125">
        <f>'ALL Other SINs - Proposal'!H828</f>
        <v>0</v>
      </c>
      <c r="I828" s="125">
        <f>'ALL Other SINs - Proposal'!I828</f>
        <v>0</v>
      </c>
      <c r="J828" s="125">
        <f>'ALL Other SINs - Proposal'!J828</f>
        <v>0</v>
      </c>
      <c r="K828" s="125">
        <f>'ALL Other SINs - Proposal'!K828</f>
        <v>0</v>
      </c>
      <c r="L828" s="125">
        <f>'ALL Other SINs - Proposal'!L828</f>
        <v>0</v>
      </c>
      <c r="M828" s="206">
        <f>'ALL Other SINs - Proposal'!M828</f>
        <v>0</v>
      </c>
      <c r="N828" s="251">
        <f>'ALL Other SINs - Proposal'!V828</f>
        <v>0</v>
      </c>
      <c r="O828" s="201" t="str">
        <f>'Price Analysis'!N828</f>
        <v xml:space="preserve"> </v>
      </c>
      <c r="P828" s="53" t="str">
        <f>IF(ISBLANK('ALL Other SINs - Proposal'!AA828)," ",'ALL Other SINs - Proposal'!AA828)</f>
        <v xml:space="preserve"> </v>
      </c>
      <c r="Q828" s="95" t="str">
        <f>'ALL Other SINs - Proposal'!AC828</f>
        <v xml:space="preserve"> </v>
      </c>
      <c r="R828" s="100" t="str">
        <f>IF(ISBLANK('ALL Other SINs - Proposal'!AA828)," ",ROUND(Q828,2))</f>
        <v xml:space="preserve"> </v>
      </c>
      <c r="S828" s="54"/>
    </row>
    <row r="829" spans="1:19" ht="20.100000000000001" customHeight="1" x14ac:dyDescent="0.2">
      <c r="A829" s="127">
        <f>'ALL Other SINs - Proposal'!A829</f>
        <v>0</v>
      </c>
      <c r="B829" s="121">
        <f>'ALL Other SINs - Proposal'!B829</f>
        <v>0</v>
      </c>
      <c r="C829" s="121">
        <f>'ALL Other SINs - Proposal'!C829</f>
        <v>0</v>
      </c>
      <c r="D829" s="121">
        <f>'ALL Other SINs - Proposal'!D829</f>
        <v>0</v>
      </c>
      <c r="E829" s="121">
        <f>'ALL Other SINs - Proposal'!E829</f>
        <v>0</v>
      </c>
      <c r="F829" s="171">
        <f>'ALL Other SINs - Proposal'!F829</f>
        <v>0</v>
      </c>
      <c r="G829" s="51">
        <f>'ALL Other SINs - Proposal'!G829</f>
        <v>0</v>
      </c>
      <c r="H829" s="125">
        <f>'ALL Other SINs - Proposal'!H829</f>
        <v>0</v>
      </c>
      <c r="I829" s="125">
        <f>'ALL Other SINs - Proposal'!I829</f>
        <v>0</v>
      </c>
      <c r="J829" s="125">
        <f>'ALL Other SINs - Proposal'!J829</f>
        <v>0</v>
      </c>
      <c r="K829" s="125">
        <f>'ALL Other SINs - Proposal'!K829</f>
        <v>0</v>
      </c>
      <c r="L829" s="125">
        <f>'ALL Other SINs - Proposal'!L829</f>
        <v>0</v>
      </c>
      <c r="M829" s="206">
        <f>'ALL Other SINs - Proposal'!M829</f>
        <v>0</v>
      </c>
      <c r="N829" s="251">
        <f>'ALL Other SINs - Proposal'!V829</f>
        <v>0</v>
      </c>
      <c r="O829" s="201" t="str">
        <f>'Price Analysis'!N829</f>
        <v xml:space="preserve"> </v>
      </c>
      <c r="P829" s="53" t="str">
        <f>IF(ISBLANK('ALL Other SINs - Proposal'!AA829)," ",'ALL Other SINs - Proposal'!AA829)</f>
        <v xml:space="preserve"> </v>
      </c>
      <c r="Q829" s="95" t="str">
        <f>'ALL Other SINs - Proposal'!AC829</f>
        <v xml:space="preserve"> </v>
      </c>
      <c r="R829" s="100" t="str">
        <f>IF(ISBLANK('ALL Other SINs - Proposal'!AA829)," ",ROUND(Q829,2))</f>
        <v xml:space="preserve"> </v>
      </c>
      <c r="S829" s="54"/>
    </row>
    <row r="830" spans="1:19" ht="20.100000000000001" customHeight="1" x14ac:dyDescent="0.2">
      <c r="A830" s="127">
        <f>'ALL Other SINs - Proposal'!A830</f>
        <v>0</v>
      </c>
      <c r="B830" s="121">
        <f>'ALL Other SINs - Proposal'!B830</f>
        <v>0</v>
      </c>
      <c r="C830" s="121">
        <f>'ALL Other SINs - Proposal'!C830</f>
        <v>0</v>
      </c>
      <c r="D830" s="121">
        <f>'ALL Other SINs - Proposal'!D830</f>
        <v>0</v>
      </c>
      <c r="E830" s="121">
        <f>'ALL Other SINs - Proposal'!E830</f>
        <v>0</v>
      </c>
      <c r="F830" s="171">
        <f>'ALL Other SINs - Proposal'!F830</f>
        <v>0</v>
      </c>
      <c r="G830" s="51">
        <f>'ALL Other SINs - Proposal'!G830</f>
        <v>0</v>
      </c>
      <c r="H830" s="125">
        <f>'ALL Other SINs - Proposal'!H830</f>
        <v>0</v>
      </c>
      <c r="I830" s="125">
        <f>'ALL Other SINs - Proposal'!I830</f>
        <v>0</v>
      </c>
      <c r="J830" s="125">
        <f>'ALL Other SINs - Proposal'!J830</f>
        <v>0</v>
      </c>
      <c r="K830" s="125">
        <f>'ALL Other SINs - Proposal'!K830</f>
        <v>0</v>
      </c>
      <c r="L830" s="125">
        <f>'ALL Other SINs - Proposal'!L830</f>
        <v>0</v>
      </c>
      <c r="M830" s="206">
        <f>'ALL Other SINs - Proposal'!M830</f>
        <v>0</v>
      </c>
      <c r="N830" s="251">
        <f>'ALL Other SINs - Proposal'!V830</f>
        <v>0</v>
      </c>
      <c r="O830" s="201" t="str">
        <f>'Price Analysis'!N830</f>
        <v xml:space="preserve"> </v>
      </c>
      <c r="P830" s="53" t="str">
        <f>IF(ISBLANK('ALL Other SINs - Proposal'!AA830)," ",'ALL Other SINs - Proposal'!AA830)</f>
        <v xml:space="preserve"> </v>
      </c>
      <c r="Q830" s="95" t="str">
        <f>'ALL Other SINs - Proposal'!AC830</f>
        <v xml:space="preserve"> </v>
      </c>
      <c r="R830" s="100" t="str">
        <f>IF(ISBLANK('ALL Other SINs - Proposal'!AA830)," ",ROUND(Q830,2))</f>
        <v xml:space="preserve"> </v>
      </c>
      <c r="S830" s="54"/>
    </row>
    <row r="831" spans="1:19" ht="20.100000000000001" customHeight="1" x14ac:dyDescent="0.2">
      <c r="A831" s="127">
        <f>'ALL Other SINs - Proposal'!A831</f>
        <v>0</v>
      </c>
      <c r="B831" s="121">
        <f>'ALL Other SINs - Proposal'!B831</f>
        <v>0</v>
      </c>
      <c r="C831" s="121">
        <f>'ALL Other SINs - Proposal'!C831</f>
        <v>0</v>
      </c>
      <c r="D831" s="121">
        <f>'ALL Other SINs - Proposal'!D831</f>
        <v>0</v>
      </c>
      <c r="E831" s="121">
        <f>'ALL Other SINs - Proposal'!E831</f>
        <v>0</v>
      </c>
      <c r="F831" s="171">
        <f>'ALL Other SINs - Proposal'!F831</f>
        <v>0</v>
      </c>
      <c r="G831" s="51">
        <f>'ALL Other SINs - Proposal'!G831</f>
        <v>0</v>
      </c>
      <c r="H831" s="125">
        <f>'ALL Other SINs - Proposal'!H831</f>
        <v>0</v>
      </c>
      <c r="I831" s="125">
        <f>'ALL Other SINs - Proposal'!I831</f>
        <v>0</v>
      </c>
      <c r="J831" s="125">
        <f>'ALL Other SINs - Proposal'!J831</f>
        <v>0</v>
      </c>
      <c r="K831" s="125">
        <f>'ALL Other SINs - Proposal'!K831</f>
        <v>0</v>
      </c>
      <c r="L831" s="125">
        <f>'ALL Other SINs - Proposal'!L831</f>
        <v>0</v>
      </c>
      <c r="M831" s="206">
        <f>'ALL Other SINs - Proposal'!M831</f>
        <v>0</v>
      </c>
      <c r="N831" s="251">
        <f>'ALL Other SINs - Proposal'!V831</f>
        <v>0</v>
      </c>
      <c r="O831" s="201" t="str">
        <f>'Price Analysis'!N831</f>
        <v xml:space="preserve"> </v>
      </c>
      <c r="P831" s="53" t="str">
        <f>IF(ISBLANK('ALL Other SINs - Proposal'!AA831)," ",'ALL Other SINs - Proposal'!AA831)</f>
        <v xml:space="preserve"> </v>
      </c>
      <c r="Q831" s="95" t="str">
        <f>'ALL Other SINs - Proposal'!AC831</f>
        <v xml:space="preserve"> </v>
      </c>
      <c r="R831" s="100" t="str">
        <f>IF(ISBLANK('ALL Other SINs - Proposal'!AA831)," ",ROUND(Q831,2))</f>
        <v xml:space="preserve"> </v>
      </c>
      <c r="S831" s="54"/>
    </row>
    <row r="832" spans="1:19" ht="20.100000000000001" customHeight="1" x14ac:dyDescent="0.2">
      <c r="A832" s="127">
        <f>'ALL Other SINs - Proposal'!A832</f>
        <v>0</v>
      </c>
      <c r="B832" s="121">
        <f>'ALL Other SINs - Proposal'!B832</f>
        <v>0</v>
      </c>
      <c r="C832" s="121">
        <f>'ALL Other SINs - Proposal'!C832</f>
        <v>0</v>
      </c>
      <c r="D832" s="121">
        <f>'ALL Other SINs - Proposal'!D832</f>
        <v>0</v>
      </c>
      <c r="E832" s="121">
        <f>'ALL Other SINs - Proposal'!E832</f>
        <v>0</v>
      </c>
      <c r="F832" s="171">
        <f>'ALL Other SINs - Proposal'!F832</f>
        <v>0</v>
      </c>
      <c r="G832" s="51">
        <f>'ALL Other SINs - Proposal'!G832</f>
        <v>0</v>
      </c>
      <c r="H832" s="125">
        <f>'ALL Other SINs - Proposal'!H832</f>
        <v>0</v>
      </c>
      <c r="I832" s="125">
        <f>'ALL Other SINs - Proposal'!I832</f>
        <v>0</v>
      </c>
      <c r="J832" s="125">
        <f>'ALL Other SINs - Proposal'!J832</f>
        <v>0</v>
      </c>
      <c r="K832" s="125">
        <f>'ALL Other SINs - Proposal'!K832</f>
        <v>0</v>
      </c>
      <c r="L832" s="125">
        <f>'ALL Other SINs - Proposal'!L832</f>
        <v>0</v>
      </c>
      <c r="M832" s="206">
        <f>'ALL Other SINs - Proposal'!M832</f>
        <v>0</v>
      </c>
      <c r="N832" s="251">
        <f>'ALL Other SINs - Proposal'!V832</f>
        <v>0</v>
      </c>
      <c r="O832" s="201" t="str">
        <f>'Price Analysis'!N832</f>
        <v xml:space="preserve"> </v>
      </c>
      <c r="P832" s="53" t="str">
        <f>IF(ISBLANK('ALL Other SINs - Proposal'!AA832)," ",'ALL Other SINs - Proposal'!AA832)</f>
        <v xml:space="preserve"> </v>
      </c>
      <c r="Q832" s="95" t="str">
        <f>'ALL Other SINs - Proposal'!AC832</f>
        <v xml:space="preserve"> </v>
      </c>
      <c r="R832" s="100" t="str">
        <f>IF(ISBLANK('ALL Other SINs - Proposal'!AA832)," ",ROUND(Q832,2))</f>
        <v xml:space="preserve"> </v>
      </c>
      <c r="S832" s="54"/>
    </row>
    <row r="833" spans="1:19" ht="20.100000000000001" customHeight="1" x14ac:dyDescent="0.2">
      <c r="A833" s="127">
        <f>'ALL Other SINs - Proposal'!A833</f>
        <v>0</v>
      </c>
      <c r="B833" s="121">
        <f>'ALL Other SINs - Proposal'!B833</f>
        <v>0</v>
      </c>
      <c r="C833" s="121">
        <f>'ALL Other SINs - Proposal'!C833</f>
        <v>0</v>
      </c>
      <c r="D833" s="121">
        <f>'ALL Other SINs - Proposal'!D833</f>
        <v>0</v>
      </c>
      <c r="E833" s="121">
        <f>'ALL Other SINs - Proposal'!E833</f>
        <v>0</v>
      </c>
      <c r="F833" s="171">
        <f>'ALL Other SINs - Proposal'!F833</f>
        <v>0</v>
      </c>
      <c r="G833" s="51">
        <f>'ALL Other SINs - Proposal'!G833</f>
        <v>0</v>
      </c>
      <c r="H833" s="125">
        <f>'ALL Other SINs - Proposal'!H833</f>
        <v>0</v>
      </c>
      <c r="I833" s="125">
        <f>'ALL Other SINs - Proposal'!I833</f>
        <v>0</v>
      </c>
      <c r="J833" s="125">
        <f>'ALL Other SINs - Proposal'!J833</f>
        <v>0</v>
      </c>
      <c r="K833" s="125">
        <f>'ALL Other SINs - Proposal'!K833</f>
        <v>0</v>
      </c>
      <c r="L833" s="125">
        <f>'ALL Other SINs - Proposal'!L833</f>
        <v>0</v>
      </c>
      <c r="M833" s="206">
        <f>'ALL Other SINs - Proposal'!M833</f>
        <v>0</v>
      </c>
      <c r="N833" s="251">
        <f>'ALL Other SINs - Proposal'!V833</f>
        <v>0</v>
      </c>
      <c r="O833" s="201" t="str">
        <f>'Price Analysis'!N833</f>
        <v xml:space="preserve"> </v>
      </c>
      <c r="P833" s="53" t="str">
        <f>IF(ISBLANK('ALL Other SINs - Proposal'!AA833)," ",'ALL Other SINs - Proposal'!AA833)</f>
        <v xml:space="preserve"> </v>
      </c>
      <c r="Q833" s="95" t="str">
        <f>'ALL Other SINs - Proposal'!AC833</f>
        <v xml:space="preserve"> </v>
      </c>
      <c r="R833" s="100" t="str">
        <f>IF(ISBLANK('ALL Other SINs - Proposal'!AA833)," ",ROUND(Q833,2))</f>
        <v xml:space="preserve"> </v>
      </c>
      <c r="S833" s="54"/>
    </row>
    <row r="834" spans="1:19" ht="20.100000000000001" customHeight="1" x14ac:dyDescent="0.2">
      <c r="A834" s="127">
        <f>'ALL Other SINs - Proposal'!A834</f>
        <v>0</v>
      </c>
      <c r="B834" s="121">
        <f>'ALL Other SINs - Proposal'!B834</f>
        <v>0</v>
      </c>
      <c r="C834" s="121">
        <f>'ALL Other SINs - Proposal'!C834</f>
        <v>0</v>
      </c>
      <c r="D834" s="121">
        <f>'ALL Other SINs - Proposal'!D834</f>
        <v>0</v>
      </c>
      <c r="E834" s="121">
        <f>'ALL Other SINs - Proposal'!E834</f>
        <v>0</v>
      </c>
      <c r="F834" s="171">
        <f>'ALL Other SINs - Proposal'!F834</f>
        <v>0</v>
      </c>
      <c r="G834" s="51">
        <f>'ALL Other SINs - Proposal'!G834</f>
        <v>0</v>
      </c>
      <c r="H834" s="125">
        <f>'ALL Other SINs - Proposal'!H834</f>
        <v>0</v>
      </c>
      <c r="I834" s="125">
        <f>'ALL Other SINs - Proposal'!I834</f>
        <v>0</v>
      </c>
      <c r="J834" s="125">
        <f>'ALL Other SINs - Proposal'!J834</f>
        <v>0</v>
      </c>
      <c r="K834" s="125">
        <f>'ALL Other SINs - Proposal'!K834</f>
        <v>0</v>
      </c>
      <c r="L834" s="125">
        <f>'ALL Other SINs - Proposal'!L834</f>
        <v>0</v>
      </c>
      <c r="M834" s="206">
        <f>'ALL Other SINs - Proposal'!M834</f>
        <v>0</v>
      </c>
      <c r="N834" s="251">
        <f>'ALL Other SINs - Proposal'!V834</f>
        <v>0</v>
      </c>
      <c r="O834" s="201" t="str">
        <f>'Price Analysis'!N834</f>
        <v xml:space="preserve"> </v>
      </c>
      <c r="P834" s="53" t="str">
        <f>IF(ISBLANK('ALL Other SINs - Proposal'!AA834)," ",'ALL Other SINs - Proposal'!AA834)</f>
        <v xml:space="preserve"> </v>
      </c>
      <c r="Q834" s="95" t="str">
        <f>'ALL Other SINs - Proposal'!AC834</f>
        <v xml:space="preserve"> </v>
      </c>
      <c r="R834" s="100" t="str">
        <f>IF(ISBLANK('ALL Other SINs - Proposal'!AA834)," ",ROUND(Q834,2))</f>
        <v xml:space="preserve"> </v>
      </c>
      <c r="S834" s="54"/>
    </row>
    <row r="835" spans="1:19" ht="20.100000000000001" customHeight="1" x14ac:dyDescent="0.2">
      <c r="A835" s="127">
        <f>'ALL Other SINs - Proposal'!A835</f>
        <v>0</v>
      </c>
      <c r="B835" s="121">
        <f>'ALL Other SINs - Proposal'!B835</f>
        <v>0</v>
      </c>
      <c r="C835" s="121">
        <f>'ALL Other SINs - Proposal'!C835</f>
        <v>0</v>
      </c>
      <c r="D835" s="121">
        <f>'ALL Other SINs - Proposal'!D835</f>
        <v>0</v>
      </c>
      <c r="E835" s="121">
        <f>'ALL Other SINs - Proposal'!E835</f>
        <v>0</v>
      </c>
      <c r="F835" s="171">
        <f>'ALL Other SINs - Proposal'!F835</f>
        <v>0</v>
      </c>
      <c r="G835" s="51">
        <f>'ALL Other SINs - Proposal'!G835</f>
        <v>0</v>
      </c>
      <c r="H835" s="125">
        <f>'ALL Other SINs - Proposal'!H835</f>
        <v>0</v>
      </c>
      <c r="I835" s="125">
        <f>'ALL Other SINs - Proposal'!I835</f>
        <v>0</v>
      </c>
      <c r="J835" s="125">
        <f>'ALL Other SINs - Proposal'!J835</f>
        <v>0</v>
      </c>
      <c r="K835" s="125">
        <f>'ALL Other SINs - Proposal'!K835</f>
        <v>0</v>
      </c>
      <c r="L835" s="125">
        <f>'ALL Other SINs - Proposal'!L835</f>
        <v>0</v>
      </c>
      <c r="M835" s="206">
        <f>'ALL Other SINs - Proposal'!M835</f>
        <v>0</v>
      </c>
      <c r="N835" s="251">
        <f>'ALL Other SINs - Proposal'!V835</f>
        <v>0</v>
      </c>
      <c r="O835" s="201" t="str">
        <f>'Price Analysis'!N835</f>
        <v xml:space="preserve"> </v>
      </c>
      <c r="P835" s="53" t="str">
        <f>IF(ISBLANK('ALL Other SINs - Proposal'!AA835)," ",'ALL Other SINs - Proposal'!AA835)</f>
        <v xml:space="preserve"> </v>
      </c>
      <c r="Q835" s="95" t="str">
        <f>'ALL Other SINs - Proposal'!AC835</f>
        <v xml:space="preserve"> </v>
      </c>
      <c r="R835" s="100" t="str">
        <f>IF(ISBLANK('ALL Other SINs - Proposal'!AA835)," ",ROUND(Q835,2))</f>
        <v xml:space="preserve"> </v>
      </c>
      <c r="S835" s="54"/>
    </row>
    <row r="836" spans="1:19" ht="20.100000000000001" customHeight="1" x14ac:dyDescent="0.2">
      <c r="A836" s="127">
        <f>'ALL Other SINs - Proposal'!A836</f>
        <v>0</v>
      </c>
      <c r="B836" s="121">
        <f>'ALL Other SINs - Proposal'!B836</f>
        <v>0</v>
      </c>
      <c r="C836" s="121">
        <f>'ALL Other SINs - Proposal'!C836</f>
        <v>0</v>
      </c>
      <c r="D836" s="121">
        <f>'ALL Other SINs - Proposal'!D836</f>
        <v>0</v>
      </c>
      <c r="E836" s="121">
        <f>'ALL Other SINs - Proposal'!E836</f>
        <v>0</v>
      </c>
      <c r="F836" s="171">
        <f>'ALL Other SINs - Proposal'!F836</f>
        <v>0</v>
      </c>
      <c r="G836" s="51">
        <f>'ALL Other SINs - Proposal'!G836</f>
        <v>0</v>
      </c>
      <c r="H836" s="125">
        <f>'ALL Other SINs - Proposal'!H836</f>
        <v>0</v>
      </c>
      <c r="I836" s="125">
        <f>'ALL Other SINs - Proposal'!I836</f>
        <v>0</v>
      </c>
      <c r="J836" s="125">
        <f>'ALL Other SINs - Proposal'!J836</f>
        <v>0</v>
      </c>
      <c r="K836" s="125">
        <f>'ALL Other SINs - Proposal'!K836</f>
        <v>0</v>
      </c>
      <c r="L836" s="125">
        <f>'ALL Other SINs - Proposal'!L836</f>
        <v>0</v>
      </c>
      <c r="M836" s="206">
        <f>'ALL Other SINs - Proposal'!M836</f>
        <v>0</v>
      </c>
      <c r="N836" s="251">
        <f>'ALL Other SINs - Proposal'!V836</f>
        <v>0</v>
      </c>
      <c r="O836" s="201" t="str">
        <f>'Price Analysis'!N836</f>
        <v xml:space="preserve"> </v>
      </c>
      <c r="P836" s="53" t="str">
        <f>IF(ISBLANK('ALL Other SINs - Proposal'!AA836)," ",'ALL Other SINs - Proposal'!AA836)</f>
        <v xml:space="preserve"> </v>
      </c>
      <c r="Q836" s="95" t="str">
        <f>'ALL Other SINs - Proposal'!AC836</f>
        <v xml:space="preserve"> </v>
      </c>
      <c r="R836" s="100" t="str">
        <f>IF(ISBLANK('ALL Other SINs - Proposal'!AA836)," ",ROUND(Q836,2))</f>
        <v xml:space="preserve"> </v>
      </c>
      <c r="S836" s="54"/>
    </row>
    <row r="837" spans="1:19" ht="20.100000000000001" customHeight="1" x14ac:dyDescent="0.2">
      <c r="A837" s="127">
        <f>'ALL Other SINs - Proposal'!A837</f>
        <v>0</v>
      </c>
      <c r="B837" s="121">
        <f>'ALL Other SINs - Proposal'!B837</f>
        <v>0</v>
      </c>
      <c r="C837" s="121">
        <f>'ALL Other SINs - Proposal'!C837</f>
        <v>0</v>
      </c>
      <c r="D837" s="121">
        <f>'ALL Other SINs - Proposal'!D837</f>
        <v>0</v>
      </c>
      <c r="E837" s="121">
        <f>'ALL Other SINs - Proposal'!E837</f>
        <v>0</v>
      </c>
      <c r="F837" s="171">
        <f>'ALL Other SINs - Proposal'!F837</f>
        <v>0</v>
      </c>
      <c r="G837" s="51">
        <f>'ALL Other SINs - Proposal'!G837</f>
        <v>0</v>
      </c>
      <c r="H837" s="125">
        <f>'ALL Other SINs - Proposal'!H837</f>
        <v>0</v>
      </c>
      <c r="I837" s="125">
        <f>'ALL Other SINs - Proposal'!I837</f>
        <v>0</v>
      </c>
      <c r="J837" s="125">
        <f>'ALL Other SINs - Proposal'!J837</f>
        <v>0</v>
      </c>
      <c r="K837" s="125">
        <f>'ALL Other SINs - Proposal'!K837</f>
        <v>0</v>
      </c>
      <c r="L837" s="125">
        <f>'ALL Other SINs - Proposal'!L837</f>
        <v>0</v>
      </c>
      <c r="M837" s="206">
        <f>'ALL Other SINs - Proposal'!M837</f>
        <v>0</v>
      </c>
      <c r="N837" s="251">
        <f>'ALL Other SINs - Proposal'!V837</f>
        <v>0</v>
      </c>
      <c r="O837" s="201" t="str">
        <f>'Price Analysis'!N837</f>
        <v xml:space="preserve"> </v>
      </c>
      <c r="P837" s="53" t="str">
        <f>IF(ISBLANK('ALL Other SINs - Proposal'!AA837)," ",'ALL Other SINs - Proposal'!AA837)</f>
        <v xml:space="preserve"> </v>
      </c>
      <c r="Q837" s="95" t="str">
        <f>'ALL Other SINs - Proposal'!AC837</f>
        <v xml:space="preserve"> </v>
      </c>
      <c r="R837" s="100" t="str">
        <f>IF(ISBLANK('ALL Other SINs - Proposal'!AA837)," ",ROUND(Q837,2))</f>
        <v xml:space="preserve"> </v>
      </c>
      <c r="S837" s="54"/>
    </row>
    <row r="838" spans="1:19" ht="20.100000000000001" customHeight="1" x14ac:dyDescent="0.2">
      <c r="A838" s="127">
        <f>'ALL Other SINs - Proposal'!A838</f>
        <v>0</v>
      </c>
      <c r="B838" s="121">
        <f>'ALL Other SINs - Proposal'!B838</f>
        <v>0</v>
      </c>
      <c r="C838" s="121">
        <f>'ALL Other SINs - Proposal'!C838</f>
        <v>0</v>
      </c>
      <c r="D838" s="121">
        <f>'ALL Other SINs - Proposal'!D838</f>
        <v>0</v>
      </c>
      <c r="E838" s="121">
        <f>'ALL Other SINs - Proposal'!E838</f>
        <v>0</v>
      </c>
      <c r="F838" s="171">
        <f>'ALL Other SINs - Proposal'!F838</f>
        <v>0</v>
      </c>
      <c r="G838" s="51">
        <f>'ALL Other SINs - Proposal'!G838</f>
        <v>0</v>
      </c>
      <c r="H838" s="125">
        <f>'ALL Other SINs - Proposal'!H838</f>
        <v>0</v>
      </c>
      <c r="I838" s="125">
        <f>'ALL Other SINs - Proposal'!I838</f>
        <v>0</v>
      </c>
      <c r="J838" s="125">
        <f>'ALL Other SINs - Proposal'!J838</f>
        <v>0</v>
      </c>
      <c r="K838" s="125">
        <f>'ALL Other SINs - Proposal'!K838</f>
        <v>0</v>
      </c>
      <c r="L838" s="125">
        <f>'ALL Other SINs - Proposal'!L838</f>
        <v>0</v>
      </c>
      <c r="M838" s="206">
        <f>'ALL Other SINs - Proposal'!M838</f>
        <v>0</v>
      </c>
      <c r="N838" s="251">
        <f>'ALL Other SINs - Proposal'!V838</f>
        <v>0</v>
      </c>
      <c r="O838" s="201" t="str">
        <f>'Price Analysis'!N838</f>
        <v xml:space="preserve"> </v>
      </c>
      <c r="P838" s="53" t="str">
        <f>IF(ISBLANK('ALL Other SINs - Proposal'!AA838)," ",'ALL Other SINs - Proposal'!AA838)</f>
        <v xml:space="preserve"> </v>
      </c>
      <c r="Q838" s="95" t="str">
        <f>'ALL Other SINs - Proposal'!AC838</f>
        <v xml:space="preserve"> </v>
      </c>
      <c r="R838" s="100" t="str">
        <f>IF(ISBLANK('ALL Other SINs - Proposal'!AA838)," ",ROUND(Q838,2))</f>
        <v xml:space="preserve"> </v>
      </c>
      <c r="S838" s="54"/>
    </row>
    <row r="839" spans="1:19" ht="20.100000000000001" customHeight="1" x14ac:dyDescent="0.2">
      <c r="A839" s="127">
        <f>'ALL Other SINs - Proposal'!A839</f>
        <v>0</v>
      </c>
      <c r="B839" s="121">
        <f>'ALL Other SINs - Proposal'!B839</f>
        <v>0</v>
      </c>
      <c r="C839" s="121">
        <f>'ALL Other SINs - Proposal'!C839</f>
        <v>0</v>
      </c>
      <c r="D839" s="121">
        <f>'ALL Other SINs - Proposal'!D839</f>
        <v>0</v>
      </c>
      <c r="E839" s="121">
        <f>'ALL Other SINs - Proposal'!E839</f>
        <v>0</v>
      </c>
      <c r="F839" s="171">
        <f>'ALL Other SINs - Proposal'!F839</f>
        <v>0</v>
      </c>
      <c r="G839" s="51">
        <f>'ALL Other SINs - Proposal'!G839</f>
        <v>0</v>
      </c>
      <c r="H839" s="125">
        <f>'ALL Other SINs - Proposal'!H839</f>
        <v>0</v>
      </c>
      <c r="I839" s="125">
        <f>'ALL Other SINs - Proposal'!I839</f>
        <v>0</v>
      </c>
      <c r="J839" s="125">
        <f>'ALL Other SINs - Proposal'!J839</f>
        <v>0</v>
      </c>
      <c r="K839" s="125">
        <f>'ALL Other SINs - Proposal'!K839</f>
        <v>0</v>
      </c>
      <c r="L839" s="125">
        <f>'ALL Other SINs - Proposal'!L839</f>
        <v>0</v>
      </c>
      <c r="M839" s="206">
        <f>'ALL Other SINs - Proposal'!M839</f>
        <v>0</v>
      </c>
      <c r="N839" s="251">
        <f>'ALL Other SINs - Proposal'!V839</f>
        <v>0</v>
      </c>
      <c r="O839" s="201" t="str">
        <f>'Price Analysis'!N839</f>
        <v xml:space="preserve"> </v>
      </c>
      <c r="P839" s="53" t="str">
        <f>IF(ISBLANK('ALL Other SINs - Proposal'!AA839)," ",'ALL Other SINs - Proposal'!AA839)</f>
        <v xml:space="preserve"> </v>
      </c>
      <c r="Q839" s="95" t="str">
        <f>'ALL Other SINs - Proposal'!AC839</f>
        <v xml:space="preserve"> </v>
      </c>
      <c r="R839" s="100" t="str">
        <f>IF(ISBLANK('ALL Other SINs - Proposal'!AA839)," ",ROUND(Q839,2))</f>
        <v xml:space="preserve"> </v>
      </c>
      <c r="S839" s="54"/>
    </row>
    <row r="840" spans="1:19" ht="20.100000000000001" customHeight="1" x14ac:dyDescent="0.2">
      <c r="A840" s="127">
        <f>'ALL Other SINs - Proposal'!A840</f>
        <v>0</v>
      </c>
      <c r="B840" s="121">
        <f>'ALL Other SINs - Proposal'!B840</f>
        <v>0</v>
      </c>
      <c r="C840" s="121">
        <f>'ALL Other SINs - Proposal'!C840</f>
        <v>0</v>
      </c>
      <c r="D840" s="121">
        <f>'ALL Other SINs - Proposal'!D840</f>
        <v>0</v>
      </c>
      <c r="E840" s="121">
        <f>'ALL Other SINs - Proposal'!E840</f>
        <v>0</v>
      </c>
      <c r="F840" s="171">
        <f>'ALL Other SINs - Proposal'!F840</f>
        <v>0</v>
      </c>
      <c r="G840" s="51">
        <f>'ALL Other SINs - Proposal'!G840</f>
        <v>0</v>
      </c>
      <c r="H840" s="125">
        <f>'ALL Other SINs - Proposal'!H840</f>
        <v>0</v>
      </c>
      <c r="I840" s="125">
        <f>'ALL Other SINs - Proposal'!I840</f>
        <v>0</v>
      </c>
      <c r="J840" s="125">
        <f>'ALL Other SINs - Proposal'!J840</f>
        <v>0</v>
      </c>
      <c r="K840" s="125">
        <f>'ALL Other SINs - Proposal'!K840</f>
        <v>0</v>
      </c>
      <c r="L840" s="125">
        <f>'ALL Other SINs - Proposal'!L840</f>
        <v>0</v>
      </c>
      <c r="M840" s="206">
        <f>'ALL Other SINs - Proposal'!M840</f>
        <v>0</v>
      </c>
      <c r="N840" s="251">
        <f>'ALL Other SINs - Proposal'!V840</f>
        <v>0</v>
      </c>
      <c r="O840" s="201" t="str">
        <f>'Price Analysis'!N840</f>
        <v xml:space="preserve"> </v>
      </c>
      <c r="P840" s="53" t="str">
        <f>IF(ISBLANK('ALL Other SINs - Proposal'!AA840)," ",'ALL Other SINs - Proposal'!AA840)</f>
        <v xml:space="preserve"> </v>
      </c>
      <c r="Q840" s="95" t="str">
        <f>'ALL Other SINs - Proposal'!AC840</f>
        <v xml:space="preserve"> </v>
      </c>
      <c r="R840" s="100" t="str">
        <f>IF(ISBLANK('ALL Other SINs - Proposal'!AA840)," ",ROUND(Q840,2))</f>
        <v xml:space="preserve"> </v>
      </c>
      <c r="S840" s="54"/>
    </row>
    <row r="841" spans="1:19" ht="20.100000000000001" customHeight="1" x14ac:dyDescent="0.2">
      <c r="A841" s="127">
        <f>'ALL Other SINs - Proposal'!A841</f>
        <v>0</v>
      </c>
      <c r="B841" s="121">
        <f>'ALL Other SINs - Proposal'!B841</f>
        <v>0</v>
      </c>
      <c r="C841" s="121">
        <f>'ALL Other SINs - Proposal'!C841</f>
        <v>0</v>
      </c>
      <c r="D841" s="121">
        <f>'ALL Other SINs - Proposal'!D841</f>
        <v>0</v>
      </c>
      <c r="E841" s="121">
        <f>'ALL Other SINs - Proposal'!E841</f>
        <v>0</v>
      </c>
      <c r="F841" s="171">
        <f>'ALL Other SINs - Proposal'!F841</f>
        <v>0</v>
      </c>
      <c r="G841" s="51">
        <f>'ALL Other SINs - Proposal'!G841</f>
        <v>0</v>
      </c>
      <c r="H841" s="125">
        <f>'ALL Other SINs - Proposal'!H841</f>
        <v>0</v>
      </c>
      <c r="I841" s="125">
        <f>'ALL Other SINs - Proposal'!I841</f>
        <v>0</v>
      </c>
      <c r="J841" s="125">
        <f>'ALL Other SINs - Proposal'!J841</f>
        <v>0</v>
      </c>
      <c r="K841" s="125">
        <f>'ALL Other SINs - Proposal'!K841</f>
        <v>0</v>
      </c>
      <c r="L841" s="125">
        <f>'ALL Other SINs - Proposal'!L841</f>
        <v>0</v>
      </c>
      <c r="M841" s="206">
        <f>'ALL Other SINs - Proposal'!M841</f>
        <v>0</v>
      </c>
      <c r="N841" s="251">
        <f>'ALL Other SINs - Proposal'!V841</f>
        <v>0</v>
      </c>
      <c r="O841" s="201" t="str">
        <f>'Price Analysis'!N841</f>
        <v xml:space="preserve"> </v>
      </c>
      <c r="P841" s="53" t="str">
        <f>IF(ISBLANK('ALL Other SINs - Proposal'!AA841)," ",'ALL Other SINs - Proposal'!AA841)</f>
        <v xml:space="preserve"> </v>
      </c>
      <c r="Q841" s="95" t="str">
        <f>'ALL Other SINs - Proposal'!AC841</f>
        <v xml:space="preserve"> </v>
      </c>
      <c r="R841" s="100" t="str">
        <f>IF(ISBLANK('ALL Other SINs - Proposal'!AA841)," ",ROUND(Q841,2))</f>
        <v xml:space="preserve"> </v>
      </c>
      <c r="S841" s="54"/>
    </row>
    <row r="842" spans="1:19" ht="20.100000000000001" customHeight="1" x14ac:dyDescent="0.2">
      <c r="A842" s="127">
        <f>'ALL Other SINs - Proposal'!A842</f>
        <v>0</v>
      </c>
      <c r="B842" s="121">
        <f>'ALL Other SINs - Proposal'!B842</f>
        <v>0</v>
      </c>
      <c r="C842" s="121">
        <f>'ALL Other SINs - Proposal'!C842</f>
        <v>0</v>
      </c>
      <c r="D842" s="121">
        <f>'ALL Other SINs - Proposal'!D842</f>
        <v>0</v>
      </c>
      <c r="E842" s="121">
        <f>'ALL Other SINs - Proposal'!E842</f>
        <v>0</v>
      </c>
      <c r="F842" s="171">
        <f>'ALL Other SINs - Proposal'!F842</f>
        <v>0</v>
      </c>
      <c r="G842" s="51">
        <f>'ALL Other SINs - Proposal'!G842</f>
        <v>0</v>
      </c>
      <c r="H842" s="125">
        <f>'ALL Other SINs - Proposal'!H842</f>
        <v>0</v>
      </c>
      <c r="I842" s="125">
        <f>'ALL Other SINs - Proposal'!I842</f>
        <v>0</v>
      </c>
      <c r="J842" s="125">
        <f>'ALL Other SINs - Proposal'!J842</f>
        <v>0</v>
      </c>
      <c r="K842" s="125">
        <f>'ALL Other SINs - Proposal'!K842</f>
        <v>0</v>
      </c>
      <c r="L842" s="125">
        <f>'ALL Other SINs - Proposal'!L842</f>
        <v>0</v>
      </c>
      <c r="M842" s="206">
        <f>'ALL Other SINs - Proposal'!M842</f>
        <v>0</v>
      </c>
      <c r="N842" s="251">
        <f>'ALL Other SINs - Proposal'!V842</f>
        <v>0</v>
      </c>
      <c r="O842" s="201" t="str">
        <f>'Price Analysis'!N842</f>
        <v xml:space="preserve"> </v>
      </c>
      <c r="P842" s="53" t="str">
        <f>IF(ISBLANK('ALL Other SINs - Proposal'!AA842)," ",'ALL Other SINs - Proposal'!AA842)</f>
        <v xml:space="preserve"> </v>
      </c>
      <c r="Q842" s="95" t="str">
        <f>'ALL Other SINs - Proposal'!AC842</f>
        <v xml:space="preserve"> </v>
      </c>
      <c r="R842" s="100" t="str">
        <f>IF(ISBLANK('ALL Other SINs - Proposal'!AA842)," ",ROUND(Q842,2))</f>
        <v xml:space="preserve"> </v>
      </c>
      <c r="S842" s="54"/>
    </row>
    <row r="843" spans="1:19" ht="20.100000000000001" customHeight="1" x14ac:dyDescent="0.2">
      <c r="A843" s="127">
        <f>'ALL Other SINs - Proposal'!A843</f>
        <v>0</v>
      </c>
      <c r="B843" s="121">
        <f>'ALL Other SINs - Proposal'!B843</f>
        <v>0</v>
      </c>
      <c r="C843" s="121">
        <f>'ALL Other SINs - Proposal'!C843</f>
        <v>0</v>
      </c>
      <c r="D843" s="121">
        <f>'ALL Other SINs - Proposal'!D843</f>
        <v>0</v>
      </c>
      <c r="E843" s="121">
        <f>'ALL Other SINs - Proposal'!E843</f>
        <v>0</v>
      </c>
      <c r="F843" s="171">
        <f>'ALL Other SINs - Proposal'!F843</f>
        <v>0</v>
      </c>
      <c r="G843" s="51">
        <f>'ALL Other SINs - Proposal'!G843</f>
        <v>0</v>
      </c>
      <c r="H843" s="125">
        <f>'ALL Other SINs - Proposal'!H843</f>
        <v>0</v>
      </c>
      <c r="I843" s="125">
        <f>'ALL Other SINs - Proposal'!I843</f>
        <v>0</v>
      </c>
      <c r="J843" s="125">
        <f>'ALL Other SINs - Proposal'!J843</f>
        <v>0</v>
      </c>
      <c r="K843" s="125">
        <f>'ALL Other SINs - Proposal'!K843</f>
        <v>0</v>
      </c>
      <c r="L843" s="125">
        <f>'ALL Other SINs - Proposal'!L843</f>
        <v>0</v>
      </c>
      <c r="M843" s="206">
        <f>'ALL Other SINs - Proposal'!M843</f>
        <v>0</v>
      </c>
      <c r="N843" s="251">
        <f>'ALL Other SINs - Proposal'!V843</f>
        <v>0</v>
      </c>
      <c r="O843" s="201" t="str">
        <f>'Price Analysis'!N843</f>
        <v xml:space="preserve"> </v>
      </c>
      <c r="P843" s="53" t="str">
        <f>IF(ISBLANK('ALL Other SINs - Proposal'!AA843)," ",'ALL Other SINs - Proposal'!AA843)</f>
        <v xml:space="preserve"> </v>
      </c>
      <c r="Q843" s="95" t="str">
        <f>'ALL Other SINs - Proposal'!AC843</f>
        <v xml:space="preserve"> </v>
      </c>
      <c r="R843" s="100" t="str">
        <f>IF(ISBLANK('ALL Other SINs - Proposal'!AA843)," ",ROUND(Q843,2))</f>
        <v xml:space="preserve"> </v>
      </c>
      <c r="S843" s="54"/>
    </row>
    <row r="844" spans="1:19" ht="20.100000000000001" customHeight="1" x14ac:dyDescent="0.2">
      <c r="A844" s="127">
        <f>'ALL Other SINs - Proposal'!A844</f>
        <v>0</v>
      </c>
      <c r="B844" s="121">
        <f>'ALL Other SINs - Proposal'!B844</f>
        <v>0</v>
      </c>
      <c r="C844" s="121">
        <f>'ALL Other SINs - Proposal'!C844</f>
        <v>0</v>
      </c>
      <c r="D844" s="121">
        <f>'ALL Other SINs - Proposal'!D844</f>
        <v>0</v>
      </c>
      <c r="E844" s="121">
        <f>'ALL Other SINs - Proposal'!E844</f>
        <v>0</v>
      </c>
      <c r="F844" s="171">
        <f>'ALL Other SINs - Proposal'!F844</f>
        <v>0</v>
      </c>
      <c r="G844" s="51">
        <f>'ALL Other SINs - Proposal'!G844</f>
        <v>0</v>
      </c>
      <c r="H844" s="125">
        <f>'ALL Other SINs - Proposal'!H844</f>
        <v>0</v>
      </c>
      <c r="I844" s="125">
        <f>'ALL Other SINs - Proposal'!I844</f>
        <v>0</v>
      </c>
      <c r="J844" s="125">
        <f>'ALL Other SINs - Proposal'!J844</f>
        <v>0</v>
      </c>
      <c r="K844" s="125">
        <f>'ALL Other SINs - Proposal'!K844</f>
        <v>0</v>
      </c>
      <c r="L844" s="125">
        <f>'ALL Other SINs - Proposal'!L844</f>
        <v>0</v>
      </c>
      <c r="M844" s="206">
        <f>'ALL Other SINs - Proposal'!M844</f>
        <v>0</v>
      </c>
      <c r="N844" s="251">
        <f>'ALL Other SINs - Proposal'!V844</f>
        <v>0</v>
      </c>
      <c r="O844" s="201" t="str">
        <f>'Price Analysis'!N844</f>
        <v xml:space="preserve"> </v>
      </c>
      <c r="P844" s="53" t="str">
        <f>IF(ISBLANK('ALL Other SINs - Proposal'!AA844)," ",'ALL Other SINs - Proposal'!AA844)</f>
        <v xml:space="preserve"> </v>
      </c>
      <c r="Q844" s="95" t="str">
        <f>'ALL Other SINs - Proposal'!AC844</f>
        <v xml:space="preserve"> </v>
      </c>
      <c r="R844" s="100" t="str">
        <f>IF(ISBLANK('ALL Other SINs - Proposal'!AA844)," ",ROUND(Q844,2))</f>
        <v xml:space="preserve"> </v>
      </c>
      <c r="S844" s="54"/>
    </row>
    <row r="845" spans="1:19" ht="20.100000000000001" customHeight="1" x14ac:dyDescent="0.2">
      <c r="A845" s="127">
        <f>'ALL Other SINs - Proposal'!A845</f>
        <v>0</v>
      </c>
      <c r="B845" s="121">
        <f>'ALL Other SINs - Proposal'!B845</f>
        <v>0</v>
      </c>
      <c r="C845" s="121">
        <f>'ALL Other SINs - Proposal'!C845</f>
        <v>0</v>
      </c>
      <c r="D845" s="121">
        <f>'ALL Other SINs - Proposal'!D845</f>
        <v>0</v>
      </c>
      <c r="E845" s="121">
        <f>'ALL Other SINs - Proposal'!E845</f>
        <v>0</v>
      </c>
      <c r="F845" s="171">
        <f>'ALL Other SINs - Proposal'!F845</f>
        <v>0</v>
      </c>
      <c r="G845" s="51">
        <f>'ALL Other SINs - Proposal'!G845</f>
        <v>0</v>
      </c>
      <c r="H845" s="125">
        <f>'ALL Other SINs - Proposal'!H845</f>
        <v>0</v>
      </c>
      <c r="I845" s="125">
        <f>'ALL Other SINs - Proposal'!I845</f>
        <v>0</v>
      </c>
      <c r="J845" s="125">
        <f>'ALL Other SINs - Proposal'!J845</f>
        <v>0</v>
      </c>
      <c r="K845" s="125">
        <f>'ALL Other SINs - Proposal'!K845</f>
        <v>0</v>
      </c>
      <c r="L845" s="125">
        <f>'ALL Other SINs - Proposal'!L845</f>
        <v>0</v>
      </c>
      <c r="M845" s="206">
        <f>'ALL Other SINs - Proposal'!M845</f>
        <v>0</v>
      </c>
      <c r="N845" s="251">
        <f>'ALL Other SINs - Proposal'!V845</f>
        <v>0</v>
      </c>
      <c r="O845" s="201" t="str">
        <f>'Price Analysis'!N845</f>
        <v xml:space="preserve"> </v>
      </c>
      <c r="P845" s="53" t="str">
        <f>IF(ISBLANK('ALL Other SINs - Proposal'!AA845)," ",'ALL Other SINs - Proposal'!AA845)</f>
        <v xml:space="preserve"> </v>
      </c>
      <c r="Q845" s="95" t="str">
        <f>'ALL Other SINs - Proposal'!AC845</f>
        <v xml:space="preserve"> </v>
      </c>
      <c r="R845" s="100" t="str">
        <f>IF(ISBLANK('ALL Other SINs - Proposal'!AA845)," ",ROUND(Q845,2))</f>
        <v xml:space="preserve"> </v>
      </c>
      <c r="S845" s="54"/>
    </row>
    <row r="846" spans="1:19" ht="20.100000000000001" customHeight="1" x14ac:dyDescent="0.2">
      <c r="A846" s="127">
        <f>'ALL Other SINs - Proposal'!A846</f>
        <v>0</v>
      </c>
      <c r="B846" s="121">
        <f>'ALL Other SINs - Proposal'!B846</f>
        <v>0</v>
      </c>
      <c r="C846" s="121">
        <f>'ALL Other SINs - Proposal'!C846</f>
        <v>0</v>
      </c>
      <c r="D846" s="121">
        <f>'ALL Other SINs - Proposal'!D846</f>
        <v>0</v>
      </c>
      <c r="E846" s="121">
        <f>'ALL Other SINs - Proposal'!E846</f>
        <v>0</v>
      </c>
      <c r="F846" s="171">
        <f>'ALL Other SINs - Proposal'!F846</f>
        <v>0</v>
      </c>
      <c r="G846" s="51">
        <f>'ALL Other SINs - Proposal'!G846</f>
        <v>0</v>
      </c>
      <c r="H846" s="125">
        <f>'ALL Other SINs - Proposal'!H846</f>
        <v>0</v>
      </c>
      <c r="I846" s="125">
        <f>'ALL Other SINs - Proposal'!I846</f>
        <v>0</v>
      </c>
      <c r="J846" s="125">
        <f>'ALL Other SINs - Proposal'!J846</f>
        <v>0</v>
      </c>
      <c r="K846" s="125">
        <f>'ALL Other SINs - Proposal'!K846</f>
        <v>0</v>
      </c>
      <c r="L846" s="125">
        <f>'ALL Other SINs - Proposal'!L846</f>
        <v>0</v>
      </c>
      <c r="M846" s="206">
        <f>'ALL Other SINs - Proposal'!M846</f>
        <v>0</v>
      </c>
      <c r="N846" s="251">
        <f>'ALL Other SINs - Proposal'!V846</f>
        <v>0</v>
      </c>
      <c r="O846" s="201" t="str">
        <f>'Price Analysis'!N846</f>
        <v xml:space="preserve"> </v>
      </c>
      <c r="P846" s="53" t="str">
        <f>IF(ISBLANK('ALL Other SINs - Proposal'!AA846)," ",'ALL Other SINs - Proposal'!AA846)</f>
        <v xml:space="preserve"> </v>
      </c>
      <c r="Q846" s="95" t="str">
        <f>'ALL Other SINs - Proposal'!AC846</f>
        <v xml:space="preserve"> </v>
      </c>
      <c r="R846" s="100" t="str">
        <f>IF(ISBLANK('ALL Other SINs - Proposal'!AA846)," ",ROUND(Q846,2))</f>
        <v xml:space="preserve"> </v>
      </c>
      <c r="S846" s="54"/>
    </row>
    <row r="847" spans="1:19" ht="20.100000000000001" customHeight="1" x14ac:dyDescent="0.2">
      <c r="A847" s="127">
        <f>'ALL Other SINs - Proposal'!A847</f>
        <v>0</v>
      </c>
      <c r="B847" s="121">
        <f>'ALL Other SINs - Proposal'!B847</f>
        <v>0</v>
      </c>
      <c r="C847" s="121">
        <f>'ALL Other SINs - Proposal'!C847</f>
        <v>0</v>
      </c>
      <c r="D847" s="121">
        <f>'ALL Other SINs - Proposal'!D847</f>
        <v>0</v>
      </c>
      <c r="E847" s="121">
        <f>'ALL Other SINs - Proposal'!E847</f>
        <v>0</v>
      </c>
      <c r="F847" s="171">
        <f>'ALL Other SINs - Proposal'!F847</f>
        <v>0</v>
      </c>
      <c r="G847" s="51">
        <f>'ALL Other SINs - Proposal'!G847</f>
        <v>0</v>
      </c>
      <c r="H847" s="125">
        <f>'ALL Other SINs - Proposal'!H847</f>
        <v>0</v>
      </c>
      <c r="I847" s="125">
        <f>'ALL Other SINs - Proposal'!I847</f>
        <v>0</v>
      </c>
      <c r="J847" s="125">
        <f>'ALL Other SINs - Proposal'!J847</f>
        <v>0</v>
      </c>
      <c r="K847" s="125">
        <f>'ALL Other SINs - Proposal'!K847</f>
        <v>0</v>
      </c>
      <c r="L847" s="125">
        <f>'ALL Other SINs - Proposal'!L847</f>
        <v>0</v>
      </c>
      <c r="M847" s="206">
        <f>'ALL Other SINs - Proposal'!M847</f>
        <v>0</v>
      </c>
      <c r="N847" s="251">
        <f>'ALL Other SINs - Proposal'!V847</f>
        <v>0</v>
      </c>
      <c r="O847" s="201" t="str">
        <f>'Price Analysis'!N847</f>
        <v xml:space="preserve"> </v>
      </c>
      <c r="P847" s="53" t="str">
        <f>IF(ISBLANK('ALL Other SINs - Proposal'!AA847)," ",'ALL Other SINs - Proposal'!AA847)</f>
        <v xml:space="preserve"> </v>
      </c>
      <c r="Q847" s="95" t="str">
        <f>'ALL Other SINs - Proposal'!AC847</f>
        <v xml:space="preserve"> </v>
      </c>
      <c r="R847" s="100" t="str">
        <f>IF(ISBLANK('ALL Other SINs - Proposal'!AA847)," ",ROUND(Q847,2))</f>
        <v xml:space="preserve"> </v>
      </c>
      <c r="S847" s="54"/>
    </row>
    <row r="848" spans="1:19" ht="20.100000000000001" customHeight="1" x14ac:dyDescent="0.2">
      <c r="A848" s="127">
        <f>'ALL Other SINs - Proposal'!A848</f>
        <v>0</v>
      </c>
      <c r="B848" s="121">
        <f>'ALL Other SINs - Proposal'!B848</f>
        <v>0</v>
      </c>
      <c r="C848" s="121">
        <f>'ALL Other SINs - Proposal'!C848</f>
        <v>0</v>
      </c>
      <c r="D848" s="121">
        <f>'ALL Other SINs - Proposal'!D848</f>
        <v>0</v>
      </c>
      <c r="E848" s="121">
        <f>'ALL Other SINs - Proposal'!E848</f>
        <v>0</v>
      </c>
      <c r="F848" s="171">
        <f>'ALL Other SINs - Proposal'!F848</f>
        <v>0</v>
      </c>
      <c r="G848" s="51">
        <f>'ALL Other SINs - Proposal'!G848</f>
        <v>0</v>
      </c>
      <c r="H848" s="125">
        <f>'ALL Other SINs - Proposal'!H848</f>
        <v>0</v>
      </c>
      <c r="I848" s="125">
        <f>'ALL Other SINs - Proposal'!I848</f>
        <v>0</v>
      </c>
      <c r="J848" s="125">
        <f>'ALL Other SINs - Proposal'!J848</f>
        <v>0</v>
      </c>
      <c r="K848" s="125">
        <f>'ALL Other SINs - Proposal'!K848</f>
        <v>0</v>
      </c>
      <c r="L848" s="125">
        <f>'ALL Other SINs - Proposal'!L848</f>
        <v>0</v>
      </c>
      <c r="M848" s="206">
        <f>'ALL Other SINs - Proposal'!M848</f>
        <v>0</v>
      </c>
      <c r="N848" s="251">
        <f>'ALL Other SINs - Proposal'!V848</f>
        <v>0</v>
      </c>
      <c r="O848" s="201" t="str">
        <f>'Price Analysis'!N848</f>
        <v xml:space="preserve"> </v>
      </c>
      <c r="P848" s="53" t="str">
        <f>IF(ISBLANK('ALL Other SINs - Proposal'!AA848)," ",'ALL Other SINs - Proposal'!AA848)</f>
        <v xml:space="preserve"> </v>
      </c>
      <c r="Q848" s="95" t="str">
        <f>'ALL Other SINs - Proposal'!AC848</f>
        <v xml:space="preserve"> </v>
      </c>
      <c r="R848" s="100" t="str">
        <f>IF(ISBLANK('ALL Other SINs - Proposal'!AA848)," ",ROUND(Q848,2))</f>
        <v xml:space="preserve"> </v>
      </c>
      <c r="S848" s="54"/>
    </row>
    <row r="849" spans="1:19" ht="20.100000000000001" customHeight="1" x14ac:dyDescent="0.2">
      <c r="A849" s="127">
        <f>'ALL Other SINs - Proposal'!A849</f>
        <v>0</v>
      </c>
      <c r="B849" s="121">
        <f>'ALL Other SINs - Proposal'!B849</f>
        <v>0</v>
      </c>
      <c r="C849" s="121">
        <f>'ALL Other SINs - Proposal'!C849</f>
        <v>0</v>
      </c>
      <c r="D849" s="121">
        <f>'ALL Other SINs - Proposal'!D849</f>
        <v>0</v>
      </c>
      <c r="E849" s="121">
        <f>'ALL Other SINs - Proposal'!E849</f>
        <v>0</v>
      </c>
      <c r="F849" s="171">
        <f>'ALL Other SINs - Proposal'!F849</f>
        <v>0</v>
      </c>
      <c r="G849" s="51">
        <f>'ALL Other SINs - Proposal'!G849</f>
        <v>0</v>
      </c>
      <c r="H849" s="125">
        <f>'ALL Other SINs - Proposal'!H849</f>
        <v>0</v>
      </c>
      <c r="I849" s="125">
        <f>'ALL Other SINs - Proposal'!I849</f>
        <v>0</v>
      </c>
      <c r="J849" s="125">
        <f>'ALL Other SINs - Proposal'!J849</f>
        <v>0</v>
      </c>
      <c r="K849" s="125">
        <f>'ALL Other SINs - Proposal'!K849</f>
        <v>0</v>
      </c>
      <c r="L849" s="125">
        <f>'ALL Other SINs - Proposal'!L849</f>
        <v>0</v>
      </c>
      <c r="M849" s="206">
        <f>'ALL Other SINs - Proposal'!M849</f>
        <v>0</v>
      </c>
      <c r="N849" s="251">
        <f>'ALL Other SINs - Proposal'!V849</f>
        <v>0</v>
      </c>
      <c r="O849" s="201" t="str">
        <f>'Price Analysis'!N849</f>
        <v xml:space="preserve"> </v>
      </c>
      <c r="P849" s="53" t="str">
        <f>IF(ISBLANK('ALL Other SINs - Proposal'!AA849)," ",'ALL Other SINs - Proposal'!AA849)</f>
        <v xml:space="preserve"> </v>
      </c>
      <c r="Q849" s="95" t="str">
        <f>'ALL Other SINs - Proposal'!AC849</f>
        <v xml:space="preserve"> </v>
      </c>
      <c r="R849" s="100" t="str">
        <f>IF(ISBLANK('ALL Other SINs - Proposal'!AA849)," ",ROUND(Q849,2))</f>
        <v xml:space="preserve"> </v>
      </c>
      <c r="S849" s="54"/>
    </row>
    <row r="850" spans="1:19" ht="20.100000000000001" customHeight="1" x14ac:dyDescent="0.2">
      <c r="A850" s="127">
        <f>'ALL Other SINs - Proposal'!A850</f>
        <v>0</v>
      </c>
      <c r="B850" s="121">
        <f>'ALL Other SINs - Proposal'!B850</f>
        <v>0</v>
      </c>
      <c r="C850" s="121">
        <f>'ALL Other SINs - Proposal'!C850</f>
        <v>0</v>
      </c>
      <c r="D850" s="121">
        <f>'ALL Other SINs - Proposal'!D850</f>
        <v>0</v>
      </c>
      <c r="E850" s="121">
        <f>'ALL Other SINs - Proposal'!E850</f>
        <v>0</v>
      </c>
      <c r="F850" s="171">
        <f>'ALL Other SINs - Proposal'!F850</f>
        <v>0</v>
      </c>
      <c r="G850" s="51">
        <f>'ALL Other SINs - Proposal'!G850</f>
        <v>0</v>
      </c>
      <c r="H850" s="125">
        <f>'ALL Other SINs - Proposal'!H850</f>
        <v>0</v>
      </c>
      <c r="I850" s="125">
        <f>'ALL Other SINs - Proposal'!I850</f>
        <v>0</v>
      </c>
      <c r="J850" s="125">
        <f>'ALL Other SINs - Proposal'!J850</f>
        <v>0</v>
      </c>
      <c r="K850" s="125">
        <f>'ALL Other SINs - Proposal'!K850</f>
        <v>0</v>
      </c>
      <c r="L850" s="125">
        <f>'ALL Other SINs - Proposal'!L850</f>
        <v>0</v>
      </c>
      <c r="M850" s="206">
        <f>'ALL Other SINs - Proposal'!M850</f>
        <v>0</v>
      </c>
      <c r="N850" s="251">
        <f>'ALL Other SINs - Proposal'!V850</f>
        <v>0</v>
      </c>
      <c r="O850" s="201" t="str">
        <f>'Price Analysis'!N850</f>
        <v xml:space="preserve"> </v>
      </c>
      <c r="P850" s="53" t="str">
        <f>IF(ISBLANK('ALL Other SINs - Proposal'!AA850)," ",'ALL Other SINs - Proposal'!AA850)</f>
        <v xml:space="preserve"> </v>
      </c>
      <c r="Q850" s="95" t="str">
        <f>'ALL Other SINs - Proposal'!AC850</f>
        <v xml:space="preserve"> </v>
      </c>
      <c r="R850" s="100" t="str">
        <f>IF(ISBLANK('ALL Other SINs - Proposal'!AA850)," ",ROUND(Q850,2))</f>
        <v xml:space="preserve"> </v>
      </c>
      <c r="S850" s="54"/>
    </row>
    <row r="851" spans="1:19" ht="20.100000000000001" customHeight="1" x14ac:dyDescent="0.2">
      <c r="A851" s="127">
        <f>'ALL Other SINs - Proposal'!A851</f>
        <v>0</v>
      </c>
      <c r="B851" s="121">
        <f>'ALL Other SINs - Proposal'!B851</f>
        <v>0</v>
      </c>
      <c r="C851" s="121">
        <f>'ALL Other SINs - Proposal'!C851</f>
        <v>0</v>
      </c>
      <c r="D851" s="121">
        <f>'ALL Other SINs - Proposal'!D851</f>
        <v>0</v>
      </c>
      <c r="E851" s="121">
        <f>'ALL Other SINs - Proposal'!E851</f>
        <v>0</v>
      </c>
      <c r="F851" s="171">
        <f>'ALL Other SINs - Proposal'!F851</f>
        <v>0</v>
      </c>
      <c r="G851" s="51">
        <f>'ALL Other SINs - Proposal'!G851</f>
        <v>0</v>
      </c>
      <c r="H851" s="125">
        <f>'ALL Other SINs - Proposal'!H851</f>
        <v>0</v>
      </c>
      <c r="I851" s="125">
        <f>'ALL Other SINs - Proposal'!I851</f>
        <v>0</v>
      </c>
      <c r="J851" s="125">
        <f>'ALL Other SINs - Proposal'!J851</f>
        <v>0</v>
      </c>
      <c r="K851" s="125">
        <f>'ALL Other SINs - Proposal'!K851</f>
        <v>0</v>
      </c>
      <c r="L851" s="125">
        <f>'ALL Other SINs - Proposal'!L851</f>
        <v>0</v>
      </c>
      <c r="M851" s="206">
        <f>'ALL Other SINs - Proposal'!M851</f>
        <v>0</v>
      </c>
      <c r="N851" s="251">
        <f>'ALL Other SINs - Proposal'!V851</f>
        <v>0</v>
      </c>
      <c r="O851" s="201" t="str">
        <f>'Price Analysis'!N851</f>
        <v xml:space="preserve"> </v>
      </c>
      <c r="P851" s="53" t="str">
        <f>IF(ISBLANK('ALL Other SINs - Proposal'!AA851)," ",'ALL Other SINs - Proposal'!AA851)</f>
        <v xml:space="preserve"> </v>
      </c>
      <c r="Q851" s="95" t="str">
        <f>'ALL Other SINs - Proposal'!AC851</f>
        <v xml:space="preserve"> </v>
      </c>
      <c r="R851" s="100" t="str">
        <f>IF(ISBLANK('ALL Other SINs - Proposal'!AA851)," ",ROUND(Q851,2))</f>
        <v xml:space="preserve"> </v>
      </c>
      <c r="S851" s="54"/>
    </row>
    <row r="852" spans="1:19" ht="20.100000000000001" customHeight="1" x14ac:dyDescent="0.2">
      <c r="A852" s="127">
        <f>'ALL Other SINs - Proposal'!A852</f>
        <v>0</v>
      </c>
      <c r="B852" s="121">
        <f>'ALL Other SINs - Proposal'!B852</f>
        <v>0</v>
      </c>
      <c r="C852" s="121">
        <f>'ALL Other SINs - Proposal'!C852</f>
        <v>0</v>
      </c>
      <c r="D852" s="121">
        <f>'ALL Other SINs - Proposal'!D852</f>
        <v>0</v>
      </c>
      <c r="E852" s="121">
        <f>'ALL Other SINs - Proposal'!E852</f>
        <v>0</v>
      </c>
      <c r="F852" s="171">
        <f>'ALL Other SINs - Proposal'!F852</f>
        <v>0</v>
      </c>
      <c r="G852" s="51">
        <f>'ALL Other SINs - Proposal'!G852</f>
        <v>0</v>
      </c>
      <c r="H852" s="125">
        <f>'ALL Other SINs - Proposal'!H852</f>
        <v>0</v>
      </c>
      <c r="I852" s="125">
        <f>'ALL Other SINs - Proposal'!I852</f>
        <v>0</v>
      </c>
      <c r="J852" s="125">
        <f>'ALL Other SINs - Proposal'!J852</f>
        <v>0</v>
      </c>
      <c r="K852" s="125">
        <f>'ALL Other SINs - Proposal'!K852</f>
        <v>0</v>
      </c>
      <c r="L852" s="125">
        <f>'ALL Other SINs - Proposal'!L852</f>
        <v>0</v>
      </c>
      <c r="M852" s="206">
        <f>'ALL Other SINs - Proposal'!M852</f>
        <v>0</v>
      </c>
      <c r="N852" s="251">
        <f>'ALL Other SINs - Proposal'!V852</f>
        <v>0</v>
      </c>
      <c r="O852" s="201" t="str">
        <f>'Price Analysis'!N852</f>
        <v xml:space="preserve"> </v>
      </c>
      <c r="P852" s="53" t="str">
        <f>IF(ISBLANK('ALL Other SINs - Proposal'!AA852)," ",'ALL Other SINs - Proposal'!AA852)</f>
        <v xml:space="preserve"> </v>
      </c>
      <c r="Q852" s="95" t="str">
        <f>'ALL Other SINs - Proposal'!AC852</f>
        <v xml:space="preserve"> </v>
      </c>
      <c r="R852" s="100" t="str">
        <f>IF(ISBLANK('ALL Other SINs - Proposal'!AA852)," ",ROUND(Q852,2))</f>
        <v xml:space="preserve"> </v>
      </c>
      <c r="S852" s="54"/>
    </row>
    <row r="853" spans="1:19" ht="20.100000000000001" customHeight="1" x14ac:dyDescent="0.2">
      <c r="A853" s="127">
        <f>'ALL Other SINs - Proposal'!A853</f>
        <v>0</v>
      </c>
      <c r="B853" s="121">
        <f>'ALL Other SINs - Proposal'!B853</f>
        <v>0</v>
      </c>
      <c r="C853" s="121">
        <f>'ALL Other SINs - Proposal'!C853</f>
        <v>0</v>
      </c>
      <c r="D853" s="121">
        <f>'ALL Other SINs - Proposal'!D853</f>
        <v>0</v>
      </c>
      <c r="E853" s="121">
        <f>'ALL Other SINs - Proposal'!E853</f>
        <v>0</v>
      </c>
      <c r="F853" s="171">
        <f>'ALL Other SINs - Proposal'!F853</f>
        <v>0</v>
      </c>
      <c r="G853" s="51">
        <f>'ALL Other SINs - Proposal'!G853</f>
        <v>0</v>
      </c>
      <c r="H853" s="125">
        <f>'ALL Other SINs - Proposal'!H853</f>
        <v>0</v>
      </c>
      <c r="I853" s="125">
        <f>'ALL Other SINs - Proposal'!I853</f>
        <v>0</v>
      </c>
      <c r="J853" s="125">
        <f>'ALL Other SINs - Proposal'!J853</f>
        <v>0</v>
      </c>
      <c r="K853" s="125">
        <f>'ALL Other SINs - Proposal'!K853</f>
        <v>0</v>
      </c>
      <c r="L853" s="125">
        <f>'ALL Other SINs - Proposal'!L853</f>
        <v>0</v>
      </c>
      <c r="M853" s="206">
        <f>'ALL Other SINs - Proposal'!M853</f>
        <v>0</v>
      </c>
      <c r="N853" s="251">
        <f>'ALL Other SINs - Proposal'!V853</f>
        <v>0</v>
      </c>
      <c r="O853" s="201" t="str">
        <f>'Price Analysis'!N853</f>
        <v xml:space="preserve"> </v>
      </c>
      <c r="P853" s="53" t="str">
        <f>IF(ISBLANK('ALL Other SINs - Proposal'!AA853)," ",'ALL Other SINs - Proposal'!AA853)</f>
        <v xml:space="preserve"> </v>
      </c>
      <c r="Q853" s="95" t="str">
        <f>'ALL Other SINs - Proposal'!AC853</f>
        <v xml:space="preserve"> </v>
      </c>
      <c r="R853" s="100" t="str">
        <f>IF(ISBLANK('ALL Other SINs - Proposal'!AA853)," ",ROUND(Q853,2))</f>
        <v xml:space="preserve"> </v>
      </c>
      <c r="S853" s="54"/>
    </row>
    <row r="854" spans="1:19" ht="20.100000000000001" customHeight="1" x14ac:dyDescent="0.2">
      <c r="A854" s="127">
        <f>'ALL Other SINs - Proposal'!A854</f>
        <v>0</v>
      </c>
      <c r="B854" s="121">
        <f>'ALL Other SINs - Proposal'!B854</f>
        <v>0</v>
      </c>
      <c r="C854" s="121">
        <f>'ALL Other SINs - Proposal'!C854</f>
        <v>0</v>
      </c>
      <c r="D854" s="121">
        <f>'ALL Other SINs - Proposal'!D854</f>
        <v>0</v>
      </c>
      <c r="E854" s="121">
        <f>'ALL Other SINs - Proposal'!E854</f>
        <v>0</v>
      </c>
      <c r="F854" s="171">
        <f>'ALL Other SINs - Proposal'!F854</f>
        <v>0</v>
      </c>
      <c r="G854" s="51">
        <f>'ALL Other SINs - Proposal'!G854</f>
        <v>0</v>
      </c>
      <c r="H854" s="125">
        <f>'ALL Other SINs - Proposal'!H854</f>
        <v>0</v>
      </c>
      <c r="I854" s="125">
        <f>'ALL Other SINs - Proposal'!I854</f>
        <v>0</v>
      </c>
      <c r="J854" s="125">
        <f>'ALL Other SINs - Proposal'!J854</f>
        <v>0</v>
      </c>
      <c r="K854" s="125">
        <f>'ALL Other SINs - Proposal'!K854</f>
        <v>0</v>
      </c>
      <c r="L854" s="125">
        <f>'ALL Other SINs - Proposal'!L854</f>
        <v>0</v>
      </c>
      <c r="M854" s="206">
        <f>'ALL Other SINs - Proposal'!M854</f>
        <v>0</v>
      </c>
      <c r="N854" s="251">
        <f>'ALL Other SINs - Proposal'!V854</f>
        <v>0</v>
      </c>
      <c r="O854" s="201" t="str">
        <f>'Price Analysis'!N854</f>
        <v xml:space="preserve"> </v>
      </c>
      <c r="P854" s="53" t="str">
        <f>IF(ISBLANK('ALL Other SINs - Proposal'!AA854)," ",'ALL Other SINs - Proposal'!AA854)</f>
        <v xml:space="preserve"> </v>
      </c>
      <c r="Q854" s="95" t="str">
        <f>'ALL Other SINs - Proposal'!AC854</f>
        <v xml:space="preserve"> </v>
      </c>
      <c r="R854" s="100" t="str">
        <f>IF(ISBLANK('ALL Other SINs - Proposal'!AA854)," ",ROUND(Q854,2))</f>
        <v xml:space="preserve"> </v>
      </c>
      <c r="S854" s="54"/>
    </row>
    <row r="855" spans="1:19" ht="20.100000000000001" customHeight="1" x14ac:dyDescent="0.2">
      <c r="A855" s="127">
        <f>'ALL Other SINs - Proposal'!A855</f>
        <v>0</v>
      </c>
      <c r="B855" s="121">
        <f>'ALL Other SINs - Proposal'!B855</f>
        <v>0</v>
      </c>
      <c r="C855" s="121">
        <f>'ALL Other SINs - Proposal'!C855</f>
        <v>0</v>
      </c>
      <c r="D855" s="121">
        <f>'ALL Other SINs - Proposal'!D855</f>
        <v>0</v>
      </c>
      <c r="E855" s="121">
        <f>'ALL Other SINs - Proposal'!E855</f>
        <v>0</v>
      </c>
      <c r="F855" s="171">
        <f>'ALL Other SINs - Proposal'!F855</f>
        <v>0</v>
      </c>
      <c r="G855" s="51">
        <f>'ALL Other SINs - Proposal'!G855</f>
        <v>0</v>
      </c>
      <c r="H855" s="125">
        <f>'ALL Other SINs - Proposal'!H855</f>
        <v>0</v>
      </c>
      <c r="I855" s="125">
        <f>'ALL Other SINs - Proposal'!I855</f>
        <v>0</v>
      </c>
      <c r="J855" s="125">
        <f>'ALL Other SINs - Proposal'!J855</f>
        <v>0</v>
      </c>
      <c r="K855" s="125">
        <f>'ALL Other SINs - Proposal'!K855</f>
        <v>0</v>
      </c>
      <c r="L855" s="125">
        <f>'ALL Other SINs - Proposal'!L855</f>
        <v>0</v>
      </c>
      <c r="M855" s="206">
        <f>'ALL Other SINs - Proposal'!M855</f>
        <v>0</v>
      </c>
      <c r="N855" s="251">
        <f>'ALL Other SINs - Proposal'!V855</f>
        <v>0</v>
      </c>
      <c r="O855" s="201" t="str">
        <f>'Price Analysis'!N855</f>
        <v xml:space="preserve"> </v>
      </c>
      <c r="P855" s="53" t="str">
        <f>IF(ISBLANK('ALL Other SINs - Proposal'!AA855)," ",'ALL Other SINs - Proposal'!AA855)</f>
        <v xml:space="preserve"> </v>
      </c>
      <c r="Q855" s="95" t="str">
        <f>'ALL Other SINs - Proposal'!AC855</f>
        <v xml:space="preserve"> </v>
      </c>
      <c r="R855" s="100" t="str">
        <f>IF(ISBLANK('ALL Other SINs - Proposal'!AA855)," ",ROUND(Q855,2))</f>
        <v xml:space="preserve"> </v>
      </c>
      <c r="S855" s="54"/>
    </row>
    <row r="856" spans="1:19" ht="20.100000000000001" customHeight="1" x14ac:dyDescent="0.2">
      <c r="A856" s="127">
        <f>'ALL Other SINs - Proposal'!A856</f>
        <v>0</v>
      </c>
      <c r="B856" s="121">
        <f>'ALL Other SINs - Proposal'!B856</f>
        <v>0</v>
      </c>
      <c r="C856" s="121">
        <f>'ALL Other SINs - Proposal'!C856</f>
        <v>0</v>
      </c>
      <c r="D856" s="121">
        <f>'ALL Other SINs - Proposal'!D856</f>
        <v>0</v>
      </c>
      <c r="E856" s="121">
        <f>'ALL Other SINs - Proposal'!E856</f>
        <v>0</v>
      </c>
      <c r="F856" s="171">
        <f>'ALL Other SINs - Proposal'!F856</f>
        <v>0</v>
      </c>
      <c r="G856" s="51">
        <f>'ALL Other SINs - Proposal'!G856</f>
        <v>0</v>
      </c>
      <c r="H856" s="125">
        <f>'ALL Other SINs - Proposal'!H856</f>
        <v>0</v>
      </c>
      <c r="I856" s="125">
        <f>'ALL Other SINs - Proposal'!I856</f>
        <v>0</v>
      </c>
      <c r="J856" s="125">
        <f>'ALL Other SINs - Proposal'!J856</f>
        <v>0</v>
      </c>
      <c r="K856" s="125">
        <f>'ALL Other SINs - Proposal'!K856</f>
        <v>0</v>
      </c>
      <c r="L856" s="125">
        <f>'ALL Other SINs - Proposal'!L856</f>
        <v>0</v>
      </c>
      <c r="M856" s="206">
        <f>'ALL Other SINs - Proposal'!M856</f>
        <v>0</v>
      </c>
      <c r="N856" s="251">
        <f>'ALL Other SINs - Proposal'!V856</f>
        <v>0</v>
      </c>
      <c r="O856" s="201" t="str">
        <f>'Price Analysis'!N856</f>
        <v xml:space="preserve"> </v>
      </c>
      <c r="P856" s="53" t="str">
        <f>IF(ISBLANK('ALL Other SINs - Proposal'!AA856)," ",'ALL Other SINs - Proposal'!AA856)</f>
        <v xml:space="preserve"> </v>
      </c>
      <c r="Q856" s="95" t="str">
        <f>'ALL Other SINs - Proposal'!AC856</f>
        <v xml:space="preserve"> </v>
      </c>
      <c r="R856" s="100" t="str">
        <f>IF(ISBLANK('ALL Other SINs - Proposal'!AA856)," ",ROUND(Q856,2))</f>
        <v xml:space="preserve"> </v>
      </c>
      <c r="S856" s="54"/>
    </row>
    <row r="857" spans="1:19" ht="20.100000000000001" customHeight="1" x14ac:dyDescent="0.2">
      <c r="A857" s="127">
        <f>'ALL Other SINs - Proposal'!A857</f>
        <v>0</v>
      </c>
      <c r="B857" s="121">
        <f>'ALL Other SINs - Proposal'!B857</f>
        <v>0</v>
      </c>
      <c r="C857" s="121">
        <f>'ALL Other SINs - Proposal'!C857</f>
        <v>0</v>
      </c>
      <c r="D857" s="121">
        <f>'ALL Other SINs - Proposal'!D857</f>
        <v>0</v>
      </c>
      <c r="E857" s="121">
        <f>'ALL Other SINs - Proposal'!E857</f>
        <v>0</v>
      </c>
      <c r="F857" s="171">
        <f>'ALL Other SINs - Proposal'!F857</f>
        <v>0</v>
      </c>
      <c r="G857" s="51">
        <f>'ALL Other SINs - Proposal'!G857</f>
        <v>0</v>
      </c>
      <c r="H857" s="125">
        <f>'ALL Other SINs - Proposal'!H857</f>
        <v>0</v>
      </c>
      <c r="I857" s="125">
        <f>'ALL Other SINs - Proposal'!I857</f>
        <v>0</v>
      </c>
      <c r="J857" s="125">
        <f>'ALL Other SINs - Proposal'!J857</f>
        <v>0</v>
      </c>
      <c r="K857" s="125">
        <f>'ALL Other SINs - Proposal'!K857</f>
        <v>0</v>
      </c>
      <c r="L857" s="125">
        <f>'ALL Other SINs - Proposal'!L857</f>
        <v>0</v>
      </c>
      <c r="M857" s="206">
        <f>'ALL Other SINs - Proposal'!M857</f>
        <v>0</v>
      </c>
      <c r="N857" s="251">
        <f>'ALL Other SINs - Proposal'!V857</f>
        <v>0</v>
      </c>
      <c r="O857" s="201" t="str">
        <f>'Price Analysis'!N857</f>
        <v xml:space="preserve"> </v>
      </c>
      <c r="P857" s="53" t="str">
        <f>IF(ISBLANK('ALL Other SINs - Proposal'!AA857)," ",'ALL Other SINs - Proposal'!AA857)</f>
        <v xml:space="preserve"> </v>
      </c>
      <c r="Q857" s="95" t="str">
        <f>'ALL Other SINs - Proposal'!AC857</f>
        <v xml:space="preserve"> </v>
      </c>
      <c r="R857" s="100" t="str">
        <f>IF(ISBLANK('ALL Other SINs - Proposal'!AA857)," ",ROUND(Q857,2))</f>
        <v xml:space="preserve"> </v>
      </c>
      <c r="S857" s="54"/>
    </row>
    <row r="858" spans="1:19" ht="20.100000000000001" customHeight="1" x14ac:dyDescent="0.2">
      <c r="A858" s="127">
        <f>'ALL Other SINs - Proposal'!A858</f>
        <v>0</v>
      </c>
      <c r="B858" s="121">
        <f>'ALL Other SINs - Proposal'!B858</f>
        <v>0</v>
      </c>
      <c r="C858" s="121">
        <f>'ALL Other SINs - Proposal'!C858</f>
        <v>0</v>
      </c>
      <c r="D858" s="121">
        <f>'ALL Other SINs - Proposal'!D858</f>
        <v>0</v>
      </c>
      <c r="E858" s="121">
        <f>'ALL Other SINs - Proposal'!E858</f>
        <v>0</v>
      </c>
      <c r="F858" s="171">
        <f>'ALL Other SINs - Proposal'!F858</f>
        <v>0</v>
      </c>
      <c r="G858" s="51">
        <f>'ALL Other SINs - Proposal'!G858</f>
        <v>0</v>
      </c>
      <c r="H858" s="125">
        <f>'ALL Other SINs - Proposal'!H858</f>
        <v>0</v>
      </c>
      <c r="I858" s="125">
        <f>'ALL Other SINs - Proposal'!I858</f>
        <v>0</v>
      </c>
      <c r="J858" s="125">
        <f>'ALL Other SINs - Proposal'!J858</f>
        <v>0</v>
      </c>
      <c r="K858" s="125">
        <f>'ALL Other SINs - Proposal'!K858</f>
        <v>0</v>
      </c>
      <c r="L858" s="125">
        <f>'ALL Other SINs - Proposal'!L858</f>
        <v>0</v>
      </c>
      <c r="M858" s="206">
        <f>'ALL Other SINs - Proposal'!M858</f>
        <v>0</v>
      </c>
      <c r="N858" s="251">
        <f>'ALL Other SINs - Proposal'!V858</f>
        <v>0</v>
      </c>
      <c r="O858" s="201" t="str">
        <f>'Price Analysis'!N858</f>
        <v xml:space="preserve"> </v>
      </c>
      <c r="P858" s="53" t="str">
        <f>IF(ISBLANK('ALL Other SINs - Proposal'!AA858)," ",'ALL Other SINs - Proposal'!AA858)</f>
        <v xml:space="preserve"> </v>
      </c>
      <c r="Q858" s="95" t="str">
        <f>'ALL Other SINs - Proposal'!AC858</f>
        <v xml:space="preserve"> </v>
      </c>
      <c r="R858" s="100" t="str">
        <f>IF(ISBLANK('ALL Other SINs - Proposal'!AA858)," ",ROUND(Q858,2))</f>
        <v xml:space="preserve"> </v>
      </c>
      <c r="S858" s="54"/>
    </row>
    <row r="859" spans="1:19" ht="20.100000000000001" customHeight="1" x14ac:dyDescent="0.2">
      <c r="A859" s="127">
        <f>'ALL Other SINs - Proposal'!A859</f>
        <v>0</v>
      </c>
      <c r="B859" s="121">
        <f>'ALL Other SINs - Proposal'!B859</f>
        <v>0</v>
      </c>
      <c r="C859" s="121">
        <f>'ALL Other SINs - Proposal'!C859</f>
        <v>0</v>
      </c>
      <c r="D859" s="121">
        <f>'ALL Other SINs - Proposal'!D859</f>
        <v>0</v>
      </c>
      <c r="E859" s="121">
        <f>'ALL Other SINs - Proposal'!E859</f>
        <v>0</v>
      </c>
      <c r="F859" s="171">
        <f>'ALL Other SINs - Proposal'!F859</f>
        <v>0</v>
      </c>
      <c r="G859" s="51">
        <f>'ALL Other SINs - Proposal'!G859</f>
        <v>0</v>
      </c>
      <c r="H859" s="125">
        <f>'ALL Other SINs - Proposal'!H859</f>
        <v>0</v>
      </c>
      <c r="I859" s="125">
        <f>'ALL Other SINs - Proposal'!I859</f>
        <v>0</v>
      </c>
      <c r="J859" s="125">
        <f>'ALL Other SINs - Proposal'!J859</f>
        <v>0</v>
      </c>
      <c r="K859" s="125">
        <f>'ALL Other SINs - Proposal'!K859</f>
        <v>0</v>
      </c>
      <c r="L859" s="125">
        <f>'ALL Other SINs - Proposal'!L859</f>
        <v>0</v>
      </c>
      <c r="M859" s="206">
        <f>'ALL Other SINs - Proposal'!M859</f>
        <v>0</v>
      </c>
      <c r="N859" s="251">
        <f>'ALL Other SINs - Proposal'!V859</f>
        <v>0</v>
      </c>
      <c r="O859" s="201" t="str">
        <f>'Price Analysis'!N859</f>
        <v xml:space="preserve"> </v>
      </c>
      <c r="P859" s="53" t="str">
        <f>IF(ISBLANK('ALL Other SINs - Proposal'!AA859)," ",'ALL Other SINs - Proposal'!AA859)</f>
        <v xml:space="preserve"> </v>
      </c>
      <c r="Q859" s="95" t="str">
        <f>'ALL Other SINs - Proposal'!AC859</f>
        <v xml:space="preserve"> </v>
      </c>
      <c r="R859" s="100" t="str">
        <f>IF(ISBLANK('ALL Other SINs - Proposal'!AA859)," ",ROUND(Q859,2))</f>
        <v xml:space="preserve"> </v>
      </c>
      <c r="S859" s="54"/>
    </row>
    <row r="860" spans="1:19" ht="20.100000000000001" customHeight="1" x14ac:dyDescent="0.2">
      <c r="A860" s="127">
        <f>'ALL Other SINs - Proposal'!A860</f>
        <v>0</v>
      </c>
      <c r="B860" s="121">
        <f>'ALL Other SINs - Proposal'!B860</f>
        <v>0</v>
      </c>
      <c r="C860" s="121">
        <f>'ALL Other SINs - Proposal'!C860</f>
        <v>0</v>
      </c>
      <c r="D860" s="121">
        <f>'ALL Other SINs - Proposal'!D860</f>
        <v>0</v>
      </c>
      <c r="E860" s="121">
        <f>'ALL Other SINs - Proposal'!E860</f>
        <v>0</v>
      </c>
      <c r="F860" s="171">
        <f>'ALL Other SINs - Proposal'!F860</f>
        <v>0</v>
      </c>
      <c r="G860" s="51">
        <f>'ALL Other SINs - Proposal'!G860</f>
        <v>0</v>
      </c>
      <c r="H860" s="125">
        <f>'ALL Other SINs - Proposal'!H860</f>
        <v>0</v>
      </c>
      <c r="I860" s="125">
        <f>'ALL Other SINs - Proposal'!I860</f>
        <v>0</v>
      </c>
      <c r="J860" s="125">
        <f>'ALL Other SINs - Proposal'!J860</f>
        <v>0</v>
      </c>
      <c r="K860" s="125">
        <f>'ALL Other SINs - Proposal'!K860</f>
        <v>0</v>
      </c>
      <c r="L860" s="125">
        <f>'ALL Other SINs - Proposal'!L860</f>
        <v>0</v>
      </c>
      <c r="M860" s="206">
        <f>'ALL Other SINs - Proposal'!M860</f>
        <v>0</v>
      </c>
      <c r="N860" s="251">
        <f>'ALL Other SINs - Proposal'!V860</f>
        <v>0</v>
      </c>
      <c r="O860" s="201" t="str">
        <f>'Price Analysis'!N860</f>
        <v xml:space="preserve"> </v>
      </c>
      <c r="P860" s="53" t="str">
        <f>IF(ISBLANK('ALL Other SINs - Proposal'!AA860)," ",'ALL Other SINs - Proposal'!AA860)</f>
        <v xml:space="preserve"> </v>
      </c>
      <c r="Q860" s="95" t="str">
        <f>'ALL Other SINs - Proposal'!AC860</f>
        <v xml:space="preserve"> </v>
      </c>
      <c r="R860" s="100" t="str">
        <f>IF(ISBLANK('ALL Other SINs - Proposal'!AA860)," ",ROUND(Q860,2))</f>
        <v xml:space="preserve"> </v>
      </c>
      <c r="S860" s="54"/>
    </row>
    <row r="861" spans="1:19" ht="20.100000000000001" customHeight="1" x14ac:dyDescent="0.2">
      <c r="A861" s="127">
        <f>'ALL Other SINs - Proposal'!A861</f>
        <v>0</v>
      </c>
      <c r="B861" s="121">
        <f>'ALL Other SINs - Proposal'!B861</f>
        <v>0</v>
      </c>
      <c r="C861" s="121">
        <f>'ALL Other SINs - Proposal'!C861</f>
        <v>0</v>
      </c>
      <c r="D861" s="121">
        <f>'ALL Other SINs - Proposal'!D861</f>
        <v>0</v>
      </c>
      <c r="E861" s="121">
        <f>'ALL Other SINs - Proposal'!E861</f>
        <v>0</v>
      </c>
      <c r="F861" s="171">
        <f>'ALL Other SINs - Proposal'!F861</f>
        <v>0</v>
      </c>
      <c r="G861" s="51">
        <f>'ALL Other SINs - Proposal'!G861</f>
        <v>0</v>
      </c>
      <c r="H861" s="125">
        <f>'ALL Other SINs - Proposal'!H861</f>
        <v>0</v>
      </c>
      <c r="I861" s="125">
        <f>'ALL Other SINs - Proposal'!I861</f>
        <v>0</v>
      </c>
      <c r="J861" s="125">
        <f>'ALL Other SINs - Proposal'!J861</f>
        <v>0</v>
      </c>
      <c r="K861" s="125">
        <f>'ALL Other SINs - Proposal'!K861</f>
        <v>0</v>
      </c>
      <c r="L861" s="125">
        <f>'ALL Other SINs - Proposal'!L861</f>
        <v>0</v>
      </c>
      <c r="M861" s="206">
        <f>'ALL Other SINs - Proposal'!M861</f>
        <v>0</v>
      </c>
      <c r="N861" s="251">
        <f>'ALL Other SINs - Proposal'!V861</f>
        <v>0</v>
      </c>
      <c r="O861" s="201" t="str">
        <f>'Price Analysis'!N861</f>
        <v xml:space="preserve"> </v>
      </c>
      <c r="P861" s="53" t="str">
        <f>IF(ISBLANK('ALL Other SINs - Proposal'!AA861)," ",'ALL Other SINs - Proposal'!AA861)</f>
        <v xml:space="preserve"> </v>
      </c>
      <c r="Q861" s="95" t="str">
        <f>'ALL Other SINs - Proposal'!AC861</f>
        <v xml:space="preserve"> </v>
      </c>
      <c r="R861" s="100" t="str">
        <f>IF(ISBLANK('ALL Other SINs - Proposal'!AA861)," ",ROUND(Q861,2))</f>
        <v xml:space="preserve"> </v>
      </c>
      <c r="S861" s="54"/>
    </row>
    <row r="862" spans="1:19" ht="20.100000000000001" customHeight="1" x14ac:dyDescent="0.2">
      <c r="A862" s="127">
        <f>'ALL Other SINs - Proposal'!A862</f>
        <v>0</v>
      </c>
      <c r="B862" s="121">
        <f>'ALL Other SINs - Proposal'!B862</f>
        <v>0</v>
      </c>
      <c r="C862" s="121">
        <f>'ALL Other SINs - Proposal'!C862</f>
        <v>0</v>
      </c>
      <c r="D862" s="121">
        <f>'ALL Other SINs - Proposal'!D862</f>
        <v>0</v>
      </c>
      <c r="E862" s="121">
        <f>'ALL Other SINs - Proposal'!E862</f>
        <v>0</v>
      </c>
      <c r="F862" s="171">
        <f>'ALL Other SINs - Proposal'!F862</f>
        <v>0</v>
      </c>
      <c r="G862" s="51">
        <f>'ALL Other SINs - Proposal'!G862</f>
        <v>0</v>
      </c>
      <c r="H862" s="125">
        <f>'ALL Other SINs - Proposal'!H862</f>
        <v>0</v>
      </c>
      <c r="I862" s="125">
        <f>'ALL Other SINs - Proposal'!I862</f>
        <v>0</v>
      </c>
      <c r="J862" s="125">
        <f>'ALL Other SINs - Proposal'!J862</f>
        <v>0</v>
      </c>
      <c r="K862" s="125">
        <f>'ALL Other SINs - Proposal'!K862</f>
        <v>0</v>
      </c>
      <c r="L862" s="125">
        <f>'ALL Other SINs - Proposal'!L862</f>
        <v>0</v>
      </c>
      <c r="M862" s="206">
        <f>'ALL Other SINs - Proposal'!M862</f>
        <v>0</v>
      </c>
      <c r="N862" s="251">
        <f>'ALL Other SINs - Proposal'!V862</f>
        <v>0</v>
      </c>
      <c r="O862" s="201" t="str">
        <f>'Price Analysis'!N862</f>
        <v xml:space="preserve"> </v>
      </c>
      <c r="P862" s="53" t="str">
        <f>IF(ISBLANK('ALL Other SINs - Proposal'!AA862)," ",'ALL Other SINs - Proposal'!AA862)</f>
        <v xml:space="preserve"> </v>
      </c>
      <c r="Q862" s="95" t="str">
        <f>'ALL Other SINs - Proposal'!AC862</f>
        <v xml:space="preserve"> </v>
      </c>
      <c r="R862" s="100" t="str">
        <f>IF(ISBLANK('ALL Other SINs - Proposal'!AA862)," ",ROUND(Q862,2))</f>
        <v xml:space="preserve"> </v>
      </c>
      <c r="S862" s="54"/>
    </row>
    <row r="863" spans="1:19" ht="20.100000000000001" customHeight="1" x14ac:dyDescent="0.2">
      <c r="A863" s="127">
        <f>'ALL Other SINs - Proposal'!A863</f>
        <v>0</v>
      </c>
      <c r="B863" s="121">
        <f>'ALL Other SINs - Proposal'!B863</f>
        <v>0</v>
      </c>
      <c r="C863" s="121">
        <f>'ALL Other SINs - Proposal'!C863</f>
        <v>0</v>
      </c>
      <c r="D863" s="121">
        <f>'ALL Other SINs - Proposal'!D863</f>
        <v>0</v>
      </c>
      <c r="E863" s="121">
        <f>'ALL Other SINs - Proposal'!E863</f>
        <v>0</v>
      </c>
      <c r="F863" s="171">
        <f>'ALL Other SINs - Proposal'!F863</f>
        <v>0</v>
      </c>
      <c r="G863" s="51">
        <f>'ALL Other SINs - Proposal'!G863</f>
        <v>0</v>
      </c>
      <c r="H863" s="125">
        <f>'ALL Other SINs - Proposal'!H863</f>
        <v>0</v>
      </c>
      <c r="I863" s="125">
        <f>'ALL Other SINs - Proposal'!I863</f>
        <v>0</v>
      </c>
      <c r="J863" s="125">
        <f>'ALL Other SINs - Proposal'!J863</f>
        <v>0</v>
      </c>
      <c r="K863" s="125">
        <f>'ALL Other SINs - Proposal'!K863</f>
        <v>0</v>
      </c>
      <c r="L863" s="125">
        <f>'ALL Other SINs - Proposal'!L863</f>
        <v>0</v>
      </c>
      <c r="M863" s="206">
        <f>'ALL Other SINs - Proposal'!M863</f>
        <v>0</v>
      </c>
      <c r="N863" s="251">
        <f>'ALL Other SINs - Proposal'!V863</f>
        <v>0</v>
      </c>
      <c r="O863" s="201" t="str">
        <f>'Price Analysis'!N863</f>
        <v xml:space="preserve"> </v>
      </c>
      <c r="P863" s="53" t="str">
        <f>IF(ISBLANK('ALL Other SINs - Proposal'!AA863)," ",'ALL Other SINs - Proposal'!AA863)</f>
        <v xml:space="preserve"> </v>
      </c>
      <c r="Q863" s="95" t="str">
        <f>'ALL Other SINs - Proposal'!AC863</f>
        <v xml:space="preserve"> </v>
      </c>
      <c r="R863" s="100" t="str">
        <f>IF(ISBLANK('ALL Other SINs - Proposal'!AA863)," ",ROUND(Q863,2))</f>
        <v xml:space="preserve"> </v>
      </c>
      <c r="S863" s="54"/>
    </row>
    <row r="864" spans="1:19" ht="20.100000000000001" customHeight="1" x14ac:dyDescent="0.2">
      <c r="A864" s="127">
        <f>'ALL Other SINs - Proposal'!A864</f>
        <v>0</v>
      </c>
      <c r="B864" s="121">
        <f>'ALL Other SINs - Proposal'!B864</f>
        <v>0</v>
      </c>
      <c r="C864" s="121">
        <f>'ALL Other SINs - Proposal'!C864</f>
        <v>0</v>
      </c>
      <c r="D864" s="121">
        <f>'ALL Other SINs - Proposal'!D864</f>
        <v>0</v>
      </c>
      <c r="E864" s="121">
        <f>'ALL Other SINs - Proposal'!E864</f>
        <v>0</v>
      </c>
      <c r="F864" s="171">
        <f>'ALL Other SINs - Proposal'!F864</f>
        <v>0</v>
      </c>
      <c r="G864" s="51">
        <f>'ALL Other SINs - Proposal'!G864</f>
        <v>0</v>
      </c>
      <c r="H864" s="125">
        <f>'ALL Other SINs - Proposal'!H864</f>
        <v>0</v>
      </c>
      <c r="I864" s="125">
        <f>'ALL Other SINs - Proposal'!I864</f>
        <v>0</v>
      </c>
      <c r="J864" s="125">
        <f>'ALL Other SINs - Proposal'!J864</f>
        <v>0</v>
      </c>
      <c r="K864" s="125">
        <f>'ALL Other SINs - Proposal'!K864</f>
        <v>0</v>
      </c>
      <c r="L864" s="125">
        <f>'ALL Other SINs - Proposal'!L864</f>
        <v>0</v>
      </c>
      <c r="M864" s="206">
        <f>'ALL Other SINs - Proposal'!M864</f>
        <v>0</v>
      </c>
      <c r="N864" s="251">
        <f>'ALL Other SINs - Proposal'!V864</f>
        <v>0</v>
      </c>
      <c r="O864" s="201" t="str">
        <f>'Price Analysis'!N864</f>
        <v xml:space="preserve"> </v>
      </c>
      <c r="P864" s="53" t="str">
        <f>IF(ISBLANK('ALL Other SINs - Proposal'!AA864)," ",'ALL Other SINs - Proposal'!AA864)</f>
        <v xml:space="preserve"> </v>
      </c>
      <c r="Q864" s="95" t="str">
        <f>'ALL Other SINs - Proposal'!AC864</f>
        <v xml:space="preserve"> </v>
      </c>
      <c r="R864" s="100" t="str">
        <f>IF(ISBLANK('ALL Other SINs - Proposal'!AA864)," ",ROUND(Q864,2))</f>
        <v xml:space="preserve"> </v>
      </c>
      <c r="S864" s="54"/>
    </row>
    <row r="865" spans="1:19" ht="20.100000000000001" customHeight="1" x14ac:dyDescent="0.2">
      <c r="A865" s="127">
        <f>'ALL Other SINs - Proposal'!A865</f>
        <v>0</v>
      </c>
      <c r="B865" s="121">
        <f>'ALL Other SINs - Proposal'!B865</f>
        <v>0</v>
      </c>
      <c r="C865" s="121">
        <f>'ALL Other SINs - Proposal'!C865</f>
        <v>0</v>
      </c>
      <c r="D865" s="121">
        <f>'ALL Other SINs - Proposal'!D865</f>
        <v>0</v>
      </c>
      <c r="E865" s="121">
        <f>'ALL Other SINs - Proposal'!E865</f>
        <v>0</v>
      </c>
      <c r="F865" s="171">
        <f>'ALL Other SINs - Proposal'!F865</f>
        <v>0</v>
      </c>
      <c r="G865" s="51">
        <f>'ALL Other SINs - Proposal'!G865</f>
        <v>0</v>
      </c>
      <c r="H865" s="125">
        <f>'ALL Other SINs - Proposal'!H865</f>
        <v>0</v>
      </c>
      <c r="I865" s="125">
        <f>'ALL Other SINs - Proposal'!I865</f>
        <v>0</v>
      </c>
      <c r="J865" s="125">
        <f>'ALL Other SINs - Proposal'!J865</f>
        <v>0</v>
      </c>
      <c r="K865" s="125">
        <f>'ALL Other SINs - Proposal'!K865</f>
        <v>0</v>
      </c>
      <c r="L865" s="125">
        <f>'ALL Other SINs - Proposal'!L865</f>
        <v>0</v>
      </c>
      <c r="M865" s="206">
        <f>'ALL Other SINs - Proposal'!M865</f>
        <v>0</v>
      </c>
      <c r="N865" s="251">
        <f>'ALL Other SINs - Proposal'!V865</f>
        <v>0</v>
      </c>
      <c r="O865" s="201" t="str">
        <f>'Price Analysis'!N865</f>
        <v xml:space="preserve"> </v>
      </c>
      <c r="P865" s="53" t="str">
        <f>IF(ISBLANK('ALL Other SINs - Proposal'!AA865)," ",'ALL Other SINs - Proposal'!AA865)</f>
        <v xml:space="preserve"> </v>
      </c>
      <c r="Q865" s="95" t="str">
        <f>'ALL Other SINs - Proposal'!AC865</f>
        <v xml:space="preserve"> </v>
      </c>
      <c r="R865" s="100" t="str">
        <f>IF(ISBLANK('ALL Other SINs - Proposal'!AA865)," ",ROUND(Q865,2))</f>
        <v xml:space="preserve"> </v>
      </c>
      <c r="S865" s="54"/>
    </row>
    <row r="866" spans="1:19" ht="20.100000000000001" customHeight="1" x14ac:dyDescent="0.2">
      <c r="A866" s="127">
        <f>'ALL Other SINs - Proposal'!A866</f>
        <v>0</v>
      </c>
      <c r="B866" s="121">
        <f>'ALL Other SINs - Proposal'!B866</f>
        <v>0</v>
      </c>
      <c r="C866" s="121">
        <f>'ALL Other SINs - Proposal'!C866</f>
        <v>0</v>
      </c>
      <c r="D866" s="121">
        <f>'ALL Other SINs - Proposal'!D866</f>
        <v>0</v>
      </c>
      <c r="E866" s="121">
        <f>'ALL Other SINs - Proposal'!E866</f>
        <v>0</v>
      </c>
      <c r="F866" s="171">
        <f>'ALL Other SINs - Proposal'!F866</f>
        <v>0</v>
      </c>
      <c r="G866" s="51">
        <f>'ALL Other SINs - Proposal'!G866</f>
        <v>0</v>
      </c>
      <c r="H866" s="125">
        <f>'ALL Other SINs - Proposal'!H866</f>
        <v>0</v>
      </c>
      <c r="I866" s="125">
        <f>'ALL Other SINs - Proposal'!I866</f>
        <v>0</v>
      </c>
      <c r="J866" s="125">
        <f>'ALL Other SINs - Proposal'!J866</f>
        <v>0</v>
      </c>
      <c r="K866" s="125">
        <f>'ALL Other SINs - Proposal'!K866</f>
        <v>0</v>
      </c>
      <c r="L866" s="125">
        <f>'ALL Other SINs - Proposal'!L866</f>
        <v>0</v>
      </c>
      <c r="M866" s="206">
        <f>'ALL Other SINs - Proposal'!M866</f>
        <v>0</v>
      </c>
      <c r="N866" s="251">
        <f>'ALL Other SINs - Proposal'!V866</f>
        <v>0</v>
      </c>
      <c r="O866" s="201" t="str">
        <f>'Price Analysis'!N866</f>
        <v xml:space="preserve"> </v>
      </c>
      <c r="P866" s="53" t="str">
        <f>IF(ISBLANK('ALL Other SINs - Proposal'!AA866)," ",'ALL Other SINs - Proposal'!AA866)</f>
        <v xml:space="preserve"> </v>
      </c>
      <c r="Q866" s="95" t="str">
        <f>'ALL Other SINs - Proposal'!AC866</f>
        <v xml:space="preserve"> </v>
      </c>
      <c r="R866" s="100" t="str">
        <f>IF(ISBLANK('ALL Other SINs - Proposal'!AA866)," ",ROUND(Q866,2))</f>
        <v xml:space="preserve"> </v>
      </c>
      <c r="S866" s="54"/>
    </row>
    <row r="867" spans="1:19" ht="20.100000000000001" customHeight="1" x14ac:dyDescent="0.2">
      <c r="A867" s="127">
        <f>'ALL Other SINs - Proposal'!A867</f>
        <v>0</v>
      </c>
      <c r="B867" s="121">
        <f>'ALL Other SINs - Proposal'!B867</f>
        <v>0</v>
      </c>
      <c r="C867" s="121">
        <f>'ALL Other SINs - Proposal'!C867</f>
        <v>0</v>
      </c>
      <c r="D867" s="121">
        <f>'ALL Other SINs - Proposal'!D867</f>
        <v>0</v>
      </c>
      <c r="E867" s="121">
        <f>'ALL Other SINs - Proposal'!E867</f>
        <v>0</v>
      </c>
      <c r="F867" s="171">
        <f>'ALL Other SINs - Proposal'!F867</f>
        <v>0</v>
      </c>
      <c r="G867" s="51">
        <f>'ALL Other SINs - Proposal'!G867</f>
        <v>0</v>
      </c>
      <c r="H867" s="125">
        <f>'ALL Other SINs - Proposal'!H867</f>
        <v>0</v>
      </c>
      <c r="I867" s="125">
        <f>'ALL Other SINs - Proposal'!I867</f>
        <v>0</v>
      </c>
      <c r="J867" s="125">
        <f>'ALL Other SINs - Proposal'!J867</f>
        <v>0</v>
      </c>
      <c r="K867" s="125">
        <f>'ALL Other SINs - Proposal'!K867</f>
        <v>0</v>
      </c>
      <c r="L867" s="125">
        <f>'ALL Other SINs - Proposal'!L867</f>
        <v>0</v>
      </c>
      <c r="M867" s="206">
        <f>'ALL Other SINs - Proposal'!M867</f>
        <v>0</v>
      </c>
      <c r="N867" s="251">
        <f>'ALL Other SINs - Proposal'!V867</f>
        <v>0</v>
      </c>
      <c r="O867" s="201" t="str">
        <f>'Price Analysis'!N867</f>
        <v xml:space="preserve"> </v>
      </c>
      <c r="P867" s="53" t="str">
        <f>IF(ISBLANK('ALL Other SINs - Proposal'!AA867)," ",'ALL Other SINs - Proposal'!AA867)</f>
        <v xml:space="preserve"> </v>
      </c>
      <c r="Q867" s="95" t="str">
        <f>'ALL Other SINs - Proposal'!AC867</f>
        <v xml:space="preserve"> </v>
      </c>
      <c r="R867" s="100" t="str">
        <f>IF(ISBLANK('ALL Other SINs - Proposal'!AA867)," ",ROUND(Q867,2))</f>
        <v xml:space="preserve"> </v>
      </c>
      <c r="S867" s="54"/>
    </row>
    <row r="868" spans="1:19" ht="20.100000000000001" customHeight="1" x14ac:dyDescent="0.2">
      <c r="A868" s="127">
        <f>'ALL Other SINs - Proposal'!A868</f>
        <v>0</v>
      </c>
      <c r="B868" s="121">
        <f>'ALL Other SINs - Proposal'!B868</f>
        <v>0</v>
      </c>
      <c r="C868" s="121">
        <f>'ALL Other SINs - Proposal'!C868</f>
        <v>0</v>
      </c>
      <c r="D868" s="121">
        <f>'ALL Other SINs - Proposal'!D868</f>
        <v>0</v>
      </c>
      <c r="E868" s="121">
        <f>'ALL Other SINs - Proposal'!E868</f>
        <v>0</v>
      </c>
      <c r="F868" s="171">
        <f>'ALL Other SINs - Proposal'!F868</f>
        <v>0</v>
      </c>
      <c r="G868" s="51">
        <f>'ALL Other SINs - Proposal'!G868</f>
        <v>0</v>
      </c>
      <c r="H868" s="125">
        <f>'ALL Other SINs - Proposal'!H868</f>
        <v>0</v>
      </c>
      <c r="I868" s="125">
        <f>'ALL Other SINs - Proposal'!I868</f>
        <v>0</v>
      </c>
      <c r="J868" s="125">
        <f>'ALL Other SINs - Proposal'!J868</f>
        <v>0</v>
      </c>
      <c r="K868" s="125">
        <f>'ALL Other SINs - Proposal'!K868</f>
        <v>0</v>
      </c>
      <c r="L868" s="125">
        <f>'ALL Other SINs - Proposal'!L868</f>
        <v>0</v>
      </c>
      <c r="M868" s="206">
        <f>'ALL Other SINs - Proposal'!M868</f>
        <v>0</v>
      </c>
      <c r="N868" s="251">
        <f>'ALL Other SINs - Proposal'!V868</f>
        <v>0</v>
      </c>
      <c r="O868" s="201" t="str">
        <f>'Price Analysis'!N868</f>
        <v xml:space="preserve"> </v>
      </c>
      <c r="P868" s="53" t="str">
        <f>IF(ISBLANK('ALL Other SINs - Proposal'!AA868)," ",'ALL Other SINs - Proposal'!AA868)</f>
        <v xml:space="preserve"> </v>
      </c>
      <c r="Q868" s="95" t="str">
        <f>'ALL Other SINs - Proposal'!AC868</f>
        <v xml:space="preserve"> </v>
      </c>
      <c r="R868" s="100" t="str">
        <f>IF(ISBLANK('ALL Other SINs - Proposal'!AA868)," ",ROUND(Q868,2))</f>
        <v xml:space="preserve"> </v>
      </c>
      <c r="S868" s="54"/>
    </row>
    <row r="869" spans="1:19" ht="20.100000000000001" customHeight="1" x14ac:dyDescent="0.2">
      <c r="A869" s="127">
        <f>'ALL Other SINs - Proposal'!A869</f>
        <v>0</v>
      </c>
      <c r="B869" s="121">
        <f>'ALL Other SINs - Proposal'!B869</f>
        <v>0</v>
      </c>
      <c r="C869" s="121">
        <f>'ALL Other SINs - Proposal'!C869</f>
        <v>0</v>
      </c>
      <c r="D869" s="121">
        <f>'ALL Other SINs - Proposal'!D869</f>
        <v>0</v>
      </c>
      <c r="E869" s="121">
        <f>'ALL Other SINs - Proposal'!E869</f>
        <v>0</v>
      </c>
      <c r="F869" s="171">
        <f>'ALL Other SINs - Proposal'!F869</f>
        <v>0</v>
      </c>
      <c r="G869" s="51">
        <f>'ALL Other SINs - Proposal'!G869</f>
        <v>0</v>
      </c>
      <c r="H869" s="125">
        <f>'ALL Other SINs - Proposal'!H869</f>
        <v>0</v>
      </c>
      <c r="I869" s="125">
        <f>'ALL Other SINs - Proposal'!I869</f>
        <v>0</v>
      </c>
      <c r="J869" s="125">
        <f>'ALL Other SINs - Proposal'!J869</f>
        <v>0</v>
      </c>
      <c r="K869" s="125">
        <f>'ALL Other SINs - Proposal'!K869</f>
        <v>0</v>
      </c>
      <c r="L869" s="125">
        <f>'ALL Other SINs - Proposal'!L869</f>
        <v>0</v>
      </c>
      <c r="M869" s="206">
        <f>'ALL Other SINs - Proposal'!M869</f>
        <v>0</v>
      </c>
      <c r="N869" s="251">
        <f>'ALL Other SINs - Proposal'!V869</f>
        <v>0</v>
      </c>
      <c r="O869" s="201" t="str">
        <f>'Price Analysis'!N869</f>
        <v xml:space="preserve"> </v>
      </c>
      <c r="P869" s="53" t="str">
        <f>IF(ISBLANK('ALL Other SINs - Proposal'!AA869)," ",'ALL Other SINs - Proposal'!AA869)</f>
        <v xml:space="preserve"> </v>
      </c>
      <c r="Q869" s="95" t="str">
        <f>'ALL Other SINs - Proposal'!AC869</f>
        <v xml:space="preserve"> </v>
      </c>
      <c r="R869" s="100" t="str">
        <f>IF(ISBLANK('ALL Other SINs - Proposal'!AA869)," ",ROUND(Q869,2))</f>
        <v xml:space="preserve"> </v>
      </c>
      <c r="S869" s="54"/>
    </row>
    <row r="870" spans="1:19" ht="20.100000000000001" customHeight="1" x14ac:dyDescent="0.2">
      <c r="A870" s="127">
        <f>'ALL Other SINs - Proposal'!A870</f>
        <v>0</v>
      </c>
      <c r="B870" s="121">
        <f>'ALL Other SINs - Proposal'!B870</f>
        <v>0</v>
      </c>
      <c r="C870" s="121">
        <f>'ALL Other SINs - Proposal'!C870</f>
        <v>0</v>
      </c>
      <c r="D870" s="121">
        <f>'ALL Other SINs - Proposal'!D870</f>
        <v>0</v>
      </c>
      <c r="E870" s="121">
        <f>'ALL Other SINs - Proposal'!E870</f>
        <v>0</v>
      </c>
      <c r="F870" s="171">
        <f>'ALL Other SINs - Proposal'!F870</f>
        <v>0</v>
      </c>
      <c r="G870" s="51">
        <f>'ALL Other SINs - Proposal'!G870</f>
        <v>0</v>
      </c>
      <c r="H870" s="125">
        <f>'ALL Other SINs - Proposal'!H870</f>
        <v>0</v>
      </c>
      <c r="I870" s="125">
        <f>'ALL Other SINs - Proposal'!I870</f>
        <v>0</v>
      </c>
      <c r="J870" s="125">
        <f>'ALL Other SINs - Proposal'!J870</f>
        <v>0</v>
      </c>
      <c r="K870" s="125">
        <f>'ALL Other SINs - Proposal'!K870</f>
        <v>0</v>
      </c>
      <c r="L870" s="125">
        <f>'ALL Other SINs - Proposal'!L870</f>
        <v>0</v>
      </c>
      <c r="M870" s="206">
        <f>'ALL Other SINs - Proposal'!M870</f>
        <v>0</v>
      </c>
      <c r="N870" s="251">
        <f>'ALL Other SINs - Proposal'!V870</f>
        <v>0</v>
      </c>
      <c r="O870" s="201" t="str">
        <f>'Price Analysis'!N870</f>
        <v xml:space="preserve"> </v>
      </c>
      <c r="P870" s="53" t="str">
        <f>IF(ISBLANK('ALL Other SINs - Proposal'!AA870)," ",'ALL Other SINs - Proposal'!AA870)</f>
        <v xml:space="preserve"> </v>
      </c>
      <c r="Q870" s="95" t="str">
        <f>'ALL Other SINs - Proposal'!AC870</f>
        <v xml:space="preserve"> </v>
      </c>
      <c r="R870" s="100" t="str">
        <f>IF(ISBLANK('ALL Other SINs - Proposal'!AA870)," ",ROUND(Q870,2))</f>
        <v xml:space="preserve"> </v>
      </c>
      <c r="S870" s="54"/>
    </row>
    <row r="871" spans="1:19" ht="20.100000000000001" customHeight="1" x14ac:dyDescent="0.2">
      <c r="A871" s="127">
        <f>'ALL Other SINs - Proposal'!A871</f>
        <v>0</v>
      </c>
      <c r="B871" s="121">
        <f>'ALL Other SINs - Proposal'!B871</f>
        <v>0</v>
      </c>
      <c r="C871" s="121">
        <f>'ALL Other SINs - Proposal'!C871</f>
        <v>0</v>
      </c>
      <c r="D871" s="121">
        <f>'ALL Other SINs - Proposal'!D871</f>
        <v>0</v>
      </c>
      <c r="E871" s="121">
        <f>'ALL Other SINs - Proposal'!E871</f>
        <v>0</v>
      </c>
      <c r="F871" s="171">
        <f>'ALL Other SINs - Proposal'!F871</f>
        <v>0</v>
      </c>
      <c r="G871" s="51">
        <f>'ALL Other SINs - Proposal'!G871</f>
        <v>0</v>
      </c>
      <c r="H871" s="125">
        <f>'ALL Other SINs - Proposal'!H871</f>
        <v>0</v>
      </c>
      <c r="I871" s="125">
        <f>'ALL Other SINs - Proposal'!I871</f>
        <v>0</v>
      </c>
      <c r="J871" s="125">
        <f>'ALL Other SINs - Proposal'!J871</f>
        <v>0</v>
      </c>
      <c r="K871" s="125">
        <f>'ALL Other SINs - Proposal'!K871</f>
        <v>0</v>
      </c>
      <c r="L871" s="125">
        <f>'ALL Other SINs - Proposal'!L871</f>
        <v>0</v>
      </c>
      <c r="M871" s="206">
        <f>'ALL Other SINs - Proposal'!M871</f>
        <v>0</v>
      </c>
      <c r="N871" s="251">
        <f>'ALL Other SINs - Proposal'!V871</f>
        <v>0</v>
      </c>
      <c r="O871" s="201" t="str">
        <f>'Price Analysis'!N871</f>
        <v xml:space="preserve"> </v>
      </c>
      <c r="P871" s="53" t="str">
        <f>IF(ISBLANK('ALL Other SINs - Proposal'!AA871)," ",'ALL Other SINs - Proposal'!AA871)</f>
        <v xml:space="preserve"> </v>
      </c>
      <c r="Q871" s="95" t="str">
        <f>'ALL Other SINs - Proposal'!AC871</f>
        <v xml:space="preserve"> </v>
      </c>
      <c r="R871" s="100" t="str">
        <f>IF(ISBLANK('ALL Other SINs - Proposal'!AA871)," ",ROUND(Q871,2))</f>
        <v xml:space="preserve"> </v>
      </c>
      <c r="S871" s="54"/>
    </row>
    <row r="872" spans="1:19" ht="20.100000000000001" customHeight="1" x14ac:dyDescent="0.2">
      <c r="A872" s="127">
        <f>'ALL Other SINs - Proposal'!A872</f>
        <v>0</v>
      </c>
      <c r="B872" s="121">
        <f>'ALL Other SINs - Proposal'!B872</f>
        <v>0</v>
      </c>
      <c r="C872" s="121">
        <f>'ALL Other SINs - Proposal'!C872</f>
        <v>0</v>
      </c>
      <c r="D872" s="121">
        <f>'ALL Other SINs - Proposal'!D872</f>
        <v>0</v>
      </c>
      <c r="E872" s="121">
        <f>'ALL Other SINs - Proposal'!E872</f>
        <v>0</v>
      </c>
      <c r="F872" s="171">
        <f>'ALL Other SINs - Proposal'!F872</f>
        <v>0</v>
      </c>
      <c r="G872" s="51">
        <f>'ALL Other SINs - Proposal'!G872</f>
        <v>0</v>
      </c>
      <c r="H872" s="125">
        <f>'ALL Other SINs - Proposal'!H872</f>
        <v>0</v>
      </c>
      <c r="I872" s="125">
        <f>'ALL Other SINs - Proposal'!I872</f>
        <v>0</v>
      </c>
      <c r="J872" s="125">
        <f>'ALL Other SINs - Proposal'!J872</f>
        <v>0</v>
      </c>
      <c r="K872" s="125">
        <f>'ALL Other SINs - Proposal'!K872</f>
        <v>0</v>
      </c>
      <c r="L872" s="125">
        <f>'ALL Other SINs - Proposal'!L872</f>
        <v>0</v>
      </c>
      <c r="M872" s="206">
        <f>'ALL Other SINs - Proposal'!M872</f>
        <v>0</v>
      </c>
      <c r="N872" s="251">
        <f>'ALL Other SINs - Proposal'!V872</f>
        <v>0</v>
      </c>
      <c r="O872" s="201" t="str">
        <f>'Price Analysis'!N872</f>
        <v xml:space="preserve"> </v>
      </c>
      <c r="P872" s="53" t="str">
        <f>IF(ISBLANK('ALL Other SINs - Proposal'!AA872)," ",'ALL Other SINs - Proposal'!AA872)</f>
        <v xml:space="preserve"> </v>
      </c>
      <c r="Q872" s="95" t="str">
        <f>'ALL Other SINs - Proposal'!AC872</f>
        <v xml:space="preserve"> </v>
      </c>
      <c r="R872" s="100" t="str">
        <f>IF(ISBLANK('ALL Other SINs - Proposal'!AA872)," ",ROUND(Q872,2))</f>
        <v xml:space="preserve"> </v>
      </c>
      <c r="S872" s="54"/>
    </row>
    <row r="873" spans="1:19" ht="20.100000000000001" customHeight="1" x14ac:dyDescent="0.2">
      <c r="A873" s="127">
        <f>'ALL Other SINs - Proposal'!A873</f>
        <v>0</v>
      </c>
      <c r="B873" s="121">
        <f>'ALL Other SINs - Proposal'!B873</f>
        <v>0</v>
      </c>
      <c r="C873" s="121">
        <f>'ALL Other SINs - Proposal'!C873</f>
        <v>0</v>
      </c>
      <c r="D873" s="121">
        <f>'ALL Other SINs - Proposal'!D873</f>
        <v>0</v>
      </c>
      <c r="E873" s="121">
        <f>'ALL Other SINs - Proposal'!E873</f>
        <v>0</v>
      </c>
      <c r="F873" s="171">
        <f>'ALL Other SINs - Proposal'!F873</f>
        <v>0</v>
      </c>
      <c r="G873" s="51">
        <f>'ALL Other SINs - Proposal'!G873</f>
        <v>0</v>
      </c>
      <c r="H873" s="125">
        <f>'ALL Other SINs - Proposal'!H873</f>
        <v>0</v>
      </c>
      <c r="I873" s="125">
        <f>'ALL Other SINs - Proposal'!I873</f>
        <v>0</v>
      </c>
      <c r="J873" s="125">
        <f>'ALL Other SINs - Proposal'!J873</f>
        <v>0</v>
      </c>
      <c r="K873" s="125">
        <f>'ALL Other SINs - Proposal'!K873</f>
        <v>0</v>
      </c>
      <c r="L873" s="125">
        <f>'ALL Other SINs - Proposal'!L873</f>
        <v>0</v>
      </c>
      <c r="M873" s="206">
        <f>'ALL Other SINs - Proposal'!M873</f>
        <v>0</v>
      </c>
      <c r="N873" s="251">
        <f>'ALL Other SINs - Proposal'!V873</f>
        <v>0</v>
      </c>
      <c r="O873" s="201" t="str">
        <f>'Price Analysis'!N873</f>
        <v xml:space="preserve"> </v>
      </c>
      <c r="P873" s="53" t="str">
        <f>IF(ISBLANK('ALL Other SINs - Proposal'!AA873)," ",'ALL Other SINs - Proposal'!AA873)</f>
        <v xml:space="preserve"> </v>
      </c>
      <c r="Q873" s="95" t="str">
        <f>'ALL Other SINs - Proposal'!AC873</f>
        <v xml:space="preserve"> </v>
      </c>
      <c r="R873" s="100" t="str">
        <f>IF(ISBLANK('ALL Other SINs - Proposal'!AA873)," ",ROUND(Q873,2))</f>
        <v xml:space="preserve"> </v>
      </c>
      <c r="S873" s="54"/>
    </row>
    <row r="874" spans="1:19" ht="20.100000000000001" customHeight="1" x14ac:dyDescent="0.2">
      <c r="A874" s="127">
        <f>'ALL Other SINs - Proposal'!A874</f>
        <v>0</v>
      </c>
      <c r="B874" s="121">
        <f>'ALL Other SINs - Proposal'!B874</f>
        <v>0</v>
      </c>
      <c r="C874" s="121">
        <f>'ALL Other SINs - Proposal'!C874</f>
        <v>0</v>
      </c>
      <c r="D874" s="121">
        <f>'ALL Other SINs - Proposal'!D874</f>
        <v>0</v>
      </c>
      <c r="E874" s="121">
        <f>'ALL Other SINs - Proposal'!E874</f>
        <v>0</v>
      </c>
      <c r="F874" s="171">
        <f>'ALL Other SINs - Proposal'!F874</f>
        <v>0</v>
      </c>
      <c r="G874" s="51">
        <f>'ALL Other SINs - Proposal'!G874</f>
        <v>0</v>
      </c>
      <c r="H874" s="125">
        <f>'ALL Other SINs - Proposal'!H874</f>
        <v>0</v>
      </c>
      <c r="I874" s="125">
        <f>'ALL Other SINs - Proposal'!I874</f>
        <v>0</v>
      </c>
      <c r="J874" s="125">
        <f>'ALL Other SINs - Proposal'!J874</f>
        <v>0</v>
      </c>
      <c r="K874" s="125">
        <f>'ALL Other SINs - Proposal'!K874</f>
        <v>0</v>
      </c>
      <c r="L874" s="125">
        <f>'ALL Other SINs - Proposal'!L874</f>
        <v>0</v>
      </c>
      <c r="M874" s="206">
        <f>'ALL Other SINs - Proposal'!M874</f>
        <v>0</v>
      </c>
      <c r="N874" s="251">
        <f>'ALL Other SINs - Proposal'!V874</f>
        <v>0</v>
      </c>
      <c r="O874" s="201" t="str">
        <f>'Price Analysis'!N874</f>
        <v xml:space="preserve"> </v>
      </c>
      <c r="P874" s="53" t="str">
        <f>IF(ISBLANK('ALL Other SINs - Proposal'!AA874)," ",'ALL Other SINs - Proposal'!AA874)</f>
        <v xml:space="preserve"> </v>
      </c>
      <c r="Q874" s="95" t="str">
        <f>'ALL Other SINs - Proposal'!AC874</f>
        <v xml:space="preserve"> </v>
      </c>
      <c r="R874" s="100" t="str">
        <f>IF(ISBLANK('ALL Other SINs - Proposal'!AA874)," ",ROUND(Q874,2))</f>
        <v xml:space="preserve"> </v>
      </c>
      <c r="S874" s="54"/>
    </row>
    <row r="875" spans="1:19" ht="20.100000000000001" customHeight="1" x14ac:dyDescent="0.2">
      <c r="A875" s="127">
        <f>'ALL Other SINs - Proposal'!A875</f>
        <v>0</v>
      </c>
      <c r="B875" s="121">
        <f>'ALL Other SINs - Proposal'!B875</f>
        <v>0</v>
      </c>
      <c r="C875" s="121">
        <f>'ALL Other SINs - Proposal'!C875</f>
        <v>0</v>
      </c>
      <c r="D875" s="121">
        <f>'ALL Other SINs - Proposal'!D875</f>
        <v>0</v>
      </c>
      <c r="E875" s="121">
        <f>'ALL Other SINs - Proposal'!E875</f>
        <v>0</v>
      </c>
      <c r="F875" s="171">
        <f>'ALL Other SINs - Proposal'!F875</f>
        <v>0</v>
      </c>
      <c r="G875" s="51">
        <f>'ALL Other SINs - Proposal'!G875</f>
        <v>0</v>
      </c>
      <c r="H875" s="125">
        <f>'ALL Other SINs - Proposal'!H875</f>
        <v>0</v>
      </c>
      <c r="I875" s="125">
        <f>'ALL Other SINs - Proposal'!I875</f>
        <v>0</v>
      </c>
      <c r="J875" s="125">
        <f>'ALL Other SINs - Proposal'!J875</f>
        <v>0</v>
      </c>
      <c r="K875" s="125">
        <f>'ALL Other SINs - Proposal'!K875</f>
        <v>0</v>
      </c>
      <c r="L875" s="125">
        <f>'ALL Other SINs - Proposal'!L875</f>
        <v>0</v>
      </c>
      <c r="M875" s="206">
        <f>'ALL Other SINs - Proposal'!M875</f>
        <v>0</v>
      </c>
      <c r="N875" s="251">
        <f>'ALL Other SINs - Proposal'!V875</f>
        <v>0</v>
      </c>
      <c r="O875" s="201" t="str">
        <f>'Price Analysis'!N875</f>
        <v xml:space="preserve"> </v>
      </c>
      <c r="P875" s="53" t="str">
        <f>IF(ISBLANK('ALL Other SINs - Proposal'!AA875)," ",'ALL Other SINs - Proposal'!AA875)</f>
        <v xml:space="preserve"> </v>
      </c>
      <c r="Q875" s="95" t="str">
        <f>'ALL Other SINs - Proposal'!AC875</f>
        <v xml:space="preserve"> </v>
      </c>
      <c r="R875" s="100" t="str">
        <f>IF(ISBLANK('ALL Other SINs - Proposal'!AA875)," ",ROUND(Q875,2))</f>
        <v xml:space="preserve"> </v>
      </c>
      <c r="S875" s="54"/>
    </row>
    <row r="876" spans="1:19" ht="20.100000000000001" customHeight="1" x14ac:dyDescent="0.2">
      <c r="A876" s="127">
        <f>'ALL Other SINs - Proposal'!A876</f>
        <v>0</v>
      </c>
      <c r="B876" s="121">
        <f>'ALL Other SINs - Proposal'!B876</f>
        <v>0</v>
      </c>
      <c r="C876" s="121">
        <f>'ALL Other SINs - Proposal'!C876</f>
        <v>0</v>
      </c>
      <c r="D876" s="121">
        <f>'ALL Other SINs - Proposal'!D876</f>
        <v>0</v>
      </c>
      <c r="E876" s="121">
        <f>'ALL Other SINs - Proposal'!E876</f>
        <v>0</v>
      </c>
      <c r="F876" s="171">
        <f>'ALL Other SINs - Proposal'!F876</f>
        <v>0</v>
      </c>
      <c r="G876" s="51">
        <f>'ALL Other SINs - Proposal'!G876</f>
        <v>0</v>
      </c>
      <c r="H876" s="125">
        <f>'ALL Other SINs - Proposal'!H876</f>
        <v>0</v>
      </c>
      <c r="I876" s="125">
        <f>'ALL Other SINs - Proposal'!I876</f>
        <v>0</v>
      </c>
      <c r="J876" s="125">
        <f>'ALL Other SINs - Proposal'!J876</f>
        <v>0</v>
      </c>
      <c r="K876" s="125">
        <f>'ALL Other SINs - Proposal'!K876</f>
        <v>0</v>
      </c>
      <c r="L876" s="125">
        <f>'ALL Other SINs - Proposal'!L876</f>
        <v>0</v>
      </c>
      <c r="M876" s="206">
        <f>'ALL Other SINs - Proposal'!M876</f>
        <v>0</v>
      </c>
      <c r="N876" s="251">
        <f>'ALL Other SINs - Proposal'!V876</f>
        <v>0</v>
      </c>
      <c r="O876" s="201" t="str">
        <f>'Price Analysis'!N876</f>
        <v xml:space="preserve"> </v>
      </c>
      <c r="P876" s="53" t="str">
        <f>IF(ISBLANK('ALL Other SINs - Proposal'!AA876)," ",'ALL Other SINs - Proposal'!AA876)</f>
        <v xml:space="preserve"> </v>
      </c>
      <c r="Q876" s="95" t="str">
        <f>'ALL Other SINs - Proposal'!AC876</f>
        <v xml:space="preserve"> </v>
      </c>
      <c r="R876" s="100" t="str">
        <f>IF(ISBLANK('ALL Other SINs - Proposal'!AA876)," ",ROUND(Q876,2))</f>
        <v xml:space="preserve"> </v>
      </c>
      <c r="S876" s="54"/>
    </row>
    <row r="877" spans="1:19" ht="20.100000000000001" customHeight="1" x14ac:dyDescent="0.2">
      <c r="A877" s="127">
        <f>'ALL Other SINs - Proposal'!A877</f>
        <v>0</v>
      </c>
      <c r="B877" s="121">
        <f>'ALL Other SINs - Proposal'!B877</f>
        <v>0</v>
      </c>
      <c r="C877" s="121">
        <f>'ALL Other SINs - Proposal'!C877</f>
        <v>0</v>
      </c>
      <c r="D877" s="121">
        <f>'ALL Other SINs - Proposal'!D877</f>
        <v>0</v>
      </c>
      <c r="E877" s="121">
        <f>'ALL Other SINs - Proposal'!E877</f>
        <v>0</v>
      </c>
      <c r="F877" s="171">
        <f>'ALL Other SINs - Proposal'!F877</f>
        <v>0</v>
      </c>
      <c r="G877" s="51">
        <f>'ALL Other SINs - Proposal'!G877</f>
        <v>0</v>
      </c>
      <c r="H877" s="125">
        <f>'ALL Other SINs - Proposal'!H877</f>
        <v>0</v>
      </c>
      <c r="I877" s="125">
        <f>'ALL Other SINs - Proposal'!I877</f>
        <v>0</v>
      </c>
      <c r="J877" s="125">
        <f>'ALL Other SINs - Proposal'!J877</f>
        <v>0</v>
      </c>
      <c r="K877" s="125">
        <f>'ALL Other SINs - Proposal'!K877</f>
        <v>0</v>
      </c>
      <c r="L877" s="125">
        <f>'ALL Other SINs - Proposal'!L877</f>
        <v>0</v>
      </c>
      <c r="M877" s="206">
        <f>'ALL Other SINs - Proposal'!M877</f>
        <v>0</v>
      </c>
      <c r="N877" s="251">
        <f>'ALL Other SINs - Proposal'!V877</f>
        <v>0</v>
      </c>
      <c r="O877" s="201" t="str">
        <f>'Price Analysis'!N877</f>
        <v xml:space="preserve"> </v>
      </c>
      <c r="P877" s="53" t="str">
        <f>IF(ISBLANK('ALL Other SINs - Proposal'!AA877)," ",'ALL Other SINs - Proposal'!AA877)</f>
        <v xml:space="preserve"> </v>
      </c>
      <c r="Q877" s="95" t="str">
        <f>'ALL Other SINs - Proposal'!AC877</f>
        <v xml:space="preserve"> </v>
      </c>
      <c r="R877" s="100" t="str">
        <f>IF(ISBLANK('ALL Other SINs - Proposal'!AA877)," ",ROUND(Q877,2))</f>
        <v xml:space="preserve"> </v>
      </c>
      <c r="S877" s="54"/>
    </row>
    <row r="878" spans="1:19" ht="20.100000000000001" customHeight="1" x14ac:dyDescent="0.2">
      <c r="A878" s="127">
        <f>'ALL Other SINs - Proposal'!A878</f>
        <v>0</v>
      </c>
      <c r="B878" s="121">
        <f>'ALL Other SINs - Proposal'!B878</f>
        <v>0</v>
      </c>
      <c r="C878" s="121">
        <f>'ALL Other SINs - Proposal'!C878</f>
        <v>0</v>
      </c>
      <c r="D878" s="121">
        <f>'ALL Other SINs - Proposal'!D878</f>
        <v>0</v>
      </c>
      <c r="E878" s="121">
        <f>'ALL Other SINs - Proposal'!E878</f>
        <v>0</v>
      </c>
      <c r="F878" s="171">
        <f>'ALL Other SINs - Proposal'!F878</f>
        <v>0</v>
      </c>
      <c r="G878" s="51">
        <f>'ALL Other SINs - Proposal'!G878</f>
        <v>0</v>
      </c>
      <c r="H878" s="125">
        <f>'ALL Other SINs - Proposal'!H878</f>
        <v>0</v>
      </c>
      <c r="I878" s="125">
        <f>'ALL Other SINs - Proposal'!I878</f>
        <v>0</v>
      </c>
      <c r="J878" s="125">
        <f>'ALL Other SINs - Proposal'!J878</f>
        <v>0</v>
      </c>
      <c r="K878" s="125">
        <f>'ALL Other SINs - Proposal'!K878</f>
        <v>0</v>
      </c>
      <c r="L878" s="125">
        <f>'ALL Other SINs - Proposal'!L878</f>
        <v>0</v>
      </c>
      <c r="M878" s="206">
        <f>'ALL Other SINs - Proposal'!M878</f>
        <v>0</v>
      </c>
      <c r="N878" s="251">
        <f>'ALL Other SINs - Proposal'!V878</f>
        <v>0</v>
      </c>
      <c r="O878" s="201" t="str">
        <f>'Price Analysis'!N878</f>
        <v xml:space="preserve"> </v>
      </c>
      <c r="P878" s="53" t="str">
        <f>IF(ISBLANK('ALL Other SINs - Proposal'!AA878)," ",'ALL Other SINs - Proposal'!AA878)</f>
        <v xml:space="preserve"> </v>
      </c>
      <c r="Q878" s="95" t="str">
        <f>'ALL Other SINs - Proposal'!AC878</f>
        <v xml:space="preserve"> </v>
      </c>
      <c r="R878" s="100" t="str">
        <f>IF(ISBLANK('ALL Other SINs - Proposal'!AA878)," ",ROUND(Q878,2))</f>
        <v xml:space="preserve"> </v>
      </c>
      <c r="S878" s="54"/>
    </row>
    <row r="879" spans="1:19" ht="20.100000000000001" customHeight="1" x14ac:dyDescent="0.2">
      <c r="A879" s="127">
        <f>'ALL Other SINs - Proposal'!A879</f>
        <v>0</v>
      </c>
      <c r="B879" s="121">
        <f>'ALL Other SINs - Proposal'!B879</f>
        <v>0</v>
      </c>
      <c r="C879" s="121">
        <f>'ALL Other SINs - Proposal'!C879</f>
        <v>0</v>
      </c>
      <c r="D879" s="121">
        <f>'ALL Other SINs - Proposal'!D879</f>
        <v>0</v>
      </c>
      <c r="E879" s="121">
        <f>'ALL Other SINs - Proposal'!E879</f>
        <v>0</v>
      </c>
      <c r="F879" s="171">
        <f>'ALL Other SINs - Proposal'!F879</f>
        <v>0</v>
      </c>
      <c r="G879" s="51">
        <f>'ALL Other SINs - Proposal'!G879</f>
        <v>0</v>
      </c>
      <c r="H879" s="125">
        <f>'ALL Other SINs - Proposal'!H879</f>
        <v>0</v>
      </c>
      <c r="I879" s="125">
        <f>'ALL Other SINs - Proposal'!I879</f>
        <v>0</v>
      </c>
      <c r="J879" s="125">
        <f>'ALL Other SINs - Proposal'!J879</f>
        <v>0</v>
      </c>
      <c r="K879" s="125">
        <f>'ALL Other SINs - Proposal'!K879</f>
        <v>0</v>
      </c>
      <c r="L879" s="125">
        <f>'ALL Other SINs - Proposal'!L879</f>
        <v>0</v>
      </c>
      <c r="M879" s="206">
        <f>'ALL Other SINs - Proposal'!M879</f>
        <v>0</v>
      </c>
      <c r="N879" s="251">
        <f>'ALL Other SINs - Proposal'!V879</f>
        <v>0</v>
      </c>
      <c r="O879" s="201" t="str">
        <f>'Price Analysis'!N879</f>
        <v xml:space="preserve"> </v>
      </c>
      <c r="P879" s="53" t="str">
        <f>IF(ISBLANK('ALL Other SINs - Proposal'!AA879)," ",'ALL Other SINs - Proposal'!AA879)</f>
        <v xml:space="preserve"> </v>
      </c>
      <c r="Q879" s="95" t="str">
        <f>'ALL Other SINs - Proposal'!AC879</f>
        <v xml:space="preserve"> </v>
      </c>
      <c r="R879" s="100" t="str">
        <f>IF(ISBLANK('ALL Other SINs - Proposal'!AA879)," ",ROUND(Q879,2))</f>
        <v xml:space="preserve"> </v>
      </c>
      <c r="S879" s="54"/>
    </row>
    <row r="880" spans="1:19" ht="20.100000000000001" customHeight="1" x14ac:dyDescent="0.2">
      <c r="A880" s="127">
        <f>'ALL Other SINs - Proposal'!A880</f>
        <v>0</v>
      </c>
      <c r="B880" s="121">
        <f>'ALL Other SINs - Proposal'!B880</f>
        <v>0</v>
      </c>
      <c r="C880" s="121">
        <f>'ALL Other SINs - Proposal'!C880</f>
        <v>0</v>
      </c>
      <c r="D880" s="121">
        <f>'ALL Other SINs - Proposal'!D880</f>
        <v>0</v>
      </c>
      <c r="E880" s="121">
        <f>'ALL Other SINs - Proposal'!E880</f>
        <v>0</v>
      </c>
      <c r="F880" s="171">
        <f>'ALL Other SINs - Proposal'!F880</f>
        <v>0</v>
      </c>
      <c r="G880" s="51">
        <f>'ALL Other SINs - Proposal'!G880</f>
        <v>0</v>
      </c>
      <c r="H880" s="125">
        <f>'ALL Other SINs - Proposal'!H880</f>
        <v>0</v>
      </c>
      <c r="I880" s="125">
        <f>'ALL Other SINs - Proposal'!I880</f>
        <v>0</v>
      </c>
      <c r="J880" s="125">
        <f>'ALL Other SINs - Proposal'!J880</f>
        <v>0</v>
      </c>
      <c r="K880" s="125">
        <f>'ALL Other SINs - Proposal'!K880</f>
        <v>0</v>
      </c>
      <c r="L880" s="125">
        <f>'ALL Other SINs - Proposal'!L880</f>
        <v>0</v>
      </c>
      <c r="M880" s="206">
        <f>'ALL Other SINs - Proposal'!M880</f>
        <v>0</v>
      </c>
      <c r="N880" s="251">
        <f>'ALL Other SINs - Proposal'!V880</f>
        <v>0</v>
      </c>
      <c r="O880" s="201" t="str">
        <f>'Price Analysis'!N880</f>
        <v xml:space="preserve"> </v>
      </c>
      <c r="P880" s="53" t="str">
        <f>IF(ISBLANK('ALL Other SINs - Proposal'!AA880)," ",'ALL Other SINs - Proposal'!AA880)</f>
        <v xml:space="preserve"> </v>
      </c>
      <c r="Q880" s="95" t="str">
        <f>'ALL Other SINs - Proposal'!AC880</f>
        <v xml:space="preserve"> </v>
      </c>
      <c r="R880" s="100" t="str">
        <f>IF(ISBLANK('ALL Other SINs - Proposal'!AA880)," ",ROUND(Q880,2))</f>
        <v xml:space="preserve"> </v>
      </c>
      <c r="S880" s="54"/>
    </row>
    <row r="881" spans="1:19" ht="20.100000000000001" customHeight="1" x14ac:dyDescent="0.2">
      <c r="A881" s="127">
        <f>'ALL Other SINs - Proposal'!A881</f>
        <v>0</v>
      </c>
      <c r="B881" s="121">
        <f>'ALL Other SINs - Proposal'!B881</f>
        <v>0</v>
      </c>
      <c r="C881" s="121">
        <f>'ALL Other SINs - Proposal'!C881</f>
        <v>0</v>
      </c>
      <c r="D881" s="121">
        <f>'ALL Other SINs - Proposal'!D881</f>
        <v>0</v>
      </c>
      <c r="E881" s="121">
        <f>'ALL Other SINs - Proposal'!E881</f>
        <v>0</v>
      </c>
      <c r="F881" s="171">
        <f>'ALL Other SINs - Proposal'!F881</f>
        <v>0</v>
      </c>
      <c r="G881" s="51">
        <f>'ALL Other SINs - Proposal'!G881</f>
        <v>0</v>
      </c>
      <c r="H881" s="125">
        <f>'ALL Other SINs - Proposal'!H881</f>
        <v>0</v>
      </c>
      <c r="I881" s="125">
        <f>'ALL Other SINs - Proposal'!I881</f>
        <v>0</v>
      </c>
      <c r="J881" s="125">
        <f>'ALL Other SINs - Proposal'!J881</f>
        <v>0</v>
      </c>
      <c r="K881" s="125">
        <f>'ALL Other SINs - Proposal'!K881</f>
        <v>0</v>
      </c>
      <c r="L881" s="125">
        <f>'ALL Other SINs - Proposal'!L881</f>
        <v>0</v>
      </c>
      <c r="M881" s="206">
        <f>'ALL Other SINs - Proposal'!M881</f>
        <v>0</v>
      </c>
      <c r="N881" s="251">
        <f>'ALL Other SINs - Proposal'!V881</f>
        <v>0</v>
      </c>
      <c r="O881" s="201" t="str">
        <f>'Price Analysis'!N881</f>
        <v xml:space="preserve"> </v>
      </c>
      <c r="P881" s="53" t="str">
        <f>IF(ISBLANK('ALL Other SINs - Proposal'!AA881)," ",'ALL Other SINs - Proposal'!AA881)</f>
        <v xml:space="preserve"> </v>
      </c>
      <c r="Q881" s="95" t="str">
        <f>'ALL Other SINs - Proposal'!AC881</f>
        <v xml:space="preserve"> </v>
      </c>
      <c r="R881" s="100" t="str">
        <f>IF(ISBLANK('ALL Other SINs - Proposal'!AA881)," ",ROUND(Q881,2))</f>
        <v xml:space="preserve"> </v>
      </c>
      <c r="S881" s="54"/>
    </row>
    <row r="882" spans="1:19" ht="20.100000000000001" customHeight="1" x14ac:dyDescent="0.2">
      <c r="A882" s="127">
        <f>'ALL Other SINs - Proposal'!A882</f>
        <v>0</v>
      </c>
      <c r="B882" s="121">
        <f>'ALL Other SINs - Proposal'!B882</f>
        <v>0</v>
      </c>
      <c r="C882" s="121">
        <f>'ALL Other SINs - Proposal'!C882</f>
        <v>0</v>
      </c>
      <c r="D882" s="121">
        <f>'ALL Other SINs - Proposal'!D882</f>
        <v>0</v>
      </c>
      <c r="E882" s="121">
        <f>'ALL Other SINs - Proposal'!E882</f>
        <v>0</v>
      </c>
      <c r="F882" s="171">
        <f>'ALL Other SINs - Proposal'!F882</f>
        <v>0</v>
      </c>
      <c r="G882" s="51">
        <f>'ALL Other SINs - Proposal'!G882</f>
        <v>0</v>
      </c>
      <c r="H882" s="125">
        <f>'ALL Other SINs - Proposal'!H882</f>
        <v>0</v>
      </c>
      <c r="I882" s="125">
        <f>'ALL Other SINs - Proposal'!I882</f>
        <v>0</v>
      </c>
      <c r="J882" s="125">
        <f>'ALL Other SINs - Proposal'!J882</f>
        <v>0</v>
      </c>
      <c r="K882" s="125">
        <f>'ALL Other SINs - Proposal'!K882</f>
        <v>0</v>
      </c>
      <c r="L882" s="125">
        <f>'ALL Other SINs - Proposal'!L882</f>
        <v>0</v>
      </c>
      <c r="M882" s="206">
        <f>'ALL Other SINs - Proposal'!M882</f>
        <v>0</v>
      </c>
      <c r="N882" s="251">
        <f>'ALL Other SINs - Proposal'!V882</f>
        <v>0</v>
      </c>
      <c r="O882" s="201" t="str">
        <f>'Price Analysis'!N882</f>
        <v xml:space="preserve"> </v>
      </c>
      <c r="P882" s="53" t="str">
        <f>IF(ISBLANK('ALL Other SINs - Proposal'!AA882)," ",'ALL Other SINs - Proposal'!AA882)</f>
        <v xml:space="preserve"> </v>
      </c>
      <c r="Q882" s="95" t="str">
        <f>'ALL Other SINs - Proposal'!AC882</f>
        <v xml:space="preserve"> </v>
      </c>
      <c r="R882" s="100" t="str">
        <f>IF(ISBLANK('ALL Other SINs - Proposal'!AA882)," ",ROUND(Q882,2))</f>
        <v xml:space="preserve"> </v>
      </c>
      <c r="S882" s="54"/>
    </row>
    <row r="883" spans="1:19" ht="20.100000000000001" customHeight="1" x14ac:dyDescent="0.2">
      <c r="A883" s="127">
        <f>'ALL Other SINs - Proposal'!A883</f>
        <v>0</v>
      </c>
      <c r="B883" s="121">
        <f>'ALL Other SINs - Proposal'!B883</f>
        <v>0</v>
      </c>
      <c r="C883" s="121">
        <f>'ALL Other SINs - Proposal'!C883</f>
        <v>0</v>
      </c>
      <c r="D883" s="121">
        <f>'ALL Other SINs - Proposal'!D883</f>
        <v>0</v>
      </c>
      <c r="E883" s="121">
        <f>'ALL Other SINs - Proposal'!E883</f>
        <v>0</v>
      </c>
      <c r="F883" s="171">
        <f>'ALL Other SINs - Proposal'!F883</f>
        <v>0</v>
      </c>
      <c r="G883" s="51">
        <f>'ALL Other SINs - Proposal'!G883</f>
        <v>0</v>
      </c>
      <c r="H883" s="125">
        <f>'ALL Other SINs - Proposal'!H883</f>
        <v>0</v>
      </c>
      <c r="I883" s="125">
        <f>'ALL Other SINs - Proposal'!I883</f>
        <v>0</v>
      </c>
      <c r="J883" s="125">
        <f>'ALL Other SINs - Proposal'!J883</f>
        <v>0</v>
      </c>
      <c r="K883" s="125">
        <f>'ALL Other SINs - Proposal'!K883</f>
        <v>0</v>
      </c>
      <c r="L883" s="125">
        <f>'ALL Other SINs - Proposal'!L883</f>
        <v>0</v>
      </c>
      <c r="M883" s="206">
        <f>'ALL Other SINs - Proposal'!M883</f>
        <v>0</v>
      </c>
      <c r="N883" s="251">
        <f>'ALL Other SINs - Proposal'!V883</f>
        <v>0</v>
      </c>
      <c r="O883" s="201" t="str">
        <f>'Price Analysis'!N883</f>
        <v xml:space="preserve"> </v>
      </c>
      <c r="P883" s="53" t="str">
        <f>IF(ISBLANK('ALL Other SINs - Proposal'!AA883)," ",'ALL Other SINs - Proposal'!AA883)</f>
        <v xml:space="preserve"> </v>
      </c>
      <c r="Q883" s="95" t="str">
        <f>'ALL Other SINs - Proposal'!AC883</f>
        <v xml:space="preserve"> </v>
      </c>
      <c r="R883" s="100" t="str">
        <f>IF(ISBLANK('ALL Other SINs - Proposal'!AA883)," ",ROUND(Q883,2))</f>
        <v xml:space="preserve"> </v>
      </c>
      <c r="S883" s="54"/>
    </row>
    <row r="884" spans="1:19" ht="20.100000000000001" customHeight="1" x14ac:dyDescent="0.2">
      <c r="A884" s="127">
        <f>'ALL Other SINs - Proposal'!A884</f>
        <v>0</v>
      </c>
      <c r="B884" s="121">
        <f>'ALL Other SINs - Proposal'!B884</f>
        <v>0</v>
      </c>
      <c r="C884" s="121">
        <f>'ALL Other SINs - Proposal'!C884</f>
        <v>0</v>
      </c>
      <c r="D884" s="121">
        <f>'ALL Other SINs - Proposal'!D884</f>
        <v>0</v>
      </c>
      <c r="E884" s="121">
        <f>'ALL Other SINs - Proposal'!E884</f>
        <v>0</v>
      </c>
      <c r="F884" s="171">
        <f>'ALL Other SINs - Proposal'!F884</f>
        <v>0</v>
      </c>
      <c r="G884" s="51">
        <f>'ALL Other SINs - Proposal'!G884</f>
        <v>0</v>
      </c>
      <c r="H884" s="125">
        <f>'ALL Other SINs - Proposal'!H884</f>
        <v>0</v>
      </c>
      <c r="I884" s="125">
        <f>'ALL Other SINs - Proposal'!I884</f>
        <v>0</v>
      </c>
      <c r="J884" s="125">
        <f>'ALL Other SINs - Proposal'!J884</f>
        <v>0</v>
      </c>
      <c r="K884" s="125">
        <f>'ALL Other SINs - Proposal'!K884</f>
        <v>0</v>
      </c>
      <c r="L884" s="125">
        <f>'ALL Other SINs - Proposal'!L884</f>
        <v>0</v>
      </c>
      <c r="M884" s="206">
        <f>'ALL Other SINs - Proposal'!M884</f>
        <v>0</v>
      </c>
      <c r="N884" s="251">
        <f>'ALL Other SINs - Proposal'!V884</f>
        <v>0</v>
      </c>
      <c r="O884" s="201" t="str">
        <f>'Price Analysis'!N884</f>
        <v xml:space="preserve"> </v>
      </c>
      <c r="P884" s="53" t="str">
        <f>IF(ISBLANK('ALL Other SINs - Proposal'!AA884)," ",'ALL Other SINs - Proposal'!AA884)</f>
        <v xml:space="preserve"> </v>
      </c>
      <c r="Q884" s="95" t="str">
        <f>'ALL Other SINs - Proposal'!AC884</f>
        <v xml:space="preserve"> </v>
      </c>
      <c r="R884" s="100" t="str">
        <f>IF(ISBLANK('ALL Other SINs - Proposal'!AA884)," ",ROUND(Q884,2))</f>
        <v xml:space="preserve"> </v>
      </c>
      <c r="S884" s="54"/>
    </row>
    <row r="885" spans="1:19" ht="20.100000000000001" customHeight="1" x14ac:dyDescent="0.2">
      <c r="A885" s="127">
        <f>'ALL Other SINs - Proposal'!A885</f>
        <v>0</v>
      </c>
      <c r="B885" s="121">
        <f>'ALL Other SINs - Proposal'!B885</f>
        <v>0</v>
      </c>
      <c r="C885" s="121">
        <f>'ALL Other SINs - Proposal'!C885</f>
        <v>0</v>
      </c>
      <c r="D885" s="121">
        <f>'ALL Other SINs - Proposal'!D885</f>
        <v>0</v>
      </c>
      <c r="E885" s="121">
        <f>'ALL Other SINs - Proposal'!E885</f>
        <v>0</v>
      </c>
      <c r="F885" s="171">
        <f>'ALL Other SINs - Proposal'!F885</f>
        <v>0</v>
      </c>
      <c r="G885" s="51">
        <f>'ALL Other SINs - Proposal'!G885</f>
        <v>0</v>
      </c>
      <c r="H885" s="125">
        <f>'ALL Other SINs - Proposal'!H885</f>
        <v>0</v>
      </c>
      <c r="I885" s="125">
        <f>'ALL Other SINs - Proposal'!I885</f>
        <v>0</v>
      </c>
      <c r="J885" s="125">
        <f>'ALL Other SINs - Proposal'!J885</f>
        <v>0</v>
      </c>
      <c r="K885" s="125">
        <f>'ALL Other SINs - Proposal'!K885</f>
        <v>0</v>
      </c>
      <c r="L885" s="125">
        <f>'ALL Other SINs - Proposal'!L885</f>
        <v>0</v>
      </c>
      <c r="M885" s="206">
        <f>'ALL Other SINs - Proposal'!M885</f>
        <v>0</v>
      </c>
      <c r="N885" s="251">
        <f>'ALL Other SINs - Proposal'!V885</f>
        <v>0</v>
      </c>
      <c r="O885" s="201" t="str">
        <f>'Price Analysis'!N885</f>
        <v xml:space="preserve"> </v>
      </c>
      <c r="P885" s="53" t="str">
        <f>IF(ISBLANK('ALL Other SINs - Proposal'!AA885)," ",'ALL Other SINs - Proposal'!AA885)</f>
        <v xml:space="preserve"> </v>
      </c>
      <c r="Q885" s="95" t="str">
        <f>'ALL Other SINs - Proposal'!AC885</f>
        <v xml:space="preserve"> </v>
      </c>
      <c r="R885" s="100" t="str">
        <f>IF(ISBLANK('ALL Other SINs - Proposal'!AA885)," ",ROUND(Q885,2))</f>
        <v xml:space="preserve"> </v>
      </c>
      <c r="S885" s="54"/>
    </row>
    <row r="886" spans="1:19" ht="20.100000000000001" customHeight="1" x14ac:dyDescent="0.2">
      <c r="A886" s="127">
        <f>'ALL Other SINs - Proposal'!A886</f>
        <v>0</v>
      </c>
      <c r="B886" s="121">
        <f>'ALL Other SINs - Proposal'!B886</f>
        <v>0</v>
      </c>
      <c r="C886" s="121">
        <f>'ALL Other SINs - Proposal'!C886</f>
        <v>0</v>
      </c>
      <c r="D886" s="121">
        <f>'ALL Other SINs - Proposal'!D886</f>
        <v>0</v>
      </c>
      <c r="E886" s="121">
        <f>'ALL Other SINs - Proposal'!E886</f>
        <v>0</v>
      </c>
      <c r="F886" s="171">
        <f>'ALL Other SINs - Proposal'!F886</f>
        <v>0</v>
      </c>
      <c r="G886" s="51">
        <f>'ALL Other SINs - Proposal'!G886</f>
        <v>0</v>
      </c>
      <c r="H886" s="125">
        <f>'ALL Other SINs - Proposal'!H886</f>
        <v>0</v>
      </c>
      <c r="I886" s="125">
        <f>'ALL Other SINs - Proposal'!I886</f>
        <v>0</v>
      </c>
      <c r="J886" s="125">
        <f>'ALL Other SINs - Proposal'!J886</f>
        <v>0</v>
      </c>
      <c r="K886" s="125">
        <f>'ALL Other SINs - Proposal'!K886</f>
        <v>0</v>
      </c>
      <c r="L886" s="125">
        <f>'ALL Other SINs - Proposal'!L886</f>
        <v>0</v>
      </c>
      <c r="M886" s="206">
        <f>'ALL Other SINs - Proposal'!M886</f>
        <v>0</v>
      </c>
      <c r="N886" s="251">
        <f>'ALL Other SINs - Proposal'!V886</f>
        <v>0</v>
      </c>
      <c r="O886" s="201" t="str">
        <f>'Price Analysis'!N886</f>
        <v xml:space="preserve"> </v>
      </c>
      <c r="P886" s="53" t="str">
        <f>IF(ISBLANK('ALL Other SINs - Proposal'!AA886)," ",'ALL Other SINs - Proposal'!AA886)</f>
        <v xml:space="preserve"> </v>
      </c>
      <c r="Q886" s="95" t="str">
        <f>'ALL Other SINs - Proposal'!AC886</f>
        <v xml:space="preserve"> </v>
      </c>
      <c r="R886" s="100" t="str">
        <f>IF(ISBLANK('ALL Other SINs - Proposal'!AA886)," ",ROUND(Q886,2))</f>
        <v xml:space="preserve"> </v>
      </c>
      <c r="S886" s="54"/>
    </row>
    <row r="887" spans="1:19" ht="20.100000000000001" customHeight="1" x14ac:dyDescent="0.2">
      <c r="A887" s="127">
        <f>'ALL Other SINs - Proposal'!A887</f>
        <v>0</v>
      </c>
      <c r="B887" s="121">
        <f>'ALL Other SINs - Proposal'!B887</f>
        <v>0</v>
      </c>
      <c r="C887" s="121">
        <f>'ALL Other SINs - Proposal'!C887</f>
        <v>0</v>
      </c>
      <c r="D887" s="121">
        <f>'ALL Other SINs - Proposal'!D887</f>
        <v>0</v>
      </c>
      <c r="E887" s="121">
        <f>'ALL Other SINs - Proposal'!E887</f>
        <v>0</v>
      </c>
      <c r="F887" s="171">
        <f>'ALL Other SINs - Proposal'!F887</f>
        <v>0</v>
      </c>
      <c r="G887" s="51">
        <f>'ALL Other SINs - Proposal'!G887</f>
        <v>0</v>
      </c>
      <c r="H887" s="125">
        <f>'ALL Other SINs - Proposal'!H887</f>
        <v>0</v>
      </c>
      <c r="I887" s="125">
        <f>'ALL Other SINs - Proposal'!I887</f>
        <v>0</v>
      </c>
      <c r="J887" s="125">
        <f>'ALL Other SINs - Proposal'!J887</f>
        <v>0</v>
      </c>
      <c r="K887" s="125">
        <f>'ALL Other SINs - Proposal'!K887</f>
        <v>0</v>
      </c>
      <c r="L887" s="125">
        <f>'ALL Other SINs - Proposal'!L887</f>
        <v>0</v>
      </c>
      <c r="M887" s="206">
        <f>'ALL Other SINs - Proposal'!M887</f>
        <v>0</v>
      </c>
      <c r="N887" s="251">
        <f>'ALL Other SINs - Proposal'!V887</f>
        <v>0</v>
      </c>
      <c r="O887" s="201" t="str">
        <f>'Price Analysis'!N887</f>
        <v xml:space="preserve"> </v>
      </c>
      <c r="P887" s="53" t="str">
        <f>IF(ISBLANK('ALL Other SINs - Proposal'!AA887)," ",'ALL Other SINs - Proposal'!AA887)</f>
        <v xml:space="preserve"> </v>
      </c>
      <c r="Q887" s="95" t="str">
        <f>'ALL Other SINs - Proposal'!AC887</f>
        <v xml:space="preserve"> </v>
      </c>
      <c r="R887" s="100" t="str">
        <f>IF(ISBLANK('ALL Other SINs - Proposal'!AA887)," ",ROUND(Q887,2))</f>
        <v xml:space="preserve"> </v>
      </c>
      <c r="S887" s="54"/>
    </row>
    <row r="888" spans="1:19" ht="20.100000000000001" customHeight="1" x14ac:dyDescent="0.2">
      <c r="A888" s="127">
        <f>'ALL Other SINs - Proposal'!A888</f>
        <v>0</v>
      </c>
      <c r="B888" s="121">
        <f>'ALL Other SINs - Proposal'!B888</f>
        <v>0</v>
      </c>
      <c r="C888" s="121">
        <f>'ALL Other SINs - Proposal'!C888</f>
        <v>0</v>
      </c>
      <c r="D888" s="121">
        <f>'ALL Other SINs - Proposal'!D888</f>
        <v>0</v>
      </c>
      <c r="E888" s="121">
        <f>'ALL Other SINs - Proposal'!E888</f>
        <v>0</v>
      </c>
      <c r="F888" s="171">
        <f>'ALL Other SINs - Proposal'!F888</f>
        <v>0</v>
      </c>
      <c r="G888" s="51">
        <f>'ALL Other SINs - Proposal'!G888</f>
        <v>0</v>
      </c>
      <c r="H888" s="125">
        <f>'ALL Other SINs - Proposal'!H888</f>
        <v>0</v>
      </c>
      <c r="I888" s="125">
        <f>'ALL Other SINs - Proposal'!I888</f>
        <v>0</v>
      </c>
      <c r="J888" s="125">
        <f>'ALL Other SINs - Proposal'!J888</f>
        <v>0</v>
      </c>
      <c r="K888" s="125">
        <f>'ALL Other SINs - Proposal'!K888</f>
        <v>0</v>
      </c>
      <c r="L888" s="125">
        <f>'ALL Other SINs - Proposal'!L888</f>
        <v>0</v>
      </c>
      <c r="M888" s="206">
        <f>'ALL Other SINs - Proposal'!M888</f>
        <v>0</v>
      </c>
      <c r="N888" s="251">
        <f>'ALL Other SINs - Proposal'!V888</f>
        <v>0</v>
      </c>
      <c r="O888" s="201" t="str">
        <f>'Price Analysis'!N888</f>
        <v xml:space="preserve"> </v>
      </c>
      <c r="P888" s="53" t="str">
        <f>IF(ISBLANK('ALL Other SINs - Proposal'!AA888)," ",'ALL Other SINs - Proposal'!AA888)</f>
        <v xml:space="preserve"> </v>
      </c>
      <c r="Q888" s="95" t="str">
        <f>'ALL Other SINs - Proposal'!AC888</f>
        <v xml:space="preserve"> </v>
      </c>
      <c r="R888" s="100" t="str">
        <f>IF(ISBLANK('ALL Other SINs - Proposal'!AA888)," ",ROUND(Q888,2))</f>
        <v xml:space="preserve"> </v>
      </c>
      <c r="S888" s="54"/>
    </row>
    <row r="889" spans="1:19" ht="20.100000000000001" customHeight="1" x14ac:dyDescent="0.2">
      <c r="A889" s="127">
        <f>'ALL Other SINs - Proposal'!A889</f>
        <v>0</v>
      </c>
      <c r="B889" s="121">
        <f>'ALL Other SINs - Proposal'!B889</f>
        <v>0</v>
      </c>
      <c r="C889" s="121">
        <f>'ALL Other SINs - Proposal'!C889</f>
        <v>0</v>
      </c>
      <c r="D889" s="121">
        <f>'ALL Other SINs - Proposal'!D889</f>
        <v>0</v>
      </c>
      <c r="E889" s="121">
        <f>'ALL Other SINs - Proposal'!E889</f>
        <v>0</v>
      </c>
      <c r="F889" s="171">
        <f>'ALL Other SINs - Proposal'!F889</f>
        <v>0</v>
      </c>
      <c r="G889" s="51">
        <f>'ALL Other SINs - Proposal'!G889</f>
        <v>0</v>
      </c>
      <c r="H889" s="125">
        <f>'ALL Other SINs - Proposal'!H889</f>
        <v>0</v>
      </c>
      <c r="I889" s="125">
        <f>'ALL Other SINs - Proposal'!I889</f>
        <v>0</v>
      </c>
      <c r="J889" s="125">
        <f>'ALL Other SINs - Proposal'!J889</f>
        <v>0</v>
      </c>
      <c r="K889" s="125">
        <f>'ALL Other SINs - Proposal'!K889</f>
        <v>0</v>
      </c>
      <c r="L889" s="125">
        <f>'ALL Other SINs - Proposal'!L889</f>
        <v>0</v>
      </c>
      <c r="M889" s="206">
        <f>'ALL Other SINs - Proposal'!M889</f>
        <v>0</v>
      </c>
      <c r="N889" s="251">
        <f>'ALL Other SINs - Proposal'!V889</f>
        <v>0</v>
      </c>
      <c r="O889" s="201" t="str">
        <f>'Price Analysis'!N889</f>
        <v xml:space="preserve"> </v>
      </c>
      <c r="P889" s="53" t="str">
        <f>IF(ISBLANK('ALL Other SINs - Proposal'!AA889)," ",'ALL Other SINs - Proposal'!AA889)</f>
        <v xml:space="preserve"> </v>
      </c>
      <c r="Q889" s="95" t="str">
        <f>'ALL Other SINs - Proposal'!AC889</f>
        <v xml:space="preserve"> </v>
      </c>
      <c r="R889" s="100" t="str">
        <f>IF(ISBLANK('ALL Other SINs - Proposal'!AA889)," ",ROUND(Q889,2))</f>
        <v xml:space="preserve"> </v>
      </c>
      <c r="S889" s="54"/>
    </row>
    <row r="890" spans="1:19" ht="20.100000000000001" customHeight="1" x14ac:dyDescent="0.2">
      <c r="A890" s="127">
        <f>'ALL Other SINs - Proposal'!A890</f>
        <v>0</v>
      </c>
      <c r="B890" s="121">
        <f>'ALL Other SINs - Proposal'!B890</f>
        <v>0</v>
      </c>
      <c r="C890" s="121">
        <f>'ALL Other SINs - Proposal'!C890</f>
        <v>0</v>
      </c>
      <c r="D890" s="121">
        <f>'ALL Other SINs - Proposal'!D890</f>
        <v>0</v>
      </c>
      <c r="E890" s="121">
        <f>'ALL Other SINs - Proposal'!E890</f>
        <v>0</v>
      </c>
      <c r="F890" s="171">
        <f>'ALL Other SINs - Proposal'!F890</f>
        <v>0</v>
      </c>
      <c r="G890" s="51">
        <f>'ALL Other SINs - Proposal'!G890</f>
        <v>0</v>
      </c>
      <c r="H890" s="125">
        <f>'ALL Other SINs - Proposal'!H890</f>
        <v>0</v>
      </c>
      <c r="I890" s="125">
        <f>'ALL Other SINs - Proposal'!I890</f>
        <v>0</v>
      </c>
      <c r="J890" s="125">
        <f>'ALL Other SINs - Proposal'!J890</f>
        <v>0</v>
      </c>
      <c r="K890" s="125">
        <f>'ALL Other SINs - Proposal'!K890</f>
        <v>0</v>
      </c>
      <c r="L890" s="125">
        <f>'ALL Other SINs - Proposal'!L890</f>
        <v>0</v>
      </c>
      <c r="M890" s="206">
        <f>'ALL Other SINs - Proposal'!M890</f>
        <v>0</v>
      </c>
      <c r="N890" s="251">
        <f>'ALL Other SINs - Proposal'!V890</f>
        <v>0</v>
      </c>
      <c r="O890" s="201" t="str">
        <f>'Price Analysis'!N890</f>
        <v xml:space="preserve"> </v>
      </c>
      <c r="P890" s="53" t="str">
        <f>IF(ISBLANK('ALL Other SINs - Proposal'!AA890)," ",'ALL Other SINs - Proposal'!AA890)</f>
        <v xml:space="preserve"> </v>
      </c>
      <c r="Q890" s="95" t="str">
        <f>'ALL Other SINs - Proposal'!AC890</f>
        <v xml:space="preserve"> </v>
      </c>
      <c r="R890" s="100" t="str">
        <f>IF(ISBLANK('ALL Other SINs - Proposal'!AA890)," ",ROUND(Q890,2))</f>
        <v xml:space="preserve"> </v>
      </c>
      <c r="S890" s="54"/>
    </row>
    <row r="891" spans="1:19" ht="20.100000000000001" customHeight="1" x14ac:dyDescent="0.2">
      <c r="A891" s="127">
        <f>'ALL Other SINs - Proposal'!A891</f>
        <v>0</v>
      </c>
      <c r="B891" s="121">
        <f>'ALL Other SINs - Proposal'!B891</f>
        <v>0</v>
      </c>
      <c r="C891" s="121">
        <f>'ALL Other SINs - Proposal'!C891</f>
        <v>0</v>
      </c>
      <c r="D891" s="121">
        <f>'ALL Other SINs - Proposal'!D891</f>
        <v>0</v>
      </c>
      <c r="E891" s="121">
        <f>'ALL Other SINs - Proposal'!E891</f>
        <v>0</v>
      </c>
      <c r="F891" s="171">
        <f>'ALL Other SINs - Proposal'!F891</f>
        <v>0</v>
      </c>
      <c r="G891" s="51">
        <f>'ALL Other SINs - Proposal'!G891</f>
        <v>0</v>
      </c>
      <c r="H891" s="125">
        <f>'ALL Other SINs - Proposal'!H891</f>
        <v>0</v>
      </c>
      <c r="I891" s="125">
        <f>'ALL Other SINs - Proposal'!I891</f>
        <v>0</v>
      </c>
      <c r="J891" s="125">
        <f>'ALL Other SINs - Proposal'!J891</f>
        <v>0</v>
      </c>
      <c r="K891" s="125">
        <f>'ALL Other SINs - Proposal'!K891</f>
        <v>0</v>
      </c>
      <c r="L891" s="125">
        <f>'ALL Other SINs - Proposal'!L891</f>
        <v>0</v>
      </c>
      <c r="M891" s="206">
        <f>'ALL Other SINs - Proposal'!M891</f>
        <v>0</v>
      </c>
      <c r="N891" s="251">
        <f>'ALL Other SINs - Proposal'!V891</f>
        <v>0</v>
      </c>
      <c r="O891" s="201" t="str">
        <f>'Price Analysis'!N891</f>
        <v xml:space="preserve"> </v>
      </c>
      <c r="P891" s="53" t="str">
        <f>IF(ISBLANK('ALL Other SINs - Proposal'!AA891)," ",'ALL Other SINs - Proposal'!AA891)</f>
        <v xml:space="preserve"> </v>
      </c>
      <c r="Q891" s="95" t="str">
        <f>'ALL Other SINs - Proposal'!AC891</f>
        <v xml:space="preserve"> </v>
      </c>
      <c r="R891" s="100" t="str">
        <f>IF(ISBLANK('ALL Other SINs - Proposal'!AA891)," ",ROUND(Q891,2))</f>
        <v xml:space="preserve"> </v>
      </c>
      <c r="S891" s="54"/>
    </row>
    <row r="892" spans="1:19" ht="20.100000000000001" customHeight="1" x14ac:dyDescent="0.2">
      <c r="A892" s="127">
        <f>'ALL Other SINs - Proposal'!A892</f>
        <v>0</v>
      </c>
      <c r="B892" s="121">
        <f>'ALL Other SINs - Proposal'!B892</f>
        <v>0</v>
      </c>
      <c r="C892" s="121">
        <f>'ALL Other SINs - Proposal'!C892</f>
        <v>0</v>
      </c>
      <c r="D892" s="121">
        <f>'ALL Other SINs - Proposal'!D892</f>
        <v>0</v>
      </c>
      <c r="E892" s="121">
        <f>'ALL Other SINs - Proposal'!E892</f>
        <v>0</v>
      </c>
      <c r="F892" s="171">
        <f>'ALL Other SINs - Proposal'!F892</f>
        <v>0</v>
      </c>
      <c r="G892" s="51">
        <f>'ALL Other SINs - Proposal'!G892</f>
        <v>0</v>
      </c>
      <c r="H892" s="125">
        <f>'ALL Other SINs - Proposal'!H892</f>
        <v>0</v>
      </c>
      <c r="I892" s="125">
        <f>'ALL Other SINs - Proposal'!I892</f>
        <v>0</v>
      </c>
      <c r="J892" s="125">
        <f>'ALL Other SINs - Proposal'!J892</f>
        <v>0</v>
      </c>
      <c r="K892" s="125">
        <f>'ALL Other SINs - Proposal'!K892</f>
        <v>0</v>
      </c>
      <c r="L892" s="125">
        <f>'ALL Other SINs - Proposal'!L892</f>
        <v>0</v>
      </c>
      <c r="M892" s="206">
        <f>'ALL Other SINs - Proposal'!M892</f>
        <v>0</v>
      </c>
      <c r="N892" s="251">
        <f>'ALL Other SINs - Proposal'!V892</f>
        <v>0</v>
      </c>
      <c r="O892" s="201" t="str">
        <f>'Price Analysis'!N892</f>
        <v xml:space="preserve"> </v>
      </c>
      <c r="P892" s="53" t="str">
        <f>IF(ISBLANK('ALL Other SINs - Proposal'!AA892)," ",'ALL Other SINs - Proposal'!AA892)</f>
        <v xml:space="preserve"> </v>
      </c>
      <c r="Q892" s="95" t="str">
        <f>'ALL Other SINs - Proposal'!AC892</f>
        <v xml:space="preserve"> </v>
      </c>
      <c r="R892" s="100" t="str">
        <f>IF(ISBLANK('ALL Other SINs - Proposal'!AA892)," ",ROUND(Q892,2))</f>
        <v xml:space="preserve"> </v>
      </c>
      <c r="S892" s="54"/>
    </row>
    <row r="893" spans="1:19" ht="20.100000000000001" customHeight="1" x14ac:dyDescent="0.2">
      <c r="A893" s="127">
        <f>'ALL Other SINs - Proposal'!A893</f>
        <v>0</v>
      </c>
      <c r="B893" s="121">
        <f>'ALL Other SINs - Proposal'!B893</f>
        <v>0</v>
      </c>
      <c r="C893" s="121">
        <f>'ALL Other SINs - Proposal'!C893</f>
        <v>0</v>
      </c>
      <c r="D893" s="121">
        <f>'ALL Other SINs - Proposal'!D893</f>
        <v>0</v>
      </c>
      <c r="E893" s="121">
        <f>'ALL Other SINs - Proposal'!E893</f>
        <v>0</v>
      </c>
      <c r="F893" s="171">
        <f>'ALL Other SINs - Proposal'!F893</f>
        <v>0</v>
      </c>
      <c r="G893" s="51">
        <f>'ALL Other SINs - Proposal'!G893</f>
        <v>0</v>
      </c>
      <c r="H893" s="125">
        <f>'ALL Other SINs - Proposal'!H893</f>
        <v>0</v>
      </c>
      <c r="I893" s="125">
        <f>'ALL Other SINs - Proposal'!I893</f>
        <v>0</v>
      </c>
      <c r="J893" s="125">
        <f>'ALL Other SINs - Proposal'!J893</f>
        <v>0</v>
      </c>
      <c r="K893" s="125">
        <f>'ALL Other SINs - Proposal'!K893</f>
        <v>0</v>
      </c>
      <c r="L893" s="125">
        <f>'ALL Other SINs - Proposal'!L893</f>
        <v>0</v>
      </c>
      <c r="M893" s="206">
        <f>'ALL Other SINs - Proposal'!M893</f>
        <v>0</v>
      </c>
      <c r="N893" s="251">
        <f>'ALL Other SINs - Proposal'!V893</f>
        <v>0</v>
      </c>
      <c r="O893" s="201" t="str">
        <f>'Price Analysis'!N893</f>
        <v xml:space="preserve"> </v>
      </c>
      <c r="P893" s="53" t="str">
        <f>IF(ISBLANK('ALL Other SINs - Proposal'!AA893)," ",'ALL Other SINs - Proposal'!AA893)</f>
        <v xml:space="preserve"> </v>
      </c>
      <c r="Q893" s="95" t="str">
        <f>'ALL Other SINs - Proposal'!AC893</f>
        <v xml:space="preserve"> </v>
      </c>
      <c r="R893" s="100" t="str">
        <f>IF(ISBLANK('ALL Other SINs - Proposal'!AA893)," ",ROUND(Q893,2))</f>
        <v xml:space="preserve"> </v>
      </c>
      <c r="S893" s="54"/>
    </row>
    <row r="894" spans="1:19" ht="20.100000000000001" customHeight="1" x14ac:dyDescent="0.2">
      <c r="A894" s="127">
        <f>'ALL Other SINs - Proposal'!A894</f>
        <v>0</v>
      </c>
      <c r="B894" s="121">
        <f>'ALL Other SINs - Proposal'!B894</f>
        <v>0</v>
      </c>
      <c r="C894" s="121">
        <f>'ALL Other SINs - Proposal'!C894</f>
        <v>0</v>
      </c>
      <c r="D894" s="121">
        <f>'ALL Other SINs - Proposal'!D894</f>
        <v>0</v>
      </c>
      <c r="E894" s="121">
        <f>'ALL Other SINs - Proposal'!E894</f>
        <v>0</v>
      </c>
      <c r="F894" s="171">
        <f>'ALL Other SINs - Proposal'!F894</f>
        <v>0</v>
      </c>
      <c r="G894" s="51">
        <f>'ALL Other SINs - Proposal'!G894</f>
        <v>0</v>
      </c>
      <c r="H894" s="125">
        <f>'ALL Other SINs - Proposal'!H894</f>
        <v>0</v>
      </c>
      <c r="I894" s="125">
        <f>'ALL Other SINs - Proposal'!I894</f>
        <v>0</v>
      </c>
      <c r="J894" s="125">
        <f>'ALL Other SINs - Proposal'!J894</f>
        <v>0</v>
      </c>
      <c r="K894" s="125">
        <f>'ALL Other SINs - Proposal'!K894</f>
        <v>0</v>
      </c>
      <c r="L894" s="125">
        <f>'ALL Other SINs - Proposal'!L894</f>
        <v>0</v>
      </c>
      <c r="M894" s="206">
        <f>'ALL Other SINs - Proposal'!M894</f>
        <v>0</v>
      </c>
      <c r="N894" s="251">
        <f>'ALL Other SINs - Proposal'!V894</f>
        <v>0</v>
      </c>
      <c r="O894" s="201" t="str">
        <f>'Price Analysis'!N894</f>
        <v xml:space="preserve"> </v>
      </c>
      <c r="P894" s="53" t="str">
        <f>IF(ISBLANK('ALL Other SINs - Proposal'!AA894)," ",'ALL Other SINs - Proposal'!AA894)</f>
        <v xml:space="preserve"> </v>
      </c>
      <c r="Q894" s="95" t="str">
        <f>'ALL Other SINs - Proposal'!AC894</f>
        <v xml:space="preserve"> </v>
      </c>
      <c r="R894" s="100" t="str">
        <f>IF(ISBLANK('ALL Other SINs - Proposal'!AA894)," ",ROUND(Q894,2))</f>
        <v xml:space="preserve"> </v>
      </c>
      <c r="S894" s="54"/>
    </row>
    <row r="895" spans="1:19" ht="20.100000000000001" customHeight="1" x14ac:dyDescent="0.2">
      <c r="A895" s="127">
        <f>'ALL Other SINs - Proposal'!A895</f>
        <v>0</v>
      </c>
      <c r="B895" s="121">
        <f>'ALL Other SINs - Proposal'!B895</f>
        <v>0</v>
      </c>
      <c r="C895" s="121">
        <f>'ALL Other SINs - Proposal'!C895</f>
        <v>0</v>
      </c>
      <c r="D895" s="121">
        <f>'ALL Other SINs - Proposal'!D895</f>
        <v>0</v>
      </c>
      <c r="E895" s="121">
        <f>'ALL Other SINs - Proposal'!E895</f>
        <v>0</v>
      </c>
      <c r="F895" s="171">
        <f>'ALL Other SINs - Proposal'!F895</f>
        <v>0</v>
      </c>
      <c r="G895" s="51">
        <f>'ALL Other SINs - Proposal'!G895</f>
        <v>0</v>
      </c>
      <c r="H895" s="125">
        <f>'ALL Other SINs - Proposal'!H895</f>
        <v>0</v>
      </c>
      <c r="I895" s="125">
        <f>'ALL Other SINs - Proposal'!I895</f>
        <v>0</v>
      </c>
      <c r="J895" s="125">
        <f>'ALL Other SINs - Proposal'!J895</f>
        <v>0</v>
      </c>
      <c r="K895" s="125">
        <f>'ALL Other SINs - Proposal'!K895</f>
        <v>0</v>
      </c>
      <c r="L895" s="125">
        <f>'ALL Other SINs - Proposal'!L895</f>
        <v>0</v>
      </c>
      <c r="M895" s="206">
        <f>'ALL Other SINs - Proposal'!M895</f>
        <v>0</v>
      </c>
      <c r="N895" s="251">
        <f>'ALL Other SINs - Proposal'!V895</f>
        <v>0</v>
      </c>
      <c r="O895" s="201" t="str">
        <f>'Price Analysis'!N895</f>
        <v xml:space="preserve"> </v>
      </c>
      <c r="P895" s="53" t="str">
        <f>IF(ISBLANK('ALL Other SINs - Proposal'!AA895)," ",'ALL Other SINs - Proposal'!AA895)</f>
        <v xml:space="preserve"> </v>
      </c>
      <c r="Q895" s="95" t="str">
        <f>'ALL Other SINs - Proposal'!AC895</f>
        <v xml:space="preserve"> </v>
      </c>
      <c r="R895" s="100" t="str">
        <f>IF(ISBLANK('ALL Other SINs - Proposal'!AA895)," ",ROUND(Q895,2))</f>
        <v xml:space="preserve"> </v>
      </c>
      <c r="S895" s="54"/>
    </row>
    <row r="896" spans="1:19" ht="20.100000000000001" customHeight="1" x14ac:dyDescent="0.2">
      <c r="A896" s="127">
        <f>'ALL Other SINs - Proposal'!A896</f>
        <v>0</v>
      </c>
      <c r="B896" s="121">
        <f>'ALL Other SINs - Proposal'!B896</f>
        <v>0</v>
      </c>
      <c r="C896" s="121">
        <f>'ALL Other SINs - Proposal'!C896</f>
        <v>0</v>
      </c>
      <c r="D896" s="121">
        <f>'ALL Other SINs - Proposal'!D896</f>
        <v>0</v>
      </c>
      <c r="E896" s="121">
        <f>'ALL Other SINs - Proposal'!E896</f>
        <v>0</v>
      </c>
      <c r="F896" s="171">
        <f>'ALL Other SINs - Proposal'!F896</f>
        <v>0</v>
      </c>
      <c r="G896" s="51">
        <f>'ALL Other SINs - Proposal'!G896</f>
        <v>0</v>
      </c>
      <c r="H896" s="125">
        <f>'ALL Other SINs - Proposal'!H896</f>
        <v>0</v>
      </c>
      <c r="I896" s="125">
        <f>'ALL Other SINs - Proposal'!I896</f>
        <v>0</v>
      </c>
      <c r="J896" s="125">
        <f>'ALL Other SINs - Proposal'!J896</f>
        <v>0</v>
      </c>
      <c r="K896" s="125">
        <f>'ALL Other SINs - Proposal'!K896</f>
        <v>0</v>
      </c>
      <c r="L896" s="125">
        <f>'ALL Other SINs - Proposal'!L896</f>
        <v>0</v>
      </c>
      <c r="M896" s="206">
        <f>'ALL Other SINs - Proposal'!M896</f>
        <v>0</v>
      </c>
      <c r="N896" s="251">
        <f>'ALL Other SINs - Proposal'!V896</f>
        <v>0</v>
      </c>
      <c r="O896" s="201" t="str">
        <f>'Price Analysis'!N896</f>
        <v xml:space="preserve"> </v>
      </c>
      <c r="P896" s="53" t="str">
        <f>IF(ISBLANK('ALL Other SINs - Proposal'!AA896)," ",'ALL Other SINs - Proposal'!AA896)</f>
        <v xml:space="preserve"> </v>
      </c>
      <c r="Q896" s="95" t="str">
        <f>'ALL Other SINs - Proposal'!AC896</f>
        <v xml:space="preserve"> </v>
      </c>
      <c r="R896" s="100" t="str">
        <f>IF(ISBLANK('ALL Other SINs - Proposal'!AA896)," ",ROUND(Q896,2))</f>
        <v xml:space="preserve"> </v>
      </c>
      <c r="S896" s="54"/>
    </row>
    <row r="897" spans="1:19" ht="20.100000000000001" customHeight="1" x14ac:dyDescent="0.2">
      <c r="A897" s="127">
        <f>'ALL Other SINs - Proposal'!A897</f>
        <v>0</v>
      </c>
      <c r="B897" s="121">
        <f>'ALL Other SINs - Proposal'!B897</f>
        <v>0</v>
      </c>
      <c r="C897" s="121">
        <f>'ALL Other SINs - Proposal'!C897</f>
        <v>0</v>
      </c>
      <c r="D897" s="121">
        <f>'ALL Other SINs - Proposal'!D897</f>
        <v>0</v>
      </c>
      <c r="E897" s="121">
        <f>'ALL Other SINs - Proposal'!E897</f>
        <v>0</v>
      </c>
      <c r="F897" s="171">
        <f>'ALL Other SINs - Proposal'!F897</f>
        <v>0</v>
      </c>
      <c r="G897" s="51">
        <f>'ALL Other SINs - Proposal'!G897</f>
        <v>0</v>
      </c>
      <c r="H897" s="125">
        <f>'ALL Other SINs - Proposal'!H897</f>
        <v>0</v>
      </c>
      <c r="I897" s="125">
        <f>'ALL Other SINs - Proposal'!I897</f>
        <v>0</v>
      </c>
      <c r="J897" s="125">
        <f>'ALL Other SINs - Proposal'!J897</f>
        <v>0</v>
      </c>
      <c r="K897" s="125">
        <f>'ALL Other SINs - Proposal'!K897</f>
        <v>0</v>
      </c>
      <c r="L897" s="125">
        <f>'ALL Other SINs - Proposal'!L897</f>
        <v>0</v>
      </c>
      <c r="M897" s="206">
        <f>'ALL Other SINs - Proposal'!M897</f>
        <v>0</v>
      </c>
      <c r="N897" s="251">
        <f>'ALL Other SINs - Proposal'!V897</f>
        <v>0</v>
      </c>
      <c r="O897" s="201" t="str">
        <f>'Price Analysis'!N897</f>
        <v xml:space="preserve"> </v>
      </c>
      <c r="P897" s="53" t="str">
        <f>IF(ISBLANK('ALL Other SINs - Proposal'!AA897)," ",'ALL Other SINs - Proposal'!AA897)</f>
        <v xml:space="preserve"> </v>
      </c>
      <c r="Q897" s="95" t="str">
        <f>'ALL Other SINs - Proposal'!AC897</f>
        <v xml:space="preserve"> </v>
      </c>
      <c r="R897" s="100" t="str">
        <f>IF(ISBLANK('ALL Other SINs - Proposal'!AA897)," ",ROUND(Q897,2))</f>
        <v xml:space="preserve"> </v>
      </c>
      <c r="S897" s="54"/>
    </row>
    <row r="898" spans="1:19" ht="20.100000000000001" customHeight="1" x14ac:dyDescent="0.2">
      <c r="A898" s="127">
        <f>'ALL Other SINs - Proposal'!A898</f>
        <v>0</v>
      </c>
      <c r="B898" s="121">
        <f>'ALL Other SINs - Proposal'!B898</f>
        <v>0</v>
      </c>
      <c r="C898" s="121">
        <f>'ALL Other SINs - Proposal'!C898</f>
        <v>0</v>
      </c>
      <c r="D898" s="121">
        <f>'ALL Other SINs - Proposal'!D898</f>
        <v>0</v>
      </c>
      <c r="E898" s="121">
        <f>'ALL Other SINs - Proposal'!E898</f>
        <v>0</v>
      </c>
      <c r="F898" s="171">
        <f>'ALL Other SINs - Proposal'!F898</f>
        <v>0</v>
      </c>
      <c r="G898" s="51">
        <f>'ALL Other SINs - Proposal'!G898</f>
        <v>0</v>
      </c>
      <c r="H898" s="125">
        <f>'ALL Other SINs - Proposal'!H898</f>
        <v>0</v>
      </c>
      <c r="I898" s="125">
        <f>'ALL Other SINs - Proposal'!I898</f>
        <v>0</v>
      </c>
      <c r="J898" s="125">
        <f>'ALL Other SINs - Proposal'!J898</f>
        <v>0</v>
      </c>
      <c r="K898" s="125">
        <f>'ALL Other SINs - Proposal'!K898</f>
        <v>0</v>
      </c>
      <c r="L898" s="125">
        <f>'ALL Other SINs - Proposal'!L898</f>
        <v>0</v>
      </c>
      <c r="M898" s="206">
        <f>'ALL Other SINs - Proposal'!M898</f>
        <v>0</v>
      </c>
      <c r="N898" s="251">
        <f>'ALL Other SINs - Proposal'!V898</f>
        <v>0</v>
      </c>
      <c r="O898" s="201" t="str">
        <f>'Price Analysis'!N898</f>
        <v xml:space="preserve"> </v>
      </c>
      <c r="P898" s="53" t="str">
        <f>IF(ISBLANK('ALL Other SINs - Proposal'!AA898)," ",'ALL Other SINs - Proposal'!AA898)</f>
        <v xml:space="preserve"> </v>
      </c>
      <c r="Q898" s="95" t="str">
        <f>'ALL Other SINs - Proposal'!AC898</f>
        <v xml:space="preserve"> </v>
      </c>
      <c r="R898" s="100" t="str">
        <f>IF(ISBLANK('ALL Other SINs - Proposal'!AA898)," ",ROUND(Q898,2))</f>
        <v xml:space="preserve"> </v>
      </c>
      <c r="S898" s="54"/>
    </row>
    <row r="899" spans="1:19" ht="20.100000000000001" customHeight="1" x14ac:dyDescent="0.2">
      <c r="A899" s="127">
        <f>'ALL Other SINs - Proposal'!A899</f>
        <v>0</v>
      </c>
      <c r="B899" s="121">
        <f>'ALL Other SINs - Proposal'!B899</f>
        <v>0</v>
      </c>
      <c r="C899" s="121">
        <f>'ALL Other SINs - Proposal'!C899</f>
        <v>0</v>
      </c>
      <c r="D899" s="121">
        <f>'ALL Other SINs - Proposal'!D899</f>
        <v>0</v>
      </c>
      <c r="E899" s="121">
        <f>'ALL Other SINs - Proposal'!E899</f>
        <v>0</v>
      </c>
      <c r="F899" s="171">
        <f>'ALL Other SINs - Proposal'!F899</f>
        <v>0</v>
      </c>
      <c r="G899" s="51">
        <f>'ALL Other SINs - Proposal'!G899</f>
        <v>0</v>
      </c>
      <c r="H899" s="125">
        <f>'ALL Other SINs - Proposal'!H899</f>
        <v>0</v>
      </c>
      <c r="I899" s="125">
        <f>'ALL Other SINs - Proposal'!I899</f>
        <v>0</v>
      </c>
      <c r="J899" s="125">
        <f>'ALL Other SINs - Proposal'!J899</f>
        <v>0</v>
      </c>
      <c r="K899" s="125">
        <f>'ALL Other SINs - Proposal'!K899</f>
        <v>0</v>
      </c>
      <c r="L899" s="125">
        <f>'ALL Other SINs - Proposal'!L899</f>
        <v>0</v>
      </c>
      <c r="M899" s="206">
        <f>'ALL Other SINs - Proposal'!M899</f>
        <v>0</v>
      </c>
      <c r="N899" s="251">
        <f>'ALL Other SINs - Proposal'!V899</f>
        <v>0</v>
      </c>
      <c r="O899" s="201" t="str">
        <f>'Price Analysis'!N899</f>
        <v xml:space="preserve"> </v>
      </c>
      <c r="P899" s="53" t="str">
        <f>IF(ISBLANK('ALL Other SINs - Proposal'!AA899)," ",'ALL Other SINs - Proposal'!AA899)</f>
        <v xml:space="preserve"> </v>
      </c>
      <c r="Q899" s="95" t="str">
        <f>'ALL Other SINs - Proposal'!AC899</f>
        <v xml:space="preserve"> </v>
      </c>
      <c r="R899" s="100" t="str">
        <f>IF(ISBLANK('ALL Other SINs - Proposal'!AA899)," ",ROUND(Q899,2))</f>
        <v xml:space="preserve"> </v>
      </c>
      <c r="S899" s="54"/>
    </row>
    <row r="900" spans="1:19" ht="20.100000000000001" customHeight="1" x14ac:dyDescent="0.2">
      <c r="A900" s="127">
        <f>'ALL Other SINs - Proposal'!A900</f>
        <v>0</v>
      </c>
      <c r="B900" s="121">
        <f>'ALL Other SINs - Proposal'!B900</f>
        <v>0</v>
      </c>
      <c r="C900" s="121">
        <f>'ALL Other SINs - Proposal'!C900</f>
        <v>0</v>
      </c>
      <c r="D900" s="121">
        <f>'ALL Other SINs - Proposal'!D900</f>
        <v>0</v>
      </c>
      <c r="E900" s="121">
        <f>'ALL Other SINs - Proposal'!E900</f>
        <v>0</v>
      </c>
      <c r="F900" s="171">
        <f>'ALL Other SINs - Proposal'!F900</f>
        <v>0</v>
      </c>
      <c r="G900" s="51">
        <f>'ALL Other SINs - Proposal'!G900</f>
        <v>0</v>
      </c>
      <c r="H900" s="125">
        <f>'ALL Other SINs - Proposal'!H900</f>
        <v>0</v>
      </c>
      <c r="I900" s="125">
        <f>'ALL Other SINs - Proposal'!I900</f>
        <v>0</v>
      </c>
      <c r="J900" s="125">
        <f>'ALL Other SINs - Proposal'!J900</f>
        <v>0</v>
      </c>
      <c r="K900" s="125">
        <f>'ALL Other SINs - Proposal'!K900</f>
        <v>0</v>
      </c>
      <c r="L900" s="125">
        <f>'ALL Other SINs - Proposal'!L900</f>
        <v>0</v>
      </c>
      <c r="M900" s="206">
        <f>'ALL Other SINs - Proposal'!M900</f>
        <v>0</v>
      </c>
      <c r="N900" s="251">
        <f>'ALL Other SINs - Proposal'!V900</f>
        <v>0</v>
      </c>
      <c r="O900" s="201" t="str">
        <f>'Price Analysis'!N900</f>
        <v xml:space="preserve"> </v>
      </c>
      <c r="P900" s="53" t="str">
        <f>IF(ISBLANK('ALL Other SINs - Proposal'!AA900)," ",'ALL Other SINs - Proposal'!AA900)</f>
        <v xml:space="preserve"> </v>
      </c>
      <c r="Q900" s="95" t="str">
        <f>'ALL Other SINs - Proposal'!AC900</f>
        <v xml:space="preserve"> </v>
      </c>
      <c r="R900" s="100" t="str">
        <f>IF(ISBLANK('ALL Other SINs - Proposal'!AA900)," ",ROUND(Q900,2))</f>
        <v xml:space="preserve"> </v>
      </c>
      <c r="S900" s="54"/>
    </row>
    <row r="901" spans="1:19" ht="20.100000000000001" customHeight="1" x14ac:dyDescent="0.2">
      <c r="A901" s="127">
        <f>'ALL Other SINs - Proposal'!A901</f>
        <v>0</v>
      </c>
      <c r="B901" s="121">
        <f>'ALL Other SINs - Proposal'!B901</f>
        <v>0</v>
      </c>
      <c r="C901" s="121">
        <f>'ALL Other SINs - Proposal'!C901</f>
        <v>0</v>
      </c>
      <c r="D901" s="121">
        <f>'ALL Other SINs - Proposal'!D901</f>
        <v>0</v>
      </c>
      <c r="E901" s="121">
        <f>'ALL Other SINs - Proposal'!E901</f>
        <v>0</v>
      </c>
      <c r="F901" s="171">
        <f>'ALL Other SINs - Proposal'!F901</f>
        <v>0</v>
      </c>
      <c r="G901" s="51">
        <f>'ALL Other SINs - Proposal'!G901</f>
        <v>0</v>
      </c>
      <c r="H901" s="125">
        <f>'ALL Other SINs - Proposal'!H901</f>
        <v>0</v>
      </c>
      <c r="I901" s="125">
        <f>'ALL Other SINs - Proposal'!I901</f>
        <v>0</v>
      </c>
      <c r="J901" s="125">
        <f>'ALL Other SINs - Proposal'!J901</f>
        <v>0</v>
      </c>
      <c r="K901" s="125">
        <f>'ALL Other SINs - Proposal'!K901</f>
        <v>0</v>
      </c>
      <c r="L901" s="125">
        <f>'ALL Other SINs - Proposal'!L901</f>
        <v>0</v>
      </c>
      <c r="M901" s="206">
        <f>'ALL Other SINs - Proposal'!M901</f>
        <v>0</v>
      </c>
      <c r="N901" s="251">
        <f>'ALL Other SINs - Proposal'!V901</f>
        <v>0</v>
      </c>
      <c r="O901" s="201" t="str">
        <f>'Price Analysis'!N901</f>
        <v xml:space="preserve"> </v>
      </c>
      <c r="P901" s="53" t="str">
        <f>IF(ISBLANK('ALL Other SINs - Proposal'!AA901)," ",'ALL Other SINs - Proposal'!AA901)</f>
        <v xml:space="preserve"> </v>
      </c>
      <c r="Q901" s="95" t="str">
        <f>'ALL Other SINs - Proposal'!AC901</f>
        <v xml:space="preserve"> </v>
      </c>
      <c r="R901" s="100" t="str">
        <f>IF(ISBLANK('ALL Other SINs - Proposal'!AA901)," ",ROUND(Q901,2))</f>
        <v xml:space="preserve"> </v>
      </c>
      <c r="S901" s="54"/>
    </row>
    <row r="902" spans="1:19" ht="20.100000000000001" customHeight="1" x14ac:dyDescent="0.2">
      <c r="A902" s="127">
        <f>'ALL Other SINs - Proposal'!A902</f>
        <v>0</v>
      </c>
      <c r="B902" s="121">
        <f>'ALL Other SINs - Proposal'!B902</f>
        <v>0</v>
      </c>
      <c r="C902" s="121">
        <f>'ALL Other SINs - Proposal'!C902</f>
        <v>0</v>
      </c>
      <c r="D902" s="121">
        <f>'ALL Other SINs - Proposal'!D902</f>
        <v>0</v>
      </c>
      <c r="E902" s="121">
        <f>'ALL Other SINs - Proposal'!E902</f>
        <v>0</v>
      </c>
      <c r="F902" s="171">
        <f>'ALL Other SINs - Proposal'!F902</f>
        <v>0</v>
      </c>
      <c r="G902" s="51">
        <f>'ALL Other SINs - Proposal'!G902</f>
        <v>0</v>
      </c>
      <c r="H902" s="125">
        <f>'ALL Other SINs - Proposal'!H902</f>
        <v>0</v>
      </c>
      <c r="I902" s="125">
        <f>'ALL Other SINs - Proposal'!I902</f>
        <v>0</v>
      </c>
      <c r="J902" s="125">
        <f>'ALL Other SINs - Proposal'!J902</f>
        <v>0</v>
      </c>
      <c r="K902" s="125">
        <f>'ALL Other SINs - Proposal'!K902</f>
        <v>0</v>
      </c>
      <c r="L902" s="125">
        <f>'ALL Other SINs - Proposal'!L902</f>
        <v>0</v>
      </c>
      <c r="M902" s="206">
        <f>'ALL Other SINs - Proposal'!M902</f>
        <v>0</v>
      </c>
      <c r="N902" s="251">
        <f>'ALL Other SINs - Proposal'!V902</f>
        <v>0</v>
      </c>
      <c r="O902" s="201" t="str">
        <f>'Price Analysis'!N902</f>
        <v xml:space="preserve"> </v>
      </c>
      <c r="P902" s="53" t="str">
        <f>IF(ISBLANK('ALL Other SINs - Proposal'!AA902)," ",'ALL Other SINs - Proposal'!AA902)</f>
        <v xml:space="preserve"> </v>
      </c>
      <c r="Q902" s="95" t="str">
        <f>'ALL Other SINs - Proposal'!AC902</f>
        <v xml:space="preserve"> </v>
      </c>
      <c r="R902" s="100" t="str">
        <f>IF(ISBLANK('ALL Other SINs - Proposal'!AA902)," ",ROUND(Q902,2))</f>
        <v xml:space="preserve"> </v>
      </c>
      <c r="S902" s="54"/>
    </row>
    <row r="903" spans="1:19" ht="20.100000000000001" customHeight="1" x14ac:dyDescent="0.2">
      <c r="A903" s="127">
        <f>'ALL Other SINs - Proposal'!A903</f>
        <v>0</v>
      </c>
      <c r="B903" s="121">
        <f>'ALL Other SINs - Proposal'!B903</f>
        <v>0</v>
      </c>
      <c r="C903" s="121">
        <f>'ALL Other SINs - Proposal'!C903</f>
        <v>0</v>
      </c>
      <c r="D903" s="121">
        <f>'ALL Other SINs - Proposal'!D903</f>
        <v>0</v>
      </c>
      <c r="E903" s="121">
        <f>'ALL Other SINs - Proposal'!E903</f>
        <v>0</v>
      </c>
      <c r="F903" s="171">
        <f>'ALL Other SINs - Proposal'!F903</f>
        <v>0</v>
      </c>
      <c r="G903" s="51">
        <f>'ALL Other SINs - Proposal'!G903</f>
        <v>0</v>
      </c>
      <c r="H903" s="125">
        <f>'ALL Other SINs - Proposal'!H903</f>
        <v>0</v>
      </c>
      <c r="I903" s="125">
        <f>'ALL Other SINs - Proposal'!I903</f>
        <v>0</v>
      </c>
      <c r="J903" s="125">
        <f>'ALL Other SINs - Proposal'!J903</f>
        <v>0</v>
      </c>
      <c r="K903" s="125">
        <f>'ALL Other SINs - Proposal'!K903</f>
        <v>0</v>
      </c>
      <c r="L903" s="125">
        <f>'ALL Other SINs - Proposal'!L903</f>
        <v>0</v>
      </c>
      <c r="M903" s="206">
        <f>'ALL Other SINs - Proposal'!M903</f>
        <v>0</v>
      </c>
      <c r="N903" s="251">
        <f>'ALL Other SINs - Proposal'!V903</f>
        <v>0</v>
      </c>
      <c r="O903" s="201" t="str">
        <f>'Price Analysis'!N903</f>
        <v xml:space="preserve"> </v>
      </c>
      <c r="P903" s="53" t="str">
        <f>IF(ISBLANK('ALL Other SINs - Proposal'!AA903)," ",'ALL Other SINs - Proposal'!AA903)</f>
        <v xml:space="preserve"> </v>
      </c>
      <c r="Q903" s="95" t="str">
        <f>'ALL Other SINs - Proposal'!AC903</f>
        <v xml:space="preserve"> </v>
      </c>
      <c r="R903" s="100" t="str">
        <f>IF(ISBLANK('ALL Other SINs - Proposal'!AA903)," ",ROUND(Q903,2))</f>
        <v xml:space="preserve"> </v>
      </c>
      <c r="S903" s="54"/>
    </row>
    <row r="904" spans="1:19" ht="20.100000000000001" customHeight="1" x14ac:dyDescent="0.2">
      <c r="A904" s="127">
        <f>'ALL Other SINs - Proposal'!A904</f>
        <v>0</v>
      </c>
      <c r="B904" s="121">
        <f>'ALL Other SINs - Proposal'!B904</f>
        <v>0</v>
      </c>
      <c r="C904" s="121">
        <f>'ALL Other SINs - Proposal'!C904</f>
        <v>0</v>
      </c>
      <c r="D904" s="121">
        <f>'ALL Other SINs - Proposal'!D904</f>
        <v>0</v>
      </c>
      <c r="E904" s="121">
        <f>'ALL Other SINs - Proposal'!E904</f>
        <v>0</v>
      </c>
      <c r="F904" s="171">
        <f>'ALL Other SINs - Proposal'!F904</f>
        <v>0</v>
      </c>
      <c r="G904" s="51">
        <f>'ALL Other SINs - Proposal'!G904</f>
        <v>0</v>
      </c>
      <c r="H904" s="125">
        <f>'ALL Other SINs - Proposal'!H904</f>
        <v>0</v>
      </c>
      <c r="I904" s="125">
        <f>'ALL Other SINs - Proposal'!I904</f>
        <v>0</v>
      </c>
      <c r="J904" s="125">
        <f>'ALL Other SINs - Proposal'!J904</f>
        <v>0</v>
      </c>
      <c r="K904" s="125">
        <f>'ALL Other SINs - Proposal'!K904</f>
        <v>0</v>
      </c>
      <c r="L904" s="125">
        <f>'ALL Other SINs - Proposal'!L904</f>
        <v>0</v>
      </c>
      <c r="M904" s="206">
        <f>'ALL Other SINs - Proposal'!M904</f>
        <v>0</v>
      </c>
      <c r="N904" s="251">
        <f>'ALL Other SINs - Proposal'!V904</f>
        <v>0</v>
      </c>
      <c r="O904" s="201" t="str">
        <f>'Price Analysis'!N904</f>
        <v xml:space="preserve"> </v>
      </c>
      <c r="P904" s="53" t="str">
        <f>IF(ISBLANK('ALL Other SINs - Proposal'!AA904)," ",'ALL Other SINs - Proposal'!AA904)</f>
        <v xml:space="preserve"> </v>
      </c>
      <c r="Q904" s="95" t="str">
        <f>'ALL Other SINs - Proposal'!AC904</f>
        <v xml:space="preserve"> </v>
      </c>
      <c r="R904" s="100" t="str">
        <f>IF(ISBLANK('ALL Other SINs - Proposal'!AA904)," ",ROUND(Q904,2))</f>
        <v xml:space="preserve"> </v>
      </c>
      <c r="S904" s="54"/>
    </row>
    <row r="905" spans="1:19" ht="20.100000000000001" customHeight="1" x14ac:dyDescent="0.2">
      <c r="A905" s="127">
        <f>'ALL Other SINs - Proposal'!A905</f>
        <v>0</v>
      </c>
      <c r="B905" s="121">
        <f>'ALL Other SINs - Proposal'!B905</f>
        <v>0</v>
      </c>
      <c r="C905" s="121">
        <f>'ALL Other SINs - Proposal'!C905</f>
        <v>0</v>
      </c>
      <c r="D905" s="121">
        <f>'ALL Other SINs - Proposal'!D905</f>
        <v>0</v>
      </c>
      <c r="E905" s="121">
        <f>'ALL Other SINs - Proposal'!E905</f>
        <v>0</v>
      </c>
      <c r="F905" s="171">
        <f>'ALL Other SINs - Proposal'!F905</f>
        <v>0</v>
      </c>
      <c r="G905" s="51">
        <f>'ALL Other SINs - Proposal'!G905</f>
        <v>0</v>
      </c>
      <c r="H905" s="125">
        <f>'ALL Other SINs - Proposal'!H905</f>
        <v>0</v>
      </c>
      <c r="I905" s="125">
        <f>'ALL Other SINs - Proposal'!I905</f>
        <v>0</v>
      </c>
      <c r="J905" s="125">
        <f>'ALL Other SINs - Proposal'!J905</f>
        <v>0</v>
      </c>
      <c r="K905" s="125">
        <f>'ALL Other SINs - Proposal'!K905</f>
        <v>0</v>
      </c>
      <c r="L905" s="125">
        <f>'ALL Other SINs - Proposal'!L905</f>
        <v>0</v>
      </c>
      <c r="M905" s="206">
        <f>'ALL Other SINs - Proposal'!M905</f>
        <v>0</v>
      </c>
      <c r="N905" s="251">
        <f>'ALL Other SINs - Proposal'!V905</f>
        <v>0</v>
      </c>
      <c r="O905" s="201" t="str">
        <f>'Price Analysis'!N905</f>
        <v xml:space="preserve"> </v>
      </c>
      <c r="P905" s="53" t="str">
        <f>IF(ISBLANK('ALL Other SINs - Proposal'!AA905)," ",'ALL Other SINs - Proposal'!AA905)</f>
        <v xml:space="preserve"> </v>
      </c>
      <c r="Q905" s="95" t="str">
        <f>'ALL Other SINs - Proposal'!AC905</f>
        <v xml:space="preserve"> </v>
      </c>
      <c r="R905" s="100" t="str">
        <f>IF(ISBLANK('ALL Other SINs - Proposal'!AA905)," ",ROUND(Q905,2))</f>
        <v xml:space="preserve"> </v>
      </c>
      <c r="S905" s="54"/>
    </row>
    <row r="906" spans="1:19" ht="20.100000000000001" customHeight="1" x14ac:dyDescent="0.2">
      <c r="A906" s="127">
        <f>'ALL Other SINs - Proposal'!A906</f>
        <v>0</v>
      </c>
      <c r="B906" s="121">
        <f>'ALL Other SINs - Proposal'!B906</f>
        <v>0</v>
      </c>
      <c r="C906" s="121">
        <f>'ALL Other SINs - Proposal'!C906</f>
        <v>0</v>
      </c>
      <c r="D906" s="121">
        <f>'ALL Other SINs - Proposal'!D906</f>
        <v>0</v>
      </c>
      <c r="E906" s="121">
        <f>'ALL Other SINs - Proposal'!E906</f>
        <v>0</v>
      </c>
      <c r="F906" s="171">
        <f>'ALL Other SINs - Proposal'!F906</f>
        <v>0</v>
      </c>
      <c r="G906" s="51">
        <f>'ALL Other SINs - Proposal'!G906</f>
        <v>0</v>
      </c>
      <c r="H906" s="125">
        <f>'ALL Other SINs - Proposal'!H906</f>
        <v>0</v>
      </c>
      <c r="I906" s="125">
        <f>'ALL Other SINs - Proposal'!I906</f>
        <v>0</v>
      </c>
      <c r="J906" s="125">
        <f>'ALL Other SINs - Proposal'!J906</f>
        <v>0</v>
      </c>
      <c r="K906" s="125">
        <f>'ALL Other SINs - Proposal'!K906</f>
        <v>0</v>
      </c>
      <c r="L906" s="125">
        <f>'ALL Other SINs - Proposal'!L906</f>
        <v>0</v>
      </c>
      <c r="M906" s="206">
        <f>'ALL Other SINs - Proposal'!M906</f>
        <v>0</v>
      </c>
      <c r="N906" s="251">
        <f>'ALL Other SINs - Proposal'!V906</f>
        <v>0</v>
      </c>
      <c r="O906" s="201" t="str">
        <f>'Price Analysis'!N906</f>
        <v xml:space="preserve"> </v>
      </c>
      <c r="P906" s="53" t="str">
        <f>IF(ISBLANK('ALL Other SINs - Proposal'!AA906)," ",'ALL Other SINs - Proposal'!AA906)</f>
        <v xml:space="preserve"> </v>
      </c>
      <c r="Q906" s="95" t="str">
        <f>'ALL Other SINs - Proposal'!AC906</f>
        <v xml:space="preserve"> </v>
      </c>
      <c r="R906" s="100" t="str">
        <f>IF(ISBLANK('ALL Other SINs - Proposal'!AA906)," ",ROUND(Q906,2))</f>
        <v xml:space="preserve"> </v>
      </c>
      <c r="S906" s="54"/>
    </row>
    <row r="907" spans="1:19" ht="20.100000000000001" customHeight="1" x14ac:dyDescent="0.2">
      <c r="A907" s="127">
        <f>'ALL Other SINs - Proposal'!A907</f>
        <v>0</v>
      </c>
      <c r="B907" s="121">
        <f>'ALL Other SINs - Proposal'!B907</f>
        <v>0</v>
      </c>
      <c r="C907" s="121">
        <f>'ALL Other SINs - Proposal'!C907</f>
        <v>0</v>
      </c>
      <c r="D907" s="121">
        <f>'ALL Other SINs - Proposal'!D907</f>
        <v>0</v>
      </c>
      <c r="E907" s="121">
        <f>'ALL Other SINs - Proposal'!E907</f>
        <v>0</v>
      </c>
      <c r="F907" s="171">
        <f>'ALL Other SINs - Proposal'!F907</f>
        <v>0</v>
      </c>
      <c r="G907" s="51">
        <f>'ALL Other SINs - Proposal'!G907</f>
        <v>0</v>
      </c>
      <c r="H907" s="125">
        <f>'ALL Other SINs - Proposal'!H907</f>
        <v>0</v>
      </c>
      <c r="I907" s="125">
        <f>'ALL Other SINs - Proposal'!I907</f>
        <v>0</v>
      </c>
      <c r="J907" s="125">
        <f>'ALL Other SINs - Proposal'!J907</f>
        <v>0</v>
      </c>
      <c r="K907" s="125">
        <f>'ALL Other SINs - Proposal'!K907</f>
        <v>0</v>
      </c>
      <c r="L907" s="125">
        <f>'ALL Other SINs - Proposal'!L907</f>
        <v>0</v>
      </c>
      <c r="M907" s="206">
        <f>'ALL Other SINs - Proposal'!M907</f>
        <v>0</v>
      </c>
      <c r="N907" s="251">
        <f>'ALL Other SINs - Proposal'!V907</f>
        <v>0</v>
      </c>
      <c r="O907" s="201" t="str">
        <f>'Price Analysis'!N907</f>
        <v xml:space="preserve"> </v>
      </c>
      <c r="P907" s="53" t="str">
        <f>IF(ISBLANK('ALL Other SINs - Proposal'!AA907)," ",'ALL Other SINs - Proposal'!AA907)</f>
        <v xml:space="preserve"> </v>
      </c>
      <c r="Q907" s="95" t="str">
        <f>'ALL Other SINs - Proposal'!AC907</f>
        <v xml:space="preserve"> </v>
      </c>
      <c r="R907" s="100" t="str">
        <f>IF(ISBLANK('ALL Other SINs - Proposal'!AA907)," ",ROUND(Q907,2))</f>
        <v xml:space="preserve"> </v>
      </c>
      <c r="S907" s="54"/>
    </row>
    <row r="908" spans="1:19" ht="20.100000000000001" customHeight="1" x14ac:dyDescent="0.2">
      <c r="A908" s="127">
        <f>'ALL Other SINs - Proposal'!A908</f>
        <v>0</v>
      </c>
      <c r="B908" s="121">
        <f>'ALL Other SINs - Proposal'!B908</f>
        <v>0</v>
      </c>
      <c r="C908" s="121">
        <f>'ALL Other SINs - Proposal'!C908</f>
        <v>0</v>
      </c>
      <c r="D908" s="121">
        <f>'ALL Other SINs - Proposal'!D908</f>
        <v>0</v>
      </c>
      <c r="E908" s="121">
        <f>'ALL Other SINs - Proposal'!E908</f>
        <v>0</v>
      </c>
      <c r="F908" s="171">
        <f>'ALL Other SINs - Proposal'!F908</f>
        <v>0</v>
      </c>
      <c r="G908" s="51">
        <f>'ALL Other SINs - Proposal'!G908</f>
        <v>0</v>
      </c>
      <c r="H908" s="125">
        <f>'ALL Other SINs - Proposal'!H908</f>
        <v>0</v>
      </c>
      <c r="I908" s="125">
        <f>'ALL Other SINs - Proposal'!I908</f>
        <v>0</v>
      </c>
      <c r="J908" s="125">
        <f>'ALL Other SINs - Proposal'!J908</f>
        <v>0</v>
      </c>
      <c r="K908" s="125">
        <f>'ALL Other SINs - Proposal'!K908</f>
        <v>0</v>
      </c>
      <c r="L908" s="125">
        <f>'ALL Other SINs - Proposal'!L908</f>
        <v>0</v>
      </c>
      <c r="M908" s="206">
        <f>'ALL Other SINs - Proposal'!M908</f>
        <v>0</v>
      </c>
      <c r="N908" s="251">
        <f>'ALL Other SINs - Proposal'!V908</f>
        <v>0</v>
      </c>
      <c r="O908" s="201" t="str">
        <f>'Price Analysis'!N908</f>
        <v xml:space="preserve"> </v>
      </c>
      <c r="P908" s="53" t="str">
        <f>IF(ISBLANK('ALL Other SINs - Proposal'!AA908)," ",'ALL Other SINs - Proposal'!AA908)</f>
        <v xml:space="preserve"> </v>
      </c>
      <c r="Q908" s="95" t="str">
        <f>'ALL Other SINs - Proposal'!AC908</f>
        <v xml:space="preserve"> </v>
      </c>
      <c r="R908" s="100" t="str">
        <f>IF(ISBLANK('ALL Other SINs - Proposal'!AA908)," ",ROUND(Q908,2))</f>
        <v xml:space="preserve"> </v>
      </c>
      <c r="S908" s="54"/>
    </row>
    <row r="909" spans="1:19" ht="20.100000000000001" customHeight="1" x14ac:dyDescent="0.2">
      <c r="A909" s="127">
        <f>'ALL Other SINs - Proposal'!A909</f>
        <v>0</v>
      </c>
      <c r="B909" s="121">
        <f>'ALL Other SINs - Proposal'!B909</f>
        <v>0</v>
      </c>
      <c r="C909" s="121">
        <f>'ALL Other SINs - Proposal'!C909</f>
        <v>0</v>
      </c>
      <c r="D909" s="121">
        <f>'ALL Other SINs - Proposal'!D909</f>
        <v>0</v>
      </c>
      <c r="E909" s="121">
        <f>'ALL Other SINs - Proposal'!E909</f>
        <v>0</v>
      </c>
      <c r="F909" s="171">
        <f>'ALL Other SINs - Proposal'!F909</f>
        <v>0</v>
      </c>
      <c r="G909" s="51">
        <f>'ALL Other SINs - Proposal'!G909</f>
        <v>0</v>
      </c>
      <c r="H909" s="125">
        <f>'ALL Other SINs - Proposal'!H909</f>
        <v>0</v>
      </c>
      <c r="I909" s="125">
        <f>'ALL Other SINs - Proposal'!I909</f>
        <v>0</v>
      </c>
      <c r="J909" s="125">
        <f>'ALL Other SINs - Proposal'!J909</f>
        <v>0</v>
      </c>
      <c r="K909" s="125">
        <f>'ALL Other SINs - Proposal'!K909</f>
        <v>0</v>
      </c>
      <c r="L909" s="125">
        <f>'ALL Other SINs - Proposal'!L909</f>
        <v>0</v>
      </c>
      <c r="M909" s="206">
        <f>'ALL Other SINs - Proposal'!M909</f>
        <v>0</v>
      </c>
      <c r="N909" s="251">
        <f>'ALL Other SINs - Proposal'!V909</f>
        <v>0</v>
      </c>
      <c r="O909" s="201" t="str">
        <f>'Price Analysis'!N909</f>
        <v xml:space="preserve"> </v>
      </c>
      <c r="P909" s="53" t="str">
        <f>IF(ISBLANK('ALL Other SINs - Proposal'!AA909)," ",'ALL Other SINs - Proposal'!AA909)</f>
        <v xml:space="preserve"> </v>
      </c>
      <c r="Q909" s="95" t="str">
        <f>'ALL Other SINs - Proposal'!AC909</f>
        <v xml:space="preserve"> </v>
      </c>
      <c r="R909" s="100" t="str">
        <f>IF(ISBLANK('ALL Other SINs - Proposal'!AA909)," ",ROUND(Q909,2))</f>
        <v xml:space="preserve"> </v>
      </c>
      <c r="S909" s="54"/>
    </row>
    <row r="910" spans="1:19" ht="20.100000000000001" customHeight="1" x14ac:dyDescent="0.2">
      <c r="A910" s="127">
        <f>'ALL Other SINs - Proposal'!A910</f>
        <v>0</v>
      </c>
      <c r="B910" s="121">
        <f>'ALL Other SINs - Proposal'!B910</f>
        <v>0</v>
      </c>
      <c r="C910" s="121">
        <f>'ALL Other SINs - Proposal'!C910</f>
        <v>0</v>
      </c>
      <c r="D910" s="121">
        <f>'ALL Other SINs - Proposal'!D910</f>
        <v>0</v>
      </c>
      <c r="E910" s="121">
        <f>'ALL Other SINs - Proposal'!E910</f>
        <v>0</v>
      </c>
      <c r="F910" s="171">
        <f>'ALL Other SINs - Proposal'!F910</f>
        <v>0</v>
      </c>
      <c r="G910" s="51">
        <f>'ALL Other SINs - Proposal'!G910</f>
        <v>0</v>
      </c>
      <c r="H910" s="125">
        <f>'ALL Other SINs - Proposal'!H910</f>
        <v>0</v>
      </c>
      <c r="I910" s="125">
        <f>'ALL Other SINs - Proposal'!I910</f>
        <v>0</v>
      </c>
      <c r="J910" s="125">
        <f>'ALL Other SINs - Proposal'!J910</f>
        <v>0</v>
      </c>
      <c r="K910" s="125">
        <f>'ALL Other SINs - Proposal'!K910</f>
        <v>0</v>
      </c>
      <c r="L910" s="125">
        <f>'ALL Other SINs - Proposal'!L910</f>
        <v>0</v>
      </c>
      <c r="M910" s="206">
        <f>'ALL Other SINs - Proposal'!M910</f>
        <v>0</v>
      </c>
      <c r="N910" s="251">
        <f>'ALL Other SINs - Proposal'!V910</f>
        <v>0</v>
      </c>
      <c r="O910" s="201" t="str">
        <f>'Price Analysis'!N910</f>
        <v xml:space="preserve"> </v>
      </c>
      <c r="P910" s="53" t="str">
        <f>IF(ISBLANK('ALL Other SINs - Proposal'!AA910)," ",'ALL Other SINs - Proposal'!AA910)</f>
        <v xml:space="preserve"> </v>
      </c>
      <c r="Q910" s="95" t="str">
        <f>'ALL Other SINs - Proposal'!AC910</f>
        <v xml:space="preserve"> </v>
      </c>
      <c r="R910" s="100" t="str">
        <f>IF(ISBLANK('ALL Other SINs - Proposal'!AA910)," ",ROUND(Q910,2))</f>
        <v xml:space="preserve"> </v>
      </c>
      <c r="S910" s="54"/>
    </row>
    <row r="911" spans="1:19" ht="20.100000000000001" customHeight="1" x14ac:dyDescent="0.2">
      <c r="A911" s="127">
        <f>'ALL Other SINs - Proposal'!A911</f>
        <v>0</v>
      </c>
      <c r="B911" s="121">
        <f>'ALL Other SINs - Proposal'!B911</f>
        <v>0</v>
      </c>
      <c r="C911" s="121">
        <f>'ALL Other SINs - Proposal'!C911</f>
        <v>0</v>
      </c>
      <c r="D911" s="121">
        <f>'ALL Other SINs - Proposal'!D911</f>
        <v>0</v>
      </c>
      <c r="E911" s="121">
        <f>'ALL Other SINs - Proposal'!E911</f>
        <v>0</v>
      </c>
      <c r="F911" s="171">
        <f>'ALL Other SINs - Proposal'!F911</f>
        <v>0</v>
      </c>
      <c r="G911" s="51">
        <f>'ALL Other SINs - Proposal'!G911</f>
        <v>0</v>
      </c>
      <c r="H911" s="125">
        <f>'ALL Other SINs - Proposal'!H911</f>
        <v>0</v>
      </c>
      <c r="I911" s="125">
        <f>'ALL Other SINs - Proposal'!I911</f>
        <v>0</v>
      </c>
      <c r="J911" s="125">
        <f>'ALL Other SINs - Proposal'!J911</f>
        <v>0</v>
      </c>
      <c r="K911" s="125">
        <f>'ALL Other SINs - Proposal'!K911</f>
        <v>0</v>
      </c>
      <c r="L911" s="125">
        <f>'ALL Other SINs - Proposal'!L911</f>
        <v>0</v>
      </c>
      <c r="M911" s="206">
        <f>'ALL Other SINs - Proposal'!M911</f>
        <v>0</v>
      </c>
      <c r="N911" s="251">
        <f>'ALL Other SINs - Proposal'!V911</f>
        <v>0</v>
      </c>
      <c r="O911" s="201" t="str">
        <f>'Price Analysis'!N911</f>
        <v xml:space="preserve"> </v>
      </c>
      <c r="P911" s="53" t="str">
        <f>IF(ISBLANK('ALL Other SINs - Proposal'!AA911)," ",'ALL Other SINs - Proposal'!AA911)</f>
        <v xml:space="preserve"> </v>
      </c>
      <c r="Q911" s="95" t="str">
        <f>'ALL Other SINs - Proposal'!AC911</f>
        <v xml:space="preserve"> </v>
      </c>
      <c r="R911" s="100" t="str">
        <f>IF(ISBLANK('ALL Other SINs - Proposal'!AA911)," ",ROUND(Q911,2))</f>
        <v xml:space="preserve"> </v>
      </c>
      <c r="S911" s="54"/>
    </row>
    <row r="912" spans="1:19" ht="20.100000000000001" customHeight="1" x14ac:dyDescent="0.2">
      <c r="A912" s="127">
        <f>'ALL Other SINs - Proposal'!A912</f>
        <v>0</v>
      </c>
      <c r="B912" s="121">
        <f>'ALL Other SINs - Proposal'!B912</f>
        <v>0</v>
      </c>
      <c r="C912" s="121">
        <f>'ALL Other SINs - Proposal'!C912</f>
        <v>0</v>
      </c>
      <c r="D912" s="121">
        <f>'ALL Other SINs - Proposal'!D912</f>
        <v>0</v>
      </c>
      <c r="E912" s="121">
        <f>'ALL Other SINs - Proposal'!E912</f>
        <v>0</v>
      </c>
      <c r="F912" s="171">
        <f>'ALL Other SINs - Proposal'!F912</f>
        <v>0</v>
      </c>
      <c r="G912" s="51">
        <f>'ALL Other SINs - Proposal'!G912</f>
        <v>0</v>
      </c>
      <c r="H912" s="125">
        <f>'ALL Other SINs - Proposal'!H912</f>
        <v>0</v>
      </c>
      <c r="I912" s="125">
        <f>'ALL Other SINs - Proposal'!I912</f>
        <v>0</v>
      </c>
      <c r="J912" s="125">
        <f>'ALL Other SINs - Proposal'!J912</f>
        <v>0</v>
      </c>
      <c r="K912" s="125">
        <f>'ALL Other SINs - Proposal'!K912</f>
        <v>0</v>
      </c>
      <c r="L912" s="125">
        <f>'ALL Other SINs - Proposal'!L912</f>
        <v>0</v>
      </c>
      <c r="M912" s="206">
        <f>'ALL Other SINs - Proposal'!M912</f>
        <v>0</v>
      </c>
      <c r="N912" s="251">
        <f>'ALL Other SINs - Proposal'!V912</f>
        <v>0</v>
      </c>
      <c r="O912" s="201" t="str">
        <f>'Price Analysis'!N912</f>
        <v xml:space="preserve"> </v>
      </c>
      <c r="P912" s="53" t="str">
        <f>IF(ISBLANK('ALL Other SINs - Proposal'!AA912)," ",'ALL Other SINs - Proposal'!AA912)</f>
        <v xml:space="preserve"> </v>
      </c>
      <c r="Q912" s="95" t="str">
        <f>'ALL Other SINs - Proposal'!AC912</f>
        <v xml:space="preserve"> </v>
      </c>
      <c r="R912" s="100" t="str">
        <f>IF(ISBLANK('ALL Other SINs - Proposal'!AA912)," ",ROUND(Q912,2))</f>
        <v xml:space="preserve"> </v>
      </c>
      <c r="S912" s="54"/>
    </row>
    <row r="913" spans="1:19" ht="20.100000000000001" customHeight="1" x14ac:dyDescent="0.2">
      <c r="A913" s="127">
        <f>'ALL Other SINs - Proposal'!A913</f>
        <v>0</v>
      </c>
      <c r="B913" s="121">
        <f>'ALL Other SINs - Proposal'!B913</f>
        <v>0</v>
      </c>
      <c r="C913" s="121">
        <f>'ALL Other SINs - Proposal'!C913</f>
        <v>0</v>
      </c>
      <c r="D913" s="121">
        <f>'ALL Other SINs - Proposal'!D913</f>
        <v>0</v>
      </c>
      <c r="E913" s="121">
        <f>'ALL Other SINs - Proposal'!E913</f>
        <v>0</v>
      </c>
      <c r="F913" s="171">
        <f>'ALL Other SINs - Proposal'!F913</f>
        <v>0</v>
      </c>
      <c r="G913" s="51">
        <f>'ALL Other SINs - Proposal'!G913</f>
        <v>0</v>
      </c>
      <c r="H913" s="125">
        <f>'ALL Other SINs - Proposal'!H913</f>
        <v>0</v>
      </c>
      <c r="I913" s="125">
        <f>'ALL Other SINs - Proposal'!I913</f>
        <v>0</v>
      </c>
      <c r="J913" s="125">
        <f>'ALL Other SINs - Proposal'!J913</f>
        <v>0</v>
      </c>
      <c r="K913" s="125">
        <f>'ALL Other SINs - Proposal'!K913</f>
        <v>0</v>
      </c>
      <c r="L913" s="125">
        <f>'ALL Other SINs - Proposal'!L913</f>
        <v>0</v>
      </c>
      <c r="M913" s="206">
        <f>'ALL Other SINs - Proposal'!M913</f>
        <v>0</v>
      </c>
      <c r="N913" s="251">
        <f>'ALL Other SINs - Proposal'!V913</f>
        <v>0</v>
      </c>
      <c r="O913" s="201" t="str">
        <f>'Price Analysis'!N913</f>
        <v xml:space="preserve"> </v>
      </c>
      <c r="P913" s="53" t="str">
        <f>IF(ISBLANK('ALL Other SINs - Proposal'!AA913)," ",'ALL Other SINs - Proposal'!AA913)</f>
        <v xml:space="preserve"> </v>
      </c>
      <c r="Q913" s="95" t="str">
        <f>'ALL Other SINs - Proposal'!AC913</f>
        <v xml:space="preserve"> </v>
      </c>
      <c r="R913" s="100" t="str">
        <f>IF(ISBLANK('ALL Other SINs - Proposal'!AA913)," ",ROUND(Q913,2))</f>
        <v xml:space="preserve"> </v>
      </c>
      <c r="S913" s="54"/>
    </row>
    <row r="914" spans="1:19" ht="20.100000000000001" customHeight="1" x14ac:dyDescent="0.2">
      <c r="A914" s="127">
        <f>'ALL Other SINs - Proposal'!A914</f>
        <v>0</v>
      </c>
      <c r="B914" s="121">
        <f>'ALL Other SINs - Proposal'!B914</f>
        <v>0</v>
      </c>
      <c r="C914" s="121">
        <f>'ALL Other SINs - Proposal'!C914</f>
        <v>0</v>
      </c>
      <c r="D914" s="121">
        <f>'ALL Other SINs - Proposal'!D914</f>
        <v>0</v>
      </c>
      <c r="E914" s="121">
        <f>'ALL Other SINs - Proposal'!E914</f>
        <v>0</v>
      </c>
      <c r="F914" s="171">
        <f>'ALL Other SINs - Proposal'!F914</f>
        <v>0</v>
      </c>
      <c r="G914" s="51">
        <f>'ALL Other SINs - Proposal'!G914</f>
        <v>0</v>
      </c>
      <c r="H914" s="125">
        <f>'ALL Other SINs - Proposal'!H914</f>
        <v>0</v>
      </c>
      <c r="I914" s="125">
        <f>'ALL Other SINs - Proposal'!I914</f>
        <v>0</v>
      </c>
      <c r="J914" s="125">
        <f>'ALL Other SINs - Proposal'!J914</f>
        <v>0</v>
      </c>
      <c r="K914" s="125">
        <f>'ALL Other SINs - Proposal'!K914</f>
        <v>0</v>
      </c>
      <c r="L914" s="125">
        <f>'ALL Other SINs - Proposal'!L914</f>
        <v>0</v>
      </c>
      <c r="M914" s="206">
        <f>'ALL Other SINs - Proposal'!M914</f>
        <v>0</v>
      </c>
      <c r="N914" s="251">
        <f>'ALL Other SINs - Proposal'!V914</f>
        <v>0</v>
      </c>
      <c r="O914" s="201" t="str">
        <f>'Price Analysis'!N914</f>
        <v xml:space="preserve"> </v>
      </c>
      <c r="P914" s="53" t="str">
        <f>IF(ISBLANK('ALL Other SINs - Proposal'!AA914)," ",'ALL Other SINs - Proposal'!AA914)</f>
        <v xml:space="preserve"> </v>
      </c>
      <c r="Q914" s="95" t="str">
        <f>'ALL Other SINs - Proposal'!AC914</f>
        <v xml:space="preserve"> </v>
      </c>
      <c r="R914" s="100" t="str">
        <f>IF(ISBLANK('ALL Other SINs - Proposal'!AA914)," ",ROUND(Q914,2))</f>
        <v xml:space="preserve"> </v>
      </c>
      <c r="S914" s="54"/>
    </row>
    <row r="915" spans="1:19" ht="20.100000000000001" customHeight="1" x14ac:dyDescent="0.2">
      <c r="A915" s="127">
        <f>'ALL Other SINs - Proposal'!A915</f>
        <v>0</v>
      </c>
      <c r="B915" s="121">
        <f>'ALL Other SINs - Proposal'!B915</f>
        <v>0</v>
      </c>
      <c r="C915" s="121">
        <f>'ALL Other SINs - Proposal'!C915</f>
        <v>0</v>
      </c>
      <c r="D915" s="121">
        <f>'ALL Other SINs - Proposal'!D915</f>
        <v>0</v>
      </c>
      <c r="E915" s="121">
        <f>'ALL Other SINs - Proposal'!E915</f>
        <v>0</v>
      </c>
      <c r="F915" s="171">
        <f>'ALL Other SINs - Proposal'!F915</f>
        <v>0</v>
      </c>
      <c r="G915" s="51">
        <f>'ALL Other SINs - Proposal'!G915</f>
        <v>0</v>
      </c>
      <c r="H915" s="125">
        <f>'ALL Other SINs - Proposal'!H915</f>
        <v>0</v>
      </c>
      <c r="I915" s="125">
        <f>'ALL Other SINs - Proposal'!I915</f>
        <v>0</v>
      </c>
      <c r="J915" s="125">
        <f>'ALL Other SINs - Proposal'!J915</f>
        <v>0</v>
      </c>
      <c r="K915" s="125">
        <f>'ALL Other SINs - Proposal'!K915</f>
        <v>0</v>
      </c>
      <c r="L915" s="125">
        <f>'ALL Other SINs - Proposal'!L915</f>
        <v>0</v>
      </c>
      <c r="M915" s="206">
        <f>'ALL Other SINs - Proposal'!M915</f>
        <v>0</v>
      </c>
      <c r="N915" s="251">
        <f>'ALL Other SINs - Proposal'!V915</f>
        <v>0</v>
      </c>
      <c r="O915" s="201" t="str">
        <f>'Price Analysis'!N915</f>
        <v xml:space="preserve"> </v>
      </c>
      <c r="P915" s="53" t="str">
        <f>IF(ISBLANK('ALL Other SINs - Proposal'!AA915)," ",'ALL Other SINs - Proposal'!AA915)</f>
        <v xml:space="preserve"> </v>
      </c>
      <c r="Q915" s="95" t="str">
        <f>'ALL Other SINs - Proposal'!AC915</f>
        <v xml:space="preserve"> </v>
      </c>
      <c r="R915" s="100" t="str">
        <f>IF(ISBLANK('ALL Other SINs - Proposal'!AA915)," ",ROUND(Q915,2))</f>
        <v xml:space="preserve"> </v>
      </c>
      <c r="S915" s="54"/>
    </row>
    <row r="916" spans="1:19" ht="20.100000000000001" customHeight="1" x14ac:dyDescent="0.2">
      <c r="A916" s="127">
        <f>'ALL Other SINs - Proposal'!A916</f>
        <v>0</v>
      </c>
      <c r="B916" s="121">
        <f>'ALL Other SINs - Proposal'!B916</f>
        <v>0</v>
      </c>
      <c r="C916" s="121">
        <f>'ALL Other SINs - Proposal'!C916</f>
        <v>0</v>
      </c>
      <c r="D916" s="121">
        <f>'ALL Other SINs - Proposal'!D916</f>
        <v>0</v>
      </c>
      <c r="E916" s="121">
        <f>'ALL Other SINs - Proposal'!E916</f>
        <v>0</v>
      </c>
      <c r="F916" s="171">
        <f>'ALL Other SINs - Proposal'!F916</f>
        <v>0</v>
      </c>
      <c r="G916" s="51">
        <f>'ALL Other SINs - Proposal'!G916</f>
        <v>0</v>
      </c>
      <c r="H916" s="125">
        <f>'ALL Other SINs - Proposal'!H916</f>
        <v>0</v>
      </c>
      <c r="I916" s="125">
        <f>'ALL Other SINs - Proposal'!I916</f>
        <v>0</v>
      </c>
      <c r="J916" s="125">
        <f>'ALL Other SINs - Proposal'!J916</f>
        <v>0</v>
      </c>
      <c r="K916" s="125">
        <f>'ALL Other SINs - Proposal'!K916</f>
        <v>0</v>
      </c>
      <c r="L916" s="125">
        <f>'ALL Other SINs - Proposal'!L916</f>
        <v>0</v>
      </c>
      <c r="M916" s="206">
        <f>'ALL Other SINs - Proposal'!M916</f>
        <v>0</v>
      </c>
      <c r="N916" s="251">
        <f>'ALL Other SINs - Proposal'!V916</f>
        <v>0</v>
      </c>
      <c r="O916" s="201" t="str">
        <f>'Price Analysis'!N916</f>
        <v xml:space="preserve"> </v>
      </c>
      <c r="P916" s="53" t="str">
        <f>IF(ISBLANK('ALL Other SINs - Proposal'!AA916)," ",'ALL Other SINs - Proposal'!AA916)</f>
        <v xml:space="preserve"> </v>
      </c>
      <c r="Q916" s="95" t="str">
        <f>'ALL Other SINs - Proposal'!AC916</f>
        <v xml:space="preserve"> </v>
      </c>
      <c r="R916" s="100" t="str">
        <f>IF(ISBLANK('ALL Other SINs - Proposal'!AA916)," ",ROUND(Q916,2))</f>
        <v xml:space="preserve"> </v>
      </c>
      <c r="S916" s="54"/>
    </row>
    <row r="917" spans="1:19" ht="20.100000000000001" customHeight="1" x14ac:dyDescent="0.2">
      <c r="A917" s="127">
        <f>'ALL Other SINs - Proposal'!A917</f>
        <v>0</v>
      </c>
      <c r="B917" s="121">
        <f>'ALL Other SINs - Proposal'!B917</f>
        <v>0</v>
      </c>
      <c r="C917" s="121">
        <f>'ALL Other SINs - Proposal'!C917</f>
        <v>0</v>
      </c>
      <c r="D917" s="121">
        <f>'ALL Other SINs - Proposal'!D917</f>
        <v>0</v>
      </c>
      <c r="E917" s="121">
        <f>'ALL Other SINs - Proposal'!E917</f>
        <v>0</v>
      </c>
      <c r="F917" s="171">
        <f>'ALL Other SINs - Proposal'!F917</f>
        <v>0</v>
      </c>
      <c r="G917" s="51">
        <f>'ALL Other SINs - Proposal'!G917</f>
        <v>0</v>
      </c>
      <c r="H917" s="125">
        <f>'ALL Other SINs - Proposal'!H917</f>
        <v>0</v>
      </c>
      <c r="I917" s="125">
        <f>'ALL Other SINs - Proposal'!I917</f>
        <v>0</v>
      </c>
      <c r="J917" s="125">
        <f>'ALL Other SINs - Proposal'!J917</f>
        <v>0</v>
      </c>
      <c r="K917" s="125">
        <f>'ALL Other SINs - Proposal'!K917</f>
        <v>0</v>
      </c>
      <c r="L917" s="125">
        <f>'ALL Other SINs - Proposal'!L917</f>
        <v>0</v>
      </c>
      <c r="M917" s="206">
        <f>'ALL Other SINs - Proposal'!M917</f>
        <v>0</v>
      </c>
      <c r="N917" s="251">
        <f>'ALL Other SINs - Proposal'!V917</f>
        <v>0</v>
      </c>
      <c r="O917" s="201" t="str">
        <f>'Price Analysis'!N917</f>
        <v xml:space="preserve"> </v>
      </c>
      <c r="P917" s="53" t="str">
        <f>IF(ISBLANK('ALL Other SINs - Proposal'!AA917)," ",'ALL Other SINs - Proposal'!AA917)</f>
        <v xml:space="preserve"> </v>
      </c>
      <c r="Q917" s="95" t="str">
        <f>'ALL Other SINs - Proposal'!AC917</f>
        <v xml:space="preserve"> </v>
      </c>
      <c r="R917" s="100" t="str">
        <f>IF(ISBLANK('ALL Other SINs - Proposal'!AA917)," ",ROUND(Q917,2))</f>
        <v xml:space="preserve"> </v>
      </c>
      <c r="S917" s="54"/>
    </row>
    <row r="918" spans="1:19" ht="20.100000000000001" customHeight="1" x14ac:dyDescent="0.2">
      <c r="A918" s="127">
        <f>'ALL Other SINs - Proposal'!A918</f>
        <v>0</v>
      </c>
      <c r="B918" s="121">
        <f>'ALL Other SINs - Proposal'!B918</f>
        <v>0</v>
      </c>
      <c r="C918" s="121">
        <f>'ALL Other SINs - Proposal'!C918</f>
        <v>0</v>
      </c>
      <c r="D918" s="121">
        <f>'ALL Other SINs - Proposal'!D918</f>
        <v>0</v>
      </c>
      <c r="E918" s="121">
        <f>'ALL Other SINs - Proposal'!E918</f>
        <v>0</v>
      </c>
      <c r="F918" s="171">
        <f>'ALL Other SINs - Proposal'!F918</f>
        <v>0</v>
      </c>
      <c r="G918" s="51">
        <f>'ALL Other SINs - Proposal'!G918</f>
        <v>0</v>
      </c>
      <c r="H918" s="125">
        <f>'ALL Other SINs - Proposal'!H918</f>
        <v>0</v>
      </c>
      <c r="I918" s="125">
        <f>'ALL Other SINs - Proposal'!I918</f>
        <v>0</v>
      </c>
      <c r="J918" s="125">
        <f>'ALL Other SINs - Proposal'!J918</f>
        <v>0</v>
      </c>
      <c r="K918" s="125">
        <f>'ALL Other SINs - Proposal'!K918</f>
        <v>0</v>
      </c>
      <c r="L918" s="125">
        <f>'ALL Other SINs - Proposal'!L918</f>
        <v>0</v>
      </c>
      <c r="M918" s="206">
        <f>'ALL Other SINs - Proposal'!M918</f>
        <v>0</v>
      </c>
      <c r="N918" s="251">
        <f>'ALL Other SINs - Proposal'!V918</f>
        <v>0</v>
      </c>
      <c r="O918" s="201" t="str">
        <f>'Price Analysis'!N918</f>
        <v xml:space="preserve"> </v>
      </c>
      <c r="P918" s="53" t="str">
        <f>IF(ISBLANK('ALL Other SINs - Proposal'!AA918)," ",'ALL Other SINs - Proposal'!AA918)</f>
        <v xml:space="preserve"> </v>
      </c>
      <c r="Q918" s="95" t="str">
        <f>'ALL Other SINs - Proposal'!AC918</f>
        <v xml:space="preserve"> </v>
      </c>
      <c r="R918" s="100" t="str">
        <f>IF(ISBLANK('ALL Other SINs - Proposal'!AA918)," ",ROUND(Q918,2))</f>
        <v xml:space="preserve"> </v>
      </c>
      <c r="S918" s="54"/>
    </row>
    <row r="919" spans="1:19" ht="20.100000000000001" customHeight="1" x14ac:dyDescent="0.2">
      <c r="A919" s="127">
        <f>'ALL Other SINs - Proposal'!A919</f>
        <v>0</v>
      </c>
      <c r="B919" s="121">
        <f>'ALL Other SINs - Proposal'!B919</f>
        <v>0</v>
      </c>
      <c r="C919" s="121">
        <f>'ALL Other SINs - Proposal'!C919</f>
        <v>0</v>
      </c>
      <c r="D919" s="121">
        <f>'ALL Other SINs - Proposal'!D919</f>
        <v>0</v>
      </c>
      <c r="E919" s="121">
        <f>'ALL Other SINs - Proposal'!E919</f>
        <v>0</v>
      </c>
      <c r="F919" s="171">
        <f>'ALL Other SINs - Proposal'!F919</f>
        <v>0</v>
      </c>
      <c r="G919" s="51">
        <f>'ALL Other SINs - Proposal'!G919</f>
        <v>0</v>
      </c>
      <c r="H919" s="125">
        <f>'ALL Other SINs - Proposal'!H919</f>
        <v>0</v>
      </c>
      <c r="I919" s="125">
        <f>'ALL Other SINs - Proposal'!I919</f>
        <v>0</v>
      </c>
      <c r="J919" s="125">
        <f>'ALL Other SINs - Proposal'!J919</f>
        <v>0</v>
      </c>
      <c r="K919" s="125">
        <f>'ALL Other SINs - Proposal'!K919</f>
        <v>0</v>
      </c>
      <c r="L919" s="125">
        <f>'ALL Other SINs - Proposal'!L919</f>
        <v>0</v>
      </c>
      <c r="M919" s="206">
        <f>'ALL Other SINs - Proposal'!M919</f>
        <v>0</v>
      </c>
      <c r="N919" s="251">
        <f>'ALL Other SINs - Proposal'!V919</f>
        <v>0</v>
      </c>
      <c r="O919" s="201" t="str">
        <f>'Price Analysis'!N919</f>
        <v xml:space="preserve"> </v>
      </c>
      <c r="P919" s="53" t="str">
        <f>IF(ISBLANK('ALL Other SINs - Proposal'!AA919)," ",'ALL Other SINs - Proposal'!AA919)</f>
        <v xml:space="preserve"> </v>
      </c>
      <c r="Q919" s="95" t="str">
        <f>'ALL Other SINs - Proposal'!AC919</f>
        <v xml:space="preserve"> </v>
      </c>
      <c r="R919" s="100" t="str">
        <f>IF(ISBLANK('ALL Other SINs - Proposal'!AA919)," ",ROUND(Q919,2))</f>
        <v xml:space="preserve"> </v>
      </c>
      <c r="S919" s="54"/>
    </row>
    <row r="920" spans="1:19" ht="20.100000000000001" customHeight="1" x14ac:dyDescent="0.2">
      <c r="A920" s="127">
        <f>'ALL Other SINs - Proposal'!A920</f>
        <v>0</v>
      </c>
      <c r="B920" s="121">
        <f>'ALL Other SINs - Proposal'!B920</f>
        <v>0</v>
      </c>
      <c r="C920" s="121">
        <f>'ALL Other SINs - Proposal'!C920</f>
        <v>0</v>
      </c>
      <c r="D920" s="121">
        <f>'ALL Other SINs - Proposal'!D920</f>
        <v>0</v>
      </c>
      <c r="E920" s="121">
        <f>'ALL Other SINs - Proposal'!E920</f>
        <v>0</v>
      </c>
      <c r="F920" s="171">
        <f>'ALL Other SINs - Proposal'!F920</f>
        <v>0</v>
      </c>
      <c r="G920" s="51">
        <f>'ALL Other SINs - Proposal'!G920</f>
        <v>0</v>
      </c>
      <c r="H920" s="125">
        <f>'ALL Other SINs - Proposal'!H920</f>
        <v>0</v>
      </c>
      <c r="I920" s="125">
        <f>'ALL Other SINs - Proposal'!I920</f>
        <v>0</v>
      </c>
      <c r="J920" s="125">
        <f>'ALL Other SINs - Proposal'!J920</f>
        <v>0</v>
      </c>
      <c r="K920" s="125">
        <f>'ALL Other SINs - Proposal'!K920</f>
        <v>0</v>
      </c>
      <c r="L920" s="125">
        <f>'ALL Other SINs - Proposal'!L920</f>
        <v>0</v>
      </c>
      <c r="M920" s="206">
        <f>'ALL Other SINs - Proposal'!M920</f>
        <v>0</v>
      </c>
      <c r="N920" s="251">
        <f>'ALL Other SINs - Proposal'!V920</f>
        <v>0</v>
      </c>
      <c r="O920" s="201" t="str">
        <f>'Price Analysis'!N920</f>
        <v xml:space="preserve"> </v>
      </c>
      <c r="P920" s="53" t="str">
        <f>IF(ISBLANK('ALL Other SINs - Proposal'!AA920)," ",'ALL Other SINs - Proposal'!AA920)</f>
        <v xml:space="preserve"> </v>
      </c>
      <c r="Q920" s="95" t="str">
        <f>'ALL Other SINs - Proposal'!AC920</f>
        <v xml:space="preserve"> </v>
      </c>
      <c r="R920" s="100" t="str">
        <f>IF(ISBLANK('ALL Other SINs - Proposal'!AA920)," ",ROUND(Q920,2))</f>
        <v xml:space="preserve"> </v>
      </c>
      <c r="S920" s="54"/>
    </row>
    <row r="921" spans="1:19" ht="20.100000000000001" customHeight="1" x14ac:dyDescent="0.2">
      <c r="A921" s="127">
        <f>'ALL Other SINs - Proposal'!A921</f>
        <v>0</v>
      </c>
      <c r="B921" s="121">
        <f>'ALL Other SINs - Proposal'!B921</f>
        <v>0</v>
      </c>
      <c r="C921" s="121">
        <f>'ALL Other SINs - Proposal'!C921</f>
        <v>0</v>
      </c>
      <c r="D921" s="121">
        <f>'ALL Other SINs - Proposal'!D921</f>
        <v>0</v>
      </c>
      <c r="E921" s="121">
        <f>'ALL Other SINs - Proposal'!E921</f>
        <v>0</v>
      </c>
      <c r="F921" s="171">
        <f>'ALL Other SINs - Proposal'!F921</f>
        <v>0</v>
      </c>
      <c r="G921" s="51">
        <f>'ALL Other SINs - Proposal'!G921</f>
        <v>0</v>
      </c>
      <c r="H921" s="125">
        <f>'ALL Other SINs - Proposal'!H921</f>
        <v>0</v>
      </c>
      <c r="I921" s="125">
        <f>'ALL Other SINs - Proposal'!I921</f>
        <v>0</v>
      </c>
      <c r="J921" s="125">
        <f>'ALL Other SINs - Proposal'!J921</f>
        <v>0</v>
      </c>
      <c r="K921" s="125">
        <f>'ALL Other SINs - Proposal'!K921</f>
        <v>0</v>
      </c>
      <c r="L921" s="125">
        <f>'ALL Other SINs - Proposal'!L921</f>
        <v>0</v>
      </c>
      <c r="M921" s="206">
        <f>'ALL Other SINs - Proposal'!M921</f>
        <v>0</v>
      </c>
      <c r="N921" s="251">
        <f>'ALL Other SINs - Proposal'!V921</f>
        <v>0</v>
      </c>
      <c r="O921" s="201" t="str">
        <f>'Price Analysis'!N921</f>
        <v xml:space="preserve"> </v>
      </c>
      <c r="P921" s="53" t="str">
        <f>IF(ISBLANK('ALL Other SINs - Proposal'!AA921)," ",'ALL Other SINs - Proposal'!AA921)</f>
        <v xml:space="preserve"> </v>
      </c>
      <c r="Q921" s="95" t="str">
        <f>'ALL Other SINs - Proposal'!AC921</f>
        <v xml:space="preserve"> </v>
      </c>
      <c r="R921" s="100" t="str">
        <f>IF(ISBLANK('ALL Other SINs - Proposal'!AA921)," ",ROUND(Q921,2))</f>
        <v xml:space="preserve"> </v>
      </c>
      <c r="S921" s="54"/>
    </row>
    <row r="922" spans="1:19" ht="20.100000000000001" customHeight="1" x14ac:dyDescent="0.2">
      <c r="A922" s="127">
        <f>'ALL Other SINs - Proposal'!A922</f>
        <v>0</v>
      </c>
      <c r="B922" s="121">
        <f>'ALL Other SINs - Proposal'!B922</f>
        <v>0</v>
      </c>
      <c r="C922" s="121">
        <f>'ALL Other SINs - Proposal'!C922</f>
        <v>0</v>
      </c>
      <c r="D922" s="121">
        <f>'ALL Other SINs - Proposal'!D922</f>
        <v>0</v>
      </c>
      <c r="E922" s="121">
        <f>'ALL Other SINs - Proposal'!E922</f>
        <v>0</v>
      </c>
      <c r="F922" s="171">
        <f>'ALL Other SINs - Proposal'!F922</f>
        <v>0</v>
      </c>
      <c r="G922" s="51">
        <f>'ALL Other SINs - Proposal'!G922</f>
        <v>0</v>
      </c>
      <c r="H922" s="125">
        <f>'ALL Other SINs - Proposal'!H922</f>
        <v>0</v>
      </c>
      <c r="I922" s="125">
        <f>'ALL Other SINs - Proposal'!I922</f>
        <v>0</v>
      </c>
      <c r="J922" s="125">
        <f>'ALL Other SINs - Proposal'!J922</f>
        <v>0</v>
      </c>
      <c r="K922" s="125">
        <f>'ALL Other SINs - Proposal'!K922</f>
        <v>0</v>
      </c>
      <c r="L922" s="125">
        <f>'ALL Other SINs - Proposal'!L922</f>
        <v>0</v>
      </c>
      <c r="M922" s="206">
        <f>'ALL Other SINs - Proposal'!M922</f>
        <v>0</v>
      </c>
      <c r="N922" s="251">
        <f>'ALL Other SINs - Proposal'!V922</f>
        <v>0</v>
      </c>
      <c r="O922" s="201" t="str">
        <f>'Price Analysis'!N922</f>
        <v xml:space="preserve"> </v>
      </c>
      <c r="P922" s="53" t="str">
        <f>IF(ISBLANK('ALL Other SINs - Proposal'!AA922)," ",'ALL Other SINs - Proposal'!AA922)</f>
        <v xml:space="preserve"> </v>
      </c>
      <c r="Q922" s="95" t="str">
        <f>'ALL Other SINs - Proposal'!AC922</f>
        <v xml:space="preserve"> </v>
      </c>
      <c r="R922" s="100" t="str">
        <f>IF(ISBLANK('ALL Other SINs - Proposal'!AA922)," ",ROUND(Q922,2))</f>
        <v xml:space="preserve"> </v>
      </c>
      <c r="S922" s="54"/>
    </row>
    <row r="923" spans="1:19" ht="20.100000000000001" customHeight="1" x14ac:dyDescent="0.2">
      <c r="A923" s="127">
        <f>'ALL Other SINs - Proposal'!A923</f>
        <v>0</v>
      </c>
      <c r="B923" s="121">
        <f>'ALL Other SINs - Proposal'!B923</f>
        <v>0</v>
      </c>
      <c r="C923" s="121">
        <f>'ALL Other SINs - Proposal'!C923</f>
        <v>0</v>
      </c>
      <c r="D923" s="121">
        <f>'ALL Other SINs - Proposal'!D923</f>
        <v>0</v>
      </c>
      <c r="E923" s="121">
        <f>'ALL Other SINs - Proposal'!E923</f>
        <v>0</v>
      </c>
      <c r="F923" s="171">
        <f>'ALL Other SINs - Proposal'!F923</f>
        <v>0</v>
      </c>
      <c r="G923" s="51">
        <f>'ALL Other SINs - Proposal'!G923</f>
        <v>0</v>
      </c>
      <c r="H923" s="125">
        <f>'ALL Other SINs - Proposal'!H923</f>
        <v>0</v>
      </c>
      <c r="I923" s="125">
        <f>'ALL Other SINs - Proposal'!I923</f>
        <v>0</v>
      </c>
      <c r="J923" s="125">
        <f>'ALL Other SINs - Proposal'!J923</f>
        <v>0</v>
      </c>
      <c r="K923" s="125">
        <f>'ALL Other SINs - Proposal'!K923</f>
        <v>0</v>
      </c>
      <c r="L923" s="125">
        <f>'ALL Other SINs - Proposal'!L923</f>
        <v>0</v>
      </c>
      <c r="M923" s="206">
        <f>'ALL Other SINs - Proposal'!M923</f>
        <v>0</v>
      </c>
      <c r="N923" s="251">
        <f>'ALL Other SINs - Proposal'!V923</f>
        <v>0</v>
      </c>
      <c r="O923" s="201" t="str">
        <f>'Price Analysis'!N923</f>
        <v xml:space="preserve"> </v>
      </c>
      <c r="P923" s="53" t="str">
        <f>IF(ISBLANK('ALL Other SINs - Proposal'!AA923)," ",'ALL Other SINs - Proposal'!AA923)</f>
        <v xml:space="preserve"> </v>
      </c>
      <c r="Q923" s="95" t="str">
        <f>'ALL Other SINs - Proposal'!AC923</f>
        <v xml:space="preserve"> </v>
      </c>
      <c r="R923" s="100" t="str">
        <f>IF(ISBLANK('ALL Other SINs - Proposal'!AA923)," ",ROUND(Q923,2))</f>
        <v xml:space="preserve"> </v>
      </c>
      <c r="S923" s="54"/>
    </row>
    <row r="924" spans="1:19" ht="20.100000000000001" customHeight="1" x14ac:dyDescent="0.2">
      <c r="A924" s="127">
        <f>'ALL Other SINs - Proposal'!A924</f>
        <v>0</v>
      </c>
      <c r="B924" s="121">
        <f>'ALL Other SINs - Proposal'!B924</f>
        <v>0</v>
      </c>
      <c r="C924" s="121">
        <f>'ALL Other SINs - Proposal'!C924</f>
        <v>0</v>
      </c>
      <c r="D924" s="121">
        <f>'ALL Other SINs - Proposal'!D924</f>
        <v>0</v>
      </c>
      <c r="E924" s="121">
        <f>'ALL Other SINs - Proposal'!E924</f>
        <v>0</v>
      </c>
      <c r="F924" s="171">
        <f>'ALL Other SINs - Proposal'!F924</f>
        <v>0</v>
      </c>
      <c r="G924" s="51">
        <f>'ALL Other SINs - Proposal'!G924</f>
        <v>0</v>
      </c>
      <c r="H924" s="125">
        <f>'ALL Other SINs - Proposal'!H924</f>
        <v>0</v>
      </c>
      <c r="I924" s="125">
        <f>'ALL Other SINs - Proposal'!I924</f>
        <v>0</v>
      </c>
      <c r="J924" s="125">
        <f>'ALL Other SINs - Proposal'!J924</f>
        <v>0</v>
      </c>
      <c r="K924" s="125">
        <f>'ALL Other SINs - Proposal'!K924</f>
        <v>0</v>
      </c>
      <c r="L924" s="125">
        <f>'ALL Other SINs - Proposal'!L924</f>
        <v>0</v>
      </c>
      <c r="M924" s="206">
        <f>'ALL Other SINs - Proposal'!M924</f>
        <v>0</v>
      </c>
      <c r="N924" s="251">
        <f>'ALL Other SINs - Proposal'!V924</f>
        <v>0</v>
      </c>
      <c r="O924" s="201" t="str">
        <f>'Price Analysis'!N924</f>
        <v xml:space="preserve"> </v>
      </c>
      <c r="P924" s="53" t="str">
        <f>IF(ISBLANK('ALL Other SINs - Proposal'!AA924)," ",'ALL Other SINs - Proposal'!AA924)</f>
        <v xml:space="preserve"> </v>
      </c>
      <c r="Q924" s="95" t="str">
        <f>'ALL Other SINs - Proposal'!AC924</f>
        <v xml:space="preserve"> </v>
      </c>
      <c r="R924" s="100" t="str">
        <f>IF(ISBLANK('ALL Other SINs - Proposal'!AA924)," ",ROUND(Q924,2))</f>
        <v xml:space="preserve"> </v>
      </c>
      <c r="S924" s="54"/>
    </row>
    <row r="925" spans="1:19" ht="20.100000000000001" customHeight="1" x14ac:dyDescent="0.2">
      <c r="A925" s="127">
        <f>'ALL Other SINs - Proposal'!A925</f>
        <v>0</v>
      </c>
      <c r="B925" s="121">
        <f>'ALL Other SINs - Proposal'!B925</f>
        <v>0</v>
      </c>
      <c r="C925" s="121">
        <f>'ALL Other SINs - Proposal'!C925</f>
        <v>0</v>
      </c>
      <c r="D925" s="121">
        <f>'ALL Other SINs - Proposal'!D925</f>
        <v>0</v>
      </c>
      <c r="E925" s="121">
        <f>'ALL Other SINs - Proposal'!E925</f>
        <v>0</v>
      </c>
      <c r="F925" s="171">
        <f>'ALL Other SINs - Proposal'!F925</f>
        <v>0</v>
      </c>
      <c r="G925" s="51">
        <f>'ALL Other SINs - Proposal'!G925</f>
        <v>0</v>
      </c>
      <c r="H925" s="125">
        <f>'ALL Other SINs - Proposal'!H925</f>
        <v>0</v>
      </c>
      <c r="I925" s="125">
        <f>'ALL Other SINs - Proposal'!I925</f>
        <v>0</v>
      </c>
      <c r="J925" s="125">
        <f>'ALL Other SINs - Proposal'!J925</f>
        <v>0</v>
      </c>
      <c r="K925" s="125">
        <f>'ALL Other SINs - Proposal'!K925</f>
        <v>0</v>
      </c>
      <c r="L925" s="125">
        <f>'ALL Other SINs - Proposal'!L925</f>
        <v>0</v>
      </c>
      <c r="M925" s="206">
        <f>'ALL Other SINs - Proposal'!M925</f>
        <v>0</v>
      </c>
      <c r="N925" s="251">
        <f>'ALL Other SINs - Proposal'!V925</f>
        <v>0</v>
      </c>
      <c r="O925" s="201" t="str">
        <f>'Price Analysis'!N925</f>
        <v xml:space="preserve"> </v>
      </c>
      <c r="P925" s="53" t="str">
        <f>IF(ISBLANK('ALL Other SINs - Proposal'!AA925)," ",'ALL Other SINs - Proposal'!AA925)</f>
        <v xml:space="preserve"> </v>
      </c>
      <c r="Q925" s="95" t="str">
        <f>'ALL Other SINs - Proposal'!AC925</f>
        <v xml:space="preserve"> </v>
      </c>
      <c r="R925" s="100" t="str">
        <f>IF(ISBLANK('ALL Other SINs - Proposal'!AA925)," ",ROUND(Q925,2))</f>
        <v xml:space="preserve"> </v>
      </c>
      <c r="S925" s="54"/>
    </row>
    <row r="926" spans="1:19" ht="20.100000000000001" customHeight="1" x14ac:dyDescent="0.2">
      <c r="A926" s="127">
        <f>'ALL Other SINs - Proposal'!A926</f>
        <v>0</v>
      </c>
      <c r="B926" s="121">
        <f>'ALL Other SINs - Proposal'!B926</f>
        <v>0</v>
      </c>
      <c r="C926" s="121">
        <f>'ALL Other SINs - Proposal'!C926</f>
        <v>0</v>
      </c>
      <c r="D926" s="121">
        <f>'ALL Other SINs - Proposal'!D926</f>
        <v>0</v>
      </c>
      <c r="E926" s="121">
        <f>'ALL Other SINs - Proposal'!E926</f>
        <v>0</v>
      </c>
      <c r="F926" s="171">
        <f>'ALL Other SINs - Proposal'!F926</f>
        <v>0</v>
      </c>
      <c r="G926" s="51">
        <f>'ALL Other SINs - Proposal'!G926</f>
        <v>0</v>
      </c>
      <c r="H926" s="125">
        <f>'ALL Other SINs - Proposal'!H926</f>
        <v>0</v>
      </c>
      <c r="I926" s="125">
        <f>'ALL Other SINs - Proposal'!I926</f>
        <v>0</v>
      </c>
      <c r="J926" s="125">
        <f>'ALL Other SINs - Proposal'!J926</f>
        <v>0</v>
      </c>
      <c r="K926" s="125">
        <f>'ALL Other SINs - Proposal'!K926</f>
        <v>0</v>
      </c>
      <c r="L926" s="125">
        <f>'ALL Other SINs - Proposal'!L926</f>
        <v>0</v>
      </c>
      <c r="M926" s="206">
        <f>'ALL Other SINs - Proposal'!M926</f>
        <v>0</v>
      </c>
      <c r="N926" s="251">
        <f>'ALL Other SINs - Proposal'!V926</f>
        <v>0</v>
      </c>
      <c r="O926" s="201" t="str">
        <f>'Price Analysis'!N926</f>
        <v xml:space="preserve"> </v>
      </c>
      <c r="P926" s="53" t="str">
        <f>IF(ISBLANK('ALL Other SINs - Proposal'!AA926)," ",'ALL Other SINs - Proposal'!AA926)</f>
        <v xml:space="preserve"> </v>
      </c>
      <c r="Q926" s="95" t="str">
        <f>'ALL Other SINs - Proposal'!AC926</f>
        <v xml:space="preserve"> </v>
      </c>
      <c r="R926" s="100" t="str">
        <f>IF(ISBLANK('ALL Other SINs - Proposal'!AA926)," ",ROUND(Q926,2))</f>
        <v xml:space="preserve"> </v>
      </c>
      <c r="S926" s="54"/>
    </row>
    <row r="927" spans="1:19" ht="20.100000000000001" customHeight="1" x14ac:dyDescent="0.2">
      <c r="A927" s="127">
        <f>'ALL Other SINs - Proposal'!A927</f>
        <v>0</v>
      </c>
      <c r="B927" s="121">
        <f>'ALL Other SINs - Proposal'!B927</f>
        <v>0</v>
      </c>
      <c r="C927" s="121">
        <f>'ALL Other SINs - Proposal'!C927</f>
        <v>0</v>
      </c>
      <c r="D927" s="121">
        <f>'ALL Other SINs - Proposal'!D927</f>
        <v>0</v>
      </c>
      <c r="E927" s="121">
        <f>'ALL Other SINs - Proposal'!E927</f>
        <v>0</v>
      </c>
      <c r="F927" s="171">
        <f>'ALL Other SINs - Proposal'!F927</f>
        <v>0</v>
      </c>
      <c r="G927" s="51">
        <f>'ALL Other SINs - Proposal'!G927</f>
        <v>0</v>
      </c>
      <c r="H927" s="125">
        <f>'ALL Other SINs - Proposal'!H927</f>
        <v>0</v>
      </c>
      <c r="I927" s="125">
        <f>'ALL Other SINs - Proposal'!I927</f>
        <v>0</v>
      </c>
      <c r="J927" s="125">
        <f>'ALL Other SINs - Proposal'!J927</f>
        <v>0</v>
      </c>
      <c r="K927" s="125">
        <f>'ALL Other SINs - Proposal'!K927</f>
        <v>0</v>
      </c>
      <c r="L927" s="125">
        <f>'ALL Other SINs - Proposal'!L927</f>
        <v>0</v>
      </c>
      <c r="M927" s="206">
        <f>'ALL Other SINs - Proposal'!M927</f>
        <v>0</v>
      </c>
      <c r="N927" s="251">
        <f>'ALL Other SINs - Proposal'!V927</f>
        <v>0</v>
      </c>
      <c r="O927" s="201" t="str">
        <f>'Price Analysis'!N927</f>
        <v xml:space="preserve"> </v>
      </c>
      <c r="P927" s="53" t="str">
        <f>IF(ISBLANK('ALL Other SINs - Proposal'!AA927)," ",'ALL Other SINs - Proposal'!AA927)</f>
        <v xml:space="preserve"> </v>
      </c>
      <c r="Q927" s="95" t="str">
        <f>'ALL Other SINs - Proposal'!AC927</f>
        <v xml:space="preserve"> </v>
      </c>
      <c r="R927" s="100" t="str">
        <f>IF(ISBLANK('ALL Other SINs - Proposal'!AA927)," ",ROUND(Q927,2))</f>
        <v xml:space="preserve"> </v>
      </c>
      <c r="S927" s="54"/>
    </row>
    <row r="928" spans="1:19" ht="20.100000000000001" customHeight="1" x14ac:dyDescent="0.2">
      <c r="A928" s="127">
        <f>'ALL Other SINs - Proposal'!A928</f>
        <v>0</v>
      </c>
      <c r="B928" s="121">
        <f>'ALL Other SINs - Proposal'!B928</f>
        <v>0</v>
      </c>
      <c r="C928" s="121">
        <f>'ALL Other SINs - Proposal'!C928</f>
        <v>0</v>
      </c>
      <c r="D928" s="121">
        <f>'ALL Other SINs - Proposal'!D928</f>
        <v>0</v>
      </c>
      <c r="E928" s="121">
        <f>'ALL Other SINs - Proposal'!E928</f>
        <v>0</v>
      </c>
      <c r="F928" s="171">
        <f>'ALL Other SINs - Proposal'!F928</f>
        <v>0</v>
      </c>
      <c r="G928" s="51">
        <f>'ALL Other SINs - Proposal'!G928</f>
        <v>0</v>
      </c>
      <c r="H928" s="125">
        <f>'ALL Other SINs - Proposal'!H928</f>
        <v>0</v>
      </c>
      <c r="I928" s="125">
        <f>'ALL Other SINs - Proposal'!I928</f>
        <v>0</v>
      </c>
      <c r="J928" s="125">
        <f>'ALL Other SINs - Proposal'!J928</f>
        <v>0</v>
      </c>
      <c r="K928" s="125">
        <f>'ALL Other SINs - Proposal'!K928</f>
        <v>0</v>
      </c>
      <c r="L928" s="125">
        <f>'ALL Other SINs - Proposal'!L928</f>
        <v>0</v>
      </c>
      <c r="M928" s="206">
        <f>'ALL Other SINs - Proposal'!M928</f>
        <v>0</v>
      </c>
      <c r="N928" s="251">
        <f>'ALL Other SINs - Proposal'!V928</f>
        <v>0</v>
      </c>
      <c r="O928" s="201" t="str">
        <f>'Price Analysis'!N928</f>
        <v xml:space="preserve"> </v>
      </c>
      <c r="P928" s="53" t="str">
        <f>IF(ISBLANK('ALL Other SINs - Proposal'!AA928)," ",'ALL Other SINs - Proposal'!AA928)</f>
        <v xml:space="preserve"> </v>
      </c>
      <c r="Q928" s="95" t="str">
        <f>'ALL Other SINs - Proposal'!AC928</f>
        <v xml:space="preserve"> </v>
      </c>
      <c r="R928" s="100" t="str">
        <f>IF(ISBLANK('ALL Other SINs - Proposal'!AA928)," ",ROUND(Q928,2))</f>
        <v xml:space="preserve"> </v>
      </c>
      <c r="S928" s="54"/>
    </row>
    <row r="929" spans="1:19" ht="20.100000000000001" customHeight="1" x14ac:dyDescent="0.2">
      <c r="A929" s="127">
        <f>'ALL Other SINs - Proposal'!A929</f>
        <v>0</v>
      </c>
      <c r="B929" s="121">
        <f>'ALL Other SINs - Proposal'!B929</f>
        <v>0</v>
      </c>
      <c r="C929" s="121">
        <f>'ALL Other SINs - Proposal'!C929</f>
        <v>0</v>
      </c>
      <c r="D929" s="121">
        <f>'ALL Other SINs - Proposal'!D929</f>
        <v>0</v>
      </c>
      <c r="E929" s="121">
        <f>'ALL Other SINs - Proposal'!E929</f>
        <v>0</v>
      </c>
      <c r="F929" s="171">
        <f>'ALL Other SINs - Proposal'!F929</f>
        <v>0</v>
      </c>
      <c r="G929" s="51">
        <f>'ALL Other SINs - Proposal'!G929</f>
        <v>0</v>
      </c>
      <c r="H929" s="125">
        <f>'ALL Other SINs - Proposal'!H929</f>
        <v>0</v>
      </c>
      <c r="I929" s="125">
        <f>'ALL Other SINs - Proposal'!I929</f>
        <v>0</v>
      </c>
      <c r="J929" s="125">
        <f>'ALL Other SINs - Proposal'!J929</f>
        <v>0</v>
      </c>
      <c r="K929" s="125">
        <f>'ALL Other SINs - Proposal'!K929</f>
        <v>0</v>
      </c>
      <c r="L929" s="125">
        <f>'ALL Other SINs - Proposal'!L929</f>
        <v>0</v>
      </c>
      <c r="M929" s="206">
        <f>'ALL Other SINs - Proposal'!M929</f>
        <v>0</v>
      </c>
      <c r="N929" s="251">
        <f>'ALL Other SINs - Proposal'!V929</f>
        <v>0</v>
      </c>
      <c r="O929" s="201" t="str">
        <f>'Price Analysis'!N929</f>
        <v xml:space="preserve"> </v>
      </c>
      <c r="P929" s="53" t="str">
        <f>IF(ISBLANK('ALL Other SINs - Proposal'!AA929)," ",'ALL Other SINs - Proposal'!AA929)</f>
        <v xml:space="preserve"> </v>
      </c>
      <c r="Q929" s="95" t="str">
        <f>'ALL Other SINs - Proposal'!AC929</f>
        <v xml:space="preserve"> </v>
      </c>
      <c r="R929" s="100" t="str">
        <f>IF(ISBLANK('ALL Other SINs - Proposal'!AA929)," ",ROUND(Q929,2))</f>
        <v xml:space="preserve"> </v>
      </c>
      <c r="S929" s="54"/>
    </row>
    <row r="930" spans="1:19" ht="20.100000000000001" customHeight="1" x14ac:dyDescent="0.2">
      <c r="A930" s="127">
        <f>'ALL Other SINs - Proposal'!A930</f>
        <v>0</v>
      </c>
      <c r="B930" s="121">
        <f>'ALL Other SINs - Proposal'!B930</f>
        <v>0</v>
      </c>
      <c r="C930" s="121">
        <f>'ALL Other SINs - Proposal'!C930</f>
        <v>0</v>
      </c>
      <c r="D930" s="121">
        <f>'ALL Other SINs - Proposal'!D930</f>
        <v>0</v>
      </c>
      <c r="E930" s="121">
        <f>'ALL Other SINs - Proposal'!E930</f>
        <v>0</v>
      </c>
      <c r="F930" s="171">
        <f>'ALL Other SINs - Proposal'!F930</f>
        <v>0</v>
      </c>
      <c r="G930" s="51">
        <f>'ALL Other SINs - Proposal'!G930</f>
        <v>0</v>
      </c>
      <c r="H930" s="125">
        <f>'ALL Other SINs - Proposal'!H930</f>
        <v>0</v>
      </c>
      <c r="I930" s="125">
        <f>'ALL Other SINs - Proposal'!I930</f>
        <v>0</v>
      </c>
      <c r="J930" s="125">
        <f>'ALL Other SINs - Proposal'!J930</f>
        <v>0</v>
      </c>
      <c r="K930" s="125">
        <f>'ALL Other SINs - Proposal'!K930</f>
        <v>0</v>
      </c>
      <c r="L930" s="125">
        <f>'ALL Other SINs - Proposal'!L930</f>
        <v>0</v>
      </c>
      <c r="M930" s="206">
        <f>'ALL Other SINs - Proposal'!M930</f>
        <v>0</v>
      </c>
      <c r="N930" s="251">
        <f>'ALL Other SINs - Proposal'!V930</f>
        <v>0</v>
      </c>
      <c r="O930" s="201" t="str">
        <f>'Price Analysis'!N930</f>
        <v xml:space="preserve"> </v>
      </c>
      <c r="P930" s="53" t="str">
        <f>IF(ISBLANK('ALL Other SINs - Proposal'!AA930)," ",'ALL Other SINs - Proposal'!AA930)</f>
        <v xml:space="preserve"> </v>
      </c>
      <c r="Q930" s="95" t="str">
        <f>'ALL Other SINs - Proposal'!AC930</f>
        <v xml:space="preserve"> </v>
      </c>
      <c r="R930" s="100" t="str">
        <f>IF(ISBLANK('ALL Other SINs - Proposal'!AA930)," ",ROUND(Q930,2))</f>
        <v xml:space="preserve"> </v>
      </c>
      <c r="S930" s="54"/>
    </row>
    <row r="931" spans="1:19" ht="20.100000000000001" customHeight="1" x14ac:dyDescent="0.2">
      <c r="A931" s="127">
        <f>'ALL Other SINs - Proposal'!A931</f>
        <v>0</v>
      </c>
      <c r="B931" s="121">
        <f>'ALL Other SINs - Proposal'!B931</f>
        <v>0</v>
      </c>
      <c r="C931" s="121">
        <f>'ALL Other SINs - Proposal'!C931</f>
        <v>0</v>
      </c>
      <c r="D931" s="121">
        <f>'ALL Other SINs - Proposal'!D931</f>
        <v>0</v>
      </c>
      <c r="E931" s="121">
        <f>'ALL Other SINs - Proposal'!E931</f>
        <v>0</v>
      </c>
      <c r="F931" s="171">
        <f>'ALL Other SINs - Proposal'!F931</f>
        <v>0</v>
      </c>
      <c r="G931" s="51">
        <f>'ALL Other SINs - Proposal'!G931</f>
        <v>0</v>
      </c>
      <c r="H931" s="125">
        <f>'ALL Other SINs - Proposal'!H931</f>
        <v>0</v>
      </c>
      <c r="I931" s="125">
        <f>'ALL Other SINs - Proposal'!I931</f>
        <v>0</v>
      </c>
      <c r="J931" s="125">
        <f>'ALL Other SINs - Proposal'!J931</f>
        <v>0</v>
      </c>
      <c r="K931" s="125">
        <f>'ALL Other SINs - Proposal'!K931</f>
        <v>0</v>
      </c>
      <c r="L931" s="125">
        <f>'ALL Other SINs - Proposal'!L931</f>
        <v>0</v>
      </c>
      <c r="M931" s="206">
        <f>'ALL Other SINs - Proposal'!M931</f>
        <v>0</v>
      </c>
      <c r="N931" s="251">
        <f>'ALL Other SINs - Proposal'!V931</f>
        <v>0</v>
      </c>
      <c r="O931" s="201" t="str">
        <f>'Price Analysis'!N931</f>
        <v xml:space="preserve"> </v>
      </c>
      <c r="P931" s="53" t="str">
        <f>IF(ISBLANK('ALL Other SINs - Proposal'!AA931)," ",'ALL Other SINs - Proposal'!AA931)</f>
        <v xml:space="preserve"> </v>
      </c>
      <c r="Q931" s="95" t="str">
        <f>'ALL Other SINs - Proposal'!AC931</f>
        <v xml:space="preserve"> </v>
      </c>
      <c r="R931" s="100" t="str">
        <f>IF(ISBLANK('ALL Other SINs - Proposal'!AA931)," ",ROUND(Q931,2))</f>
        <v xml:space="preserve"> </v>
      </c>
      <c r="S931" s="54"/>
    </row>
    <row r="932" spans="1:19" ht="20.100000000000001" customHeight="1" x14ac:dyDescent="0.2">
      <c r="A932" s="127">
        <f>'ALL Other SINs - Proposal'!A932</f>
        <v>0</v>
      </c>
      <c r="B932" s="121">
        <f>'ALL Other SINs - Proposal'!B932</f>
        <v>0</v>
      </c>
      <c r="C932" s="121">
        <f>'ALL Other SINs - Proposal'!C932</f>
        <v>0</v>
      </c>
      <c r="D932" s="121">
        <f>'ALL Other SINs - Proposal'!D932</f>
        <v>0</v>
      </c>
      <c r="E932" s="121">
        <f>'ALL Other SINs - Proposal'!E932</f>
        <v>0</v>
      </c>
      <c r="F932" s="171">
        <f>'ALL Other SINs - Proposal'!F932</f>
        <v>0</v>
      </c>
      <c r="G932" s="51">
        <f>'ALL Other SINs - Proposal'!G932</f>
        <v>0</v>
      </c>
      <c r="H932" s="125">
        <f>'ALL Other SINs - Proposal'!H932</f>
        <v>0</v>
      </c>
      <c r="I932" s="125">
        <f>'ALL Other SINs - Proposal'!I932</f>
        <v>0</v>
      </c>
      <c r="J932" s="125">
        <f>'ALL Other SINs - Proposal'!J932</f>
        <v>0</v>
      </c>
      <c r="K932" s="125">
        <f>'ALL Other SINs - Proposal'!K932</f>
        <v>0</v>
      </c>
      <c r="L932" s="125">
        <f>'ALL Other SINs - Proposal'!L932</f>
        <v>0</v>
      </c>
      <c r="M932" s="206">
        <f>'ALL Other SINs - Proposal'!M932</f>
        <v>0</v>
      </c>
      <c r="N932" s="251">
        <f>'ALL Other SINs - Proposal'!V932</f>
        <v>0</v>
      </c>
      <c r="O932" s="201" t="str">
        <f>'Price Analysis'!N932</f>
        <v xml:space="preserve"> </v>
      </c>
      <c r="P932" s="53" t="str">
        <f>IF(ISBLANK('ALL Other SINs - Proposal'!AA932)," ",'ALL Other SINs - Proposal'!AA932)</f>
        <v xml:space="preserve"> </v>
      </c>
      <c r="Q932" s="95" t="str">
        <f>'ALL Other SINs - Proposal'!AC932</f>
        <v xml:space="preserve"> </v>
      </c>
      <c r="R932" s="100" t="str">
        <f>IF(ISBLANK('ALL Other SINs - Proposal'!AA932)," ",ROUND(Q932,2))</f>
        <v xml:space="preserve"> </v>
      </c>
      <c r="S932" s="54"/>
    </row>
    <row r="933" spans="1:19" ht="20.100000000000001" customHeight="1" x14ac:dyDescent="0.2">
      <c r="A933" s="127">
        <f>'ALL Other SINs - Proposal'!A933</f>
        <v>0</v>
      </c>
      <c r="B933" s="121">
        <f>'ALL Other SINs - Proposal'!B933</f>
        <v>0</v>
      </c>
      <c r="C933" s="121">
        <f>'ALL Other SINs - Proposal'!C933</f>
        <v>0</v>
      </c>
      <c r="D933" s="121">
        <f>'ALL Other SINs - Proposal'!D933</f>
        <v>0</v>
      </c>
      <c r="E933" s="121">
        <f>'ALL Other SINs - Proposal'!E933</f>
        <v>0</v>
      </c>
      <c r="F933" s="171">
        <f>'ALL Other SINs - Proposal'!F933</f>
        <v>0</v>
      </c>
      <c r="G933" s="51">
        <f>'ALL Other SINs - Proposal'!G933</f>
        <v>0</v>
      </c>
      <c r="H933" s="125">
        <f>'ALL Other SINs - Proposal'!H933</f>
        <v>0</v>
      </c>
      <c r="I933" s="125">
        <f>'ALL Other SINs - Proposal'!I933</f>
        <v>0</v>
      </c>
      <c r="J933" s="125">
        <f>'ALL Other SINs - Proposal'!J933</f>
        <v>0</v>
      </c>
      <c r="K933" s="125">
        <f>'ALL Other SINs - Proposal'!K933</f>
        <v>0</v>
      </c>
      <c r="L933" s="125">
        <f>'ALL Other SINs - Proposal'!L933</f>
        <v>0</v>
      </c>
      <c r="M933" s="206">
        <f>'ALL Other SINs - Proposal'!M933</f>
        <v>0</v>
      </c>
      <c r="N933" s="251">
        <f>'ALL Other SINs - Proposal'!V933</f>
        <v>0</v>
      </c>
      <c r="O933" s="201" t="str">
        <f>'Price Analysis'!N933</f>
        <v xml:space="preserve"> </v>
      </c>
      <c r="P933" s="53" t="str">
        <f>IF(ISBLANK('ALL Other SINs - Proposal'!AA933)," ",'ALL Other SINs - Proposal'!AA933)</f>
        <v xml:space="preserve"> </v>
      </c>
      <c r="Q933" s="95" t="str">
        <f>'ALL Other SINs - Proposal'!AC933</f>
        <v xml:space="preserve"> </v>
      </c>
      <c r="R933" s="100" t="str">
        <f>IF(ISBLANK('ALL Other SINs - Proposal'!AA933)," ",ROUND(Q933,2))</f>
        <v xml:space="preserve"> </v>
      </c>
      <c r="S933" s="54"/>
    </row>
    <row r="934" spans="1:19" ht="20.100000000000001" customHeight="1" x14ac:dyDescent="0.2">
      <c r="A934" s="127">
        <f>'ALL Other SINs - Proposal'!A934</f>
        <v>0</v>
      </c>
      <c r="B934" s="121">
        <f>'ALL Other SINs - Proposal'!B934</f>
        <v>0</v>
      </c>
      <c r="C934" s="121">
        <f>'ALL Other SINs - Proposal'!C934</f>
        <v>0</v>
      </c>
      <c r="D934" s="121">
        <f>'ALL Other SINs - Proposal'!D934</f>
        <v>0</v>
      </c>
      <c r="E934" s="121">
        <f>'ALL Other SINs - Proposal'!E934</f>
        <v>0</v>
      </c>
      <c r="F934" s="171">
        <f>'ALL Other SINs - Proposal'!F934</f>
        <v>0</v>
      </c>
      <c r="G934" s="51">
        <f>'ALL Other SINs - Proposal'!G934</f>
        <v>0</v>
      </c>
      <c r="H934" s="125">
        <f>'ALL Other SINs - Proposal'!H934</f>
        <v>0</v>
      </c>
      <c r="I934" s="125">
        <f>'ALL Other SINs - Proposal'!I934</f>
        <v>0</v>
      </c>
      <c r="J934" s="125">
        <f>'ALL Other SINs - Proposal'!J934</f>
        <v>0</v>
      </c>
      <c r="K934" s="125">
        <f>'ALL Other SINs - Proposal'!K934</f>
        <v>0</v>
      </c>
      <c r="L934" s="125">
        <f>'ALL Other SINs - Proposal'!L934</f>
        <v>0</v>
      </c>
      <c r="M934" s="206">
        <f>'ALL Other SINs - Proposal'!M934</f>
        <v>0</v>
      </c>
      <c r="N934" s="251">
        <f>'ALL Other SINs - Proposal'!V934</f>
        <v>0</v>
      </c>
      <c r="O934" s="201" t="str">
        <f>'Price Analysis'!N934</f>
        <v xml:space="preserve"> </v>
      </c>
      <c r="P934" s="53" t="str">
        <f>IF(ISBLANK('ALL Other SINs - Proposal'!AA934)," ",'ALL Other SINs - Proposal'!AA934)</f>
        <v xml:space="preserve"> </v>
      </c>
      <c r="Q934" s="95" t="str">
        <f>'ALL Other SINs - Proposal'!AC934</f>
        <v xml:space="preserve"> </v>
      </c>
      <c r="R934" s="100" t="str">
        <f>IF(ISBLANK('ALL Other SINs - Proposal'!AA934)," ",ROUND(Q934,2))</f>
        <v xml:space="preserve"> </v>
      </c>
      <c r="S934" s="54"/>
    </row>
    <row r="935" spans="1:19" ht="20.100000000000001" customHeight="1" x14ac:dyDescent="0.2">
      <c r="A935" s="127">
        <f>'ALL Other SINs - Proposal'!A935</f>
        <v>0</v>
      </c>
      <c r="B935" s="121">
        <f>'ALL Other SINs - Proposal'!B935</f>
        <v>0</v>
      </c>
      <c r="C935" s="121">
        <f>'ALL Other SINs - Proposal'!C935</f>
        <v>0</v>
      </c>
      <c r="D935" s="121">
        <f>'ALL Other SINs - Proposal'!D935</f>
        <v>0</v>
      </c>
      <c r="E935" s="121">
        <f>'ALL Other SINs - Proposal'!E935</f>
        <v>0</v>
      </c>
      <c r="F935" s="171">
        <f>'ALL Other SINs - Proposal'!F935</f>
        <v>0</v>
      </c>
      <c r="G935" s="51">
        <f>'ALL Other SINs - Proposal'!G935</f>
        <v>0</v>
      </c>
      <c r="H935" s="125">
        <f>'ALL Other SINs - Proposal'!H935</f>
        <v>0</v>
      </c>
      <c r="I935" s="125">
        <f>'ALL Other SINs - Proposal'!I935</f>
        <v>0</v>
      </c>
      <c r="J935" s="125">
        <f>'ALL Other SINs - Proposal'!J935</f>
        <v>0</v>
      </c>
      <c r="K935" s="125">
        <f>'ALL Other SINs - Proposal'!K935</f>
        <v>0</v>
      </c>
      <c r="L935" s="125">
        <f>'ALL Other SINs - Proposal'!L935</f>
        <v>0</v>
      </c>
      <c r="M935" s="206">
        <f>'ALL Other SINs - Proposal'!M935</f>
        <v>0</v>
      </c>
      <c r="N935" s="251">
        <f>'ALL Other SINs - Proposal'!V935</f>
        <v>0</v>
      </c>
      <c r="O935" s="201" t="str">
        <f>'Price Analysis'!N935</f>
        <v xml:space="preserve"> </v>
      </c>
      <c r="P935" s="53" t="str">
        <f>IF(ISBLANK('ALL Other SINs - Proposal'!AA935)," ",'ALL Other SINs - Proposal'!AA935)</f>
        <v xml:space="preserve"> </v>
      </c>
      <c r="Q935" s="95" t="str">
        <f>'ALL Other SINs - Proposal'!AC935</f>
        <v xml:space="preserve"> </v>
      </c>
      <c r="R935" s="100" t="str">
        <f>IF(ISBLANK('ALL Other SINs - Proposal'!AA935)," ",ROUND(Q935,2))</f>
        <v xml:space="preserve"> </v>
      </c>
      <c r="S935" s="54"/>
    </row>
    <row r="936" spans="1:19" ht="20.100000000000001" customHeight="1" x14ac:dyDescent="0.2">
      <c r="A936" s="127">
        <f>'ALL Other SINs - Proposal'!A936</f>
        <v>0</v>
      </c>
      <c r="B936" s="121">
        <f>'ALL Other SINs - Proposal'!B936</f>
        <v>0</v>
      </c>
      <c r="C936" s="121">
        <f>'ALL Other SINs - Proposal'!C936</f>
        <v>0</v>
      </c>
      <c r="D936" s="121">
        <f>'ALL Other SINs - Proposal'!D936</f>
        <v>0</v>
      </c>
      <c r="E936" s="121">
        <f>'ALL Other SINs - Proposal'!E936</f>
        <v>0</v>
      </c>
      <c r="F936" s="171">
        <f>'ALL Other SINs - Proposal'!F936</f>
        <v>0</v>
      </c>
      <c r="G936" s="51">
        <f>'ALL Other SINs - Proposal'!G936</f>
        <v>0</v>
      </c>
      <c r="H936" s="125">
        <f>'ALL Other SINs - Proposal'!H936</f>
        <v>0</v>
      </c>
      <c r="I936" s="125">
        <f>'ALL Other SINs - Proposal'!I936</f>
        <v>0</v>
      </c>
      <c r="J936" s="125">
        <f>'ALL Other SINs - Proposal'!J936</f>
        <v>0</v>
      </c>
      <c r="K936" s="125">
        <f>'ALL Other SINs - Proposal'!K936</f>
        <v>0</v>
      </c>
      <c r="L936" s="125">
        <f>'ALL Other SINs - Proposal'!L936</f>
        <v>0</v>
      </c>
      <c r="M936" s="206">
        <f>'ALL Other SINs - Proposal'!M936</f>
        <v>0</v>
      </c>
      <c r="N936" s="251">
        <f>'ALL Other SINs - Proposal'!V936</f>
        <v>0</v>
      </c>
      <c r="O936" s="201" t="str">
        <f>'Price Analysis'!N936</f>
        <v xml:space="preserve"> </v>
      </c>
      <c r="P936" s="53" t="str">
        <f>IF(ISBLANK('ALL Other SINs - Proposal'!AA936)," ",'ALL Other SINs - Proposal'!AA936)</f>
        <v xml:space="preserve"> </v>
      </c>
      <c r="Q936" s="95" t="str">
        <f>'ALL Other SINs - Proposal'!AC936</f>
        <v xml:space="preserve"> </v>
      </c>
      <c r="R936" s="100" t="str">
        <f>IF(ISBLANK('ALL Other SINs - Proposal'!AA936)," ",ROUND(Q936,2))</f>
        <v xml:space="preserve"> </v>
      </c>
      <c r="S936" s="54"/>
    </row>
    <row r="937" spans="1:19" ht="20.100000000000001" customHeight="1" x14ac:dyDescent="0.2">
      <c r="A937" s="127">
        <f>'ALL Other SINs - Proposal'!A937</f>
        <v>0</v>
      </c>
      <c r="B937" s="121">
        <f>'ALL Other SINs - Proposal'!B937</f>
        <v>0</v>
      </c>
      <c r="C937" s="121">
        <f>'ALL Other SINs - Proposal'!C937</f>
        <v>0</v>
      </c>
      <c r="D937" s="121">
        <f>'ALL Other SINs - Proposal'!D937</f>
        <v>0</v>
      </c>
      <c r="E937" s="121">
        <f>'ALL Other SINs - Proposal'!E937</f>
        <v>0</v>
      </c>
      <c r="F937" s="171">
        <f>'ALL Other SINs - Proposal'!F937</f>
        <v>0</v>
      </c>
      <c r="G937" s="51">
        <f>'ALL Other SINs - Proposal'!G937</f>
        <v>0</v>
      </c>
      <c r="H937" s="125">
        <f>'ALL Other SINs - Proposal'!H937</f>
        <v>0</v>
      </c>
      <c r="I937" s="125">
        <f>'ALL Other SINs - Proposal'!I937</f>
        <v>0</v>
      </c>
      <c r="J937" s="125">
        <f>'ALL Other SINs - Proposal'!J937</f>
        <v>0</v>
      </c>
      <c r="K937" s="125">
        <f>'ALL Other SINs - Proposal'!K937</f>
        <v>0</v>
      </c>
      <c r="L937" s="125">
        <f>'ALL Other SINs - Proposal'!L937</f>
        <v>0</v>
      </c>
      <c r="M937" s="206">
        <f>'ALL Other SINs - Proposal'!M937</f>
        <v>0</v>
      </c>
      <c r="N937" s="251">
        <f>'ALL Other SINs - Proposal'!V937</f>
        <v>0</v>
      </c>
      <c r="O937" s="201" t="str">
        <f>'Price Analysis'!N937</f>
        <v xml:space="preserve"> </v>
      </c>
      <c r="P937" s="53" t="str">
        <f>IF(ISBLANK('ALL Other SINs - Proposal'!AA937)," ",'ALL Other SINs - Proposal'!AA937)</f>
        <v xml:space="preserve"> </v>
      </c>
      <c r="Q937" s="95" t="str">
        <f>'ALL Other SINs - Proposal'!AC937</f>
        <v xml:space="preserve"> </v>
      </c>
      <c r="R937" s="100" t="str">
        <f>IF(ISBLANK('ALL Other SINs - Proposal'!AA937)," ",ROUND(Q937,2))</f>
        <v xml:space="preserve"> </v>
      </c>
      <c r="S937" s="54"/>
    </row>
    <row r="938" spans="1:19" ht="20.100000000000001" customHeight="1" x14ac:dyDescent="0.2">
      <c r="A938" s="127">
        <f>'ALL Other SINs - Proposal'!A938</f>
        <v>0</v>
      </c>
      <c r="B938" s="121">
        <f>'ALL Other SINs - Proposal'!B938</f>
        <v>0</v>
      </c>
      <c r="C938" s="121">
        <f>'ALL Other SINs - Proposal'!C938</f>
        <v>0</v>
      </c>
      <c r="D938" s="121">
        <f>'ALL Other SINs - Proposal'!D938</f>
        <v>0</v>
      </c>
      <c r="E938" s="121">
        <f>'ALL Other SINs - Proposal'!E938</f>
        <v>0</v>
      </c>
      <c r="F938" s="171">
        <f>'ALL Other SINs - Proposal'!F938</f>
        <v>0</v>
      </c>
      <c r="G938" s="51">
        <f>'ALL Other SINs - Proposal'!G938</f>
        <v>0</v>
      </c>
      <c r="H938" s="125">
        <f>'ALL Other SINs - Proposal'!H938</f>
        <v>0</v>
      </c>
      <c r="I938" s="125">
        <f>'ALL Other SINs - Proposal'!I938</f>
        <v>0</v>
      </c>
      <c r="J938" s="125">
        <f>'ALL Other SINs - Proposal'!J938</f>
        <v>0</v>
      </c>
      <c r="K938" s="125">
        <f>'ALL Other SINs - Proposal'!K938</f>
        <v>0</v>
      </c>
      <c r="L938" s="125">
        <f>'ALL Other SINs - Proposal'!L938</f>
        <v>0</v>
      </c>
      <c r="M938" s="206">
        <f>'ALL Other SINs - Proposal'!M938</f>
        <v>0</v>
      </c>
      <c r="N938" s="251">
        <f>'ALL Other SINs - Proposal'!V938</f>
        <v>0</v>
      </c>
      <c r="O938" s="201" t="str">
        <f>'Price Analysis'!N938</f>
        <v xml:space="preserve"> </v>
      </c>
      <c r="P938" s="53" t="str">
        <f>IF(ISBLANK('ALL Other SINs - Proposal'!AA938)," ",'ALL Other SINs - Proposal'!AA938)</f>
        <v xml:space="preserve"> </v>
      </c>
      <c r="Q938" s="95" t="str">
        <f>'ALL Other SINs - Proposal'!AC938</f>
        <v xml:space="preserve"> </v>
      </c>
      <c r="R938" s="100" t="str">
        <f>IF(ISBLANK('ALL Other SINs - Proposal'!AA938)," ",ROUND(Q938,2))</f>
        <v xml:space="preserve"> </v>
      </c>
      <c r="S938" s="54"/>
    </row>
    <row r="939" spans="1:19" ht="20.100000000000001" customHeight="1" x14ac:dyDescent="0.2">
      <c r="A939" s="127">
        <f>'ALL Other SINs - Proposal'!A939</f>
        <v>0</v>
      </c>
      <c r="B939" s="121">
        <f>'ALL Other SINs - Proposal'!B939</f>
        <v>0</v>
      </c>
      <c r="C939" s="121">
        <f>'ALL Other SINs - Proposal'!C939</f>
        <v>0</v>
      </c>
      <c r="D939" s="121">
        <f>'ALL Other SINs - Proposal'!D939</f>
        <v>0</v>
      </c>
      <c r="E939" s="121">
        <f>'ALL Other SINs - Proposal'!E939</f>
        <v>0</v>
      </c>
      <c r="F939" s="171">
        <f>'ALL Other SINs - Proposal'!F939</f>
        <v>0</v>
      </c>
      <c r="G939" s="51">
        <f>'ALL Other SINs - Proposal'!G939</f>
        <v>0</v>
      </c>
      <c r="H939" s="125">
        <f>'ALL Other SINs - Proposal'!H939</f>
        <v>0</v>
      </c>
      <c r="I939" s="125">
        <f>'ALL Other SINs - Proposal'!I939</f>
        <v>0</v>
      </c>
      <c r="J939" s="125">
        <f>'ALL Other SINs - Proposal'!J939</f>
        <v>0</v>
      </c>
      <c r="K939" s="125">
        <f>'ALL Other SINs - Proposal'!K939</f>
        <v>0</v>
      </c>
      <c r="L939" s="125">
        <f>'ALL Other SINs - Proposal'!L939</f>
        <v>0</v>
      </c>
      <c r="M939" s="206">
        <f>'ALL Other SINs - Proposal'!M939</f>
        <v>0</v>
      </c>
      <c r="N939" s="251">
        <f>'ALL Other SINs - Proposal'!V939</f>
        <v>0</v>
      </c>
      <c r="O939" s="201" t="str">
        <f>'Price Analysis'!N939</f>
        <v xml:space="preserve"> </v>
      </c>
      <c r="P939" s="53" t="str">
        <f>IF(ISBLANK('ALL Other SINs - Proposal'!AA939)," ",'ALL Other SINs - Proposal'!AA939)</f>
        <v xml:space="preserve"> </v>
      </c>
      <c r="Q939" s="95" t="str">
        <f>'ALL Other SINs - Proposal'!AC939</f>
        <v xml:space="preserve"> </v>
      </c>
      <c r="R939" s="100" t="str">
        <f>IF(ISBLANK('ALL Other SINs - Proposal'!AA939)," ",ROUND(Q939,2))</f>
        <v xml:space="preserve"> </v>
      </c>
      <c r="S939" s="54"/>
    </row>
    <row r="940" spans="1:19" ht="20.100000000000001" customHeight="1" x14ac:dyDescent="0.2">
      <c r="A940" s="127">
        <f>'ALL Other SINs - Proposal'!A940</f>
        <v>0</v>
      </c>
      <c r="B940" s="121">
        <f>'ALL Other SINs - Proposal'!B940</f>
        <v>0</v>
      </c>
      <c r="C940" s="121">
        <f>'ALL Other SINs - Proposal'!C940</f>
        <v>0</v>
      </c>
      <c r="D940" s="121">
        <f>'ALL Other SINs - Proposal'!D940</f>
        <v>0</v>
      </c>
      <c r="E940" s="121">
        <f>'ALL Other SINs - Proposal'!E940</f>
        <v>0</v>
      </c>
      <c r="F940" s="171">
        <f>'ALL Other SINs - Proposal'!F940</f>
        <v>0</v>
      </c>
      <c r="G940" s="51">
        <f>'ALL Other SINs - Proposal'!G940</f>
        <v>0</v>
      </c>
      <c r="H940" s="125">
        <f>'ALL Other SINs - Proposal'!H940</f>
        <v>0</v>
      </c>
      <c r="I940" s="125">
        <f>'ALL Other SINs - Proposal'!I940</f>
        <v>0</v>
      </c>
      <c r="J940" s="125">
        <f>'ALL Other SINs - Proposal'!J940</f>
        <v>0</v>
      </c>
      <c r="K940" s="125">
        <f>'ALL Other SINs - Proposal'!K940</f>
        <v>0</v>
      </c>
      <c r="L940" s="125">
        <f>'ALL Other SINs - Proposal'!L940</f>
        <v>0</v>
      </c>
      <c r="M940" s="206">
        <f>'ALL Other SINs - Proposal'!M940</f>
        <v>0</v>
      </c>
      <c r="N940" s="251">
        <f>'ALL Other SINs - Proposal'!V940</f>
        <v>0</v>
      </c>
      <c r="O940" s="201" t="str">
        <f>'Price Analysis'!N940</f>
        <v xml:space="preserve"> </v>
      </c>
      <c r="P940" s="53" t="str">
        <f>IF(ISBLANK('ALL Other SINs - Proposal'!AA940)," ",'ALL Other SINs - Proposal'!AA940)</f>
        <v xml:space="preserve"> </v>
      </c>
      <c r="Q940" s="95" t="str">
        <f>'ALL Other SINs - Proposal'!AC940</f>
        <v xml:space="preserve"> </v>
      </c>
      <c r="R940" s="100" t="str">
        <f>IF(ISBLANK('ALL Other SINs - Proposal'!AA940)," ",ROUND(Q940,2))</f>
        <v xml:space="preserve"> </v>
      </c>
      <c r="S940" s="54"/>
    </row>
    <row r="941" spans="1:19" ht="20.100000000000001" customHeight="1" x14ac:dyDescent="0.2">
      <c r="A941" s="127">
        <f>'ALL Other SINs - Proposal'!A941</f>
        <v>0</v>
      </c>
      <c r="B941" s="121">
        <f>'ALL Other SINs - Proposal'!B941</f>
        <v>0</v>
      </c>
      <c r="C941" s="121">
        <f>'ALL Other SINs - Proposal'!C941</f>
        <v>0</v>
      </c>
      <c r="D941" s="121">
        <f>'ALL Other SINs - Proposal'!D941</f>
        <v>0</v>
      </c>
      <c r="E941" s="121">
        <f>'ALL Other SINs - Proposal'!E941</f>
        <v>0</v>
      </c>
      <c r="F941" s="171">
        <f>'ALL Other SINs - Proposal'!F941</f>
        <v>0</v>
      </c>
      <c r="G941" s="51">
        <f>'ALL Other SINs - Proposal'!G941</f>
        <v>0</v>
      </c>
      <c r="H941" s="125">
        <f>'ALL Other SINs - Proposal'!H941</f>
        <v>0</v>
      </c>
      <c r="I941" s="125">
        <f>'ALL Other SINs - Proposal'!I941</f>
        <v>0</v>
      </c>
      <c r="J941" s="125">
        <f>'ALL Other SINs - Proposal'!J941</f>
        <v>0</v>
      </c>
      <c r="K941" s="125">
        <f>'ALL Other SINs - Proposal'!K941</f>
        <v>0</v>
      </c>
      <c r="L941" s="125">
        <f>'ALL Other SINs - Proposal'!L941</f>
        <v>0</v>
      </c>
      <c r="M941" s="206">
        <f>'ALL Other SINs - Proposal'!M941</f>
        <v>0</v>
      </c>
      <c r="N941" s="251">
        <f>'ALL Other SINs - Proposal'!V941</f>
        <v>0</v>
      </c>
      <c r="O941" s="201" t="str">
        <f>'Price Analysis'!N941</f>
        <v xml:space="preserve"> </v>
      </c>
      <c r="P941" s="53" t="str">
        <f>IF(ISBLANK('ALL Other SINs - Proposal'!AA941)," ",'ALL Other SINs - Proposal'!AA941)</f>
        <v xml:space="preserve"> </v>
      </c>
      <c r="Q941" s="95" t="str">
        <f>'ALL Other SINs - Proposal'!AC941</f>
        <v xml:space="preserve"> </v>
      </c>
      <c r="R941" s="100" t="str">
        <f>IF(ISBLANK('ALL Other SINs - Proposal'!AA941)," ",ROUND(Q941,2))</f>
        <v xml:space="preserve"> </v>
      </c>
      <c r="S941" s="54"/>
    </row>
    <row r="942" spans="1:19" ht="20.100000000000001" customHeight="1" x14ac:dyDescent="0.2">
      <c r="A942" s="127">
        <f>'ALL Other SINs - Proposal'!A942</f>
        <v>0</v>
      </c>
      <c r="B942" s="121">
        <f>'ALL Other SINs - Proposal'!B942</f>
        <v>0</v>
      </c>
      <c r="C942" s="121">
        <f>'ALL Other SINs - Proposal'!C942</f>
        <v>0</v>
      </c>
      <c r="D942" s="121">
        <f>'ALL Other SINs - Proposal'!D942</f>
        <v>0</v>
      </c>
      <c r="E942" s="121">
        <f>'ALL Other SINs - Proposal'!E942</f>
        <v>0</v>
      </c>
      <c r="F942" s="171">
        <f>'ALL Other SINs - Proposal'!F942</f>
        <v>0</v>
      </c>
      <c r="G942" s="51">
        <f>'ALL Other SINs - Proposal'!G942</f>
        <v>0</v>
      </c>
      <c r="H942" s="125">
        <f>'ALL Other SINs - Proposal'!H942</f>
        <v>0</v>
      </c>
      <c r="I942" s="125">
        <f>'ALL Other SINs - Proposal'!I942</f>
        <v>0</v>
      </c>
      <c r="J942" s="125">
        <f>'ALL Other SINs - Proposal'!J942</f>
        <v>0</v>
      </c>
      <c r="K942" s="125">
        <f>'ALL Other SINs - Proposal'!K942</f>
        <v>0</v>
      </c>
      <c r="L942" s="125">
        <f>'ALL Other SINs - Proposal'!L942</f>
        <v>0</v>
      </c>
      <c r="M942" s="206">
        <f>'ALL Other SINs - Proposal'!M942</f>
        <v>0</v>
      </c>
      <c r="N942" s="251">
        <f>'ALL Other SINs - Proposal'!V942</f>
        <v>0</v>
      </c>
      <c r="O942" s="201" t="str">
        <f>'Price Analysis'!N942</f>
        <v xml:space="preserve"> </v>
      </c>
      <c r="P942" s="53" t="str">
        <f>IF(ISBLANK('ALL Other SINs - Proposal'!AA942)," ",'ALL Other SINs - Proposal'!AA942)</f>
        <v xml:space="preserve"> </v>
      </c>
      <c r="Q942" s="95" t="str">
        <f>'ALL Other SINs - Proposal'!AC942</f>
        <v xml:space="preserve"> </v>
      </c>
      <c r="R942" s="100" t="str">
        <f>IF(ISBLANK('ALL Other SINs - Proposal'!AA942)," ",ROUND(Q942,2))</f>
        <v xml:space="preserve"> </v>
      </c>
      <c r="S942" s="54"/>
    </row>
    <row r="943" spans="1:19" ht="20.100000000000001" customHeight="1" x14ac:dyDescent="0.2">
      <c r="A943" s="127">
        <f>'ALL Other SINs - Proposal'!A943</f>
        <v>0</v>
      </c>
      <c r="B943" s="121">
        <f>'ALL Other SINs - Proposal'!B943</f>
        <v>0</v>
      </c>
      <c r="C943" s="121">
        <f>'ALL Other SINs - Proposal'!C943</f>
        <v>0</v>
      </c>
      <c r="D943" s="121">
        <f>'ALL Other SINs - Proposal'!D943</f>
        <v>0</v>
      </c>
      <c r="E943" s="121">
        <f>'ALL Other SINs - Proposal'!E943</f>
        <v>0</v>
      </c>
      <c r="F943" s="171">
        <f>'ALL Other SINs - Proposal'!F943</f>
        <v>0</v>
      </c>
      <c r="G943" s="51">
        <f>'ALL Other SINs - Proposal'!G943</f>
        <v>0</v>
      </c>
      <c r="H943" s="125">
        <f>'ALL Other SINs - Proposal'!H943</f>
        <v>0</v>
      </c>
      <c r="I943" s="125">
        <f>'ALL Other SINs - Proposal'!I943</f>
        <v>0</v>
      </c>
      <c r="J943" s="125">
        <f>'ALL Other SINs - Proposal'!J943</f>
        <v>0</v>
      </c>
      <c r="K943" s="125">
        <f>'ALL Other SINs - Proposal'!K943</f>
        <v>0</v>
      </c>
      <c r="L943" s="125">
        <f>'ALL Other SINs - Proposal'!L943</f>
        <v>0</v>
      </c>
      <c r="M943" s="206">
        <f>'ALL Other SINs - Proposal'!M943</f>
        <v>0</v>
      </c>
      <c r="N943" s="251">
        <f>'ALL Other SINs - Proposal'!V943</f>
        <v>0</v>
      </c>
      <c r="O943" s="201" t="str">
        <f>'Price Analysis'!N943</f>
        <v xml:space="preserve"> </v>
      </c>
      <c r="P943" s="53" t="str">
        <f>IF(ISBLANK('ALL Other SINs - Proposal'!AA943)," ",'ALL Other SINs - Proposal'!AA943)</f>
        <v xml:space="preserve"> </v>
      </c>
      <c r="Q943" s="95" t="str">
        <f>'ALL Other SINs - Proposal'!AC943</f>
        <v xml:space="preserve"> </v>
      </c>
      <c r="R943" s="100" t="str">
        <f>IF(ISBLANK('ALL Other SINs - Proposal'!AA943)," ",ROUND(Q943,2))</f>
        <v xml:space="preserve"> </v>
      </c>
      <c r="S943" s="54"/>
    </row>
    <row r="944" spans="1:19" ht="20.100000000000001" customHeight="1" x14ac:dyDescent="0.2">
      <c r="A944" s="127">
        <f>'ALL Other SINs - Proposal'!A944</f>
        <v>0</v>
      </c>
      <c r="B944" s="121">
        <f>'ALL Other SINs - Proposal'!B944</f>
        <v>0</v>
      </c>
      <c r="C944" s="121">
        <f>'ALL Other SINs - Proposal'!C944</f>
        <v>0</v>
      </c>
      <c r="D944" s="121">
        <f>'ALL Other SINs - Proposal'!D944</f>
        <v>0</v>
      </c>
      <c r="E944" s="121">
        <f>'ALL Other SINs - Proposal'!E944</f>
        <v>0</v>
      </c>
      <c r="F944" s="171">
        <f>'ALL Other SINs - Proposal'!F944</f>
        <v>0</v>
      </c>
      <c r="G944" s="51">
        <f>'ALL Other SINs - Proposal'!G944</f>
        <v>0</v>
      </c>
      <c r="H944" s="125">
        <f>'ALL Other SINs - Proposal'!H944</f>
        <v>0</v>
      </c>
      <c r="I944" s="125">
        <f>'ALL Other SINs - Proposal'!I944</f>
        <v>0</v>
      </c>
      <c r="J944" s="125">
        <f>'ALL Other SINs - Proposal'!J944</f>
        <v>0</v>
      </c>
      <c r="K944" s="125">
        <f>'ALL Other SINs - Proposal'!K944</f>
        <v>0</v>
      </c>
      <c r="L944" s="125">
        <f>'ALL Other SINs - Proposal'!L944</f>
        <v>0</v>
      </c>
      <c r="M944" s="206">
        <f>'ALL Other SINs - Proposal'!M944</f>
        <v>0</v>
      </c>
      <c r="N944" s="251">
        <f>'ALL Other SINs - Proposal'!V944</f>
        <v>0</v>
      </c>
      <c r="O944" s="201" t="str">
        <f>'Price Analysis'!N944</f>
        <v xml:space="preserve"> </v>
      </c>
      <c r="P944" s="53" t="str">
        <f>IF(ISBLANK('ALL Other SINs - Proposal'!AA944)," ",'ALL Other SINs - Proposal'!AA944)</f>
        <v xml:space="preserve"> </v>
      </c>
      <c r="Q944" s="95" t="str">
        <f>'ALL Other SINs - Proposal'!AC944</f>
        <v xml:space="preserve"> </v>
      </c>
      <c r="R944" s="100" t="str">
        <f>IF(ISBLANK('ALL Other SINs - Proposal'!AA944)," ",ROUND(Q944,2))</f>
        <v xml:space="preserve"> </v>
      </c>
      <c r="S944" s="54"/>
    </row>
    <row r="945" spans="1:19" ht="20.100000000000001" customHeight="1" x14ac:dyDescent="0.2">
      <c r="A945" s="127">
        <f>'ALL Other SINs - Proposal'!A945</f>
        <v>0</v>
      </c>
      <c r="B945" s="121">
        <f>'ALL Other SINs - Proposal'!B945</f>
        <v>0</v>
      </c>
      <c r="C945" s="121">
        <f>'ALL Other SINs - Proposal'!C945</f>
        <v>0</v>
      </c>
      <c r="D945" s="121">
        <f>'ALL Other SINs - Proposal'!D945</f>
        <v>0</v>
      </c>
      <c r="E945" s="121">
        <f>'ALL Other SINs - Proposal'!E945</f>
        <v>0</v>
      </c>
      <c r="F945" s="171">
        <f>'ALL Other SINs - Proposal'!F945</f>
        <v>0</v>
      </c>
      <c r="G945" s="51">
        <f>'ALL Other SINs - Proposal'!G945</f>
        <v>0</v>
      </c>
      <c r="H945" s="125">
        <f>'ALL Other SINs - Proposal'!H945</f>
        <v>0</v>
      </c>
      <c r="I945" s="125">
        <f>'ALL Other SINs - Proposal'!I945</f>
        <v>0</v>
      </c>
      <c r="J945" s="125">
        <f>'ALL Other SINs - Proposal'!J945</f>
        <v>0</v>
      </c>
      <c r="K945" s="125">
        <f>'ALL Other SINs - Proposal'!K945</f>
        <v>0</v>
      </c>
      <c r="L945" s="125">
        <f>'ALL Other SINs - Proposal'!L945</f>
        <v>0</v>
      </c>
      <c r="M945" s="206">
        <f>'ALL Other SINs - Proposal'!M945</f>
        <v>0</v>
      </c>
      <c r="N945" s="251">
        <f>'ALL Other SINs - Proposal'!V945</f>
        <v>0</v>
      </c>
      <c r="O945" s="201" t="str">
        <f>'Price Analysis'!N945</f>
        <v xml:space="preserve"> </v>
      </c>
      <c r="P945" s="53" t="str">
        <f>IF(ISBLANK('ALL Other SINs - Proposal'!AA945)," ",'ALL Other SINs - Proposal'!AA945)</f>
        <v xml:space="preserve"> </v>
      </c>
      <c r="Q945" s="95" t="str">
        <f>'ALL Other SINs - Proposal'!AC945</f>
        <v xml:space="preserve"> </v>
      </c>
      <c r="R945" s="100" t="str">
        <f>IF(ISBLANK('ALL Other SINs - Proposal'!AA945)," ",ROUND(Q945,2))</f>
        <v xml:space="preserve"> </v>
      </c>
      <c r="S945" s="54"/>
    </row>
    <row r="946" spans="1:19" ht="20.100000000000001" customHeight="1" x14ac:dyDescent="0.2">
      <c r="A946" s="127">
        <f>'ALL Other SINs - Proposal'!A946</f>
        <v>0</v>
      </c>
      <c r="B946" s="121">
        <f>'ALL Other SINs - Proposal'!B946</f>
        <v>0</v>
      </c>
      <c r="C946" s="121">
        <f>'ALL Other SINs - Proposal'!C946</f>
        <v>0</v>
      </c>
      <c r="D946" s="121">
        <f>'ALL Other SINs - Proposal'!D946</f>
        <v>0</v>
      </c>
      <c r="E946" s="121">
        <f>'ALL Other SINs - Proposal'!E946</f>
        <v>0</v>
      </c>
      <c r="F946" s="171">
        <f>'ALL Other SINs - Proposal'!F946</f>
        <v>0</v>
      </c>
      <c r="G946" s="51">
        <f>'ALL Other SINs - Proposal'!G946</f>
        <v>0</v>
      </c>
      <c r="H946" s="125">
        <f>'ALL Other SINs - Proposal'!H946</f>
        <v>0</v>
      </c>
      <c r="I946" s="125">
        <f>'ALL Other SINs - Proposal'!I946</f>
        <v>0</v>
      </c>
      <c r="J946" s="125">
        <f>'ALL Other SINs - Proposal'!J946</f>
        <v>0</v>
      </c>
      <c r="K946" s="125">
        <f>'ALL Other SINs - Proposal'!K946</f>
        <v>0</v>
      </c>
      <c r="L946" s="125">
        <f>'ALL Other SINs - Proposal'!L946</f>
        <v>0</v>
      </c>
      <c r="M946" s="206">
        <f>'ALL Other SINs - Proposal'!M946</f>
        <v>0</v>
      </c>
      <c r="N946" s="251">
        <f>'ALL Other SINs - Proposal'!V946</f>
        <v>0</v>
      </c>
      <c r="O946" s="201" t="str">
        <f>'Price Analysis'!N946</f>
        <v xml:space="preserve"> </v>
      </c>
      <c r="P946" s="53" t="str">
        <f>IF(ISBLANK('ALL Other SINs - Proposal'!AA946)," ",'ALL Other SINs - Proposal'!AA946)</f>
        <v xml:space="preserve"> </v>
      </c>
      <c r="Q946" s="95" t="str">
        <f>'ALL Other SINs - Proposal'!AC946</f>
        <v xml:space="preserve"> </v>
      </c>
      <c r="R946" s="100" t="str">
        <f>IF(ISBLANK('ALL Other SINs - Proposal'!AA946)," ",ROUND(Q946,2))</f>
        <v xml:space="preserve"> </v>
      </c>
      <c r="S946" s="54"/>
    </row>
    <row r="947" spans="1:19" ht="20.100000000000001" customHeight="1" x14ac:dyDescent="0.2">
      <c r="A947" s="127">
        <f>'ALL Other SINs - Proposal'!A947</f>
        <v>0</v>
      </c>
      <c r="B947" s="121">
        <f>'ALL Other SINs - Proposal'!B947</f>
        <v>0</v>
      </c>
      <c r="C947" s="121">
        <f>'ALL Other SINs - Proposal'!C947</f>
        <v>0</v>
      </c>
      <c r="D947" s="121">
        <f>'ALL Other SINs - Proposal'!D947</f>
        <v>0</v>
      </c>
      <c r="E947" s="121">
        <f>'ALL Other SINs - Proposal'!E947</f>
        <v>0</v>
      </c>
      <c r="F947" s="171">
        <f>'ALL Other SINs - Proposal'!F947</f>
        <v>0</v>
      </c>
      <c r="G947" s="51">
        <f>'ALL Other SINs - Proposal'!G947</f>
        <v>0</v>
      </c>
      <c r="H947" s="125">
        <f>'ALL Other SINs - Proposal'!H947</f>
        <v>0</v>
      </c>
      <c r="I947" s="125">
        <f>'ALL Other SINs - Proposal'!I947</f>
        <v>0</v>
      </c>
      <c r="J947" s="125">
        <f>'ALL Other SINs - Proposal'!J947</f>
        <v>0</v>
      </c>
      <c r="K947" s="125">
        <f>'ALL Other SINs - Proposal'!K947</f>
        <v>0</v>
      </c>
      <c r="L947" s="125">
        <f>'ALL Other SINs - Proposal'!L947</f>
        <v>0</v>
      </c>
      <c r="M947" s="206">
        <f>'ALL Other SINs - Proposal'!M947</f>
        <v>0</v>
      </c>
      <c r="N947" s="251">
        <f>'ALL Other SINs - Proposal'!V947</f>
        <v>0</v>
      </c>
      <c r="O947" s="201" t="str">
        <f>'Price Analysis'!N947</f>
        <v xml:space="preserve"> </v>
      </c>
      <c r="P947" s="53" t="str">
        <f>IF(ISBLANK('ALL Other SINs - Proposal'!AA947)," ",'ALL Other SINs - Proposal'!AA947)</f>
        <v xml:space="preserve"> </v>
      </c>
      <c r="Q947" s="95" t="str">
        <f>'ALL Other SINs - Proposal'!AC947</f>
        <v xml:space="preserve"> </v>
      </c>
      <c r="R947" s="100" t="str">
        <f>IF(ISBLANK('ALL Other SINs - Proposal'!AA947)," ",ROUND(Q947,2))</f>
        <v xml:space="preserve"> </v>
      </c>
      <c r="S947" s="54"/>
    </row>
    <row r="948" spans="1:19" ht="20.100000000000001" customHeight="1" x14ac:dyDescent="0.2">
      <c r="A948" s="127">
        <f>'ALL Other SINs - Proposal'!A948</f>
        <v>0</v>
      </c>
      <c r="B948" s="121">
        <f>'ALL Other SINs - Proposal'!B948</f>
        <v>0</v>
      </c>
      <c r="C948" s="121">
        <f>'ALL Other SINs - Proposal'!C948</f>
        <v>0</v>
      </c>
      <c r="D948" s="121">
        <f>'ALL Other SINs - Proposal'!D948</f>
        <v>0</v>
      </c>
      <c r="E948" s="121">
        <f>'ALL Other SINs - Proposal'!E948</f>
        <v>0</v>
      </c>
      <c r="F948" s="171">
        <f>'ALL Other SINs - Proposal'!F948</f>
        <v>0</v>
      </c>
      <c r="G948" s="51">
        <f>'ALL Other SINs - Proposal'!G948</f>
        <v>0</v>
      </c>
      <c r="H948" s="125">
        <f>'ALL Other SINs - Proposal'!H948</f>
        <v>0</v>
      </c>
      <c r="I948" s="125">
        <f>'ALL Other SINs - Proposal'!I948</f>
        <v>0</v>
      </c>
      <c r="J948" s="125">
        <f>'ALL Other SINs - Proposal'!J948</f>
        <v>0</v>
      </c>
      <c r="K948" s="125">
        <f>'ALL Other SINs - Proposal'!K948</f>
        <v>0</v>
      </c>
      <c r="L948" s="125">
        <f>'ALL Other SINs - Proposal'!L948</f>
        <v>0</v>
      </c>
      <c r="M948" s="206">
        <f>'ALL Other SINs - Proposal'!M948</f>
        <v>0</v>
      </c>
      <c r="N948" s="251">
        <f>'ALL Other SINs - Proposal'!V948</f>
        <v>0</v>
      </c>
      <c r="O948" s="201" t="str">
        <f>'Price Analysis'!N948</f>
        <v xml:space="preserve"> </v>
      </c>
      <c r="P948" s="53" t="str">
        <f>IF(ISBLANK('ALL Other SINs - Proposal'!AA948)," ",'ALL Other SINs - Proposal'!AA948)</f>
        <v xml:space="preserve"> </v>
      </c>
      <c r="Q948" s="95" t="str">
        <f>'ALL Other SINs - Proposal'!AC948</f>
        <v xml:space="preserve"> </v>
      </c>
      <c r="R948" s="100" t="str">
        <f>IF(ISBLANK('ALL Other SINs - Proposal'!AA948)," ",ROUND(Q948,2))</f>
        <v xml:space="preserve"> </v>
      </c>
      <c r="S948" s="54"/>
    </row>
    <row r="949" spans="1:19" ht="20.100000000000001" customHeight="1" x14ac:dyDescent="0.2">
      <c r="A949" s="127">
        <f>'ALL Other SINs - Proposal'!A949</f>
        <v>0</v>
      </c>
      <c r="B949" s="121">
        <f>'ALL Other SINs - Proposal'!B949</f>
        <v>0</v>
      </c>
      <c r="C949" s="121">
        <f>'ALL Other SINs - Proposal'!C949</f>
        <v>0</v>
      </c>
      <c r="D949" s="121">
        <f>'ALL Other SINs - Proposal'!D949</f>
        <v>0</v>
      </c>
      <c r="E949" s="121">
        <f>'ALL Other SINs - Proposal'!E949</f>
        <v>0</v>
      </c>
      <c r="F949" s="171">
        <f>'ALL Other SINs - Proposal'!F949</f>
        <v>0</v>
      </c>
      <c r="G949" s="51">
        <f>'ALL Other SINs - Proposal'!G949</f>
        <v>0</v>
      </c>
      <c r="H949" s="125">
        <f>'ALL Other SINs - Proposal'!H949</f>
        <v>0</v>
      </c>
      <c r="I949" s="125">
        <f>'ALL Other SINs - Proposal'!I949</f>
        <v>0</v>
      </c>
      <c r="J949" s="125">
        <f>'ALL Other SINs - Proposal'!J949</f>
        <v>0</v>
      </c>
      <c r="K949" s="125">
        <f>'ALL Other SINs - Proposal'!K949</f>
        <v>0</v>
      </c>
      <c r="L949" s="125">
        <f>'ALL Other SINs - Proposal'!L949</f>
        <v>0</v>
      </c>
      <c r="M949" s="206">
        <f>'ALL Other SINs - Proposal'!M949</f>
        <v>0</v>
      </c>
      <c r="N949" s="251">
        <f>'ALL Other SINs - Proposal'!V949</f>
        <v>0</v>
      </c>
      <c r="O949" s="201" t="str">
        <f>'Price Analysis'!N949</f>
        <v xml:space="preserve"> </v>
      </c>
      <c r="P949" s="53" t="str">
        <f>IF(ISBLANK('ALL Other SINs - Proposal'!AA949)," ",'ALL Other SINs - Proposal'!AA949)</f>
        <v xml:space="preserve"> </v>
      </c>
      <c r="Q949" s="95" t="str">
        <f>'ALL Other SINs - Proposal'!AC949</f>
        <v xml:space="preserve"> </v>
      </c>
      <c r="R949" s="100" t="str">
        <f>IF(ISBLANK('ALL Other SINs - Proposal'!AA949)," ",ROUND(Q949,2))</f>
        <v xml:space="preserve"> </v>
      </c>
      <c r="S949" s="54"/>
    </row>
    <row r="950" spans="1:19" ht="20.100000000000001" customHeight="1" x14ac:dyDescent="0.2">
      <c r="A950" s="127">
        <f>'ALL Other SINs - Proposal'!A950</f>
        <v>0</v>
      </c>
      <c r="B950" s="121">
        <f>'ALL Other SINs - Proposal'!B950</f>
        <v>0</v>
      </c>
      <c r="C950" s="121">
        <f>'ALL Other SINs - Proposal'!C950</f>
        <v>0</v>
      </c>
      <c r="D950" s="121">
        <f>'ALL Other SINs - Proposal'!D950</f>
        <v>0</v>
      </c>
      <c r="E950" s="121">
        <f>'ALL Other SINs - Proposal'!E950</f>
        <v>0</v>
      </c>
      <c r="F950" s="171">
        <f>'ALL Other SINs - Proposal'!F950</f>
        <v>0</v>
      </c>
      <c r="G950" s="51">
        <f>'ALL Other SINs - Proposal'!G950</f>
        <v>0</v>
      </c>
      <c r="H950" s="125">
        <f>'ALL Other SINs - Proposal'!H950</f>
        <v>0</v>
      </c>
      <c r="I950" s="125">
        <f>'ALL Other SINs - Proposal'!I950</f>
        <v>0</v>
      </c>
      <c r="J950" s="125">
        <f>'ALL Other SINs - Proposal'!J950</f>
        <v>0</v>
      </c>
      <c r="K950" s="125">
        <f>'ALL Other SINs - Proposal'!K950</f>
        <v>0</v>
      </c>
      <c r="L950" s="125">
        <f>'ALL Other SINs - Proposal'!L950</f>
        <v>0</v>
      </c>
      <c r="M950" s="206">
        <f>'ALL Other SINs - Proposal'!M950</f>
        <v>0</v>
      </c>
      <c r="N950" s="251">
        <f>'ALL Other SINs - Proposal'!V950</f>
        <v>0</v>
      </c>
      <c r="O950" s="201" t="str">
        <f>'Price Analysis'!N950</f>
        <v xml:space="preserve"> </v>
      </c>
      <c r="P950" s="53" t="str">
        <f>IF(ISBLANK('ALL Other SINs - Proposal'!AA950)," ",'ALL Other SINs - Proposal'!AA950)</f>
        <v xml:space="preserve"> </v>
      </c>
      <c r="Q950" s="95" t="str">
        <f>'ALL Other SINs - Proposal'!AC950</f>
        <v xml:space="preserve"> </v>
      </c>
      <c r="R950" s="100" t="str">
        <f>IF(ISBLANK('ALL Other SINs - Proposal'!AA950)," ",ROUND(Q950,2))</f>
        <v xml:space="preserve"> </v>
      </c>
      <c r="S950" s="54"/>
    </row>
    <row r="951" spans="1:19" ht="20.100000000000001" customHeight="1" x14ac:dyDescent="0.2">
      <c r="A951" s="127">
        <f>'ALL Other SINs - Proposal'!A951</f>
        <v>0</v>
      </c>
      <c r="B951" s="121">
        <f>'ALL Other SINs - Proposal'!B951</f>
        <v>0</v>
      </c>
      <c r="C951" s="121">
        <f>'ALL Other SINs - Proposal'!C951</f>
        <v>0</v>
      </c>
      <c r="D951" s="121">
        <f>'ALL Other SINs - Proposal'!D951</f>
        <v>0</v>
      </c>
      <c r="E951" s="121">
        <f>'ALL Other SINs - Proposal'!E951</f>
        <v>0</v>
      </c>
      <c r="F951" s="171">
        <f>'ALL Other SINs - Proposal'!F951</f>
        <v>0</v>
      </c>
      <c r="G951" s="51">
        <f>'ALL Other SINs - Proposal'!G951</f>
        <v>0</v>
      </c>
      <c r="H951" s="125">
        <f>'ALL Other SINs - Proposal'!H951</f>
        <v>0</v>
      </c>
      <c r="I951" s="125">
        <f>'ALL Other SINs - Proposal'!I951</f>
        <v>0</v>
      </c>
      <c r="J951" s="125">
        <f>'ALL Other SINs - Proposal'!J951</f>
        <v>0</v>
      </c>
      <c r="K951" s="125">
        <f>'ALL Other SINs - Proposal'!K951</f>
        <v>0</v>
      </c>
      <c r="L951" s="125">
        <f>'ALL Other SINs - Proposal'!L951</f>
        <v>0</v>
      </c>
      <c r="M951" s="206">
        <f>'ALL Other SINs - Proposal'!M951</f>
        <v>0</v>
      </c>
      <c r="N951" s="251">
        <f>'ALL Other SINs - Proposal'!V951</f>
        <v>0</v>
      </c>
      <c r="O951" s="201" t="str">
        <f>'Price Analysis'!N951</f>
        <v xml:space="preserve"> </v>
      </c>
      <c r="P951" s="53" t="str">
        <f>IF(ISBLANK('ALL Other SINs - Proposal'!AA951)," ",'ALL Other SINs - Proposal'!AA951)</f>
        <v xml:space="preserve"> </v>
      </c>
      <c r="Q951" s="95" t="str">
        <f>'ALL Other SINs - Proposal'!AC951</f>
        <v xml:space="preserve"> </v>
      </c>
      <c r="R951" s="100" t="str">
        <f>IF(ISBLANK('ALL Other SINs - Proposal'!AA951)," ",ROUND(Q951,2))</f>
        <v xml:space="preserve"> </v>
      </c>
      <c r="S951" s="54"/>
    </row>
    <row r="952" spans="1:19" ht="20.100000000000001" customHeight="1" x14ac:dyDescent="0.2">
      <c r="A952" s="127">
        <f>'ALL Other SINs - Proposal'!A952</f>
        <v>0</v>
      </c>
      <c r="B952" s="121">
        <f>'ALL Other SINs - Proposal'!B952</f>
        <v>0</v>
      </c>
      <c r="C952" s="121">
        <f>'ALL Other SINs - Proposal'!C952</f>
        <v>0</v>
      </c>
      <c r="D952" s="121">
        <f>'ALL Other SINs - Proposal'!D952</f>
        <v>0</v>
      </c>
      <c r="E952" s="121">
        <f>'ALL Other SINs - Proposal'!E952</f>
        <v>0</v>
      </c>
      <c r="F952" s="171">
        <f>'ALL Other SINs - Proposal'!F952</f>
        <v>0</v>
      </c>
      <c r="G952" s="51">
        <f>'ALL Other SINs - Proposal'!G952</f>
        <v>0</v>
      </c>
      <c r="H952" s="125">
        <f>'ALL Other SINs - Proposal'!H952</f>
        <v>0</v>
      </c>
      <c r="I952" s="125">
        <f>'ALL Other SINs - Proposal'!I952</f>
        <v>0</v>
      </c>
      <c r="J952" s="125">
        <f>'ALL Other SINs - Proposal'!J952</f>
        <v>0</v>
      </c>
      <c r="K952" s="125">
        <f>'ALL Other SINs - Proposal'!K952</f>
        <v>0</v>
      </c>
      <c r="L952" s="125">
        <f>'ALL Other SINs - Proposal'!L952</f>
        <v>0</v>
      </c>
      <c r="M952" s="206">
        <f>'ALL Other SINs - Proposal'!M952</f>
        <v>0</v>
      </c>
      <c r="N952" s="251">
        <f>'ALL Other SINs - Proposal'!V952</f>
        <v>0</v>
      </c>
      <c r="O952" s="201" t="str">
        <f>'Price Analysis'!N952</f>
        <v xml:space="preserve"> </v>
      </c>
      <c r="P952" s="53" t="str">
        <f>IF(ISBLANK('ALL Other SINs - Proposal'!AA952)," ",'ALL Other SINs - Proposal'!AA952)</f>
        <v xml:space="preserve"> </v>
      </c>
      <c r="Q952" s="95" t="str">
        <f>'ALL Other SINs - Proposal'!AC952</f>
        <v xml:space="preserve"> </v>
      </c>
      <c r="R952" s="100" t="str">
        <f>IF(ISBLANK('ALL Other SINs - Proposal'!AA952)," ",ROUND(Q952,2))</f>
        <v xml:space="preserve"> </v>
      </c>
      <c r="S952" s="54"/>
    </row>
    <row r="953" spans="1:19" ht="20.100000000000001" customHeight="1" x14ac:dyDescent="0.2">
      <c r="A953" s="127">
        <f>'ALL Other SINs - Proposal'!A953</f>
        <v>0</v>
      </c>
      <c r="B953" s="121">
        <f>'ALL Other SINs - Proposal'!B953</f>
        <v>0</v>
      </c>
      <c r="C953" s="121">
        <f>'ALL Other SINs - Proposal'!C953</f>
        <v>0</v>
      </c>
      <c r="D953" s="121">
        <f>'ALL Other SINs - Proposal'!D953</f>
        <v>0</v>
      </c>
      <c r="E953" s="121">
        <f>'ALL Other SINs - Proposal'!E953</f>
        <v>0</v>
      </c>
      <c r="F953" s="171">
        <f>'ALL Other SINs - Proposal'!F953</f>
        <v>0</v>
      </c>
      <c r="G953" s="51">
        <f>'ALL Other SINs - Proposal'!G953</f>
        <v>0</v>
      </c>
      <c r="H953" s="125">
        <f>'ALL Other SINs - Proposal'!H953</f>
        <v>0</v>
      </c>
      <c r="I953" s="125">
        <f>'ALL Other SINs - Proposal'!I953</f>
        <v>0</v>
      </c>
      <c r="J953" s="125">
        <f>'ALL Other SINs - Proposal'!J953</f>
        <v>0</v>
      </c>
      <c r="K953" s="125">
        <f>'ALL Other SINs - Proposal'!K953</f>
        <v>0</v>
      </c>
      <c r="L953" s="125">
        <f>'ALL Other SINs - Proposal'!L953</f>
        <v>0</v>
      </c>
      <c r="M953" s="206">
        <f>'ALL Other SINs - Proposal'!M953</f>
        <v>0</v>
      </c>
      <c r="N953" s="251">
        <f>'ALL Other SINs - Proposal'!V953</f>
        <v>0</v>
      </c>
      <c r="O953" s="201" t="str">
        <f>'Price Analysis'!N953</f>
        <v xml:space="preserve"> </v>
      </c>
      <c r="P953" s="53" t="str">
        <f>IF(ISBLANK('ALL Other SINs - Proposal'!AA953)," ",'ALL Other SINs - Proposal'!AA953)</f>
        <v xml:space="preserve"> </v>
      </c>
      <c r="Q953" s="95" t="str">
        <f>'ALL Other SINs - Proposal'!AC953</f>
        <v xml:space="preserve"> </v>
      </c>
      <c r="R953" s="100" t="str">
        <f>IF(ISBLANK('ALL Other SINs - Proposal'!AA953)," ",ROUND(Q953,2))</f>
        <v xml:space="preserve"> </v>
      </c>
      <c r="S953" s="54"/>
    </row>
    <row r="954" spans="1:19" ht="20.100000000000001" customHeight="1" x14ac:dyDescent="0.2">
      <c r="A954" s="127">
        <f>'ALL Other SINs - Proposal'!A954</f>
        <v>0</v>
      </c>
      <c r="B954" s="121">
        <f>'ALL Other SINs - Proposal'!B954</f>
        <v>0</v>
      </c>
      <c r="C954" s="121">
        <f>'ALL Other SINs - Proposal'!C954</f>
        <v>0</v>
      </c>
      <c r="D954" s="121">
        <f>'ALL Other SINs - Proposal'!D954</f>
        <v>0</v>
      </c>
      <c r="E954" s="121">
        <f>'ALL Other SINs - Proposal'!E954</f>
        <v>0</v>
      </c>
      <c r="F954" s="171">
        <f>'ALL Other SINs - Proposal'!F954</f>
        <v>0</v>
      </c>
      <c r="G954" s="51">
        <f>'ALL Other SINs - Proposal'!G954</f>
        <v>0</v>
      </c>
      <c r="H954" s="125">
        <f>'ALL Other SINs - Proposal'!H954</f>
        <v>0</v>
      </c>
      <c r="I954" s="125">
        <f>'ALL Other SINs - Proposal'!I954</f>
        <v>0</v>
      </c>
      <c r="J954" s="125">
        <f>'ALL Other SINs - Proposal'!J954</f>
        <v>0</v>
      </c>
      <c r="K954" s="125">
        <f>'ALL Other SINs - Proposal'!K954</f>
        <v>0</v>
      </c>
      <c r="L954" s="125">
        <f>'ALL Other SINs - Proposal'!L954</f>
        <v>0</v>
      </c>
      <c r="M954" s="206">
        <f>'ALL Other SINs - Proposal'!M954</f>
        <v>0</v>
      </c>
      <c r="N954" s="251">
        <f>'ALL Other SINs - Proposal'!V954</f>
        <v>0</v>
      </c>
      <c r="O954" s="201" t="str">
        <f>'Price Analysis'!N954</f>
        <v xml:space="preserve"> </v>
      </c>
      <c r="P954" s="53" t="str">
        <f>IF(ISBLANK('ALL Other SINs - Proposal'!AA954)," ",'ALL Other SINs - Proposal'!AA954)</f>
        <v xml:space="preserve"> </v>
      </c>
      <c r="Q954" s="95" t="str">
        <f>'ALL Other SINs - Proposal'!AC954</f>
        <v xml:space="preserve"> </v>
      </c>
      <c r="R954" s="100" t="str">
        <f>IF(ISBLANK('ALL Other SINs - Proposal'!AA954)," ",ROUND(Q954,2))</f>
        <v xml:space="preserve"> </v>
      </c>
      <c r="S954" s="54"/>
    </row>
    <row r="955" spans="1:19" ht="20.100000000000001" customHeight="1" x14ac:dyDescent="0.2">
      <c r="A955" s="127">
        <f>'ALL Other SINs - Proposal'!A955</f>
        <v>0</v>
      </c>
      <c r="B955" s="121">
        <f>'ALL Other SINs - Proposal'!B955</f>
        <v>0</v>
      </c>
      <c r="C955" s="121">
        <f>'ALL Other SINs - Proposal'!C955</f>
        <v>0</v>
      </c>
      <c r="D955" s="121">
        <f>'ALL Other SINs - Proposal'!D955</f>
        <v>0</v>
      </c>
      <c r="E955" s="121">
        <f>'ALL Other SINs - Proposal'!E955</f>
        <v>0</v>
      </c>
      <c r="F955" s="171">
        <f>'ALL Other SINs - Proposal'!F955</f>
        <v>0</v>
      </c>
      <c r="G955" s="51">
        <f>'ALL Other SINs - Proposal'!G955</f>
        <v>0</v>
      </c>
      <c r="H955" s="125">
        <f>'ALL Other SINs - Proposal'!H955</f>
        <v>0</v>
      </c>
      <c r="I955" s="125">
        <f>'ALL Other SINs - Proposal'!I955</f>
        <v>0</v>
      </c>
      <c r="J955" s="125">
        <f>'ALL Other SINs - Proposal'!J955</f>
        <v>0</v>
      </c>
      <c r="K955" s="125">
        <f>'ALL Other SINs - Proposal'!K955</f>
        <v>0</v>
      </c>
      <c r="L955" s="125">
        <f>'ALL Other SINs - Proposal'!L955</f>
        <v>0</v>
      </c>
      <c r="M955" s="206">
        <f>'ALL Other SINs - Proposal'!M955</f>
        <v>0</v>
      </c>
      <c r="N955" s="251">
        <f>'ALL Other SINs - Proposal'!V955</f>
        <v>0</v>
      </c>
      <c r="O955" s="201" t="str">
        <f>'Price Analysis'!N955</f>
        <v xml:space="preserve"> </v>
      </c>
      <c r="P955" s="53" t="str">
        <f>IF(ISBLANK('ALL Other SINs - Proposal'!AA955)," ",'ALL Other SINs - Proposal'!AA955)</f>
        <v xml:space="preserve"> </v>
      </c>
      <c r="Q955" s="95" t="str">
        <f>'ALL Other SINs - Proposal'!AC955</f>
        <v xml:space="preserve"> </v>
      </c>
      <c r="R955" s="100" t="str">
        <f>IF(ISBLANK('ALL Other SINs - Proposal'!AA955)," ",ROUND(Q955,2))</f>
        <v xml:space="preserve"> </v>
      </c>
      <c r="S955" s="54"/>
    </row>
    <row r="956" spans="1:19" ht="20.100000000000001" customHeight="1" x14ac:dyDescent="0.2">
      <c r="A956" s="127">
        <f>'ALL Other SINs - Proposal'!A956</f>
        <v>0</v>
      </c>
      <c r="B956" s="121">
        <f>'ALL Other SINs - Proposal'!B956</f>
        <v>0</v>
      </c>
      <c r="C956" s="121">
        <f>'ALL Other SINs - Proposal'!C956</f>
        <v>0</v>
      </c>
      <c r="D956" s="121">
        <f>'ALL Other SINs - Proposal'!D956</f>
        <v>0</v>
      </c>
      <c r="E956" s="121">
        <f>'ALL Other SINs - Proposal'!E956</f>
        <v>0</v>
      </c>
      <c r="F956" s="171">
        <f>'ALL Other SINs - Proposal'!F956</f>
        <v>0</v>
      </c>
      <c r="G956" s="51">
        <f>'ALL Other SINs - Proposal'!G956</f>
        <v>0</v>
      </c>
      <c r="H956" s="125">
        <f>'ALL Other SINs - Proposal'!H956</f>
        <v>0</v>
      </c>
      <c r="I956" s="125">
        <f>'ALL Other SINs - Proposal'!I956</f>
        <v>0</v>
      </c>
      <c r="J956" s="125">
        <f>'ALL Other SINs - Proposal'!J956</f>
        <v>0</v>
      </c>
      <c r="K956" s="125">
        <f>'ALL Other SINs - Proposal'!K956</f>
        <v>0</v>
      </c>
      <c r="L956" s="125">
        <f>'ALL Other SINs - Proposal'!L956</f>
        <v>0</v>
      </c>
      <c r="M956" s="206">
        <f>'ALL Other SINs - Proposal'!M956</f>
        <v>0</v>
      </c>
      <c r="N956" s="251">
        <f>'ALL Other SINs - Proposal'!V956</f>
        <v>0</v>
      </c>
      <c r="O956" s="201" t="str">
        <f>'Price Analysis'!N956</f>
        <v xml:space="preserve"> </v>
      </c>
      <c r="P956" s="53" t="str">
        <f>IF(ISBLANK('ALL Other SINs - Proposal'!AA956)," ",'ALL Other SINs - Proposal'!AA956)</f>
        <v xml:space="preserve"> </v>
      </c>
      <c r="Q956" s="95" t="str">
        <f>'ALL Other SINs - Proposal'!AC956</f>
        <v xml:space="preserve"> </v>
      </c>
      <c r="R956" s="100" t="str">
        <f>IF(ISBLANK('ALL Other SINs - Proposal'!AA956)," ",ROUND(Q956,2))</f>
        <v xml:space="preserve"> </v>
      </c>
      <c r="S956" s="54"/>
    </row>
    <row r="957" spans="1:19" ht="20.100000000000001" customHeight="1" x14ac:dyDescent="0.2">
      <c r="A957" s="127">
        <f>'ALL Other SINs - Proposal'!A957</f>
        <v>0</v>
      </c>
      <c r="B957" s="121">
        <f>'ALL Other SINs - Proposal'!B957</f>
        <v>0</v>
      </c>
      <c r="C957" s="121">
        <f>'ALL Other SINs - Proposal'!C957</f>
        <v>0</v>
      </c>
      <c r="D957" s="121">
        <f>'ALL Other SINs - Proposal'!D957</f>
        <v>0</v>
      </c>
      <c r="E957" s="121">
        <f>'ALL Other SINs - Proposal'!E957</f>
        <v>0</v>
      </c>
      <c r="F957" s="171">
        <f>'ALL Other SINs - Proposal'!F957</f>
        <v>0</v>
      </c>
      <c r="G957" s="51">
        <f>'ALL Other SINs - Proposal'!G957</f>
        <v>0</v>
      </c>
      <c r="H957" s="125">
        <f>'ALL Other SINs - Proposal'!H957</f>
        <v>0</v>
      </c>
      <c r="I957" s="125">
        <f>'ALL Other SINs - Proposal'!I957</f>
        <v>0</v>
      </c>
      <c r="J957" s="125">
        <f>'ALL Other SINs - Proposal'!J957</f>
        <v>0</v>
      </c>
      <c r="K957" s="125">
        <f>'ALL Other SINs - Proposal'!K957</f>
        <v>0</v>
      </c>
      <c r="L957" s="125">
        <f>'ALL Other SINs - Proposal'!L957</f>
        <v>0</v>
      </c>
      <c r="M957" s="206">
        <f>'ALL Other SINs - Proposal'!M957</f>
        <v>0</v>
      </c>
      <c r="N957" s="251">
        <f>'ALL Other SINs - Proposal'!V957</f>
        <v>0</v>
      </c>
      <c r="O957" s="201" t="str">
        <f>'Price Analysis'!N957</f>
        <v xml:space="preserve"> </v>
      </c>
      <c r="P957" s="53" t="str">
        <f>IF(ISBLANK('ALL Other SINs - Proposal'!AA957)," ",'ALL Other SINs - Proposal'!AA957)</f>
        <v xml:space="preserve"> </v>
      </c>
      <c r="Q957" s="95" t="str">
        <f>'ALL Other SINs - Proposal'!AC957</f>
        <v xml:space="preserve"> </v>
      </c>
      <c r="R957" s="100" t="str">
        <f>IF(ISBLANK('ALL Other SINs - Proposal'!AA957)," ",ROUND(Q957,2))</f>
        <v xml:space="preserve"> </v>
      </c>
      <c r="S957" s="54"/>
    </row>
    <row r="958" spans="1:19" ht="20.100000000000001" customHeight="1" x14ac:dyDescent="0.2">
      <c r="A958" s="127">
        <f>'ALL Other SINs - Proposal'!A958</f>
        <v>0</v>
      </c>
      <c r="B958" s="121">
        <f>'ALL Other SINs - Proposal'!B958</f>
        <v>0</v>
      </c>
      <c r="C958" s="121">
        <f>'ALL Other SINs - Proposal'!C958</f>
        <v>0</v>
      </c>
      <c r="D958" s="121">
        <f>'ALL Other SINs - Proposal'!D958</f>
        <v>0</v>
      </c>
      <c r="E958" s="121">
        <f>'ALL Other SINs - Proposal'!E958</f>
        <v>0</v>
      </c>
      <c r="F958" s="171">
        <f>'ALL Other SINs - Proposal'!F958</f>
        <v>0</v>
      </c>
      <c r="G958" s="51">
        <f>'ALL Other SINs - Proposal'!G958</f>
        <v>0</v>
      </c>
      <c r="H958" s="125">
        <f>'ALL Other SINs - Proposal'!H958</f>
        <v>0</v>
      </c>
      <c r="I958" s="125">
        <f>'ALL Other SINs - Proposal'!I958</f>
        <v>0</v>
      </c>
      <c r="J958" s="125">
        <f>'ALL Other SINs - Proposal'!J958</f>
        <v>0</v>
      </c>
      <c r="K958" s="125">
        <f>'ALL Other SINs - Proposal'!K958</f>
        <v>0</v>
      </c>
      <c r="L958" s="125">
        <f>'ALL Other SINs - Proposal'!L958</f>
        <v>0</v>
      </c>
      <c r="M958" s="206">
        <f>'ALL Other SINs - Proposal'!M958</f>
        <v>0</v>
      </c>
      <c r="N958" s="251">
        <f>'ALL Other SINs - Proposal'!V958</f>
        <v>0</v>
      </c>
      <c r="O958" s="201" t="str">
        <f>'Price Analysis'!N958</f>
        <v xml:space="preserve"> </v>
      </c>
      <c r="P958" s="53" t="str">
        <f>IF(ISBLANK('ALL Other SINs - Proposal'!AA958)," ",'ALL Other SINs - Proposal'!AA958)</f>
        <v xml:space="preserve"> </v>
      </c>
      <c r="Q958" s="95" t="str">
        <f>'ALL Other SINs - Proposal'!AC958</f>
        <v xml:space="preserve"> </v>
      </c>
      <c r="R958" s="100" t="str">
        <f>IF(ISBLANK('ALL Other SINs - Proposal'!AA958)," ",ROUND(Q958,2))</f>
        <v xml:space="preserve"> </v>
      </c>
      <c r="S958" s="54"/>
    </row>
    <row r="959" spans="1:19" ht="20.100000000000001" customHeight="1" x14ac:dyDescent="0.2">
      <c r="A959" s="127">
        <f>'ALL Other SINs - Proposal'!A959</f>
        <v>0</v>
      </c>
      <c r="B959" s="121">
        <f>'ALL Other SINs - Proposal'!B959</f>
        <v>0</v>
      </c>
      <c r="C959" s="121">
        <f>'ALL Other SINs - Proposal'!C959</f>
        <v>0</v>
      </c>
      <c r="D959" s="121">
        <f>'ALL Other SINs - Proposal'!D959</f>
        <v>0</v>
      </c>
      <c r="E959" s="121">
        <f>'ALL Other SINs - Proposal'!E959</f>
        <v>0</v>
      </c>
      <c r="F959" s="171">
        <f>'ALL Other SINs - Proposal'!F959</f>
        <v>0</v>
      </c>
      <c r="G959" s="51">
        <f>'ALL Other SINs - Proposal'!G959</f>
        <v>0</v>
      </c>
      <c r="H959" s="125">
        <f>'ALL Other SINs - Proposal'!H959</f>
        <v>0</v>
      </c>
      <c r="I959" s="125">
        <f>'ALL Other SINs - Proposal'!I959</f>
        <v>0</v>
      </c>
      <c r="J959" s="125">
        <f>'ALL Other SINs - Proposal'!J959</f>
        <v>0</v>
      </c>
      <c r="K959" s="125">
        <f>'ALL Other SINs - Proposal'!K959</f>
        <v>0</v>
      </c>
      <c r="L959" s="125">
        <f>'ALL Other SINs - Proposal'!L959</f>
        <v>0</v>
      </c>
      <c r="M959" s="206">
        <f>'ALL Other SINs - Proposal'!M959</f>
        <v>0</v>
      </c>
      <c r="N959" s="251">
        <f>'ALL Other SINs - Proposal'!V959</f>
        <v>0</v>
      </c>
      <c r="O959" s="201" t="str">
        <f>'Price Analysis'!N959</f>
        <v xml:space="preserve"> </v>
      </c>
      <c r="P959" s="53" t="str">
        <f>IF(ISBLANK('ALL Other SINs - Proposal'!AA959)," ",'ALL Other SINs - Proposal'!AA959)</f>
        <v xml:space="preserve"> </v>
      </c>
      <c r="Q959" s="95" t="str">
        <f>'ALL Other SINs - Proposal'!AC959</f>
        <v xml:space="preserve"> </v>
      </c>
      <c r="R959" s="100" t="str">
        <f>IF(ISBLANK('ALL Other SINs - Proposal'!AA959)," ",ROUND(Q959,2))</f>
        <v xml:space="preserve"> </v>
      </c>
      <c r="S959" s="54"/>
    </row>
    <row r="960" spans="1:19" ht="20.100000000000001" customHeight="1" x14ac:dyDescent="0.2">
      <c r="A960" s="127">
        <f>'ALL Other SINs - Proposal'!A960</f>
        <v>0</v>
      </c>
      <c r="B960" s="121">
        <f>'ALL Other SINs - Proposal'!B960</f>
        <v>0</v>
      </c>
      <c r="C960" s="121">
        <f>'ALL Other SINs - Proposal'!C960</f>
        <v>0</v>
      </c>
      <c r="D960" s="121">
        <f>'ALL Other SINs - Proposal'!D960</f>
        <v>0</v>
      </c>
      <c r="E960" s="121">
        <f>'ALL Other SINs - Proposal'!E960</f>
        <v>0</v>
      </c>
      <c r="F960" s="171">
        <f>'ALL Other SINs - Proposal'!F960</f>
        <v>0</v>
      </c>
      <c r="G960" s="51">
        <f>'ALL Other SINs - Proposal'!G960</f>
        <v>0</v>
      </c>
      <c r="H960" s="125">
        <f>'ALL Other SINs - Proposal'!H960</f>
        <v>0</v>
      </c>
      <c r="I960" s="125">
        <f>'ALL Other SINs - Proposal'!I960</f>
        <v>0</v>
      </c>
      <c r="J960" s="125">
        <f>'ALL Other SINs - Proposal'!J960</f>
        <v>0</v>
      </c>
      <c r="K960" s="125">
        <f>'ALL Other SINs - Proposal'!K960</f>
        <v>0</v>
      </c>
      <c r="L960" s="125">
        <f>'ALL Other SINs - Proposal'!L960</f>
        <v>0</v>
      </c>
      <c r="M960" s="206">
        <f>'ALL Other SINs - Proposal'!M960</f>
        <v>0</v>
      </c>
      <c r="N960" s="251">
        <f>'ALL Other SINs - Proposal'!V960</f>
        <v>0</v>
      </c>
      <c r="O960" s="201" t="str">
        <f>'Price Analysis'!N960</f>
        <v xml:space="preserve"> </v>
      </c>
      <c r="P960" s="53" t="str">
        <f>IF(ISBLANK('ALL Other SINs - Proposal'!AA960)," ",'ALL Other SINs - Proposal'!AA960)</f>
        <v xml:space="preserve"> </v>
      </c>
      <c r="Q960" s="95" t="str">
        <f>'ALL Other SINs - Proposal'!AC960</f>
        <v xml:space="preserve"> </v>
      </c>
      <c r="R960" s="100" t="str">
        <f>IF(ISBLANK('ALL Other SINs - Proposal'!AA960)," ",ROUND(Q960,2))</f>
        <v xml:space="preserve"> </v>
      </c>
      <c r="S960" s="54"/>
    </row>
    <row r="961" spans="1:19" ht="20.100000000000001" customHeight="1" x14ac:dyDescent="0.2">
      <c r="A961" s="127">
        <f>'ALL Other SINs - Proposal'!A961</f>
        <v>0</v>
      </c>
      <c r="B961" s="121">
        <f>'ALL Other SINs - Proposal'!B961</f>
        <v>0</v>
      </c>
      <c r="C961" s="121">
        <f>'ALL Other SINs - Proposal'!C961</f>
        <v>0</v>
      </c>
      <c r="D961" s="121">
        <f>'ALL Other SINs - Proposal'!D961</f>
        <v>0</v>
      </c>
      <c r="E961" s="121">
        <f>'ALL Other SINs - Proposal'!E961</f>
        <v>0</v>
      </c>
      <c r="F961" s="171">
        <f>'ALL Other SINs - Proposal'!F961</f>
        <v>0</v>
      </c>
      <c r="G961" s="51">
        <f>'ALL Other SINs - Proposal'!G961</f>
        <v>0</v>
      </c>
      <c r="H961" s="125">
        <f>'ALL Other SINs - Proposal'!H961</f>
        <v>0</v>
      </c>
      <c r="I961" s="125">
        <f>'ALL Other SINs - Proposal'!I961</f>
        <v>0</v>
      </c>
      <c r="J961" s="125">
        <f>'ALL Other SINs - Proposal'!J961</f>
        <v>0</v>
      </c>
      <c r="K961" s="125">
        <f>'ALL Other SINs - Proposal'!K961</f>
        <v>0</v>
      </c>
      <c r="L961" s="125">
        <f>'ALL Other SINs - Proposal'!L961</f>
        <v>0</v>
      </c>
      <c r="M961" s="206">
        <f>'ALL Other SINs - Proposal'!M961</f>
        <v>0</v>
      </c>
      <c r="N961" s="251">
        <f>'ALL Other SINs - Proposal'!V961</f>
        <v>0</v>
      </c>
      <c r="O961" s="201" t="str">
        <f>'Price Analysis'!N961</f>
        <v xml:space="preserve"> </v>
      </c>
      <c r="P961" s="53" t="str">
        <f>IF(ISBLANK('ALL Other SINs - Proposal'!AA961)," ",'ALL Other SINs - Proposal'!AA961)</f>
        <v xml:space="preserve"> </v>
      </c>
      <c r="Q961" s="95" t="str">
        <f>'ALL Other SINs - Proposal'!AC961</f>
        <v xml:space="preserve"> </v>
      </c>
      <c r="R961" s="100" t="str">
        <f>IF(ISBLANK('ALL Other SINs - Proposal'!AA961)," ",ROUND(Q961,2))</f>
        <v xml:space="preserve"> </v>
      </c>
      <c r="S961" s="54"/>
    </row>
    <row r="962" spans="1:19" ht="20.100000000000001" customHeight="1" x14ac:dyDescent="0.2">
      <c r="A962" s="127">
        <f>'ALL Other SINs - Proposal'!A962</f>
        <v>0</v>
      </c>
      <c r="B962" s="121">
        <f>'ALL Other SINs - Proposal'!B962</f>
        <v>0</v>
      </c>
      <c r="C962" s="121">
        <f>'ALL Other SINs - Proposal'!C962</f>
        <v>0</v>
      </c>
      <c r="D962" s="121">
        <f>'ALL Other SINs - Proposal'!D962</f>
        <v>0</v>
      </c>
      <c r="E962" s="121">
        <f>'ALL Other SINs - Proposal'!E962</f>
        <v>0</v>
      </c>
      <c r="F962" s="171">
        <f>'ALL Other SINs - Proposal'!F962</f>
        <v>0</v>
      </c>
      <c r="G962" s="51">
        <f>'ALL Other SINs - Proposal'!G962</f>
        <v>0</v>
      </c>
      <c r="H962" s="125">
        <f>'ALL Other SINs - Proposal'!H962</f>
        <v>0</v>
      </c>
      <c r="I962" s="125">
        <f>'ALL Other SINs - Proposal'!I962</f>
        <v>0</v>
      </c>
      <c r="J962" s="125">
        <f>'ALL Other SINs - Proposal'!J962</f>
        <v>0</v>
      </c>
      <c r="K962" s="125">
        <f>'ALL Other SINs - Proposal'!K962</f>
        <v>0</v>
      </c>
      <c r="L962" s="125">
        <f>'ALL Other SINs - Proposal'!L962</f>
        <v>0</v>
      </c>
      <c r="M962" s="206">
        <f>'ALL Other SINs - Proposal'!M962</f>
        <v>0</v>
      </c>
      <c r="N962" s="251">
        <f>'ALL Other SINs - Proposal'!V962</f>
        <v>0</v>
      </c>
      <c r="O962" s="201" t="str">
        <f>'Price Analysis'!N962</f>
        <v xml:space="preserve"> </v>
      </c>
      <c r="P962" s="53" t="str">
        <f>IF(ISBLANK('ALL Other SINs - Proposal'!AA962)," ",'ALL Other SINs - Proposal'!AA962)</f>
        <v xml:space="preserve"> </v>
      </c>
      <c r="Q962" s="95" t="str">
        <f>'ALL Other SINs - Proposal'!AC962</f>
        <v xml:space="preserve"> </v>
      </c>
      <c r="R962" s="100" t="str">
        <f>IF(ISBLANK('ALL Other SINs - Proposal'!AA962)," ",ROUND(Q962,2))</f>
        <v xml:space="preserve"> </v>
      </c>
      <c r="S962" s="54"/>
    </row>
    <row r="963" spans="1:19" ht="20.100000000000001" customHeight="1" x14ac:dyDescent="0.2">
      <c r="A963" s="127">
        <f>'ALL Other SINs - Proposal'!A963</f>
        <v>0</v>
      </c>
      <c r="B963" s="121">
        <f>'ALL Other SINs - Proposal'!B963</f>
        <v>0</v>
      </c>
      <c r="C963" s="121">
        <f>'ALL Other SINs - Proposal'!C963</f>
        <v>0</v>
      </c>
      <c r="D963" s="121">
        <f>'ALL Other SINs - Proposal'!D963</f>
        <v>0</v>
      </c>
      <c r="E963" s="121">
        <f>'ALL Other SINs - Proposal'!E963</f>
        <v>0</v>
      </c>
      <c r="F963" s="171">
        <f>'ALL Other SINs - Proposal'!F963</f>
        <v>0</v>
      </c>
      <c r="G963" s="51">
        <f>'ALL Other SINs - Proposal'!G963</f>
        <v>0</v>
      </c>
      <c r="H963" s="125">
        <f>'ALL Other SINs - Proposal'!H963</f>
        <v>0</v>
      </c>
      <c r="I963" s="125">
        <f>'ALL Other SINs - Proposal'!I963</f>
        <v>0</v>
      </c>
      <c r="J963" s="125">
        <f>'ALL Other SINs - Proposal'!J963</f>
        <v>0</v>
      </c>
      <c r="K963" s="125">
        <f>'ALL Other SINs - Proposal'!K963</f>
        <v>0</v>
      </c>
      <c r="L963" s="125">
        <f>'ALL Other SINs - Proposal'!L963</f>
        <v>0</v>
      </c>
      <c r="M963" s="206">
        <f>'ALL Other SINs - Proposal'!M963</f>
        <v>0</v>
      </c>
      <c r="N963" s="251">
        <f>'ALL Other SINs - Proposal'!V963</f>
        <v>0</v>
      </c>
      <c r="O963" s="201" t="str">
        <f>'Price Analysis'!N963</f>
        <v xml:space="preserve"> </v>
      </c>
      <c r="P963" s="53" t="str">
        <f>IF(ISBLANK('ALL Other SINs - Proposal'!AA963)," ",'ALL Other SINs - Proposal'!AA963)</f>
        <v xml:space="preserve"> </v>
      </c>
      <c r="Q963" s="95" t="str">
        <f>'ALL Other SINs - Proposal'!AC963</f>
        <v xml:space="preserve"> </v>
      </c>
      <c r="R963" s="100" t="str">
        <f>IF(ISBLANK('ALL Other SINs - Proposal'!AA963)," ",ROUND(Q963,2))</f>
        <v xml:space="preserve"> </v>
      </c>
      <c r="S963" s="54"/>
    </row>
    <row r="964" spans="1:19" ht="20.100000000000001" customHeight="1" x14ac:dyDescent="0.2">
      <c r="A964" s="127">
        <f>'ALL Other SINs - Proposal'!A964</f>
        <v>0</v>
      </c>
      <c r="B964" s="121">
        <f>'ALL Other SINs - Proposal'!B964</f>
        <v>0</v>
      </c>
      <c r="C964" s="121">
        <f>'ALL Other SINs - Proposal'!C964</f>
        <v>0</v>
      </c>
      <c r="D964" s="121">
        <f>'ALL Other SINs - Proposal'!D964</f>
        <v>0</v>
      </c>
      <c r="E964" s="121">
        <f>'ALL Other SINs - Proposal'!E964</f>
        <v>0</v>
      </c>
      <c r="F964" s="171">
        <f>'ALL Other SINs - Proposal'!F964</f>
        <v>0</v>
      </c>
      <c r="G964" s="51">
        <f>'ALL Other SINs - Proposal'!G964</f>
        <v>0</v>
      </c>
      <c r="H964" s="125">
        <f>'ALL Other SINs - Proposal'!H964</f>
        <v>0</v>
      </c>
      <c r="I964" s="125">
        <f>'ALL Other SINs - Proposal'!I964</f>
        <v>0</v>
      </c>
      <c r="J964" s="125">
        <f>'ALL Other SINs - Proposal'!J964</f>
        <v>0</v>
      </c>
      <c r="K964" s="125">
        <f>'ALL Other SINs - Proposal'!K964</f>
        <v>0</v>
      </c>
      <c r="L964" s="125">
        <f>'ALL Other SINs - Proposal'!L964</f>
        <v>0</v>
      </c>
      <c r="M964" s="206">
        <f>'ALL Other SINs - Proposal'!M964</f>
        <v>0</v>
      </c>
      <c r="N964" s="251">
        <f>'ALL Other SINs - Proposal'!V964</f>
        <v>0</v>
      </c>
      <c r="O964" s="201" t="str">
        <f>'Price Analysis'!N964</f>
        <v xml:space="preserve"> </v>
      </c>
      <c r="P964" s="53" t="str">
        <f>IF(ISBLANK('ALL Other SINs - Proposal'!AA964)," ",'ALL Other SINs - Proposal'!AA964)</f>
        <v xml:space="preserve"> </v>
      </c>
      <c r="Q964" s="95" t="str">
        <f>'ALL Other SINs - Proposal'!AC964</f>
        <v xml:space="preserve"> </v>
      </c>
      <c r="R964" s="100" t="str">
        <f>IF(ISBLANK('ALL Other SINs - Proposal'!AA964)," ",ROUND(Q964,2))</f>
        <v xml:space="preserve"> </v>
      </c>
      <c r="S964" s="54"/>
    </row>
    <row r="965" spans="1:19" ht="20.100000000000001" customHeight="1" x14ac:dyDescent="0.2">
      <c r="A965" s="127">
        <f>'ALL Other SINs - Proposal'!A965</f>
        <v>0</v>
      </c>
      <c r="B965" s="121">
        <f>'ALL Other SINs - Proposal'!B965</f>
        <v>0</v>
      </c>
      <c r="C965" s="121">
        <f>'ALL Other SINs - Proposal'!C965</f>
        <v>0</v>
      </c>
      <c r="D965" s="121">
        <f>'ALL Other SINs - Proposal'!D965</f>
        <v>0</v>
      </c>
      <c r="E965" s="121">
        <f>'ALL Other SINs - Proposal'!E965</f>
        <v>0</v>
      </c>
      <c r="F965" s="171">
        <f>'ALL Other SINs - Proposal'!F965</f>
        <v>0</v>
      </c>
      <c r="G965" s="51">
        <f>'ALL Other SINs - Proposal'!G965</f>
        <v>0</v>
      </c>
      <c r="H965" s="125">
        <f>'ALL Other SINs - Proposal'!H965</f>
        <v>0</v>
      </c>
      <c r="I965" s="125">
        <f>'ALL Other SINs - Proposal'!I965</f>
        <v>0</v>
      </c>
      <c r="J965" s="125">
        <f>'ALL Other SINs - Proposal'!J965</f>
        <v>0</v>
      </c>
      <c r="K965" s="125">
        <f>'ALL Other SINs - Proposal'!K965</f>
        <v>0</v>
      </c>
      <c r="L965" s="125">
        <f>'ALL Other SINs - Proposal'!L965</f>
        <v>0</v>
      </c>
      <c r="M965" s="206">
        <f>'ALL Other SINs - Proposal'!M965</f>
        <v>0</v>
      </c>
      <c r="N965" s="251">
        <f>'ALL Other SINs - Proposal'!V965</f>
        <v>0</v>
      </c>
      <c r="O965" s="201" t="str">
        <f>'Price Analysis'!N965</f>
        <v xml:space="preserve"> </v>
      </c>
      <c r="P965" s="53" t="str">
        <f>IF(ISBLANK('ALL Other SINs - Proposal'!AA965)," ",'ALL Other SINs - Proposal'!AA965)</f>
        <v xml:space="preserve"> </v>
      </c>
      <c r="Q965" s="95" t="str">
        <f>'ALL Other SINs - Proposal'!AC965</f>
        <v xml:space="preserve"> </v>
      </c>
      <c r="R965" s="100" t="str">
        <f>IF(ISBLANK('ALL Other SINs - Proposal'!AA965)," ",ROUND(Q965,2))</f>
        <v xml:space="preserve"> </v>
      </c>
      <c r="S965" s="54"/>
    </row>
    <row r="966" spans="1:19" ht="20.100000000000001" customHeight="1" x14ac:dyDescent="0.2">
      <c r="A966" s="127">
        <f>'ALL Other SINs - Proposal'!A966</f>
        <v>0</v>
      </c>
      <c r="B966" s="121">
        <f>'ALL Other SINs - Proposal'!B966</f>
        <v>0</v>
      </c>
      <c r="C966" s="121">
        <f>'ALL Other SINs - Proposal'!C966</f>
        <v>0</v>
      </c>
      <c r="D966" s="121">
        <f>'ALL Other SINs - Proposal'!D966</f>
        <v>0</v>
      </c>
      <c r="E966" s="121">
        <f>'ALL Other SINs - Proposal'!E966</f>
        <v>0</v>
      </c>
      <c r="F966" s="171">
        <f>'ALL Other SINs - Proposal'!F966</f>
        <v>0</v>
      </c>
      <c r="G966" s="51">
        <f>'ALL Other SINs - Proposal'!G966</f>
        <v>0</v>
      </c>
      <c r="H966" s="125">
        <f>'ALL Other SINs - Proposal'!H966</f>
        <v>0</v>
      </c>
      <c r="I966" s="125">
        <f>'ALL Other SINs - Proposal'!I966</f>
        <v>0</v>
      </c>
      <c r="J966" s="125">
        <f>'ALL Other SINs - Proposal'!J966</f>
        <v>0</v>
      </c>
      <c r="K966" s="125">
        <f>'ALL Other SINs - Proposal'!K966</f>
        <v>0</v>
      </c>
      <c r="L966" s="125">
        <f>'ALL Other SINs - Proposal'!L966</f>
        <v>0</v>
      </c>
      <c r="M966" s="206">
        <f>'ALL Other SINs - Proposal'!M966</f>
        <v>0</v>
      </c>
      <c r="N966" s="251">
        <f>'ALL Other SINs - Proposal'!V966</f>
        <v>0</v>
      </c>
      <c r="O966" s="201" t="str">
        <f>'Price Analysis'!N966</f>
        <v xml:space="preserve"> </v>
      </c>
      <c r="P966" s="53" t="str">
        <f>IF(ISBLANK('ALL Other SINs - Proposal'!AA966)," ",'ALL Other SINs - Proposal'!AA966)</f>
        <v xml:space="preserve"> </v>
      </c>
      <c r="Q966" s="95" t="str">
        <f>'ALL Other SINs - Proposal'!AC966</f>
        <v xml:space="preserve"> </v>
      </c>
      <c r="R966" s="100" t="str">
        <f>IF(ISBLANK('ALL Other SINs - Proposal'!AA966)," ",ROUND(Q966,2))</f>
        <v xml:space="preserve"> </v>
      </c>
      <c r="S966" s="54"/>
    </row>
    <row r="967" spans="1:19" ht="20.100000000000001" customHeight="1" x14ac:dyDescent="0.2">
      <c r="A967" s="127">
        <f>'ALL Other SINs - Proposal'!A967</f>
        <v>0</v>
      </c>
      <c r="B967" s="121">
        <f>'ALL Other SINs - Proposal'!B967</f>
        <v>0</v>
      </c>
      <c r="C967" s="121">
        <f>'ALL Other SINs - Proposal'!C967</f>
        <v>0</v>
      </c>
      <c r="D967" s="121">
        <f>'ALL Other SINs - Proposal'!D967</f>
        <v>0</v>
      </c>
      <c r="E967" s="121">
        <f>'ALL Other SINs - Proposal'!E967</f>
        <v>0</v>
      </c>
      <c r="F967" s="171">
        <f>'ALL Other SINs - Proposal'!F967</f>
        <v>0</v>
      </c>
      <c r="G967" s="51">
        <f>'ALL Other SINs - Proposal'!G967</f>
        <v>0</v>
      </c>
      <c r="H967" s="125">
        <f>'ALL Other SINs - Proposal'!H967</f>
        <v>0</v>
      </c>
      <c r="I967" s="125">
        <f>'ALL Other SINs - Proposal'!I967</f>
        <v>0</v>
      </c>
      <c r="J967" s="125">
        <f>'ALL Other SINs - Proposal'!J967</f>
        <v>0</v>
      </c>
      <c r="K967" s="125">
        <f>'ALL Other SINs - Proposal'!K967</f>
        <v>0</v>
      </c>
      <c r="L967" s="125">
        <f>'ALL Other SINs - Proposal'!L967</f>
        <v>0</v>
      </c>
      <c r="M967" s="206">
        <f>'ALL Other SINs - Proposal'!M967</f>
        <v>0</v>
      </c>
      <c r="N967" s="251">
        <f>'ALL Other SINs - Proposal'!V967</f>
        <v>0</v>
      </c>
      <c r="O967" s="201" t="str">
        <f>'Price Analysis'!N967</f>
        <v xml:space="preserve"> </v>
      </c>
      <c r="P967" s="53" t="str">
        <f>IF(ISBLANK('ALL Other SINs - Proposal'!AA967)," ",'ALL Other SINs - Proposal'!AA967)</f>
        <v xml:space="preserve"> </v>
      </c>
      <c r="Q967" s="95" t="str">
        <f>'ALL Other SINs - Proposal'!AC967</f>
        <v xml:space="preserve"> </v>
      </c>
      <c r="R967" s="100" t="str">
        <f>IF(ISBLANK('ALL Other SINs - Proposal'!AA967)," ",ROUND(Q967,2))</f>
        <v xml:space="preserve"> </v>
      </c>
      <c r="S967" s="54"/>
    </row>
    <row r="968" spans="1:19" ht="20.100000000000001" customHeight="1" x14ac:dyDescent="0.2">
      <c r="A968" s="127">
        <f>'ALL Other SINs - Proposal'!A968</f>
        <v>0</v>
      </c>
      <c r="B968" s="121">
        <f>'ALL Other SINs - Proposal'!B968</f>
        <v>0</v>
      </c>
      <c r="C968" s="121">
        <f>'ALL Other SINs - Proposal'!C968</f>
        <v>0</v>
      </c>
      <c r="D968" s="121">
        <f>'ALL Other SINs - Proposal'!D968</f>
        <v>0</v>
      </c>
      <c r="E968" s="121">
        <f>'ALL Other SINs - Proposal'!E968</f>
        <v>0</v>
      </c>
      <c r="F968" s="171">
        <f>'ALL Other SINs - Proposal'!F968</f>
        <v>0</v>
      </c>
      <c r="G968" s="51">
        <f>'ALL Other SINs - Proposal'!G968</f>
        <v>0</v>
      </c>
      <c r="H968" s="125">
        <f>'ALL Other SINs - Proposal'!H968</f>
        <v>0</v>
      </c>
      <c r="I968" s="125">
        <f>'ALL Other SINs - Proposal'!I968</f>
        <v>0</v>
      </c>
      <c r="J968" s="125">
        <f>'ALL Other SINs - Proposal'!J968</f>
        <v>0</v>
      </c>
      <c r="K968" s="125">
        <f>'ALL Other SINs - Proposal'!K968</f>
        <v>0</v>
      </c>
      <c r="L968" s="125">
        <f>'ALL Other SINs - Proposal'!L968</f>
        <v>0</v>
      </c>
      <c r="M968" s="206">
        <f>'ALL Other SINs - Proposal'!M968</f>
        <v>0</v>
      </c>
      <c r="N968" s="251">
        <f>'ALL Other SINs - Proposal'!V968</f>
        <v>0</v>
      </c>
      <c r="O968" s="201" t="str">
        <f>'Price Analysis'!N968</f>
        <v xml:space="preserve"> </v>
      </c>
      <c r="P968" s="53" t="str">
        <f>IF(ISBLANK('ALL Other SINs - Proposal'!AA968)," ",'ALL Other SINs - Proposal'!AA968)</f>
        <v xml:space="preserve"> </v>
      </c>
      <c r="Q968" s="95" t="str">
        <f>'ALL Other SINs - Proposal'!AC968</f>
        <v xml:space="preserve"> </v>
      </c>
      <c r="R968" s="100" t="str">
        <f>IF(ISBLANK('ALL Other SINs - Proposal'!AA968)," ",ROUND(Q968,2))</f>
        <v xml:space="preserve"> </v>
      </c>
      <c r="S968" s="54"/>
    </row>
    <row r="969" spans="1:19" ht="20.100000000000001" customHeight="1" x14ac:dyDescent="0.2">
      <c r="A969" s="127">
        <f>'ALL Other SINs - Proposal'!A969</f>
        <v>0</v>
      </c>
      <c r="B969" s="121">
        <f>'ALL Other SINs - Proposal'!B969</f>
        <v>0</v>
      </c>
      <c r="C969" s="121">
        <f>'ALL Other SINs - Proposal'!C969</f>
        <v>0</v>
      </c>
      <c r="D969" s="121">
        <f>'ALL Other SINs - Proposal'!D969</f>
        <v>0</v>
      </c>
      <c r="E969" s="121">
        <f>'ALL Other SINs - Proposal'!E969</f>
        <v>0</v>
      </c>
      <c r="F969" s="171">
        <f>'ALL Other SINs - Proposal'!F969</f>
        <v>0</v>
      </c>
      <c r="G969" s="51">
        <f>'ALL Other SINs - Proposal'!G969</f>
        <v>0</v>
      </c>
      <c r="H969" s="125">
        <f>'ALL Other SINs - Proposal'!H969</f>
        <v>0</v>
      </c>
      <c r="I969" s="125">
        <f>'ALL Other SINs - Proposal'!I969</f>
        <v>0</v>
      </c>
      <c r="J969" s="125">
        <f>'ALL Other SINs - Proposal'!J969</f>
        <v>0</v>
      </c>
      <c r="K969" s="125">
        <f>'ALL Other SINs - Proposal'!K969</f>
        <v>0</v>
      </c>
      <c r="L969" s="125">
        <f>'ALL Other SINs - Proposal'!L969</f>
        <v>0</v>
      </c>
      <c r="M969" s="206">
        <f>'ALL Other SINs - Proposal'!M969</f>
        <v>0</v>
      </c>
      <c r="N969" s="251">
        <f>'ALL Other SINs - Proposal'!V969</f>
        <v>0</v>
      </c>
      <c r="O969" s="201" t="str">
        <f>'Price Analysis'!N969</f>
        <v xml:space="preserve"> </v>
      </c>
      <c r="P969" s="53" t="str">
        <f>IF(ISBLANK('ALL Other SINs - Proposal'!AA969)," ",'ALL Other SINs - Proposal'!AA969)</f>
        <v xml:space="preserve"> </v>
      </c>
      <c r="Q969" s="95" t="str">
        <f>'ALL Other SINs - Proposal'!AC969</f>
        <v xml:space="preserve"> </v>
      </c>
      <c r="R969" s="100" t="str">
        <f>IF(ISBLANK('ALL Other SINs - Proposal'!AA969)," ",ROUND(Q969,2))</f>
        <v xml:space="preserve"> </v>
      </c>
      <c r="S969" s="54"/>
    </row>
    <row r="970" spans="1:19" ht="20.100000000000001" customHeight="1" x14ac:dyDescent="0.2">
      <c r="A970" s="127">
        <f>'ALL Other SINs - Proposal'!A970</f>
        <v>0</v>
      </c>
      <c r="B970" s="121">
        <f>'ALL Other SINs - Proposal'!B970</f>
        <v>0</v>
      </c>
      <c r="C970" s="121">
        <f>'ALL Other SINs - Proposal'!C970</f>
        <v>0</v>
      </c>
      <c r="D970" s="121">
        <f>'ALL Other SINs - Proposal'!D970</f>
        <v>0</v>
      </c>
      <c r="E970" s="121">
        <f>'ALL Other SINs - Proposal'!E970</f>
        <v>0</v>
      </c>
      <c r="F970" s="171">
        <f>'ALL Other SINs - Proposal'!F970</f>
        <v>0</v>
      </c>
      <c r="G970" s="51">
        <f>'ALL Other SINs - Proposal'!G970</f>
        <v>0</v>
      </c>
      <c r="H970" s="125">
        <f>'ALL Other SINs - Proposal'!H970</f>
        <v>0</v>
      </c>
      <c r="I970" s="125">
        <f>'ALL Other SINs - Proposal'!I970</f>
        <v>0</v>
      </c>
      <c r="J970" s="125">
        <f>'ALL Other SINs - Proposal'!J970</f>
        <v>0</v>
      </c>
      <c r="K970" s="125">
        <f>'ALL Other SINs - Proposal'!K970</f>
        <v>0</v>
      </c>
      <c r="L970" s="125">
        <f>'ALL Other SINs - Proposal'!L970</f>
        <v>0</v>
      </c>
      <c r="M970" s="206">
        <f>'ALL Other SINs - Proposal'!M970</f>
        <v>0</v>
      </c>
      <c r="N970" s="251">
        <f>'ALL Other SINs - Proposal'!V970</f>
        <v>0</v>
      </c>
      <c r="O970" s="201" t="str">
        <f>'Price Analysis'!N970</f>
        <v xml:space="preserve"> </v>
      </c>
      <c r="P970" s="53" t="str">
        <f>IF(ISBLANK('ALL Other SINs - Proposal'!AA970)," ",'ALL Other SINs - Proposal'!AA970)</f>
        <v xml:space="preserve"> </v>
      </c>
      <c r="Q970" s="95" t="str">
        <f>'ALL Other SINs - Proposal'!AC970</f>
        <v xml:space="preserve"> </v>
      </c>
      <c r="R970" s="100" t="str">
        <f>IF(ISBLANK('ALL Other SINs - Proposal'!AA970)," ",ROUND(Q970,2))</f>
        <v xml:space="preserve"> </v>
      </c>
      <c r="S970" s="54"/>
    </row>
    <row r="971" spans="1:19" ht="20.100000000000001" customHeight="1" x14ac:dyDescent="0.2">
      <c r="A971" s="127">
        <f>'ALL Other SINs - Proposal'!A971</f>
        <v>0</v>
      </c>
      <c r="B971" s="121">
        <f>'ALL Other SINs - Proposal'!B971</f>
        <v>0</v>
      </c>
      <c r="C971" s="121">
        <f>'ALL Other SINs - Proposal'!C971</f>
        <v>0</v>
      </c>
      <c r="D971" s="121">
        <f>'ALL Other SINs - Proposal'!D971</f>
        <v>0</v>
      </c>
      <c r="E971" s="121">
        <f>'ALL Other SINs - Proposal'!E971</f>
        <v>0</v>
      </c>
      <c r="F971" s="171">
        <f>'ALL Other SINs - Proposal'!F971</f>
        <v>0</v>
      </c>
      <c r="G971" s="51">
        <f>'ALL Other SINs - Proposal'!G971</f>
        <v>0</v>
      </c>
      <c r="H971" s="125">
        <f>'ALL Other SINs - Proposal'!H971</f>
        <v>0</v>
      </c>
      <c r="I971" s="125">
        <f>'ALL Other SINs - Proposal'!I971</f>
        <v>0</v>
      </c>
      <c r="J971" s="125">
        <f>'ALL Other SINs - Proposal'!J971</f>
        <v>0</v>
      </c>
      <c r="K971" s="125">
        <f>'ALL Other SINs - Proposal'!K971</f>
        <v>0</v>
      </c>
      <c r="L971" s="125">
        <f>'ALL Other SINs - Proposal'!L971</f>
        <v>0</v>
      </c>
      <c r="M971" s="206">
        <f>'ALL Other SINs - Proposal'!M971</f>
        <v>0</v>
      </c>
      <c r="N971" s="251">
        <f>'ALL Other SINs - Proposal'!V971</f>
        <v>0</v>
      </c>
      <c r="O971" s="201" t="str">
        <f>'Price Analysis'!N971</f>
        <v xml:space="preserve"> </v>
      </c>
      <c r="P971" s="53" t="str">
        <f>IF(ISBLANK('ALL Other SINs - Proposal'!AA971)," ",'ALL Other SINs - Proposal'!AA971)</f>
        <v xml:space="preserve"> </v>
      </c>
      <c r="Q971" s="95" t="str">
        <f>'ALL Other SINs - Proposal'!AC971</f>
        <v xml:space="preserve"> </v>
      </c>
      <c r="R971" s="100" t="str">
        <f>IF(ISBLANK('ALL Other SINs - Proposal'!AA971)," ",ROUND(Q971,2))</f>
        <v xml:space="preserve"> </v>
      </c>
      <c r="S971" s="54"/>
    </row>
    <row r="972" spans="1:19" ht="20.100000000000001" customHeight="1" x14ac:dyDescent="0.2">
      <c r="A972" s="127">
        <f>'ALL Other SINs - Proposal'!A972</f>
        <v>0</v>
      </c>
      <c r="B972" s="121">
        <f>'ALL Other SINs - Proposal'!B972</f>
        <v>0</v>
      </c>
      <c r="C972" s="121">
        <f>'ALL Other SINs - Proposal'!C972</f>
        <v>0</v>
      </c>
      <c r="D972" s="121">
        <f>'ALL Other SINs - Proposal'!D972</f>
        <v>0</v>
      </c>
      <c r="E972" s="121">
        <f>'ALL Other SINs - Proposal'!E972</f>
        <v>0</v>
      </c>
      <c r="F972" s="171">
        <f>'ALL Other SINs - Proposal'!F972</f>
        <v>0</v>
      </c>
      <c r="G972" s="51">
        <f>'ALL Other SINs - Proposal'!G972</f>
        <v>0</v>
      </c>
      <c r="H972" s="125">
        <f>'ALL Other SINs - Proposal'!H972</f>
        <v>0</v>
      </c>
      <c r="I972" s="125">
        <f>'ALL Other SINs - Proposal'!I972</f>
        <v>0</v>
      </c>
      <c r="J972" s="125">
        <f>'ALL Other SINs - Proposal'!J972</f>
        <v>0</v>
      </c>
      <c r="K972" s="125">
        <f>'ALL Other SINs - Proposal'!K972</f>
        <v>0</v>
      </c>
      <c r="L972" s="125">
        <f>'ALL Other SINs - Proposal'!L972</f>
        <v>0</v>
      </c>
      <c r="M972" s="206">
        <f>'ALL Other SINs - Proposal'!M972</f>
        <v>0</v>
      </c>
      <c r="N972" s="251">
        <f>'ALL Other SINs - Proposal'!V972</f>
        <v>0</v>
      </c>
      <c r="O972" s="201" t="str">
        <f>'Price Analysis'!N972</f>
        <v xml:space="preserve"> </v>
      </c>
      <c r="P972" s="53" t="str">
        <f>IF(ISBLANK('ALL Other SINs - Proposal'!AA972)," ",'ALL Other SINs - Proposal'!AA972)</f>
        <v xml:space="preserve"> </v>
      </c>
      <c r="Q972" s="95" t="str">
        <f>'ALL Other SINs - Proposal'!AC972</f>
        <v xml:space="preserve"> </v>
      </c>
      <c r="R972" s="100" t="str">
        <f>IF(ISBLANK('ALL Other SINs - Proposal'!AA972)," ",ROUND(Q972,2))</f>
        <v xml:space="preserve"> </v>
      </c>
      <c r="S972" s="54"/>
    </row>
    <row r="973" spans="1:19" ht="20.100000000000001" customHeight="1" x14ac:dyDescent="0.2">
      <c r="A973" s="127">
        <f>'ALL Other SINs - Proposal'!A973</f>
        <v>0</v>
      </c>
      <c r="B973" s="121">
        <f>'ALL Other SINs - Proposal'!B973</f>
        <v>0</v>
      </c>
      <c r="C973" s="121">
        <f>'ALL Other SINs - Proposal'!C973</f>
        <v>0</v>
      </c>
      <c r="D973" s="121">
        <f>'ALL Other SINs - Proposal'!D973</f>
        <v>0</v>
      </c>
      <c r="E973" s="121">
        <f>'ALL Other SINs - Proposal'!E973</f>
        <v>0</v>
      </c>
      <c r="F973" s="171">
        <f>'ALL Other SINs - Proposal'!F973</f>
        <v>0</v>
      </c>
      <c r="G973" s="51">
        <f>'ALL Other SINs - Proposal'!G973</f>
        <v>0</v>
      </c>
      <c r="H973" s="125">
        <f>'ALL Other SINs - Proposal'!H973</f>
        <v>0</v>
      </c>
      <c r="I973" s="125">
        <f>'ALL Other SINs - Proposal'!I973</f>
        <v>0</v>
      </c>
      <c r="J973" s="125">
        <f>'ALL Other SINs - Proposal'!J973</f>
        <v>0</v>
      </c>
      <c r="K973" s="125">
        <f>'ALL Other SINs - Proposal'!K973</f>
        <v>0</v>
      </c>
      <c r="L973" s="125">
        <f>'ALL Other SINs - Proposal'!L973</f>
        <v>0</v>
      </c>
      <c r="M973" s="206">
        <f>'ALL Other SINs - Proposal'!M973</f>
        <v>0</v>
      </c>
      <c r="N973" s="251">
        <f>'ALL Other SINs - Proposal'!V973</f>
        <v>0</v>
      </c>
      <c r="O973" s="201" t="str">
        <f>'Price Analysis'!N973</f>
        <v xml:space="preserve"> </v>
      </c>
      <c r="P973" s="53" t="str">
        <f>IF(ISBLANK('ALL Other SINs - Proposal'!AA973)," ",'ALL Other SINs - Proposal'!AA973)</f>
        <v xml:space="preserve"> </v>
      </c>
      <c r="Q973" s="95" t="str">
        <f>'ALL Other SINs - Proposal'!AC973</f>
        <v xml:space="preserve"> </v>
      </c>
      <c r="R973" s="100" t="str">
        <f>IF(ISBLANK('ALL Other SINs - Proposal'!AA973)," ",ROUND(Q973,2))</f>
        <v xml:space="preserve"> </v>
      </c>
      <c r="S973" s="54"/>
    </row>
    <row r="974" spans="1:19" ht="20.100000000000001" customHeight="1" x14ac:dyDescent="0.2">
      <c r="A974" s="127">
        <f>'ALL Other SINs - Proposal'!A974</f>
        <v>0</v>
      </c>
      <c r="B974" s="121">
        <f>'ALL Other SINs - Proposal'!B974</f>
        <v>0</v>
      </c>
      <c r="C974" s="121">
        <f>'ALL Other SINs - Proposal'!C974</f>
        <v>0</v>
      </c>
      <c r="D974" s="121">
        <f>'ALL Other SINs - Proposal'!D974</f>
        <v>0</v>
      </c>
      <c r="E974" s="121">
        <f>'ALL Other SINs - Proposal'!E974</f>
        <v>0</v>
      </c>
      <c r="F974" s="171">
        <f>'ALL Other SINs - Proposal'!F974</f>
        <v>0</v>
      </c>
      <c r="G974" s="51">
        <f>'ALL Other SINs - Proposal'!G974</f>
        <v>0</v>
      </c>
      <c r="H974" s="125">
        <f>'ALL Other SINs - Proposal'!H974</f>
        <v>0</v>
      </c>
      <c r="I974" s="125">
        <f>'ALL Other SINs - Proposal'!I974</f>
        <v>0</v>
      </c>
      <c r="J974" s="125">
        <f>'ALL Other SINs - Proposal'!J974</f>
        <v>0</v>
      </c>
      <c r="K974" s="125">
        <f>'ALL Other SINs - Proposal'!K974</f>
        <v>0</v>
      </c>
      <c r="L974" s="125">
        <f>'ALL Other SINs - Proposal'!L974</f>
        <v>0</v>
      </c>
      <c r="M974" s="206">
        <f>'ALL Other SINs - Proposal'!M974</f>
        <v>0</v>
      </c>
      <c r="N974" s="251">
        <f>'ALL Other SINs - Proposal'!V974</f>
        <v>0</v>
      </c>
      <c r="O974" s="201" t="str">
        <f>'Price Analysis'!N974</f>
        <v xml:space="preserve"> </v>
      </c>
      <c r="P974" s="53" t="str">
        <f>IF(ISBLANK('ALL Other SINs - Proposal'!AA974)," ",'ALL Other SINs - Proposal'!AA974)</f>
        <v xml:space="preserve"> </v>
      </c>
      <c r="Q974" s="95" t="str">
        <f>'ALL Other SINs - Proposal'!AC974</f>
        <v xml:space="preserve"> </v>
      </c>
      <c r="R974" s="100" t="str">
        <f>IF(ISBLANK('ALL Other SINs - Proposal'!AA974)," ",ROUND(Q974,2))</f>
        <v xml:space="preserve"> </v>
      </c>
      <c r="S974" s="54"/>
    </row>
    <row r="975" spans="1:19" ht="20.100000000000001" customHeight="1" x14ac:dyDescent="0.2">
      <c r="A975" s="127">
        <f>'ALL Other SINs - Proposal'!A975</f>
        <v>0</v>
      </c>
      <c r="B975" s="121">
        <f>'ALL Other SINs - Proposal'!B975</f>
        <v>0</v>
      </c>
      <c r="C975" s="121">
        <f>'ALL Other SINs - Proposal'!C975</f>
        <v>0</v>
      </c>
      <c r="D975" s="121">
        <f>'ALL Other SINs - Proposal'!D975</f>
        <v>0</v>
      </c>
      <c r="E975" s="121">
        <f>'ALL Other SINs - Proposal'!E975</f>
        <v>0</v>
      </c>
      <c r="F975" s="171">
        <f>'ALL Other SINs - Proposal'!F975</f>
        <v>0</v>
      </c>
      <c r="G975" s="51">
        <f>'ALL Other SINs - Proposal'!G975</f>
        <v>0</v>
      </c>
      <c r="H975" s="125">
        <f>'ALL Other SINs - Proposal'!H975</f>
        <v>0</v>
      </c>
      <c r="I975" s="125">
        <f>'ALL Other SINs - Proposal'!I975</f>
        <v>0</v>
      </c>
      <c r="J975" s="125">
        <f>'ALL Other SINs - Proposal'!J975</f>
        <v>0</v>
      </c>
      <c r="K975" s="125">
        <f>'ALL Other SINs - Proposal'!K975</f>
        <v>0</v>
      </c>
      <c r="L975" s="125">
        <f>'ALL Other SINs - Proposal'!L975</f>
        <v>0</v>
      </c>
      <c r="M975" s="206">
        <f>'ALL Other SINs - Proposal'!M975</f>
        <v>0</v>
      </c>
      <c r="N975" s="251">
        <f>'ALL Other SINs - Proposal'!V975</f>
        <v>0</v>
      </c>
      <c r="O975" s="201" t="str">
        <f>'Price Analysis'!N975</f>
        <v xml:space="preserve"> </v>
      </c>
      <c r="P975" s="53" t="str">
        <f>IF(ISBLANK('ALL Other SINs - Proposal'!AA975)," ",'ALL Other SINs - Proposal'!AA975)</f>
        <v xml:space="preserve"> </v>
      </c>
      <c r="Q975" s="95" t="str">
        <f>'ALL Other SINs - Proposal'!AC975</f>
        <v xml:space="preserve"> </v>
      </c>
      <c r="R975" s="100" t="str">
        <f>IF(ISBLANK('ALL Other SINs - Proposal'!AA975)," ",ROUND(Q975,2))</f>
        <v xml:space="preserve"> </v>
      </c>
      <c r="S975" s="54"/>
    </row>
    <row r="976" spans="1:19" ht="20.100000000000001" customHeight="1" x14ac:dyDescent="0.2">
      <c r="A976" s="127">
        <f>'ALL Other SINs - Proposal'!A976</f>
        <v>0</v>
      </c>
      <c r="B976" s="121">
        <f>'ALL Other SINs - Proposal'!B976</f>
        <v>0</v>
      </c>
      <c r="C976" s="121">
        <f>'ALL Other SINs - Proposal'!C976</f>
        <v>0</v>
      </c>
      <c r="D976" s="121">
        <f>'ALL Other SINs - Proposal'!D976</f>
        <v>0</v>
      </c>
      <c r="E976" s="121">
        <f>'ALL Other SINs - Proposal'!E976</f>
        <v>0</v>
      </c>
      <c r="F976" s="171">
        <f>'ALL Other SINs - Proposal'!F976</f>
        <v>0</v>
      </c>
      <c r="G976" s="51">
        <f>'ALL Other SINs - Proposal'!G976</f>
        <v>0</v>
      </c>
      <c r="H976" s="125">
        <f>'ALL Other SINs - Proposal'!H976</f>
        <v>0</v>
      </c>
      <c r="I976" s="125">
        <f>'ALL Other SINs - Proposal'!I976</f>
        <v>0</v>
      </c>
      <c r="J976" s="125">
        <f>'ALL Other SINs - Proposal'!J976</f>
        <v>0</v>
      </c>
      <c r="K976" s="125">
        <f>'ALL Other SINs - Proposal'!K976</f>
        <v>0</v>
      </c>
      <c r="L976" s="125">
        <f>'ALL Other SINs - Proposal'!L976</f>
        <v>0</v>
      </c>
      <c r="M976" s="206">
        <f>'ALL Other SINs - Proposal'!M976</f>
        <v>0</v>
      </c>
      <c r="N976" s="251">
        <f>'ALL Other SINs - Proposal'!V976</f>
        <v>0</v>
      </c>
      <c r="O976" s="201" t="str">
        <f>'Price Analysis'!N976</f>
        <v xml:space="preserve"> </v>
      </c>
      <c r="P976" s="53" t="str">
        <f>IF(ISBLANK('ALL Other SINs - Proposal'!AA976)," ",'ALL Other SINs - Proposal'!AA976)</f>
        <v xml:space="preserve"> </v>
      </c>
      <c r="Q976" s="95" t="str">
        <f>'ALL Other SINs - Proposal'!AC976</f>
        <v xml:space="preserve"> </v>
      </c>
      <c r="R976" s="100" t="str">
        <f>IF(ISBLANK('ALL Other SINs - Proposal'!AA976)," ",ROUND(Q976,2))</f>
        <v xml:space="preserve"> </v>
      </c>
      <c r="S976" s="54"/>
    </row>
    <row r="977" spans="1:19" ht="20.100000000000001" customHeight="1" x14ac:dyDescent="0.2">
      <c r="A977" s="127">
        <f>'ALL Other SINs - Proposal'!A977</f>
        <v>0</v>
      </c>
      <c r="B977" s="121">
        <f>'ALL Other SINs - Proposal'!B977</f>
        <v>0</v>
      </c>
      <c r="C977" s="121">
        <f>'ALL Other SINs - Proposal'!C977</f>
        <v>0</v>
      </c>
      <c r="D977" s="121">
        <f>'ALL Other SINs - Proposal'!D977</f>
        <v>0</v>
      </c>
      <c r="E977" s="121">
        <f>'ALL Other SINs - Proposal'!E977</f>
        <v>0</v>
      </c>
      <c r="F977" s="171">
        <f>'ALL Other SINs - Proposal'!F977</f>
        <v>0</v>
      </c>
      <c r="G977" s="51">
        <f>'ALL Other SINs - Proposal'!G977</f>
        <v>0</v>
      </c>
      <c r="H977" s="125">
        <f>'ALL Other SINs - Proposal'!H977</f>
        <v>0</v>
      </c>
      <c r="I977" s="125">
        <f>'ALL Other SINs - Proposal'!I977</f>
        <v>0</v>
      </c>
      <c r="J977" s="125">
        <f>'ALL Other SINs - Proposal'!J977</f>
        <v>0</v>
      </c>
      <c r="K977" s="125">
        <f>'ALL Other SINs - Proposal'!K977</f>
        <v>0</v>
      </c>
      <c r="L977" s="125">
        <f>'ALL Other SINs - Proposal'!L977</f>
        <v>0</v>
      </c>
      <c r="M977" s="206">
        <f>'ALL Other SINs - Proposal'!M977</f>
        <v>0</v>
      </c>
      <c r="N977" s="251">
        <f>'ALL Other SINs - Proposal'!V977</f>
        <v>0</v>
      </c>
      <c r="O977" s="201" t="str">
        <f>'Price Analysis'!N977</f>
        <v xml:space="preserve"> </v>
      </c>
      <c r="P977" s="53" t="str">
        <f>IF(ISBLANK('ALL Other SINs - Proposal'!AA977)," ",'ALL Other SINs - Proposal'!AA977)</f>
        <v xml:space="preserve"> </v>
      </c>
      <c r="Q977" s="95" t="str">
        <f>'ALL Other SINs - Proposal'!AC977</f>
        <v xml:space="preserve"> </v>
      </c>
      <c r="R977" s="100" t="str">
        <f>IF(ISBLANK('ALL Other SINs - Proposal'!AA977)," ",ROUND(Q977,2))</f>
        <v xml:space="preserve"> </v>
      </c>
      <c r="S977" s="54"/>
    </row>
    <row r="978" spans="1:19" ht="20.100000000000001" customHeight="1" x14ac:dyDescent="0.2">
      <c r="A978" s="127">
        <f>'ALL Other SINs - Proposal'!A978</f>
        <v>0</v>
      </c>
      <c r="B978" s="121">
        <f>'ALL Other SINs - Proposal'!B978</f>
        <v>0</v>
      </c>
      <c r="C978" s="121">
        <f>'ALL Other SINs - Proposal'!C978</f>
        <v>0</v>
      </c>
      <c r="D978" s="121">
        <f>'ALL Other SINs - Proposal'!D978</f>
        <v>0</v>
      </c>
      <c r="E978" s="121">
        <f>'ALL Other SINs - Proposal'!E978</f>
        <v>0</v>
      </c>
      <c r="F978" s="171">
        <f>'ALL Other SINs - Proposal'!F978</f>
        <v>0</v>
      </c>
      <c r="G978" s="51">
        <f>'ALL Other SINs - Proposal'!G978</f>
        <v>0</v>
      </c>
      <c r="H978" s="125">
        <f>'ALL Other SINs - Proposal'!H978</f>
        <v>0</v>
      </c>
      <c r="I978" s="125">
        <f>'ALL Other SINs - Proposal'!I978</f>
        <v>0</v>
      </c>
      <c r="J978" s="125">
        <f>'ALL Other SINs - Proposal'!J978</f>
        <v>0</v>
      </c>
      <c r="K978" s="125">
        <f>'ALL Other SINs - Proposal'!K978</f>
        <v>0</v>
      </c>
      <c r="L978" s="125">
        <f>'ALL Other SINs - Proposal'!L978</f>
        <v>0</v>
      </c>
      <c r="M978" s="206">
        <f>'ALL Other SINs - Proposal'!M978</f>
        <v>0</v>
      </c>
      <c r="N978" s="251">
        <f>'ALL Other SINs - Proposal'!V978</f>
        <v>0</v>
      </c>
      <c r="O978" s="201" t="str">
        <f>'Price Analysis'!N978</f>
        <v xml:space="preserve"> </v>
      </c>
      <c r="P978" s="53" t="str">
        <f>IF(ISBLANK('ALL Other SINs - Proposal'!AA978)," ",'ALL Other SINs - Proposal'!AA978)</f>
        <v xml:space="preserve"> </v>
      </c>
      <c r="Q978" s="95" t="str">
        <f>'ALL Other SINs - Proposal'!AC978</f>
        <v xml:space="preserve"> </v>
      </c>
      <c r="R978" s="100" t="str">
        <f>IF(ISBLANK('ALL Other SINs - Proposal'!AA978)," ",ROUND(Q978,2))</f>
        <v xml:space="preserve"> </v>
      </c>
      <c r="S978" s="54"/>
    </row>
    <row r="979" spans="1:19" ht="20.100000000000001" customHeight="1" x14ac:dyDescent="0.2">
      <c r="A979" s="127">
        <f>'ALL Other SINs - Proposal'!A979</f>
        <v>0</v>
      </c>
      <c r="B979" s="121">
        <f>'ALL Other SINs - Proposal'!B979</f>
        <v>0</v>
      </c>
      <c r="C979" s="121">
        <f>'ALL Other SINs - Proposal'!C979</f>
        <v>0</v>
      </c>
      <c r="D979" s="121">
        <f>'ALL Other SINs - Proposal'!D979</f>
        <v>0</v>
      </c>
      <c r="E979" s="121">
        <f>'ALL Other SINs - Proposal'!E979</f>
        <v>0</v>
      </c>
      <c r="F979" s="171">
        <f>'ALL Other SINs - Proposal'!F979</f>
        <v>0</v>
      </c>
      <c r="G979" s="51">
        <f>'ALL Other SINs - Proposal'!G979</f>
        <v>0</v>
      </c>
      <c r="H979" s="125">
        <f>'ALL Other SINs - Proposal'!H979</f>
        <v>0</v>
      </c>
      <c r="I979" s="125">
        <f>'ALL Other SINs - Proposal'!I979</f>
        <v>0</v>
      </c>
      <c r="J979" s="125">
        <f>'ALL Other SINs - Proposal'!J979</f>
        <v>0</v>
      </c>
      <c r="K979" s="125">
        <f>'ALL Other SINs - Proposal'!K979</f>
        <v>0</v>
      </c>
      <c r="L979" s="125">
        <f>'ALL Other SINs - Proposal'!L979</f>
        <v>0</v>
      </c>
      <c r="M979" s="206">
        <f>'ALL Other SINs - Proposal'!M979</f>
        <v>0</v>
      </c>
      <c r="N979" s="251">
        <f>'ALL Other SINs - Proposal'!V979</f>
        <v>0</v>
      </c>
      <c r="O979" s="201" t="str">
        <f>'Price Analysis'!N979</f>
        <v xml:space="preserve"> </v>
      </c>
      <c r="P979" s="53" t="str">
        <f>IF(ISBLANK('ALL Other SINs - Proposal'!AA979)," ",'ALL Other SINs - Proposal'!AA979)</f>
        <v xml:space="preserve"> </v>
      </c>
      <c r="Q979" s="95" t="str">
        <f>'ALL Other SINs - Proposal'!AC979</f>
        <v xml:space="preserve"> </v>
      </c>
      <c r="R979" s="100" t="str">
        <f>IF(ISBLANK('ALL Other SINs - Proposal'!AA979)," ",ROUND(Q979,2))</f>
        <v xml:space="preserve"> </v>
      </c>
      <c r="S979" s="54"/>
    </row>
    <row r="980" spans="1:19" ht="20.100000000000001" customHeight="1" x14ac:dyDescent="0.2">
      <c r="A980" s="127">
        <f>'ALL Other SINs - Proposal'!A980</f>
        <v>0</v>
      </c>
      <c r="B980" s="121">
        <f>'ALL Other SINs - Proposal'!B980</f>
        <v>0</v>
      </c>
      <c r="C980" s="121">
        <f>'ALL Other SINs - Proposal'!C980</f>
        <v>0</v>
      </c>
      <c r="D980" s="121">
        <f>'ALL Other SINs - Proposal'!D980</f>
        <v>0</v>
      </c>
      <c r="E980" s="121">
        <f>'ALL Other SINs - Proposal'!E980</f>
        <v>0</v>
      </c>
      <c r="F980" s="171">
        <f>'ALL Other SINs - Proposal'!F980</f>
        <v>0</v>
      </c>
      <c r="G980" s="51">
        <f>'ALL Other SINs - Proposal'!G980</f>
        <v>0</v>
      </c>
      <c r="H980" s="125">
        <f>'ALL Other SINs - Proposal'!H980</f>
        <v>0</v>
      </c>
      <c r="I980" s="125">
        <f>'ALL Other SINs - Proposal'!I980</f>
        <v>0</v>
      </c>
      <c r="J980" s="125">
        <f>'ALL Other SINs - Proposal'!J980</f>
        <v>0</v>
      </c>
      <c r="K980" s="125">
        <f>'ALL Other SINs - Proposal'!K980</f>
        <v>0</v>
      </c>
      <c r="L980" s="125">
        <f>'ALL Other SINs - Proposal'!L980</f>
        <v>0</v>
      </c>
      <c r="M980" s="206">
        <f>'ALL Other SINs - Proposal'!M980</f>
        <v>0</v>
      </c>
      <c r="N980" s="251">
        <f>'ALL Other SINs - Proposal'!V980</f>
        <v>0</v>
      </c>
      <c r="O980" s="201" t="str">
        <f>'Price Analysis'!N980</f>
        <v xml:space="preserve"> </v>
      </c>
      <c r="P980" s="53" t="str">
        <f>IF(ISBLANK('ALL Other SINs - Proposal'!AA980)," ",'ALL Other SINs - Proposal'!AA980)</f>
        <v xml:space="preserve"> </v>
      </c>
      <c r="Q980" s="95" t="str">
        <f>'ALL Other SINs - Proposal'!AC980</f>
        <v xml:space="preserve"> </v>
      </c>
      <c r="R980" s="100" t="str">
        <f>IF(ISBLANK('ALL Other SINs - Proposal'!AA980)," ",ROUND(Q980,2))</f>
        <v xml:space="preserve"> </v>
      </c>
      <c r="S980" s="54"/>
    </row>
    <row r="981" spans="1:19" ht="20.100000000000001" customHeight="1" x14ac:dyDescent="0.2">
      <c r="A981" s="127">
        <f>'ALL Other SINs - Proposal'!A981</f>
        <v>0</v>
      </c>
      <c r="B981" s="121">
        <f>'ALL Other SINs - Proposal'!B981</f>
        <v>0</v>
      </c>
      <c r="C981" s="121">
        <f>'ALL Other SINs - Proposal'!C981</f>
        <v>0</v>
      </c>
      <c r="D981" s="121">
        <f>'ALL Other SINs - Proposal'!D981</f>
        <v>0</v>
      </c>
      <c r="E981" s="121">
        <f>'ALL Other SINs - Proposal'!E981</f>
        <v>0</v>
      </c>
      <c r="F981" s="171">
        <f>'ALL Other SINs - Proposal'!F981</f>
        <v>0</v>
      </c>
      <c r="G981" s="51">
        <f>'ALL Other SINs - Proposal'!G981</f>
        <v>0</v>
      </c>
      <c r="H981" s="125">
        <f>'ALL Other SINs - Proposal'!H981</f>
        <v>0</v>
      </c>
      <c r="I981" s="125">
        <f>'ALL Other SINs - Proposal'!I981</f>
        <v>0</v>
      </c>
      <c r="J981" s="125">
        <f>'ALL Other SINs - Proposal'!J981</f>
        <v>0</v>
      </c>
      <c r="K981" s="125">
        <f>'ALL Other SINs - Proposal'!K981</f>
        <v>0</v>
      </c>
      <c r="L981" s="125">
        <f>'ALL Other SINs - Proposal'!L981</f>
        <v>0</v>
      </c>
      <c r="M981" s="206">
        <f>'ALL Other SINs - Proposal'!M981</f>
        <v>0</v>
      </c>
      <c r="N981" s="251">
        <f>'ALL Other SINs - Proposal'!V981</f>
        <v>0</v>
      </c>
      <c r="O981" s="201" t="str">
        <f>'Price Analysis'!N981</f>
        <v xml:space="preserve"> </v>
      </c>
      <c r="P981" s="53" t="str">
        <f>IF(ISBLANK('ALL Other SINs - Proposal'!AA981)," ",'ALL Other SINs - Proposal'!AA981)</f>
        <v xml:space="preserve"> </v>
      </c>
      <c r="Q981" s="95" t="str">
        <f>'ALL Other SINs - Proposal'!AC981</f>
        <v xml:space="preserve"> </v>
      </c>
      <c r="R981" s="100" t="str">
        <f>IF(ISBLANK('ALL Other SINs - Proposal'!AA981)," ",ROUND(Q981,2))</f>
        <v xml:space="preserve"> </v>
      </c>
      <c r="S981" s="54"/>
    </row>
    <row r="982" spans="1:19" ht="20.100000000000001" customHeight="1" x14ac:dyDescent="0.2">
      <c r="A982" s="127">
        <f>'ALL Other SINs - Proposal'!A982</f>
        <v>0</v>
      </c>
      <c r="B982" s="121">
        <f>'ALL Other SINs - Proposal'!B982</f>
        <v>0</v>
      </c>
      <c r="C982" s="121">
        <f>'ALL Other SINs - Proposal'!C982</f>
        <v>0</v>
      </c>
      <c r="D982" s="121">
        <f>'ALL Other SINs - Proposal'!D982</f>
        <v>0</v>
      </c>
      <c r="E982" s="121">
        <f>'ALL Other SINs - Proposal'!E982</f>
        <v>0</v>
      </c>
      <c r="F982" s="171">
        <f>'ALL Other SINs - Proposal'!F982</f>
        <v>0</v>
      </c>
      <c r="G982" s="51">
        <f>'ALL Other SINs - Proposal'!G982</f>
        <v>0</v>
      </c>
      <c r="H982" s="125">
        <f>'ALL Other SINs - Proposal'!H982</f>
        <v>0</v>
      </c>
      <c r="I982" s="125">
        <f>'ALL Other SINs - Proposal'!I982</f>
        <v>0</v>
      </c>
      <c r="J982" s="125">
        <f>'ALL Other SINs - Proposal'!J982</f>
        <v>0</v>
      </c>
      <c r="K982" s="125">
        <f>'ALL Other SINs - Proposal'!K982</f>
        <v>0</v>
      </c>
      <c r="L982" s="125">
        <f>'ALL Other SINs - Proposal'!L982</f>
        <v>0</v>
      </c>
      <c r="M982" s="206">
        <f>'ALL Other SINs - Proposal'!M982</f>
        <v>0</v>
      </c>
      <c r="N982" s="251">
        <f>'ALL Other SINs - Proposal'!V982</f>
        <v>0</v>
      </c>
      <c r="O982" s="201" t="str">
        <f>'Price Analysis'!N982</f>
        <v xml:space="preserve"> </v>
      </c>
      <c r="P982" s="53" t="str">
        <f>IF(ISBLANK('ALL Other SINs - Proposal'!AA982)," ",'ALL Other SINs - Proposal'!AA982)</f>
        <v xml:space="preserve"> </v>
      </c>
      <c r="Q982" s="95" t="str">
        <f>'ALL Other SINs - Proposal'!AC982</f>
        <v xml:space="preserve"> </v>
      </c>
      <c r="R982" s="100" t="str">
        <f>IF(ISBLANK('ALL Other SINs - Proposal'!AA982)," ",ROUND(Q982,2))</f>
        <v xml:space="preserve"> </v>
      </c>
      <c r="S982" s="54"/>
    </row>
    <row r="983" spans="1:19" ht="20.100000000000001" customHeight="1" x14ac:dyDescent="0.2">
      <c r="A983" s="127">
        <f>'ALL Other SINs - Proposal'!A983</f>
        <v>0</v>
      </c>
      <c r="B983" s="121">
        <f>'ALL Other SINs - Proposal'!B983</f>
        <v>0</v>
      </c>
      <c r="C983" s="121">
        <f>'ALL Other SINs - Proposal'!C983</f>
        <v>0</v>
      </c>
      <c r="D983" s="121">
        <f>'ALL Other SINs - Proposal'!D983</f>
        <v>0</v>
      </c>
      <c r="E983" s="121">
        <f>'ALL Other SINs - Proposal'!E983</f>
        <v>0</v>
      </c>
      <c r="F983" s="171">
        <f>'ALL Other SINs - Proposal'!F983</f>
        <v>0</v>
      </c>
      <c r="G983" s="51">
        <f>'ALL Other SINs - Proposal'!G983</f>
        <v>0</v>
      </c>
      <c r="H983" s="125">
        <f>'ALL Other SINs - Proposal'!H983</f>
        <v>0</v>
      </c>
      <c r="I983" s="125">
        <f>'ALL Other SINs - Proposal'!I983</f>
        <v>0</v>
      </c>
      <c r="J983" s="125">
        <f>'ALL Other SINs - Proposal'!J983</f>
        <v>0</v>
      </c>
      <c r="K983" s="125">
        <f>'ALL Other SINs - Proposal'!K983</f>
        <v>0</v>
      </c>
      <c r="L983" s="125">
        <f>'ALL Other SINs - Proposal'!L983</f>
        <v>0</v>
      </c>
      <c r="M983" s="206">
        <f>'ALL Other SINs - Proposal'!M983</f>
        <v>0</v>
      </c>
      <c r="N983" s="251">
        <f>'ALL Other SINs - Proposal'!V983</f>
        <v>0</v>
      </c>
      <c r="O983" s="201" t="str">
        <f>'Price Analysis'!N983</f>
        <v xml:space="preserve"> </v>
      </c>
      <c r="P983" s="53" t="str">
        <f>IF(ISBLANK('ALL Other SINs - Proposal'!AA983)," ",'ALL Other SINs - Proposal'!AA983)</f>
        <v xml:space="preserve"> </v>
      </c>
      <c r="Q983" s="95" t="str">
        <f>'ALL Other SINs - Proposal'!AC983</f>
        <v xml:space="preserve"> </v>
      </c>
      <c r="R983" s="100" t="str">
        <f>IF(ISBLANK('ALL Other SINs - Proposal'!AA983)," ",ROUND(Q983,2))</f>
        <v xml:space="preserve"> </v>
      </c>
      <c r="S983" s="54"/>
    </row>
    <row r="984" spans="1:19" ht="20.100000000000001" customHeight="1" x14ac:dyDescent="0.2">
      <c r="A984" s="127">
        <f>'ALL Other SINs - Proposal'!A984</f>
        <v>0</v>
      </c>
      <c r="B984" s="121">
        <f>'ALL Other SINs - Proposal'!B984</f>
        <v>0</v>
      </c>
      <c r="C984" s="121">
        <f>'ALL Other SINs - Proposal'!C984</f>
        <v>0</v>
      </c>
      <c r="D984" s="121">
        <f>'ALL Other SINs - Proposal'!D984</f>
        <v>0</v>
      </c>
      <c r="E984" s="121">
        <f>'ALL Other SINs - Proposal'!E984</f>
        <v>0</v>
      </c>
      <c r="F984" s="171">
        <f>'ALL Other SINs - Proposal'!F984</f>
        <v>0</v>
      </c>
      <c r="G984" s="51">
        <f>'ALL Other SINs - Proposal'!G984</f>
        <v>0</v>
      </c>
      <c r="H984" s="125">
        <f>'ALL Other SINs - Proposal'!H984</f>
        <v>0</v>
      </c>
      <c r="I984" s="125">
        <f>'ALL Other SINs - Proposal'!I984</f>
        <v>0</v>
      </c>
      <c r="J984" s="125">
        <f>'ALL Other SINs - Proposal'!J984</f>
        <v>0</v>
      </c>
      <c r="K984" s="125">
        <f>'ALL Other SINs - Proposal'!K984</f>
        <v>0</v>
      </c>
      <c r="L984" s="125">
        <f>'ALL Other SINs - Proposal'!L984</f>
        <v>0</v>
      </c>
      <c r="M984" s="206">
        <f>'ALL Other SINs - Proposal'!M984</f>
        <v>0</v>
      </c>
      <c r="N984" s="251">
        <f>'ALL Other SINs - Proposal'!V984</f>
        <v>0</v>
      </c>
      <c r="O984" s="201" t="str">
        <f>'Price Analysis'!N984</f>
        <v xml:space="preserve"> </v>
      </c>
      <c r="P984" s="53" t="str">
        <f>IF(ISBLANK('ALL Other SINs - Proposal'!AA984)," ",'ALL Other SINs - Proposal'!AA984)</f>
        <v xml:space="preserve"> </v>
      </c>
      <c r="Q984" s="95" t="str">
        <f>'ALL Other SINs - Proposal'!AC984</f>
        <v xml:space="preserve"> </v>
      </c>
      <c r="R984" s="100" t="str">
        <f>IF(ISBLANK('ALL Other SINs - Proposal'!AA984)," ",ROUND(Q984,2))</f>
        <v xml:space="preserve"> </v>
      </c>
      <c r="S984" s="54"/>
    </row>
    <row r="985" spans="1:19" ht="20.100000000000001" customHeight="1" x14ac:dyDescent="0.2">
      <c r="A985" s="127">
        <f>'ALL Other SINs - Proposal'!A985</f>
        <v>0</v>
      </c>
      <c r="B985" s="121">
        <f>'ALL Other SINs - Proposal'!B985</f>
        <v>0</v>
      </c>
      <c r="C985" s="121">
        <f>'ALL Other SINs - Proposal'!C985</f>
        <v>0</v>
      </c>
      <c r="D985" s="121">
        <f>'ALL Other SINs - Proposal'!D985</f>
        <v>0</v>
      </c>
      <c r="E985" s="121">
        <f>'ALL Other SINs - Proposal'!E985</f>
        <v>0</v>
      </c>
      <c r="F985" s="171">
        <f>'ALL Other SINs - Proposal'!F985</f>
        <v>0</v>
      </c>
      <c r="G985" s="51">
        <f>'ALL Other SINs - Proposal'!G985</f>
        <v>0</v>
      </c>
      <c r="H985" s="125">
        <f>'ALL Other SINs - Proposal'!H985</f>
        <v>0</v>
      </c>
      <c r="I985" s="125">
        <f>'ALL Other SINs - Proposal'!I985</f>
        <v>0</v>
      </c>
      <c r="J985" s="125">
        <f>'ALL Other SINs - Proposal'!J985</f>
        <v>0</v>
      </c>
      <c r="K985" s="125">
        <f>'ALL Other SINs - Proposal'!K985</f>
        <v>0</v>
      </c>
      <c r="L985" s="125">
        <f>'ALL Other SINs - Proposal'!L985</f>
        <v>0</v>
      </c>
      <c r="M985" s="206">
        <f>'ALL Other SINs - Proposal'!M985</f>
        <v>0</v>
      </c>
      <c r="N985" s="251">
        <f>'ALL Other SINs - Proposal'!V985</f>
        <v>0</v>
      </c>
      <c r="O985" s="201" t="str">
        <f>'Price Analysis'!N985</f>
        <v xml:space="preserve"> </v>
      </c>
      <c r="P985" s="53" t="str">
        <f>IF(ISBLANK('ALL Other SINs - Proposal'!AA985)," ",'ALL Other SINs - Proposal'!AA985)</f>
        <v xml:space="preserve"> </v>
      </c>
      <c r="Q985" s="95" t="str">
        <f>'ALL Other SINs - Proposal'!AC985</f>
        <v xml:space="preserve"> </v>
      </c>
      <c r="R985" s="100" t="str">
        <f>IF(ISBLANK('ALL Other SINs - Proposal'!AA985)," ",ROUND(Q985,2))</f>
        <v xml:space="preserve"> </v>
      </c>
      <c r="S985" s="54"/>
    </row>
    <row r="986" spans="1:19" ht="20.100000000000001" customHeight="1" x14ac:dyDescent="0.2">
      <c r="A986" s="127">
        <f>'ALL Other SINs - Proposal'!A986</f>
        <v>0</v>
      </c>
      <c r="B986" s="121">
        <f>'ALL Other SINs - Proposal'!B986</f>
        <v>0</v>
      </c>
      <c r="C986" s="121">
        <f>'ALL Other SINs - Proposal'!C986</f>
        <v>0</v>
      </c>
      <c r="D986" s="121">
        <f>'ALL Other SINs - Proposal'!D986</f>
        <v>0</v>
      </c>
      <c r="E986" s="121">
        <f>'ALL Other SINs - Proposal'!E986</f>
        <v>0</v>
      </c>
      <c r="F986" s="171">
        <f>'ALL Other SINs - Proposal'!F986</f>
        <v>0</v>
      </c>
      <c r="G986" s="51">
        <f>'ALL Other SINs - Proposal'!G986</f>
        <v>0</v>
      </c>
      <c r="H986" s="125">
        <f>'ALL Other SINs - Proposal'!H986</f>
        <v>0</v>
      </c>
      <c r="I986" s="125">
        <f>'ALL Other SINs - Proposal'!I986</f>
        <v>0</v>
      </c>
      <c r="J986" s="125">
        <f>'ALL Other SINs - Proposal'!J986</f>
        <v>0</v>
      </c>
      <c r="K986" s="125">
        <f>'ALL Other SINs - Proposal'!K986</f>
        <v>0</v>
      </c>
      <c r="L986" s="125">
        <f>'ALL Other SINs - Proposal'!L986</f>
        <v>0</v>
      </c>
      <c r="M986" s="206">
        <f>'ALL Other SINs - Proposal'!M986</f>
        <v>0</v>
      </c>
      <c r="N986" s="251">
        <f>'ALL Other SINs - Proposal'!V986</f>
        <v>0</v>
      </c>
      <c r="O986" s="201" t="str">
        <f>'Price Analysis'!N986</f>
        <v xml:space="preserve"> </v>
      </c>
      <c r="P986" s="53" t="str">
        <f>IF(ISBLANK('ALL Other SINs - Proposal'!AA986)," ",'ALL Other SINs - Proposal'!AA986)</f>
        <v xml:space="preserve"> </v>
      </c>
      <c r="Q986" s="95" t="str">
        <f>'ALL Other SINs - Proposal'!AC986</f>
        <v xml:space="preserve"> </v>
      </c>
      <c r="R986" s="100" t="str">
        <f>IF(ISBLANK('ALL Other SINs - Proposal'!AA986)," ",ROUND(Q986,2))</f>
        <v xml:space="preserve"> </v>
      </c>
      <c r="S986" s="54"/>
    </row>
    <row r="987" spans="1:19" ht="20.100000000000001" customHeight="1" x14ac:dyDescent="0.2">
      <c r="A987" s="127">
        <f>'ALL Other SINs - Proposal'!A987</f>
        <v>0</v>
      </c>
      <c r="B987" s="121">
        <f>'ALL Other SINs - Proposal'!B987</f>
        <v>0</v>
      </c>
      <c r="C987" s="121">
        <f>'ALL Other SINs - Proposal'!C987</f>
        <v>0</v>
      </c>
      <c r="D987" s="121">
        <f>'ALL Other SINs - Proposal'!D987</f>
        <v>0</v>
      </c>
      <c r="E987" s="121">
        <f>'ALL Other SINs - Proposal'!E987</f>
        <v>0</v>
      </c>
      <c r="F987" s="171">
        <f>'ALL Other SINs - Proposal'!F987</f>
        <v>0</v>
      </c>
      <c r="G987" s="51">
        <f>'ALL Other SINs - Proposal'!G987</f>
        <v>0</v>
      </c>
      <c r="H987" s="125">
        <f>'ALL Other SINs - Proposal'!H987</f>
        <v>0</v>
      </c>
      <c r="I987" s="125">
        <f>'ALL Other SINs - Proposal'!I987</f>
        <v>0</v>
      </c>
      <c r="J987" s="125">
        <f>'ALL Other SINs - Proposal'!J987</f>
        <v>0</v>
      </c>
      <c r="K987" s="125">
        <f>'ALL Other SINs - Proposal'!K987</f>
        <v>0</v>
      </c>
      <c r="L987" s="125">
        <f>'ALL Other SINs - Proposal'!L987</f>
        <v>0</v>
      </c>
      <c r="M987" s="206">
        <f>'ALL Other SINs - Proposal'!M987</f>
        <v>0</v>
      </c>
      <c r="N987" s="251">
        <f>'ALL Other SINs - Proposal'!V987</f>
        <v>0</v>
      </c>
      <c r="O987" s="201" t="str">
        <f>'Price Analysis'!N987</f>
        <v xml:space="preserve"> </v>
      </c>
      <c r="P987" s="53" t="str">
        <f>IF(ISBLANK('ALL Other SINs - Proposal'!AA987)," ",'ALL Other SINs - Proposal'!AA987)</f>
        <v xml:space="preserve"> </v>
      </c>
      <c r="Q987" s="95" t="str">
        <f>'ALL Other SINs - Proposal'!AC987</f>
        <v xml:space="preserve"> </v>
      </c>
      <c r="R987" s="100" t="str">
        <f>IF(ISBLANK('ALL Other SINs - Proposal'!AA987)," ",ROUND(Q987,2))</f>
        <v xml:space="preserve"> </v>
      </c>
      <c r="S987" s="54"/>
    </row>
    <row r="988" spans="1:19" ht="20.100000000000001" customHeight="1" x14ac:dyDescent="0.2">
      <c r="A988" s="127">
        <f>'ALL Other SINs - Proposal'!A988</f>
        <v>0</v>
      </c>
      <c r="B988" s="121">
        <f>'ALL Other SINs - Proposal'!B988</f>
        <v>0</v>
      </c>
      <c r="C988" s="121">
        <f>'ALL Other SINs - Proposal'!C988</f>
        <v>0</v>
      </c>
      <c r="D988" s="121">
        <f>'ALL Other SINs - Proposal'!D988</f>
        <v>0</v>
      </c>
      <c r="E988" s="121">
        <f>'ALL Other SINs - Proposal'!E988</f>
        <v>0</v>
      </c>
      <c r="F988" s="171">
        <f>'ALL Other SINs - Proposal'!F988</f>
        <v>0</v>
      </c>
      <c r="G988" s="51">
        <f>'ALL Other SINs - Proposal'!G988</f>
        <v>0</v>
      </c>
      <c r="H988" s="125">
        <f>'ALL Other SINs - Proposal'!H988</f>
        <v>0</v>
      </c>
      <c r="I988" s="125">
        <f>'ALL Other SINs - Proposal'!I988</f>
        <v>0</v>
      </c>
      <c r="J988" s="125">
        <f>'ALL Other SINs - Proposal'!J988</f>
        <v>0</v>
      </c>
      <c r="K988" s="125">
        <f>'ALL Other SINs - Proposal'!K988</f>
        <v>0</v>
      </c>
      <c r="L988" s="125">
        <f>'ALL Other SINs - Proposal'!L988</f>
        <v>0</v>
      </c>
      <c r="M988" s="206">
        <f>'ALL Other SINs - Proposal'!M988</f>
        <v>0</v>
      </c>
      <c r="N988" s="251">
        <f>'ALL Other SINs - Proposal'!V988</f>
        <v>0</v>
      </c>
      <c r="O988" s="201" t="str">
        <f>'Price Analysis'!N988</f>
        <v xml:space="preserve"> </v>
      </c>
      <c r="P988" s="53" t="str">
        <f>IF(ISBLANK('ALL Other SINs - Proposal'!AA988)," ",'ALL Other SINs - Proposal'!AA988)</f>
        <v xml:space="preserve"> </v>
      </c>
      <c r="Q988" s="95" t="str">
        <f>'ALL Other SINs - Proposal'!AC988</f>
        <v xml:space="preserve"> </v>
      </c>
      <c r="R988" s="100" t="str">
        <f>IF(ISBLANK('ALL Other SINs - Proposal'!AA988)," ",ROUND(Q988,2))</f>
        <v xml:space="preserve"> </v>
      </c>
      <c r="S988" s="54"/>
    </row>
    <row r="989" spans="1:19" ht="20.100000000000001" customHeight="1" x14ac:dyDescent="0.2">
      <c r="A989" s="127">
        <f>'ALL Other SINs - Proposal'!A989</f>
        <v>0</v>
      </c>
      <c r="B989" s="121">
        <f>'ALL Other SINs - Proposal'!B989</f>
        <v>0</v>
      </c>
      <c r="C989" s="121">
        <f>'ALL Other SINs - Proposal'!C989</f>
        <v>0</v>
      </c>
      <c r="D989" s="121">
        <f>'ALL Other SINs - Proposal'!D989</f>
        <v>0</v>
      </c>
      <c r="E989" s="121">
        <f>'ALL Other SINs - Proposal'!E989</f>
        <v>0</v>
      </c>
      <c r="F989" s="171">
        <f>'ALL Other SINs - Proposal'!F989</f>
        <v>0</v>
      </c>
      <c r="G989" s="51">
        <f>'ALL Other SINs - Proposal'!G989</f>
        <v>0</v>
      </c>
      <c r="H989" s="125">
        <f>'ALL Other SINs - Proposal'!H989</f>
        <v>0</v>
      </c>
      <c r="I989" s="125">
        <f>'ALL Other SINs - Proposal'!I989</f>
        <v>0</v>
      </c>
      <c r="J989" s="125">
        <f>'ALL Other SINs - Proposal'!J989</f>
        <v>0</v>
      </c>
      <c r="K989" s="125">
        <f>'ALL Other SINs - Proposal'!K989</f>
        <v>0</v>
      </c>
      <c r="L989" s="125">
        <f>'ALL Other SINs - Proposal'!L989</f>
        <v>0</v>
      </c>
      <c r="M989" s="206">
        <f>'ALL Other SINs - Proposal'!M989</f>
        <v>0</v>
      </c>
      <c r="N989" s="251">
        <f>'ALL Other SINs - Proposal'!V989</f>
        <v>0</v>
      </c>
      <c r="O989" s="201" t="str">
        <f>'Price Analysis'!N989</f>
        <v xml:space="preserve"> </v>
      </c>
      <c r="P989" s="53" t="str">
        <f>IF(ISBLANK('ALL Other SINs - Proposal'!AA989)," ",'ALL Other SINs - Proposal'!AA989)</f>
        <v xml:space="preserve"> </v>
      </c>
      <c r="Q989" s="95" t="str">
        <f>'ALL Other SINs - Proposal'!AC989</f>
        <v xml:space="preserve"> </v>
      </c>
      <c r="R989" s="100" t="str">
        <f>IF(ISBLANK('ALL Other SINs - Proposal'!AA989)," ",ROUND(Q989,2))</f>
        <v xml:space="preserve"> </v>
      </c>
      <c r="S989" s="54"/>
    </row>
    <row r="990" spans="1:19" ht="20.100000000000001" customHeight="1" x14ac:dyDescent="0.2">
      <c r="A990" s="127">
        <f>'ALL Other SINs - Proposal'!A990</f>
        <v>0</v>
      </c>
      <c r="B990" s="121">
        <f>'ALL Other SINs - Proposal'!B990</f>
        <v>0</v>
      </c>
      <c r="C990" s="121">
        <f>'ALL Other SINs - Proposal'!C990</f>
        <v>0</v>
      </c>
      <c r="D990" s="121">
        <f>'ALL Other SINs - Proposal'!D990</f>
        <v>0</v>
      </c>
      <c r="E990" s="121">
        <f>'ALL Other SINs - Proposal'!E990</f>
        <v>0</v>
      </c>
      <c r="F990" s="171">
        <f>'ALL Other SINs - Proposal'!F990</f>
        <v>0</v>
      </c>
      <c r="G990" s="51">
        <f>'ALL Other SINs - Proposal'!G990</f>
        <v>0</v>
      </c>
      <c r="H990" s="125">
        <f>'ALL Other SINs - Proposal'!H990</f>
        <v>0</v>
      </c>
      <c r="I990" s="125">
        <f>'ALL Other SINs - Proposal'!I990</f>
        <v>0</v>
      </c>
      <c r="J990" s="125">
        <f>'ALL Other SINs - Proposal'!J990</f>
        <v>0</v>
      </c>
      <c r="K990" s="125">
        <f>'ALL Other SINs - Proposal'!K990</f>
        <v>0</v>
      </c>
      <c r="L990" s="125">
        <f>'ALL Other SINs - Proposal'!L990</f>
        <v>0</v>
      </c>
      <c r="M990" s="206">
        <f>'ALL Other SINs - Proposal'!M990</f>
        <v>0</v>
      </c>
      <c r="N990" s="251">
        <f>'ALL Other SINs - Proposal'!V990</f>
        <v>0</v>
      </c>
      <c r="O990" s="201" t="str">
        <f>'Price Analysis'!N990</f>
        <v xml:space="preserve"> </v>
      </c>
      <c r="P990" s="53" t="str">
        <f>IF(ISBLANK('ALL Other SINs - Proposal'!AA990)," ",'ALL Other SINs - Proposal'!AA990)</f>
        <v xml:space="preserve"> </v>
      </c>
      <c r="Q990" s="95" t="str">
        <f>'ALL Other SINs - Proposal'!AC990</f>
        <v xml:space="preserve"> </v>
      </c>
      <c r="R990" s="100" t="str">
        <f>IF(ISBLANK('ALL Other SINs - Proposal'!AA990)," ",ROUND(Q990,2))</f>
        <v xml:space="preserve"> </v>
      </c>
      <c r="S990" s="54"/>
    </row>
    <row r="991" spans="1:19" ht="20.100000000000001" customHeight="1" x14ac:dyDescent="0.2">
      <c r="A991" s="127">
        <f>'ALL Other SINs - Proposal'!A991</f>
        <v>0</v>
      </c>
      <c r="B991" s="121">
        <f>'ALL Other SINs - Proposal'!B991</f>
        <v>0</v>
      </c>
      <c r="C991" s="121">
        <f>'ALL Other SINs - Proposal'!C991</f>
        <v>0</v>
      </c>
      <c r="D991" s="121">
        <f>'ALL Other SINs - Proposal'!D991</f>
        <v>0</v>
      </c>
      <c r="E991" s="121">
        <f>'ALL Other SINs - Proposal'!E991</f>
        <v>0</v>
      </c>
      <c r="F991" s="171">
        <f>'ALL Other SINs - Proposal'!F991</f>
        <v>0</v>
      </c>
      <c r="G991" s="51">
        <f>'ALL Other SINs - Proposal'!G991</f>
        <v>0</v>
      </c>
      <c r="H991" s="125">
        <f>'ALL Other SINs - Proposal'!H991</f>
        <v>0</v>
      </c>
      <c r="I991" s="125">
        <f>'ALL Other SINs - Proposal'!I991</f>
        <v>0</v>
      </c>
      <c r="J991" s="125">
        <f>'ALL Other SINs - Proposal'!J991</f>
        <v>0</v>
      </c>
      <c r="K991" s="125">
        <f>'ALL Other SINs - Proposal'!K991</f>
        <v>0</v>
      </c>
      <c r="L991" s="125">
        <f>'ALL Other SINs - Proposal'!L991</f>
        <v>0</v>
      </c>
      <c r="M991" s="206">
        <f>'ALL Other SINs - Proposal'!M991</f>
        <v>0</v>
      </c>
      <c r="N991" s="251">
        <f>'ALL Other SINs - Proposal'!V991</f>
        <v>0</v>
      </c>
      <c r="O991" s="201" t="str">
        <f>'Price Analysis'!N991</f>
        <v xml:space="preserve"> </v>
      </c>
      <c r="P991" s="53" t="str">
        <f>IF(ISBLANK('ALL Other SINs - Proposal'!AA991)," ",'ALL Other SINs - Proposal'!AA991)</f>
        <v xml:space="preserve"> </v>
      </c>
      <c r="Q991" s="95" t="str">
        <f>'ALL Other SINs - Proposal'!AC991</f>
        <v xml:space="preserve"> </v>
      </c>
      <c r="R991" s="100" t="str">
        <f>IF(ISBLANK('ALL Other SINs - Proposal'!AA991)," ",ROUND(Q991,2))</f>
        <v xml:space="preserve"> </v>
      </c>
      <c r="S991" s="54"/>
    </row>
    <row r="992" spans="1:19" ht="20.100000000000001" customHeight="1" x14ac:dyDescent="0.2">
      <c r="A992" s="127">
        <f>'ALL Other SINs - Proposal'!A992</f>
        <v>0</v>
      </c>
      <c r="B992" s="121">
        <f>'ALL Other SINs - Proposal'!B992</f>
        <v>0</v>
      </c>
      <c r="C992" s="121">
        <f>'ALL Other SINs - Proposal'!C992</f>
        <v>0</v>
      </c>
      <c r="D992" s="121">
        <f>'ALL Other SINs - Proposal'!D992</f>
        <v>0</v>
      </c>
      <c r="E992" s="121">
        <f>'ALL Other SINs - Proposal'!E992</f>
        <v>0</v>
      </c>
      <c r="F992" s="171">
        <f>'ALL Other SINs - Proposal'!F992</f>
        <v>0</v>
      </c>
      <c r="G992" s="51">
        <f>'ALL Other SINs - Proposal'!G992</f>
        <v>0</v>
      </c>
      <c r="H992" s="125">
        <f>'ALL Other SINs - Proposal'!H992</f>
        <v>0</v>
      </c>
      <c r="I992" s="125">
        <f>'ALL Other SINs - Proposal'!I992</f>
        <v>0</v>
      </c>
      <c r="J992" s="125">
        <f>'ALL Other SINs - Proposal'!J992</f>
        <v>0</v>
      </c>
      <c r="K992" s="125">
        <f>'ALL Other SINs - Proposal'!K992</f>
        <v>0</v>
      </c>
      <c r="L992" s="125">
        <f>'ALL Other SINs - Proposal'!L992</f>
        <v>0</v>
      </c>
      <c r="M992" s="206">
        <f>'ALL Other SINs - Proposal'!M992</f>
        <v>0</v>
      </c>
      <c r="N992" s="251">
        <f>'ALL Other SINs - Proposal'!V992</f>
        <v>0</v>
      </c>
      <c r="O992" s="201" t="str">
        <f>'Price Analysis'!N992</f>
        <v xml:space="preserve"> </v>
      </c>
      <c r="P992" s="53" t="str">
        <f>IF(ISBLANK('ALL Other SINs - Proposal'!AA992)," ",'ALL Other SINs - Proposal'!AA992)</f>
        <v xml:space="preserve"> </v>
      </c>
      <c r="Q992" s="95" t="str">
        <f>'ALL Other SINs - Proposal'!AC992</f>
        <v xml:space="preserve"> </v>
      </c>
      <c r="R992" s="100" t="str">
        <f>IF(ISBLANK('ALL Other SINs - Proposal'!AA992)," ",ROUND(Q992,2))</f>
        <v xml:space="preserve"> </v>
      </c>
      <c r="S992" s="54"/>
    </row>
    <row r="993" spans="1:19" ht="20.100000000000001" customHeight="1" x14ac:dyDescent="0.2">
      <c r="A993" s="127">
        <f>'ALL Other SINs - Proposal'!A993</f>
        <v>0</v>
      </c>
      <c r="B993" s="121">
        <f>'ALL Other SINs - Proposal'!B993</f>
        <v>0</v>
      </c>
      <c r="C993" s="121">
        <f>'ALL Other SINs - Proposal'!C993</f>
        <v>0</v>
      </c>
      <c r="D993" s="121">
        <f>'ALL Other SINs - Proposal'!D993</f>
        <v>0</v>
      </c>
      <c r="E993" s="121">
        <f>'ALL Other SINs - Proposal'!E993</f>
        <v>0</v>
      </c>
      <c r="F993" s="171">
        <f>'ALL Other SINs - Proposal'!F993</f>
        <v>0</v>
      </c>
      <c r="G993" s="51">
        <f>'ALL Other SINs - Proposal'!G993</f>
        <v>0</v>
      </c>
      <c r="H993" s="125">
        <f>'ALL Other SINs - Proposal'!H993</f>
        <v>0</v>
      </c>
      <c r="I993" s="125">
        <f>'ALL Other SINs - Proposal'!I993</f>
        <v>0</v>
      </c>
      <c r="J993" s="125">
        <f>'ALL Other SINs - Proposal'!J993</f>
        <v>0</v>
      </c>
      <c r="K993" s="125">
        <f>'ALL Other SINs - Proposal'!K993</f>
        <v>0</v>
      </c>
      <c r="L993" s="125">
        <f>'ALL Other SINs - Proposal'!L993</f>
        <v>0</v>
      </c>
      <c r="M993" s="206">
        <f>'ALL Other SINs - Proposal'!M993</f>
        <v>0</v>
      </c>
      <c r="N993" s="251">
        <f>'ALL Other SINs - Proposal'!V993</f>
        <v>0</v>
      </c>
      <c r="O993" s="201" t="str">
        <f>'Price Analysis'!N993</f>
        <v xml:space="preserve"> </v>
      </c>
      <c r="P993" s="53" t="str">
        <f>IF(ISBLANK('ALL Other SINs - Proposal'!AA993)," ",'ALL Other SINs - Proposal'!AA993)</f>
        <v xml:space="preserve"> </v>
      </c>
      <c r="Q993" s="95" t="str">
        <f>'ALL Other SINs - Proposal'!AC993</f>
        <v xml:space="preserve"> </v>
      </c>
      <c r="R993" s="100" t="str">
        <f>IF(ISBLANK('ALL Other SINs - Proposal'!AA993)," ",ROUND(Q993,2))</f>
        <v xml:space="preserve"> </v>
      </c>
      <c r="S993" s="54"/>
    </row>
    <row r="994" spans="1:19" ht="20.100000000000001" customHeight="1" x14ac:dyDescent="0.2">
      <c r="A994" s="127">
        <f>'ALL Other SINs - Proposal'!A994</f>
        <v>0</v>
      </c>
      <c r="B994" s="121">
        <f>'ALL Other SINs - Proposal'!B994</f>
        <v>0</v>
      </c>
      <c r="C994" s="121">
        <f>'ALL Other SINs - Proposal'!C994</f>
        <v>0</v>
      </c>
      <c r="D994" s="121">
        <f>'ALL Other SINs - Proposal'!D994</f>
        <v>0</v>
      </c>
      <c r="E994" s="121">
        <f>'ALL Other SINs - Proposal'!E994</f>
        <v>0</v>
      </c>
      <c r="F994" s="171">
        <f>'ALL Other SINs - Proposal'!F994</f>
        <v>0</v>
      </c>
      <c r="G994" s="51">
        <f>'ALL Other SINs - Proposal'!G994</f>
        <v>0</v>
      </c>
      <c r="H994" s="125">
        <f>'ALL Other SINs - Proposal'!H994</f>
        <v>0</v>
      </c>
      <c r="I994" s="125">
        <f>'ALL Other SINs - Proposal'!I994</f>
        <v>0</v>
      </c>
      <c r="J994" s="125">
        <f>'ALL Other SINs - Proposal'!J994</f>
        <v>0</v>
      </c>
      <c r="K994" s="125">
        <f>'ALL Other SINs - Proposal'!K994</f>
        <v>0</v>
      </c>
      <c r="L994" s="125">
        <f>'ALL Other SINs - Proposal'!L994</f>
        <v>0</v>
      </c>
      <c r="M994" s="206">
        <f>'ALL Other SINs - Proposal'!M994</f>
        <v>0</v>
      </c>
      <c r="N994" s="251">
        <f>'ALL Other SINs - Proposal'!V994</f>
        <v>0</v>
      </c>
      <c r="O994" s="201" t="str">
        <f>'Price Analysis'!N994</f>
        <v xml:space="preserve"> </v>
      </c>
      <c r="P994" s="53" t="str">
        <f>IF(ISBLANK('ALL Other SINs - Proposal'!AA994)," ",'ALL Other SINs - Proposal'!AA994)</f>
        <v xml:space="preserve"> </v>
      </c>
      <c r="Q994" s="95" t="str">
        <f>'ALL Other SINs - Proposal'!AC994</f>
        <v xml:space="preserve"> </v>
      </c>
      <c r="R994" s="100" t="str">
        <f>IF(ISBLANK('ALL Other SINs - Proposal'!AA994)," ",ROUND(Q994,2))</f>
        <v xml:space="preserve"> </v>
      </c>
      <c r="S994" s="54"/>
    </row>
    <row r="995" spans="1:19" ht="20.100000000000001" customHeight="1" x14ac:dyDescent="0.2">
      <c r="A995" s="127">
        <f>'ALL Other SINs - Proposal'!A995</f>
        <v>0</v>
      </c>
      <c r="B995" s="121">
        <f>'ALL Other SINs - Proposal'!B995</f>
        <v>0</v>
      </c>
      <c r="C995" s="121">
        <f>'ALL Other SINs - Proposal'!C995</f>
        <v>0</v>
      </c>
      <c r="D995" s="121">
        <f>'ALL Other SINs - Proposal'!D995</f>
        <v>0</v>
      </c>
      <c r="E995" s="121">
        <f>'ALL Other SINs - Proposal'!E995</f>
        <v>0</v>
      </c>
      <c r="F995" s="171">
        <f>'ALL Other SINs - Proposal'!F995</f>
        <v>0</v>
      </c>
      <c r="G995" s="51">
        <f>'ALL Other SINs - Proposal'!G995</f>
        <v>0</v>
      </c>
      <c r="H995" s="125">
        <f>'ALL Other SINs - Proposal'!H995</f>
        <v>0</v>
      </c>
      <c r="I995" s="125">
        <f>'ALL Other SINs - Proposal'!I995</f>
        <v>0</v>
      </c>
      <c r="J995" s="125">
        <f>'ALL Other SINs - Proposal'!J995</f>
        <v>0</v>
      </c>
      <c r="K995" s="125">
        <f>'ALL Other SINs - Proposal'!K995</f>
        <v>0</v>
      </c>
      <c r="L995" s="125">
        <f>'ALL Other SINs - Proposal'!L995</f>
        <v>0</v>
      </c>
      <c r="M995" s="206">
        <f>'ALL Other SINs - Proposal'!M995</f>
        <v>0</v>
      </c>
      <c r="N995" s="251">
        <f>'ALL Other SINs - Proposal'!V995</f>
        <v>0</v>
      </c>
      <c r="O995" s="201" t="str">
        <f>'Price Analysis'!N995</f>
        <v xml:space="preserve"> </v>
      </c>
      <c r="P995" s="53" t="str">
        <f>IF(ISBLANK('ALL Other SINs - Proposal'!AA995)," ",'ALL Other SINs - Proposal'!AA995)</f>
        <v xml:space="preserve"> </v>
      </c>
      <c r="Q995" s="95" t="str">
        <f>'ALL Other SINs - Proposal'!AC995</f>
        <v xml:space="preserve"> </v>
      </c>
      <c r="R995" s="100" t="str">
        <f>IF(ISBLANK('ALL Other SINs - Proposal'!AA995)," ",ROUND(Q995,2))</f>
        <v xml:space="preserve"> </v>
      </c>
      <c r="S995" s="54"/>
    </row>
    <row r="996" spans="1:19" ht="20.100000000000001" customHeight="1" x14ac:dyDescent="0.2">
      <c r="A996" s="127">
        <f>'ALL Other SINs - Proposal'!A996</f>
        <v>0</v>
      </c>
      <c r="B996" s="121">
        <f>'ALL Other SINs - Proposal'!B996</f>
        <v>0</v>
      </c>
      <c r="C996" s="121">
        <f>'ALL Other SINs - Proposal'!C996</f>
        <v>0</v>
      </c>
      <c r="D996" s="121">
        <f>'ALL Other SINs - Proposal'!D996</f>
        <v>0</v>
      </c>
      <c r="E996" s="121">
        <f>'ALL Other SINs - Proposal'!E996</f>
        <v>0</v>
      </c>
      <c r="F996" s="171">
        <f>'ALL Other SINs - Proposal'!F996</f>
        <v>0</v>
      </c>
      <c r="G996" s="51">
        <f>'ALL Other SINs - Proposal'!G996</f>
        <v>0</v>
      </c>
      <c r="H996" s="125">
        <f>'ALL Other SINs - Proposal'!H996</f>
        <v>0</v>
      </c>
      <c r="I996" s="125">
        <f>'ALL Other SINs - Proposal'!I996</f>
        <v>0</v>
      </c>
      <c r="J996" s="125">
        <f>'ALL Other SINs - Proposal'!J996</f>
        <v>0</v>
      </c>
      <c r="K996" s="125">
        <f>'ALL Other SINs - Proposal'!K996</f>
        <v>0</v>
      </c>
      <c r="L996" s="125">
        <f>'ALL Other SINs - Proposal'!L996</f>
        <v>0</v>
      </c>
      <c r="M996" s="206">
        <f>'ALL Other SINs - Proposal'!M996</f>
        <v>0</v>
      </c>
      <c r="N996" s="251">
        <f>'ALL Other SINs - Proposal'!V996</f>
        <v>0</v>
      </c>
      <c r="O996" s="201" t="str">
        <f>'Price Analysis'!N996</f>
        <v xml:space="preserve"> </v>
      </c>
      <c r="P996" s="53" t="str">
        <f>IF(ISBLANK('ALL Other SINs - Proposal'!AA996)," ",'ALL Other SINs - Proposal'!AA996)</f>
        <v xml:space="preserve"> </v>
      </c>
      <c r="Q996" s="95" t="str">
        <f>'ALL Other SINs - Proposal'!AC996</f>
        <v xml:space="preserve"> </v>
      </c>
      <c r="R996" s="100" t="str">
        <f>IF(ISBLANK('ALL Other SINs - Proposal'!AA996)," ",ROUND(Q996,2))</f>
        <v xml:space="preserve"> </v>
      </c>
      <c r="S996" s="54"/>
    </row>
    <row r="997" spans="1:19" ht="20.100000000000001" customHeight="1" x14ac:dyDescent="0.2">
      <c r="A997" s="127">
        <f>'ALL Other SINs - Proposal'!A997</f>
        <v>0</v>
      </c>
      <c r="B997" s="121">
        <f>'ALL Other SINs - Proposal'!B997</f>
        <v>0</v>
      </c>
      <c r="C997" s="121">
        <f>'ALL Other SINs - Proposal'!C997</f>
        <v>0</v>
      </c>
      <c r="D997" s="121">
        <f>'ALL Other SINs - Proposal'!D997</f>
        <v>0</v>
      </c>
      <c r="E997" s="121">
        <f>'ALL Other SINs - Proposal'!E997</f>
        <v>0</v>
      </c>
      <c r="F997" s="171">
        <f>'ALL Other SINs - Proposal'!F997</f>
        <v>0</v>
      </c>
      <c r="G997" s="51">
        <f>'ALL Other SINs - Proposal'!G997</f>
        <v>0</v>
      </c>
      <c r="H997" s="125">
        <f>'ALL Other SINs - Proposal'!H997</f>
        <v>0</v>
      </c>
      <c r="I997" s="125">
        <f>'ALL Other SINs - Proposal'!I997</f>
        <v>0</v>
      </c>
      <c r="J997" s="125">
        <f>'ALL Other SINs - Proposal'!J997</f>
        <v>0</v>
      </c>
      <c r="K997" s="125">
        <f>'ALL Other SINs - Proposal'!K997</f>
        <v>0</v>
      </c>
      <c r="L997" s="125">
        <f>'ALL Other SINs - Proposal'!L997</f>
        <v>0</v>
      </c>
      <c r="M997" s="206">
        <f>'ALL Other SINs - Proposal'!M997</f>
        <v>0</v>
      </c>
      <c r="N997" s="251">
        <f>'ALL Other SINs - Proposal'!V997</f>
        <v>0</v>
      </c>
      <c r="O997" s="201" t="str">
        <f>'Price Analysis'!N997</f>
        <v xml:space="preserve"> </v>
      </c>
      <c r="P997" s="53" t="str">
        <f>IF(ISBLANK('ALL Other SINs - Proposal'!AA997)," ",'ALL Other SINs - Proposal'!AA997)</f>
        <v xml:space="preserve"> </v>
      </c>
      <c r="Q997" s="95" t="str">
        <f>'ALL Other SINs - Proposal'!AC997</f>
        <v xml:space="preserve"> </v>
      </c>
      <c r="R997" s="100" t="str">
        <f>IF(ISBLANK('ALL Other SINs - Proposal'!AA997)," ",ROUND(Q997,2))</f>
        <v xml:space="preserve"> </v>
      </c>
      <c r="S997" s="54"/>
    </row>
    <row r="998" spans="1:19" ht="20.100000000000001" customHeight="1" x14ac:dyDescent="0.2">
      <c r="A998" s="127">
        <f>'ALL Other SINs - Proposal'!A998</f>
        <v>0</v>
      </c>
      <c r="B998" s="121">
        <f>'ALL Other SINs - Proposal'!B998</f>
        <v>0</v>
      </c>
      <c r="C998" s="121">
        <f>'ALL Other SINs - Proposal'!C998</f>
        <v>0</v>
      </c>
      <c r="D998" s="121">
        <f>'ALL Other SINs - Proposal'!D998</f>
        <v>0</v>
      </c>
      <c r="E998" s="121">
        <f>'ALL Other SINs - Proposal'!E998</f>
        <v>0</v>
      </c>
      <c r="F998" s="171">
        <f>'ALL Other SINs - Proposal'!F998</f>
        <v>0</v>
      </c>
      <c r="G998" s="51">
        <f>'ALL Other SINs - Proposal'!G998</f>
        <v>0</v>
      </c>
      <c r="H998" s="125">
        <f>'ALL Other SINs - Proposal'!H998</f>
        <v>0</v>
      </c>
      <c r="I998" s="125">
        <f>'ALL Other SINs - Proposal'!I998</f>
        <v>0</v>
      </c>
      <c r="J998" s="125">
        <f>'ALL Other SINs - Proposal'!J998</f>
        <v>0</v>
      </c>
      <c r="K998" s="125">
        <f>'ALL Other SINs - Proposal'!K998</f>
        <v>0</v>
      </c>
      <c r="L998" s="125">
        <f>'ALL Other SINs - Proposal'!L998</f>
        <v>0</v>
      </c>
      <c r="M998" s="206">
        <f>'ALL Other SINs - Proposal'!M998</f>
        <v>0</v>
      </c>
      <c r="N998" s="251">
        <f>'ALL Other SINs - Proposal'!V998</f>
        <v>0</v>
      </c>
      <c r="O998" s="201" t="str">
        <f>'Price Analysis'!N998</f>
        <v xml:space="preserve"> </v>
      </c>
      <c r="P998" s="53" t="str">
        <f>IF(ISBLANK('ALL Other SINs - Proposal'!AA998)," ",'ALL Other SINs - Proposal'!AA998)</f>
        <v xml:space="preserve"> </v>
      </c>
      <c r="Q998" s="95" t="str">
        <f>'ALL Other SINs - Proposal'!AC998</f>
        <v xml:space="preserve"> </v>
      </c>
      <c r="R998" s="100" t="str">
        <f>IF(ISBLANK('ALL Other SINs - Proposal'!AA998)," ",ROUND(Q998,2))</f>
        <v xml:space="preserve"> </v>
      </c>
      <c r="S998" s="54"/>
    </row>
    <row r="999" spans="1:19" ht="20.100000000000001" customHeight="1" x14ac:dyDescent="0.2">
      <c r="A999" s="127">
        <f>'ALL Other SINs - Proposal'!A999</f>
        <v>0</v>
      </c>
      <c r="B999" s="121">
        <f>'ALL Other SINs - Proposal'!B999</f>
        <v>0</v>
      </c>
      <c r="C999" s="121">
        <f>'ALL Other SINs - Proposal'!C999</f>
        <v>0</v>
      </c>
      <c r="D999" s="121">
        <f>'ALL Other SINs - Proposal'!D999</f>
        <v>0</v>
      </c>
      <c r="E999" s="121">
        <f>'ALL Other SINs - Proposal'!E999</f>
        <v>0</v>
      </c>
      <c r="F999" s="171">
        <f>'ALL Other SINs - Proposal'!F999</f>
        <v>0</v>
      </c>
      <c r="G999" s="51">
        <f>'ALL Other SINs - Proposal'!G999</f>
        <v>0</v>
      </c>
      <c r="H999" s="125">
        <f>'ALL Other SINs - Proposal'!H999</f>
        <v>0</v>
      </c>
      <c r="I999" s="125">
        <f>'ALL Other SINs - Proposal'!I999</f>
        <v>0</v>
      </c>
      <c r="J999" s="125">
        <f>'ALL Other SINs - Proposal'!J999</f>
        <v>0</v>
      </c>
      <c r="K999" s="125">
        <f>'ALL Other SINs - Proposal'!K999</f>
        <v>0</v>
      </c>
      <c r="L999" s="125">
        <f>'ALL Other SINs - Proposal'!L999</f>
        <v>0</v>
      </c>
      <c r="M999" s="206">
        <f>'ALL Other SINs - Proposal'!M999</f>
        <v>0</v>
      </c>
      <c r="N999" s="251">
        <f>'ALL Other SINs - Proposal'!V999</f>
        <v>0</v>
      </c>
      <c r="O999" s="201" t="str">
        <f>'Price Analysis'!N999</f>
        <v xml:space="preserve"> </v>
      </c>
      <c r="P999" s="53" t="str">
        <f>IF(ISBLANK('ALL Other SINs - Proposal'!AA999)," ",'ALL Other SINs - Proposal'!AA999)</f>
        <v xml:space="preserve"> </v>
      </c>
      <c r="Q999" s="95" t="str">
        <f>'ALL Other SINs - Proposal'!AC999</f>
        <v xml:space="preserve"> </v>
      </c>
      <c r="R999" s="100" t="str">
        <f>IF(ISBLANK('ALL Other SINs - Proposal'!AA999)," ",ROUND(Q999,2))</f>
        <v xml:space="preserve"> </v>
      </c>
      <c r="S999" s="54"/>
    </row>
    <row r="1000" spans="1:19" ht="20.100000000000001" customHeight="1" x14ac:dyDescent="0.2">
      <c r="A1000" s="127">
        <f>'ALL Other SINs - Proposal'!A1000</f>
        <v>0</v>
      </c>
      <c r="B1000" s="121">
        <f>'ALL Other SINs - Proposal'!B1000</f>
        <v>0</v>
      </c>
      <c r="C1000" s="121">
        <f>'ALL Other SINs - Proposal'!C1000</f>
        <v>0</v>
      </c>
      <c r="D1000" s="121">
        <f>'ALL Other SINs - Proposal'!D1000</f>
        <v>0</v>
      </c>
      <c r="E1000" s="121">
        <f>'ALL Other SINs - Proposal'!E1000</f>
        <v>0</v>
      </c>
      <c r="F1000" s="171">
        <f>'ALL Other SINs - Proposal'!F1000</f>
        <v>0</v>
      </c>
      <c r="G1000" s="51">
        <f>'ALL Other SINs - Proposal'!G1000</f>
        <v>0</v>
      </c>
      <c r="H1000" s="125">
        <f>'ALL Other SINs - Proposal'!H1000</f>
        <v>0</v>
      </c>
      <c r="I1000" s="125">
        <f>'ALL Other SINs - Proposal'!I1000</f>
        <v>0</v>
      </c>
      <c r="J1000" s="125">
        <f>'ALL Other SINs - Proposal'!J1000</f>
        <v>0</v>
      </c>
      <c r="K1000" s="125">
        <f>'ALL Other SINs - Proposal'!K1000</f>
        <v>0</v>
      </c>
      <c r="L1000" s="125">
        <f>'ALL Other SINs - Proposal'!L1000</f>
        <v>0</v>
      </c>
      <c r="M1000" s="206">
        <f>'ALL Other SINs - Proposal'!M1000</f>
        <v>0</v>
      </c>
      <c r="N1000" s="251">
        <f>'ALL Other SINs - Proposal'!V1000</f>
        <v>0</v>
      </c>
      <c r="O1000" s="201" t="str">
        <f>'Price Analysis'!N1000</f>
        <v xml:space="preserve"> </v>
      </c>
      <c r="P1000" s="53" t="str">
        <f>IF(ISBLANK('ALL Other SINs - Proposal'!AA1000)," ",'ALL Other SINs - Proposal'!AA1000)</f>
        <v xml:space="preserve"> </v>
      </c>
      <c r="Q1000" s="95" t="str">
        <f>'ALL Other SINs - Proposal'!AC1000</f>
        <v xml:space="preserve"> </v>
      </c>
      <c r="R1000" s="100" t="str">
        <f>IF(ISBLANK('ALL Other SINs - Proposal'!AA1000)," ",ROUND(Q1000,2))</f>
        <v xml:space="preserve"> </v>
      </c>
      <c r="S1000" s="54"/>
    </row>
    <row r="1001" spans="1:19" ht="20.100000000000001" customHeight="1" x14ac:dyDescent="0.2">
      <c r="A1001" s="127">
        <f>'ALL Other SINs - Proposal'!A1001</f>
        <v>0</v>
      </c>
      <c r="B1001" s="121">
        <f>'ALL Other SINs - Proposal'!B1001</f>
        <v>0</v>
      </c>
      <c r="C1001" s="121">
        <f>'ALL Other SINs - Proposal'!C1001</f>
        <v>0</v>
      </c>
      <c r="D1001" s="121">
        <f>'ALL Other SINs - Proposal'!D1001</f>
        <v>0</v>
      </c>
      <c r="E1001" s="121">
        <f>'ALL Other SINs - Proposal'!E1001</f>
        <v>0</v>
      </c>
      <c r="F1001" s="171">
        <f>'ALL Other SINs - Proposal'!F1001</f>
        <v>0</v>
      </c>
      <c r="G1001" s="51">
        <f>'ALL Other SINs - Proposal'!G1001</f>
        <v>0</v>
      </c>
      <c r="H1001" s="125">
        <f>'ALL Other SINs - Proposal'!H1001</f>
        <v>0</v>
      </c>
      <c r="I1001" s="125">
        <f>'ALL Other SINs - Proposal'!I1001</f>
        <v>0</v>
      </c>
      <c r="J1001" s="125">
        <f>'ALL Other SINs - Proposal'!J1001</f>
        <v>0</v>
      </c>
      <c r="K1001" s="125">
        <f>'ALL Other SINs - Proposal'!K1001</f>
        <v>0</v>
      </c>
      <c r="L1001" s="125">
        <f>'ALL Other SINs - Proposal'!L1001</f>
        <v>0</v>
      </c>
      <c r="M1001" s="206">
        <f>'ALL Other SINs - Proposal'!M1001</f>
        <v>0</v>
      </c>
      <c r="N1001" s="251">
        <f>'ALL Other SINs - Proposal'!V1001</f>
        <v>0</v>
      </c>
      <c r="O1001" s="201" t="str">
        <f>'Price Analysis'!N1001</f>
        <v xml:space="preserve"> </v>
      </c>
      <c r="P1001" s="53" t="str">
        <f>IF(ISBLANK('ALL Other SINs - Proposal'!AA1001)," ",'ALL Other SINs - Proposal'!AA1001)</f>
        <v xml:space="preserve"> </v>
      </c>
      <c r="Q1001" s="95" t="str">
        <f>'ALL Other SINs - Proposal'!AC1001</f>
        <v xml:space="preserve"> </v>
      </c>
      <c r="R1001" s="100" t="str">
        <f>IF(ISBLANK('ALL Other SINs - Proposal'!AA1001)," ",ROUND(Q1001,2))</f>
        <v xml:space="preserve"> </v>
      </c>
      <c r="S1001" s="54"/>
    </row>
    <row r="1002" spans="1:19" s="56" customFormat="1" ht="20.100000000000001" customHeight="1" x14ac:dyDescent="0.2">
      <c r="A1002" s="128">
        <f>'ALL Other SINs - Proposal'!A1002</f>
        <v>0</v>
      </c>
      <c r="B1002" s="122">
        <f>'ALL Other SINs - Proposal'!B1002</f>
        <v>0</v>
      </c>
      <c r="C1002" s="122">
        <f>'ALL Other SINs - Proposal'!C1002</f>
        <v>0</v>
      </c>
      <c r="D1002" s="122">
        <f>'ALL Other SINs - Proposal'!D1002</f>
        <v>0</v>
      </c>
      <c r="E1002" s="122">
        <f>'ALL Other SINs - Proposal'!E1002</f>
        <v>0</v>
      </c>
      <c r="F1002" s="181">
        <f>'ALL Other SINs - Proposal'!F1002</f>
        <v>0</v>
      </c>
      <c r="G1002" s="103">
        <f>'ALL Other SINs - Proposal'!G1002</f>
        <v>0</v>
      </c>
      <c r="H1002" s="126">
        <f>'ALL Other SINs - Proposal'!H1002</f>
        <v>0</v>
      </c>
      <c r="I1002" s="126">
        <f>'ALL Other SINs - Proposal'!I1002</f>
        <v>0</v>
      </c>
      <c r="J1002" s="126">
        <f>'ALL Other SINs - Proposal'!J1002</f>
        <v>0</v>
      </c>
      <c r="K1002" s="126">
        <f>'ALL Other SINs - Proposal'!K1002</f>
        <v>0</v>
      </c>
      <c r="L1002" s="126">
        <f>'ALL Other SINs - Proposal'!L1002</f>
        <v>0</v>
      </c>
      <c r="M1002" s="207">
        <f>'ALL Other SINs - Proposal'!M1002</f>
        <v>0</v>
      </c>
      <c r="N1002" s="252">
        <f>'ALL Other SINs - Proposal'!V1002</f>
        <v>0</v>
      </c>
      <c r="O1002" s="202" t="str">
        <f>'Price Analysis'!N1002</f>
        <v xml:space="preserve"> </v>
      </c>
      <c r="P1002" s="55" t="str">
        <f>IF(ISBLANK('ALL Other SINs - Proposal'!AA1002)," ",'ALL Other SINs - Proposal'!AA1002)</f>
        <v xml:space="preserve"> </v>
      </c>
      <c r="Q1002" s="104" t="str">
        <f>'ALL Other SINs - Proposal'!AC1002</f>
        <v xml:space="preserve"> </v>
      </c>
      <c r="R1002" s="101" t="str">
        <f>IF(ISBLANK('ALL Other SINs - Proposal'!AA1002)," ",ROUND(Q1002,2))</f>
        <v xml:space="preserve"> </v>
      </c>
      <c r="S1002" s="54"/>
    </row>
  </sheetData>
  <sheetProtection algorithmName="SHA-512" hashValue="t8hnSjuAB2DZzGvPdsJQPAAkebubTtOnjudAfiyDPF7hYM+sCpVVuA8DN/MK7VWWdMOCtb7ROPVI3COAuBK77A==" saltValue="lXXbjrg+CFGSuYtJ36nIPw==" spinCount="100000" sheet="1" objects="1" scenarios="1" formatCells="0" formatColumns="0" formatRows="0" insertHyperlinks="0" sort="0" autoFilter="0" pivotTables="0"/>
  <conditionalFormatting sqref="A3:N1002">
    <cfRule type="cellIs" dxfId="0" priority="1" stopIfTrue="1" operator="equal">
      <formula>0</formula>
    </cfRule>
  </conditionalFormatting>
  <pageMargins left="0.25" right="0.25" top="0.75" bottom="0.75" header="0.3" footer="0.3"/>
  <pageSetup scale="70" orientation="landscape" r:id="rId1"/>
  <headerFooter>
    <oddFooter>&amp;C&amp;"Calibri,Regular"65 I B - Awarded Pricing&amp;R&amp;"Calibri,Regular"Page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4A92DB-3DDB-4463-A5CB-C1AF3D3DCBF3}">
  <ds:schemaRefs>
    <ds:schemaRef ds:uri="http://schemas.microsoft.com/sharepoint/v3/contenttype/forms"/>
  </ds:schemaRefs>
</ds:datastoreItem>
</file>

<file path=customXml/itemProps2.xml><?xml version="1.0" encoding="utf-8"?>
<ds:datastoreItem xmlns:ds="http://schemas.openxmlformats.org/officeDocument/2006/customXml" ds:itemID="{C6037F4C-8C09-4C54-BBDB-8286FEAF0B8A}">
  <ds:schemaRefs>
    <ds:schemaRef ds:uri="http://schemas.microsoft.com/office/2006/documentManagement/types"/>
    <ds:schemaRef ds:uri="http://purl.org/dc/elements/1.1/"/>
    <ds:schemaRef ds:uri="http://purl.org/dc/terms/"/>
    <ds:schemaRef ds:uri="http://schemas.microsoft.com/office/infopath/2007/PartnerControls"/>
    <ds:schemaRef ds:uri="http://www.w3.org/XML/1998/namespace"/>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127B49AC-EFC3-487D-A810-FD0400B2DC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ALL Other SINs - Proposal</vt:lpstr>
      <vt:lpstr>Definitions &amp; Examples</vt:lpstr>
      <vt:lpstr>Country Codes</vt:lpstr>
      <vt:lpstr>Figure 515.4-2 CSP-1</vt:lpstr>
      <vt:lpstr>ManufPlaceOfPerf</vt:lpstr>
      <vt:lpstr>NonManufacturers</vt:lpstr>
      <vt:lpstr>Price Analysis</vt:lpstr>
      <vt:lpstr>Award</vt:lpstr>
      <vt:lpstr>'ALL Other SINs - Proposal'!Print_Area</vt:lpstr>
      <vt:lpstr>Award!Print_Area</vt:lpstr>
      <vt:lpstr>'Figure 515.4-2 CSP-1'!Print_Area</vt:lpstr>
      <vt:lpstr>ManufPlaceOfPerf!Print_Area</vt:lpstr>
      <vt:lpstr>NonManufacturers!Print_Area</vt:lpstr>
      <vt:lpstr>'ALL Other SINs - Proposal'!Print_Titles</vt:lpstr>
      <vt:lpstr>Award!Print_Titles</vt:lpstr>
      <vt:lpstr>'Country Codes'!Print_Titles</vt:lpstr>
      <vt:lpstr>'Price Analysis'!Print_Titles</vt:lpstr>
    </vt:vector>
  </TitlesOfParts>
  <Company>Department of Veterans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 Employee</dc:creator>
  <cp:lastModifiedBy>Gordon, Kevin (FEDPARTNERS LLC)</cp:lastModifiedBy>
  <cp:lastPrinted>2019-07-17T14:06:20Z</cp:lastPrinted>
  <dcterms:created xsi:type="dcterms:W3CDTF">2007-08-15T15:18:38Z</dcterms:created>
  <dcterms:modified xsi:type="dcterms:W3CDTF">2026-04-02T13:17:49Z</dcterms:modified>
</cp:coreProperties>
</file>