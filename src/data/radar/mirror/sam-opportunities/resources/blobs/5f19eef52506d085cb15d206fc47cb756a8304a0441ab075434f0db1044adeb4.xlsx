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kira.Hayashida.JA\OneDrive - US Navy-flankspeed\aSHARED\1. Ship Team Reference\01_Templates &amp; Sample Forms\04_Proposal Breakdown Sheet\FY26\"/>
    </mc:Choice>
  </mc:AlternateContent>
  <xr:revisionPtr revIDLastSave="0" documentId="11_F0F1E324BC2352CFEB71AEDD1F91961BDDA8E53C" xr6:coauthVersionLast="47" xr6:coauthVersionMax="47" xr10:uidLastSave="{00000000-0000-0000-0000-000000000000}"/>
  <bookViews>
    <workbookView xWindow="0" yWindow="7575" windowWidth="19200" windowHeight="6330" tabRatio="717" xr2:uid="{00000000-000D-0000-FFFF-FFFF00000000}"/>
  </bookViews>
  <sheets>
    <sheet name="CLIN 000x" sheetId="4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45" l="1"/>
  <c r="H69" i="45"/>
  <c r="H68" i="45"/>
  <c r="H67" i="45"/>
  <c r="H66" i="45"/>
  <c r="H65" i="45"/>
  <c r="H64" i="45"/>
  <c r="H63" i="45"/>
  <c r="H62" i="45"/>
  <c r="H61" i="45"/>
  <c r="H55" i="45"/>
  <c r="H54" i="45"/>
  <c r="H53" i="45"/>
  <c r="H52" i="45"/>
  <c r="H51" i="45"/>
  <c r="H50" i="45"/>
  <c r="H49" i="45"/>
  <c r="H48" i="45"/>
  <c r="H47" i="45"/>
  <c r="H46" i="45"/>
  <c r="G27" i="45"/>
  <c r="H27" i="45" s="1"/>
  <c r="G26" i="45"/>
  <c r="H26" i="45" s="1"/>
  <c r="G25" i="45"/>
  <c r="H25" i="45" s="1"/>
  <c r="G24" i="45"/>
  <c r="H24" i="45" s="1"/>
  <c r="B72" i="45" l="1"/>
  <c r="B57" i="45"/>
  <c r="G39" i="45" l="1"/>
  <c r="H39" i="45" s="1"/>
  <c r="G38" i="45"/>
  <c r="H38" i="45" s="1"/>
  <c r="G37" i="45"/>
  <c r="H37" i="45" s="1"/>
  <c r="G36" i="45"/>
  <c r="H36" i="45" s="1"/>
  <c r="G35" i="45"/>
  <c r="H35" i="45" s="1"/>
  <c r="G34" i="45"/>
  <c r="G30" i="45"/>
  <c r="H30" i="45" s="1"/>
  <c r="G29" i="45"/>
  <c r="H29" i="45" s="1"/>
  <c r="G28" i="45"/>
  <c r="H28" i="45" s="1"/>
  <c r="G23" i="45"/>
  <c r="H23" i="45" s="1"/>
  <c r="G22" i="45"/>
  <c r="H22" i="45" s="1"/>
  <c r="G21" i="45"/>
  <c r="H21" i="45" s="1"/>
  <c r="G20" i="45"/>
  <c r="H20" i="45" s="1"/>
  <c r="G19" i="45"/>
  <c r="H19" i="45" s="1"/>
  <c r="G18" i="45"/>
  <c r="H18" i="45" s="1"/>
  <c r="G17" i="45"/>
  <c r="H17" i="45" s="1"/>
  <c r="G16" i="45"/>
  <c r="H16" i="45" s="1"/>
  <c r="G15" i="45"/>
  <c r="G31" i="45" l="1"/>
  <c r="G40" i="45"/>
  <c r="H34" i="45"/>
  <c r="H40" i="45" s="1"/>
  <c r="H15" i="45"/>
  <c r="H31" i="45" s="1"/>
  <c r="G92" i="45"/>
  <c r="G93" i="45"/>
  <c r="G41" i="45" l="1"/>
  <c r="B83" i="45" s="1"/>
  <c r="H41" i="45"/>
  <c r="B41" i="45" s="1"/>
  <c r="B80" i="45" s="1"/>
  <c r="B89" i="45"/>
  <c r="B90" i="45" s="1"/>
  <c r="B86" i="45" l="1"/>
  <c r="B92" i="45" s="1"/>
  <c r="B93" i="45" s="1"/>
  <c r="B87" i="45" l="1"/>
</calcChain>
</file>

<file path=xl/sharedStrings.xml><?xml version="1.0" encoding="utf-8"?>
<sst xmlns="http://schemas.openxmlformats.org/spreadsheetml/2006/main" count="89" uniqueCount="75">
  <si>
    <t>FY26 Proposal Breakdown Sheet</t>
  </si>
  <si>
    <t>Date</t>
  </si>
  <si>
    <t>Availability / Ship</t>
  </si>
  <si>
    <t xml:space="preserve">USS </t>
  </si>
  <si>
    <t>Solicitation / Contract No:</t>
  </si>
  <si>
    <t>SRF-JRMC SPEC No:</t>
  </si>
  <si>
    <t>38xxxxxxxx-xx-Axx</t>
  </si>
  <si>
    <t>Brief Description</t>
  </si>
  <si>
    <t>Name of Firm</t>
  </si>
  <si>
    <t>Prepared By</t>
  </si>
  <si>
    <t>CLIN No.</t>
  </si>
  <si>
    <t>000x</t>
  </si>
  <si>
    <t>In-House Labor Cost</t>
  </si>
  <si>
    <t>Work Item</t>
  </si>
  <si>
    <t>Labor Rate</t>
  </si>
  <si>
    <t>Number of Personnel</t>
  </si>
  <si>
    <t>Hours Per Day</t>
  </si>
  <si>
    <t>Number of Days</t>
  </si>
  <si>
    <t>Additional Hours</t>
  </si>
  <si>
    <t>Labor 
Hours</t>
  </si>
  <si>
    <t>Cost (¥)</t>
  </si>
  <si>
    <t>Remarks</t>
  </si>
  <si>
    <t>Total In-House Labor hours and cost</t>
  </si>
  <si>
    <t>Sub-Contractor Labor Cost</t>
  </si>
  <si>
    <t>Remarks / Sub Contractor Name</t>
  </si>
  <si>
    <t>Total Sub-Contractor Labor hours and cost</t>
  </si>
  <si>
    <t>Average
Labor Rate (¥)</t>
  </si>
  <si>
    <t>Total Labor Hours and Cost</t>
  </si>
  <si>
    <t>Material Cost</t>
  </si>
  <si>
    <t>Description</t>
  </si>
  <si>
    <t>Quantity</t>
  </si>
  <si>
    <t>Unit of 
Issue</t>
  </si>
  <si>
    <t>Unit Price (¥)</t>
  </si>
  <si>
    <t>Extended 
Price (¥)</t>
  </si>
  <si>
    <t>Remarks / Source of Estimate</t>
  </si>
  <si>
    <t>case</t>
  </si>
  <si>
    <t>cm</t>
  </si>
  <si>
    <t>day</t>
  </si>
  <si>
    <t>each</t>
  </si>
  <si>
    <t>foot</t>
  </si>
  <si>
    <t>hours</t>
  </si>
  <si>
    <t>kg</t>
  </si>
  <si>
    <t>lb</t>
  </si>
  <si>
    <t>lift</t>
  </si>
  <si>
    <t>lot</t>
  </si>
  <si>
    <t>meter</t>
  </si>
  <si>
    <t>package</t>
  </si>
  <si>
    <t xml:space="preserve">Total Material Cost </t>
  </si>
  <si>
    <t xml:space="preserve">roll </t>
  </si>
  <si>
    <t xml:space="preserve">set </t>
  </si>
  <si>
    <t>Other Cost</t>
  </si>
  <si>
    <t>ton</t>
  </si>
  <si>
    <t>unit</t>
  </si>
  <si>
    <t>kit</t>
  </si>
  <si>
    <t>gallon</t>
  </si>
  <si>
    <t>Total Other Cost</t>
  </si>
  <si>
    <t>Remarks (Optional)</t>
  </si>
  <si>
    <t>Average Labor Rate</t>
  </si>
  <si>
    <t>Total Labor Hours</t>
  </si>
  <si>
    <t>Total Labor Cost</t>
  </si>
  <si>
    <t>Total Material / Other Cost</t>
  </si>
  <si>
    <t>Grand Total for Proposal Evaluation</t>
  </si>
  <si>
    <t>FY26 Budget Exchange Rate (BER)</t>
  </si>
  <si>
    <t>LCU</t>
  </si>
  <si>
    <t>USS AMERICA (LHA-6)</t>
  </si>
  <si>
    <t>USS ASHLAND (LSD-48)</t>
  </si>
  <si>
    <t>USS CHIEF (MCM-14)</t>
  </si>
  <si>
    <t>USS GREEN BAY (LPD-20)</t>
  </si>
  <si>
    <t>USS NEW ORLEANS (LPD-18)</t>
  </si>
  <si>
    <t>USS PATRIOT (MCM-7)</t>
  </si>
  <si>
    <t>USS PIONEER (MCM-9)</t>
  </si>
  <si>
    <t>USS RAFAEL PERALTA (DDG-115)</t>
  </si>
  <si>
    <t>USS RUSHMORE (LSD-47)</t>
  </si>
  <si>
    <t>USS SHILOH (CG-67)</t>
  </si>
  <si>
    <t>USS WARRIOR (MCM-10)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</si>
</sst>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0"/>
    <numFmt numFmtId="166" formatCode="\¥#,##0_);[Red]\(\¥#,##0\)"/>
    <numFmt numFmtId="167" formatCode="[$¥-411]#,##0"/>
    <numFmt numFmtId="168" formatCode="#,##0.0"/>
    <numFmt numFmtId="169" formatCode="[$¥-411]#,##0;[Red]\-[$¥-411]#,##0"/>
  </numFmts>
  <fonts count="12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b/>
      <sz val="16"/>
      <name val="Arial"/>
      <family val="2"/>
    </font>
    <font>
      <b/>
      <sz val="25"/>
      <name val="Arial"/>
      <family val="2"/>
    </font>
    <font>
      <sz val="18"/>
      <color theme="0" tint="-0.34998626667073579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Border="1" applyAlignment="1" applyProtection="1">
      <alignment horizontal="left" vertical="center"/>
      <protection locked="0"/>
    </xf>
    <xf numFmtId="0" fontId="2" fillId="0" borderId="4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vertical="center"/>
      <protection locked="0"/>
    </xf>
    <xf numFmtId="164" fontId="3" fillId="0" borderId="0" xfId="1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7" xfId="0" applyFont="1" applyFill="1" applyBorder="1" applyAlignment="1">
      <alignment vertical="center"/>
    </xf>
    <xf numFmtId="166" fontId="2" fillId="2" borderId="4" xfId="0" applyNumberFormat="1" applyFont="1" applyFill="1" applyBorder="1" applyAlignment="1" applyProtection="1">
      <alignment horizontal="center" vertical="center"/>
    </xf>
    <xf numFmtId="167" fontId="3" fillId="0" borderId="16" xfId="0" applyNumberFormat="1" applyFont="1" applyBorder="1" applyAlignment="1" applyProtection="1">
      <alignment horizontal="center" vertical="center"/>
      <protection locked="0"/>
    </xf>
    <xf numFmtId="167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Alignment="1">
      <alignment vertical="center"/>
    </xf>
    <xf numFmtId="168" fontId="3" fillId="0" borderId="1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8" fontId="3" fillId="0" borderId="6" xfId="0" applyNumberFormat="1" applyFont="1" applyBorder="1" applyAlignment="1" applyProtection="1">
      <alignment horizontal="center" vertical="center"/>
      <protection locked="0"/>
    </xf>
    <xf numFmtId="168" fontId="3" fillId="0" borderId="2" xfId="0" applyNumberFormat="1" applyFont="1" applyBorder="1" applyAlignment="1" applyProtection="1">
      <alignment horizontal="center" vertical="center"/>
      <protection locked="0"/>
    </xf>
    <xf numFmtId="168" fontId="3" fillId="0" borderId="3" xfId="0" applyNumberFormat="1" applyFont="1" applyBorder="1" applyAlignment="1" applyProtection="1">
      <alignment horizontal="center" vertical="center"/>
      <protection locked="0"/>
    </xf>
    <xf numFmtId="38" fontId="3" fillId="0" borderId="3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left" vertical="center"/>
      <protection locked="0"/>
    </xf>
    <xf numFmtId="167" fontId="3" fillId="0" borderId="0" xfId="0" applyNumberFormat="1" applyFont="1" applyBorder="1" applyAlignment="1" applyProtection="1">
      <alignment horizontal="center" vertical="center"/>
      <protection locked="0"/>
    </xf>
    <xf numFmtId="38" fontId="3" fillId="0" borderId="32" xfId="0" applyNumberFormat="1" applyFont="1" applyBorder="1" applyAlignment="1" applyProtection="1">
      <alignment horizontal="center" vertical="center"/>
      <protection locked="0"/>
    </xf>
    <xf numFmtId="38" fontId="2" fillId="2" borderId="4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 applyProtection="1">
      <alignment horizontal="center" vertical="center"/>
      <protection locked="0"/>
    </xf>
    <xf numFmtId="38" fontId="3" fillId="0" borderId="1" xfId="0" applyNumberFormat="1" applyFont="1" applyBorder="1" applyAlignment="1" applyProtection="1">
      <alignment horizontal="center" vertical="center"/>
      <protection locked="0"/>
    </xf>
    <xf numFmtId="38" fontId="3" fillId="0" borderId="5" xfId="0" applyNumberFormat="1" applyFont="1" applyBorder="1" applyAlignment="1" applyProtection="1">
      <alignment horizontal="center" vertical="center"/>
      <protection locked="0"/>
    </xf>
    <xf numFmtId="167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10" fillId="0" borderId="0" xfId="0" applyFont="1" applyAlignment="1">
      <alignment vertical="center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2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Fill="1" applyBorder="1" applyAlignment="1" applyProtection="1">
      <alignment vertical="center"/>
      <protection locked="0"/>
    </xf>
    <xf numFmtId="167" fontId="2" fillId="0" borderId="1" xfId="0" applyNumberFormat="1" applyFont="1" applyFill="1" applyBorder="1" applyAlignment="1" applyProtection="1">
      <alignment horizontal="center" vertical="center"/>
      <protection locked="0"/>
    </xf>
    <xf numFmtId="167" fontId="2" fillId="0" borderId="2" xfId="0" applyNumberFormat="1" applyFont="1" applyFill="1" applyBorder="1" applyAlignment="1" applyProtection="1">
      <alignment horizontal="center" vertical="center"/>
      <protection locked="0"/>
    </xf>
    <xf numFmtId="167" fontId="2" fillId="0" borderId="3" xfId="0" applyNumberFormat="1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>
      <alignment horizontal="center" vertical="center"/>
    </xf>
    <xf numFmtId="38" fontId="3" fillId="0" borderId="2" xfId="0" applyNumberFormat="1" applyFont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vertical="center"/>
      <protection locked="0"/>
    </xf>
    <xf numFmtId="167" fontId="2" fillId="2" borderId="11" xfId="0" applyNumberFormat="1" applyFont="1" applyFill="1" applyBorder="1" applyAlignment="1" applyProtection="1">
      <alignment horizontal="center" vertical="center"/>
    </xf>
    <xf numFmtId="38" fontId="2" fillId="2" borderId="4" xfId="0" applyNumberFormat="1" applyFont="1" applyFill="1" applyBorder="1" applyAlignment="1" applyProtection="1">
      <alignment horizontal="center" vertical="center"/>
    </xf>
    <xf numFmtId="38" fontId="3" fillId="2" borderId="5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 applyProtection="1">
      <alignment horizontal="center" vertical="center"/>
    </xf>
    <xf numFmtId="38" fontId="3" fillId="2" borderId="2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 applyProtection="1">
      <alignment horizontal="center" vertical="center"/>
    </xf>
    <xf numFmtId="38" fontId="3" fillId="2" borderId="33" xfId="0" applyNumberFormat="1" applyFont="1" applyFill="1" applyBorder="1" applyAlignment="1">
      <alignment horizontal="center" vertical="center"/>
    </xf>
    <xf numFmtId="166" fontId="3" fillId="2" borderId="33" xfId="0" applyNumberFormat="1" applyFont="1" applyFill="1" applyBorder="1" applyAlignment="1" applyProtection="1">
      <alignment horizontal="center" vertical="center"/>
    </xf>
    <xf numFmtId="38" fontId="3" fillId="2" borderId="34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 applyProtection="1">
      <alignment horizontal="center" vertical="center"/>
    </xf>
    <xf numFmtId="166" fontId="3" fillId="2" borderId="1" xfId="0" applyNumberFormat="1" applyFont="1" applyFill="1" applyBorder="1" applyAlignment="1" applyProtection="1">
      <alignment horizontal="center" vertical="center"/>
    </xf>
    <xf numFmtId="166" fontId="3" fillId="2" borderId="3" xfId="0" applyNumberFormat="1" applyFont="1" applyFill="1" applyBorder="1" applyAlignment="1" applyProtection="1">
      <alignment horizontal="center" vertical="center"/>
    </xf>
    <xf numFmtId="0" fontId="9" fillId="3" borderId="4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1" fillId="0" borderId="4" xfId="0" applyFont="1" applyFill="1" applyBorder="1" applyAlignment="1" applyProtection="1">
      <alignment horizontal="left" vertical="center" wrapText="1"/>
    </xf>
    <xf numFmtId="165" fontId="9" fillId="0" borderId="10" xfId="0" applyNumberFormat="1" applyFont="1" applyFill="1" applyBorder="1" applyAlignment="1" applyProtection="1">
      <alignment horizontal="center" vertical="center"/>
    </xf>
    <xf numFmtId="165" fontId="9" fillId="0" borderId="12" xfId="0" applyNumberFormat="1" applyFont="1" applyFill="1" applyBorder="1" applyAlignment="1" applyProtection="1">
      <alignment horizontal="center" vertical="center"/>
    </xf>
    <xf numFmtId="0" fontId="2" fillId="0" borderId="18" xfId="0" applyNumberFormat="1" applyFont="1" applyFill="1" applyBorder="1" applyAlignment="1" applyProtection="1">
      <alignment horizontal="left" vertical="center"/>
      <protection locked="0"/>
    </xf>
    <xf numFmtId="0" fontId="2" fillId="0" borderId="19" xfId="0" applyNumberFormat="1" applyFont="1" applyFill="1" applyBorder="1" applyAlignment="1" applyProtection="1">
      <alignment horizontal="left" vertical="center"/>
      <protection locked="0"/>
    </xf>
    <xf numFmtId="0" fontId="2" fillId="0" borderId="20" xfId="0" applyNumberFormat="1" applyFont="1" applyFill="1" applyBorder="1" applyAlignment="1" applyProtection="1">
      <alignment horizontal="left" vertical="center"/>
      <protection locked="0"/>
    </xf>
    <xf numFmtId="14" fontId="2" fillId="0" borderId="17" xfId="0" applyNumberFormat="1" applyFont="1" applyBorder="1" applyAlignment="1" applyProtection="1">
      <alignment horizontal="left" vertical="center"/>
      <protection locked="0"/>
    </xf>
    <xf numFmtId="14" fontId="2" fillId="0" borderId="21" xfId="0" applyNumberFormat="1" applyFont="1" applyBorder="1" applyAlignment="1" applyProtection="1">
      <alignment horizontal="left" vertical="center"/>
      <protection locked="0"/>
    </xf>
    <xf numFmtId="14" fontId="2" fillId="0" borderId="22" xfId="0" applyNumberFormat="1" applyFont="1" applyBorder="1" applyAlignment="1" applyProtection="1">
      <alignment horizontal="left" vertical="center"/>
      <protection locked="0"/>
    </xf>
    <xf numFmtId="14" fontId="2" fillId="0" borderId="7" xfId="0" applyNumberFormat="1" applyFont="1" applyBorder="1" applyAlignment="1" applyProtection="1">
      <alignment horizontal="left" vertical="center"/>
      <protection locked="0"/>
    </xf>
    <xf numFmtId="14" fontId="2" fillId="0" borderId="13" xfId="0" applyNumberFormat="1" applyFont="1" applyBorder="1" applyAlignment="1" applyProtection="1">
      <alignment horizontal="left" vertical="center"/>
      <protection locked="0"/>
    </xf>
    <xf numFmtId="14" fontId="2" fillId="0" borderId="14" xfId="0" applyNumberFormat="1" applyFont="1" applyBorder="1" applyAlignment="1" applyProtection="1">
      <alignment horizontal="left" vertical="center"/>
      <protection locked="0"/>
    </xf>
    <xf numFmtId="0" fontId="2" fillId="0" borderId="7" xfId="0" applyNumberFormat="1" applyFont="1" applyFill="1" applyBorder="1" applyAlignment="1" applyProtection="1">
      <alignment horizontal="left" vertical="center"/>
      <protection locked="0"/>
    </xf>
    <xf numFmtId="0" fontId="2" fillId="0" borderId="13" xfId="0" applyNumberFormat="1" applyFont="1" applyFill="1" applyBorder="1" applyAlignment="1" applyProtection="1">
      <alignment horizontal="left" vertical="center"/>
      <protection locked="0"/>
    </xf>
    <xf numFmtId="0" fontId="2" fillId="0" borderId="14" xfId="0" applyNumberFormat="1" applyFont="1" applyFill="1" applyBorder="1" applyAlignment="1" applyProtection="1">
      <alignment horizontal="left" vertical="center"/>
      <protection locked="0"/>
    </xf>
    <xf numFmtId="0" fontId="2" fillId="0" borderId="7" xfId="0" applyNumberFormat="1" applyFont="1" applyBorder="1" applyAlignment="1" applyProtection="1">
      <alignment horizontal="left" vertical="center"/>
      <protection locked="0"/>
    </xf>
    <xf numFmtId="0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NumberFormat="1" applyFont="1" applyBorder="1" applyAlignment="1" applyProtection="1">
      <alignment horizontal="left" vertical="center"/>
      <protection locked="0"/>
    </xf>
    <xf numFmtId="0" fontId="2" fillId="0" borderId="7" xfId="0" applyNumberFormat="1" applyFont="1" applyBorder="1" applyAlignment="1" applyProtection="1">
      <alignment horizontal="left" vertical="center" wrapText="1"/>
      <protection locked="0"/>
    </xf>
    <xf numFmtId="0" fontId="2" fillId="0" borderId="13" xfId="0" applyNumberFormat="1" applyFont="1" applyBorder="1" applyAlignment="1" applyProtection="1">
      <alignment horizontal="left" vertical="center" wrapText="1"/>
      <protection locked="0"/>
    </xf>
    <xf numFmtId="0" fontId="2" fillId="0" borderId="14" xfId="0" applyNumberFormat="1" applyFont="1" applyBorder="1" applyAlignment="1" applyProtection="1">
      <alignment horizontal="left" vertical="center" wrapText="1"/>
      <protection locked="0"/>
    </xf>
    <xf numFmtId="49" fontId="2" fillId="0" borderId="10" xfId="0" quotePrefix="1" applyNumberFormat="1" applyFont="1" applyBorder="1" applyAlignment="1" applyProtection="1">
      <alignment horizontal="left" vertical="center"/>
      <protection locked="0"/>
    </xf>
    <xf numFmtId="49" fontId="2" fillId="0" borderId="11" xfId="0" quotePrefix="1" applyNumberFormat="1" applyFont="1" applyBorder="1" applyAlignment="1" applyProtection="1">
      <alignment horizontal="left" vertical="center"/>
      <protection locked="0"/>
    </xf>
    <xf numFmtId="49" fontId="2" fillId="0" borderId="11" xfId="0" applyNumberFormat="1" applyFont="1" applyBorder="1" applyAlignment="1" applyProtection="1">
      <alignment horizontal="left" vertical="center"/>
      <protection locked="0"/>
    </xf>
    <xf numFmtId="49" fontId="2" fillId="0" borderId="12" xfId="0" applyNumberFormat="1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35" xfId="0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 applyProtection="1">
      <alignment horizontal="center" vertical="center"/>
    </xf>
    <xf numFmtId="1" fontId="9" fillId="3" borderId="11" xfId="0" applyNumberFormat="1" applyFont="1" applyFill="1" applyBorder="1" applyAlignment="1" applyProtection="1">
      <alignment horizontal="center" vertical="center"/>
    </xf>
    <xf numFmtId="1" fontId="9" fillId="3" borderId="12" xfId="0" applyNumberFormat="1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0" fontId="3" fillId="0" borderId="39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8" fontId="7" fillId="0" borderId="10" xfId="2" applyNumberFormat="1" applyFont="1" applyFill="1" applyBorder="1" applyAlignment="1" applyProtection="1">
      <alignment horizontal="center" vertical="center"/>
    </xf>
    <xf numFmtId="8" fontId="7" fillId="0" borderId="12" xfId="2" applyNumberFormat="1" applyFont="1" applyFill="1" applyBorder="1" applyAlignment="1" applyProtection="1">
      <alignment horizontal="center" vertical="center"/>
    </xf>
    <xf numFmtId="169" fontId="7" fillId="0" borderId="17" xfId="2" applyNumberFormat="1" applyFont="1" applyFill="1" applyBorder="1" applyAlignment="1" applyProtection="1">
      <alignment horizontal="center" vertical="center"/>
    </xf>
    <xf numFmtId="169" fontId="7" fillId="0" borderId="22" xfId="2" applyNumberFormat="1" applyFont="1" applyFill="1" applyBorder="1" applyAlignment="1" applyProtection="1">
      <alignment horizontal="center" vertical="center"/>
    </xf>
    <xf numFmtId="169" fontId="7" fillId="0" borderId="9" xfId="2" applyNumberFormat="1" applyFont="1" applyFill="1" applyBorder="1" applyAlignment="1" applyProtection="1">
      <alignment horizontal="center" vertical="center"/>
    </xf>
    <xf numFmtId="169" fontId="7" fillId="0" borderId="23" xfId="2" applyNumberFormat="1" applyFont="1" applyFill="1" applyBorder="1" applyAlignment="1" applyProtection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166" fontId="2" fillId="2" borderId="12" xfId="0" applyNumberFormat="1" applyFont="1" applyFill="1" applyBorder="1" applyAlignment="1">
      <alignment horizontal="center" vertical="center"/>
    </xf>
    <xf numFmtId="0" fontId="3" fillId="0" borderId="40" xfId="0" applyFont="1" applyBorder="1" applyAlignment="1" applyProtection="1">
      <alignment horizontal="left" vertical="center"/>
      <protection locked="0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46" xfId="0" applyFont="1" applyBorder="1" applyAlignment="1" applyProtection="1">
      <alignment horizontal="left" vertical="center"/>
      <protection locked="0"/>
    </xf>
    <xf numFmtId="0" fontId="2" fillId="0" borderId="15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0" fontId="9" fillId="3" borderId="12" xfId="0" applyFont="1" applyFill="1" applyBorder="1" applyAlignment="1" applyProtection="1">
      <alignment horizontal="center" vertical="center"/>
    </xf>
    <xf numFmtId="166" fontId="7" fillId="0" borderId="10" xfId="2" applyNumberFormat="1" applyFont="1" applyFill="1" applyBorder="1" applyAlignment="1" applyProtection="1">
      <alignment horizontal="center" vertical="center"/>
    </xf>
    <xf numFmtId="166" fontId="7" fillId="0" borderId="12" xfId="2" applyNumberFormat="1" applyFont="1" applyFill="1" applyBorder="1" applyAlignment="1" applyProtection="1">
      <alignment horizontal="center" vertical="center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38" fontId="7" fillId="0" borderId="17" xfId="2" applyNumberFormat="1" applyFont="1" applyFill="1" applyBorder="1" applyAlignment="1" applyProtection="1">
      <alignment horizontal="center" vertical="center"/>
    </xf>
    <xf numFmtId="38" fontId="7" fillId="0" borderId="22" xfId="2" applyNumberFormat="1" applyFont="1" applyFill="1" applyBorder="1" applyAlignment="1" applyProtection="1">
      <alignment horizontal="center" vertical="center"/>
    </xf>
    <xf numFmtId="38" fontId="7" fillId="0" borderId="9" xfId="2" applyNumberFormat="1" applyFont="1" applyFill="1" applyBorder="1" applyAlignment="1" applyProtection="1">
      <alignment horizontal="center" vertical="center"/>
    </xf>
    <xf numFmtId="38" fontId="7" fillId="0" borderId="23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M118"/>
  <sheetViews>
    <sheetView tabSelected="1" zoomScale="60" zoomScaleNormal="60" workbookViewId="0">
      <selection activeCell="I89" sqref="I89"/>
    </sheetView>
  </sheetViews>
  <sheetFormatPr defaultColWidth="9.140625" defaultRowHeight="23.25"/>
  <cols>
    <col min="1" max="1" width="38.28515625" style="1" customWidth="1"/>
    <col min="2" max="2" width="17" style="1" customWidth="1"/>
    <col min="3" max="3" width="18.42578125" style="1" customWidth="1"/>
    <col min="4" max="4" width="14.5703125" style="1" customWidth="1"/>
    <col min="5" max="5" width="14.28515625" style="1" customWidth="1"/>
    <col min="6" max="6" width="19.5703125" style="1" customWidth="1"/>
    <col min="7" max="7" width="21.5703125" style="1" customWidth="1"/>
    <col min="8" max="8" width="22.5703125" style="1" customWidth="1"/>
    <col min="9" max="9" width="61.85546875" style="1" customWidth="1"/>
    <col min="10" max="10" width="13" style="1" customWidth="1"/>
    <col min="11" max="11" width="9.140625" style="1" customWidth="1"/>
    <col min="12" max="12" width="13.28515625" style="1" customWidth="1"/>
    <col min="13" max="13" width="11.140625" style="1" hidden="1" customWidth="1"/>
    <col min="14" max="16384" width="9.140625" style="1"/>
  </cols>
  <sheetData>
    <row r="1" spans="1:9" ht="24" thickBot="1">
      <c r="A1" s="51" t="s">
        <v>0</v>
      </c>
    </row>
    <row r="2" spans="1:9" ht="26.25" customHeight="1">
      <c r="A2" s="2" t="s">
        <v>1</v>
      </c>
      <c r="B2" s="87"/>
      <c r="C2" s="88"/>
      <c r="D2" s="88"/>
      <c r="E2" s="88"/>
      <c r="F2" s="88"/>
      <c r="G2" s="89"/>
    </row>
    <row r="3" spans="1:9" ht="26.25" customHeight="1">
      <c r="A3" s="3" t="s">
        <v>2</v>
      </c>
      <c r="B3" s="90" t="s">
        <v>3</v>
      </c>
      <c r="C3" s="91"/>
      <c r="D3" s="91"/>
      <c r="E3" s="91"/>
      <c r="F3" s="91"/>
      <c r="G3" s="92"/>
    </row>
    <row r="4" spans="1:9" ht="26.25" customHeight="1">
      <c r="A4" s="23" t="s">
        <v>4</v>
      </c>
      <c r="B4" s="93"/>
      <c r="C4" s="94"/>
      <c r="D4" s="94"/>
      <c r="E4" s="94"/>
      <c r="F4" s="94"/>
      <c r="G4" s="95"/>
    </row>
    <row r="5" spans="1:9" ht="26.25" customHeight="1">
      <c r="A5" s="4" t="s">
        <v>5</v>
      </c>
      <c r="B5" s="96" t="s">
        <v>6</v>
      </c>
      <c r="C5" s="97"/>
      <c r="D5" s="97"/>
      <c r="E5" s="97"/>
      <c r="F5" s="97"/>
      <c r="G5" s="98"/>
    </row>
    <row r="6" spans="1:9" ht="26.25" customHeight="1">
      <c r="A6" s="4" t="s">
        <v>7</v>
      </c>
      <c r="B6" s="99"/>
      <c r="C6" s="100"/>
      <c r="D6" s="100"/>
      <c r="E6" s="100"/>
      <c r="F6" s="100"/>
      <c r="G6" s="101"/>
    </row>
    <row r="7" spans="1:9" ht="26.25" customHeight="1">
      <c r="A7" s="4" t="s">
        <v>8</v>
      </c>
      <c r="B7" s="93"/>
      <c r="C7" s="94"/>
      <c r="D7" s="94"/>
      <c r="E7" s="94"/>
      <c r="F7" s="94"/>
      <c r="G7" s="95"/>
      <c r="H7" s="34"/>
    </row>
    <row r="8" spans="1:9" ht="26.25" customHeight="1" thickBot="1">
      <c r="A8" s="5" t="s">
        <v>9</v>
      </c>
      <c r="B8" s="84"/>
      <c r="C8" s="85"/>
      <c r="D8" s="85"/>
      <c r="E8" s="85"/>
      <c r="F8" s="85"/>
      <c r="G8" s="86"/>
    </row>
    <row r="9" spans="1:9" ht="18" customHeight="1" thickBot="1">
      <c r="A9" s="6"/>
      <c r="B9" s="7"/>
      <c r="C9" s="7"/>
      <c r="D9" s="7"/>
      <c r="E9" s="7"/>
      <c r="F9" s="7"/>
      <c r="G9" s="7"/>
    </row>
    <row r="10" spans="1:9" ht="26.25" customHeight="1" thickBot="1">
      <c r="A10" s="8" t="s">
        <v>10</v>
      </c>
      <c r="B10" s="102" t="s">
        <v>11</v>
      </c>
      <c r="C10" s="103"/>
      <c r="D10" s="104"/>
      <c r="E10" s="104"/>
      <c r="F10" s="104"/>
      <c r="G10" s="105"/>
    </row>
    <row r="11" spans="1:9" ht="18" customHeight="1">
      <c r="A11" s="9"/>
    </row>
    <row r="12" spans="1:9" ht="18" customHeight="1" thickBot="1">
      <c r="A12" s="9"/>
    </row>
    <row r="13" spans="1:9" ht="30" customHeight="1" thickBot="1">
      <c r="A13" s="109" t="s">
        <v>12</v>
      </c>
      <c r="B13" s="110"/>
      <c r="C13" s="110"/>
      <c r="D13" s="110"/>
      <c r="E13" s="110"/>
      <c r="F13" s="110"/>
      <c r="G13" s="110"/>
      <c r="H13" s="110"/>
      <c r="I13" s="111"/>
    </row>
    <row r="14" spans="1:9" ht="66" customHeight="1" thickBot="1">
      <c r="A14" s="30" t="s">
        <v>13</v>
      </c>
      <c r="B14" s="30" t="s">
        <v>14</v>
      </c>
      <c r="C14" s="44" t="s">
        <v>15</v>
      </c>
      <c r="D14" s="31" t="s">
        <v>16</v>
      </c>
      <c r="E14" s="31" t="s">
        <v>17</v>
      </c>
      <c r="F14" s="31" t="s">
        <v>18</v>
      </c>
      <c r="G14" s="31" t="s">
        <v>19</v>
      </c>
      <c r="H14" s="31" t="s">
        <v>20</v>
      </c>
      <c r="I14" s="31" t="s">
        <v>21</v>
      </c>
    </row>
    <row r="15" spans="1:9" ht="30.75" customHeight="1">
      <c r="A15" s="10"/>
      <c r="B15" s="25"/>
      <c r="C15" s="35"/>
      <c r="D15" s="35"/>
      <c r="E15" s="35"/>
      <c r="F15" s="35"/>
      <c r="G15" s="64">
        <f>(C15*D15*E15)+F15</f>
        <v>0</v>
      </c>
      <c r="H15" s="65">
        <f>B15*G15</f>
        <v>0</v>
      </c>
      <c r="I15" s="10"/>
    </row>
    <row r="16" spans="1:9" ht="30.75" customHeight="1">
      <c r="A16" s="11"/>
      <c r="B16" s="25"/>
      <c r="C16" s="35"/>
      <c r="D16" s="35"/>
      <c r="E16" s="35"/>
      <c r="F16" s="35"/>
      <c r="G16" s="66">
        <f t="shared" ref="G16:G30" si="0">(C16*D16*E16)+F16</f>
        <v>0</v>
      </c>
      <c r="H16" s="65">
        <f>B16*G16</f>
        <v>0</v>
      </c>
      <c r="I16" s="11"/>
    </row>
    <row r="17" spans="1:10" ht="30.75" customHeight="1">
      <c r="A17" s="11"/>
      <c r="B17" s="25"/>
      <c r="C17" s="35"/>
      <c r="D17" s="35"/>
      <c r="E17" s="35"/>
      <c r="F17" s="35"/>
      <c r="G17" s="66">
        <f t="shared" si="0"/>
        <v>0</v>
      </c>
      <c r="H17" s="67">
        <f t="shared" ref="H17:H30" si="1">B17*G17</f>
        <v>0</v>
      </c>
      <c r="I17" s="11"/>
    </row>
    <row r="18" spans="1:10" ht="30.75" customHeight="1">
      <c r="A18" s="11"/>
      <c r="B18" s="25"/>
      <c r="C18" s="35"/>
      <c r="D18" s="35"/>
      <c r="E18" s="35"/>
      <c r="F18" s="35"/>
      <c r="G18" s="66">
        <f t="shared" si="0"/>
        <v>0</v>
      </c>
      <c r="H18" s="67">
        <f t="shared" si="1"/>
        <v>0</v>
      </c>
      <c r="I18" s="11"/>
    </row>
    <row r="19" spans="1:10" ht="30.75" customHeight="1">
      <c r="A19" s="11"/>
      <c r="B19" s="25"/>
      <c r="C19" s="35"/>
      <c r="D19" s="35"/>
      <c r="E19" s="35"/>
      <c r="F19" s="35"/>
      <c r="G19" s="66">
        <f t="shared" si="0"/>
        <v>0</v>
      </c>
      <c r="H19" s="67">
        <f t="shared" si="1"/>
        <v>0</v>
      </c>
      <c r="I19" s="11"/>
    </row>
    <row r="20" spans="1:10" ht="30.75" customHeight="1">
      <c r="A20" s="11"/>
      <c r="B20" s="25"/>
      <c r="C20" s="35"/>
      <c r="D20" s="35"/>
      <c r="E20" s="35"/>
      <c r="F20" s="35"/>
      <c r="G20" s="66">
        <f t="shared" si="0"/>
        <v>0</v>
      </c>
      <c r="H20" s="67">
        <f t="shared" si="1"/>
        <v>0</v>
      </c>
      <c r="I20" s="11"/>
    </row>
    <row r="21" spans="1:10" ht="30.75" customHeight="1">
      <c r="A21" s="11"/>
      <c r="B21" s="25"/>
      <c r="C21" s="35"/>
      <c r="D21" s="35"/>
      <c r="E21" s="35"/>
      <c r="F21" s="35"/>
      <c r="G21" s="66">
        <f t="shared" si="0"/>
        <v>0</v>
      </c>
      <c r="H21" s="67">
        <f t="shared" si="1"/>
        <v>0</v>
      </c>
      <c r="I21" s="11"/>
    </row>
    <row r="22" spans="1:10" ht="30.75" customHeight="1">
      <c r="A22" s="11"/>
      <c r="B22" s="25"/>
      <c r="C22" s="35"/>
      <c r="D22" s="35"/>
      <c r="E22" s="35"/>
      <c r="F22" s="35"/>
      <c r="G22" s="66">
        <f t="shared" si="0"/>
        <v>0</v>
      </c>
      <c r="H22" s="67">
        <f t="shared" si="1"/>
        <v>0</v>
      </c>
      <c r="I22" s="11"/>
    </row>
    <row r="23" spans="1:10" ht="30.75" customHeight="1">
      <c r="A23" s="11"/>
      <c r="B23" s="25"/>
      <c r="C23" s="35"/>
      <c r="D23" s="35"/>
      <c r="E23" s="35"/>
      <c r="F23" s="35"/>
      <c r="G23" s="66">
        <f t="shared" si="0"/>
        <v>0</v>
      </c>
      <c r="H23" s="67">
        <f t="shared" si="1"/>
        <v>0</v>
      </c>
      <c r="I23" s="11"/>
    </row>
    <row r="24" spans="1:10" ht="30.75" customHeight="1">
      <c r="A24" s="11"/>
      <c r="B24" s="25"/>
      <c r="C24" s="35"/>
      <c r="D24" s="35"/>
      <c r="E24" s="35"/>
      <c r="F24" s="35"/>
      <c r="G24" s="66">
        <f t="shared" ref="G24:G27" si="2">(C24*D24*E24)+F24</f>
        <v>0</v>
      </c>
      <c r="H24" s="67">
        <f t="shared" ref="H24:H27" si="3">B24*G24</f>
        <v>0</v>
      </c>
      <c r="I24" s="11"/>
    </row>
    <row r="25" spans="1:10" ht="30.75" customHeight="1">
      <c r="A25" s="11"/>
      <c r="B25" s="25"/>
      <c r="C25" s="35"/>
      <c r="D25" s="35"/>
      <c r="E25" s="35"/>
      <c r="F25" s="35"/>
      <c r="G25" s="66">
        <f t="shared" si="2"/>
        <v>0</v>
      </c>
      <c r="H25" s="67">
        <f t="shared" si="3"/>
        <v>0</v>
      </c>
      <c r="I25" s="11"/>
    </row>
    <row r="26" spans="1:10" ht="30.75" customHeight="1">
      <c r="A26" s="11"/>
      <c r="B26" s="25"/>
      <c r="C26" s="35"/>
      <c r="D26" s="35"/>
      <c r="E26" s="35"/>
      <c r="F26" s="35"/>
      <c r="G26" s="66">
        <f t="shared" si="2"/>
        <v>0</v>
      </c>
      <c r="H26" s="67">
        <f t="shared" si="3"/>
        <v>0</v>
      </c>
      <c r="I26" s="11"/>
    </row>
    <row r="27" spans="1:10" ht="30.75" customHeight="1">
      <c r="A27" s="11"/>
      <c r="B27" s="25"/>
      <c r="C27" s="35"/>
      <c r="D27" s="35"/>
      <c r="E27" s="35"/>
      <c r="F27" s="35"/>
      <c r="G27" s="66">
        <f t="shared" si="2"/>
        <v>0</v>
      </c>
      <c r="H27" s="67">
        <f t="shared" si="3"/>
        <v>0</v>
      </c>
      <c r="I27" s="11"/>
    </row>
    <row r="28" spans="1:10" ht="30.75" customHeight="1">
      <c r="A28" s="11"/>
      <c r="B28" s="25"/>
      <c r="C28" s="35"/>
      <c r="D28" s="35"/>
      <c r="E28" s="35"/>
      <c r="F28" s="35"/>
      <c r="G28" s="66">
        <f t="shared" si="0"/>
        <v>0</v>
      </c>
      <c r="H28" s="67">
        <f>B28*G28</f>
        <v>0</v>
      </c>
      <c r="I28" s="11"/>
    </row>
    <row r="29" spans="1:10" ht="30.75" customHeight="1">
      <c r="A29" s="11"/>
      <c r="B29" s="25"/>
      <c r="C29" s="35"/>
      <c r="D29" s="35"/>
      <c r="E29" s="35"/>
      <c r="F29" s="35"/>
      <c r="G29" s="66">
        <f t="shared" si="0"/>
        <v>0</v>
      </c>
      <c r="H29" s="67">
        <f>B29*G29</f>
        <v>0</v>
      </c>
      <c r="I29" s="11"/>
    </row>
    <row r="30" spans="1:10" ht="30.75" customHeight="1" thickBot="1">
      <c r="A30" s="40"/>
      <c r="B30" s="41"/>
      <c r="C30" s="42"/>
      <c r="D30" s="42"/>
      <c r="E30" s="42"/>
      <c r="F30" s="42"/>
      <c r="G30" s="68">
        <f t="shared" si="0"/>
        <v>0</v>
      </c>
      <c r="H30" s="69">
        <f t="shared" si="1"/>
        <v>0</v>
      </c>
      <c r="I30" s="40"/>
    </row>
    <row r="31" spans="1:10" ht="30.75" customHeight="1" thickBot="1">
      <c r="A31" s="115" t="s">
        <v>22</v>
      </c>
      <c r="B31" s="116"/>
      <c r="C31" s="116"/>
      <c r="D31" s="116"/>
      <c r="E31" s="116"/>
      <c r="F31" s="117"/>
      <c r="G31" s="43">
        <f>SUM(G15:G30)</f>
        <v>0</v>
      </c>
      <c r="H31" s="24">
        <f>SUM(H15:H30)</f>
        <v>0</v>
      </c>
      <c r="I31" s="60"/>
    </row>
    <row r="32" spans="1:10" ht="30.75" customHeight="1" thickBot="1">
      <c r="A32" s="109" t="s">
        <v>23</v>
      </c>
      <c r="B32" s="110"/>
      <c r="C32" s="110"/>
      <c r="D32" s="110"/>
      <c r="E32" s="110"/>
      <c r="F32" s="110"/>
      <c r="G32" s="110"/>
      <c r="H32" s="110"/>
      <c r="I32" s="111"/>
      <c r="J32" s="15"/>
    </row>
    <row r="33" spans="1:13" ht="63" customHeight="1" thickBot="1">
      <c r="A33" s="30" t="s">
        <v>13</v>
      </c>
      <c r="B33" s="30" t="s">
        <v>14</v>
      </c>
      <c r="C33" s="44" t="s">
        <v>15</v>
      </c>
      <c r="D33" s="31" t="s">
        <v>16</v>
      </c>
      <c r="E33" s="31" t="s">
        <v>17</v>
      </c>
      <c r="F33" s="31" t="s">
        <v>18</v>
      </c>
      <c r="G33" s="31" t="s">
        <v>19</v>
      </c>
      <c r="H33" s="31" t="s">
        <v>20</v>
      </c>
      <c r="I33" s="31" t="s">
        <v>24</v>
      </c>
    </row>
    <row r="34" spans="1:13" ht="30.75" customHeight="1">
      <c r="A34" s="49"/>
      <c r="B34" s="45"/>
      <c r="C34" s="46"/>
      <c r="D34" s="46"/>
      <c r="E34" s="46"/>
      <c r="F34" s="46"/>
      <c r="G34" s="70">
        <f>(C34*D34*E34)+F34</f>
        <v>0</v>
      </c>
      <c r="H34" s="71">
        <f>B34*G34</f>
        <v>0</v>
      </c>
      <c r="I34" s="17"/>
      <c r="J34" s="15"/>
    </row>
    <row r="35" spans="1:13" ht="30.75" customHeight="1">
      <c r="A35" s="11"/>
      <c r="B35" s="26"/>
      <c r="C35" s="47"/>
      <c r="D35" s="47"/>
      <c r="E35" s="47"/>
      <c r="F35" s="47"/>
      <c r="G35" s="70">
        <f t="shared" ref="G35:G39" si="4">(C35*D35*E35)+F35</f>
        <v>0</v>
      </c>
      <c r="H35" s="71">
        <f t="shared" ref="H35:H39" si="5">B35*G35</f>
        <v>0</v>
      </c>
      <c r="I35" s="18"/>
      <c r="J35" s="15"/>
    </row>
    <row r="36" spans="1:13" ht="30.75" customHeight="1">
      <c r="A36" s="11"/>
      <c r="B36" s="26"/>
      <c r="C36" s="47"/>
      <c r="D36" s="47"/>
      <c r="E36" s="47"/>
      <c r="F36" s="47"/>
      <c r="G36" s="70">
        <f t="shared" si="4"/>
        <v>0</v>
      </c>
      <c r="H36" s="71">
        <f t="shared" si="5"/>
        <v>0</v>
      </c>
      <c r="I36" s="18"/>
      <c r="J36" s="15"/>
    </row>
    <row r="37" spans="1:13" ht="30.75" customHeight="1">
      <c r="A37" s="11"/>
      <c r="B37" s="26"/>
      <c r="C37" s="47"/>
      <c r="D37" s="47"/>
      <c r="E37" s="47"/>
      <c r="F37" s="47"/>
      <c r="G37" s="70">
        <f t="shared" si="4"/>
        <v>0</v>
      </c>
      <c r="H37" s="71">
        <f t="shared" si="5"/>
        <v>0</v>
      </c>
      <c r="I37" s="18"/>
      <c r="J37" s="15"/>
    </row>
    <row r="38" spans="1:13" ht="30.75" customHeight="1">
      <c r="A38" s="11"/>
      <c r="B38" s="26"/>
      <c r="C38" s="47"/>
      <c r="D38" s="47"/>
      <c r="E38" s="47"/>
      <c r="F38" s="47"/>
      <c r="G38" s="70">
        <f t="shared" si="4"/>
        <v>0</v>
      </c>
      <c r="H38" s="71">
        <f t="shared" si="5"/>
        <v>0</v>
      </c>
      <c r="I38" s="18"/>
      <c r="J38" s="15"/>
    </row>
    <row r="39" spans="1:13" ht="30.75" customHeight="1" thickBot="1">
      <c r="A39" s="50"/>
      <c r="B39" s="48"/>
      <c r="C39" s="38"/>
      <c r="D39" s="38"/>
      <c r="E39" s="38"/>
      <c r="F39" s="38"/>
      <c r="G39" s="70">
        <f t="shared" si="4"/>
        <v>0</v>
      </c>
      <c r="H39" s="71">
        <f t="shared" si="5"/>
        <v>0</v>
      </c>
      <c r="I39" s="18"/>
      <c r="J39" s="15"/>
    </row>
    <row r="40" spans="1:13" ht="30.75" customHeight="1" thickBot="1">
      <c r="A40" s="106" t="s">
        <v>25</v>
      </c>
      <c r="B40" s="107"/>
      <c r="C40" s="107"/>
      <c r="D40" s="107"/>
      <c r="E40" s="107"/>
      <c r="F40" s="108"/>
      <c r="G40" s="43">
        <f>SUM(G34:G39)</f>
        <v>0</v>
      </c>
      <c r="H40" s="24">
        <f>SUM(H34:H39)</f>
        <v>0</v>
      </c>
      <c r="I40" s="60"/>
      <c r="J40" s="15"/>
    </row>
    <row r="41" spans="1:13" ht="51.75" customHeight="1" thickBot="1">
      <c r="A41" s="74" t="s">
        <v>26</v>
      </c>
      <c r="B41" s="62" t="str">
        <f>IFERROR(H41/G41, "N/A")</f>
        <v>N/A</v>
      </c>
      <c r="C41" s="112" t="s">
        <v>27</v>
      </c>
      <c r="D41" s="113"/>
      <c r="E41" s="113"/>
      <c r="F41" s="114"/>
      <c r="G41" s="63">
        <f>SUM(G31,G40)</f>
        <v>0</v>
      </c>
      <c r="H41" s="24">
        <f>SUM(H31,H40)</f>
        <v>0</v>
      </c>
      <c r="I41" s="61"/>
    </row>
    <row r="42" spans="1:13" ht="18" customHeight="1">
      <c r="A42" s="12"/>
      <c r="B42" s="13"/>
      <c r="C42" s="13"/>
      <c r="E42" s="14"/>
      <c r="F42" s="14"/>
      <c r="G42" s="14"/>
      <c r="H42" s="14"/>
      <c r="J42" s="15"/>
    </row>
    <row r="43" spans="1:13" ht="18" customHeight="1" thickBot="1">
      <c r="A43" s="9"/>
      <c r="B43" s="9"/>
      <c r="C43" s="9"/>
      <c r="D43" s="9"/>
      <c r="E43" s="9"/>
      <c r="F43" s="9"/>
      <c r="G43" s="9"/>
      <c r="J43" s="19"/>
      <c r="M43" s="20"/>
    </row>
    <row r="44" spans="1:13" ht="43.5" customHeight="1" thickBot="1">
      <c r="A44" s="109" t="s">
        <v>28</v>
      </c>
      <c r="B44" s="110"/>
      <c r="C44" s="110"/>
      <c r="D44" s="110"/>
      <c r="E44" s="110"/>
      <c r="F44" s="110"/>
      <c r="G44" s="110"/>
      <c r="H44" s="110"/>
      <c r="I44" s="111"/>
      <c r="J44" s="21"/>
    </row>
    <row r="45" spans="1:13" ht="40.5" customHeight="1" thickBot="1">
      <c r="A45" s="118" t="s">
        <v>29</v>
      </c>
      <c r="B45" s="119"/>
      <c r="C45" s="119"/>
      <c r="D45" s="120"/>
      <c r="E45" s="58" t="s">
        <v>30</v>
      </c>
      <c r="F45" s="39" t="s">
        <v>31</v>
      </c>
      <c r="G45" s="39" t="s">
        <v>32</v>
      </c>
      <c r="H45" s="39" t="s">
        <v>33</v>
      </c>
      <c r="I45" s="39" t="s">
        <v>34</v>
      </c>
      <c r="M45" s="1" t="s">
        <v>35</v>
      </c>
    </row>
    <row r="46" spans="1:13" ht="30.75" customHeight="1">
      <c r="A46" s="121"/>
      <c r="B46" s="122"/>
      <c r="C46" s="122"/>
      <c r="D46" s="123"/>
      <c r="E46" s="46"/>
      <c r="F46" s="28"/>
      <c r="G46" s="55"/>
      <c r="H46" s="72">
        <f>E46*G46</f>
        <v>0</v>
      </c>
      <c r="I46" s="52"/>
      <c r="M46" s="1" t="s">
        <v>36</v>
      </c>
    </row>
    <row r="47" spans="1:13" ht="30.75" customHeight="1">
      <c r="A47" s="124"/>
      <c r="B47" s="125"/>
      <c r="C47" s="125"/>
      <c r="D47" s="126"/>
      <c r="E47" s="59"/>
      <c r="F47" s="36"/>
      <c r="G47" s="56"/>
      <c r="H47" s="67">
        <f t="shared" ref="H47:H55" si="6">E47*G47</f>
        <v>0</v>
      </c>
      <c r="I47" s="53"/>
      <c r="M47" s="1" t="s">
        <v>37</v>
      </c>
    </row>
    <row r="48" spans="1:13" ht="30.75" customHeight="1">
      <c r="A48" s="124"/>
      <c r="B48" s="125"/>
      <c r="C48" s="125"/>
      <c r="D48" s="126"/>
      <c r="E48" s="59"/>
      <c r="F48" s="36"/>
      <c r="G48" s="56"/>
      <c r="H48" s="67">
        <f t="shared" si="6"/>
        <v>0</v>
      </c>
      <c r="I48" s="53"/>
      <c r="M48" s="1" t="s">
        <v>38</v>
      </c>
    </row>
    <row r="49" spans="1:13" ht="30.75" customHeight="1">
      <c r="A49" s="124"/>
      <c r="B49" s="125"/>
      <c r="C49" s="125"/>
      <c r="D49" s="126"/>
      <c r="E49" s="59"/>
      <c r="F49" s="36"/>
      <c r="G49" s="56"/>
      <c r="H49" s="67">
        <f t="shared" si="6"/>
        <v>0</v>
      </c>
      <c r="I49" s="53"/>
      <c r="M49" s="1" t="s">
        <v>39</v>
      </c>
    </row>
    <row r="50" spans="1:13" ht="30.75" customHeight="1">
      <c r="A50" s="124"/>
      <c r="B50" s="125"/>
      <c r="C50" s="125"/>
      <c r="D50" s="126"/>
      <c r="E50" s="59"/>
      <c r="F50" s="36"/>
      <c r="G50" s="56"/>
      <c r="H50" s="67">
        <f t="shared" si="6"/>
        <v>0</v>
      </c>
      <c r="I50" s="53"/>
      <c r="M50" s="1" t="s">
        <v>40</v>
      </c>
    </row>
    <row r="51" spans="1:13" ht="30.75" customHeight="1">
      <c r="A51" s="124"/>
      <c r="B51" s="125"/>
      <c r="C51" s="125"/>
      <c r="D51" s="126"/>
      <c r="E51" s="59"/>
      <c r="F51" s="36"/>
      <c r="G51" s="56"/>
      <c r="H51" s="67">
        <f t="shared" si="6"/>
        <v>0</v>
      </c>
      <c r="I51" s="53"/>
      <c r="M51" s="1" t="s">
        <v>41</v>
      </c>
    </row>
    <row r="52" spans="1:13" ht="30.75" customHeight="1">
      <c r="A52" s="124"/>
      <c r="B52" s="125"/>
      <c r="C52" s="125"/>
      <c r="D52" s="126"/>
      <c r="E52" s="59"/>
      <c r="F52" s="36"/>
      <c r="G52" s="56"/>
      <c r="H52" s="67">
        <f t="shared" si="6"/>
        <v>0</v>
      </c>
      <c r="I52" s="53"/>
      <c r="M52" s="1" t="s">
        <v>42</v>
      </c>
    </row>
    <row r="53" spans="1:13" ht="30.75" customHeight="1">
      <c r="A53" s="124"/>
      <c r="B53" s="125"/>
      <c r="C53" s="125"/>
      <c r="D53" s="126"/>
      <c r="E53" s="59"/>
      <c r="F53" s="36"/>
      <c r="G53" s="56"/>
      <c r="H53" s="67">
        <f t="shared" si="6"/>
        <v>0</v>
      </c>
      <c r="I53" s="53"/>
      <c r="M53" s="1" t="s">
        <v>43</v>
      </c>
    </row>
    <row r="54" spans="1:13" ht="30.75" customHeight="1">
      <c r="A54" s="124"/>
      <c r="B54" s="125"/>
      <c r="C54" s="125"/>
      <c r="D54" s="126"/>
      <c r="E54" s="59"/>
      <c r="F54" s="36"/>
      <c r="G54" s="56"/>
      <c r="H54" s="67">
        <f t="shared" si="6"/>
        <v>0</v>
      </c>
      <c r="I54" s="53"/>
      <c r="M54" s="1" t="s">
        <v>44</v>
      </c>
    </row>
    <row r="55" spans="1:13" ht="30.75" customHeight="1" thickBot="1">
      <c r="A55" s="135"/>
      <c r="B55" s="136"/>
      <c r="C55" s="136"/>
      <c r="D55" s="137"/>
      <c r="E55" s="38"/>
      <c r="F55" s="37"/>
      <c r="G55" s="57"/>
      <c r="H55" s="73">
        <f t="shared" si="6"/>
        <v>0</v>
      </c>
      <c r="I55" s="54"/>
      <c r="M55" s="1" t="s">
        <v>45</v>
      </c>
    </row>
    <row r="56" spans="1:13" ht="17.100000000000001" customHeight="1" thickBot="1">
      <c r="A56" s="16"/>
      <c r="B56" s="16"/>
      <c r="C56" s="16"/>
      <c r="D56" s="16"/>
      <c r="E56" s="16"/>
      <c r="F56" s="16"/>
      <c r="G56" s="9"/>
      <c r="M56" s="1" t="s">
        <v>46</v>
      </c>
    </row>
    <row r="57" spans="1:13" ht="25.5" customHeight="1" thickBot="1">
      <c r="A57" s="32" t="s">
        <v>47</v>
      </c>
      <c r="B57" s="133">
        <f>SUM(H46:H55)</f>
        <v>0</v>
      </c>
      <c r="C57" s="134"/>
      <c r="E57" s="9"/>
      <c r="F57" s="9"/>
      <c r="G57" s="9"/>
      <c r="M57" s="1" t="s">
        <v>48</v>
      </c>
    </row>
    <row r="58" spans="1:13" ht="16.5" customHeight="1" thickBot="1">
      <c r="A58" s="9"/>
      <c r="B58" s="9"/>
      <c r="C58" s="9"/>
      <c r="D58" s="9"/>
      <c r="E58" s="9"/>
      <c r="F58" s="9"/>
      <c r="G58" s="9"/>
      <c r="M58" s="1" t="s">
        <v>49</v>
      </c>
    </row>
    <row r="59" spans="1:13" ht="43.5" customHeight="1" thickBot="1">
      <c r="A59" s="140" t="s">
        <v>50</v>
      </c>
      <c r="B59" s="141"/>
      <c r="C59" s="141"/>
      <c r="D59" s="141"/>
      <c r="E59" s="141"/>
      <c r="F59" s="141"/>
      <c r="G59" s="141"/>
      <c r="H59" s="141"/>
      <c r="I59" s="142"/>
      <c r="M59" s="1" t="s">
        <v>51</v>
      </c>
    </row>
    <row r="60" spans="1:13" ht="41.25" customHeight="1" thickBot="1">
      <c r="A60" s="118" t="s">
        <v>29</v>
      </c>
      <c r="B60" s="119"/>
      <c r="C60" s="119"/>
      <c r="D60" s="120"/>
      <c r="E60" s="58" t="s">
        <v>30</v>
      </c>
      <c r="F60" s="39" t="s">
        <v>31</v>
      </c>
      <c r="G60" s="39" t="s">
        <v>32</v>
      </c>
      <c r="H60" s="39" t="s">
        <v>33</v>
      </c>
      <c r="I60" s="39" t="s">
        <v>34</v>
      </c>
      <c r="M60" s="1" t="s">
        <v>52</v>
      </c>
    </row>
    <row r="61" spans="1:13" ht="30.75" customHeight="1">
      <c r="A61" s="121"/>
      <c r="B61" s="122"/>
      <c r="C61" s="122"/>
      <c r="D61" s="123"/>
      <c r="E61" s="46"/>
      <c r="F61" s="28"/>
      <c r="G61" s="55"/>
      <c r="H61" s="72">
        <f t="shared" ref="H61:H70" si="7">E61*G61</f>
        <v>0</v>
      </c>
      <c r="I61" s="52"/>
      <c r="M61" s="1" t="s">
        <v>53</v>
      </c>
    </row>
    <row r="62" spans="1:13" ht="30.75" customHeight="1">
      <c r="A62" s="124"/>
      <c r="B62" s="125"/>
      <c r="C62" s="125"/>
      <c r="D62" s="126"/>
      <c r="E62" s="59"/>
      <c r="F62" s="36"/>
      <c r="G62" s="56"/>
      <c r="H62" s="67">
        <f t="shared" si="7"/>
        <v>0</v>
      </c>
      <c r="I62" s="53"/>
      <c r="M62" s="1" t="s">
        <v>54</v>
      </c>
    </row>
    <row r="63" spans="1:13" ht="30.75" customHeight="1">
      <c r="A63" s="124"/>
      <c r="B63" s="125"/>
      <c r="C63" s="125"/>
      <c r="D63" s="126"/>
      <c r="E63" s="59"/>
      <c r="F63" s="36"/>
      <c r="G63" s="56"/>
      <c r="H63" s="67">
        <f t="shared" si="7"/>
        <v>0</v>
      </c>
      <c r="I63" s="53"/>
    </row>
    <row r="64" spans="1:13" ht="30.75" customHeight="1">
      <c r="A64" s="124"/>
      <c r="B64" s="125"/>
      <c r="C64" s="125"/>
      <c r="D64" s="126"/>
      <c r="E64" s="59"/>
      <c r="F64" s="36"/>
      <c r="G64" s="56"/>
      <c r="H64" s="67">
        <f t="shared" si="7"/>
        <v>0</v>
      </c>
      <c r="I64" s="53"/>
    </row>
    <row r="65" spans="1:9" ht="30.75" customHeight="1">
      <c r="A65" s="124"/>
      <c r="B65" s="125"/>
      <c r="C65" s="125"/>
      <c r="D65" s="126"/>
      <c r="E65" s="59"/>
      <c r="F65" s="36"/>
      <c r="G65" s="56"/>
      <c r="H65" s="67">
        <f t="shared" si="7"/>
        <v>0</v>
      </c>
      <c r="I65" s="53"/>
    </row>
    <row r="66" spans="1:9" ht="30.75" customHeight="1">
      <c r="A66" s="124"/>
      <c r="B66" s="125"/>
      <c r="C66" s="125"/>
      <c r="D66" s="126"/>
      <c r="E66" s="59"/>
      <c r="F66" s="36"/>
      <c r="G66" s="56"/>
      <c r="H66" s="67">
        <f t="shared" si="7"/>
        <v>0</v>
      </c>
      <c r="I66" s="53"/>
    </row>
    <row r="67" spans="1:9" ht="30.75" customHeight="1">
      <c r="A67" s="124"/>
      <c r="B67" s="125"/>
      <c r="C67" s="125"/>
      <c r="D67" s="126"/>
      <c r="E67" s="59"/>
      <c r="F67" s="36"/>
      <c r="G67" s="56"/>
      <c r="H67" s="67">
        <f t="shared" si="7"/>
        <v>0</v>
      </c>
      <c r="I67" s="53"/>
    </row>
    <row r="68" spans="1:9" ht="30.75" customHeight="1">
      <c r="A68" s="124"/>
      <c r="B68" s="125"/>
      <c r="C68" s="125"/>
      <c r="D68" s="126"/>
      <c r="E68" s="59"/>
      <c r="F68" s="36"/>
      <c r="G68" s="56"/>
      <c r="H68" s="67">
        <f t="shared" si="7"/>
        <v>0</v>
      </c>
      <c r="I68" s="53"/>
    </row>
    <row r="69" spans="1:9" ht="30.75" customHeight="1">
      <c r="A69" s="124"/>
      <c r="B69" s="125"/>
      <c r="C69" s="125"/>
      <c r="D69" s="126"/>
      <c r="E69" s="59"/>
      <c r="F69" s="36"/>
      <c r="G69" s="56"/>
      <c r="H69" s="67">
        <f t="shared" si="7"/>
        <v>0</v>
      </c>
      <c r="I69" s="53"/>
    </row>
    <row r="70" spans="1:9" ht="30.75" customHeight="1" thickBot="1">
      <c r="A70" s="135"/>
      <c r="B70" s="136"/>
      <c r="C70" s="136"/>
      <c r="D70" s="137"/>
      <c r="E70" s="38"/>
      <c r="F70" s="37"/>
      <c r="G70" s="57"/>
      <c r="H70" s="73">
        <f t="shared" si="7"/>
        <v>0</v>
      </c>
      <c r="I70" s="54"/>
    </row>
    <row r="71" spans="1:9" ht="18" customHeight="1" thickBot="1">
      <c r="A71" s="16"/>
      <c r="B71" s="16"/>
      <c r="C71" s="16"/>
      <c r="D71" s="16"/>
      <c r="E71" s="16"/>
      <c r="F71" s="16"/>
      <c r="G71" s="9"/>
    </row>
    <row r="72" spans="1:9" ht="25.5" customHeight="1" thickBot="1">
      <c r="A72" s="32" t="s">
        <v>55</v>
      </c>
      <c r="B72" s="133">
        <f>SUM(H61:H70)</f>
        <v>0</v>
      </c>
      <c r="C72" s="134"/>
      <c r="E72" s="9"/>
      <c r="F72" s="9"/>
      <c r="G72" s="9"/>
    </row>
    <row r="73" spans="1:9" ht="18" customHeight="1">
      <c r="A73" s="22"/>
      <c r="B73" s="22"/>
      <c r="C73" s="22"/>
      <c r="D73" s="9"/>
      <c r="E73" s="9"/>
      <c r="F73" s="9"/>
      <c r="G73" s="9"/>
    </row>
    <row r="74" spans="1:9" ht="30.75" customHeight="1" thickBot="1">
      <c r="A74" s="29" t="s">
        <v>56</v>
      </c>
      <c r="B74" s="9"/>
      <c r="C74" s="9"/>
      <c r="D74" s="9"/>
      <c r="H74" s="15"/>
      <c r="I74" s="19"/>
    </row>
    <row r="75" spans="1:9" ht="30.75" customHeight="1">
      <c r="A75" s="145"/>
      <c r="B75" s="146"/>
      <c r="C75" s="146"/>
      <c r="D75" s="146"/>
      <c r="E75" s="146"/>
      <c r="F75" s="146"/>
      <c r="G75" s="146"/>
      <c r="H75" s="146"/>
      <c r="I75" s="147"/>
    </row>
    <row r="76" spans="1:9" ht="31.5" customHeight="1">
      <c r="A76" s="148"/>
      <c r="B76" s="149"/>
      <c r="C76" s="149"/>
      <c r="D76" s="149"/>
      <c r="E76" s="149"/>
      <c r="F76" s="149"/>
      <c r="G76" s="149"/>
      <c r="H76" s="149"/>
      <c r="I76" s="150"/>
    </row>
    <row r="77" spans="1:9" ht="33.75" customHeight="1">
      <c r="A77" s="148"/>
      <c r="B77" s="149"/>
      <c r="C77" s="149"/>
      <c r="D77" s="149"/>
      <c r="E77" s="149"/>
      <c r="F77" s="149"/>
      <c r="G77" s="149"/>
      <c r="H77" s="149"/>
      <c r="I77" s="150"/>
    </row>
    <row r="78" spans="1:9" ht="24" customHeight="1" thickBot="1">
      <c r="A78" s="151"/>
      <c r="B78" s="152"/>
      <c r="C78" s="152"/>
      <c r="D78" s="152"/>
      <c r="E78" s="152"/>
      <c r="F78" s="152"/>
      <c r="G78" s="152"/>
      <c r="H78" s="152"/>
      <c r="I78" s="153"/>
    </row>
    <row r="79" spans="1:9" ht="24" customHeight="1" thickBot="1">
      <c r="A79" s="75"/>
      <c r="B79" s="75"/>
      <c r="C79" s="75"/>
      <c r="D79" s="75"/>
      <c r="E79" s="75"/>
      <c r="F79" s="75"/>
      <c r="G79" s="75"/>
      <c r="H79" s="75"/>
      <c r="I79" s="75"/>
    </row>
    <row r="80" spans="1:9" ht="24" customHeight="1">
      <c r="A80" s="138" t="s">
        <v>57</v>
      </c>
      <c r="B80" s="129" t="str">
        <f>B41</f>
        <v>N/A</v>
      </c>
      <c r="C80" s="130"/>
      <c r="D80" s="75"/>
      <c r="E80" s="75"/>
      <c r="F80" s="75"/>
      <c r="G80" s="75"/>
      <c r="H80" s="75"/>
      <c r="I80" s="75"/>
    </row>
    <row r="81" spans="1:9" ht="24" customHeight="1" thickBot="1">
      <c r="A81" s="139"/>
      <c r="B81" s="131"/>
      <c r="C81" s="132"/>
      <c r="D81" s="75"/>
      <c r="E81" s="75"/>
      <c r="F81" s="75"/>
      <c r="G81" s="75"/>
      <c r="H81" s="75"/>
      <c r="I81" s="75"/>
    </row>
    <row r="82" spans="1:9" ht="21.75" customHeight="1" thickBot="1">
      <c r="A82" s="76"/>
      <c r="B82" s="76"/>
      <c r="C82" s="76"/>
      <c r="D82" s="77"/>
      <c r="E82" s="77"/>
      <c r="F82" s="77"/>
      <c r="G82" s="77"/>
      <c r="H82" s="78"/>
      <c r="I82" s="78"/>
    </row>
    <row r="83" spans="1:9" ht="29.25" customHeight="1">
      <c r="A83" s="138" t="s">
        <v>58</v>
      </c>
      <c r="B83" s="154">
        <f>G41</f>
        <v>0</v>
      </c>
      <c r="C83" s="155"/>
      <c r="D83" s="77"/>
      <c r="E83" s="77"/>
      <c r="F83" s="77"/>
      <c r="G83" s="77"/>
      <c r="H83" s="78"/>
      <c r="I83" s="78"/>
    </row>
    <row r="84" spans="1:9" ht="28.5" customHeight="1" thickBot="1">
      <c r="A84" s="139"/>
      <c r="B84" s="156"/>
      <c r="C84" s="157"/>
      <c r="D84" s="77"/>
      <c r="E84" s="77"/>
      <c r="F84" s="77"/>
      <c r="G84" s="77"/>
      <c r="H84" s="78"/>
      <c r="I84" s="78"/>
    </row>
    <row r="85" spans="1:9" ht="20.100000000000001" customHeight="1" thickBot="1">
      <c r="A85" s="76"/>
      <c r="B85" s="76"/>
      <c r="C85" s="76"/>
      <c r="D85" s="77"/>
      <c r="E85" s="77"/>
      <c r="F85" s="77"/>
      <c r="G85" s="77"/>
      <c r="H85" s="78"/>
      <c r="I85" s="78"/>
    </row>
    <row r="86" spans="1:9" ht="42" customHeight="1" thickBot="1">
      <c r="A86" s="138" t="s">
        <v>59</v>
      </c>
      <c r="B86" s="143">
        <f>H41</f>
        <v>0</v>
      </c>
      <c r="C86" s="144"/>
      <c r="D86" s="78"/>
      <c r="E86" s="77"/>
      <c r="F86" s="77"/>
      <c r="G86" s="77"/>
      <c r="H86" s="78"/>
      <c r="I86" s="78"/>
    </row>
    <row r="87" spans="1:9" ht="42" customHeight="1" thickBot="1">
      <c r="A87" s="139"/>
      <c r="B87" s="127">
        <f>B86/B95</f>
        <v>0</v>
      </c>
      <c r="C87" s="128"/>
      <c r="D87" s="78"/>
      <c r="E87" s="77"/>
      <c r="F87" s="77"/>
      <c r="G87" s="77"/>
      <c r="H87" s="78"/>
      <c r="I87" s="78"/>
    </row>
    <row r="88" spans="1:9" ht="20.100000000000001" customHeight="1" thickBot="1">
      <c r="A88" s="76"/>
      <c r="B88" s="76"/>
      <c r="C88" s="76"/>
      <c r="D88" s="77"/>
      <c r="E88" s="77"/>
      <c r="F88" s="77"/>
      <c r="G88" s="77"/>
      <c r="H88" s="78"/>
      <c r="I88" s="78"/>
    </row>
    <row r="89" spans="1:9" ht="42" customHeight="1" thickBot="1">
      <c r="A89" s="138" t="s">
        <v>60</v>
      </c>
      <c r="B89" s="143">
        <f>SUM(B57,B72)</f>
        <v>0</v>
      </c>
      <c r="C89" s="144"/>
      <c r="D89" s="78"/>
      <c r="E89" s="77"/>
      <c r="F89" s="77"/>
      <c r="G89" s="77"/>
      <c r="H89" s="78"/>
      <c r="I89" s="78"/>
    </row>
    <row r="90" spans="1:9" ht="42" customHeight="1" thickBot="1">
      <c r="A90" s="139"/>
      <c r="B90" s="127">
        <f>B89/B95</f>
        <v>0</v>
      </c>
      <c r="C90" s="128"/>
      <c r="D90" s="78"/>
      <c r="E90" s="77"/>
      <c r="F90" s="77"/>
      <c r="G90" s="77"/>
      <c r="H90" s="78"/>
      <c r="I90" s="78"/>
    </row>
    <row r="91" spans="1:9" ht="20.100000000000001" customHeight="1" thickBot="1">
      <c r="A91" s="76"/>
      <c r="B91" s="76"/>
      <c r="C91" s="76"/>
      <c r="D91" s="77"/>
      <c r="E91" s="77"/>
      <c r="F91" s="77"/>
      <c r="G91" s="77"/>
      <c r="H91" s="78"/>
      <c r="I91" s="78"/>
    </row>
    <row r="92" spans="1:9" ht="41.25" customHeight="1" thickBot="1">
      <c r="A92" s="138" t="s">
        <v>61</v>
      </c>
      <c r="B92" s="143">
        <f>SUM(B86,B89)</f>
        <v>0</v>
      </c>
      <c r="C92" s="144"/>
      <c r="D92" s="78"/>
      <c r="E92" s="77"/>
      <c r="F92" s="77"/>
      <c r="G92" s="79">
        <f>IF(B4="N68246", "", B4)</f>
        <v>0</v>
      </c>
      <c r="H92" s="78"/>
      <c r="I92" s="78"/>
    </row>
    <row r="93" spans="1:9" ht="41.25" customHeight="1" thickBot="1">
      <c r="A93" s="139"/>
      <c r="B93" s="127">
        <f>B92/B95</f>
        <v>0</v>
      </c>
      <c r="C93" s="128"/>
      <c r="D93" s="78"/>
      <c r="E93" s="78"/>
      <c r="F93" s="78"/>
      <c r="G93" s="79" t="str">
        <f>IF(B7=0, "", B7)</f>
        <v/>
      </c>
      <c r="H93" s="78"/>
      <c r="I93" s="78"/>
    </row>
    <row r="94" spans="1:9" ht="20.100000000000001" customHeight="1" thickBot="1">
      <c r="A94" s="80"/>
      <c r="B94" s="80"/>
      <c r="C94" s="80"/>
      <c r="D94" s="78"/>
      <c r="E94" s="78"/>
      <c r="F94" s="78"/>
      <c r="G94" s="78"/>
      <c r="H94" s="78"/>
      <c r="I94" s="78"/>
    </row>
    <row r="95" spans="1:9" ht="33.75" customHeight="1" thickBot="1">
      <c r="A95" s="81" t="s">
        <v>62</v>
      </c>
      <c r="B95" s="82">
        <v>150.44149999999999</v>
      </c>
      <c r="C95" s="83"/>
      <c r="D95" s="78"/>
      <c r="E95" s="77"/>
      <c r="F95" s="77"/>
      <c r="G95" s="77"/>
      <c r="H95" s="78"/>
      <c r="I95" s="78"/>
    </row>
    <row r="100" spans="1:1" hidden="1">
      <c r="A100" s="33" t="s">
        <v>63</v>
      </c>
    </row>
    <row r="101" spans="1:1" hidden="1">
      <c r="A101" s="33" t="s">
        <v>64</v>
      </c>
    </row>
    <row r="102" spans="1:1" hidden="1">
      <c r="A102" s="33" t="s">
        <v>65</v>
      </c>
    </row>
    <row r="103" spans="1:1" hidden="1">
      <c r="A103" s="33" t="s">
        <v>66</v>
      </c>
    </row>
    <row r="104" spans="1:1" hidden="1">
      <c r="A104" s="33" t="s">
        <v>67</v>
      </c>
    </row>
    <row r="105" spans="1:1" hidden="1">
      <c r="A105" s="33" t="s">
        <v>68</v>
      </c>
    </row>
    <row r="106" spans="1:1" hidden="1">
      <c r="A106" s="33" t="s">
        <v>69</v>
      </c>
    </row>
    <row r="107" spans="1:1" hidden="1">
      <c r="A107" s="33" t="s">
        <v>70</v>
      </c>
    </row>
    <row r="108" spans="1:1" hidden="1">
      <c r="A108" s="33" t="s">
        <v>71</v>
      </c>
    </row>
    <row r="109" spans="1:1" hidden="1">
      <c r="A109" s="33" t="s">
        <v>72</v>
      </c>
    </row>
    <row r="110" spans="1:1" hidden="1">
      <c r="A110" s="33" t="s">
        <v>73</v>
      </c>
    </row>
    <row r="111" spans="1:1" hidden="1">
      <c r="A111" s="33" t="s">
        <v>74</v>
      </c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</sheetData>
  <sheetProtection formatColumns="0" formatRows="0"/>
  <mergeCells count="54">
    <mergeCell ref="A80:A81"/>
    <mergeCell ref="A66:D66"/>
    <mergeCell ref="A44:I44"/>
    <mergeCell ref="A59:I59"/>
    <mergeCell ref="A92:A93"/>
    <mergeCell ref="B92:C92"/>
    <mergeCell ref="B93:C93"/>
    <mergeCell ref="A89:A90"/>
    <mergeCell ref="B89:C89"/>
    <mergeCell ref="B90:C90"/>
    <mergeCell ref="A55:D55"/>
    <mergeCell ref="A75:I78"/>
    <mergeCell ref="A83:A84"/>
    <mergeCell ref="B83:C84"/>
    <mergeCell ref="A86:A87"/>
    <mergeCell ref="B86:C86"/>
    <mergeCell ref="B87:C87"/>
    <mergeCell ref="A52:D52"/>
    <mergeCell ref="A53:D53"/>
    <mergeCell ref="A54:D54"/>
    <mergeCell ref="B80:C81"/>
    <mergeCell ref="B72:C72"/>
    <mergeCell ref="B57:C57"/>
    <mergeCell ref="A60:D60"/>
    <mergeCell ref="A61:D61"/>
    <mergeCell ref="A67:D67"/>
    <mergeCell ref="A68:D68"/>
    <mergeCell ref="A69:D69"/>
    <mergeCell ref="A70:D70"/>
    <mergeCell ref="A62:D62"/>
    <mergeCell ref="A63:D63"/>
    <mergeCell ref="A64:D64"/>
    <mergeCell ref="A65:D65"/>
    <mergeCell ref="A47:D47"/>
    <mergeCell ref="A48:D48"/>
    <mergeCell ref="A49:D49"/>
    <mergeCell ref="A50:D50"/>
    <mergeCell ref="A51:D51"/>
    <mergeCell ref="B95:C95"/>
    <mergeCell ref="B8:G8"/>
    <mergeCell ref="B2:G2"/>
    <mergeCell ref="B3:G3"/>
    <mergeCell ref="B4:G4"/>
    <mergeCell ref="B5:G5"/>
    <mergeCell ref="B6:G6"/>
    <mergeCell ref="B7:G7"/>
    <mergeCell ref="B10:G10"/>
    <mergeCell ref="A40:F40"/>
    <mergeCell ref="A13:I13"/>
    <mergeCell ref="A32:I32"/>
    <mergeCell ref="C41:F41"/>
    <mergeCell ref="A31:F31"/>
    <mergeCell ref="A45:D45"/>
    <mergeCell ref="A46:D46"/>
  </mergeCells>
  <dataValidations count="3">
    <dataValidation type="whole" allowBlank="1" showInputMessage="1" showErrorMessage="1" errorTitle="Wrong number entered" error="Please enter whole number" prompt="Please enter whole number" sqref="E46:E55 E61:E70 C34:F39 C15:F30" xr:uid="{00000000-0002-0000-0000-000000000000}">
      <formula1>-10000</formula1>
      <formula2>10000</formula2>
    </dataValidation>
    <dataValidation type="whole" allowBlank="1" showInputMessage="1" showErrorMessage="1" sqref="B34:B39 B15:B30" xr:uid="{00000000-0002-0000-0000-000001000000}">
      <formula1>0</formula1>
      <formula2>1000000000</formula2>
    </dataValidation>
    <dataValidation type="list" allowBlank="1" showInputMessage="1" sqref="F46:F55 F61:F70" xr:uid="{00000000-0002-0000-0000-000002000000}">
      <formula1>$M$45:$M$62</formula1>
    </dataValidation>
  </dataValidations>
  <pageMargins left="0.25" right="0.25" top="0.3" bottom="0.3" header="0.3" footer="0.3"/>
  <pageSetup scale="45" fitToHeight="0" orientation="portrait" r:id="rId1"/>
  <headerFooter alignWithMargins="0">
    <oddHeader>&amp;C&amp;"Arial,Bold"&amp;11PROPOSAL BREAKDOWN SHEET (v. 5)&amp;R&amp;"Arial,Bold"&amp;11&amp;P of &amp;N</oddHeader>
    <oddFooter>&amp;CSOURCE SELECTION INFORMATION-SEE FAR 2.101 and FAR 3.104</oddFooter>
  </headerFooter>
  <rowBreaks count="1" manualBreakCount="1">
    <brk id="4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1FED790B4A240955A170FC479023F" ma:contentTypeVersion="10" ma:contentTypeDescription="Create a new document." ma:contentTypeScope="" ma:versionID="eea38c64d2085df54178a9f9356213e5">
  <xsd:schema xmlns:xsd="http://www.w3.org/2001/XMLSchema" xmlns:xs="http://www.w3.org/2001/XMLSchema" xmlns:p="http://schemas.microsoft.com/office/2006/metadata/properties" xmlns:ns2="8cf7cb92-eb6b-4af2-bcad-b1669c293375" xmlns:ns3="5e155376-0ce4-4060-89a8-0b222f5efc85" targetNamespace="http://schemas.microsoft.com/office/2006/metadata/properties" ma:root="true" ma:fieldsID="0b1670657a6a587f27e699a7323c4f44" ns2:_="" ns3:_="">
    <xsd:import namespace="8cf7cb92-eb6b-4af2-bcad-b1669c293375"/>
    <xsd:import namespace="5e155376-0ce4-4060-89a8-0b222f5efc8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55376-0ce4-4060-89a8-0b222f5efc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J3TKVJZKTEFX-755984752-317735</_dlc_DocId>
    <_dlc_DocIdUrl xmlns="8cf7cb92-eb6b-4af2-bcad-b1669c293375">
      <Url>https://flankspeed.sharepoint-mil.us/sites/NAVSUP_FLCY_C240/_layouts/15/DocIdRedir.aspx?ID=J3TKVJZKTEFX-755984752-317735</Url>
      <Description>J3TKVJZKTEFX-755984752-317735</Description>
    </_dlc_DocIdUrl>
    <TaxCatchAll xmlns="8cf7cb92-eb6b-4af2-bcad-b1669c293375" xsi:nil="true"/>
    <lcf76f155ced4ddcb4097134ff3c332f xmlns="5e155376-0ce4-4060-89a8-0b222f5efc85" xsi:nil="true"/>
  </documentManagement>
</p:properties>
</file>

<file path=customXml/itemProps1.xml><?xml version="1.0" encoding="utf-8"?>
<ds:datastoreItem xmlns:ds="http://schemas.openxmlformats.org/officeDocument/2006/customXml" ds:itemID="{D3413FFE-B70F-4537-BFAC-5C5914A6FD0B}"/>
</file>

<file path=customXml/itemProps2.xml><?xml version="1.0" encoding="utf-8"?>
<ds:datastoreItem xmlns:ds="http://schemas.openxmlformats.org/officeDocument/2006/customXml" ds:itemID="{B248567A-93D8-458C-985D-BBA4AD9D15D8}"/>
</file>

<file path=customXml/itemProps3.xml><?xml version="1.0" encoding="utf-8"?>
<ds:datastoreItem xmlns:ds="http://schemas.openxmlformats.org/officeDocument/2006/customXml" ds:itemID="{226833D3-02D1-49F1-BAC7-1C5E5927F961}"/>
</file>

<file path=customXml/itemProps4.xml><?xml version="1.0" encoding="utf-8"?>
<ds:datastoreItem xmlns:ds="http://schemas.openxmlformats.org/officeDocument/2006/customXml" ds:itemID="{695FFB47-0202-4353-9C64-896BA9BD6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U.S. NAVY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Yamadai</dc:creator>
  <cp:keywords/>
  <dc:description/>
  <cp:lastModifiedBy>Kurita, Hiromi LN USN NAVSUP FLCY SASEBO (JPN)</cp:lastModifiedBy>
  <cp:revision/>
  <dcterms:created xsi:type="dcterms:W3CDTF">2010-02-23T06:36:56Z</dcterms:created>
  <dcterms:modified xsi:type="dcterms:W3CDTF">2026-01-06T22:49:53Z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0x010100E321FED790B4A240955A170FC479023F</vt:lpwstr>
  </property>
  <property fmtid="{D5CDD505-2E9C-101B-9397-08002B2CF9AE}" pid="3" name="_dlc_DocIdItemGuid">
    <vt:lpwstr>d75015d0-e79a-416f-ab22-2beb03b4ea93</vt:lpwstr>
  </property>
  <property fmtid="{D5CDD505-2E9C-101B-9397-08002B2CF9AE}" pid="4" name="MediaServiceImageTags">
    <vt:lpwstr/>
  </property>
  <property fmtid="{D5CDD505-2E9C-101B-9397-08002B2CF9AE}" pid="5" name="Order">
    <vt:r8>18870300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