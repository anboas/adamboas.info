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van.biza\Desktop\Rewrite\8a Janitorial\SECTION J\"/>
    </mc:Choice>
  </mc:AlternateContent>
  <xr:revisionPtr revIDLastSave="0" documentId="13_ncr:1_{97A93F3B-F9D8-4A03-AB5F-1FFEA6C55BB3}" xr6:coauthVersionLast="47" xr6:coauthVersionMax="47" xr10:uidLastSave="{00000000-0000-0000-0000-000000000000}"/>
  <bookViews>
    <workbookView xWindow="-110" yWindow="30" windowWidth="19420" windowHeight="10280" firstSheet="11" activeTab="17" xr2:uid="{00000000-000D-0000-FFFF-FFFF00000000}"/>
  </bookViews>
  <sheets>
    <sheet name="BLDG 23SN" sheetId="21" r:id="rId1"/>
    <sheet name="BLDG  2009" sheetId="23" r:id="rId2"/>
    <sheet name="BLDG 2015" sheetId="24" r:id="rId3"/>
    <sheet name="BLDG 2087" sheetId="25" r:id="rId4"/>
    <sheet name="BLDG 2100" sheetId="26" r:id="rId5"/>
    <sheet name="BLDG 2108" sheetId="27" r:id="rId6"/>
    <sheet name="BLDG 2112" sheetId="28" r:id="rId7"/>
    <sheet name="BLDG 2137" sheetId="29" r:id="rId8"/>
    <sheet name="BLDG 2144" sheetId="30" r:id="rId9"/>
    <sheet name="BLDG 2151" sheetId="31" r:id="rId10"/>
    <sheet name="BLDG 2172" sheetId="32" r:id="rId11"/>
    <sheet name="BLDG 2185" sheetId="33" r:id="rId12"/>
    <sheet name="BLDG 2195" sheetId="34" r:id="rId13"/>
    <sheet name="BLDG 2210" sheetId="35" r:id="rId14"/>
    <sheet name="BLDG 2222" sheetId="36" r:id="rId15"/>
    <sheet name="BLDG 2089" sheetId="37" r:id="rId16"/>
    <sheet name="BLDG 2147" sheetId="38" r:id="rId17"/>
    <sheet name="BLDG 2148" sheetId="39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39" l="1"/>
  <c r="F8" i="38"/>
  <c r="F6" i="37"/>
  <c r="F6" i="35"/>
  <c r="F8" i="36"/>
  <c r="F8" i="34"/>
  <c r="F6" i="33"/>
  <c r="F8" i="32"/>
  <c r="F5" i="31"/>
  <c r="F7" i="30"/>
  <c r="F6" i="29"/>
  <c r="F8" i="28"/>
  <c r="F6" i="27"/>
  <c r="F6" i="26"/>
  <c r="F5" i="25"/>
  <c r="F9" i="24"/>
  <c r="F6" i="23"/>
  <c r="F6" i="21"/>
</calcChain>
</file>

<file path=xl/sharedStrings.xml><?xml version="1.0" encoding="utf-8"?>
<sst xmlns="http://schemas.openxmlformats.org/spreadsheetml/2006/main" count="426" uniqueCount="28">
  <si>
    <t>Floor No.</t>
  </si>
  <si>
    <t>Room No.</t>
  </si>
  <si>
    <t>Floor Type</t>
  </si>
  <si>
    <t>Area (SF)</t>
  </si>
  <si>
    <t>Type of Space</t>
  </si>
  <si>
    <t>Building No.</t>
  </si>
  <si>
    <t>Window Count</t>
  </si>
  <si>
    <t>Size</t>
  </si>
  <si>
    <t>Service Class</t>
  </si>
  <si>
    <t>Tile</t>
  </si>
  <si>
    <t>C</t>
  </si>
  <si>
    <t>Carpet</t>
  </si>
  <si>
    <t>Restroom</t>
  </si>
  <si>
    <t>Security Requirements   Y/N</t>
  </si>
  <si>
    <t>PWD SOUTH POTOMAC - INDIAN HEAD</t>
  </si>
  <si>
    <t>Customer:  EOD TECH DIV at NSWC INDIAN HEAD</t>
  </si>
  <si>
    <t>Admin</t>
  </si>
  <si>
    <t>Glass</t>
  </si>
  <si>
    <t>Kitchen</t>
  </si>
  <si>
    <t xml:space="preserve">Admin </t>
  </si>
  <si>
    <t>Restroom (4)</t>
  </si>
  <si>
    <t>TOTAL SF</t>
  </si>
  <si>
    <t>Restroom (2)</t>
  </si>
  <si>
    <t>Restroom (12)</t>
  </si>
  <si>
    <t>23SN</t>
  </si>
  <si>
    <t>N</t>
  </si>
  <si>
    <t>concrete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</si>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</sst>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4" fillId="0" borderId="0"/>
    <xf numFmtId="0" fontId="1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5" fillId="0" borderId="0"/>
    <xf numFmtId="0" fontId="4" fillId="0" borderId="0"/>
    <xf numFmtId="0" fontId="4" fillId="0" borderId="0"/>
  </cellStyleXfs>
  <cellXfs count="29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3" fillId="0" borderId="1" xfId="8" applyFont="1" applyBorder="1" applyAlignment="1">
      <alignment horizontal="center" vertical="center" wrapText="1"/>
    </xf>
    <xf numFmtId="3" fontId="3" fillId="0" borderId="1" xfId="8" applyNumberFormat="1" applyFont="1" applyBorder="1" applyAlignment="1">
      <alignment horizontal="center" vertical="center" wrapText="1"/>
    </xf>
    <xf numFmtId="3" fontId="3" fillId="0" borderId="1" xfId="8" applyNumberFormat="1" applyFont="1" applyBorder="1" applyAlignment="1">
      <alignment horizontal="righ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3" fontId="3" fillId="3" borderId="1" xfId="0" applyNumberFormat="1" applyFont="1" applyFill="1" applyBorder="1" applyAlignment="1">
      <alignment horizontal="right" vertical="center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1" fontId="3" fillId="3" borderId="1" xfId="0" applyNumberFormat="1" applyFont="1" applyFill="1" applyBorder="1" applyAlignment="1">
      <alignment horizontal="left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3" fontId="6" fillId="0" borderId="0" xfId="0" applyNumberFormat="1" applyFont="1" applyAlignment="1">
      <alignment wrapText="1"/>
    </xf>
    <xf numFmtId="1" fontId="6" fillId="0" borderId="0" xfId="0" applyNumberFormat="1" applyFont="1" applyAlignment="1">
      <alignment wrapText="1"/>
    </xf>
    <xf numFmtId="1" fontId="3" fillId="3" borderId="1" xfId="0" applyNumberFormat="1" applyFont="1" applyFill="1" applyBorder="1" applyAlignment="1">
      <alignment horizontal="right"/>
    </xf>
    <xf numFmtId="3" fontId="3" fillId="5" borderId="1" xfId="8" applyNumberFormat="1" applyFont="1" applyFill="1" applyBorder="1" applyAlignment="1">
      <alignment horizontal="center" vertical="center" wrapText="1"/>
    </xf>
    <xf numFmtId="0" fontId="3" fillId="5" borderId="1" xfId="8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</cellXfs>
  <cellStyles count="9">
    <cellStyle name="Comma 2" xfId="3" xr:uid="{00000000-0005-0000-0000-000000000000}"/>
    <cellStyle name="Currency 2" xfId="4" xr:uid="{00000000-0005-0000-0000-000001000000}"/>
    <cellStyle name="Normal" xfId="0" builtinId="0"/>
    <cellStyle name="Normal 2" xfId="5" xr:uid="{00000000-0005-0000-0000-000003000000}"/>
    <cellStyle name="Normal 2 2" xfId="2" xr:uid="{00000000-0005-0000-0000-000004000000}"/>
    <cellStyle name="Normal 2 2 2" xfId="6" xr:uid="{00000000-0005-0000-0000-000005000000}"/>
    <cellStyle name="Normal 2 3" xfId="8" xr:uid="{00000000-0005-0000-0000-000006000000}"/>
    <cellStyle name="Normal 3" xfId="1" xr:uid="{00000000-0005-0000-0000-000007000000}"/>
    <cellStyle name="Normal 6" xfId="7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workbookViewId="0">
      <selection activeCell="A6" sqref="A6"/>
    </sheetView>
  </sheetViews>
  <sheetFormatPr defaultRowHeight="14.5" x14ac:dyDescent="0.35"/>
  <cols>
    <col min="1" max="1" width="9.7265625" customWidth="1"/>
    <col min="2" max="2" width="9" customWidth="1"/>
    <col min="3" max="3" width="9.54296875" customWidth="1"/>
    <col min="4" max="4" width="14.7265625" customWidth="1"/>
    <col min="5" max="5" width="11.81640625" customWidth="1"/>
    <col min="6" max="6" width="9.1796875" customWidth="1"/>
    <col min="7" max="7" width="13.453125" customWidth="1"/>
    <col min="8" max="8" width="8.1796875" customWidth="1"/>
  </cols>
  <sheetData>
    <row r="1" spans="1:11" ht="15" customHeight="1" x14ac:dyDescent="0.35">
      <c r="A1" s="25" t="s">
        <v>14</v>
      </c>
      <c r="B1" s="25"/>
      <c r="C1" s="25"/>
      <c r="D1" s="25"/>
      <c r="E1" s="25"/>
      <c r="F1" s="25"/>
      <c r="G1" s="25"/>
      <c r="H1" s="26"/>
    </row>
    <row r="2" spans="1:11" ht="16.5" customHeight="1" x14ac:dyDescent="0.35">
      <c r="A2" s="27" t="s">
        <v>15</v>
      </c>
      <c r="B2" s="27"/>
      <c r="C2" s="27"/>
      <c r="D2" s="27"/>
      <c r="E2" s="27"/>
      <c r="F2" s="27"/>
      <c r="G2" s="27"/>
      <c r="H2" s="28"/>
    </row>
    <row r="3" spans="1:11" ht="48" customHeight="1" x14ac:dyDescent="0.35">
      <c r="A3" s="1" t="s">
        <v>5</v>
      </c>
      <c r="B3" s="1" t="s">
        <v>0</v>
      </c>
      <c r="C3" s="1" t="s">
        <v>1</v>
      </c>
      <c r="D3" s="1" t="s">
        <v>4</v>
      </c>
      <c r="E3" s="1" t="s">
        <v>2</v>
      </c>
      <c r="F3" s="1" t="s">
        <v>3</v>
      </c>
      <c r="G3" s="1" t="s">
        <v>13</v>
      </c>
      <c r="H3" s="1" t="s">
        <v>8</v>
      </c>
      <c r="J3" s="9" t="s">
        <v>6</v>
      </c>
      <c r="K3" s="10" t="s">
        <v>7</v>
      </c>
    </row>
    <row r="4" spans="1:11" ht="17.25" customHeight="1" x14ac:dyDescent="0.35">
      <c r="A4" s="12" t="s">
        <v>24</v>
      </c>
      <c r="B4" s="13"/>
      <c r="C4" s="13"/>
      <c r="D4" s="13" t="s">
        <v>16</v>
      </c>
      <c r="E4" s="13" t="s">
        <v>9</v>
      </c>
      <c r="F4" s="14">
        <v>624</v>
      </c>
      <c r="G4" s="8"/>
      <c r="H4" s="7" t="s">
        <v>10</v>
      </c>
      <c r="J4" s="3"/>
      <c r="K4" s="4"/>
    </row>
    <row r="5" spans="1:11" ht="15.75" customHeight="1" x14ac:dyDescent="0.35">
      <c r="A5" s="12" t="s">
        <v>24</v>
      </c>
      <c r="B5" s="13"/>
      <c r="C5" s="13"/>
      <c r="D5" s="13" t="s">
        <v>12</v>
      </c>
      <c r="E5" s="13" t="s">
        <v>9</v>
      </c>
      <c r="F5" s="14">
        <v>78</v>
      </c>
      <c r="G5" s="8"/>
      <c r="H5" s="6" t="s">
        <v>10</v>
      </c>
      <c r="J5" s="3"/>
      <c r="K5" s="4"/>
    </row>
    <row r="6" spans="1:11" x14ac:dyDescent="0.35">
      <c r="A6" s="18"/>
      <c r="B6" s="18"/>
      <c r="C6" s="18"/>
      <c r="D6" s="18"/>
      <c r="E6" s="19" t="s">
        <v>21</v>
      </c>
      <c r="F6" s="20">
        <f>SUM(F4:F5)</f>
        <v>702</v>
      </c>
      <c r="G6" s="18"/>
      <c r="H6" s="18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workbookViewId="0">
      <selection activeCell="F23" sqref="F23"/>
    </sheetView>
  </sheetViews>
  <sheetFormatPr defaultRowHeight="14.5" x14ac:dyDescent="0.35"/>
  <cols>
    <col min="1" max="1" width="9.7265625" customWidth="1"/>
    <col min="2" max="2" width="9" customWidth="1"/>
    <col min="3" max="3" width="9.54296875" customWidth="1"/>
    <col min="4" max="4" width="16" customWidth="1"/>
    <col min="5" max="5" width="12" customWidth="1"/>
    <col min="6" max="6" width="9.1796875" customWidth="1"/>
    <col min="7" max="7" width="13.453125" customWidth="1"/>
    <col min="8" max="8" width="8.1796875" customWidth="1"/>
  </cols>
  <sheetData>
    <row r="1" spans="1:11" ht="15" customHeight="1" x14ac:dyDescent="0.35">
      <c r="A1" s="25" t="s">
        <v>14</v>
      </c>
      <c r="B1" s="25"/>
      <c r="C1" s="25"/>
      <c r="D1" s="25"/>
      <c r="E1" s="25"/>
      <c r="F1" s="25"/>
      <c r="G1" s="25"/>
      <c r="H1" s="26"/>
    </row>
    <row r="2" spans="1:11" ht="16.5" customHeight="1" x14ac:dyDescent="0.35">
      <c r="A2" s="27" t="s">
        <v>15</v>
      </c>
      <c r="B2" s="27"/>
      <c r="C2" s="27"/>
      <c r="D2" s="27"/>
      <c r="E2" s="27"/>
      <c r="F2" s="27"/>
      <c r="G2" s="27"/>
      <c r="H2" s="28"/>
    </row>
    <row r="3" spans="1:11" ht="48" customHeight="1" x14ac:dyDescent="0.35">
      <c r="A3" s="1" t="s">
        <v>5</v>
      </c>
      <c r="B3" s="1" t="s">
        <v>0</v>
      </c>
      <c r="C3" s="1" t="s">
        <v>1</v>
      </c>
      <c r="D3" s="1" t="s">
        <v>4</v>
      </c>
      <c r="E3" s="1" t="s">
        <v>2</v>
      </c>
      <c r="F3" s="1" t="s">
        <v>3</v>
      </c>
      <c r="G3" s="1" t="s">
        <v>13</v>
      </c>
      <c r="H3" s="1" t="s">
        <v>8</v>
      </c>
      <c r="J3" s="9" t="s">
        <v>6</v>
      </c>
      <c r="K3" s="10" t="s">
        <v>7</v>
      </c>
    </row>
    <row r="4" spans="1:11" ht="17.25" customHeight="1" x14ac:dyDescent="0.35">
      <c r="A4" s="11">
        <v>2009</v>
      </c>
      <c r="B4" s="15"/>
      <c r="C4" s="15"/>
      <c r="D4" s="15" t="s">
        <v>16</v>
      </c>
      <c r="E4" s="15" t="s">
        <v>11</v>
      </c>
      <c r="F4" s="22">
        <v>1222</v>
      </c>
      <c r="G4" s="8"/>
      <c r="H4" s="7" t="s">
        <v>10</v>
      </c>
      <c r="J4" s="3"/>
      <c r="K4" s="4"/>
    </row>
    <row r="5" spans="1:11" ht="15.75" customHeight="1" x14ac:dyDescent="0.35">
      <c r="A5" s="11">
        <v>2009</v>
      </c>
      <c r="B5" s="15"/>
      <c r="C5" s="15"/>
      <c r="D5" s="15" t="s">
        <v>22</v>
      </c>
      <c r="E5" s="15" t="s">
        <v>9</v>
      </c>
      <c r="F5" s="22">
        <v>81</v>
      </c>
      <c r="G5" s="8"/>
      <c r="H5" s="6" t="s">
        <v>10</v>
      </c>
      <c r="J5" s="3"/>
      <c r="K5" s="4"/>
    </row>
    <row r="6" spans="1:11" x14ac:dyDescent="0.35">
      <c r="A6" s="5"/>
      <c r="B6" s="5"/>
      <c r="C6" s="5"/>
      <c r="D6" s="5"/>
      <c r="E6" s="19" t="s">
        <v>21</v>
      </c>
      <c r="F6" s="21">
        <f>SUM(F4:F5)</f>
        <v>1303</v>
      </c>
      <c r="G6" s="5"/>
      <c r="H6" s="5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K9"/>
  <sheetViews>
    <sheetView workbookViewId="0">
      <selection activeCell="F4" sqref="F4:F8"/>
    </sheetView>
  </sheetViews>
  <sheetFormatPr defaultRowHeight="14.5" x14ac:dyDescent="0.35"/>
  <cols>
    <col min="1" max="1" width="9.7265625" customWidth="1"/>
    <col min="2" max="2" width="9" customWidth="1"/>
    <col min="3" max="3" width="9.54296875" customWidth="1"/>
    <col min="4" max="4" width="16.1796875" customWidth="1"/>
    <col min="5" max="5" width="11.26953125" customWidth="1"/>
    <col min="6" max="6" width="9.1796875" customWidth="1"/>
    <col min="7" max="7" width="13.453125" customWidth="1"/>
    <col min="8" max="8" width="8.1796875" customWidth="1"/>
  </cols>
  <sheetData>
    <row r="1" spans="1:11" ht="15" customHeight="1" x14ac:dyDescent="0.35">
      <c r="A1" s="25" t="s">
        <v>14</v>
      </c>
      <c r="B1" s="25"/>
      <c r="C1" s="25"/>
      <c r="D1" s="25"/>
      <c r="E1" s="25"/>
      <c r="F1" s="25"/>
      <c r="G1" s="25"/>
      <c r="H1" s="26"/>
    </row>
    <row r="2" spans="1:11" ht="16.5" customHeight="1" x14ac:dyDescent="0.35">
      <c r="A2" s="27" t="s">
        <v>15</v>
      </c>
      <c r="B2" s="27"/>
      <c r="C2" s="27"/>
      <c r="D2" s="27"/>
      <c r="E2" s="27"/>
      <c r="F2" s="27"/>
      <c r="G2" s="27"/>
      <c r="H2" s="28"/>
    </row>
    <row r="3" spans="1:11" ht="48" customHeight="1" x14ac:dyDescent="0.35">
      <c r="A3" s="1" t="s">
        <v>5</v>
      </c>
      <c r="B3" s="1" t="s">
        <v>0</v>
      </c>
      <c r="C3" s="1" t="s">
        <v>1</v>
      </c>
      <c r="D3" s="1" t="s">
        <v>4</v>
      </c>
      <c r="E3" s="1" t="s">
        <v>2</v>
      </c>
      <c r="F3" s="1" t="s">
        <v>3</v>
      </c>
      <c r="G3" s="1" t="s">
        <v>13</v>
      </c>
      <c r="H3" s="1" t="s">
        <v>8</v>
      </c>
      <c r="J3" s="9" t="s">
        <v>6</v>
      </c>
      <c r="K3" s="10" t="s">
        <v>7</v>
      </c>
    </row>
    <row r="4" spans="1:11" ht="17.25" customHeight="1" x14ac:dyDescent="0.35">
      <c r="A4" s="11">
        <v>2015</v>
      </c>
      <c r="B4" s="15"/>
      <c r="C4" s="15"/>
      <c r="D4" s="15" t="s">
        <v>16</v>
      </c>
      <c r="E4" s="15" t="s">
        <v>11</v>
      </c>
      <c r="F4" s="22">
        <v>15807</v>
      </c>
      <c r="G4" s="23" t="s">
        <v>27</v>
      </c>
      <c r="H4" s="7" t="s">
        <v>10</v>
      </c>
      <c r="J4" s="3"/>
      <c r="K4" s="4"/>
    </row>
    <row r="5" spans="1:11" ht="15.75" customHeight="1" x14ac:dyDescent="0.35">
      <c r="A5" s="11">
        <v>2015</v>
      </c>
      <c r="B5" s="15"/>
      <c r="C5" s="15"/>
      <c r="D5" s="15" t="s">
        <v>16</v>
      </c>
      <c r="E5" s="15" t="s">
        <v>9</v>
      </c>
      <c r="F5" s="22">
        <v>4925</v>
      </c>
      <c r="G5" s="23" t="s">
        <v>27</v>
      </c>
      <c r="H5" s="6" t="s">
        <v>10</v>
      </c>
      <c r="J5" s="3"/>
      <c r="K5" s="4"/>
    </row>
    <row r="6" spans="1:11" x14ac:dyDescent="0.35">
      <c r="A6" s="11">
        <v>2015</v>
      </c>
      <c r="B6" s="15"/>
      <c r="C6" s="15"/>
      <c r="D6" s="15" t="s">
        <v>16</v>
      </c>
      <c r="E6" s="15" t="s">
        <v>17</v>
      </c>
      <c r="F6" s="22">
        <v>50</v>
      </c>
      <c r="G6" s="24" t="s">
        <v>27</v>
      </c>
      <c r="H6" s="6" t="s">
        <v>10</v>
      </c>
      <c r="J6" s="2"/>
      <c r="K6" s="2"/>
    </row>
    <row r="7" spans="1:11" x14ac:dyDescent="0.35">
      <c r="A7" s="11">
        <v>2015</v>
      </c>
      <c r="B7" s="15"/>
      <c r="C7" s="15"/>
      <c r="D7" s="15" t="s">
        <v>20</v>
      </c>
      <c r="E7" s="15" t="s">
        <v>9</v>
      </c>
      <c r="F7" s="22">
        <v>1124</v>
      </c>
      <c r="G7" s="23" t="s">
        <v>27</v>
      </c>
      <c r="H7" s="6" t="s">
        <v>10</v>
      </c>
      <c r="J7" s="2"/>
      <c r="K7" s="2"/>
    </row>
    <row r="8" spans="1:11" x14ac:dyDescent="0.35">
      <c r="A8" s="11">
        <v>2015</v>
      </c>
      <c r="B8" s="15"/>
      <c r="C8" s="15"/>
      <c r="D8" s="15" t="s">
        <v>18</v>
      </c>
      <c r="E8" s="15" t="s">
        <v>9</v>
      </c>
      <c r="F8" s="22">
        <v>454</v>
      </c>
      <c r="G8" s="23" t="s">
        <v>27</v>
      </c>
      <c r="H8" s="7" t="s">
        <v>10</v>
      </c>
      <c r="J8" s="2"/>
      <c r="K8" s="2"/>
    </row>
    <row r="9" spans="1:11" x14ac:dyDescent="0.35">
      <c r="A9" s="5"/>
      <c r="B9" s="5"/>
      <c r="C9" s="5"/>
      <c r="D9" s="5"/>
      <c r="E9" s="19" t="s">
        <v>21</v>
      </c>
      <c r="F9" s="21">
        <f>SUM(F4:F8)</f>
        <v>22360</v>
      </c>
      <c r="G9" s="5"/>
      <c r="H9" s="5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"/>
  <sheetViews>
    <sheetView workbookViewId="0">
      <selection activeCell="J10" sqref="J10"/>
    </sheetView>
  </sheetViews>
  <sheetFormatPr defaultRowHeight="14.5" x14ac:dyDescent="0.35"/>
  <cols>
    <col min="1" max="1" width="9.7265625" customWidth="1"/>
    <col min="2" max="2" width="9" customWidth="1"/>
    <col min="3" max="3" width="9.54296875" customWidth="1"/>
    <col min="4" max="4" width="15.54296875" customWidth="1"/>
    <col min="5" max="5" width="12" customWidth="1"/>
    <col min="6" max="6" width="9.1796875" customWidth="1"/>
    <col min="7" max="7" width="13.453125" customWidth="1"/>
    <col min="8" max="8" width="8.1796875" customWidth="1"/>
  </cols>
  <sheetData>
    <row r="1" spans="1:11" ht="15" customHeight="1" x14ac:dyDescent="0.35">
      <c r="A1" s="25" t="s">
        <v>14</v>
      </c>
      <c r="B1" s="25"/>
      <c r="C1" s="25"/>
      <c r="D1" s="25"/>
      <c r="E1" s="25"/>
      <c r="F1" s="25"/>
      <c r="G1" s="25"/>
      <c r="H1" s="26"/>
    </row>
    <row r="2" spans="1:11" ht="16.5" customHeight="1" x14ac:dyDescent="0.35">
      <c r="A2" s="27" t="s">
        <v>15</v>
      </c>
      <c r="B2" s="27"/>
      <c r="C2" s="27"/>
      <c r="D2" s="27"/>
      <c r="E2" s="27"/>
      <c r="F2" s="27"/>
      <c r="G2" s="27"/>
      <c r="H2" s="28"/>
    </row>
    <row r="3" spans="1:11" ht="48" customHeight="1" x14ac:dyDescent="0.35">
      <c r="A3" s="1" t="s">
        <v>5</v>
      </c>
      <c r="B3" s="1" t="s">
        <v>0</v>
      </c>
      <c r="C3" s="1" t="s">
        <v>1</v>
      </c>
      <c r="D3" s="1" t="s">
        <v>4</v>
      </c>
      <c r="E3" s="1" t="s">
        <v>2</v>
      </c>
      <c r="F3" s="1" t="s">
        <v>3</v>
      </c>
      <c r="G3" s="1" t="s">
        <v>13</v>
      </c>
      <c r="H3" s="1" t="s">
        <v>8</v>
      </c>
      <c r="J3" s="9" t="s">
        <v>6</v>
      </c>
      <c r="K3" s="10" t="s">
        <v>7</v>
      </c>
    </row>
    <row r="4" spans="1:11" ht="17.25" customHeight="1" x14ac:dyDescent="0.35">
      <c r="A4" s="11">
        <v>2087</v>
      </c>
      <c r="B4" s="15"/>
      <c r="C4" s="15"/>
      <c r="D4" s="15" t="s">
        <v>22</v>
      </c>
      <c r="E4" s="15" t="s">
        <v>9</v>
      </c>
      <c r="F4" s="16">
        <v>127</v>
      </c>
      <c r="G4" s="7" t="s">
        <v>25</v>
      </c>
      <c r="H4" s="7" t="s">
        <v>10</v>
      </c>
      <c r="J4" s="3"/>
      <c r="K4" s="4"/>
    </row>
    <row r="5" spans="1:11" x14ac:dyDescent="0.35">
      <c r="A5" s="5"/>
      <c r="B5" s="5"/>
      <c r="C5" s="5"/>
      <c r="D5" s="5"/>
      <c r="E5" s="19" t="s">
        <v>21</v>
      </c>
      <c r="F5" s="21">
        <f>SUM(F4)</f>
        <v>127</v>
      </c>
      <c r="G5" s="5"/>
      <c r="H5" s="5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"/>
  <sheetViews>
    <sheetView workbookViewId="0">
      <selection activeCell="L8" sqref="L8"/>
    </sheetView>
  </sheetViews>
  <sheetFormatPr defaultRowHeight="14.5" x14ac:dyDescent="0.35"/>
  <cols>
    <col min="1" max="1" width="9.7265625" customWidth="1"/>
    <col min="2" max="2" width="9" customWidth="1"/>
    <col min="3" max="3" width="9.54296875" customWidth="1"/>
    <col min="4" max="4" width="15.54296875" customWidth="1"/>
    <col min="5" max="5" width="11.81640625" customWidth="1"/>
    <col min="6" max="6" width="9.1796875" customWidth="1"/>
    <col min="7" max="7" width="13.453125" customWidth="1"/>
    <col min="8" max="8" width="8.1796875" customWidth="1"/>
  </cols>
  <sheetData>
    <row r="1" spans="1:11" ht="15" customHeight="1" x14ac:dyDescent="0.35">
      <c r="A1" s="25" t="s">
        <v>14</v>
      </c>
      <c r="B1" s="25"/>
      <c r="C1" s="25"/>
      <c r="D1" s="25"/>
      <c r="E1" s="25"/>
      <c r="F1" s="25"/>
      <c r="G1" s="25"/>
      <c r="H1" s="26"/>
    </row>
    <row r="2" spans="1:11" ht="16.5" customHeight="1" x14ac:dyDescent="0.35">
      <c r="A2" s="27" t="s">
        <v>15</v>
      </c>
      <c r="B2" s="27"/>
      <c r="C2" s="27"/>
      <c r="D2" s="27"/>
      <c r="E2" s="27"/>
      <c r="F2" s="27"/>
      <c r="G2" s="27"/>
      <c r="H2" s="28"/>
    </row>
    <row r="3" spans="1:11" ht="48" customHeight="1" x14ac:dyDescent="0.35">
      <c r="A3" s="1" t="s">
        <v>5</v>
      </c>
      <c r="B3" s="1" t="s">
        <v>0</v>
      </c>
      <c r="C3" s="1" t="s">
        <v>1</v>
      </c>
      <c r="D3" s="1" t="s">
        <v>4</v>
      </c>
      <c r="E3" s="1" t="s">
        <v>2</v>
      </c>
      <c r="F3" s="1" t="s">
        <v>3</v>
      </c>
      <c r="G3" s="1" t="s">
        <v>13</v>
      </c>
      <c r="H3" s="1" t="s">
        <v>8</v>
      </c>
      <c r="J3" s="9" t="s">
        <v>6</v>
      </c>
      <c r="K3" s="10" t="s">
        <v>7</v>
      </c>
    </row>
    <row r="4" spans="1:11" ht="17.25" customHeight="1" x14ac:dyDescent="0.35">
      <c r="A4" s="11">
        <v>2100</v>
      </c>
      <c r="B4" s="15"/>
      <c r="C4" s="15"/>
      <c r="D4" s="15" t="s">
        <v>16</v>
      </c>
      <c r="E4" s="15" t="s">
        <v>9</v>
      </c>
      <c r="F4" s="16">
        <v>387</v>
      </c>
      <c r="G4" s="7" t="s">
        <v>25</v>
      </c>
      <c r="H4" s="7" t="s">
        <v>10</v>
      </c>
      <c r="J4" s="3"/>
      <c r="K4" s="4"/>
    </row>
    <row r="5" spans="1:11" ht="15.75" customHeight="1" x14ac:dyDescent="0.35">
      <c r="A5" s="11">
        <v>2100</v>
      </c>
      <c r="B5" s="15"/>
      <c r="C5" s="15"/>
      <c r="D5" s="15" t="s">
        <v>12</v>
      </c>
      <c r="E5" s="15" t="s">
        <v>9</v>
      </c>
      <c r="F5" s="16">
        <v>80</v>
      </c>
      <c r="G5" s="7" t="s">
        <v>25</v>
      </c>
      <c r="H5" s="6" t="s">
        <v>10</v>
      </c>
      <c r="J5" s="3"/>
      <c r="K5" s="4"/>
    </row>
    <row r="6" spans="1:11" x14ac:dyDescent="0.35">
      <c r="A6" s="5"/>
      <c r="B6" s="5"/>
      <c r="C6" s="5"/>
      <c r="D6" s="5"/>
      <c r="E6" s="19" t="s">
        <v>21</v>
      </c>
      <c r="F6" s="21">
        <f>SUM(F4:F5)</f>
        <v>467</v>
      </c>
      <c r="G6" s="5"/>
      <c r="H6" s="5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"/>
  <sheetViews>
    <sheetView workbookViewId="0">
      <selection activeCell="G4" sqref="G4"/>
    </sheetView>
  </sheetViews>
  <sheetFormatPr defaultRowHeight="14.5" x14ac:dyDescent="0.35"/>
  <cols>
    <col min="1" max="1" width="9.7265625" customWidth="1"/>
    <col min="2" max="2" width="9" customWidth="1"/>
    <col min="3" max="3" width="9.54296875" customWidth="1"/>
    <col min="4" max="4" width="15.453125" customWidth="1"/>
    <col min="5" max="5" width="11.7265625" customWidth="1"/>
    <col min="6" max="6" width="9.1796875" customWidth="1"/>
    <col min="7" max="7" width="13.453125" customWidth="1"/>
    <col min="8" max="8" width="8.1796875" customWidth="1"/>
  </cols>
  <sheetData>
    <row r="1" spans="1:11" ht="15" customHeight="1" x14ac:dyDescent="0.35">
      <c r="A1" s="25" t="s">
        <v>14</v>
      </c>
      <c r="B1" s="25"/>
      <c r="C1" s="25"/>
      <c r="D1" s="25"/>
      <c r="E1" s="25"/>
      <c r="F1" s="25"/>
      <c r="G1" s="25"/>
      <c r="H1" s="26"/>
    </row>
    <row r="2" spans="1:11" ht="16.5" customHeight="1" x14ac:dyDescent="0.35">
      <c r="A2" s="27" t="s">
        <v>15</v>
      </c>
      <c r="B2" s="27"/>
      <c r="C2" s="27"/>
      <c r="D2" s="27"/>
      <c r="E2" s="27"/>
      <c r="F2" s="27"/>
      <c r="G2" s="27"/>
      <c r="H2" s="28"/>
    </row>
    <row r="3" spans="1:11" ht="48" customHeight="1" x14ac:dyDescent="0.35">
      <c r="A3" s="1" t="s">
        <v>5</v>
      </c>
      <c r="B3" s="1" t="s">
        <v>0</v>
      </c>
      <c r="C3" s="1" t="s">
        <v>1</v>
      </c>
      <c r="D3" s="1" t="s">
        <v>4</v>
      </c>
      <c r="E3" s="1" t="s">
        <v>2</v>
      </c>
      <c r="F3" s="1" t="s">
        <v>3</v>
      </c>
      <c r="G3" s="1" t="s">
        <v>13</v>
      </c>
      <c r="H3" s="1" t="s">
        <v>8</v>
      </c>
      <c r="J3" s="9" t="s">
        <v>6</v>
      </c>
      <c r="K3" s="10" t="s">
        <v>7</v>
      </c>
    </row>
    <row r="4" spans="1:11" ht="17.25" customHeight="1" x14ac:dyDescent="0.35">
      <c r="A4" s="11">
        <v>2108</v>
      </c>
      <c r="B4" s="15"/>
      <c r="C4" s="15"/>
      <c r="D4" s="15" t="s">
        <v>16</v>
      </c>
      <c r="E4" s="15" t="s">
        <v>9</v>
      </c>
      <c r="F4" s="16">
        <v>579</v>
      </c>
      <c r="G4" s="7" t="s">
        <v>25</v>
      </c>
      <c r="H4" s="7" t="s">
        <v>10</v>
      </c>
      <c r="J4" s="3"/>
      <c r="K4" s="4"/>
    </row>
    <row r="5" spans="1:11" ht="15.75" customHeight="1" x14ac:dyDescent="0.35">
      <c r="A5" s="11">
        <v>2108</v>
      </c>
      <c r="B5" s="15"/>
      <c r="C5" s="15"/>
      <c r="D5" s="15" t="s">
        <v>12</v>
      </c>
      <c r="E5" s="15" t="s">
        <v>9</v>
      </c>
      <c r="F5" s="16">
        <v>84</v>
      </c>
      <c r="G5" s="7" t="s">
        <v>25</v>
      </c>
      <c r="H5" s="6" t="s">
        <v>10</v>
      </c>
      <c r="J5" s="3"/>
      <c r="K5" s="4"/>
    </row>
    <row r="6" spans="1:11" x14ac:dyDescent="0.35">
      <c r="A6" s="5"/>
      <c r="B6" s="5"/>
      <c r="C6" s="5"/>
      <c r="D6" s="5"/>
      <c r="E6" s="19" t="s">
        <v>21</v>
      </c>
      <c r="F6" s="21">
        <f>SUM(F4:F5)</f>
        <v>663</v>
      </c>
      <c r="G6" s="5"/>
      <c r="H6" s="5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K8"/>
  <sheetViews>
    <sheetView workbookViewId="0">
      <selection activeCell="G31" sqref="G31"/>
    </sheetView>
  </sheetViews>
  <sheetFormatPr defaultRowHeight="14.5" x14ac:dyDescent="0.35"/>
  <cols>
    <col min="1" max="1" width="9.7265625" customWidth="1"/>
    <col min="2" max="2" width="9" customWidth="1"/>
    <col min="3" max="3" width="9.54296875" customWidth="1"/>
    <col min="4" max="4" width="15.7265625" customWidth="1"/>
    <col min="5" max="5" width="11.7265625" customWidth="1"/>
    <col min="6" max="6" width="9.1796875" customWidth="1"/>
    <col min="7" max="7" width="13.453125" customWidth="1"/>
    <col min="8" max="8" width="8.1796875" customWidth="1"/>
  </cols>
  <sheetData>
    <row r="1" spans="1:11" ht="15" customHeight="1" x14ac:dyDescent="0.35">
      <c r="A1" s="25" t="s">
        <v>14</v>
      </c>
      <c r="B1" s="25"/>
      <c r="C1" s="25"/>
      <c r="D1" s="25"/>
      <c r="E1" s="25"/>
      <c r="F1" s="25"/>
      <c r="G1" s="25"/>
      <c r="H1" s="26"/>
    </row>
    <row r="2" spans="1:11" ht="16.5" customHeight="1" x14ac:dyDescent="0.35">
      <c r="A2" s="27" t="s">
        <v>15</v>
      </c>
      <c r="B2" s="27"/>
      <c r="C2" s="27"/>
      <c r="D2" s="27"/>
      <c r="E2" s="27"/>
      <c r="F2" s="27"/>
      <c r="G2" s="27"/>
      <c r="H2" s="28"/>
    </row>
    <row r="3" spans="1:11" ht="48" customHeight="1" x14ac:dyDescent="0.35">
      <c r="A3" s="1" t="s">
        <v>5</v>
      </c>
      <c r="B3" s="1" t="s">
        <v>0</v>
      </c>
      <c r="C3" s="1" t="s">
        <v>1</v>
      </c>
      <c r="D3" s="1" t="s">
        <v>4</v>
      </c>
      <c r="E3" s="1" t="s">
        <v>2</v>
      </c>
      <c r="F3" s="1" t="s">
        <v>3</v>
      </c>
      <c r="G3" s="1" t="s">
        <v>13</v>
      </c>
      <c r="H3" s="1" t="s">
        <v>8</v>
      </c>
      <c r="J3" s="9" t="s">
        <v>6</v>
      </c>
      <c r="K3" s="10" t="s">
        <v>7</v>
      </c>
    </row>
    <row r="4" spans="1:11" ht="17.25" customHeight="1" x14ac:dyDescent="0.35">
      <c r="A4" s="11">
        <v>2112</v>
      </c>
      <c r="B4" s="15"/>
      <c r="C4" s="15"/>
      <c r="D4" s="15" t="s">
        <v>16</v>
      </c>
      <c r="E4" s="15" t="s">
        <v>11</v>
      </c>
      <c r="F4" s="22">
        <v>7239</v>
      </c>
      <c r="G4" s="23" t="s">
        <v>27</v>
      </c>
      <c r="H4" s="7" t="s">
        <v>10</v>
      </c>
      <c r="J4" s="3"/>
      <c r="K4" s="4"/>
    </row>
    <row r="5" spans="1:11" ht="15.75" customHeight="1" x14ac:dyDescent="0.35">
      <c r="A5" s="11">
        <v>2112</v>
      </c>
      <c r="B5" s="15"/>
      <c r="C5" s="15"/>
      <c r="D5" s="15" t="s">
        <v>16</v>
      </c>
      <c r="E5" s="15" t="s">
        <v>9</v>
      </c>
      <c r="F5" s="22">
        <v>180</v>
      </c>
      <c r="G5" s="23" t="s">
        <v>27</v>
      </c>
      <c r="H5" s="6" t="s">
        <v>10</v>
      </c>
      <c r="J5" s="3"/>
      <c r="K5" s="4"/>
    </row>
    <row r="6" spans="1:11" x14ac:dyDescent="0.35">
      <c r="A6" s="11">
        <v>2112</v>
      </c>
      <c r="B6" s="15"/>
      <c r="C6" s="15"/>
      <c r="D6" s="15" t="s">
        <v>22</v>
      </c>
      <c r="E6" s="15" t="s">
        <v>9</v>
      </c>
      <c r="F6" s="22">
        <v>98</v>
      </c>
      <c r="G6" s="23" t="s">
        <v>27</v>
      </c>
      <c r="H6" s="6" t="s">
        <v>10</v>
      </c>
      <c r="J6" s="2"/>
      <c r="K6" s="2"/>
    </row>
    <row r="7" spans="1:11" x14ac:dyDescent="0.35">
      <c r="A7" s="11">
        <v>2112</v>
      </c>
      <c r="B7" s="15"/>
      <c r="C7" s="15"/>
      <c r="D7" s="15" t="s">
        <v>18</v>
      </c>
      <c r="E7" s="15" t="s">
        <v>9</v>
      </c>
      <c r="F7" s="22">
        <v>90</v>
      </c>
      <c r="G7" s="23" t="s">
        <v>27</v>
      </c>
      <c r="H7" s="6" t="s">
        <v>10</v>
      </c>
      <c r="J7" s="2"/>
      <c r="K7" s="2"/>
    </row>
    <row r="8" spans="1:11" x14ac:dyDescent="0.35">
      <c r="A8" s="5"/>
      <c r="B8" s="5"/>
      <c r="C8" s="5"/>
      <c r="D8" s="5"/>
      <c r="E8" s="19" t="s">
        <v>21</v>
      </c>
      <c r="F8" s="21">
        <f>SUM(F4:F7)</f>
        <v>7607</v>
      </c>
      <c r="G8" s="5"/>
      <c r="H8" s="5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6"/>
  <sheetViews>
    <sheetView workbookViewId="0">
      <selection activeCell="G4" sqref="G4:G5"/>
    </sheetView>
  </sheetViews>
  <sheetFormatPr defaultRowHeight="14.5" x14ac:dyDescent="0.35"/>
  <cols>
    <col min="1" max="1" width="9.7265625" customWidth="1"/>
    <col min="2" max="2" width="9" customWidth="1"/>
    <col min="3" max="3" width="9.54296875" customWidth="1"/>
    <col min="4" max="4" width="15.1796875" customWidth="1"/>
    <col min="5" max="5" width="11.7265625" customWidth="1"/>
    <col min="6" max="6" width="9.1796875" customWidth="1"/>
    <col min="7" max="7" width="13.453125" customWidth="1"/>
    <col min="8" max="8" width="8.1796875" customWidth="1"/>
  </cols>
  <sheetData>
    <row r="1" spans="1:11" ht="15" customHeight="1" x14ac:dyDescent="0.35">
      <c r="A1" s="25" t="s">
        <v>14</v>
      </c>
      <c r="B1" s="25"/>
      <c r="C1" s="25"/>
      <c r="D1" s="25"/>
      <c r="E1" s="25"/>
      <c r="F1" s="25"/>
      <c r="G1" s="25"/>
      <c r="H1" s="26"/>
    </row>
    <row r="2" spans="1:11" ht="16.5" customHeight="1" x14ac:dyDescent="0.35">
      <c r="A2" s="27" t="s">
        <v>15</v>
      </c>
      <c r="B2" s="27"/>
      <c r="C2" s="27"/>
      <c r="D2" s="27"/>
      <c r="E2" s="27"/>
      <c r="F2" s="27"/>
      <c r="G2" s="27"/>
      <c r="H2" s="28"/>
    </row>
    <row r="3" spans="1:11" ht="48" customHeight="1" x14ac:dyDescent="0.35">
      <c r="A3" s="1" t="s">
        <v>5</v>
      </c>
      <c r="B3" s="1" t="s">
        <v>0</v>
      </c>
      <c r="C3" s="1" t="s">
        <v>1</v>
      </c>
      <c r="D3" s="1" t="s">
        <v>4</v>
      </c>
      <c r="E3" s="1" t="s">
        <v>2</v>
      </c>
      <c r="F3" s="1" t="s">
        <v>3</v>
      </c>
      <c r="G3" s="1" t="s">
        <v>13</v>
      </c>
      <c r="H3" s="1" t="s">
        <v>8</v>
      </c>
      <c r="J3" s="9" t="s">
        <v>6</v>
      </c>
      <c r="K3" s="10" t="s">
        <v>7</v>
      </c>
    </row>
    <row r="4" spans="1:11" ht="17.25" customHeight="1" x14ac:dyDescent="0.35">
      <c r="A4" s="11">
        <v>2137</v>
      </c>
      <c r="B4" s="15"/>
      <c r="C4" s="15"/>
      <c r="D4" s="15" t="s">
        <v>16</v>
      </c>
      <c r="E4" s="15" t="s">
        <v>9</v>
      </c>
      <c r="F4" s="22">
        <v>1346</v>
      </c>
      <c r="G4" s="7" t="s">
        <v>25</v>
      </c>
      <c r="H4" s="7" t="s">
        <v>10</v>
      </c>
      <c r="J4" s="3"/>
      <c r="K4" s="4"/>
    </row>
    <row r="5" spans="1:11" ht="15.75" customHeight="1" x14ac:dyDescent="0.35">
      <c r="A5" s="11">
        <v>2137</v>
      </c>
      <c r="B5" s="15"/>
      <c r="C5" s="15"/>
      <c r="D5" s="15" t="s">
        <v>22</v>
      </c>
      <c r="E5" s="15" t="s">
        <v>9</v>
      </c>
      <c r="F5" s="22">
        <v>337</v>
      </c>
      <c r="G5" s="7" t="s">
        <v>25</v>
      </c>
      <c r="H5" s="6" t="s">
        <v>10</v>
      </c>
      <c r="J5" s="3"/>
      <c r="K5" s="4"/>
    </row>
    <row r="6" spans="1:11" x14ac:dyDescent="0.35">
      <c r="A6" s="5"/>
      <c r="B6" s="5"/>
      <c r="C6" s="5"/>
      <c r="D6" s="5"/>
      <c r="E6" s="19" t="s">
        <v>21</v>
      </c>
      <c r="F6" s="21">
        <f>SUM(F4:F5)</f>
        <v>1683</v>
      </c>
      <c r="G6" s="5"/>
      <c r="H6" s="5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7"/>
  <sheetViews>
    <sheetView workbookViewId="0">
      <selection activeCell="G4" sqref="G4:G6"/>
    </sheetView>
  </sheetViews>
  <sheetFormatPr defaultRowHeight="14.5" x14ac:dyDescent="0.35"/>
  <cols>
    <col min="1" max="1" width="9.7265625" customWidth="1"/>
    <col min="2" max="2" width="9" customWidth="1"/>
    <col min="3" max="3" width="9.54296875" customWidth="1"/>
    <col min="4" max="4" width="15.54296875" customWidth="1"/>
    <col min="5" max="5" width="11.453125" customWidth="1"/>
    <col min="6" max="6" width="9.1796875" customWidth="1"/>
    <col min="7" max="7" width="13.453125" customWidth="1"/>
    <col min="8" max="8" width="8.1796875" customWidth="1"/>
  </cols>
  <sheetData>
    <row r="1" spans="1:11" ht="15" customHeight="1" x14ac:dyDescent="0.35">
      <c r="A1" s="25" t="s">
        <v>14</v>
      </c>
      <c r="B1" s="25"/>
      <c r="C1" s="25"/>
      <c r="D1" s="25"/>
      <c r="E1" s="25"/>
      <c r="F1" s="25"/>
      <c r="G1" s="25"/>
      <c r="H1" s="26"/>
    </row>
    <row r="2" spans="1:11" ht="16.5" customHeight="1" x14ac:dyDescent="0.35">
      <c r="A2" s="27" t="s">
        <v>15</v>
      </c>
      <c r="B2" s="27"/>
      <c r="C2" s="27"/>
      <c r="D2" s="27"/>
      <c r="E2" s="27"/>
      <c r="F2" s="27"/>
      <c r="G2" s="27"/>
      <c r="H2" s="28"/>
    </row>
    <row r="3" spans="1:11" ht="48" customHeight="1" x14ac:dyDescent="0.35">
      <c r="A3" s="1" t="s">
        <v>5</v>
      </c>
      <c r="B3" s="1" t="s">
        <v>0</v>
      </c>
      <c r="C3" s="1" t="s">
        <v>1</v>
      </c>
      <c r="D3" s="1" t="s">
        <v>4</v>
      </c>
      <c r="E3" s="1" t="s">
        <v>2</v>
      </c>
      <c r="F3" s="1" t="s">
        <v>3</v>
      </c>
      <c r="G3" s="1" t="s">
        <v>13</v>
      </c>
      <c r="H3" s="1" t="s">
        <v>8</v>
      </c>
      <c r="J3" s="9" t="s">
        <v>6</v>
      </c>
      <c r="K3" s="10" t="s">
        <v>7</v>
      </c>
    </row>
    <row r="4" spans="1:11" ht="17.25" customHeight="1" x14ac:dyDescent="0.35">
      <c r="A4" s="11">
        <v>2144</v>
      </c>
      <c r="B4" s="15"/>
      <c r="C4" s="15"/>
      <c r="D4" s="15" t="s">
        <v>16</v>
      </c>
      <c r="E4" s="15" t="s">
        <v>11</v>
      </c>
      <c r="F4" s="22">
        <v>3128</v>
      </c>
      <c r="G4" s="7" t="s">
        <v>25</v>
      </c>
      <c r="H4" s="7" t="s">
        <v>10</v>
      </c>
      <c r="J4" s="3"/>
      <c r="K4" s="4"/>
    </row>
    <row r="5" spans="1:11" ht="15.75" customHeight="1" x14ac:dyDescent="0.35">
      <c r="A5" s="11">
        <v>2144</v>
      </c>
      <c r="B5" s="15"/>
      <c r="C5" s="15"/>
      <c r="D5" s="15" t="s">
        <v>18</v>
      </c>
      <c r="E5" s="15" t="s">
        <v>11</v>
      </c>
      <c r="F5" s="22">
        <v>112</v>
      </c>
      <c r="G5" s="7" t="s">
        <v>25</v>
      </c>
      <c r="H5" s="6" t="s">
        <v>10</v>
      </c>
      <c r="J5" s="3"/>
      <c r="K5" s="4"/>
    </row>
    <row r="6" spans="1:11" x14ac:dyDescent="0.35">
      <c r="A6" s="11">
        <v>2144</v>
      </c>
      <c r="B6" s="15"/>
      <c r="C6" s="17"/>
      <c r="D6" s="15" t="s">
        <v>20</v>
      </c>
      <c r="E6" s="15" t="s">
        <v>9</v>
      </c>
      <c r="F6" s="22">
        <v>417</v>
      </c>
      <c r="G6" s="7" t="s">
        <v>25</v>
      </c>
      <c r="H6" s="6" t="s">
        <v>10</v>
      </c>
      <c r="J6" s="2"/>
      <c r="K6" s="2"/>
    </row>
    <row r="7" spans="1:11" x14ac:dyDescent="0.35">
      <c r="A7" s="5"/>
      <c r="B7" s="5"/>
      <c r="C7" s="5"/>
      <c r="D7" s="5"/>
      <c r="E7" s="19" t="s">
        <v>21</v>
      </c>
      <c r="F7" s="21">
        <f>SUM(F4:F6)</f>
        <v>3657</v>
      </c>
      <c r="G7" s="5"/>
      <c r="H7" s="5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"/>
  <sheetViews>
    <sheetView workbookViewId="0">
      <selection activeCell="G4" sqref="G4"/>
    </sheetView>
  </sheetViews>
  <sheetFormatPr defaultRowHeight="14.5" x14ac:dyDescent="0.35"/>
  <cols>
    <col min="1" max="1" width="9.7265625" customWidth="1"/>
    <col min="2" max="2" width="9" customWidth="1"/>
    <col min="3" max="3" width="9.54296875" customWidth="1"/>
    <col min="4" max="4" width="14.81640625" customWidth="1"/>
    <col min="5" max="5" width="11.7265625" customWidth="1"/>
    <col min="6" max="6" width="9.1796875" customWidth="1"/>
    <col min="7" max="7" width="13.453125" customWidth="1"/>
    <col min="8" max="8" width="8.1796875" customWidth="1"/>
  </cols>
  <sheetData>
    <row r="1" spans="1:11" ht="15" customHeight="1" x14ac:dyDescent="0.35">
      <c r="A1" s="25" t="s">
        <v>14</v>
      </c>
      <c r="B1" s="25"/>
      <c r="C1" s="25"/>
      <c r="D1" s="25"/>
      <c r="E1" s="25"/>
      <c r="F1" s="25"/>
      <c r="G1" s="25"/>
      <c r="H1" s="26"/>
    </row>
    <row r="2" spans="1:11" ht="16.5" customHeight="1" x14ac:dyDescent="0.35">
      <c r="A2" s="27" t="s">
        <v>15</v>
      </c>
      <c r="B2" s="27"/>
      <c r="C2" s="27"/>
      <c r="D2" s="27"/>
      <c r="E2" s="27"/>
      <c r="F2" s="27"/>
      <c r="G2" s="27"/>
      <c r="H2" s="28"/>
    </row>
    <row r="3" spans="1:11" ht="48" customHeight="1" x14ac:dyDescent="0.35">
      <c r="A3" s="1" t="s">
        <v>5</v>
      </c>
      <c r="B3" s="1" t="s">
        <v>0</v>
      </c>
      <c r="C3" s="1" t="s">
        <v>1</v>
      </c>
      <c r="D3" s="1" t="s">
        <v>4</v>
      </c>
      <c r="E3" s="1" t="s">
        <v>2</v>
      </c>
      <c r="F3" s="1" t="s">
        <v>3</v>
      </c>
      <c r="G3" s="1" t="s">
        <v>13</v>
      </c>
      <c r="H3" s="1" t="s">
        <v>8</v>
      </c>
      <c r="J3" s="9" t="s">
        <v>6</v>
      </c>
      <c r="K3" s="10" t="s">
        <v>7</v>
      </c>
    </row>
    <row r="4" spans="1:11" ht="17.25" customHeight="1" x14ac:dyDescent="0.35">
      <c r="A4" s="11">
        <v>2151</v>
      </c>
      <c r="B4" s="15"/>
      <c r="C4" s="15"/>
      <c r="D4" s="15" t="s">
        <v>12</v>
      </c>
      <c r="E4" s="15" t="s">
        <v>9</v>
      </c>
      <c r="F4" s="16">
        <v>127</v>
      </c>
      <c r="G4" s="7" t="s">
        <v>25</v>
      </c>
      <c r="H4" s="7" t="s">
        <v>10</v>
      </c>
      <c r="J4" s="3"/>
      <c r="K4" s="4"/>
    </row>
    <row r="5" spans="1:11" x14ac:dyDescent="0.35">
      <c r="A5" s="5"/>
      <c r="B5" s="5"/>
      <c r="C5" s="5"/>
      <c r="D5" s="5"/>
      <c r="E5" s="19" t="s">
        <v>21</v>
      </c>
      <c r="F5" s="21">
        <f>SUM(F2:F4)</f>
        <v>127</v>
      </c>
      <c r="G5" s="5"/>
      <c r="H5" s="5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K8"/>
  <sheetViews>
    <sheetView workbookViewId="0">
      <selection activeCell="F7" sqref="F7"/>
    </sheetView>
  </sheetViews>
  <sheetFormatPr defaultRowHeight="14.5" x14ac:dyDescent="0.35"/>
  <cols>
    <col min="1" max="1" width="9.7265625" customWidth="1"/>
    <col min="2" max="2" width="9" customWidth="1"/>
    <col min="3" max="3" width="9.54296875" customWidth="1"/>
    <col min="4" max="4" width="15.54296875" customWidth="1"/>
    <col min="5" max="5" width="11.54296875" customWidth="1"/>
    <col min="6" max="6" width="9.1796875" customWidth="1"/>
    <col min="7" max="7" width="13.453125" customWidth="1"/>
    <col min="8" max="8" width="8.1796875" customWidth="1"/>
  </cols>
  <sheetData>
    <row r="1" spans="1:11" ht="15" customHeight="1" x14ac:dyDescent="0.35">
      <c r="A1" s="25" t="s">
        <v>14</v>
      </c>
      <c r="B1" s="25"/>
      <c r="C1" s="25"/>
      <c r="D1" s="25"/>
      <c r="E1" s="25"/>
      <c r="F1" s="25"/>
      <c r="G1" s="25"/>
      <c r="H1" s="26"/>
    </row>
    <row r="2" spans="1:11" ht="16.5" customHeight="1" x14ac:dyDescent="0.35">
      <c r="A2" s="27" t="s">
        <v>15</v>
      </c>
      <c r="B2" s="27"/>
      <c r="C2" s="27"/>
      <c r="D2" s="27"/>
      <c r="E2" s="27"/>
      <c r="F2" s="27"/>
      <c r="G2" s="27"/>
      <c r="H2" s="28"/>
    </row>
    <row r="3" spans="1:11" ht="48" customHeight="1" x14ac:dyDescent="0.35">
      <c r="A3" s="1" t="s">
        <v>5</v>
      </c>
      <c r="B3" s="1" t="s">
        <v>0</v>
      </c>
      <c r="C3" s="1" t="s">
        <v>1</v>
      </c>
      <c r="D3" s="1" t="s">
        <v>4</v>
      </c>
      <c r="E3" s="1" t="s">
        <v>2</v>
      </c>
      <c r="F3" s="1" t="s">
        <v>3</v>
      </c>
      <c r="G3" s="1" t="s">
        <v>13</v>
      </c>
      <c r="H3" s="1" t="s">
        <v>8</v>
      </c>
      <c r="J3" s="9" t="s">
        <v>6</v>
      </c>
      <c r="K3" s="10" t="s">
        <v>7</v>
      </c>
    </row>
    <row r="4" spans="1:11" ht="17.25" customHeight="1" x14ac:dyDescent="0.35">
      <c r="A4" s="11">
        <v>2172</v>
      </c>
      <c r="B4" s="15"/>
      <c r="C4" s="15"/>
      <c r="D4" s="15" t="s">
        <v>19</v>
      </c>
      <c r="E4" s="15" t="s">
        <v>9</v>
      </c>
      <c r="F4" s="22">
        <v>6262</v>
      </c>
      <c r="G4" s="23" t="s">
        <v>27</v>
      </c>
      <c r="H4" s="7" t="s">
        <v>10</v>
      </c>
      <c r="J4" s="3"/>
      <c r="K4" s="4"/>
    </row>
    <row r="5" spans="1:11" ht="15.75" customHeight="1" x14ac:dyDescent="0.35">
      <c r="A5" s="11">
        <v>2172</v>
      </c>
      <c r="B5" s="15"/>
      <c r="C5" s="15"/>
      <c r="D5" s="15" t="s">
        <v>19</v>
      </c>
      <c r="E5" s="15" t="s">
        <v>11</v>
      </c>
      <c r="F5" s="22">
        <v>42646</v>
      </c>
      <c r="G5" s="23" t="s">
        <v>27</v>
      </c>
      <c r="H5" s="6" t="s">
        <v>10</v>
      </c>
      <c r="J5" s="3"/>
      <c r="K5" s="4"/>
    </row>
    <row r="6" spans="1:11" x14ac:dyDescent="0.35">
      <c r="A6" s="11">
        <v>2172</v>
      </c>
      <c r="B6" s="15"/>
      <c r="C6" s="15"/>
      <c r="D6" s="15" t="s">
        <v>23</v>
      </c>
      <c r="E6" s="15" t="s">
        <v>9</v>
      </c>
      <c r="F6" s="22">
        <v>2778</v>
      </c>
      <c r="G6" s="23" t="s">
        <v>27</v>
      </c>
      <c r="H6" s="6" t="s">
        <v>10</v>
      </c>
      <c r="J6" s="2"/>
      <c r="K6" s="2"/>
    </row>
    <row r="7" spans="1:11" x14ac:dyDescent="0.35">
      <c r="A7" s="11">
        <v>2172</v>
      </c>
      <c r="B7" s="15"/>
      <c r="C7" s="15"/>
      <c r="D7" s="15" t="s">
        <v>18</v>
      </c>
      <c r="E7" s="15" t="s">
        <v>9</v>
      </c>
      <c r="F7" s="22">
        <v>1822</v>
      </c>
      <c r="G7" s="23" t="s">
        <v>27</v>
      </c>
      <c r="H7" s="6" t="s">
        <v>10</v>
      </c>
      <c r="J7" s="2"/>
      <c r="K7" s="2"/>
    </row>
    <row r="8" spans="1:11" x14ac:dyDescent="0.35">
      <c r="E8" s="19" t="s">
        <v>21</v>
      </c>
      <c r="F8" s="21">
        <f>SUM(F4:F7)</f>
        <v>53508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6"/>
  <sheetViews>
    <sheetView workbookViewId="0">
      <selection activeCell="G4" sqref="G4:G5"/>
    </sheetView>
  </sheetViews>
  <sheetFormatPr defaultRowHeight="14.5" x14ac:dyDescent="0.35"/>
  <cols>
    <col min="1" max="1" width="9.7265625" customWidth="1"/>
    <col min="2" max="2" width="9" customWidth="1"/>
    <col min="3" max="3" width="9.54296875" customWidth="1"/>
    <col min="4" max="4" width="15.54296875" customWidth="1"/>
    <col min="5" max="5" width="12" customWidth="1"/>
    <col min="6" max="6" width="9.1796875" customWidth="1"/>
    <col min="7" max="7" width="13.453125" customWidth="1"/>
    <col min="8" max="8" width="8.1796875" customWidth="1"/>
  </cols>
  <sheetData>
    <row r="1" spans="1:11" ht="15" customHeight="1" x14ac:dyDescent="0.35">
      <c r="A1" s="25" t="s">
        <v>14</v>
      </c>
      <c r="B1" s="25"/>
      <c r="C1" s="25"/>
      <c r="D1" s="25"/>
      <c r="E1" s="25"/>
      <c r="F1" s="25"/>
      <c r="G1" s="25"/>
      <c r="H1" s="26"/>
    </row>
    <row r="2" spans="1:11" ht="16.5" customHeight="1" x14ac:dyDescent="0.35">
      <c r="A2" s="27" t="s">
        <v>15</v>
      </c>
      <c r="B2" s="27"/>
      <c r="C2" s="27"/>
      <c r="D2" s="27"/>
      <c r="E2" s="27"/>
      <c r="F2" s="27"/>
      <c r="G2" s="27"/>
      <c r="H2" s="28"/>
    </row>
    <row r="3" spans="1:11" ht="48" customHeight="1" x14ac:dyDescent="0.35">
      <c r="A3" s="1" t="s">
        <v>5</v>
      </c>
      <c r="B3" s="1" t="s">
        <v>0</v>
      </c>
      <c r="C3" s="1" t="s">
        <v>1</v>
      </c>
      <c r="D3" s="1" t="s">
        <v>4</v>
      </c>
      <c r="E3" s="1" t="s">
        <v>2</v>
      </c>
      <c r="F3" s="1" t="s">
        <v>3</v>
      </c>
      <c r="G3" s="1" t="s">
        <v>13</v>
      </c>
      <c r="H3" s="1" t="s">
        <v>8</v>
      </c>
      <c r="J3" s="9" t="s">
        <v>6</v>
      </c>
      <c r="K3" s="10" t="s">
        <v>7</v>
      </c>
    </row>
    <row r="4" spans="1:11" ht="17.25" customHeight="1" x14ac:dyDescent="0.35">
      <c r="A4" s="11">
        <v>2185</v>
      </c>
      <c r="B4" s="15"/>
      <c r="C4" s="15"/>
      <c r="D4" s="15" t="s">
        <v>16</v>
      </c>
      <c r="E4" s="15" t="s">
        <v>9</v>
      </c>
      <c r="F4" s="22">
        <v>1181</v>
      </c>
      <c r="G4" s="7" t="s">
        <v>25</v>
      </c>
      <c r="H4" s="7" t="s">
        <v>10</v>
      </c>
      <c r="J4" s="3"/>
      <c r="K4" s="4"/>
    </row>
    <row r="5" spans="1:11" ht="15.75" customHeight="1" x14ac:dyDescent="0.35">
      <c r="A5" s="11">
        <v>2185</v>
      </c>
      <c r="B5" s="15"/>
      <c r="C5" s="15"/>
      <c r="D5" s="15" t="s">
        <v>22</v>
      </c>
      <c r="E5" s="15" t="s">
        <v>9</v>
      </c>
      <c r="F5" s="22">
        <v>76</v>
      </c>
      <c r="G5" s="7" t="s">
        <v>25</v>
      </c>
      <c r="H5" s="6" t="s">
        <v>10</v>
      </c>
      <c r="J5" s="3"/>
      <c r="K5" s="4"/>
    </row>
    <row r="6" spans="1:11" x14ac:dyDescent="0.35">
      <c r="E6" s="19" t="s">
        <v>21</v>
      </c>
      <c r="F6" s="21">
        <f>SUM(F4:F5)</f>
        <v>1257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8"/>
  <sheetViews>
    <sheetView workbookViewId="0">
      <selection activeCell="F6" sqref="F6:F7"/>
    </sheetView>
  </sheetViews>
  <sheetFormatPr defaultRowHeight="14.5" x14ac:dyDescent="0.35"/>
  <cols>
    <col min="1" max="1" width="9.7265625" customWidth="1"/>
    <col min="2" max="2" width="9" customWidth="1"/>
    <col min="3" max="3" width="9.54296875" customWidth="1"/>
    <col min="4" max="4" width="15" customWidth="1"/>
    <col min="5" max="5" width="11.453125" customWidth="1"/>
    <col min="6" max="6" width="9.1796875" customWidth="1"/>
    <col min="7" max="7" width="13.453125" customWidth="1"/>
    <col min="8" max="8" width="8.1796875" customWidth="1"/>
  </cols>
  <sheetData>
    <row r="1" spans="1:11" ht="15" customHeight="1" x14ac:dyDescent="0.35">
      <c r="A1" s="25" t="s">
        <v>14</v>
      </c>
      <c r="B1" s="25"/>
      <c r="C1" s="25"/>
      <c r="D1" s="25"/>
      <c r="E1" s="25"/>
      <c r="F1" s="25"/>
      <c r="G1" s="25"/>
      <c r="H1" s="26"/>
    </row>
    <row r="2" spans="1:11" ht="16.5" customHeight="1" x14ac:dyDescent="0.35">
      <c r="A2" s="27" t="s">
        <v>15</v>
      </c>
      <c r="B2" s="27"/>
      <c r="C2" s="27"/>
      <c r="D2" s="27"/>
      <c r="E2" s="27"/>
      <c r="F2" s="27"/>
      <c r="G2" s="27"/>
      <c r="H2" s="28"/>
    </row>
    <row r="3" spans="1:11" ht="48" customHeight="1" x14ac:dyDescent="0.35">
      <c r="A3" s="1" t="s">
        <v>5</v>
      </c>
      <c r="B3" s="1" t="s">
        <v>0</v>
      </c>
      <c r="C3" s="1" t="s">
        <v>1</v>
      </c>
      <c r="D3" s="1" t="s">
        <v>4</v>
      </c>
      <c r="E3" s="1" t="s">
        <v>2</v>
      </c>
      <c r="F3" s="1" t="s">
        <v>3</v>
      </c>
      <c r="G3" s="1" t="s">
        <v>13</v>
      </c>
      <c r="H3" s="1" t="s">
        <v>8</v>
      </c>
      <c r="J3" s="9" t="s">
        <v>6</v>
      </c>
      <c r="K3" s="10" t="s">
        <v>7</v>
      </c>
    </row>
    <row r="4" spans="1:11" ht="17.25" customHeight="1" x14ac:dyDescent="0.35">
      <c r="A4" s="11">
        <v>2195</v>
      </c>
      <c r="B4" s="15"/>
      <c r="C4" s="15"/>
      <c r="D4" s="15" t="s">
        <v>16</v>
      </c>
      <c r="E4" s="15" t="s">
        <v>11</v>
      </c>
      <c r="F4" s="22">
        <v>3366</v>
      </c>
      <c r="G4" s="7" t="s">
        <v>25</v>
      </c>
      <c r="H4" s="7" t="s">
        <v>10</v>
      </c>
      <c r="J4" s="3"/>
      <c r="K4" s="4"/>
    </row>
    <row r="5" spans="1:11" ht="15.75" customHeight="1" x14ac:dyDescent="0.35">
      <c r="A5" s="11">
        <v>2195</v>
      </c>
      <c r="B5" s="15"/>
      <c r="C5" s="15"/>
      <c r="D5" s="15" t="s">
        <v>16</v>
      </c>
      <c r="E5" s="15" t="s">
        <v>9</v>
      </c>
      <c r="F5" s="22">
        <v>10066</v>
      </c>
      <c r="G5" s="7" t="s">
        <v>25</v>
      </c>
      <c r="H5" s="6" t="s">
        <v>10</v>
      </c>
      <c r="J5" s="3"/>
      <c r="K5" s="4"/>
    </row>
    <row r="6" spans="1:11" x14ac:dyDescent="0.35">
      <c r="A6" s="11">
        <v>2195</v>
      </c>
      <c r="B6" s="15"/>
      <c r="C6" s="15"/>
      <c r="D6" s="15" t="s">
        <v>22</v>
      </c>
      <c r="E6" s="15" t="s">
        <v>9</v>
      </c>
      <c r="F6" s="22">
        <v>360</v>
      </c>
      <c r="G6" s="7" t="s">
        <v>25</v>
      </c>
      <c r="H6" s="6" t="s">
        <v>10</v>
      </c>
      <c r="J6" s="2"/>
      <c r="K6" s="2"/>
    </row>
    <row r="7" spans="1:11" x14ac:dyDescent="0.35">
      <c r="A7" s="11">
        <v>2195</v>
      </c>
      <c r="B7" s="15"/>
      <c r="C7" s="15"/>
      <c r="D7" s="15" t="s">
        <v>18</v>
      </c>
      <c r="E7" s="15" t="s">
        <v>9</v>
      </c>
      <c r="F7" s="22">
        <v>365</v>
      </c>
      <c r="G7" s="7" t="s">
        <v>25</v>
      </c>
      <c r="H7" s="6" t="s">
        <v>10</v>
      </c>
      <c r="J7" s="2"/>
      <c r="K7" s="2"/>
    </row>
    <row r="8" spans="1:11" x14ac:dyDescent="0.35">
      <c r="E8" s="19" t="s">
        <v>21</v>
      </c>
      <c r="F8" s="21">
        <f>SUM(F4:F7)</f>
        <v>14157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"/>
  <sheetViews>
    <sheetView workbookViewId="0">
      <selection activeCell="F4" sqref="F4:F5"/>
    </sheetView>
  </sheetViews>
  <sheetFormatPr defaultRowHeight="14.5" x14ac:dyDescent="0.35"/>
  <cols>
    <col min="1" max="1" width="9.7265625" customWidth="1"/>
    <col min="2" max="2" width="9" customWidth="1"/>
    <col min="3" max="3" width="9.54296875" customWidth="1"/>
    <col min="4" max="4" width="15.26953125" customWidth="1"/>
    <col min="5" max="5" width="10.54296875" customWidth="1"/>
    <col min="6" max="6" width="9.1796875" customWidth="1"/>
    <col min="7" max="7" width="13.453125" customWidth="1"/>
    <col min="8" max="8" width="8.1796875" customWidth="1"/>
  </cols>
  <sheetData>
    <row r="1" spans="1:11" ht="15" customHeight="1" x14ac:dyDescent="0.35">
      <c r="A1" s="25" t="s">
        <v>14</v>
      </c>
      <c r="B1" s="25"/>
      <c r="C1" s="25"/>
      <c r="D1" s="25"/>
      <c r="E1" s="25"/>
      <c r="F1" s="25"/>
      <c r="G1" s="25"/>
      <c r="H1" s="26"/>
    </row>
    <row r="2" spans="1:11" ht="16.5" customHeight="1" x14ac:dyDescent="0.35">
      <c r="A2" s="27" t="s">
        <v>15</v>
      </c>
      <c r="B2" s="27"/>
      <c r="C2" s="27"/>
      <c r="D2" s="27"/>
      <c r="E2" s="27"/>
      <c r="F2" s="27"/>
      <c r="G2" s="27"/>
      <c r="H2" s="28"/>
    </row>
    <row r="3" spans="1:11" ht="48" customHeight="1" x14ac:dyDescent="0.35">
      <c r="A3" s="1" t="s">
        <v>5</v>
      </c>
      <c r="B3" s="1" t="s">
        <v>0</v>
      </c>
      <c r="C3" s="1" t="s">
        <v>1</v>
      </c>
      <c r="D3" s="1" t="s">
        <v>4</v>
      </c>
      <c r="E3" s="1" t="s">
        <v>2</v>
      </c>
      <c r="F3" s="1" t="s">
        <v>3</v>
      </c>
      <c r="G3" s="1" t="s">
        <v>13</v>
      </c>
      <c r="H3" s="1" t="s">
        <v>8</v>
      </c>
      <c r="J3" s="9" t="s">
        <v>6</v>
      </c>
      <c r="K3" s="10" t="s">
        <v>7</v>
      </c>
    </row>
    <row r="4" spans="1:11" ht="17.25" customHeight="1" x14ac:dyDescent="0.35">
      <c r="A4" s="11">
        <v>2210</v>
      </c>
      <c r="B4" s="15"/>
      <c r="C4" s="15"/>
      <c r="D4" s="15" t="s">
        <v>16</v>
      </c>
      <c r="E4" s="15" t="s">
        <v>9</v>
      </c>
      <c r="F4" s="22">
        <v>229</v>
      </c>
      <c r="G4" s="7" t="s">
        <v>25</v>
      </c>
      <c r="H4" s="7" t="s">
        <v>10</v>
      </c>
      <c r="J4" s="3"/>
      <c r="K4" s="4"/>
    </row>
    <row r="5" spans="1:11" ht="15.75" customHeight="1" x14ac:dyDescent="0.35">
      <c r="A5" s="11">
        <v>2210</v>
      </c>
      <c r="B5" s="15"/>
      <c r="C5" s="15"/>
      <c r="D5" s="15" t="s">
        <v>12</v>
      </c>
      <c r="E5" s="15" t="s">
        <v>9</v>
      </c>
      <c r="F5" s="22">
        <v>112</v>
      </c>
      <c r="G5" s="7" t="s">
        <v>25</v>
      </c>
      <c r="H5" s="6" t="s">
        <v>10</v>
      </c>
      <c r="J5" s="3"/>
      <c r="K5" s="4"/>
    </row>
    <row r="6" spans="1:11" x14ac:dyDescent="0.35">
      <c r="E6" s="19" t="s">
        <v>21</v>
      </c>
      <c r="F6" s="21">
        <f>SUM(F4:F5)</f>
        <v>341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8"/>
  <sheetViews>
    <sheetView workbookViewId="0">
      <selection activeCell="F4" sqref="F4"/>
    </sheetView>
  </sheetViews>
  <sheetFormatPr defaultRowHeight="14.5" x14ac:dyDescent="0.35"/>
  <cols>
    <col min="1" max="1" width="9.7265625" customWidth="1"/>
    <col min="2" max="2" width="9" customWidth="1"/>
    <col min="3" max="3" width="9.54296875" customWidth="1"/>
    <col min="4" max="4" width="15.26953125" customWidth="1"/>
    <col min="5" max="5" width="11.453125" customWidth="1"/>
    <col min="6" max="6" width="9.1796875" customWidth="1"/>
    <col min="7" max="7" width="13.453125" customWidth="1"/>
    <col min="8" max="8" width="8.1796875" customWidth="1"/>
  </cols>
  <sheetData>
    <row r="1" spans="1:11" ht="15" customHeight="1" x14ac:dyDescent="0.35">
      <c r="A1" s="25" t="s">
        <v>14</v>
      </c>
      <c r="B1" s="25"/>
      <c r="C1" s="25"/>
      <c r="D1" s="25"/>
      <c r="E1" s="25"/>
      <c r="F1" s="25"/>
      <c r="G1" s="25"/>
      <c r="H1" s="26"/>
    </row>
    <row r="2" spans="1:11" ht="16.5" customHeight="1" x14ac:dyDescent="0.35">
      <c r="A2" s="27" t="s">
        <v>15</v>
      </c>
      <c r="B2" s="27"/>
      <c r="C2" s="27"/>
      <c r="D2" s="27"/>
      <c r="E2" s="27"/>
      <c r="F2" s="27"/>
      <c r="G2" s="27"/>
      <c r="H2" s="28"/>
    </row>
    <row r="3" spans="1:11" ht="48" customHeight="1" x14ac:dyDescent="0.35">
      <c r="A3" s="1" t="s">
        <v>5</v>
      </c>
      <c r="B3" s="1" t="s">
        <v>0</v>
      </c>
      <c r="C3" s="1" t="s">
        <v>1</v>
      </c>
      <c r="D3" s="1" t="s">
        <v>4</v>
      </c>
      <c r="E3" s="1" t="s">
        <v>2</v>
      </c>
      <c r="F3" s="1" t="s">
        <v>3</v>
      </c>
      <c r="G3" s="1" t="s">
        <v>13</v>
      </c>
      <c r="H3" s="1" t="s">
        <v>8</v>
      </c>
      <c r="J3" s="9" t="s">
        <v>6</v>
      </c>
      <c r="K3" s="10" t="s">
        <v>7</v>
      </c>
    </row>
    <row r="4" spans="1:11" ht="17.25" customHeight="1" x14ac:dyDescent="0.35">
      <c r="A4" s="11">
        <v>2222</v>
      </c>
      <c r="B4" s="15"/>
      <c r="C4" s="15"/>
      <c r="D4" s="15" t="s">
        <v>16</v>
      </c>
      <c r="E4" s="15" t="s">
        <v>11</v>
      </c>
      <c r="F4" s="16">
        <v>144</v>
      </c>
      <c r="G4" s="7" t="s">
        <v>25</v>
      </c>
      <c r="H4" s="7" t="s">
        <v>10</v>
      </c>
      <c r="J4" s="3"/>
      <c r="K4" s="4"/>
    </row>
    <row r="5" spans="1:11" ht="15.75" customHeight="1" x14ac:dyDescent="0.35">
      <c r="A5" s="11">
        <v>2222</v>
      </c>
      <c r="B5" s="15"/>
      <c r="C5" s="15"/>
      <c r="D5" s="15" t="s">
        <v>16</v>
      </c>
      <c r="E5" s="15" t="s">
        <v>9</v>
      </c>
      <c r="F5" s="16">
        <v>36</v>
      </c>
      <c r="G5" s="7" t="s">
        <v>25</v>
      </c>
      <c r="H5" s="6" t="s">
        <v>10</v>
      </c>
      <c r="J5" s="3"/>
      <c r="K5" s="4"/>
    </row>
    <row r="6" spans="1:11" x14ac:dyDescent="0.35">
      <c r="A6" s="11">
        <v>2222</v>
      </c>
      <c r="B6" s="15"/>
      <c r="C6" s="15"/>
      <c r="D6" s="15" t="s">
        <v>12</v>
      </c>
      <c r="E6" s="15" t="s">
        <v>9</v>
      </c>
      <c r="F6" s="16">
        <v>100</v>
      </c>
      <c r="G6" s="7" t="s">
        <v>25</v>
      </c>
      <c r="H6" s="6" t="s">
        <v>10</v>
      </c>
      <c r="J6" s="2"/>
      <c r="K6" s="2"/>
    </row>
    <row r="7" spans="1:11" x14ac:dyDescent="0.35">
      <c r="A7" s="11">
        <v>2222</v>
      </c>
      <c r="B7" s="15"/>
      <c r="C7" s="15"/>
      <c r="D7" s="15" t="s">
        <v>18</v>
      </c>
      <c r="E7" s="15" t="s">
        <v>9</v>
      </c>
      <c r="F7" s="16">
        <v>80</v>
      </c>
      <c r="G7" s="7" t="s">
        <v>25</v>
      </c>
      <c r="H7" s="6" t="s">
        <v>10</v>
      </c>
      <c r="J7" s="2"/>
      <c r="K7" s="2"/>
    </row>
    <row r="8" spans="1:11" x14ac:dyDescent="0.35">
      <c r="A8" s="5"/>
      <c r="B8" s="5"/>
      <c r="C8" s="5"/>
      <c r="D8" s="5"/>
      <c r="E8" s="19" t="s">
        <v>21</v>
      </c>
      <c r="F8" s="21">
        <f>SUM(F4:F7)</f>
        <v>360</v>
      </c>
      <c r="G8" s="5"/>
      <c r="H8" s="5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B5E36-90F9-4FA4-93EF-FD3D5639111F}">
  <dimension ref="A1:H6"/>
  <sheetViews>
    <sheetView workbookViewId="0">
      <selection activeCell="F6" sqref="F6"/>
    </sheetView>
  </sheetViews>
  <sheetFormatPr defaultRowHeight="14.5" x14ac:dyDescent="0.35"/>
  <sheetData>
    <row r="1" spans="1:8" x14ac:dyDescent="0.35">
      <c r="A1" s="25" t="s">
        <v>14</v>
      </c>
      <c r="B1" s="25"/>
      <c r="C1" s="25"/>
      <c r="D1" s="25"/>
      <c r="E1" s="25"/>
      <c r="F1" s="25"/>
      <c r="G1" s="25"/>
      <c r="H1" s="26"/>
    </row>
    <row r="2" spans="1:8" x14ac:dyDescent="0.35">
      <c r="A2" s="27" t="s">
        <v>15</v>
      </c>
      <c r="B2" s="27"/>
      <c r="C2" s="27"/>
      <c r="D2" s="27"/>
      <c r="E2" s="27"/>
      <c r="F2" s="27"/>
      <c r="G2" s="27"/>
      <c r="H2" s="28"/>
    </row>
    <row r="3" spans="1:8" ht="39" x14ac:dyDescent="0.35">
      <c r="A3" s="1" t="s">
        <v>5</v>
      </c>
      <c r="B3" s="1" t="s">
        <v>0</v>
      </c>
      <c r="C3" s="1" t="s">
        <v>1</v>
      </c>
      <c r="D3" s="1" t="s">
        <v>4</v>
      </c>
      <c r="E3" s="1" t="s">
        <v>2</v>
      </c>
      <c r="F3" s="1" t="s">
        <v>3</v>
      </c>
      <c r="G3" s="1" t="s">
        <v>13</v>
      </c>
      <c r="H3" s="1" t="s">
        <v>8</v>
      </c>
    </row>
    <row r="4" spans="1:8" x14ac:dyDescent="0.35">
      <c r="A4" s="11">
        <v>2089</v>
      </c>
      <c r="B4" s="15"/>
      <c r="C4" s="15"/>
      <c r="D4" s="15" t="s">
        <v>16</v>
      </c>
      <c r="E4" s="15" t="s">
        <v>26</v>
      </c>
      <c r="F4" s="16">
        <v>4026</v>
      </c>
      <c r="G4" s="7" t="s">
        <v>25</v>
      </c>
      <c r="H4" s="7" t="s">
        <v>10</v>
      </c>
    </row>
    <row r="5" spans="1:8" x14ac:dyDescent="0.35">
      <c r="A5" s="11">
        <v>2089</v>
      </c>
      <c r="B5" s="15"/>
      <c r="C5" s="15"/>
      <c r="D5" s="15" t="s">
        <v>12</v>
      </c>
      <c r="E5" s="15" t="s">
        <v>9</v>
      </c>
      <c r="F5" s="16">
        <v>89</v>
      </c>
      <c r="G5" s="7" t="s">
        <v>25</v>
      </c>
      <c r="H5" s="6" t="s">
        <v>10</v>
      </c>
    </row>
    <row r="6" spans="1:8" ht="26.5" x14ac:dyDescent="0.35">
      <c r="A6" s="5"/>
      <c r="B6" s="5"/>
      <c r="C6" s="5"/>
      <c r="D6" s="5"/>
      <c r="E6" s="19" t="s">
        <v>21</v>
      </c>
      <c r="F6" s="21">
        <f>SUM(F4:F5)</f>
        <v>4115</v>
      </c>
      <c r="G6" s="5"/>
      <c r="H6" s="5"/>
    </row>
  </sheetData>
  <mergeCells count="2">
    <mergeCell ref="A1:H1"/>
    <mergeCell ref="A2:H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29AC0-D983-45A3-AB29-A63CDF245499}">
  <dimension ref="A1:H8"/>
  <sheetViews>
    <sheetView workbookViewId="0">
      <selection activeCell="F8" sqref="F8"/>
    </sheetView>
  </sheetViews>
  <sheetFormatPr defaultRowHeight="14.5" x14ac:dyDescent="0.35"/>
  <sheetData>
    <row r="1" spans="1:8" x14ac:dyDescent="0.35">
      <c r="A1" s="25" t="s">
        <v>14</v>
      </c>
      <c r="B1" s="25"/>
      <c r="C1" s="25"/>
      <c r="D1" s="25"/>
      <c r="E1" s="25"/>
      <c r="F1" s="25"/>
      <c r="G1" s="25"/>
      <c r="H1" s="26"/>
    </row>
    <row r="2" spans="1:8" x14ac:dyDescent="0.35">
      <c r="A2" s="27" t="s">
        <v>15</v>
      </c>
      <c r="B2" s="27"/>
      <c r="C2" s="27"/>
      <c r="D2" s="27"/>
      <c r="E2" s="27"/>
      <c r="F2" s="27"/>
      <c r="G2" s="27"/>
      <c r="H2" s="28"/>
    </row>
    <row r="3" spans="1:8" ht="39" x14ac:dyDescent="0.35">
      <c r="A3" s="1" t="s">
        <v>5</v>
      </c>
      <c r="B3" s="1" t="s">
        <v>0</v>
      </c>
      <c r="C3" s="1" t="s">
        <v>1</v>
      </c>
      <c r="D3" s="1" t="s">
        <v>4</v>
      </c>
      <c r="E3" s="1" t="s">
        <v>2</v>
      </c>
      <c r="F3" s="1" t="s">
        <v>3</v>
      </c>
      <c r="G3" s="1" t="s">
        <v>13</v>
      </c>
      <c r="H3" s="1" t="s">
        <v>8</v>
      </c>
    </row>
    <row r="4" spans="1:8" x14ac:dyDescent="0.35">
      <c r="A4" s="11">
        <v>2147</v>
      </c>
      <c r="B4" s="15"/>
      <c r="C4" s="15"/>
      <c r="D4" s="15" t="s">
        <v>16</v>
      </c>
      <c r="E4" s="15" t="s">
        <v>11</v>
      </c>
      <c r="F4" s="16">
        <v>1714</v>
      </c>
      <c r="G4" s="7" t="s">
        <v>25</v>
      </c>
      <c r="H4" s="7" t="s">
        <v>10</v>
      </c>
    </row>
    <row r="5" spans="1:8" x14ac:dyDescent="0.35">
      <c r="A5" s="11">
        <v>2147</v>
      </c>
      <c r="B5" s="15"/>
      <c r="C5" s="15"/>
      <c r="D5" s="15" t="s">
        <v>16</v>
      </c>
      <c r="E5" s="15" t="s">
        <v>9</v>
      </c>
      <c r="F5" s="16">
        <v>269</v>
      </c>
      <c r="G5" s="7" t="s">
        <v>25</v>
      </c>
      <c r="H5" s="6" t="s">
        <v>10</v>
      </c>
    </row>
    <row r="6" spans="1:8" x14ac:dyDescent="0.35">
      <c r="A6" s="11">
        <v>2147</v>
      </c>
      <c r="B6" s="15"/>
      <c r="C6" s="15"/>
      <c r="D6" s="15" t="s">
        <v>12</v>
      </c>
      <c r="E6" s="15" t="s">
        <v>9</v>
      </c>
      <c r="F6" s="16">
        <v>288</v>
      </c>
      <c r="G6" s="7" t="s">
        <v>25</v>
      </c>
      <c r="H6" s="6" t="s">
        <v>10</v>
      </c>
    </row>
    <row r="7" spans="1:8" x14ac:dyDescent="0.35">
      <c r="A7" s="11">
        <v>2147</v>
      </c>
      <c r="B7" s="15"/>
      <c r="C7" s="15"/>
      <c r="D7" s="15" t="s">
        <v>18</v>
      </c>
      <c r="E7" s="15" t="s">
        <v>9</v>
      </c>
      <c r="F7" s="16">
        <v>143</v>
      </c>
      <c r="G7" s="7" t="s">
        <v>25</v>
      </c>
      <c r="H7" s="6" t="s">
        <v>10</v>
      </c>
    </row>
    <row r="8" spans="1:8" ht="26.5" x14ac:dyDescent="0.35">
      <c r="A8" s="5"/>
      <c r="B8" s="5"/>
      <c r="C8" s="5"/>
      <c r="D8" s="5"/>
      <c r="E8" s="19" t="s">
        <v>21</v>
      </c>
      <c r="F8" s="21">
        <f>SUM(F4:F7)</f>
        <v>2414</v>
      </c>
      <c r="G8" s="5"/>
      <c r="H8" s="5"/>
    </row>
  </sheetData>
  <mergeCells count="2">
    <mergeCell ref="A1:H1"/>
    <mergeCell ref="A2:H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CBA69-215C-461E-8EF3-24710AB7B105}">
  <dimension ref="A1:H8"/>
  <sheetViews>
    <sheetView tabSelected="1" workbookViewId="0">
      <selection activeCell="F8" sqref="F8"/>
    </sheetView>
  </sheetViews>
  <sheetFormatPr defaultRowHeight="14.5" x14ac:dyDescent="0.35"/>
  <sheetData>
    <row r="1" spans="1:8" x14ac:dyDescent="0.35">
      <c r="A1" s="25" t="s">
        <v>14</v>
      </c>
      <c r="B1" s="25"/>
      <c r="C1" s="25"/>
      <c r="D1" s="25"/>
      <c r="E1" s="25"/>
      <c r="F1" s="25"/>
      <c r="G1" s="25"/>
      <c r="H1" s="26"/>
    </row>
    <row r="2" spans="1:8" x14ac:dyDescent="0.35">
      <c r="A2" s="27" t="s">
        <v>15</v>
      </c>
      <c r="B2" s="27"/>
      <c r="C2" s="27"/>
      <c r="D2" s="27"/>
      <c r="E2" s="27"/>
      <c r="F2" s="27"/>
      <c r="G2" s="27"/>
      <c r="H2" s="28"/>
    </row>
    <row r="3" spans="1:8" ht="39" x14ac:dyDescent="0.35">
      <c r="A3" s="1" t="s">
        <v>5</v>
      </c>
      <c r="B3" s="1" t="s">
        <v>0</v>
      </c>
      <c r="C3" s="1" t="s">
        <v>1</v>
      </c>
      <c r="D3" s="1" t="s">
        <v>4</v>
      </c>
      <c r="E3" s="1" t="s">
        <v>2</v>
      </c>
      <c r="F3" s="1" t="s">
        <v>3</v>
      </c>
      <c r="G3" s="1" t="s">
        <v>13</v>
      </c>
      <c r="H3" s="1" t="s">
        <v>8</v>
      </c>
    </row>
    <row r="4" spans="1:8" x14ac:dyDescent="0.35">
      <c r="A4" s="11">
        <v>2148</v>
      </c>
      <c r="B4" s="15"/>
      <c r="C4" s="15"/>
      <c r="D4" s="15" t="s">
        <v>16</v>
      </c>
      <c r="E4" s="15" t="s">
        <v>11</v>
      </c>
      <c r="F4" s="16">
        <v>1655</v>
      </c>
      <c r="G4" s="7" t="s">
        <v>25</v>
      </c>
      <c r="H4" s="7" t="s">
        <v>10</v>
      </c>
    </row>
    <row r="5" spans="1:8" x14ac:dyDescent="0.35">
      <c r="A5" s="11">
        <v>2148</v>
      </c>
      <c r="B5" s="15"/>
      <c r="C5" s="15"/>
      <c r="D5" s="15" t="s">
        <v>16</v>
      </c>
      <c r="E5" s="15" t="s">
        <v>9</v>
      </c>
      <c r="F5" s="16">
        <v>246</v>
      </c>
      <c r="G5" s="7" t="s">
        <v>25</v>
      </c>
      <c r="H5" s="6" t="s">
        <v>10</v>
      </c>
    </row>
    <row r="6" spans="1:8" x14ac:dyDescent="0.35">
      <c r="A6" s="11">
        <v>2148</v>
      </c>
      <c r="B6" s="15"/>
      <c r="C6" s="15"/>
      <c r="D6" s="15" t="s">
        <v>12</v>
      </c>
      <c r="E6" s="15" t="s">
        <v>9</v>
      </c>
      <c r="F6" s="16">
        <v>288</v>
      </c>
      <c r="G6" s="7" t="s">
        <v>25</v>
      </c>
      <c r="H6" s="6" t="s">
        <v>10</v>
      </c>
    </row>
    <row r="7" spans="1:8" x14ac:dyDescent="0.35">
      <c r="A7" s="11">
        <v>2148</v>
      </c>
      <c r="B7" s="15"/>
      <c r="C7" s="15"/>
      <c r="D7" s="15" t="s">
        <v>18</v>
      </c>
      <c r="E7" s="15" t="s">
        <v>9</v>
      </c>
      <c r="F7" s="16">
        <v>128</v>
      </c>
      <c r="G7" s="7" t="s">
        <v>25</v>
      </c>
      <c r="H7" s="6" t="s">
        <v>10</v>
      </c>
    </row>
    <row r="8" spans="1:8" ht="26.5" x14ac:dyDescent="0.35">
      <c r="A8" s="5"/>
      <c r="B8" s="5"/>
      <c r="C8" s="5"/>
      <c r="D8" s="5"/>
      <c r="E8" s="19" t="s">
        <v>21</v>
      </c>
      <c r="F8" s="21">
        <f>SUM(F4:F7)</f>
        <v>2317</v>
      </c>
      <c r="G8" s="5"/>
      <c r="H8" s="5"/>
    </row>
  </sheetData>
  <mergeCells count="2">
    <mergeCell ref="A1:H1"/>
    <mergeCell ref="A2:H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B43733C617904C85E87075094A409A" ma:contentTypeVersion="6" ma:contentTypeDescription="Create a new document." ma:contentTypeScope="" ma:versionID="73e35a35c2c7f214fbb5e56dbb63a6c9">
  <xsd:schema xmlns:xsd="http://www.w3.org/2001/XMLSchema" xmlns:xs="http://www.w3.org/2001/XMLSchema" xmlns:p="http://schemas.microsoft.com/office/2006/metadata/properties" xmlns:ns2="df973e7e-d561-4bdc-82b8-7e03e279031b" xmlns:ns3="f983c02f-8e4c-413e-8233-61a43bac8b22" targetNamespace="http://schemas.microsoft.com/office/2006/metadata/properties" ma:root="true" ma:fieldsID="4865145f4f5b251e151e367a266d7e2a" ns2:_="" ns3:_="">
    <xsd:import namespace="df973e7e-d561-4bdc-82b8-7e03e279031b"/>
    <xsd:import namespace="f983c02f-8e4c-413e-8233-61a43bac8b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973e7e-d561-4bdc-82b8-7e03e2790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3c02f-8e4c-413e-8233-61a43bac8b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47DA42-3031-435F-AE1B-2C5DB4E581FB}"/>
</file>

<file path=customXml/itemProps2.xml><?xml version="1.0" encoding="utf-8"?>
<ds:datastoreItem xmlns:ds="http://schemas.openxmlformats.org/officeDocument/2006/customXml" ds:itemID="{C1859DF1-A1FE-4270-B8FB-8558FCE3DC5E}"/>
</file>

<file path=customXml/itemProps3.xml><?xml version="1.0" encoding="utf-8"?>
<ds:datastoreItem xmlns:ds="http://schemas.openxmlformats.org/officeDocument/2006/customXml" ds:itemID="{0AECFBFB-6FB1-414A-AC80-6B55C9A6BE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BLDG 23SN</vt:lpstr>
      <vt:lpstr>BLDG  2009</vt:lpstr>
      <vt:lpstr>BLDG 2015</vt:lpstr>
      <vt:lpstr>BLDG 2087</vt:lpstr>
      <vt:lpstr>BLDG 2100</vt:lpstr>
      <vt:lpstr>BLDG 2108</vt:lpstr>
      <vt:lpstr>BLDG 2112</vt:lpstr>
      <vt:lpstr>BLDG 2137</vt:lpstr>
      <vt:lpstr>BLDG 2144</vt:lpstr>
      <vt:lpstr>BLDG 2151</vt:lpstr>
      <vt:lpstr>BLDG 2172</vt:lpstr>
      <vt:lpstr>BLDG 2185</vt:lpstr>
      <vt:lpstr>BLDG 2195</vt:lpstr>
      <vt:lpstr>BLDG 2210</vt:lpstr>
      <vt:lpstr>BLDG 2222</vt:lpstr>
      <vt:lpstr>BLDG 2089</vt:lpstr>
      <vt:lpstr>BLDG 2147</vt:lpstr>
      <vt:lpstr>BLDG 2148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Lacidonia, Roxanne L CIV NAVFAC, N40080</dc:creator>
  <cp:lastModifiedBy>Biza, Ivan D CIV USN (USA)</cp:lastModifiedBy>
  <dcterms:created xsi:type="dcterms:W3CDTF">2017-04-14T18:23:25Z</dcterms:created>
  <dcterms:modified xsi:type="dcterms:W3CDTF">2025-02-24T14:21:30Z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0x01010030B43733C617904C85E87075094A409A</vt:lpwstr>
  </property>
</Properties>
</file>