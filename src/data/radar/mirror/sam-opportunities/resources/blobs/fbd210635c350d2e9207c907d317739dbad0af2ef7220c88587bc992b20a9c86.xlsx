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rebecca_gaba_va_gov/Documents/CONTRACTS/FY 26/678 TUCSON/ULTRASOUND M9/"/>
    </mc:Choice>
  </mc:AlternateContent>
  <xr:revisionPtr revIDLastSave="49" documentId="8_{A5B4149A-CEEF-4F20-BDD1-5E780176E34F}" xr6:coauthVersionLast="47" xr6:coauthVersionMax="47" xr10:uidLastSave="{47247583-1E02-4CD1-B3D6-19531A9E0370}"/>
  <bookViews>
    <workbookView xWindow="37245" yWindow="2760" windowWidth="18600" windowHeight="12090" xr2:uid="{D31AFFB8-1CDE-4389-82FF-3CBF3C3644B5}"/>
  </bookViews>
  <sheets>
    <sheet name="1. Base" sheetId="1" r:id="rId1"/>
    <sheet name="2. Company 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" i="1" l="1"/>
  <c r="L11" i="1" s="1"/>
  <c r="L6" i="1"/>
  <c r="L7" i="1"/>
  <c r="L8" i="1"/>
  <c r="L9" i="1"/>
  <c r="L10" i="1"/>
  <c r="L3" i="1"/>
  <c r="L4" i="1"/>
  <c r="L2" i="1"/>
</calcChain>
</file>

<file path=xl/sharedStrings.xml><?xml version="1.0" encoding="utf-8"?>
<sst xmlns="http://schemas.openxmlformats.org/spreadsheetml/2006/main" count="55" uniqueCount="39">
  <si>
    <t>CLIN</t>
  </si>
  <si>
    <t>Salient Characteristics</t>
  </si>
  <si>
    <t>Equivalent Nomenclature</t>
  </si>
  <si>
    <t>Brand Name Nomenclature</t>
  </si>
  <si>
    <t>Equivalent Part Number</t>
  </si>
  <si>
    <t>Manufacturer Part Number</t>
  </si>
  <si>
    <t>Unit Price</t>
  </si>
  <si>
    <t>Extended Price</t>
  </si>
  <si>
    <t>Total</t>
  </si>
  <si>
    <t>Brand Name</t>
  </si>
  <si>
    <t>Equivalent Brand</t>
  </si>
  <si>
    <t>Equivalent Description Matching Salient Characteristics and/or location of information regarding equal capability</t>
  </si>
  <si>
    <t>Company Name:</t>
  </si>
  <si>
    <t>Address:</t>
  </si>
  <si>
    <t>Telephone #:</t>
  </si>
  <si>
    <t>Email:</t>
  </si>
  <si>
    <t>Point of Contact:</t>
  </si>
  <si>
    <t>Quantity (EA)</t>
  </si>
  <si>
    <t>SAM Unique Number#:</t>
  </si>
  <si>
    <t xml:space="preserve">ATTACHEMENT B </t>
  </si>
  <si>
    <t>Mindray</t>
  </si>
  <si>
    <t>M9 Premium Ultrasound System</t>
  </si>
  <si>
    <t>121-002319-00</t>
  </si>
  <si>
    <t>iNeedle (Needle Visualization Enhancement)</t>
  </si>
  <si>
    <t>110-008356-00</t>
  </si>
  <si>
    <t>120-018883-00</t>
  </si>
  <si>
    <t>Auto DFR</t>
  </si>
  <si>
    <t>120-002703-00</t>
  </si>
  <si>
    <t>110-002617-00</t>
  </si>
  <si>
    <t>121-001461-00</t>
  </si>
  <si>
    <t>049-001352-00</t>
  </si>
  <si>
    <t>121-002372-00</t>
  </si>
  <si>
    <t>120-004780-00</t>
  </si>
  <si>
    <t>1D/2D Bar Code Scanner (Jaak HS-1M) and Scanner Configuration Guide</t>
  </si>
  <si>
    <t>Keyboard protector</t>
  </si>
  <si>
    <t>UMT-500 Plus mobile cart with PEM-51</t>
  </si>
  <si>
    <t>L9-3s Linear array transducer</t>
  </si>
  <si>
    <t>SC6-1s convex array transducer (Adult Abdominal, Pediatrics, Gynecology, Obstretics, Vascular, Musculoskeletal)</t>
  </si>
  <si>
    <t>SC5-1s single crystal phased array transducer (Adult Cardiac, Pediatric Cardiac, Adult Cranial, Adult Abdominal)  Bandwith 1.1-4.4MHz Needle guide bracket: NGB-011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</si>
</sst>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1" xfId="1" applyFont="1" applyBorder="1" applyAlignment="1">
      <alignment horizontal="left" wrapText="1"/>
    </xf>
    <xf numFmtId="0" fontId="0" fillId="0" borderId="1" xfId="0" applyBorder="1" applyAlignment="1" applyProtection="1">
      <alignment horizontal="left" wrapText="1"/>
      <protection locked="0"/>
    </xf>
    <xf numFmtId="44" fontId="0" fillId="0" borderId="1" xfId="1" applyFont="1" applyBorder="1" applyAlignment="1" applyProtection="1">
      <alignment horizontal="left" wrapText="1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1" xfId="0" applyBorder="1"/>
    <xf numFmtId="0" fontId="4" fillId="0" borderId="1" xfId="2" applyBorder="1"/>
    <xf numFmtId="0" fontId="0" fillId="0" borderId="1" xfId="0" applyBorder="1" applyAlignment="1" applyProtection="1">
      <alignment horizontal="left"/>
      <protection locked="0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 applyProtection="1">
      <alignment horizontal="left" wrapText="1"/>
      <protection locked="0"/>
    </xf>
    <xf numFmtId="1" fontId="5" fillId="0" borderId="1" xfId="0" applyNumberFormat="1" applyFont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4D30-29D0-45B8-9D2D-2E9EAA875EC3}">
  <dimension ref="A1:L11"/>
  <sheetViews>
    <sheetView tabSelected="1" zoomScaleNormal="100" workbookViewId="0">
      <selection activeCell="C10" sqref="C10"/>
    </sheetView>
  </sheetViews>
  <sheetFormatPr defaultColWidth="9.1796875" defaultRowHeight="14.5" x14ac:dyDescent="0.35"/>
  <cols>
    <col min="1" max="1" width="5.81640625" style="5" customWidth="1"/>
    <col min="2" max="2" width="16.453125" style="2" customWidth="1"/>
    <col min="3" max="3" width="68.6328125" style="2" customWidth="1"/>
    <col min="4" max="4" width="24" style="2" bestFit="1" customWidth="1"/>
    <col min="5" max="5" width="22.453125" style="2" customWidth="1"/>
    <col min="6" max="6" width="19" style="2" customWidth="1"/>
    <col min="7" max="7" width="25" style="2" customWidth="1"/>
    <col min="8" max="8" width="19.1796875" style="2" customWidth="1"/>
    <col min="9" max="9" width="40" style="2" customWidth="1"/>
    <col min="10" max="10" width="14.26953125" style="2" customWidth="1"/>
    <col min="11" max="11" width="17.453125" style="2" customWidth="1"/>
    <col min="12" max="12" width="20.7265625" style="2" customWidth="1"/>
    <col min="13" max="13" width="28.453125" style="3" customWidth="1"/>
    <col min="14" max="16384" width="9.1796875" style="3"/>
  </cols>
  <sheetData>
    <row r="1" spans="1:12" s="2" customFormat="1" ht="43.5" customHeight="1" x14ac:dyDescent="0.35">
      <c r="A1" s="16" t="s">
        <v>0</v>
      </c>
      <c r="B1" s="16" t="s">
        <v>9</v>
      </c>
      <c r="C1" s="16" t="s">
        <v>3</v>
      </c>
      <c r="D1" s="16" t="s">
        <v>5</v>
      </c>
      <c r="E1" s="16" t="s">
        <v>1</v>
      </c>
      <c r="F1" s="16" t="s">
        <v>10</v>
      </c>
      <c r="G1" s="16" t="s">
        <v>2</v>
      </c>
      <c r="H1" s="16" t="s">
        <v>4</v>
      </c>
      <c r="I1" s="1" t="s">
        <v>11</v>
      </c>
      <c r="J1" s="1" t="s">
        <v>17</v>
      </c>
      <c r="K1" s="1" t="s">
        <v>6</v>
      </c>
      <c r="L1" s="1" t="s">
        <v>7</v>
      </c>
    </row>
    <row r="2" spans="1:12" x14ac:dyDescent="0.35">
      <c r="A2" s="17">
        <v>1</v>
      </c>
      <c r="B2" s="16" t="s">
        <v>20</v>
      </c>
      <c r="C2" s="15" t="s">
        <v>21</v>
      </c>
      <c r="D2" s="19" t="s">
        <v>22</v>
      </c>
      <c r="E2" s="16" t="s">
        <v>19</v>
      </c>
      <c r="F2" s="18"/>
      <c r="G2" s="16"/>
      <c r="H2" s="18"/>
      <c r="I2" s="7"/>
      <c r="J2" s="1">
        <v>1</v>
      </c>
      <c r="K2" s="8"/>
      <c r="L2" s="6">
        <f>K2*J2</f>
        <v>0</v>
      </c>
    </row>
    <row r="3" spans="1:12" x14ac:dyDescent="0.35">
      <c r="A3" s="17">
        <v>2</v>
      </c>
      <c r="B3" s="16" t="s">
        <v>20</v>
      </c>
      <c r="C3" s="15" t="s">
        <v>23</v>
      </c>
      <c r="D3" s="19" t="s">
        <v>28</v>
      </c>
      <c r="E3" s="16" t="s">
        <v>19</v>
      </c>
      <c r="F3" s="18"/>
      <c r="G3" s="16"/>
      <c r="H3" s="18"/>
      <c r="I3" s="7"/>
      <c r="J3" s="1">
        <v>1</v>
      </c>
      <c r="K3" s="8"/>
      <c r="L3" s="6">
        <f t="shared" ref="L3:L10" si="0">K3*J3</f>
        <v>0</v>
      </c>
    </row>
    <row r="4" spans="1:12" x14ac:dyDescent="0.35">
      <c r="A4" s="17">
        <v>3</v>
      </c>
      <c r="B4" s="16" t="s">
        <v>20</v>
      </c>
      <c r="C4" s="15" t="s">
        <v>26</v>
      </c>
      <c r="D4" s="19" t="s">
        <v>24</v>
      </c>
      <c r="E4" s="16" t="s">
        <v>19</v>
      </c>
      <c r="F4" s="18"/>
      <c r="G4" s="16"/>
      <c r="H4" s="18"/>
      <c r="I4" s="7"/>
      <c r="J4" s="1">
        <v>1</v>
      </c>
      <c r="K4" s="8"/>
      <c r="L4" s="6">
        <f t="shared" si="0"/>
        <v>0</v>
      </c>
    </row>
    <row r="5" spans="1:12" ht="28.5" x14ac:dyDescent="0.35">
      <c r="A5" s="17">
        <v>4</v>
      </c>
      <c r="B5" s="16" t="s">
        <v>20</v>
      </c>
      <c r="C5" s="15" t="s">
        <v>37</v>
      </c>
      <c r="D5" s="19" t="s">
        <v>25</v>
      </c>
      <c r="E5" s="16" t="s">
        <v>19</v>
      </c>
      <c r="F5" s="18"/>
      <c r="G5" s="16"/>
      <c r="H5" s="18"/>
      <c r="I5" s="7"/>
      <c r="J5" s="1">
        <v>1</v>
      </c>
      <c r="K5" s="8"/>
      <c r="L5" s="6">
        <f t="shared" si="0"/>
        <v>0</v>
      </c>
    </row>
    <row r="6" spans="1:12" ht="42.5" x14ac:dyDescent="0.35">
      <c r="A6" s="17">
        <v>5</v>
      </c>
      <c r="B6" s="16" t="s">
        <v>20</v>
      </c>
      <c r="C6" s="15" t="s">
        <v>38</v>
      </c>
      <c r="D6" s="19" t="s">
        <v>27</v>
      </c>
      <c r="E6" s="16" t="s">
        <v>19</v>
      </c>
      <c r="F6" s="18"/>
      <c r="G6" s="16"/>
      <c r="H6" s="18"/>
      <c r="I6" s="7"/>
      <c r="J6" s="1">
        <v>1</v>
      </c>
      <c r="K6" s="8"/>
      <c r="L6" s="6">
        <f t="shared" si="0"/>
        <v>0</v>
      </c>
    </row>
    <row r="7" spans="1:12" x14ac:dyDescent="0.35">
      <c r="A7" s="17">
        <v>6</v>
      </c>
      <c r="B7" s="16" t="s">
        <v>20</v>
      </c>
      <c r="C7" s="15" t="s">
        <v>33</v>
      </c>
      <c r="D7" s="19" t="s">
        <v>29</v>
      </c>
      <c r="E7" s="16" t="s">
        <v>19</v>
      </c>
      <c r="F7" s="18"/>
      <c r="G7" s="16"/>
      <c r="H7" s="18"/>
      <c r="I7" s="7"/>
      <c r="J7" s="1">
        <v>1</v>
      </c>
      <c r="K7" s="8"/>
      <c r="L7" s="6">
        <f t="shared" si="0"/>
        <v>0</v>
      </c>
    </row>
    <row r="8" spans="1:12" x14ac:dyDescent="0.35">
      <c r="A8" s="17">
        <v>7</v>
      </c>
      <c r="B8" s="16" t="s">
        <v>20</v>
      </c>
      <c r="C8" s="15" t="s">
        <v>34</v>
      </c>
      <c r="D8" s="19" t="s">
        <v>30</v>
      </c>
      <c r="E8" s="16" t="s">
        <v>19</v>
      </c>
      <c r="F8" s="18"/>
      <c r="G8" s="16"/>
      <c r="H8" s="18"/>
      <c r="I8" s="7"/>
      <c r="J8" s="1">
        <v>1</v>
      </c>
      <c r="K8" s="8"/>
      <c r="L8" s="6">
        <f t="shared" si="0"/>
        <v>0</v>
      </c>
    </row>
    <row r="9" spans="1:12" x14ac:dyDescent="0.35">
      <c r="A9" s="17">
        <v>8</v>
      </c>
      <c r="B9" s="16" t="s">
        <v>20</v>
      </c>
      <c r="C9" s="15" t="s">
        <v>35</v>
      </c>
      <c r="D9" s="19" t="s">
        <v>31</v>
      </c>
      <c r="E9" s="16" t="s">
        <v>19</v>
      </c>
      <c r="F9" s="18"/>
      <c r="G9" s="16"/>
      <c r="H9" s="18"/>
      <c r="I9" s="7"/>
      <c r="J9" s="1">
        <v>1</v>
      </c>
      <c r="K9" s="8"/>
      <c r="L9" s="6">
        <f t="shared" si="0"/>
        <v>0</v>
      </c>
    </row>
    <row r="10" spans="1:12" x14ac:dyDescent="0.35">
      <c r="A10" s="17">
        <v>9</v>
      </c>
      <c r="B10" s="16" t="s">
        <v>20</v>
      </c>
      <c r="C10" s="15" t="s">
        <v>36</v>
      </c>
      <c r="D10" s="19" t="s">
        <v>32</v>
      </c>
      <c r="E10" s="16" t="s">
        <v>19</v>
      </c>
      <c r="F10" s="18"/>
      <c r="G10" s="16"/>
      <c r="H10" s="18"/>
      <c r="I10" s="7"/>
      <c r="J10" s="1">
        <v>1</v>
      </c>
      <c r="K10" s="8"/>
      <c r="L10" s="6">
        <f t="shared" si="0"/>
        <v>0</v>
      </c>
    </row>
    <row r="11" spans="1:12" x14ac:dyDescent="0.35">
      <c r="A11" s="4"/>
      <c r="B11" s="1"/>
      <c r="C11" s="1"/>
      <c r="D11" s="1"/>
      <c r="E11" s="1"/>
      <c r="F11" s="7"/>
      <c r="G11" s="7"/>
      <c r="H11" s="7"/>
      <c r="I11" s="7"/>
      <c r="J11" s="1"/>
      <c r="K11" s="6" t="s">
        <v>8</v>
      </c>
      <c r="L11" s="6">
        <f>SUM(L2:L10)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652C-33EF-41DE-86AB-DB35A7D9DF3B}">
  <dimension ref="A1:C6"/>
  <sheetViews>
    <sheetView workbookViewId="0">
      <selection activeCell="G13" sqref="G13"/>
    </sheetView>
  </sheetViews>
  <sheetFormatPr defaultRowHeight="14.5" x14ac:dyDescent="0.35"/>
  <cols>
    <col min="2" max="2" width="27.81640625" bestFit="1" customWidth="1"/>
    <col min="3" max="3" width="71.26953125" customWidth="1"/>
  </cols>
  <sheetData>
    <row r="1" spans="1:3" ht="37.5" customHeight="1" x14ac:dyDescent="0.35">
      <c r="A1" s="9">
        <v>1</v>
      </c>
      <c r="B1" s="10" t="s">
        <v>12</v>
      </c>
      <c r="C1" s="11"/>
    </row>
    <row r="2" spans="1:3" ht="78.75" customHeight="1" x14ac:dyDescent="0.35">
      <c r="A2" s="9">
        <v>2</v>
      </c>
      <c r="B2" s="10" t="s">
        <v>13</v>
      </c>
      <c r="C2" s="11"/>
    </row>
    <row r="3" spans="1:3" ht="18.5" x14ac:dyDescent="0.35">
      <c r="A3" s="9">
        <v>3</v>
      </c>
      <c r="B3" s="10" t="s">
        <v>14</v>
      </c>
      <c r="C3" s="11"/>
    </row>
    <row r="4" spans="1:3" ht="18.5" x14ac:dyDescent="0.35">
      <c r="A4" s="9">
        <v>4</v>
      </c>
      <c r="B4" s="10" t="s">
        <v>15</v>
      </c>
      <c r="C4" s="13"/>
    </row>
    <row r="5" spans="1:3" ht="18.5" x14ac:dyDescent="0.35">
      <c r="A5" s="9">
        <v>5</v>
      </c>
      <c r="B5" s="10" t="s">
        <v>16</v>
      </c>
      <c r="C5" s="12"/>
    </row>
    <row r="6" spans="1:3" ht="18.5" x14ac:dyDescent="0.35">
      <c r="A6" s="9">
        <v>6</v>
      </c>
      <c r="B6" s="10" t="s">
        <v>18</v>
      </c>
      <c r="C6" s="1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Base</vt:lpstr>
      <vt:lpstr>2. Company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Gaba, Rebecca D.</cp:lastModifiedBy>
  <dcterms:created xsi:type="dcterms:W3CDTF">2020-01-27T23:53:43Z</dcterms:created>
  <dcterms:modified xsi:type="dcterms:W3CDTF">2026-04-15T18:55:10Z</dcterms:modified>
</cp:coreProperties>
</file>