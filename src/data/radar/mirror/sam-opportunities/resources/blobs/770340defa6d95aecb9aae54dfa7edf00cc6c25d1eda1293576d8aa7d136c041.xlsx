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flankspeed-my.sharepoint-mil.us/personal/kieran_m_connolly2_civ_us_navy_mil/Documents/Desktop/Services/N68335-26-R-1036 PMTD full &amp; open/Section J Attachments/"/>
    </mc:Choice>
  </mc:AlternateContent>
  <xr:revisionPtr revIDLastSave="132" documentId="11_4EE18192A48C17B49E0514E8D832DE85DE5F9FD2" xr6:coauthVersionLast="47" xr6:coauthVersionMax="47" xr10:uidLastSave="{8A35EB1D-C8F4-47E2-87BE-0A6DCE772293}"/>
  <bookViews>
    <workbookView xWindow="19720" yWindow="520" windowWidth="28800" windowHeight="15410" tabRatio="690" firstSheet="1" activeTab="3" xr2:uid="{00000000-000D-0000-FFFF-FFFF00000000}"/>
  </bookViews>
  <sheets>
    <sheet name="Instructions" sheetId="11" r:id="rId1"/>
    <sheet name="Indirect Rates and Fee" sheetId="7" r:id="rId2"/>
    <sheet name="Cost Summary" sheetId="3" r:id="rId3"/>
    <sheet name="CLIN Structure" sheetId="60" r:id="rId4"/>
    <sheet name="Hours Check - FOR GOVT USE" sheetId="10" r:id="rId5"/>
    <sheet name="Total Compensation Plan" sheetId="58" r:id="rId6"/>
    <sheet name="Do Not Use or Delete" sheetId="9" r:id="rId7"/>
    <sheet name="Minimum Direct Labor Rates" sheetId="59" r:id="rId8"/>
  </sheets>
  <externalReferences>
    <externalReference r:id="rId9"/>
    <externalReference r:id="rId10"/>
    <externalReference r:id="rId11"/>
    <externalReference r:id="rId12"/>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#N/A</definedName>
    <definedName name="__123Graph_A" hidden="1">#N/A</definedName>
    <definedName name="__123Graph_ACH17GRP" hidden="1">#N/A</definedName>
    <definedName name="__123Graph_AMATERIAL" localSheetId="1" hidden="1">'[1]Mat''l Handling'!#REF!</definedName>
    <definedName name="__123Graph_AMATERIAL" hidden="1">'[1]Mat''l Handling'!#REF!</definedName>
    <definedName name="__123Graph_B" localSheetId="1" hidden="1">#N/A</definedName>
    <definedName name="__123Graph_B" hidden="1">#N/A</definedName>
    <definedName name="__123Graph_BCH17GRP" hidden="1">#N/A</definedName>
    <definedName name="__123Graph_BMATERIAL" localSheetId="1" hidden="1">'[1]Mat''l Handling'!#REF!</definedName>
    <definedName name="__123Graph_BMATERIAL" hidden="1">'[1]Mat''l Handling'!#REF!</definedName>
    <definedName name="__123Graph_C" hidden="1">#N/A</definedName>
    <definedName name="__123Graph_CCH17GRP" hidden="1">#N/A</definedName>
    <definedName name="__123Graph_CMATERIAL" localSheetId="1" hidden="1">'[1]Mat''l Handling'!#REF!</definedName>
    <definedName name="__123Graph_CMATERIAL" hidden="1">'[1]Mat''l Handling'!#REF!</definedName>
    <definedName name="__123Graph_DMATERIAL" localSheetId="1" hidden="1">'[1]Mat''l Handling'!#REF!</definedName>
    <definedName name="__123Graph_DMATERIAL" hidden="1">'[1]Mat''l Handling'!#REF!</definedName>
    <definedName name="__123Graph_E" localSheetId="1" hidden="1">#N/A</definedName>
    <definedName name="__123Graph_E" hidden="1">#N/A</definedName>
    <definedName name="__123Graph_EReport" localSheetId="1" hidden="1">#N/A</definedName>
    <definedName name="__123Graph_EReport" hidden="1">#N/A</definedName>
    <definedName name="__123Graph_F" localSheetId="1" hidden="1">#N/A</definedName>
    <definedName name="__123Graph_F" hidden="1">#N/A</definedName>
    <definedName name="__123Graph_FReport" localSheetId="1" hidden="1">#N/A</definedName>
    <definedName name="__123Graph_FReport" hidden="1">#N/A</definedName>
    <definedName name="__123Graph_X" localSheetId="1" hidden="1">#N/A</definedName>
    <definedName name="__123Graph_X" hidden="1">#N/A</definedName>
    <definedName name="__123Graph_XCH17GRP" hidden="1">#N/A</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#N/A</definedName>
    <definedName name="_123Grapha_E" hidden="1">#N/A</definedName>
    <definedName name="_1S" localSheetId="1" hidden="1">#N/A</definedName>
    <definedName name="_1S" hidden="1">#N/A</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#N/A</definedName>
    <definedName name="_Fill" hidden="1">#N/A</definedName>
    <definedName name="_xlnm._FilterDatabase" hidden="1">#N/A</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#N/A</definedName>
    <definedName name="_Key1" hidden="1">#N/A</definedName>
    <definedName name="_Key2" localSheetId="1" hidden="1">#N/A</definedName>
    <definedName name="_Key2" hidden="1">#N/A</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#N/A</definedName>
    <definedName name="_Parse_In" hidden="1">#N/A</definedName>
    <definedName name="_Parse_Out" localSheetId="1" hidden="1">#N/A</definedName>
    <definedName name="_Parse_Out" hidden="1">#N/A</definedName>
    <definedName name="_q3" hidden="1">#N/A</definedName>
    <definedName name="_Sort" localSheetId="1" hidden="1">#N/A</definedName>
    <definedName name="_Sort" hidden="1">#N/A</definedName>
    <definedName name="_Table1_In1" hidden="1">#N/A</definedName>
    <definedName name="_Table1_Out" hidden="1">#N/A</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#N/A</definedName>
    <definedName name="bbbb" hidden="1">#N/A</definedName>
    <definedName name="BNE_MESSAGES_HIDDEN" hidden="1">#N/A</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#N/A</definedName>
    <definedName name="DD" hidden="1">#N/A</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#N/A</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#N/A</definedName>
    <definedName name="fff" hidden="1">#N/A</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[2]RATETEMP!#REF!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#N/A</definedName>
    <definedName name="Hello" hidden="1">#N/A</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[2]RATETEMP!#REF!</definedName>
    <definedName name="JH" localSheetId="2" hidden="1">{"PAGE1",#N/A,FALSE,"CPFFMSTR";"PAGE2",#N/A,FALSE,"CPFFMSTR"}</definedName>
    <definedName name="JH" hidden="1">{"PAGE1",#N/A,FALSE,"CPFFMSTR";"PAGE2",#N/A,FALSE,"CPFFMSTR"}</definedName>
    <definedName name="jk" hidden="1">[2]RATETEMP!#REF!</definedName>
    <definedName name="JKHJ" localSheetId="2" hidden="1">{"PAGE1",#N/A,FALSE,"CPFFMSTR";"PAGE2",#N/A,FALSE,"CPFFMSTR"}</definedName>
    <definedName name="JKHJ" hidden="1">{"PAGE1",#N/A,FALSE,"CPFFMSTR";"PAGE2",#N/A,FALSE,"CPFFMSTR"}</definedName>
    <definedName name="JUICE" hidden="1">[3]A!#REF!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#N/A</definedName>
    <definedName name="_xlnm.Print_Area" localSheetId="1">#N/A</definedName>
    <definedName name="_xlnm.Print_Titles" localSheetId="2">#N/A</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#N/A</definedName>
    <definedName name="s" hidden="1">#N/A</definedName>
    <definedName name="sdfg" localSheetId="2" hidden="1">{"PAGE1",#N/A,FALSE,"CPFFMSTR";"PAGE2",#N/A,FALSE,"CPFFMSTR"}</definedName>
    <definedName name="sdfg" hidden="1">{"PAGE1",#N/A,FALSE,"CPFFMSTR";"PAGE2",#N/A,FALSE,"CPFFMSTR"}</definedName>
    <definedName name="sf" hidden="1">[4]A!#REF!</definedName>
    <definedName name="SFG" localSheetId="2" hidden="1">{"PAGE1",#N/A,FALSE,"CPFFMSTR";"PAGE2",#N/A,FALSE,"CPFFMSTR"}</definedName>
    <definedName name="SFG" hidden="1">{"PAGE1",#N/A,FALSE,"CPFFMSTR";"PAGE2",#N/A,FALSE,"CPFFMSTR"}</definedName>
    <definedName name="ss" hidden="1">#N/A</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[3]A!#REF!</definedName>
    <definedName name="STOPS" hidden="1">[3]A!#REF!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0" l="1" a="1"/>
  <c r="I25" i="60" s="1"/>
  <c r="H25" i="60" a="1"/>
  <c r="H25" i="60" s="1"/>
  <c r="G25" i="60" a="1"/>
  <c r="G25" i="60" s="1"/>
  <c r="E25" i="60" a="1"/>
  <c r="E25" i="60" s="1"/>
  <c r="I5" i="60"/>
  <c r="I6" i="60"/>
  <c r="I8" i="60"/>
  <c r="I9" i="60"/>
  <c r="I10" i="60"/>
  <c r="I12" i="60"/>
  <c r="I13" i="60"/>
  <c r="I14" i="60"/>
  <c r="I16" i="60"/>
  <c r="I17" i="60"/>
  <c r="I18" i="60"/>
  <c r="I20" i="60"/>
  <c r="I21" i="60"/>
  <c r="I22" i="60"/>
  <c r="I4" i="60"/>
  <c r="A3" i="9"/>
  <c r="A4" i="9" s="1"/>
  <c r="A5" i="9" s="1"/>
  <c r="A6" i="9" s="1"/>
  <c r="A7" i="9" s="1"/>
  <c r="A8" i="9" s="1"/>
  <c r="A9" i="9" s="1"/>
  <c r="A10" i="9" l="1"/>
  <c r="A11" i="9" s="1"/>
  <c r="A12" i="9" s="1"/>
  <c r="A13" i="9" s="1"/>
  <c r="A14" i="9" s="1"/>
  <c r="A15" i="9" s="1"/>
  <c r="A16" i="9" s="1"/>
  <c r="A17" i="9" s="1"/>
  <c r="A18" i="9" s="1"/>
  <c r="A288" i="3"/>
  <c r="A287" i="3"/>
  <c r="A286" i="3"/>
  <c r="A285" i="3"/>
  <c r="A284" i="3"/>
  <c r="A283" i="3"/>
  <c r="AH253" i="3"/>
  <c r="AG258" i="3"/>
  <c r="AG90" i="3"/>
  <c r="AI90" i="3"/>
  <c r="AK222" i="3"/>
  <c r="AK223" i="3"/>
  <c r="AK224" i="3"/>
  <c r="AK225" i="3"/>
  <c r="AK226" i="3"/>
  <c r="AK227" i="3"/>
  <c r="AK228" i="3"/>
  <c r="AK229" i="3"/>
  <c r="AK230" i="3"/>
  <c r="AK231" i="3"/>
  <c r="AK232" i="3"/>
  <c r="AK221" i="3"/>
  <c r="AK220" i="3" s="1"/>
  <c r="AK208" i="3"/>
  <c r="AK209" i="3"/>
  <c r="AK210" i="3"/>
  <c r="AK211" i="3"/>
  <c r="AK212" i="3"/>
  <c r="AK213" i="3"/>
  <c r="AK214" i="3"/>
  <c r="AK215" i="3"/>
  <c r="AK216" i="3"/>
  <c r="AK217" i="3"/>
  <c r="AK206" i="3" s="1"/>
  <c r="AK218" i="3"/>
  <c r="AK219" i="3"/>
  <c r="AK207" i="3"/>
  <c r="AK195" i="3"/>
  <c r="AK196" i="3"/>
  <c r="AK197" i="3"/>
  <c r="AK198" i="3"/>
  <c r="AK199" i="3"/>
  <c r="AK200" i="3"/>
  <c r="AK201" i="3"/>
  <c r="AK202" i="3"/>
  <c r="AK203" i="3"/>
  <c r="AK204" i="3"/>
  <c r="AK193" i="3" s="1"/>
  <c r="AK205" i="3"/>
  <c r="AK194" i="3"/>
  <c r="AK180" i="3"/>
  <c r="AK181" i="3"/>
  <c r="AK182" i="3"/>
  <c r="AK183" i="3"/>
  <c r="AK184" i="3"/>
  <c r="AK185" i="3"/>
  <c r="AK186" i="3"/>
  <c r="AK187" i="3"/>
  <c r="AK188" i="3"/>
  <c r="AK189" i="3"/>
  <c r="AK178" i="3" s="1"/>
  <c r="AK190" i="3"/>
  <c r="AK191" i="3"/>
  <c r="AK192" i="3"/>
  <c r="AK179" i="3"/>
  <c r="AK165" i="3"/>
  <c r="AK166" i="3"/>
  <c r="AK167" i="3"/>
  <c r="AK168" i="3"/>
  <c r="AK169" i="3"/>
  <c r="AK170" i="3"/>
  <c r="AK171" i="3"/>
  <c r="AK172" i="3"/>
  <c r="AK163" i="3" s="1"/>
  <c r="AK173" i="3"/>
  <c r="AK174" i="3"/>
  <c r="AK175" i="3"/>
  <c r="AK176" i="3"/>
  <c r="AK177" i="3"/>
  <c r="AK164" i="3"/>
  <c r="AK153" i="3"/>
  <c r="AK154" i="3"/>
  <c r="AK155" i="3"/>
  <c r="AK156" i="3"/>
  <c r="AK157" i="3"/>
  <c r="AK158" i="3"/>
  <c r="AK159" i="3"/>
  <c r="AK160" i="3"/>
  <c r="AK161" i="3"/>
  <c r="AK162" i="3"/>
  <c r="AK152" i="3"/>
  <c r="AK151" i="3" s="1"/>
  <c r="AK135" i="3"/>
  <c r="AK116" i="3"/>
  <c r="AK117" i="3"/>
  <c r="AK118" i="3"/>
  <c r="AK119" i="3"/>
  <c r="AK120" i="3"/>
  <c r="AK121" i="3"/>
  <c r="AK122" i="3"/>
  <c r="AK123" i="3"/>
  <c r="AK124" i="3"/>
  <c r="AK125" i="3"/>
  <c r="AK126" i="3"/>
  <c r="AK127" i="3"/>
  <c r="AK128" i="3"/>
  <c r="AK129" i="3"/>
  <c r="AK130" i="3"/>
  <c r="AK131" i="3"/>
  <c r="AK132" i="3"/>
  <c r="AK133" i="3"/>
  <c r="AK115" i="3"/>
  <c r="AK114" i="3" s="1"/>
  <c r="AK102"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9" i="3"/>
  <c r="AG78" i="3"/>
  <c r="AB220" i="3"/>
  <c r="W220" i="3"/>
  <c r="R220" i="3"/>
  <c r="M220" i="3"/>
  <c r="H220" i="3"/>
  <c r="AG206" i="3"/>
  <c r="AB206" i="3"/>
  <c r="W206" i="3"/>
  <c r="R206" i="3"/>
  <c r="M206" i="3"/>
  <c r="M234" i="3" s="1"/>
  <c r="M243" i="3" s="1"/>
  <c r="M263" i="3" s="1"/>
  <c r="H206" i="3"/>
  <c r="H234" i="3" s="1"/>
  <c r="AG193" i="3"/>
  <c r="AB193" i="3"/>
  <c r="W193" i="3"/>
  <c r="R193" i="3"/>
  <c r="M193" i="3"/>
  <c r="H193" i="3"/>
  <c r="AG178" i="3"/>
  <c r="AB178" i="3"/>
  <c r="W178" i="3"/>
  <c r="R178" i="3"/>
  <c r="M178" i="3"/>
  <c r="H178" i="3"/>
  <c r="AG163" i="3"/>
  <c r="AB163" i="3"/>
  <c r="W163" i="3"/>
  <c r="R163" i="3"/>
  <c r="M163" i="3"/>
  <c r="H163" i="3"/>
  <c r="AG151" i="3"/>
  <c r="AB151" i="3"/>
  <c r="W151" i="3"/>
  <c r="R151" i="3"/>
  <c r="M151" i="3"/>
  <c r="H151" i="3"/>
  <c r="AG134" i="3"/>
  <c r="AB134" i="3"/>
  <c r="W134" i="3"/>
  <c r="R134" i="3"/>
  <c r="M134" i="3"/>
  <c r="H134" i="3"/>
  <c r="AD90" i="3"/>
  <c r="AG114" i="3"/>
  <c r="AB114" i="3"/>
  <c r="W114" i="3"/>
  <c r="R114" i="3"/>
  <c r="M114" i="3"/>
  <c r="H114" i="3"/>
  <c r="M101" i="3"/>
  <c r="AB101" i="3"/>
  <c r="AB234" i="3" s="1"/>
  <c r="AB243" i="3" s="1"/>
  <c r="W101" i="3"/>
  <c r="R101" i="3"/>
  <c r="H101" i="3"/>
  <c r="AK113" i="3"/>
  <c r="AK112" i="3"/>
  <c r="AK111" i="3"/>
  <c r="AK110" i="3"/>
  <c r="AK109" i="3"/>
  <c r="AK108" i="3"/>
  <c r="AB258" i="3"/>
  <c r="AK136" i="3"/>
  <c r="AK137" i="3"/>
  <c r="AK134" i="3" s="1"/>
  <c r="AK138" i="3"/>
  <c r="AK139" i="3"/>
  <c r="AK140" i="3"/>
  <c r="AK141" i="3"/>
  <c r="AK142" i="3"/>
  <c r="AK143" i="3"/>
  <c r="AK144" i="3"/>
  <c r="AK145" i="3"/>
  <c r="AK146" i="3"/>
  <c r="AK147" i="3"/>
  <c r="AK148" i="3"/>
  <c r="AK149" i="3"/>
  <c r="AK150" i="3"/>
  <c r="AK107" i="3"/>
  <c r="AK106" i="3"/>
  <c r="AK105" i="3"/>
  <c r="AK104" i="3"/>
  <c r="AK101" i="3" s="1"/>
  <c r="AG101" i="3"/>
  <c r="AK103" i="3"/>
  <c r="H78" i="3"/>
  <c r="M78" i="3"/>
  <c r="R78" i="3"/>
  <c r="W78" i="3"/>
  <c r="AB78" i="3"/>
  <c r="J90" i="3"/>
  <c r="O90" i="3"/>
  <c r="T90" i="3"/>
  <c r="Y90" i="3"/>
  <c r="H90" i="3"/>
  <c r="M90" i="3"/>
  <c r="R90" i="3"/>
  <c r="W90" i="3"/>
  <c r="AB90" i="3"/>
  <c r="I253" i="3"/>
  <c r="N253" i="3"/>
  <c r="S253" i="3"/>
  <c r="X253" i="3"/>
  <c r="AC253" i="3"/>
  <c r="AL254" i="3"/>
  <c r="AL253" i="3" s="1"/>
  <c r="AL260" i="3" s="1"/>
  <c r="AL255" i="3"/>
  <c r="H258" i="3"/>
  <c r="M258" i="3"/>
  <c r="R258" i="3"/>
  <c r="W258" i="3"/>
  <c r="W234" i="3"/>
  <c r="W243" i="3" s="1"/>
  <c r="R234" i="3"/>
  <c r="R243" i="3" s="1"/>
  <c r="AD89" i="3"/>
  <c r="J89" i="3"/>
  <c r="Y89" i="3"/>
  <c r="T89" i="3"/>
  <c r="O89" i="3"/>
  <c r="Y86" i="3"/>
  <c r="J81" i="3"/>
  <c r="H85" i="3"/>
  <c r="Y82" i="3"/>
  <c r="W86" i="3"/>
  <c r="O85" i="3"/>
  <c r="J86" i="3"/>
  <c r="O81" i="3"/>
  <c r="M85" i="3"/>
  <c r="AB86" i="3"/>
  <c r="AD82" i="3"/>
  <c r="Y85" i="3"/>
  <c r="W82" i="3"/>
  <c r="AB85" i="3"/>
  <c r="AD81" i="3"/>
  <c r="T86" i="3"/>
  <c r="J85" i="3"/>
  <c r="H82" i="3"/>
  <c r="O86" i="3"/>
  <c r="Y81" i="3"/>
  <c r="W85" i="3"/>
  <c r="T81" i="3"/>
  <c r="R85" i="3"/>
  <c r="O82" i="3"/>
  <c r="M86" i="3"/>
  <c r="AD85" i="3"/>
  <c r="AD86" i="3"/>
  <c r="T85" i="3"/>
  <c r="J82" i="3"/>
  <c r="H86" i="3"/>
  <c r="R86" i="3"/>
  <c r="T82" i="3"/>
  <c r="AI89" i="3"/>
  <c r="AI85" i="3"/>
  <c r="AI82" i="3"/>
  <c r="AI81" i="3"/>
  <c r="AG81" i="3"/>
  <c r="AG85" i="3"/>
  <c r="AI86" i="3"/>
  <c r="AG86" i="3"/>
  <c r="AG220" i="3"/>
  <c r="AG234" i="3" s="1"/>
  <c r="AG243" i="3" s="1"/>
  <c r="AG263" i="3" s="1"/>
  <c r="M83" i="3"/>
  <c r="AG259" i="3"/>
  <c r="AH260" i="3"/>
  <c r="AL127" i="3"/>
  <c r="AL109" i="3"/>
  <c r="AL123" i="3"/>
  <c r="R259" i="3"/>
  <c r="S260" i="3"/>
  <c r="AL182" i="3"/>
  <c r="AL160" i="3"/>
  <c r="AL167" i="3"/>
  <c r="AL116" i="3"/>
  <c r="AL112" i="3"/>
  <c r="AL191" i="3"/>
  <c r="AL148" i="3"/>
  <c r="AL198" i="3"/>
  <c r="AL203" i="3"/>
  <c r="AL176" i="3"/>
  <c r="W259" i="3"/>
  <c r="X260" i="3"/>
  <c r="AL175" i="3"/>
  <c r="R83" i="3"/>
  <c r="W81" i="3"/>
  <c r="AG83" i="3"/>
  <c r="R81" i="3"/>
  <c r="AB81" i="3"/>
  <c r="W83" i="3"/>
  <c r="AB83" i="3"/>
  <c r="AG82" i="3"/>
  <c r="R82" i="3"/>
  <c r="M81" i="3"/>
  <c r="H83" i="3"/>
  <c r="AB82" i="3"/>
  <c r="H81" i="3"/>
  <c r="AL81" i="3"/>
  <c r="M82" i="3"/>
  <c r="AL35" i="3"/>
  <c r="AL107" i="3"/>
  <c r="AL173" i="3"/>
  <c r="AL141" i="3"/>
  <c r="AL137" i="3"/>
  <c r="AL134" i="3" s="1"/>
  <c r="AL159" i="3"/>
  <c r="N101" i="3"/>
  <c r="AL157" i="3"/>
  <c r="AL138" i="3"/>
  <c r="AL128" i="3"/>
  <c r="AL86" i="3"/>
  <c r="AL225" i="3"/>
  <c r="AL120" i="3"/>
  <c r="AL155" i="3"/>
  <c r="AL224" i="3"/>
  <c r="AL132" i="3"/>
  <c r="AL106" i="3"/>
  <c r="AL113" i="3"/>
  <c r="M259" i="3"/>
  <c r="N260" i="3"/>
  <c r="H259" i="3"/>
  <c r="AL200" i="3"/>
  <c r="AL12" i="3"/>
  <c r="AL38" i="3"/>
  <c r="AL192" i="3"/>
  <c r="AL258" i="3"/>
  <c r="AL150" i="3"/>
  <c r="AL77" i="3"/>
  <c r="AL57" i="3"/>
  <c r="AL14" i="3"/>
  <c r="AL184" i="3"/>
  <c r="AC178" i="3"/>
  <c r="AL105" i="3"/>
  <c r="AL197" i="3"/>
  <c r="AL20" i="3"/>
  <c r="AL42" i="3"/>
  <c r="AL44" i="3"/>
  <c r="AL40" i="3"/>
  <c r="AH163" i="3"/>
  <c r="S101" i="3"/>
  <c r="AL179" i="3"/>
  <c r="AL178" i="3" s="1"/>
  <c r="AL131" i="3"/>
  <c r="AL66" i="3"/>
  <c r="AL52" i="3"/>
  <c r="AL9" i="3"/>
  <c r="AL31" i="3"/>
  <c r="AL32" i="3"/>
  <c r="AL143" i="3"/>
  <c r="AL218" i="3"/>
  <c r="AL208" i="3"/>
  <c r="AL207" i="3"/>
  <c r="AC151" i="3"/>
  <c r="AL145" i="3"/>
  <c r="AL129" i="3"/>
  <c r="AL168" i="3"/>
  <c r="AL188" i="3"/>
  <c r="AL153" i="3"/>
  <c r="AL171" i="3"/>
  <c r="AL189" i="3"/>
  <c r="AL108" i="3"/>
  <c r="AL154" i="3"/>
  <c r="AL85" i="3"/>
  <c r="AL166" i="3"/>
  <c r="AL216" i="3"/>
  <c r="AL133" i="3"/>
  <c r="AL162" i="3"/>
  <c r="AL70" i="3"/>
  <c r="AL103" i="3"/>
  <c r="AL101" i="3" s="1"/>
  <c r="I193" i="3"/>
  <c r="AL223" i="3"/>
  <c r="AL187" i="3"/>
  <c r="AL27" i="3"/>
  <c r="I78" i="3"/>
  <c r="AL74" i="3"/>
  <c r="AL46" i="3"/>
  <c r="AL199" i="3"/>
  <c r="AL174" i="3"/>
  <c r="AL215" i="3"/>
  <c r="AL229" i="3"/>
  <c r="AL142" i="3"/>
  <c r="AL230" i="3"/>
  <c r="AL130" i="3"/>
  <c r="AL115" i="3"/>
  <c r="I151" i="3"/>
  <c r="AL118" i="3"/>
  <c r="AL180" i="3"/>
  <c r="AL119" i="3"/>
  <c r="N151" i="3"/>
  <c r="AL169" i="3"/>
  <c r="AL117" i="3"/>
  <c r="AL124" i="3"/>
  <c r="AL158" i="3"/>
  <c r="AH178" i="3"/>
  <c r="AL177" i="3"/>
  <c r="AL201" i="3"/>
  <c r="AL186" i="3"/>
  <c r="AL140" i="3"/>
  <c r="N178" i="3"/>
  <c r="AH151" i="3"/>
  <c r="AL75" i="3"/>
  <c r="AL34" i="3"/>
  <c r="AL61" i="3"/>
  <c r="AL82" i="3"/>
  <c r="AL210" i="3"/>
  <c r="AC193" i="3"/>
  <c r="S193" i="3"/>
  <c r="AL147" i="3"/>
  <c r="N134" i="3"/>
  <c r="AC163" i="3"/>
  <c r="S206" i="3"/>
  <c r="AC101" i="3"/>
  <c r="N193" i="3"/>
  <c r="N234" i="3" s="1"/>
  <c r="AL104" i="3"/>
  <c r="AL149" i="3"/>
  <c r="X134" i="3"/>
  <c r="AL219" i="3"/>
  <c r="I206" i="3"/>
  <c r="I220" i="3"/>
  <c r="I234" i="3" s="1"/>
  <c r="S114" i="3"/>
  <c r="AL54" i="3"/>
  <c r="AL146" i="3"/>
  <c r="AL185" i="3"/>
  <c r="AH134" i="3"/>
  <c r="AH101" i="3"/>
  <c r="X101" i="3"/>
  <c r="AL63" i="3"/>
  <c r="AL144" i="3"/>
  <c r="AL164" i="3"/>
  <c r="AL163" i="3" s="1"/>
  <c r="AL10" i="3"/>
  <c r="AL204" i="3"/>
  <c r="AL214" i="3"/>
  <c r="AL156" i="3"/>
  <c r="AL151" i="3" s="1"/>
  <c r="AH220" i="3"/>
  <c r="AL226" i="3"/>
  <c r="AL202" i="3"/>
  <c r="AC114" i="3"/>
  <c r="AH193" i="3"/>
  <c r="X178" i="3"/>
  <c r="S163" i="3"/>
  <c r="AL111" i="3"/>
  <c r="AL231" i="3"/>
  <c r="AL56" i="3"/>
  <c r="AL172" i="3"/>
  <c r="AL25" i="3"/>
  <c r="AL45" i="3"/>
  <c r="AL36" i="3"/>
  <c r="I163" i="3"/>
  <c r="AL41" i="3"/>
  <c r="AC134" i="3"/>
  <c r="AL183" i="3"/>
  <c r="AL213" i="3"/>
  <c r="AL21" i="3"/>
  <c r="AL24" i="3"/>
  <c r="AL18" i="3"/>
  <c r="AL58" i="3"/>
  <c r="AL23" i="3"/>
  <c r="N114" i="3"/>
  <c r="S134" i="3"/>
  <c r="AL227" i="3"/>
  <c r="AL87" i="3"/>
  <c r="AL152" i="3"/>
  <c r="AL122" i="3"/>
  <c r="AL102" i="3"/>
  <c r="AL60" i="3"/>
  <c r="AL39" i="3"/>
  <c r="X78" i="3"/>
  <c r="W91" i="3"/>
  <c r="W95" i="3"/>
  <c r="AL67" i="3"/>
  <c r="AL64" i="3"/>
  <c r="AL29" i="3"/>
  <c r="AL55" i="3"/>
  <c r="AL22" i="3"/>
  <c r="AL47" i="3"/>
  <c r="AL51" i="3"/>
  <c r="AL121" i="3"/>
  <c r="AL15" i="3"/>
  <c r="AL72" i="3"/>
  <c r="X220" i="3"/>
  <c r="X234" i="3" s="1"/>
  <c r="X163" i="3"/>
  <c r="AH206" i="3"/>
  <c r="AL195" i="3"/>
  <c r="AL161" i="3"/>
  <c r="AL53" i="3"/>
  <c r="AL211" i="3"/>
  <c r="AL190" i="3"/>
  <c r="AL135" i="3"/>
  <c r="AB259" i="3"/>
  <c r="AC260" i="3"/>
  <c r="X114" i="3"/>
  <c r="S220" i="3"/>
  <c r="S178" i="3"/>
  <c r="N78" i="3"/>
  <c r="M91" i="3" s="1"/>
  <c r="M95" i="3"/>
  <c r="AL196" i="3"/>
  <c r="AL193" i="3" s="1"/>
  <c r="AL217" i="3"/>
  <c r="I134" i="3"/>
  <c r="N220" i="3"/>
  <c r="AL165" i="3"/>
  <c r="AL205" i="3"/>
  <c r="X206" i="3"/>
  <c r="AL126" i="3"/>
  <c r="AL221" i="3"/>
  <c r="AL220" i="3" s="1"/>
  <c r="N206" i="3"/>
  <c r="AL139" i="3"/>
  <c r="AL209" i="3"/>
  <c r="X151" i="3"/>
  <c r="AH114" i="3"/>
  <c r="AL194" i="3"/>
  <c r="AL212" i="3"/>
  <c r="S151" i="3"/>
  <c r="AL62" i="3"/>
  <c r="AL71" i="3"/>
  <c r="AL33" i="3"/>
  <c r="AL48" i="3"/>
  <c r="AL19" i="3"/>
  <c r="AL68" i="3"/>
  <c r="AL76" i="3"/>
  <c r="AL73" i="3"/>
  <c r="AL37" i="3"/>
  <c r="AL11" i="3"/>
  <c r="AL50" i="3"/>
  <c r="AL49" i="3"/>
  <c r="AL17" i="3"/>
  <c r="AL65" i="3"/>
  <c r="AL26" i="3"/>
  <c r="AL43" i="3"/>
  <c r="AL28" i="3"/>
  <c r="AL30" i="3"/>
  <c r="AL69" i="3"/>
  <c r="AL59" i="3"/>
  <c r="AL125" i="3"/>
  <c r="X193" i="3"/>
  <c r="AC220" i="3"/>
  <c r="I101" i="3"/>
  <c r="AL170" i="3"/>
  <c r="AL16" i="3"/>
  <c r="I260" i="3"/>
  <c r="AL232" i="3"/>
  <c r="I114" i="3"/>
  <c r="AL136" i="3"/>
  <c r="AH78" i="3"/>
  <c r="AL13" i="3"/>
  <c r="AC206" i="3"/>
  <c r="AC234" i="3" s="1"/>
  <c r="AL181" i="3"/>
  <c r="AC78" i="3"/>
  <c r="AL222" i="3"/>
  <c r="S78" i="3"/>
  <c r="AL78" i="3" s="1"/>
  <c r="R95" i="3"/>
  <c r="N163" i="3"/>
  <c r="AL84" i="3"/>
  <c r="AL88" i="3"/>
  <c r="AL259" i="3"/>
  <c r="AL206" i="3"/>
  <c r="S234" i="3"/>
  <c r="R237" i="3" s="1"/>
  <c r="AB91" i="3"/>
  <c r="AB95" i="3"/>
  <c r="AB246" i="3"/>
  <c r="AH234" i="3"/>
  <c r="AG236" i="3" s="1"/>
  <c r="W246" i="3"/>
  <c r="R246" i="3"/>
  <c r="M246" i="3"/>
  <c r="M238" i="3"/>
  <c r="AB238" i="3"/>
  <c r="R238" i="3"/>
  <c r="W238" i="3"/>
  <c r="W247" i="3"/>
  <c r="X248" i="3"/>
  <c r="AG238" i="3"/>
  <c r="R247" i="3"/>
  <c r="S248" i="3"/>
  <c r="AB247" i="3"/>
  <c r="AC248" i="3"/>
  <c r="M247" i="3"/>
  <c r="N248" i="3"/>
  <c r="AG247" i="3"/>
  <c r="AL114" i="3"/>
  <c r="I178" i="3"/>
  <c r="AL228" i="3"/>
  <c r="AL110" i="3"/>
  <c r="AK78" i="3"/>
  <c r="AL90" i="3"/>
  <c r="H91" i="3"/>
  <c r="AL91" i="3"/>
  <c r="AG91" i="3"/>
  <c r="AG95" i="3"/>
  <c r="AL237" i="3"/>
  <c r="H238" i="3"/>
  <c r="AL238" i="3"/>
  <c r="AL236" i="3"/>
  <c r="AG246" i="3"/>
  <c r="AH248" i="3"/>
  <c r="B288" i="3" s="1"/>
  <c r="C288" i="3" s="1"/>
  <c r="D288" i="3" s="1"/>
  <c r="AL92" i="3"/>
  <c r="AL93" i="3"/>
  <c r="H95" i="3"/>
  <c r="AL240" i="3"/>
  <c r="B270" i="3"/>
  <c r="AL241" i="3"/>
  <c r="H247" i="3"/>
  <c r="AL247" i="3"/>
  <c r="B271" i="3"/>
  <c r="B272" i="3"/>
  <c r="AL95" i="3"/>
  <c r="AL96" i="3"/>
  <c r="H246" i="3"/>
  <c r="AL246" i="3"/>
  <c r="I248" i="3"/>
  <c r="B276" i="3"/>
  <c r="AL243" i="3"/>
  <c r="AL248" i="3"/>
  <c r="B277" i="3"/>
  <c r="C277" i="3" s="1"/>
  <c r="AL263" i="3"/>
  <c r="AL250" i="3"/>
  <c r="B287" i="3" l="1"/>
  <c r="C287" i="3" s="1"/>
  <c r="D287" i="3" s="1"/>
  <c r="AB263" i="3"/>
  <c r="W236" i="3"/>
  <c r="W237" i="3"/>
  <c r="M237" i="3"/>
  <c r="M236" i="3"/>
  <c r="H236" i="3"/>
  <c r="H237" i="3"/>
  <c r="AK234" i="3"/>
  <c r="AK243" i="3" s="1"/>
  <c r="H243" i="3"/>
  <c r="AB237" i="3"/>
  <c r="AB236" i="3"/>
  <c r="R263" i="3"/>
  <c r="B285" i="3"/>
  <c r="C285" i="3" s="1"/>
  <c r="D285" i="3" s="1"/>
  <c r="AL234" i="3"/>
  <c r="B269" i="3" s="1"/>
  <c r="C272" i="3" s="1"/>
  <c r="B286" i="3"/>
  <c r="C286" i="3" s="1"/>
  <c r="D286" i="3" s="1"/>
  <c r="W263" i="3"/>
  <c r="B284" i="3"/>
  <c r="C284" i="3" s="1"/>
  <c r="D284" i="3" s="1"/>
  <c r="R91" i="3"/>
  <c r="AG237" i="3"/>
  <c r="R236" i="3"/>
  <c r="H263" i="3" l="1"/>
  <c r="AK263" i="3" s="1"/>
  <c r="B283" i="3"/>
  <c r="C283" i="3" s="1"/>
  <c r="D28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90" authorId="0" shapeId="0" xr:uid="{00000000-0006-0000-0200-000001000000}">
      <text>
        <r>
          <rPr>
            <b/>
            <sz val="9"/>
            <color indexed="81"/>
            <rFont val="Tahoma"/>
            <family val="2"/>
          </rPr>
          <t>Hanson, Jennifer T CIV AIR, 2.0:</t>
        </r>
        <r>
          <rPr>
            <sz val="9"/>
            <color indexed="81"/>
            <rFont val="Tahoma"/>
            <family val="2"/>
          </rPr>
          <t xml:space="preserve">
This is in here for a place for them to add a formula. At this point, I don't have a formula for this.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<sst xmlns="http://schemas.openxmlformats.org/spreadsheetml/2006/main" count="1023" uniqueCount="301">
  <si>
    <t>COST SUMMARY SPREADSHEET</t>
  </si>
  <si>
    <t xml:space="preserve">Subcontractor Name (if applicable): </t>
  </si>
  <si>
    <t>Ordering Period Year 1</t>
  </si>
  <si>
    <t>Ordering Period Year 2</t>
  </si>
  <si>
    <t>Ordering Period Year 3</t>
  </si>
  <si>
    <t>Ordering Period Year 4</t>
  </si>
  <si>
    <t>Ordering Period Year 5</t>
  </si>
  <si>
    <t>Total for All Years</t>
  </si>
  <si>
    <t>Cost Elements</t>
  </si>
  <si>
    <t>Government Labor Category</t>
  </si>
  <si>
    <t>Proposed Labor Category</t>
  </si>
  <si>
    <t>F/P</t>
  </si>
  <si>
    <t>Site</t>
  </si>
  <si>
    <t>Amount</t>
  </si>
  <si>
    <t>Prime Contractor Labor Cost</t>
  </si>
  <si>
    <t>Prime Contractor Direct Labor</t>
  </si>
  <si>
    <t>Base</t>
  </si>
  <si>
    <t>Overhead</t>
  </si>
  <si>
    <t>Fringe Benefits</t>
  </si>
  <si>
    <t>Subtotal</t>
  </si>
  <si>
    <t>Premium</t>
  </si>
  <si>
    <t>Overtime Premium</t>
  </si>
  <si>
    <t>G&amp;A</t>
  </si>
  <si>
    <t>Total Indirect Labor Cost</t>
  </si>
  <si>
    <t>Total Direct and Indirect Labor cost</t>
  </si>
  <si>
    <t>Total Prime Contractor Labor Cost</t>
  </si>
  <si>
    <t>Subcontractor Labor Cost</t>
  </si>
  <si>
    <t>Subcontractor proposed cost and fee</t>
  </si>
  <si>
    <t>Handling</t>
  </si>
  <si>
    <t>Other (if any)</t>
  </si>
  <si>
    <t>Total pass through (not including fee)</t>
  </si>
  <si>
    <t>Total Subcontractor Cost including pass through</t>
  </si>
  <si>
    <t>Total Labor Cost (Prime and Subcontractor Labor)</t>
  </si>
  <si>
    <t>Fixed Fee</t>
  </si>
  <si>
    <t xml:space="preserve">Prime Contractor Fee for Prime Contractor Labor </t>
  </si>
  <si>
    <t>Prime Contractor Fee for Subcontractor Labor *</t>
  </si>
  <si>
    <t>Total Fee (for Prime and Subcontractor Labor)</t>
  </si>
  <si>
    <t>Total Labor Cost Plus Fixed Fee (CPFF)</t>
  </si>
  <si>
    <t>Other Direct Costs</t>
  </si>
  <si>
    <t xml:space="preserve">Other Direct Costs (ODCs) </t>
  </si>
  <si>
    <t>Travel</t>
  </si>
  <si>
    <t>Materials</t>
  </si>
  <si>
    <t>Any adders to ODCs such as G&amp;A (cost only - no fee)</t>
  </si>
  <si>
    <t>Total ODCs</t>
  </si>
  <si>
    <t>Total CPFF all CLINs (Labor and ODCs)</t>
  </si>
  <si>
    <t>Pass Through Analysis - Total for All Years</t>
  </si>
  <si>
    <t>Percent</t>
  </si>
  <si>
    <t>Pass Through Amount (not including fee)</t>
  </si>
  <si>
    <t>Total Pass Through Amount (including fee)</t>
  </si>
  <si>
    <t>Fee Analysis - Total for All Years</t>
  </si>
  <si>
    <t>Fixed Fee for Labor Performed by Prime Contractor</t>
  </si>
  <si>
    <t>Fringe</t>
  </si>
  <si>
    <t xml:space="preserve">Indirect Cost Summary </t>
  </si>
  <si>
    <t>Indirect Rates (%)</t>
  </si>
  <si>
    <t>Indirect Cost Category</t>
  </si>
  <si>
    <t>Subcontractor Handling</t>
  </si>
  <si>
    <t>Fee</t>
  </si>
  <si>
    <t>Fee on Sub labor</t>
  </si>
  <si>
    <t xml:space="preserve">Prime Offeror Name: </t>
  </si>
  <si>
    <t>Prime Indirect Labor Cost</t>
  </si>
  <si>
    <t>Subcontractor (Name)</t>
  </si>
  <si>
    <t>N</t>
  </si>
  <si>
    <t>Labor Categories</t>
  </si>
  <si>
    <t>F or P</t>
  </si>
  <si>
    <t>Employee Names First Row</t>
  </si>
  <si>
    <t>Employee Names Last Row</t>
  </si>
  <si>
    <t>K</t>
  </si>
  <si>
    <t>F</t>
  </si>
  <si>
    <t>G</t>
  </si>
  <si>
    <t>P</t>
  </si>
  <si>
    <t>Subcontractor First Row</t>
  </si>
  <si>
    <t>Subcontractor Second Row</t>
  </si>
  <si>
    <t>Employee Name  or Prospective</t>
  </si>
  <si>
    <t>Fringe: Full Time</t>
  </si>
  <si>
    <t>Fringe: Part Time</t>
  </si>
  <si>
    <t>KTR</t>
  </si>
  <si>
    <t>KTR Site OH</t>
  </si>
  <si>
    <t>Gov Site OH</t>
  </si>
  <si>
    <t>SubcontractsHandling</t>
  </si>
  <si>
    <t>T</t>
  </si>
  <si>
    <t>Fee on Prime labor</t>
  </si>
  <si>
    <t>Company Name:</t>
  </si>
  <si>
    <t>Govt</t>
  </si>
  <si>
    <t>Full Time</t>
  </si>
  <si>
    <t>Part Time</t>
  </si>
  <si>
    <t>Site (K, G, T)</t>
  </si>
  <si>
    <t>SubcontractsHandling(SH)</t>
  </si>
  <si>
    <t>FCCOM</t>
  </si>
  <si>
    <t>Escalation</t>
  </si>
  <si>
    <t>Base Year (Proposed)</t>
  </si>
  <si>
    <t>Year 2 (Proposed)</t>
  </si>
  <si>
    <t>Year 4 (Proposed)</t>
  </si>
  <si>
    <t>Column1</t>
  </si>
  <si>
    <t>Overhead on Fringe Calculation</t>
  </si>
  <si>
    <t>Fringe Amount</t>
  </si>
  <si>
    <t xml:space="preserve">Fringe Base KTR Site </t>
  </si>
  <si>
    <t>Fringe Base Govt Site</t>
  </si>
  <si>
    <t>Fringe Base Telework</t>
  </si>
  <si>
    <t/>
  </si>
  <si>
    <t>Rate | 1</t>
  </si>
  <si>
    <t>Hours | 1</t>
  </si>
  <si>
    <t>Amount | 1</t>
  </si>
  <si>
    <t>All cells shall be unprotected and unlocked, with formulae intact to show mathematical operations.</t>
  </si>
  <si>
    <t>Instructions for Subcontractors:</t>
  </si>
  <si>
    <t>Instructions for Prime Contractor:</t>
  </si>
  <si>
    <t>Total Direct Labor Cost</t>
  </si>
  <si>
    <t>Row</t>
  </si>
  <si>
    <t>Site Abbreviation</t>
  </si>
  <si>
    <t>Extra columns to apply overhead to Fringe</t>
  </si>
  <si>
    <t>Rate | 2</t>
  </si>
  <si>
    <t>Hours | 2</t>
  </si>
  <si>
    <t>Amount | 2</t>
  </si>
  <si>
    <t>Rate | 3</t>
  </si>
  <si>
    <t>Hours | 3</t>
  </si>
  <si>
    <t>Amount | 3</t>
  </si>
  <si>
    <t>Rate | 4</t>
  </si>
  <si>
    <t>Hours | 4</t>
  </si>
  <si>
    <t>Amount | 4</t>
  </si>
  <si>
    <t>Rate | 5</t>
  </si>
  <si>
    <t>Hours | 5</t>
  </si>
  <si>
    <t>Amount | 5</t>
  </si>
  <si>
    <t>Hours | Total</t>
  </si>
  <si>
    <t>Amount | Total</t>
  </si>
  <si>
    <t>Subtotal Overhead</t>
  </si>
  <si>
    <t>Subtotal Fringe Benefits</t>
  </si>
  <si>
    <t>Overhead on Fringe Calc. | 1</t>
  </si>
  <si>
    <t>Fringe Amount | 1</t>
  </si>
  <si>
    <t>Overhead on Fringe Calc. | 2</t>
  </si>
  <si>
    <t>Fringe Amount | 2</t>
  </si>
  <si>
    <t>Overhead on Fringe Calc. | 3</t>
  </si>
  <si>
    <t>Fringe Amount | 3</t>
  </si>
  <si>
    <t>Overhead on Fringe Calc. | 4</t>
  </si>
  <si>
    <t>Fringe Amount | 4</t>
  </si>
  <si>
    <t>Overhead on Fringe Calc. | 5</t>
  </si>
  <si>
    <t>Fringe Amount | 5</t>
  </si>
  <si>
    <t>Prime</t>
  </si>
  <si>
    <t>Subcontractor Count</t>
  </si>
  <si>
    <t>Subcontractors</t>
  </si>
  <si>
    <t>Fringe Amount | 6</t>
  </si>
  <si>
    <t>Rate | 6</t>
  </si>
  <si>
    <t>Hours | 6</t>
  </si>
  <si>
    <t>Amount | 6</t>
  </si>
  <si>
    <t>Ordering Period Year 6</t>
  </si>
  <si>
    <t>Overhead on Fringe Calc. | 6</t>
  </si>
  <si>
    <t>Column2</t>
  </si>
  <si>
    <t>Column3</t>
  </si>
  <si>
    <t>Column4</t>
  </si>
  <si>
    <t>Column5</t>
  </si>
  <si>
    <t>Material Handling (on ODC)</t>
  </si>
  <si>
    <t>Material Handling (on sub)</t>
  </si>
  <si>
    <t>Minimum Direct Labor Rate</t>
  </si>
  <si>
    <t>Base Year (Specified in RFTOP)</t>
  </si>
  <si>
    <t>N/A</t>
  </si>
  <si>
    <t>Year 2 (Specified in RFTOP)</t>
  </si>
  <si>
    <t>Year 4 (Specified in RFTOP)</t>
  </si>
  <si>
    <t xml:space="preserve">Enter Prime Contractor's name into cell A3.  </t>
  </si>
  <si>
    <t>Green Cells are Formula Based</t>
  </si>
  <si>
    <t>Yellow Cells require an Input</t>
  </si>
  <si>
    <t>In column E, identify for the specific individual whether their fully burdened rate is calculated using the full-time or part-time fringe rate.  Enter "F" for full-time or "P" for part-time.</t>
  </si>
  <si>
    <t>In column H enter the labor hours for each row. Enter hours for each subsequent year (columns M, R, W, AB)</t>
  </si>
  <si>
    <t>Under Other Direct Costs, the prime contractor should enter the proposed travel and material costs in Columns I, N, S, X, and AB</t>
  </si>
  <si>
    <t>G&amp;A on ODCs</t>
  </si>
  <si>
    <t>Check to ensure the indirects are applied appropriatly to ODCs. If the formulas that are utilized do not match your accounting practices, either adjust in the Indirects Rates and Fee tab or adjust the formula and note why changes were made.</t>
  </si>
  <si>
    <t>For your (the subcontractor) cost build up, you will utilize the "Prime" section of the Cost Summary worksheet. For all intents and purposes (other than A3) where it says Prime, you can replace "Prime" with subcontractor, or your company name</t>
  </si>
  <si>
    <t>Cost Summary Worksheet Sheet Instructions</t>
  </si>
  <si>
    <t>Cost Summary Worksheet Instructions</t>
  </si>
  <si>
    <t xml:space="preserve">Use the drop down in column B to enter the Labor Category from the Request for Task Order Proposal (RFTOP) that you will be utilizing. By utilizing this drop-down, the minimum realistic rate, as stated in the Minimum Direct Labor Rates worksheet will fill in, in column G. Please see solicitation for additional guidance regarding the minimum realistic rate. </t>
  </si>
  <si>
    <t xml:space="preserve">In column G, insert the direct labor rate for each row. If the rate that you are proposing is less than the minimum direct labor rate as included in the Minimun Direct Labor Rates worksheet, the cell will turn red. If this happens for a prospecitive employee, an explaination should be included in your cost narrative. Note, subsequent rate columns (L, Q, V and AA) are formula based and are calculated using the escalation for that year. </t>
  </si>
  <si>
    <t xml:space="preserve">The minimum rate is blacked out in column F for the subcontractors. The minimum rate is analyzed at the direct labor rate, however, the rates included for the subcontractor's in the Prime's submission will be fully burdened labor rates. </t>
  </si>
  <si>
    <t>Base Year Column</t>
  </si>
  <si>
    <t>Subsequent Year Columns</t>
  </si>
  <si>
    <t>A</t>
  </si>
  <si>
    <t>B</t>
  </si>
  <si>
    <t>C</t>
  </si>
  <si>
    <t>D</t>
  </si>
  <si>
    <t>E</t>
  </si>
  <si>
    <t>In column G, insert the direct labor rate for each row. If the rate that you are proposing is less than the minimum direct labor rate as included in the Minimun Direct Labor Rates worksheet, the cell will turn red. If this happens for a prospecitive employee, an explaination should be included in your cost narrative. Note, subsequent rate columns (L, Q, V and AA) are formula based and are calculated using the escalation for that year. Ensure Formulas are intact.</t>
  </si>
  <si>
    <t>H</t>
  </si>
  <si>
    <t>M, R, W, AB</t>
  </si>
  <si>
    <t>Forumla Driven - J, K</t>
  </si>
  <si>
    <t>Formula Driven  - L, Q, V, AB</t>
  </si>
  <si>
    <t>A, B, D, G, H</t>
  </si>
  <si>
    <t>L, M, Q, R, V, W, AA, AB</t>
  </si>
  <si>
    <t>I</t>
  </si>
  <si>
    <t>N, S, X, AB</t>
  </si>
  <si>
    <t>Forumla Driven - O, P, T, U, Y, Z, AD, AE</t>
  </si>
  <si>
    <t>E, F, G, H</t>
  </si>
  <si>
    <t>Escalation has been autopopulated based on the RFTOP. If, in accordance with the RFTOP, you are utilizing a rate that differs than that has already been filled in, you may change the value in the cell and provide an explaination in your cost narrative.</t>
  </si>
  <si>
    <t>Year 5 (Specified in RFTOP)2</t>
  </si>
  <si>
    <t>Column6</t>
  </si>
  <si>
    <t xml:space="preserve">Please note if more subcontractors are needed, the contractor may add additional rows to accommodate them, but ensure integrity of formulas. If fewer subcontractors are needed, hide the rows instead of deleting them. </t>
  </si>
  <si>
    <t>Total proposed subcontractor cost (w/sub fee)</t>
  </si>
  <si>
    <t>Prime contractor pass through (not including prime fee)</t>
  </si>
  <si>
    <t>Column7</t>
  </si>
  <si>
    <t>*Note, this procurement does not designate any other sites than Government and KTR site. The "Other Site" Overhead option is included in case the Contractor has multiple OH rates beyond Govt and KTR site.</t>
  </si>
  <si>
    <t>Overhead*</t>
  </si>
  <si>
    <t>Other Site OH</t>
  </si>
  <si>
    <t>Material Handing (on ODC)</t>
  </si>
  <si>
    <t>Year 1</t>
  </si>
  <si>
    <t>Year 2</t>
  </si>
  <si>
    <t>Year 3</t>
  </si>
  <si>
    <t>Year 4</t>
  </si>
  <si>
    <t>Year 5</t>
  </si>
  <si>
    <t>Year 6</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</si>
  <si>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</si>
  <si>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</si>
  <si>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dollar figures shall be carried out no further than two decimal places. (ex $25.50)</t>
  </si>
  <si>
    <r>
      <t xml:space="preserve">Fill in all Indirect Rates in the Indirect Rates and Fee Worksheet, these rates will be pulled into the Cost Summary Spreadsheet, </t>
    </r>
    <r>
      <rPr>
        <b/>
        <sz val="12"/>
        <rFont val="Times New Roman"/>
        <family val="1"/>
      </rPr>
      <t xml:space="preserve">ensure formula are still intact. </t>
    </r>
  </si>
  <si>
    <r>
      <t xml:space="preserve">Use the drop down in column B to enter the Labor Category from the Request for Task Order Proposal (RFTOP) that you will be utilizing. By utilizing this drop-down, the minimum realistic rate, as stated in the Minimum Direct Labor Rates worksheet will fill in, in column G. Please see solicitation for additional guidance regarding the minimum realistic rate.  </t>
    </r>
    <r>
      <rPr>
        <b/>
        <sz val="12"/>
        <rFont val="Times New Roman"/>
        <family val="1"/>
      </rPr>
      <t xml:space="preserve">Note - DO NOT use the drag feature to pull down a labor category to a subsequent row. This will not allow the formulas to work properly. </t>
    </r>
  </si>
  <si>
    <r>
      <t xml:space="preserve">In column D, the Contractor shall insert a "K" if the worker will be performing at the Contractor's facility or a "G" if they will be performing in Government spaces, or a "T" if you have a differing OH rate that you utilize for that particular person.   </t>
    </r>
    <r>
      <rPr>
        <b/>
        <sz val="11"/>
        <rFont val="Arial"/>
        <family val="2"/>
      </rPr>
      <t>NOTE - If this procurement has various Govt Site locations (example, WOLF and Pax River), utilize "G" for both locations, a distinction does not need to be made between these sites for evaluation purposes.</t>
    </r>
  </si>
  <si>
    <r>
      <t xml:space="preserve">This workbook includes hidden columns to assist with the correct application of indirect rates (two columns after each Amount column for each year). If, per your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</si>
  <si>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r>
      <t xml:space="preserve">For each subcontractor, enter the employee name (or the word "Prospective"), labor category, site, </t>
    </r>
    <r>
      <rPr>
        <b/>
        <sz val="12"/>
        <rFont val="Times New Roman"/>
        <family val="1"/>
      </rPr>
      <t>fully burdened rate</t>
    </r>
    <r>
      <rPr>
        <sz val="12"/>
        <rFont val="Times New Roman"/>
        <family val="1"/>
      </rPr>
      <t xml:space="preserve"> and hours</t>
    </r>
  </si>
  <si>
    <t>Total Compensation Plan Worksheet Instructions</t>
  </si>
  <si>
    <t>Indirect Rates and Fee Instructions</t>
  </si>
  <si>
    <r>
      <t>Enter all subcontractor employee names (or the word "Prospective") in Column A on the Cost Summary Worksheet (starting at row 9).</t>
    </r>
    <r>
      <rPr>
        <b/>
        <sz val="12"/>
        <rFont val="Times New Roman"/>
        <family val="1"/>
      </rPr>
      <t xml:space="preserve"> If necessary, insert additional rows--but ensure integrity of formulas. </t>
    </r>
    <r>
      <rPr>
        <sz val="12"/>
        <rFont val="Times New Roman"/>
        <family val="1"/>
      </rPr>
      <t>Labor categories with more than one person being proposed shall be listed multiple times (one row per employee).  For example, if the offeror proposes four Senior Analysts, then the labor category Senior Analyst shall be listed four times along with their applicable rates and information.</t>
    </r>
  </si>
  <si>
    <r>
      <t xml:space="preserve">Enter all subcontractor labor categories in Column C (starting at row 9). </t>
    </r>
    <r>
      <rPr>
        <b/>
        <sz val="12"/>
        <rFont val="Times New Roman"/>
        <family val="1"/>
      </rPr>
      <t xml:space="preserve"> </t>
    </r>
    <r>
      <rPr>
        <sz val="12"/>
        <rFont val="Times New Roman"/>
        <family val="1"/>
      </rPr>
      <t>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evaluation, the Contractor's task order proposal will be compared to the RFTOP in terms of hours and labor categories.</t>
    </r>
    <r>
      <rPr>
        <b/>
        <sz val="12"/>
        <rFont val="Times New Roman"/>
        <family val="1"/>
      </rPr>
      <t xml:space="preserve">  </t>
    </r>
  </si>
  <si>
    <t>Other</t>
  </si>
  <si>
    <r>
      <t>Enter all prime employee names (or the word "Prospective") in Column A on the Cost Summary Worksheet (starting at row 9).</t>
    </r>
    <r>
      <rPr>
        <b/>
        <sz val="12"/>
        <rFont val="Times New Roman"/>
        <family val="1"/>
      </rPr>
      <t xml:space="preserve"> If necessary, insert additional rows--but ensure integrity of formulas. </t>
    </r>
    <r>
      <rPr>
        <sz val="12"/>
        <rFont val="Times New Roman"/>
        <family val="1"/>
      </rPr>
      <t>Labor categories with more than one person being proposed shall be listed multiple times (one row per employee). For example, if the offeror proposes four Senior Analysts, then the labor category Senior Analyst shall be listed four times along with their applicable rates and information.</t>
    </r>
  </si>
  <si>
    <r>
      <t xml:space="preserve">Enter all Prime labor categories in Column C (starting at row 9). </t>
    </r>
    <r>
      <rPr>
        <b/>
        <sz val="12"/>
        <rFont val="Times New Roman"/>
        <family val="1"/>
      </rPr>
      <t xml:space="preserve"> </t>
    </r>
    <r>
      <rPr>
        <sz val="12"/>
        <rFont val="Times New Roman"/>
        <family val="1"/>
      </rPr>
      <t>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evaluation, the Contractor's task order proposal will be compared to the RFTOP in terms of hours and labor categories.</t>
    </r>
    <r>
      <rPr>
        <b/>
        <sz val="12"/>
        <rFont val="Times New Roman"/>
        <family val="1"/>
      </rPr>
      <t xml:space="preserve">  </t>
    </r>
  </si>
  <si>
    <t>Defined Contribution Retirement Plan</t>
  </si>
  <si>
    <t>Defined Benefit Retirement Plan</t>
  </si>
  <si>
    <t>Paid Holiday</t>
  </si>
  <si>
    <t>Paid Vacation</t>
  </si>
  <si>
    <t>Paid Sick Leave</t>
  </si>
  <si>
    <t>Paid Family Leave</t>
  </si>
  <si>
    <t>Medical Care Plans</t>
  </si>
  <si>
    <t>Wellness Programs</t>
  </si>
  <si>
    <t>Company Name</t>
  </si>
  <si>
    <t>Benefit Provided by your Company</t>
  </si>
  <si>
    <t>Yes</t>
  </si>
  <si>
    <t>No</t>
  </si>
  <si>
    <t>In column B, include Yes or No to note if that benefit is provided by your company as part of your total compensation plan</t>
  </si>
  <si>
    <r>
      <t xml:space="preserve">In column D, the Contractor shall insert a "K" if the worker will be performing at the Contractor's facility or a "G" if they will be performing in Government spaces, or a "T" if you have a differing OH rate that you utilize for that particular person.   </t>
    </r>
    <r>
      <rPr>
        <b/>
        <sz val="12"/>
        <rFont val="Times New Roman"/>
        <family val="1"/>
      </rPr>
      <t>NOTE - If this procurement has various Govt Site locations (example, WOLF and Pax River), utilize "G" for both locations, a distinction does not need to be made between these sites for evaluation purposes.</t>
    </r>
  </si>
  <si>
    <t>Step 1</t>
  </si>
  <si>
    <t>Step 2</t>
  </si>
  <si>
    <t>Step 3</t>
  </si>
  <si>
    <t>Year</t>
  </si>
  <si>
    <t>See instructions tab for more info</t>
  </si>
  <si>
    <t xml:space="preserve">Fee Per Hour Calculation </t>
  </si>
  <si>
    <t>Fringe Benefit</t>
  </si>
  <si>
    <t>Include of the below (Yes or No) in Column B. If additional information is needed, 
provide that (along with information regarding any additional benefits that are offered)  in the total compensation plan in the cost narrative</t>
  </si>
  <si>
    <t>Fee Per Hour to use in 
5252.232-9501</t>
  </si>
  <si>
    <t xml:space="preserve">Fee Ceiling Value </t>
  </si>
  <si>
    <t xml:space="preserve">Check to ensure that the fee per hour calculation/value for 5252.232-9510 when multiplied by the total number of hours proposed, matches the "Total Fee (for Prime and Subcontractor Labor)" amount.
NOTE: Section L, Part B, Paragraph 3.3.1.5.2 could result in hardcoding over the formula based calculation for the "Total Fee (for Prime and Subcontractor Labor)".
Steps to ensure the fee per hour calculation for 5252.232-9510 matches what is in the Prime Contractor's C2 (and therefore what will be utilized for CLIN values).
1 – Divide the "Total Fee (for Prime and Subcontractor Labor)" value for each year by the number of total labor hours proposed for that year
2 – Round to two decimal places (this is the fee per hour value that should be stated within 5252.232-9510)
3 – Multiply the fee per hour value from step 2 by the number of total labor hours proposed for that year
4 – Ensure the value from step 3 matches the value included in within "Total Fee (for Prime and Subcontractor Labor)" for the applicable year. If the value included in Step 3 does not match (Excel will turn the cell red), the Prime Contractor will need to hardcode the total fee amount in the "Total Fee ( for Prime and Subcontractor Labor)" cell for that year and note this in the cost narrative that this step has been completed.  
 </t>
  </si>
  <si>
    <t>Fee Per Hour based on "Total Fee ( for Prime and Subcontractor Labor)"  / Total Proposed Labor Hours</t>
  </si>
  <si>
    <t xml:space="preserve">Labor Category </t>
  </si>
  <si>
    <t>Lakehurst, NJ</t>
  </si>
  <si>
    <t xml:space="preserve">Minimum Direct Labor Rates </t>
  </si>
  <si>
    <t>GOVT</t>
  </si>
  <si>
    <t>Year 5 (Proposed)</t>
  </si>
  <si>
    <t>Year 3 (Proposed)</t>
  </si>
  <si>
    <t>Year 3 (Specified in RFTOP)</t>
  </si>
  <si>
    <t>Engineering Technician, Prototype &amp; Manufacturing-Journeyman- BLS SOC 17-3029-NY-NJ-PA</t>
  </si>
  <si>
    <t>Quality Assurance Engineer-Senior- BLS SOC 17-3026-NY-NJ-PA-Key</t>
  </si>
  <si>
    <t>Quality Assurance Technician-Journeyman- BLS SOC 17-3029-NY-NJ-PA</t>
  </si>
  <si>
    <t>Industrial Technician-Journeyman- BLS SOC 17-3029-NY-NJ-PA</t>
  </si>
  <si>
    <t>Production Controller-Junior- BLS SOC 17-3029-NY-NJ-PA</t>
  </si>
  <si>
    <t>Manufacturing Operation Support Analyst-Senior- BLS SOC 17-3026-NY-NJ-PA</t>
  </si>
  <si>
    <t>Manufacturing Operation Support Analyst-Journeyman- BLS SOC 17-3026-NY-NJ-PA</t>
  </si>
  <si>
    <t>Manufacturing Operation Support Analyst-Junior- BLS SOC 17-3026-NY-NJ-PA</t>
  </si>
  <si>
    <t>Software Engineer-Senior- BLS SOC 15-1252-NY-NJ-PA</t>
  </si>
  <si>
    <t>Test Site Engineer-Senior- BLS SOC 17-3026-NY-NJ-PA</t>
  </si>
  <si>
    <t>Program Manager- Journeyman-BLS SOC 11-1021- NY-NJ-PA</t>
  </si>
  <si>
    <t>Data Analyst-Junior-BLS SOC 13-1111-NY-NJ-PA</t>
  </si>
  <si>
    <t>BLS Employee Benefits Survey Data for Private Industry Workers 2024</t>
  </si>
  <si>
    <t>Engineer, Prototype &amp; Manufacturing-Senior- BLS SOC 17-3026-NY-NJ-PA-Key</t>
  </si>
  <si>
    <t>Industrial Engineer-Senior- BLS SOC 17-2112-NY-NJ-PA-Key</t>
  </si>
  <si>
    <t>Attachment P4 Instructions</t>
  </si>
  <si>
    <t>Test Site Equipment Specialist-Senior- BLS SOC 17-3029-NY-NJ-PA</t>
  </si>
  <si>
    <t>Software Specialist-Journeyman- BLS SOC 15-1252-NY-NJ-PA</t>
  </si>
  <si>
    <t>Manufacturing Operation Support Analyst, Engineer-Senior- BLS SOC 17-3026-NY-NJ-PA</t>
  </si>
  <si>
    <t>CLINs</t>
  </si>
  <si>
    <t>0001</t>
  </si>
  <si>
    <t>0002</t>
  </si>
  <si>
    <t>0003</t>
  </si>
  <si>
    <t>0004</t>
  </si>
  <si>
    <t>Description</t>
  </si>
  <si>
    <t>Labor- Base</t>
  </si>
  <si>
    <t>Material- Base</t>
  </si>
  <si>
    <t>Deliverables- Base</t>
  </si>
  <si>
    <t>Labor- OPT1</t>
  </si>
  <si>
    <t>Travel- OPT1</t>
  </si>
  <si>
    <t>Material- OPT1</t>
  </si>
  <si>
    <t>Deliverables- OPT1</t>
  </si>
  <si>
    <t>Labor- OPT2</t>
  </si>
  <si>
    <t>Travel- OPT2</t>
  </si>
  <si>
    <t>Material- OPT2</t>
  </si>
  <si>
    <t>Deliverables- OPT2</t>
  </si>
  <si>
    <t>Labor- OPT3</t>
  </si>
  <si>
    <t>Travel- OPT3</t>
  </si>
  <si>
    <t>Material- OPT3</t>
  </si>
  <si>
    <t>Deliverables- OPT3</t>
  </si>
  <si>
    <t>Labor- OPT4</t>
  </si>
  <si>
    <t>Travel- OPT4</t>
  </si>
  <si>
    <t>Material- OPT4</t>
  </si>
  <si>
    <t>Deliverables- OPT4</t>
  </si>
  <si>
    <t>Cost</t>
  </si>
  <si>
    <t>Total</t>
  </si>
  <si>
    <t>NSP</t>
  </si>
  <si>
    <t>TOTAL</t>
  </si>
  <si>
    <t>Travel-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</si>
</sst>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7" formatCode="&quot;$&quot;#,##0.00_);\(&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s>
  <fonts count="56" x14ac:knownFonts="1">
    <font>
      <sz val="11"/>
      <color theme="1"/>
      <name val="Calibri"/>
      <family val="2"/>
      <scheme val="minor"/>
    </font>
    <font>
      <sz val="10"/>
      <name val="Arial"/>
      <family val="2"/>
    </font>
    <font>
      <sz val="10"/>
      <name val="Times New Roman"/>
      <family val="1"/>
    </font>
    <font>
      <sz val="8"/>
      <name val="Arial"/>
      <family val="2"/>
    </font>
    <font>
      <b/>
      <sz val="8"/>
      <name val="Arial"/>
      <family val="2"/>
    </font>
    <font>
      <u/>
      <sz val="8"/>
      <name val="Arial"/>
      <family val="2"/>
    </font>
    <font>
      <b/>
      <sz val="10"/>
      <name val="Arial"/>
      <family val="2"/>
    </font>
    <font>
      <b/>
      <sz val="10"/>
      <name val="Times New Roman"/>
      <family val="1"/>
    </font>
    <font>
      <sz val="12"/>
      <name val="Arial"/>
      <family val="2"/>
    </font>
    <font>
      <sz val="10"/>
      <name val="MS Sans Serif"/>
    </font>
    <font>
      <sz val="10"/>
      <name val="Arial"/>
      <family val="2"/>
    </font>
    <font>
      <sz val="9"/>
      <color indexed="81"/>
      <name val="Tahoma"/>
      <family val="2"/>
    </font>
    <font>
      <b/>
      <sz val="9"/>
      <color indexed="81"/>
      <name val="Tahoma"/>
      <family val="2"/>
    </font>
    <font>
      <sz val="11"/>
      <name val="Arial"/>
      <family val="2"/>
    </font>
    <font>
      <b/>
      <sz val="11"/>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i/>
      <sz val="8"/>
      <name val="Arial"/>
      <family val="2"/>
    </font>
    <font>
      <sz val="12"/>
      <name val="Times New Roman"/>
      <family val="1"/>
    </font>
    <font>
      <b/>
      <sz val="12"/>
      <name val="Times New Roman"/>
      <family val="1"/>
    </font>
    <font>
      <sz val="14"/>
      <name val="Times New Roman"/>
      <family val="1"/>
    </font>
    <font>
      <b/>
      <sz val="10"/>
      <name val="Arial"/>
      <family val="2"/>
    </font>
    <font>
      <sz val="11"/>
      <color theme="1"/>
      <name val="Calibri"/>
      <family val="2"/>
      <scheme val="minor"/>
    </font>
    <font>
      <sz val="10"/>
      <color theme="1"/>
      <name val="Calibri"/>
      <family val="2"/>
    </font>
    <font>
      <sz val="10"/>
      <color theme="1"/>
      <name val="Arial"/>
      <family val="2"/>
    </font>
    <font>
      <sz val="12"/>
      <color rgb="FF000000"/>
      <name val="Arial"/>
      <family val="2"/>
    </font>
    <font>
      <b/>
      <sz val="11"/>
      <color theme="1"/>
      <name val="Calibri"/>
      <family val="2"/>
      <scheme val="minor"/>
    </font>
    <font>
      <b/>
      <sz val="10"/>
      <color theme="1"/>
      <name val="Times New Roman"/>
      <family val="1"/>
    </font>
    <font>
      <sz val="10"/>
      <color theme="1"/>
      <name val="Times New Roman"/>
      <family val="1"/>
    </font>
    <font>
      <i/>
      <sz val="10"/>
      <color theme="1"/>
      <name val="Times New Roman"/>
      <family val="1"/>
    </font>
    <font>
      <sz val="11"/>
      <color rgb="FF000000"/>
      <name val="Times New Roman"/>
      <family val="1"/>
    </font>
    <font>
      <sz val="10"/>
      <color theme="0"/>
      <name val="Arial"/>
      <family val="2"/>
    </font>
    <font>
      <b/>
      <sz val="10"/>
      <color theme="0"/>
      <name val="Arial"/>
      <family val="2"/>
    </font>
    <font>
      <sz val="10"/>
      <color rgb="FF000000"/>
      <name val="Times New Roman"/>
      <family val="1"/>
    </font>
    <font>
      <sz val="10"/>
      <color rgb="FF000000"/>
      <name val="Arial"/>
      <family val="2"/>
    </font>
    <font>
      <b/>
      <sz val="11"/>
      <color rgb="FF000000"/>
      <name val="Times New Roman"/>
      <family val="1"/>
    </font>
    <font>
      <sz val="11"/>
      <name val="Calibri"/>
      <family val="2"/>
      <scheme val="minor"/>
    </font>
    <font>
      <b/>
      <sz val="10"/>
      <color rgb="FF000000"/>
      <name val="Times New Roman"/>
      <family val="1"/>
    </font>
    <font>
      <sz val="11"/>
      <color rgb="FF000000"/>
      <name val="Calibri"/>
      <family val="2"/>
    </font>
  </fonts>
  <fills count="42">
    <fill>
      <patternFill patternType="none"/>
    </fill>
    <fill>
      <patternFill patternType="gray125"/>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22"/>
        <bgColor indexed="64"/>
      </patternFill>
    </fill>
    <fill>
      <patternFill patternType="solid">
        <fgColor rgb="FFFFFFCC"/>
      </patternFill>
    </fill>
    <fill>
      <patternFill patternType="solid">
        <fgColor rgb="FFFFFF99"/>
        <bgColor indexed="64"/>
      </patternFill>
    </fill>
    <fill>
      <patternFill patternType="solid">
        <fgColor rgb="FFCCFFCC"/>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79998168889431442"/>
        <bgColor theme="4" tint="0.59999389629810485"/>
      </patternFill>
    </fill>
    <fill>
      <patternFill patternType="solid">
        <fgColor theme="4" tint="0.59999389629810485"/>
        <bgColor theme="4" tint="0.79998168889431442"/>
      </patternFill>
    </fill>
    <fill>
      <patternFill patternType="solid">
        <fgColor theme="4"/>
        <bgColor theme="4"/>
      </patternFill>
    </fill>
    <fill>
      <patternFill patternType="solid">
        <fgColor rgb="FFFFFF00"/>
        <bgColor indexed="64"/>
      </patternFill>
    </fill>
  </fills>
  <borders count="8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hair">
        <color rgb="FF000000"/>
      </top>
      <bottom style="thin">
        <color theme="0" tint="-0.24994659260841701"/>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theme="0"/>
      </left>
      <right/>
      <top/>
      <bottom/>
      <diagonal/>
    </border>
    <border>
      <left style="thin">
        <color theme="0"/>
      </left>
      <right style="thin">
        <color theme="0"/>
      </right>
      <top/>
      <bottom/>
      <diagonal/>
    </border>
    <border>
      <left/>
      <right/>
      <top style="thin">
        <color indexed="64"/>
      </top>
      <bottom style="double">
        <color indexed="64"/>
      </bottom>
      <diagonal/>
    </border>
  </borders>
  <cellStyleXfs count="116">
    <xf numFmtId="0" fontId="0" fillId="0" borderId="0"/>
    <xf numFmtId="0" fontId="16" fillId="3"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8" borderId="0" applyNumberFormat="0" applyBorder="0" applyAlignment="0" applyProtection="0"/>
    <xf numFmtId="0" fontId="16" fillId="2" borderId="0" applyNumberFormat="0" applyBorder="0" applyAlignment="0" applyProtection="0"/>
    <xf numFmtId="0" fontId="16" fillId="4"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2"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4"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2" borderId="0" applyNumberFormat="0" applyBorder="0" applyAlignment="0" applyProtection="0"/>
    <xf numFmtId="0" fontId="17" fillId="18"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8" fillId="5" borderId="0" applyNumberFormat="0" applyBorder="0" applyAlignment="0" applyProtection="0"/>
    <xf numFmtId="0" fontId="19" fillId="11" borderId="1" applyNumberFormat="0" applyAlignment="0" applyProtection="0"/>
    <xf numFmtId="0" fontId="19" fillId="11" borderId="1" applyNumberFormat="0" applyAlignment="0" applyProtection="0"/>
    <xf numFmtId="0" fontId="19" fillId="11" borderId="1" applyNumberFormat="0" applyAlignment="0" applyProtection="0"/>
    <xf numFmtId="0" fontId="20" fillId="23" borderId="2" applyNumberFormat="0" applyAlignment="0" applyProtection="0"/>
    <xf numFmtId="43" fontId="1"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4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9" fillId="0" borderId="0" applyFont="0" applyFill="0" applyBorder="0" applyAlignment="0" applyProtection="0"/>
    <xf numFmtId="44" fontId="39" fillId="0" borderId="0" applyFont="0" applyFill="0" applyBorder="0" applyAlignment="0" applyProtection="0"/>
    <xf numFmtId="44" fontId="39" fillId="0" borderId="0" applyFont="0" applyFill="0" applyBorder="0" applyAlignment="0" applyProtection="0"/>
    <xf numFmtId="44" fontId="39" fillId="0" borderId="0" applyFont="0" applyFill="0" applyBorder="0" applyAlignment="0" applyProtection="0"/>
    <xf numFmtId="44" fontId="1" fillId="0" borderId="0" applyFont="0" applyFill="0" applyBorder="0" applyAlignment="0" applyProtection="0"/>
    <xf numFmtId="44" fontId="39" fillId="0" borderId="0" applyFont="0" applyFill="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4" borderId="1" applyNumberFormat="0" applyAlignment="0" applyProtection="0"/>
    <xf numFmtId="0" fontId="26" fillId="4" borderId="1" applyNumberFormat="0" applyAlignment="0" applyProtection="0"/>
    <xf numFmtId="0" fontId="26" fillId="4" borderId="1" applyNumberFormat="0" applyAlignment="0" applyProtection="0"/>
    <xf numFmtId="0" fontId="27" fillId="0" borderId="6" applyNumberFormat="0" applyFill="0" applyAlignment="0" applyProtection="0"/>
    <xf numFmtId="0" fontId="28" fillId="13" borderId="0" applyNumberFormat="0" applyBorder="0" applyAlignment="0" applyProtection="0"/>
    <xf numFmtId="0" fontId="1" fillId="0" borderId="0"/>
    <xf numFmtId="0" fontId="41" fillId="0" borderId="0"/>
    <xf numFmtId="0" fontId="39" fillId="0" borderId="0"/>
    <xf numFmtId="0" fontId="15" fillId="0" borderId="0"/>
    <xf numFmtId="0" fontId="39" fillId="0" borderId="0"/>
    <xf numFmtId="0" fontId="15" fillId="0" borderId="0"/>
    <xf numFmtId="0" fontId="15" fillId="0" borderId="0"/>
    <xf numFmtId="0" fontId="15" fillId="0" borderId="0"/>
    <xf numFmtId="0" fontId="15" fillId="0" borderId="0"/>
    <xf numFmtId="0" fontId="15" fillId="0" borderId="0"/>
    <xf numFmtId="0" fontId="15" fillId="0" borderId="0"/>
    <xf numFmtId="0" fontId="40" fillId="0" borderId="0"/>
    <xf numFmtId="0" fontId="1" fillId="0" borderId="0"/>
    <xf numFmtId="0" fontId="1" fillId="0" borderId="0"/>
    <xf numFmtId="0" fontId="1" fillId="0" borderId="0"/>
    <xf numFmtId="0" fontId="42" fillId="0" borderId="0"/>
    <xf numFmtId="0" fontId="39" fillId="0" borderId="0"/>
    <xf numFmtId="0" fontId="39" fillId="0" borderId="0"/>
    <xf numFmtId="0" fontId="1" fillId="0" borderId="0"/>
    <xf numFmtId="0" fontId="1" fillId="0" borderId="0"/>
    <xf numFmtId="0" fontId="39" fillId="0" borderId="0"/>
    <xf numFmtId="0" fontId="39" fillId="0" borderId="0"/>
    <xf numFmtId="0" fontId="39" fillId="0" borderId="0"/>
    <xf numFmtId="0" fontId="1" fillId="0" borderId="0"/>
    <xf numFmtId="0" fontId="9" fillId="0" borderId="0"/>
    <xf numFmtId="0" fontId="39" fillId="0" borderId="0"/>
    <xf numFmtId="0" fontId="39" fillId="0" borderId="0"/>
    <xf numFmtId="0" fontId="39" fillId="0" borderId="0"/>
    <xf numFmtId="0" fontId="1" fillId="0" borderId="0"/>
    <xf numFmtId="0" fontId="39" fillId="0" borderId="0"/>
    <xf numFmtId="0" fontId="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7" borderId="7" applyNumberFormat="0" applyFont="0" applyAlignment="0" applyProtection="0"/>
    <xf numFmtId="0" fontId="1" fillId="7" borderId="7" applyNumberFormat="0" applyFont="0" applyAlignment="0" applyProtection="0"/>
    <xf numFmtId="0" fontId="1" fillId="7" borderId="7" applyNumberFormat="0" applyFont="0" applyAlignment="0" applyProtection="0"/>
    <xf numFmtId="0" fontId="39" fillId="25" borderId="71" applyNumberFormat="0" applyFont="0" applyAlignment="0" applyProtection="0"/>
    <xf numFmtId="0" fontId="29" fillId="11" borderId="8" applyNumberFormat="0" applyAlignment="0" applyProtection="0"/>
    <xf numFmtId="0" fontId="29" fillId="11" borderId="8" applyNumberFormat="0" applyAlignment="0" applyProtection="0"/>
    <xf numFmtId="0" fontId="29" fillId="11" borderId="8" applyNumberFormat="0" applyAlignment="0" applyProtection="0"/>
    <xf numFmtId="5" fontId="8" fillId="0" borderId="0" applyFont="0" applyFill="0" applyBorder="0" applyAlignment="0">
      <protection locked="0"/>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39" fillId="0" borderId="0"/>
    <xf numFmtId="0" fontId="30" fillId="0" borderId="0" applyNumberFormat="0" applyFill="0" applyBorder="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2" fillId="0" borderId="0" applyNumberFormat="0" applyFill="0" applyBorder="0" applyAlignment="0" applyProtection="0"/>
  </cellStyleXfs>
  <cellXfs count="404">
    <xf numFmtId="0" fontId="0" fillId="0" borderId="0" xfId="0"/>
    <xf numFmtId="0" fontId="1" fillId="0" borderId="0" xfId="56"/>
    <xf numFmtId="0" fontId="3" fillId="0" borderId="0" xfId="56" applyFont="1"/>
    <xf numFmtId="0" fontId="4" fillId="0" borderId="0" xfId="56" applyFont="1" applyBorder="1"/>
    <xf numFmtId="44" fontId="3" fillId="0" borderId="0" xfId="35" applyFont="1"/>
    <xf numFmtId="164" fontId="3" fillId="0" borderId="0" xfId="30" applyNumberFormat="1" applyFont="1"/>
    <xf numFmtId="0" fontId="3" fillId="0" borderId="0" xfId="56" applyFont="1" applyFill="1"/>
    <xf numFmtId="0" fontId="4" fillId="0" borderId="0" xfId="56" applyFont="1" applyFill="1" applyBorder="1"/>
    <xf numFmtId="44" fontId="3" fillId="0" borderId="0" xfId="35" applyFont="1" applyFill="1"/>
    <xf numFmtId="164" fontId="3" fillId="0" borderId="0" xfId="30" applyNumberFormat="1" applyFont="1" applyFill="1"/>
    <xf numFmtId="0" fontId="3" fillId="0" borderId="0" xfId="56" applyFont="1" applyFill="1" applyBorder="1"/>
    <xf numFmtId="2" fontId="4" fillId="0" borderId="0" xfId="56" applyNumberFormat="1" applyFont="1" applyBorder="1" applyAlignment="1">
      <alignment horizontal="center"/>
    </xf>
    <xf numFmtId="0" fontId="4" fillId="0" borderId="10" xfId="56" applyFont="1" applyBorder="1" applyAlignment="1">
      <alignment wrapText="1"/>
    </xf>
    <xf numFmtId="0" fontId="4" fillId="0" borderId="11" xfId="56" applyFont="1" applyBorder="1"/>
    <xf numFmtId="0" fontId="4" fillId="0" borderId="12" xfId="56" applyFont="1" applyBorder="1"/>
    <xf numFmtId="0" fontId="4" fillId="0" borderId="13" xfId="56" applyFont="1" applyBorder="1" applyAlignment="1">
      <alignment horizontal="center"/>
    </xf>
    <xf numFmtId="0" fontId="4" fillId="0" borderId="14" xfId="56" applyFont="1" applyFill="1" applyBorder="1" applyAlignment="1">
      <alignment horizontal="center"/>
    </xf>
    <xf numFmtId="44" fontId="4" fillId="0" borderId="12" xfId="35" applyFont="1" applyFill="1" applyBorder="1" applyAlignment="1">
      <alignment horizontal="center"/>
    </xf>
    <xf numFmtId="0" fontId="3" fillId="0" borderId="15" xfId="56" applyFont="1" applyFill="1" applyBorder="1"/>
    <xf numFmtId="0" fontId="3" fillId="0" borderId="15" xfId="56" applyFont="1" applyBorder="1"/>
    <xf numFmtId="0" fontId="3" fillId="0" borderId="16" xfId="56" applyFont="1" applyBorder="1"/>
    <xf numFmtId="0" fontId="3" fillId="0" borderId="17" xfId="56" applyFont="1" applyBorder="1"/>
    <xf numFmtId="44" fontId="3" fillId="0" borderId="18" xfId="35" applyFont="1" applyBorder="1"/>
    <xf numFmtId="0" fontId="3" fillId="0" borderId="19" xfId="56" applyFont="1" applyFill="1" applyBorder="1"/>
    <xf numFmtId="0" fontId="3" fillId="0" borderId="19" xfId="56" applyFont="1" applyBorder="1"/>
    <xf numFmtId="0" fontId="3" fillId="0" borderId="20" xfId="56" applyFont="1" applyBorder="1"/>
    <xf numFmtId="40" fontId="3" fillId="0" borderId="17" xfId="56" applyNumberFormat="1" applyFont="1" applyFill="1" applyBorder="1" applyAlignment="1">
      <alignment wrapText="1"/>
    </xf>
    <xf numFmtId="0" fontId="3" fillId="0" borderId="19" xfId="56" applyFont="1" applyBorder="1" applyAlignment="1">
      <alignment wrapText="1"/>
    </xf>
    <xf numFmtId="44" fontId="3" fillId="26" borderId="20" xfId="56" applyNumberFormat="1" applyFont="1" applyFill="1" applyBorder="1"/>
    <xf numFmtId="164" fontId="3" fillId="26" borderId="19" xfId="30" applyNumberFormat="1" applyFont="1" applyFill="1" applyBorder="1"/>
    <xf numFmtId="44" fontId="3" fillId="27" borderId="18" xfId="35" applyFont="1" applyFill="1" applyBorder="1"/>
    <xf numFmtId="40" fontId="3" fillId="0" borderId="17" xfId="56" applyNumberFormat="1" applyFont="1" applyFill="1" applyBorder="1"/>
    <xf numFmtId="0" fontId="3" fillId="26" borderId="19" xfId="56" applyFont="1" applyFill="1" applyBorder="1"/>
    <xf numFmtId="0" fontId="4" fillId="0" borderId="19" xfId="56" applyFont="1" applyFill="1" applyBorder="1"/>
    <xf numFmtId="0" fontId="4" fillId="0" borderId="19" xfId="56" applyFont="1" applyBorder="1"/>
    <xf numFmtId="0" fontId="4" fillId="0" borderId="17" xfId="56" applyFont="1" applyBorder="1"/>
    <xf numFmtId="0" fontId="4" fillId="0" borderId="20" xfId="56" applyFont="1" applyBorder="1"/>
    <xf numFmtId="164" fontId="4" fillId="0" borderId="19" xfId="56" applyNumberFormat="1" applyFont="1" applyBorder="1"/>
    <xf numFmtId="44" fontId="4" fillId="27" borderId="21" xfId="35" applyFont="1" applyFill="1" applyBorder="1"/>
    <xf numFmtId="0" fontId="4" fillId="0" borderId="0" xfId="56" applyFont="1"/>
    <xf numFmtId="0" fontId="3" fillId="0" borderId="17" xfId="56" applyFont="1" applyFill="1" applyBorder="1"/>
    <xf numFmtId="0" fontId="3" fillId="0" borderId="20" xfId="56" applyFont="1" applyFill="1" applyBorder="1"/>
    <xf numFmtId="44" fontId="3" fillId="0" borderId="21" xfId="35" applyFont="1" applyFill="1" applyBorder="1"/>
    <xf numFmtId="0" fontId="5" fillId="0" borderId="19" xfId="56" applyFont="1" applyBorder="1" applyAlignment="1">
      <alignment horizontal="center"/>
    </xf>
    <xf numFmtId="44" fontId="3" fillId="0" borderId="21" xfId="35" applyFont="1" applyBorder="1"/>
    <xf numFmtId="40" fontId="3" fillId="0" borderId="19" xfId="56" applyNumberFormat="1" applyFont="1" applyFill="1" applyBorder="1"/>
    <xf numFmtId="44" fontId="3" fillId="0" borderId="19" xfId="35" applyFont="1" applyBorder="1"/>
    <xf numFmtId="44" fontId="3" fillId="27" borderId="21" xfId="35" applyFont="1" applyFill="1" applyBorder="1"/>
    <xf numFmtId="164" fontId="3" fillId="0" borderId="19" xfId="30" applyNumberFormat="1" applyFont="1" applyFill="1" applyBorder="1"/>
    <xf numFmtId="44" fontId="3" fillId="27" borderId="22" xfId="35" applyFont="1" applyFill="1" applyBorder="1"/>
    <xf numFmtId="10" fontId="3" fillId="0" borderId="19" xfId="56" applyNumberFormat="1" applyFont="1" applyFill="1" applyBorder="1"/>
    <xf numFmtId="44" fontId="3" fillId="0" borderId="19" xfId="56" applyNumberFormat="1" applyFont="1" applyBorder="1"/>
    <xf numFmtId="0" fontId="3" fillId="0" borderId="23" xfId="56" applyFont="1" applyBorder="1"/>
    <xf numFmtId="0" fontId="3" fillId="0" borderId="19" xfId="56" applyFont="1" applyFill="1" applyBorder="1" applyAlignment="1">
      <alignment horizontal="center"/>
    </xf>
    <xf numFmtId="44" fontId="3" fillId="0" borderId="21" xfId="35" applyFont="1" applyFill="1" applyBorder="1" applyAlignment="1">
      <alignment horizontal="center"/>
    </xf>
    <xf numFmtId="0" fontId="3" fillId="0" borderId="20" xfId="56" applyFont="1" applyFill="1" applyBorder="1" applyAlignment="1">
      <alignment horizontal="center"/>
    </xf>
    <xf numFmtId="165" fontId="3" fillId="26" borderId="20" xfId="101" applyNumberFormat="1" applyFont="1" applyFill="1" applyBorder="1"/>
    <xf numFmtId="44" fontId="4" fillId="0" borderId="19" xfId="56" applyNumberFormat="1" applyFont="1" applyBorder="1"/>
    <xf numFmtId="44" fontId="4" fillId="0" borderId="17" xfId="56" applyNumberFormat="1" applyFont="1" applyBorder="1"/>
    <xf numFmtId="0" fontId="3" fillId="0" borderId="19" xfId="56" applyFont="1" applyFill="1" applyBorder="1" applyAlignment="1">
      <alignment wrapText="1"/>
    </xf>
    <xf numFmtId="44" fontId="3" fillId="0" borderId="20" xfId="35" applyFont="1" applyFill="1" applyBorder="1"/>
    <xf numFmtId="10" fontId="3" fillId="26" borderId="20" xfId="101" applyNumberFormat="1" applyFont="1" applyFill="1" applyBorder="1"/>
    <xf numFmtId="0" fontId="3" fillId="0" borderId="19" xfId="56" applyNumberFormat="1" applyFont="1" applyFill="1" applyBorder="1"/>
    <xf numFmtId="0" fontId="4" fillId="0" borderId="0" xfId="56" applyFont="1" applyBorder="1" applyAlignment="1">
      <alignment horizontal="left"/>
    </xf>
    <xf numFmtId="0" fontId="3" fillId="0" borderId="0" xfId="56" applyFont="1" applyBorder="1"/>
    <xf numFmtId="44" fontId="3" fillId="0" borderId="0" xfId="35" applyFont="1" applyBorder="1"/>
    <xf numFmtId="0" fontId="4" fillId="0" borderId="24" xfId="56" applyFont="1" applyBorder="1"/>
    <xf numFmtId="0" fontId="4" fillId="0" borderId="11" xfId="56" applyFont="1" applyBorder="1" applyAlignment="1">
      <alignment horizontal="center"/>
    </xf>
    <xf numFmtId="0" fontId="4" fillId="0" borderId="10" xfId="56" applyFont="1" applyBorder="1" applyAlignment="1">
      <alignment horizontal="center"/>
    </xf>
    <xf numFmtId="0" fontId="4" fillId="0" borderId="0" xfId="56" applyFont="1" applyBorder="1" applyAlignment="1">
      <alignment horizontal="center"/>
    </xf>
    <xf numFmtId="0" fontId="3" fillId="0" borderId="25" xfId="56" applyFont="1" applyBorder="1" applyAlignment="1">
      <alignment horizontal="left"/>
    </xf>
    <xf numFmtId="166" fontId="3" fillId="0" borderId="26" xfId="56" applyNumberFormat="1" applyFont="1" applyBorder="1"/>
    <xf numFmtId="0" fontId="3" fillId="24" borderId="27" xfId="56" applyFont="1" applyFill="1" applyBorder="1"/>
    <xf numFmtId="0" fontId="3" fillId="0" borderId="28" xfId="56" applyFont="1" applyFill="1" applyBorder="1" applyAlignment="1">
      <alignment horizontal="left"/>
    </xf>
    <xf numFmtId="166" fontId="3" fillId="0" borderId="29" xfId="56" applyNumberFormat="1" applyFont="1" applyBorder="1"/>
    <xf numFmtId="9" fontId="3" fillId="24" borderId="22" xfId="101" applyFont="1" applyFill="1" applyBorder="1"/>
    <xf numFmtId="0" fontId="3" fillId="0" borderId="30" xfId="56" applyFont="1" applyFill="1" applyBorder="1" applyAlignment="1">
      <alignment horizontal="left"/>
    </xf>
    <xf numFmtId="166" fontId="3" fillId="0" borderId="31" xfId="56" applyNumberFormat="1" applyFont="1" applyBorder="1"/>
    <xf numFmtId="9" fontId="3" fillId="24" borderId="32" xfId="101" applyFont="1" applyFill="1" applyBorder="1"/>
    <xf numFmtId="0" fontId="3" fillId="0" borderId="33" xfId="56" applyFont="1" applyFill="1" applyBorder="1" applyAlignment="1">
      <alignment horizontal="left"/>
    </xf>
    <xf numFmtId="166" fontId="3" fillId="0" borderId="34" xfId="56" applyNumberFormat="1" applyFont="1" applyBorder="1"/>
    <xf numFmtId="167" fontId="3" fillId="0" borderId="35" xfId="101" applyNumberFormat="1" applyFont="1" applyFill="1" applyBorder="1" applyAlignment="1">
      <alignment horizontal="center"/>
    </xf>
    <xf numFmtId="9" fontId="3" fillId="0" borderId="0" xfId="101" applyFont="1" applyFill="1" applyBorder="1" applyAlignment="1">
      <alignment horizontal="center"/>
    </xf>
    <xf numFmtId="167" fontId="3" fillId="0" borderId="35" xfId="101" applyNumberFormat="1" applyFont="1" applyFill="1" applyBorder="1"/>
    <xf numFmtId="9" fontId="3" fillId="0" borderId="0" xfId="101" applyFont="1" applyFill="1" applyBorder="1"/>
    <xf numFmtId="0" fontId="44" fillId="0" borderId="0" xfId="81" applyFont="1"/>
    <xf numFmtId="0" fontId="45" fillId="0" borderId="0" xfId="81" applyFont="1"/>
    <xf numFmtId="0" fontId="46" fillId="0" borderId="0" xfId="81" applyFont="1"/>
    <xf numFmtId="0" fontId="7" fillId="0" borderId="72" xfId="71" applyFont="1" applyBorder="1" applyAlignment="1">
      <alignment horizontal="left"/>
    </xf>
    <xf numFmtId="0" fontId="7" fillId="0" borderId="73" xfId="71" applyFont="1" applyBorder="1" applyAlignment="1">
      <alignment horizontal="left" vertical="top" wrapText="1"/>
    </xf>
    <xf numFmtId="167" fontId="2" fillId="0" borderId="73" xfId="101" applyNumberFormat="1" applyFont="1" applyBorder="1" applyAlignment="1">
      <alignment horizontal="center"/>
    </xf>
    <xf numFmtId="9" fontId="2" fillId="0" borderId="73" xfId="101" applyFont="1" applyBorder="1" applyAlignment="1">
      <alignment horizontal="center"/>
    </xf>
    <xf numFmtId="0" fontId="45" fillId="0" borderId="0" xfId="81" applyFont="1" applyAlignment="1">
      <alignment horizontal="left" vertical="center"/>
    </xf>
    <xf numFmtId="0" fontId="45" fillId="0" borderId="0" xfId="81" applyFont="1" applyAlignment="1">
      <alignment horizontal="left"/>
    </xf>
    <xf numFmtId="0" fontId="6" fillId="0" borderId="0" xfId="0" applyFont="1" applyAlignment="1">
      <alignment horizontal="center"/>
    </xf>
    <xf numFmtId="0" fontId="1" fillId="0" borderId="0" xfId="0" applyFont="1"/>
    <xf numFmtId="0" fontId="1" fillId="28" borderId="19" xfId="0" applyFont="1" applyFill="1" applyBorder="1"/>
    <xf numFmtId="0" fontId="47" fillId="0" borderId="0" xfId="92" applyFont="1" applyFill="1" applyAlignment="1">
      <alignment vertical="center" wrapText="1"/>
    </xf>
    <xf numFmtId="0" fontId="0" fillId="28" borderId="19" xfId="0" applyFill="1" applyBorder="1"/>
    <xf numFmtId="0" fontId="3" fillId="0" borderId="36" xfId="56" applyFont="1" applyBorder="1"/>
    <xf numFmtId="0" fontId="4" fillId="0" borderId="24" xfId="56" applyFont="1" applyBorder="1" applyAlignment="1">
      <alignment horizontal="center" wrapText="1"/>
    </xf>
    <xf numFmtId="0" fontId="4" fillId="0" borderId="12" xfId="0" applyFont="1" applyFill="1" applyBorder="1"/>
    <xf numFmtId="0" fontId="10" fillId="0" borderId="0" xfId="0" applyFont="1"/>
    <xf numFmtId="0" fontId="48" fillId="29" borderId="74" xfId="71" applyFont="1" applyFill="1" applyBorder="1"/>
    <xf numFmtId="0" fontId="49" fillId="29" borderId="74" xfId="71" applyFont="1" applyFill="1" applyBorder="1" applyAlignment="1"/>
    <xf numFmtId="0" fontId="49" fillId="29" borderId="74" xfId="71" applyFont="1" applyFill="1" applyBorder="1" applyAlignment="1">
      <alignment horizontal="centerContinuous" vertical="center" wrapText="1"/>
    </xf>
    <xf numFmtId="0" fontId="49" fillId="29" borderId="74" xfId="71" applyFont="1" applyFill="1" applyBorder="1" applyAlignment="1">
      <alignment horizontal="center" vertical="center" wrapText="1"/>
    </xf>
    <xf numFmtId="0" fontId="6" fillId="0" borderId="75" xfId="71" applyFont="1" applyBorder="1" applyAlignment="1">
      <alignment horizontal="left"/>
    </xf>
    <xf numFmtId="9" fontId="1" fillId="0" borderId="75" xfId="101" applyFont="1" applyBorder="1" applyAlignment="1">
      <alignment horizontal="center"/>
    </xf>
    <xf numFmtId="10" fontId="1" fillId="0" borderId="76" xfId="71" applyNumberFormat="1" applyFont="1" applyBorder="1" applyAlignment="1">
      <alignment horizontal="center" vertical="center"/>
    </xf>
    <xf numFmtId="10" fontId="6" fillId="0" borderId="76" xfId="71" applyNumberFormat="1" applyFont="1" applyBorder="1" applyAlignment="1">
      <alignment horizontal="left"/>
    </xf>
    <xf numFmtId="10" fontId="1" fillId="0" borderId="76" xfId="101" applyNumberFormat="1" applyFont="1" applyBorder="1" applyAlignment="1">
      <alignment horizontal="center"/>
    </xf>
    <xf numFmtId="0" fontId="1" fillId="0" borderId="76" xfId="71" applyFont="1" applyBorder="1" applyAlignment="1">
      <alignment horizontal="center" vertical="center"/>
    </xf>
    <xf numFmtId="0" fontId="6" fillId="0" borderId="76" xfId="71" applyFont="1" applyBorder="1" applyAlignment="1">
      <alignment horizontal="left"/>
    </xf>
    <xf numFmtId="9" fontId="1" fillId="0" borderId="76" xfId="101" applyFont="1" applyBorder="1" applyAlignment="1">
      <alignment horizontal="center"/>
    </xf>
    <xf numFmtId="49" fontId="1" fillId="0" borderId="76" xfId="71" applyNumberFormat="1" applyFont="1" applyBorder="1" applyAlignment="1">
      <alignment horizontal="center" vertical="center"/>
    </xf>
    <xf numFmtId="49" fontId="6" fillId="0" borderId="76" xfId="71" applyNumberFormat="1" applyFont="1" applyBorder="1" applyAlignment="1">
      <alignment horizontal="left"/>
    </xf>
    <xf numFmtId="0" fontId="50" fillId="30" borderId="19" xfId="0" applyFont="1" applyFill="1" applyBorder="1" applyAlignment="1">
      <alignment vertical="center" wrapText="1"/>
    </xf>
    <xf numFmtId="0" fontId="50" fillId="31" borderId="19" xfId="0" applyFont="1" applyFill="1" applyBorder="1" applyAlignment="1">
      <alignment vertical="center" wrapText="1"/>
    </xf>
    <xf numFmtId="0" fontId="43" fillId="0" borderId="19" xfId="0" applyFont="1" applyBorder="1" applyAlignment="1">
      <alignment horizontal="center" vertical="center" wrapText="1"/>
    </xf>
    <xf numFmtId="0" fontId="51" fillId="30" borderId="19" xfId="0" applyFont="1" applyFill="1" applyBorder="1" applyAlignment="1">
      <alignment horizontal="center" vertical="center" wrapText="1"/>
    </xf>
    <xf numFmtId="0" fontId="4" fillId="0" borderId="37" xfId="56" applyFont="1" applyBorder="1" applyAlignment="1">
      <alignment wrapText="1"/>
    </xf>
    <xf numFmtId="0" fontId="4" fillId="0" borderId="38" xfId="56" applyFont="1" applyBorder="1"/>
    <xf numFmtId="0" fontId="3" fillId="0" borderId="39" xfId="56" applyFont="1" applyBorder="1" applyAlignment="1">
      <alignment horizontal="left" indent="1"/>
    </xf>
    <xf numFmtId="0" fontId="3" fillId="26" borderId="39" xfId="0" applyFont="1" applyFill="1" applyBorder="1" applyAlignment="1"/>
    <xf numFmtId="44" fontId="3" fillId="26" borderId="39" xfId="56" applyNumberFormat="1" applyFont="1" applyFill="1" applyBorder="1" applyAlignment="1">
      <alignment horizontal="left" indent="3"/>
    </xf>
    <xf numFmtId="0" fontId="4" fillId="0" borderId="39" xfId="56" applyFont="1" applyBorder="1" applyAlignment="1">
      <alignment horizontal="left" indent="3"/>
    </xf>
    <xf numFmtId="0" fontId="4" fillId="0" borderId="39" xfId="56" applyFont="1" applyFill="1" applyBorder="1" applyAlignment="1">
      <alignment horizontal="left" indent="3"/>
    </xf>
    <xf numFmtId="0" fontId="3" fillId="0" borderId="39" xfId="56" applyFont="1" applyBorder="1" applyAlignment="1">
      <alignment horizontal="left" indent="3"/>
    </xf>
    <xf numFmtId="0" fontId="3" fillId="0" borderId="39" xfId="56" applyFont="1" applyFill="1" applyBorder="1" applyAlignment="1">
      <alignment horizontal="left" indent="1"/>
    </xf>
    <xf numFmtId="0" fontId="3" fillId="0" borderId="39" xfId="56" applyFont="1" applyBorder="1"/>
    <xf numFmtId="0" fontId="4" fillId="0" borderId="39" xfId="56" applyFont="1" applyBorder="1"/>
    <xf numFmtId="0" fontId="3" fillId="0" borderId="39" xfId="56" applyFont="1" applyFill="1" applyBorder="1" applyAlignment="1">
      <alignment horizontal="left" indent="3"/>
    </xf>
    <xf numFmtId="0" fontId="3" fillId="26" borderId="39" xfId="56" applyFont="1" applyFill="1" applyBorder="1" applyAlignment="1">
      <alignment horizontal="left" indent="3"/>
    </xf>
    <xf numFmtId="0" fontId="4" fillId="0" borderId="39" xfId="56" applyFont="1" applyBorder="1" applyAlignment="1">
      <alignment horizontal="left" indent="1"/>
    </xf>
    <xf numFmtId="0" fontId="4" fillId="0" borderId="39" xfId="56" applyFont="1" applyBorder="1" applyAlignment="1">
      <alignment horizontal="left"/>
    </xf>
    <xf numFmtId="0" fontId="3" fillId="0" borderId="39" xfId="56" applyFont="1" applyBorder="1" applyAlignment="1">
      <alignment horizontal="left" indent="2"/>
    </xf>
    <xf numFmtId="0" fontId="4" fillId="0" borderId="39" xfId="56" applyFont="1" applyFill="1" applyBorder="1" applyAlignment="1">
      <alignment horizontal="left"/>
    </xf>
    <xf numFmtId="0" fontId="4" fillId="0" borderId="40" xfId="56" applyFont="1" applyBorder="1" applyAlignment="1">
      <alignment horizontal="left"/>
    </xf>
    <xf numFmtId="0" fontId="3" fillId="0" borderId="41" xfId="56" applyFont="1" applyFill="1" applyBorder="1"/>
    <xf numFmtId="0" fontId="3" fillId="0" borderId="41" xfId="56" applyFont="1" applyBorder="1"/>
    <xf numFmtId="0" fontId="3" fillId="0" borderId="42" xfId="56" applyFont="1" applyBorder="1"/>
    <xf numFmtId="0" fontId="3" fillId="0" borderId="43" xfId="56" applyFont="1" applyBorder="1"/>
    <xf numFmtId="44" fontId="3" fillId="27" borderId="44" xfId="35" applyFont="1" applyFill="1" applyBorder="1"/>
    <xf numFmtId="44" fontId="3" fillId="27" borderId="36" xfId="35" applyFont="1" applyFill="1" applyBorder="1"/>
    <xf numFmtId="0" fontId="13" fillId="0" borderId="0" xfId="56" applyFont="1" applyFill="1" applyBorder="1" applyAlignment="1">
      <alignment vertical="top" wrapText="1"/>
    </xf>
    <xf numFmtId="0" fontId="13" fillId="0" borderId="0" xfId="56" applyFont="1" applyFill="1" applyBorder="1" applyAlignment="1">
      <alignment horizontal="center" vertical="top" wrapText="1"/>
    </xf>
    <xf numFmtId="0" fontId="13" fillId="0" borderId="0" xfId="56" applyFont="1" applyBorder="1" applyAlignment="1">
      <alignment wrapText="1"/>
    </xf>
    <xf numFmtId="0" fontId="13" fillId="0" borderId="0" xfId="56" applyFont="1" applyBorder="1" applyAlignment="1">
      <alignment horizontal="center"/>
    </xf>
    <xf numFmtId="0" fontId="43" fillId="0" borderId="45" xfId="0" applyFont="1" applyBorder="1" applyAlignment="1">
      <alignment horizontal="center" vertical="center" wrapText="1"/>
    </xf>
    <xf numFmtId="0" fontId="3" fillId="32" borderId="36" xfId="56" applyFont="1" applyFill="1" applyBorder="1"/>
    <xf numFmtId="10" fontId="3" fillId="27" borderId="20" xfId="56" applyNumberFormat="1" applyFont="1" applyFill="1" applyBorder="1"/>
    <xf numFmtId="0" fontId="4" fillId="0" borderId="46" xfId="56" applyFont="1" applyBorder="1" applyAlignment="1">
      <alignment horizontal="center"/>
    </xf>
    <xf numFmtId="0" fontId="4" fillId="0" borderId="47" xfId="56" applyFont="1" applyFill="1" applyBorder="1" applyAlignment="1">
      <alignment horizontal="center"/>
    </xf>
    <xf numFmtId="44" fontId="4" fillId="0" borderId="48" xfId="35" applyFont="1" applyFill="1" applyBorder="1" applyAlignment="1">
      <alignment horizontal="center"/>
    </xf>
    <xf numFmtId="0" fontId="3" fillId="0" borderId="24" xfId="56" applyFont="1" applyFill="1" applyBorder="1"/>
    <xf numFmtId="44" fontId="3" fillId="0" borderId="22" xfId="56" applyNumberFormat="1" applyFont="1" applyBorder="1"/>
    <xf numFmtId="49" fontId="3" fillId="26" borderId="19" xfId="30" applyNumberFormat="1" applyFont="1" applyFill="1" applyBorder="1"/>
    <xf numFmtId="0" fontId="33" fillId="0" borderId="19" xfId="56" applyFont="1" applyFill="1" applyBorder="1"/>
    <xf numFmtId="0" fontId="33" fillId="0" borderId="17" xfId="56" applyFont="1" applyFill="1" applyBorder="1"/>
    <xf numFmtId="0" fontId="33" fillId="0" borderId="36" xfId="56" applyNumberFormat="1" applyFont="1" applyFill="1" applyBorder="1"/>
    <xf numFmtId="0" fontId="34" fillId="0" borderId="39" xfId="56" applyFont="1" applyBorder="1" applyAlignment="1">
      <alignment horizontal="left" indent="3"/>
    </xf>
    <xf numFmtId="44" fontId="3" fillId="33" borderId="0" xfId="35" applyFont="1" applyFill="1"/>
    <xf numFmtId="0" fontId="3" fillId="33" borderId="0" xfId="56" applyFont="1" applyFill="1"/>
    <xf numFmtId="44" fontId="3" fillId="33" borderId="0" xfId="35" applyFont="1" applyFill="1" applyBorder="1"/>
    <xf numFmtId="0" fontId="3" fillId="33" borderId="0" xfId="56" applyFont="1" applyFill="1" applyBorder="1"/>
    <xf numFmtId="164" fontId="3" fillId="33" borderId="0" xfId="30" applyNumberFormat="1" applyFont="1" applyFill="1"/>
    <xf numFmtId="0" fontId="3" fillId="33" borderId="0" xfId="56" applyFont="1" applyFill="1" applyAlignment="1">
      <alignment wrapText="1"/>
    </xf>
    <xf numFmtId="44" fontId="4" fillId="34" borderId="49" xfId="35" applyFont="1" applyFill="1" applyBorder="1" applyAlignment="1">
      <alignment horizontal="center"/>
    </xf>
    <xf numFmtId="44" fontId="3" fillId="34" borderId="36" xfId="35" applyFont="1" applyFill="1" applyBorder="1"/>
    <xf numFmtId="44" fontId="4" fillId="34" borderId="50" xfId="35" applyFont="1" applyFill="1" applyBorder="1"/>
    <xf numFmtId="44" fontId="3" fillId="34" borderId="19" xfId="35" applyFont="1" applyFill="1" applyBorder="1"/>
    <xf numFmtId="44" fontId="3" fillId="34" borderId="50" xfId="35" applyFont="1" applyFill="1" applyBorder="1"/>
    <xf numFmtId="44" fontId="3" fillId="34" borderId="50" xfId="35" applyFont="1" applyFill="1" applyBorder="1" applyAlignment="1">
      <alignment horizontal="center"/>
    </xf>
    <xf numFmtId="0" fontId="3" fillId="34" borderId="50" xfId="56" applyFont="1" applyFill="1" applyBorder="1"/>
    <xf numFmtId="44" fontId="3" fillId="34" borderId="51" xfId="35" applyFont="1" applyFill="1" applyBorder="1"/>
    <xf numFmtId="44" fontId="4" fillId="34" borderId="52" xfId="35" applyFont="1" applyFill="1" applyBorder="1" applyAlignment="1">
      <alignment horizontal="center"/>
    </xf>
    <xf numFmtId="44" fontId="4" fillId="34" borderId="53" xfId="35" applyFont="1" applyFill="1" applyBorder="1" applyAlignment="1">
      <alignment horizontal="center"/>
    </xf>
    <xf numFmtId="44" fontId="3" fillId="34" borderId="25" xfId="35" applyFont="1" applyFill="1" applyBorder="1"/>
    <xf numFmtId="44" fontId="3" fillId="34" borderId="27" xfId="35" applyFont="1" applyFill="1" applyBorder="1"/>
    <xf numFmtId="44" fontId="4" fillId="34" borderId="28" xfId="35" applyFont="1" applyFill="1" applyBorder="1"/>
    <xf numFmtId="44" fontId="4" fillId="34" borderId="22" xfId="35" applyFont="1" applyFill="1" applyBorder="1"/>
    <xf numFmtId="44" fontId="3" fillId="34" borderId="20" xfId="35" applyFont="1" applyFill="1" applyBorder="1"/>
    <xf numFmtId="44" fontId="3" fillId="34" borderId="21" xfId="35" applyFont="1" applyFill="1" applyBorder="1"/>
    <xf numFmtId="44" fontId="3" fillId="34" borderId="28" xfId="35" applyFont="1" applyFill="1" applyBorder="1"/>
    <xf numFmtId="44" fontId="3" fillId="34" borderId="22" xfId="35" applyFont="1" applyFill="1" applyBorder="1"/>
    <xf numFmtId="164" fontId="3" fillId="34" borderId="28" xfId="30" applyNumberFormat="1" applyFont="1" applyFill="1" applyBorder="1"/>
    <xf numFmtId="164" fontId="3" fillId="34" borderId="22" xfId="30" applyNumberFormat="1" applyFont="1" applyFill="1" applyBorder="1"/>
    <xf numFmtId="44" fontId="3" fillId="34" borderId="18" xfId="35" applyFont="1" applyFill="1" applyBorder="1"/>
    <xf numFmtId="44" fontId="3" fillId="34" borderId="33" xfId="35" applyFont="1" applyFill="1" applyBorder="1"/>
    <xf numFmtId="44" fontId="3" fillId="34" borderId="35" xfId="35" applyFont="1" applyFill="1" applyBorder="1"/>
    <xf numFmtId="44" fontId="4" fillId="34" borderId="54" xfId="35" applyFont="1" applyFill="1" applyBorder="1" applyAlignment="1">
      <alignment horizontal="center"/>
    </xf>
    <xf numFmtId="0" fontId="3" fillId="35" borderId="11" xfId="56" applyFont="1" applyFill="1" applyBorder="1"/>
    <xf numFmtId="0" fontId="3" fillId="35" borderId="55" xfId="56" applyFont="1" applyFill="1" applyBorder="1"/>
    <xf numFmtId="0" fontId="4" fillId="35" borderId="55" xfId="56" applyFont="1" applyFill="1" applyBorder="1"/>
    <xf numFmtId="0" fontId="3" fillId="35" borderId="55" xfId="56" applyNumberFormat="1" applyFont="1" applyFill="1" applyBorder="1"/>
    <xf numFmtId="0" fontId="4" fillId="35" borderId="55" xfId="56" applyNumberFormat="1" applyFont="1" applyFill="1" applyBorder="1"/>
    <xf numFmtId="0" fontId="3" fillId="35" borderId="56" xfId="56" applyNumberFormat="1" applyFont="1" applyFill="1" applyBorder="1"/>
    <xf numFmtId="44" fontId="3" fillId="26" borderId="20" xfId="35" applyFont="1" applyFill="1" applyBorder="1"/>
    <xf numFmtId="44" fontId="4" fillId="27" borderId="21" xfId="35" applyNumberFormat="1" applyFont="1" applyFill="1" applyBorder="1"/>
    <xf numFmtId="9" fontId="3" fillId="26" borderId="19" xfId="101" applyFont="1" applyFill="1" applyBorder="1"/>
    <xf numFmtId="43" fontId="4" fillId="27" borderId="18" xfId="30" applyFont="1" applyFill="1" applyBorder="1"/>
    <xf numFmtId="44" fontId="4" fillId="27" borderId="18" xfId="35" applyFont="1" applyFill="1" applyBorder="1"/>
    <xf numFmtId="0" fontId="43" fillId="36" borderId="19" xfId="0" applyFont="1" applyFill="1" applyBorder="1"/>
    <xf numFmtId="0" fontId="43" fillId="37" borderId="19" xfId="0" applyFont="1" applyFill="1" applyBorder="1"/>
    <xf numFmtId="0" fontId="0" fillId="36" borderId="19" xfId="0" applyFill="1" applyBorder="1"/>
    <xf numFmtId="7" fontId="3" fillId="26" borderId="20" xfId="56" applyNumberFormat="1" applyFont="1" applyFill="1" applyBorder="1"/>
    <xf numFmtId="7" fontId="3" fillId="0" borderId="39" xfId="56" applyNumberFormat="1" applyFont="1" applyFill="1" applyBorder="1"/>
    <xf numFmtId="164" fontId="4" fillId="0" borderId="49" xfId="30" applyNumberFormat="1" applyFont="1" applyBorder="1" applyAlignment="1">
      <alignment horizontal="center"/>
    </xf>
    <xf numFmtId="164" fontId="3" fillId="0" borderId="36" xfId="30" applyNumberFormat="1" applyFont="1" applyBorder="1"/>
    <xf numFmtId="164" fontId="3" fillId="27" borderId="36" xfId="30" applyNumberFormat="1" applyFont="1" applyFill="1" applyBorder="1"/>
    <xf numFmtId="164" fontId="3" fillId="0" borderId="50" xfId="30" applyNumberFormat="1" applyFont="1" applyFill="1" applyBorder="1"/>
    <xf numFmtId="164" fontId="3" fillId="0" borderId="50" xfId="30" applyNumberFormat="1" applyFont="1" applyBorder="1"/>
    <xf numFmtId="164" fontId="33" fillId="0" borderId="50" xfId="30" applyNumberFormat="1" applyFont="1" applyBorder="1"/>
    <xf numFmtId="164" fontId="4" fillId="0" borderId="50" xfId="30" applyNumberFormat="1" applyFont="1" applyBorder="1"/>
    <xf numFmtId="44" fontId="3" fillId="0" borderId="50" xfId="35" applyNumberFormat="1" applyFont="1" applyBorder="1"/>
    <xf numFmtId="164" fontId="3" fillId="0" borderId="50" xfId="56" applyNumberFormat="1" applyFont="1" applyBorder="1"/>
    <xf numFmtId="43" fontId="3" fillId="0" borderId="51" xfId="30" applyFont="1" applyFill="1" applyBorder="1"/>
    <xf numFmtId="44" fontId="4" fillId="0" borderId="11" xfId="35" applyFont="1" applyBorder="1" applyAlignment="1">
      <alignment horizontal="center"/>
    </xf>
    <xf numFmtId="44" fontId="3" fillId="0" borderId="26" xfId="35" applyFont="1" applyBorder="1"/>
    <xf numFmtId="44" fontId="3" fillId="27" borderId="26" xfId="35" applyFont="1" applyFill="1" applyBorder="1"/>
    <xf numFmtId="44" fontId="4" fillId="27" borderId="26" xfId="35" applyFont="1" applyFill="1" applyBorder="1"/>
    <xf numFmtId="44" fontId="3" fillId="0" borderId="26" xfId="35" applyFont="1" applyFill="1" applyBorder="1"/>
    <xf numFmtId="44" fontId="3" fillId="0" borderId="29" xfId="35" applyFont="1" applyBorder="1"/>
    <xf numFmtId="44" fontId="3" fillId="27" borderId="29" xfId="35" applyFont="1" applyFill="1" applyBorder="1"/>
    <xf numFmtId="44" fontId="3" fillId="0" borderId="29" xfId="35" applyFont="1" applyFill="1" applyBorder="1"/>
    <xf numFmtId="44" fontId="4" fillId="27" borderId="29" xfId="35" applyNumberFormat="1" applyFont="1" applyFill="1" applyBorder="1"/>
    <xf numFmtId="44" fontId="3" fillId="27" borderId="26" xfId="35" applyNumberFormat="1" applyFont="1" applyFill="1" applyBorder="1"/>
    <xf numFmtId="44" fontId="3" fillId="27" borderId="34" xfId="35" applyFont="1" applyFill="1" applyBorder="1"/>
    <xf numFmtId="44" fontId="3" fillId="27" borderId="21" xfId="35" applyNumberFormat="1" applyFont="1" applyFill="1" applyBorder="1"/>
    <xf numFmtId="0" fontId="3" fillId="35" borderId="11" xfId="56" applyNumberFormat="1" applyFont="1" applyFill="1" applyBorder="1"/>
    <xf numFmtId="44" fontId="3" fillId="27" borderId="18" xfId="35" applyNumberFormat="1" applyFont="1" applyFill="1" applyBorder="1"/>
    <xf numFmtId="2" fontId="3" fillId="27" borderId="26" xfId="35" applyNumberFormat="1" applyFont="1" applyFill="1" applyBorder="1"/>
    <xf numFmtId="7" fontId="3" fillId="26" borderId="39" xfId="56" applyNumberFormat="1" applyFont="1" applyFill="1" applyBorder="1"/>
    <xf numFmtId="0" fontId="3" fillId="32" borderId="19" xfId="56" applyNumberFormat="1" applyFont="1" applyFill="1" applyBorder="1"/>
    <xf numFmtId="0" fontId="4" fillId="0" borderId="36" xfId="56" applyFont="1" applyBorder="1"/>
    <xf numFmtId="44" fontId="4" fillId="27" borderId="18" xfId="30" applyNumberFormat="1" applyFont="1" applyFill="1" applyBorder="1"/>
    <xf numFmtId="44" fontId="4" fillId="27" borderId="29" xfId="35" applyFont="1" applyFill="1" applyBorder="1"/>
    <xf numFmtId="0" fontId="1" fillId="0" borderId="57" xfId="0" applyFont="1" applyBorder="1" applyAlignment="1">
      <alignment horizontal="left"/>
    </xf>
    <xf numFmtId="0" fontId="6" fillId="0" borderId="57" xfId="0" applyFont="1" applyBorder="1" applyAlignment="1">
      <alignment horizontal="left"/>
    </xf>
    <xf numFmtId="0" fontId="50" fillId="31" borderId="19" xfId="0" applyFont="1" applyFill="1" applyBorder="1" applyAlignment="1">
      <alignment vertical="center" wrapText="1"/>
    </xf>
    <xf numFmtId="0" fontId="47" fillId="0" borderId="0" xfId="92" applyNumberFormat="1" applyFont="1" applyFill="1" applyAlignment="1">
      <alignment vertical="center" wrapText="1"/>
    </xf>
    <xf numFmtId="44" fontId="0" fillId="0" borderId="0" xfId="0" applyNumberFormat="1"/>
    <xf numFmtId="44" fontId="0" fillId="0" borderId="0" xfId="0" applyNumberFormat="1" applyFont="1"/>
    <xf numFmtId="0" fontId="1" fillId="36" borderId="57" xfId="0" applyFont="1" applyFill="1" applyBorder="1" applyAlignment="1">
      <alignment horizontal="left"/>
    </xf>
    <xf numFmtId="0" fontId="1" fillId="28" borderId="57" xfId="0" applyFont="1" applyFill="1" applyBorder="1" applyAlignment="1">
      <alignment horizontal="left"/>
    </xf>
    <xf numFmtId="0" fontId="6" fillId="36" borderId="57" xfId="0" applyFont="1" applyFill="1" applyBorder="1" applyAlignment="1">
      <alignment horizontal="left"/>
    </xf>
    <xf numFmtId="0" fontId="50" fillId="38" borderId="19" xfId="0" applyFont="1" applyFill="1" applyBorder="1" applyAlignment="1">
      <alignment vertical="center" wrapText="1"/>
    </xf>
    <xf numFmtId="0" fontId="51" fillId="38" borderId="19" xfId="0" applyFont="1" applyFill="1" applyBorder="1" applyAlignment="1">
      <alignment horizontal="center" vertical="center" wrapText="1"/>
    </xf>
    <xf numFmtId="0" fontId="0" fillId="28" borderId="0" xfId="0" applyFill="1"/>
    <xf numFmtId="0" fontId="50" fillId="39" borderId="19" xfId="0" applyFont="1" applyFill="1" applyBorder="1" applyAlignment="1">
      <alignment vertical="center" wrapText="1"/>
    </xf>
    <xf numFmtId="0" fontId="0" fillId="36" borderId="0" xfId="0" applyFill="1"/>
    <xf numFmtId="0" fontId="50" fillId="39" borderId="41" xfId="0" applyFont="1" applyFill="1" applyBorder="1" applyAlignment="1">
      <alignment vertical="center" wrapText="1"/>
    </xf>
    <xf numFmtId="0" fontId="50" fillId="39" borderId="19" xfId="0" applyFont="1" applyFill="1" applyBorder="1" applyAlignment="1">
      <alignment vertical="center" wrapText="1"/>
    </xf>
    <xf numFmtId="0" fontId="47" fillId="0" borderId="0" xfId="92" applyNumberFormat="1" applyFont="1" applyFill="1" applyAlignment="1">
      <alignment vertical="center" wrapText="1"/>
    </xf>
    <xf numFmtId="7" fontId="3" fillId="27" borderId="20" xfId="56" applyNumberFormat="1" applyFont="1" applyFill="1" applyBorder="1"/>
    <xf numFmtId="0" fontId="1" fillId="31" borderId="77" xfId="0" applyFont="1" applyFill="1" applyBorder="1" applyAlignment="1">
      <alignment horizontal="left"/>
    </xf>
    <xf numFmtId="44" fontId="0" fillId="31" borderId="78" xfId="0" applyNumberFormat="1" applyFont="1" applyFill="1" applyBorder="1"/>
    <xf numFmtId="0" fontId="1" fillId="30" borderId="77" xfId="0" applyFont="1" applyFill="1" applyBorder="1" applyAlignment="1">
      <alignment horizontal="left"/>
    </xf>
    <xf numFmtId="44" fontId="0" fillId="30" borderId="78" xfId="0" applyNumberFormat="1" applyFont="1" applyFill="1" applyBorder="1"/>
    <xf numFmtId="0" fontId="1" fillId="28" borderId="77" xfId="0" applyFont="1" applyFill="1" applyBorder="1" applyAlignment="1">
      <alignment horizontal="left"/>
    </xf>
    <xf numFmtId="44" fontId="0" fillId="28" borderId="78" xfId="0" applyNumberFormat="1" applyFont="1" applyFill="1" applyBorder="1"/>
    <xf numFmtId="0" fontId="1" fillId="36" borderId="77" xfId="0" applyFont="1" applyFill="1" applyBorder="1" applyAlignment="1">
      <alignment horizontal="left"/>
    </xf>
    <xf numFmtId="44" fontId="0" fillId="36" borderId="78" xfId="0" applyNumberFormat="1" applyFont="1" applyFill="1" applyBorder="1"/>
    <xf numFmtId="0" fontId="6" fillId="31" borderId="77" xfId="0" applyFont="1" applyFill="1" applyBorder="1" applyAlignment="1">
      <alignment horizontal="left"/>
    </xf>
    <xf numFmtId="0" fontId="6" fillId="30" borderId="77" xfId="0" applyFont="1" applyFill="1" applyBorder="1" applyAlignment="1">
      <alignment horizontal="left"/>
    </xf>
    <xf numFmtId="0" fontId="6" fillId="36" borderId="77" xfId="0" applyFont="1" applyFill="1" applyBorder="1" applyAlignment="1">
      <alignment horizontal="left"/>
    </xf>
    <xf numFmtId="0" fontId="6" fillId="40" borderId="79" xfId="0" applyFont="1" applyFill="1" applyBorder="1" applyAlignment="1">
      <alignment horizontal="center"/>
    </xf>
    <xf numFmtId="10" fontId="3" fillId="27" borderId="11" xfId="56" applyNumberFormat="1" applyFont="1" applyFill="1" applyBorder="1"/>
    <xf numFmtId="0" fontId="0" fillId="0" borderId="0" xfId="0" applyFill="1"/>
    <xf numFmtId="0" fontId="3" fillId="0" borderId="39" xfId="56" applyFont="1" applyBorder="1" applyAlignment="1">
      <alignment horizontal="left"/>
    </xf>
    <xf numFmtId="43" fontId="3" fillId="0" borderId="17" xfId="56" applyNumberFormat="1" applyFont="1" applyBorder="1"/>
    <xf numFmtId="43" fontId="3" fillId="0" borderId="19" xfId="56" applyNumberFormat="1" applyFont="1" applyBorder="1"/>
    <xf numFmtId="43" fontId="3" fillId="26" borderId="19" xfId="56" applyNumberFormat="1" applyFont="1" applyFill="1" applyBorder="1"/>
    <xf numFmtId="43" fontId="3" fillId="0" borderId="19" xfId="56" applyNumberFormat="1" applyFont="1" applyFill="1" applyBorder="1"/>
    <xf numFmtId="43" fontId="5" fillId="0" borderId="19" xfId="56" applyNumberFormat="1" applyFont="1" applyBorder="1" applyAlignment="1">
      <alignment horizontal="center"/>
    </xf>
    <xf numFmtId="43" fontId="4" fillId="0" borderId="19" xfId="56" applyNumberFormat="1" applyFont="1" applyBorder="1"/>
    <xf numFmtId="43" fontId="3" fillId="0" borderId="19" xfId="56" applyNumberFormat="1" applyFont="1" applyFill="1" applyBorder="1" applyAlignment="1">
      <alignment horizontal="center"/>
    </xf>
    <xf numFmtId="164" fontId="4" fillId="27" borderId="36" xfId="30" applyNumberFormat="1" applyFont="1" applyFill="1" applyBorder="1"/>
    <xf numFmtId="44" fontId="3" fillId="27" borderId="19" xfId="35" applyFont="1" applyFill="1" applyBorder="1"/>
    <xf numFmtId="44" fontId="3" fillId="27" borderId="19" xfId="56" applyNumberFormat="1" applyFont="1" applyFill="1" applyBorder="1"/>
    <xf numFmtId="0" fontId="3" fillId="27" borderId="17" xfId="56" applyFont="1" applyFill="1" applyBorder="1"/>
    <xf numFmtId="10" fontId="3" fillId="27" borderId="20" xfId="101" applyNumberFormat="1" applyFont="1" applyFill="1" applyBorder="1"/>
    <xf numFmtId="44" fontId="4" fillId="27" borderId="19" xfId="35" applyFont="1" applyFill="1" applyBorder="1"/>
    <xf numFmtId="164" fontId="4" fillId="27" borderId="19" xfId="56" applyNumberFormat="1" applyFont="1" applyFill="1" applyBorder="1"/>
    <xf numFmtId="164" fontId="4" fillId="27" borderId="50" xfId="30" applyNumberFormat="1" applyFont="1" applyFill="1" applyBorder="1"/>
    <xf numFmtId="43" fontId="4" fillId="0" borderId="19" xfId="56" applyNumberFormat="1" applyFont="1" applyFill="1" applyBorder="1"/>
    <xf numFmtId="43" fontId="5" fillId="0" borderId="19" xfId="56" applyNumberFormat="1" applyFont="1" applyFill="1" applyBorder="1" applyAlignment="1">
      <alignment horizontal="center"/>
    </xf>
    <xf numFmtId="164" fontId="3" fillId="27" borderId="41" xfId="30" applyNumberFormat="1" applyFont="1" applyFill="1" applyBorder="1"/>
    <xf numFmtId="0" fontId="13" fillId="0" borderId="19" xfId="56" applyFont="1" applyFill="1" applyBorder="1" applyAlignment="1">
      <alignment horizontal="left" vertical="top" wrapText="1"/>
    </xf>
    <xf numFmtId="0" fontId="35" fillId="0" borderId="58" xfId="56" applyFont="1" applyFill="1" applyBorder="1" applyAlignment="1">
      <alignment horizontal="center" vertical="top" wrapText="1"/>
    </xf>
    <xf numFmtId="0" fontId="35" fillId="0" borderId="23" xfId="56" applyFont="1" applyFill="1" applyBorder="1" applyAlignment="1">
      <alignment horizontal="center" vertical="top" wrapText="1"/>
    </xf>
    <xf numFmtId="0" fontId="36" fillId="0" borderId="0" xfId="56" applyFont="1" applyFill="1" applyBorder="1" applyAlignment="1">
      <alignment horizontal="left" vertical="top" wrapText="1"/>
    </xf>
    <xf numFmtId="0" fontId="35" fillId="0" borderId="0" xfId="56" applyFont="1" applyBorder="1"/>
    <xf numFmtId="0" fontId="35" fillId="0" borderId="20" xfId="56" applyFont="1" applyFill="1" applyBorder="1" applyAlignment="1">
      <alignment horizontal="center" vertical="top" wrapText="1"/>
    </xf>
    <xf numFmtId="0" fontId="36" fillId="0" borderId="19" xfId="56" applyFont="1" applyBorder="1" applyAlignment="1">
      <alignment horizontal="center"/>
    </xf>
    <xf numFmtId="0" fontId="36" fillId="0" borderId="21" xfId="56" applyFont="1" applyBorder="1" applyAlignment="1">
      <alignment horizontal="center"/>
    </xf>
    <xf numFmtId="0" fontId="35" fillId="0" borderId="20" xfId="56" applyFont="1" applyFill="1" applyBorder="1" applyAlignment="1">
      <alignment horizontal="center" vertical="center" wrapText="1"/>
    </xf>
    <xf numFmtId="0" fontId="35" fillId="0" borderId="19" xfId="56" applyFont="1" applyFill="1" applyBorder="1" applyAlignment="1">
      <alignment horizontal="left" vertical="top" wrapText="1"/>
    </xf>
    <xf numFmtId="0" fontId="35" fillId="0" borderId="19" xfId="56" applyFont="1" applyBorder="1" applyAlignment="1">
      <alignment horizontal="center"/>
    </xf>
    <xf numFmtId="0" fontId="35" fillId="0" borderId="21" xfId="56" applyFont="1" applyBorder="1" applyAlignment="1">
      <alignment horizontal="center"/>
    </xf>
    <xf numFmtId="0" fontId="35" fillId="0" borderId="20" xfId="56" applyFont="1" applyBorder="1"/>
    <xf numFmtId="0" fontId="36" fillId="0" borderId="19" xfId="56" applyFont="1" applyBorder="1" applyAlignment="1">
      <alignment horizontal="center" vertical="top" wrapText="1"/>
    </xf>
    <xf numFmtId="0" fontId="35" fillId="0" borderId="19" xfId="56" applyFont="1" applyBorder="1" applyAlignment="1">
      <alignment horizontal="left" vertical="top" wrapText="1"/>
    </xf>
    <xf numFmtId="0" fontId="35" fillId="0" borderId="19" xfId="56" applyFont="1" applyBorder="1" applyAlignment="1">
      <alignment horizontal="center" vertical="center"/>
    </xf>
    <xf numFmtId="0" fontId="35" fillId="0" borderId="21" xfId="56" applyFont="1" applyBorder="1" applyAlignment="1">
      <alignment horizontal="center" vertical="center"/>
    </xf>
    <xf numFmtId="0" fontId="35" fillId="0" borderId="19" xfId="56" applyFont="1" applyFill="1" applyBorder="1" applyAlignment="1">
      <alignment vertical="top" wrapText="1"/>
    </xf>
    <xf numFmtId="0" fontId="36" fillId="0" borderId="19" xfId="56" applyFont="1" applyBorder="1" applyAlignment="1">
      <alignment horizontal="left" vertical="top" wrapText="1"/>
    </xf>
    <xf numFmtId="0" fontId="35" fillId="0" borderId="20" xfId="56" applyFont="1" applyBorder="1" applyAlignment="1">
      <alignment horizontal="center" vertical="center" wrapText="1"/>
    </xf>
    <xf numFmtId="0" fontId="35" fillId="0" borderId="0" xfId="56" applyFont="1" applyBorder="1" applyAlignment="1">
      <alignment horizontal="center" vertical="top" wrapText="1"/>
    </xf>
    <xf numFmtId="0" fontId="35" fillId="0" borderId="0" xfId="56" applyFont="1" applyBorder="1" applyAlignment="1">
      <alignment horizontal="left" vertical="top" wrapText="1"/>
    </xf>
    <xf numFmtId="0" fontId="36" fillId="0" borderId="0" xfId="56" applyFont="1" applyBorder="1" applyAlignment="1">
      <alignment horizontal="left" vertical="top" wrapText="1"/>
    </xf>
    <xf numFmtId="0" fontId="35" fillId="33" borderId="19" xfId="56" applyFont="1" applyFill="1" applyBorder="1" applyAlignment="1">
      <alignment horizontal="left" vertical="top" wrapText="1"/>
    </xf>
    <xf numFmtId="0" fontId="36" fillId="0" borderId="19" xfId="56" applyFont="1" applyBorder="1" applyAlignment="1">
      <alignment horizontal="center" vertical="center"/>
    </xf>
    <xf numFmtId="0" fontId="36" fillId="0" borderId="21" xfId="56" applyFont="1" applyBorder="1" applyAlignment="1">
      <alignment horizontal="center" vertical="center"/>
    </xf>
    <xf numFmtId="0" fontId="35" fillId="0" borderId="20" xfId="56" applyFont="1" applyBorder="1" applyAlignment="1">
      <alignment vertical="center"/>
    </xf>
    <xf numFmtId="0" fontId="47" fillId="0" borderId="19" xfId="0" applyFont="1" applyBorder="1" applyAlignment="1">
      <alignment vertical="center"/>
    </xf>
    <xf numFmtId="0" fontId="47" fillId="0" borderId="17" xfId="0" applyFont="1" applyBorder="1" applyAlignment="1">
      <alignment vertical="center"/>
    </xf>
    <xf numFmtId="0" fontId="47" fillId="0" borderId="17" xfId="0" applyFont="1" applyBorder="1" applyAlignment="1">
      <alignment horizontal="center" vertical="center"/>
    </xf>
    <xf numFmtId="0" fontId="52" fillId="0" borderId="59" xfId="0" applyFont="1" applyBorder="1" applyAlignment="1">
      <alignment horizontal="center" vertical="center"/>
    </xf>
    <xf numFmtId="0" fontId="52" fillId="0" borderId="60" xfId="0" applyFont="1" applyBorder="1" applyAlignment="1">
      <alignment horizontal="center" vertical="center"/>
    </xf>
    <xf numFmtId="0" fontId="47" fillId="0" borderId="61" xfId="0" applyFont="1" applyBorder="1" applyAlignment="1">
      <alignment horizontal="center" vertical="center"/>
    </xf>
    <xf numFmtId="0" fontId="47" fillId="0" borderId="62" xfId="0" applyFont="1" applyBorder="1" applyAlignment="1">
      <alignment horizontal="center" vertical="center"/>
    </xf>
    <xf numFmtId="0" fontId="47" fillId="0" borderId="0" xfId="0" applyFont="1" applyFill="1" applyBorder="1" applyAlignment="1">
      <alignment vertical="center"/>
    </xf>
    <xf numFmtId="0" fontId="47" fillId="0" borderId="0" xfId="0" applyFont="1" applyFill="1" applyBorder="1" applyAlignment="1">
      <alignment vertical="center" wrapText="1"/>
    </xf>
    <xf numFmtId="0" fontId="35" fillId="0" borderId="51" xfId="56" applyFont="1" applyBorder="1" applyAlignment="1">
      <alignment horizontal="left" vertical="top" wrapText="1"/>
    </xf>
    <xf numFmtId="0" fontId="35" fillId="0" borderId="51" xfId="56" applyFont="1" applyBorder="1" applyAlignment="1">
      <alignment horizontal="center" vertical="center"/>
    </xf>
    <xf numFmtId="0" fontId="35" fillId="0" borderId="32" xfId="56" applyFont="1" applyBorder="1" applyAlignment="1">
      <alignment horizontal="center" vertical="center"/>
    </xf>
    <xf numFmtId="0" fontId="35" fillId="0" borderId="0" xfId="56" applyFont="1"/>
    <xf numFmtId="0" fontId="35" fillId="0" borderId="17" xfId="56" applyFont="1" applyBorder="1"/>
    <xf numFmtId="168" fontId="35" fillId="0" borderId="19" xfId="56" applyNumberFormat="1" applyFont="1" applyBorder="1"/>
    <xf numFmtId="0" fontId="35" fillId="0" borderId="19" xfId="56" applyFont="1" applyBorder="1"/>
    <xf numFmtId="168" fontId="35" fillId="0" borderId="17" xfId="56" applyNumberFormat="1" applyFont="1" applyBorder="1"/>
    <xf numFmtId="0" fontId="36" fillId="0" borderId="24" xfId="56" applyFont="1" applyFill="1" applyBorder="1" applyAlignment="1">
      <alignment horizontal="center" wrapText="1"/>
    </xf>
    <xf numFmtId="0" fontId="36" fillId="0" borderId="11" xfId="56" applyFont="1" applyBorder="1" applyAlignment="1">
      <alignment wrapText="1"/>
    </xf>
    <xf numFmtId="0" fontId="35" fillId="0" borderId="0" xfId="56" applyFont="1" applyAlignment="1">
      <alignment horizontal="center"/>
    </xf>
    <xf numFmtId="0" fontId="37" fillId="0" borderId="0" xfId="56" applyFont="1"/>
    <xf numFmtId="168" fontId="35" fillId="0" borderId="63" xfId="35" applyNumberFormat="1" applyFont="1" applyFill="1" applyBorder="1" applyAlignment="1">
      <alignment horizontal="center"/>
    </xf>
    <xf numFmtId="0" fontId="36" fillId="0" borderId="11" xfId="56" applyFont="1" applyBorder="1" applyAlignment="1">
      <alignment horizontal="center" wrapText="1"/>
    </xf>
    <xf numFmtId="0" fontId="43" fillId="0" borderId="0" xfId="0" applyFont="1"/>
    <xf numFmtId="44" fontId="53" fillId="41" borderId="0" xfId="0" applyNumberFormat="1" applyFont="1" applyFill="1"/>
    <xf numFmtId="0" fontId="6" fillId="40" borderId="80" xfId="0" applyFont="1" applyFill="1" applyBorder="1" applyAlignment="1">
      <alignment horizontal="center"/>
    </xf>
    <xf numFmtId="0" fontId="6" fillId="40" borderId="81" xfId="0" applyFont="1" applyFill="1" applyBorder="1" applyAlignment="1">
      <alignment horizontal="center"/>
    </xf>
    <xf numFmtId="0" fontId="47" fillId="0" borderId="0" xfId="92" applyFont="1" applyFill="1" applyAlignment="1">
      <alignment vertical="center" wrapText="1"/>
    </xf>
    <xf numFmtId="0" fontId="38" fillId="0" borderId="0" xfId="0" applyFont="1" applyAlignment="1">
      <alignment horizontal="center"/>
    </xf>
    <xf numFmtId="0" fontId="54" fillId="31" borderId="19" xfId="0" applyFont="1" applyFill="1" applyBorder="1" applyAlignment="1">
      <alignment vertical="center" wrapText="1"/>
    </xf>
    <xf numFmtId="0" fontId="54" fillId="30" borderId="19" xfId="0" applyFont="1" applyFill="1" applyBorder="1" applyAlignment="1">
      <alignment vertical="center" wrapText="1"/>
    </xf>
    <xf numFmtId="0" fontId="6" fillId="0" borderId="19" xfId="0" applyFont="1" applyBorder="1" applyAlignment="1">
      <alignment horizontal="left"/>
    </xf>
    <xf numFmtId="0" fontId="1" fillId="0" borderId="19" xfId="0" applyFont="1" applyBorder="1" applyAlignment="1">
      <alignment horizontal="left"/>
    </xf>
    <xf numFmtId="40" fontId="3" fillId="0" borderId="19" xfId="56" applyNumberFormat="1" applyFont="1" applyFill="1" applyBorder="1" applyAlignment="1">
      <alignment wrapText="1"/>
    </xf>
    <xf numFmtId="0" fontId="50" fillId="30" borderId="19" xfId="0" applyFont="1" applyFill="1" applyBorder="1" applyAlignment="1">
      <alignment horizontal="center" vertical="center" wrapText="1"/>
    </xf>
    <xf numFmtId="0" fontId="50" fillId="38" borderId="19" xfId="0" applyFont="1" applyFill="1" applyBorder="1" applyAlignment="1">
      <alignment horizontal="center" vertical="center" wrapText="1"/>
    </xf>
    <xf numFmtId="0" fontId="50" fillId="39" borderId="19" xfId="0" applyFont="1" applyFill="1" applyBorder="1" applyAlignment="1">
      <alignment horizontal="center" vertical="center" wrapText="1"/>
    </xf>
    <xf numFmtId="0" fontId="50" fillId="31" borderId="19" xfId="0" applyFont="1" applyFill="1" applyBorder="1" applyAlignment="1">
      <alignment horizontal="center" vertical="center" wrapText="1"/>
    </xf>
    <xf numFmtId="0" fontId="54" fillId="38" borderId="19" xfId="0" applyFont="1" applyFill="1" applyBorder="1" applyAlignment="1">
      <alignment vertical="center" wrapText="1"/>
    </xf>
    <xf numFmtId="0" fontId="54" fillId="39" borderId="19" xfId="0" applyFont="1" applyFill="1" applyBorder="1" applyAlignment="1">
      <alignment horizontal="center" vertical="center" wrapText="1"/>
    </xf>
    <xf numFmtId="44" fontId="0" fillId="41" borderId="78" xfId="0" applyNumberFormat="1" applyFont="1" applyFill="1" applyBorder="1"/>
    <xf numFmtId="0" fontId="51" fillId="39" borderId="19" xfId="0" applyNumberFormat="1" applyFont="1" applyFill="1" applyBorder="1" applyAlignment="1">
      <alignment horizontal="center" vertical="center" wrapText="1"/>
    </xf>
    <xf numFmtId="0" fontId="51" fillId="31" borderId="19" xfId="0" applyNumberFormat="1" applyFont="1" applyFill="1" applyBorder="1" applyAlignment="1">
      <alignment horizontal="center" vertical="center" wrapText="1"/>
    </xf>
    <xf numFmtId="44" fontId="47" fillId="0" borderId="0" xfId="92" applyNumberFormat="1" applyFont="1" applyFill="1" applyAlignment="1">
      <alignment vertical="center" wrapText="1"/>
    </xf>
    <xf numFmtId="0" fontId="36" fillId="27" borderId="19" xfId="56" applyFont="1" applyFill="1" applyBorder="1" applyAlignment="1">
      <alignment horizontal="center" vertical="top" wrapText="1"/>
    </xf>
    <xf numFmtId="0" fontId="36" fillId="27" borderId="21" xfId="56" applyFont="1" applyFill="1" applyBorder="1" applyAlignment="1">
      <alignment horizontal="center" vertical="top" wrapText="1"/>
    </xf>
    <xf numFmtId="0" fontId="35" fillId="41" borderId="19" xfId="56" applyFont="1" applyFill="1" applyBorder="1" applyAlignment="1">
      <alignment horizontal="center" vertical="top" wrapText="1"/>
    </xf>
    <xf numFmtId="0" fontId="35" fillId="41" borderId="21" xfId="56" applyFont="1" applyFill="1" applyBorder="1" applyAlignment="1">
      <alignment horizontal="center" vertical="top" wrapText="1"/>
    </xf>
    <xf numFmtId="0" fontId="36" fillId="0" borderId="19" xfId="56" applyFont="1" applyBorder="1" applyAlignment="1">
      <alignment horizontal="center" vertical="top" wrapText="1"/>
    </xf>
    <xf numFmtId="0" fontId="36" fillId="0" borderId="21" xfId="56" applyFont="1" applyBorder="1" applyAlignment="1">
      <alignment horizontal="center" vertical="top" wrapText="1"/>
    </xf>
    <xf numFmtId="0" fontId="36" fillId="0" borderId="51" xfId="56" applyFont="1" applyBorder="1" applyAlignment="1">
      <alignment horizontal="center"/>
    </xf>
    <xf numFmtId="0" fontId="36" fillId="0" borderId="32" xfId="56" applyFont="1" applyBorder="1" applyAlignment="1">
      <alignment horizontal="center"/>
    </xf>
    <xf numFmtId="0" fontId="36" fillId="0" borderId="59" xfId="56" applyFont="1" applyBorder="1" applyAlignment="1">
      <alignment horizontal="center" vertical="top" wrapText="1"/>
    </xf>
    <xf numFmtId="0" fontId="36" fillId="0" borderId="15" xfId="56" applyFont="1" applyBorder="1" applyAlignment="1">
      <alignment horizontal="center" vertical="top" wrapText="1"/>
    </xf>
    <xf numFmtId="0" fontId="36" fillId="0" borderId="60" xfId="56" applyFont="1" applyBorder="1" applyAlignment="1">
      <alignment horizontal="center" vertical="top" wrapText="1"/>
    </xf>
    <xf numFmtId="0" fontId="36" fillId="27" borderId="20" xfId="56" applyFont="1" applyFill="1" applyBorder="1" applyAlignment="1">
      <alignment horizontal="center" vertical="top" wrapText="1"/>
    </xf>
    <xf numFmtId="49" fontId="36" fillId="26" borderId="20" xfId="30" applyNumberFormat="1" applyFont="1" applyFill="1" applyBorder="1" applyAlignment="1">
      <alignment horizontal="center"/>
    </xf>
    <xf numFmtId="49" fontId="36" fillId="26" borderId="19" xfId="30" applyNumberFormat="1" applyFont="1" applyFill="1" applyBorder="1" applyAlignment="1">
      <alignment horizontal="center"/>
    </xf>
    <xf numFmtId="49" fontId="36" fillId="26" borderId="21" xfId="30" applyNumberFormat="1" applyFont="1" applyFill="1" applyBorder="1" applyAlignment="1">
      <alignment horizontal="center"/>
    </xf>
    <xf numFmtId="0" fontId="35" fillId="41" borderId="20" xfId="56" applyFont="1" applyFill="1" applyBorder="1" applyAlignment="1">
      <alignment horizontal="center" vertical="top" wrapText="1"/>
    </xf>
    <xf numFmtId="0" fontId="35" fillId="0" borderId="20" xfId="56" applyFont="1" applyFill="1" applyBorder="1" applyAlignment="1">
      <alignment horizontal="left" vertical="top" wrapText="1"/>
    </xf>
    <xf numFmtId="0" fontId="35" fillId="0" borderId="19" xfId="56" applyFont="1" applyFill="1" applyBorder="1" applyAlignment="1">
      <alignment horizontal="left" vertical="top" wrapText="1"/>
    </xf>
    <xf numFmtId="0" fontId="35" fillId="0" borderId="21" xfId="56" applyFont="1" applyFill="1" applyBorder="1" applyAlignment="1">
      <alignment horizontal="left" vertical="top" wrapText="1"/>
    </xf>
    <xf numFmtId="0" fontId="35" fillId="0" borderId="61" xfId="56" applyFont="1" applyFill="1" applyBorder="1" applyAlignment="1">
      <alignment horizontal="left" vertical="top" wrapText="1"/>
    </xf>
    <xf numFmtId="0" fontId="35" fillId="0" borderId="64" xfId="56" applyFont="1" applyFill="1" applyBorder="1" applyAlignment="1">
      <alignment horizontal="left" vertical="top" wrapText="1"/>
    </xf>
    <xf numFmtId="0" fontId="35" fillId="0" borderId="62" xfId="56" applyFont="1" applyFill="1" applyBorder="1" applyAlignment="1">
      <alignment horizontal="left" vertical="top" wrapText="1"/>
    </xf>
    <xf numFmtId="0" fontId="3" fillId="0" borderId="0" xfId="56" applyFont="1" applyAlignment="1">
      <alignment horizontal="left" wrapText="1"/>
    </xf>
    <xf numFmtId="0" fontId="3" fillId="0" borderId="0" xfId="56" applyFont="1" applyAlignment="1">
      <alignment wrapText="1"/>
    </xf>
    <xf numFmtId="0" fontId="4" fillId="0" borderId="66" xfId="56" applyFont="1" applyBorder="1" applyAlignment="1">
      <alignment horizontal="center"/>
    </xf>
    <xf numFmtId="0" fontId="4" fillId="0" borderId="67" xfId="56" applyFont="1" applyBorder="1" applyAlignment="1">
      <alignment horizontal="center"/>
    </xf>
    <xf numFmtId="0" fontId="4" fillId="0" borderId="68" xfId="56" applyFont="1" applyBorder="1" applyAlignment="1">
      <alignment horizontal="center"/>
    </xf>
    <xf numFmtId="0" fontId="4" fillId="34" borderId="24" xfId="56" applyFont="1" applyFill="1" applyBorder="1" applyAlignment="1">
      <alignment horizontal="center"/>
    </xf>
    <xf numFmtId="0" fontId="4" fillId="34" borderId="10" xfId="56" applyFont="1" applyFill="1" applyBorder="1" applyAlignment="1">
      <alignment horizontal="center"/>
    </xf>
    <xf numFmtId="0" fontId="4" fillId="0" borderId="65" xfId="56" applyFont="1" applyBorder="1" applyAlignment="1">
      <alignment horizontal="center"/>
    </xf>
    <xf numFmtId="0" fontId="4" fillId="0" borderId="10" xfId="56" applyFont="1" applyBorder="1" applyAlignment="1">
      <alignment horizontal="center"/>
    </xf>
    <xf numFmtId="0" fontId="4" fillId="0" borderId="24" xfId="56" applyFont="1" applyBorder="1" applyAlignment="1">
      <alignment horizontal="center"/>
    </xf>
    <xf numFmtId="0" fontId="4" fillId="34" borderId="69" xfId="56" applyFont="1" applyFill="1" applyBorder="1" applyAlignment="1">
      <alignment horizontal="center"/>
    </xf>
    <xf numFmtId="0" fontId="4" fillId="34" borderId="70" xfId="56" applyFont="1" applyFill="1" applyBorder="1" applyAlignment="1">
      <alignment horizontal="center"/>
    </xf>
    <xf numFmtId="0" fontId="4" fillId="33" borderId="24" xfId="56" applyFont="1" applyFill="1" applyBorder="1" applyAlignment="1">
      <alignment horizontal="center"/>
    </xf>
    <xf numFmtId="0" fontId="4" fillId="33" borderId="65" xfId="56" applyFont="1" applyFill="1" applyBorder="1" applyAlignment="1">
      <alignment horizontal="center"/>
    </xf>
    <xf numFmtId="0" fontId="4" fillId="33" borderId="10" xfId="56" applyFont="1" applyFill="1" applyBorder="1" applyAlignment="1">
      <alignment horizontal="center"/>
    </xf>
    <xf numFmtId="0" fontId="4" fillId="34" borderId="65" xfId="56" applyFont="1" applyFill="1" applyBorder="1" applyAlignment="1">
      <alignment horizontal="center"/>
    </xf>
    <xf numFmtId="0" fontId="0" fillId="0" borderId="0" xfId="0" quotePrefix="1" applyAlignment="1">
      <alignment horizontal="center"/>
    </xf>
    <xf numFmtId="0" fontId="0" fillId="0" borderId="0" xfId="0" applyAlignment="1">
      <alignment horizontal="center"/>
    </xf>
    <xf numFmtId="0" fontId="43" fillId="0" borderId="36" xfId="0" applyFont="1" applyBorder="1" applyAlignment="1">
      <alignment horizontal="center"/>
    </xf>
    <xf numFmtId="0" fontId="43" fillId="0" borderId="82" xfId="0" applyFont="1" applyBorder="1"/>
    <xf numFmtId="44" fontId="0" fillId="0" borderId="0" xfId="35" applyFont="1"/>
    <xf numFmtId="44" fontId="43" fillId="0" borderId="82" xfId="35" applyFont="1" applyBorder="1"/>
  </cellXfs>
  <cellStyles count="11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alculation 2 2" xfId="27" xr:uid="{00000000-0005-0000-0000-00001A000000}"/>
    <cellStyle name="Calculation 2 3" xfId="28" xr:uid="{00000000-0005-0000-0000-00001B000000}"/>
    <cellStyle name="Check Cell 2" xfId="29" xr:uid="{00000000-0005-0000-0000-00001C000000}"/>
    <cellStyle name="Comma" xfId="30" builtinId="3"/>
    <cellStyle name="Comma 2" xfId="31" xr:uid="{00000000-0005-0000-0000-00001E000000}"/>
    <cellStyle name="Comma 2 2" xfId="32" xr:uid="{00000000-0005-0000-0000-00001F000000}"/>
    <cellStyle name="Comma 2 3" xfId="33" xr:uid="{00000000-0005-0000-0000-000020000000}"/>
    <cellStyle name="Comma 3" xfId="34" xr:uid="{00000000-0005-0000-0000-000021000000}"/>
    <cellStyle name="Currency" xfId="35" builtinId="4"/>
    <cellStyle name="Currency 2" xfId="36" xr:uid="{00000000-0005-0000-0000-000023000000}"/>
    <cellStyle name="Currency 2 2" xfId="37" xr:uid="{00000000-0005-0000-0000-000024000000}"/>
    <cellStyle name="Currency 2 3" xfId="38" xr:uid="{00000000-0005-0000-0000-000025000000}"/>
    <cellStyle name="Currency 3" xfId="39" xr:uid="{00000000-0005-0000-0000-000026000000}"/>
    <cellStyle name="Currency 4" xfId="40" xr:uid="{00000000-0005-0000-0000-000027000000}"/>
    <cellStyle name="Currency 5" xfId="41" xr:uid="{00000000-0005-0000-0000-000028000000}"/>
    <cellStyle name="Currency 6" xfId="42" xr:uid="{00000000-0005-0000-0000-000029000000}"/>
    <cellStyle name="Currency 7" xfId="43" xr:uid="{00000000-0005-0000-0000-00002A000000}"/>
    <cellStyle name="Currency 8" xfId="44" xr:uid="{00000000-0005-0000-0000-00002B000000}"/>
    <cellStyle name="Explanatory Text 2" xfId="45" xr:uid="{00000000-0005-0000-0000-00002C000000}"/>
    <cellStyle name="Good 2" xfId="46" xr:uid="{00000000-0005-0000-0000-00002D000000}"/>
    <cellStyle name="Heading 1 2" xfId="47" xr:uid="{00000000-0005-0000-0000-00002E000000}"/>
    <cellStyle name="Heading 2 2" xfId="48" xr:uid="{00000000-0005-0000-0000-00002F000000}"/>
    <cellStyle name="Heading 3 2" xfId="49" xr:uid="{00000000-0005-0000-0000-000030000000}"/>
    <cellStyle name="Heading 4 2" xfId="50" xr:uid="{00000000-0005-0000-0000-000031000000}"/>
    <cellStyle name="Input 2" xfId="51" xr:uid="{00000000-0005-0000-0000-000032000000}"/>
    <cellStyle name="Input 2 2" xfId="52" xr:uid="{00000000-0005-0000-0000-000033000000}"/>
    <cellStyle name="Input 2 3" xfId="53" xr:uid="{00000000-0005-0000-0000-000034000000}"/>
    <cellStyle name="Linked Cell 2" xfId="54" xr:uid="{00000000-0005-0000-0000-000035000000}"/>
    <cellStyle name="Neutral 2" xfId="55" xr:uid="{00000000-0005-0000-0000-000036000000}"/>
    <cellStyle name="Normal" xfId="0" builtinId="0"/>
    <cellStyle name="Normal - Style1 2 3" xfId="56" xr:uid="{00000000-0005-0000-0000-000038000000}"/>
    <cellStyle name="Normal 10" xfId="57" xr:uid="{00000000-0005-0000-0000-000039000000}"/>
    <cellStyle name="Normal 11" xfId="58" xr:uid="{00000000-0005-0000-0000-00003A000000}"/>
    <cellStyle name="Normal 12" xfId="59" xr:uid="{00000000-0005-0000-0000-00003B000000}"/>
    <cellStyle name="Normal 13" xfId="60" xr:uid="{00000000-0005-0000-0000-00003C000000}"/>
    <cellStyle name="Normal 14" xfId="61" xr:uid="{00000000-0005-0000-0000-00003D000000}"/>
    <cellStyle name="Normal 15" xfId="62" xr:uid="{00000000-0005-0000-0000-00003E000000}"/>
    <cellStyle name="Normal 16" xfId="63" xr:uid="{00000000-0005-0000-0000-00003F000000}"/>
    <cellStyle name="Normal 17" xfId="64" xr:uid="{00000000-0005-0000-0000-000040000000}"/>
    <cellStyle name="Normal 18" xfId="65" xr:uid="{00000000-0005-0000-0000-000041000000}"/>
    <cellStyle name="Normal 19" xfId="66" xr:uid="{00000000-0005-0000-0000-000042000000}"/>
    <cellStyle name="Normal 2" xfId="67" xr:uid="{00000000-0005-0000-0000-000043000000}"/>
    <cellStyle name="Normal 2 2" xfId="68" xr:uid="{00000000-0005-0000-0000-000044000000}"/>
    <cellStyle name="Normal 2 2 2" xfId="69" xr:uid="{00000000-0005-0000-0000-000045000000}"/>
    <cellStyle name="Normal 2 3" xfId="70" xr:uid="{00000000-0005-0000-0000-000046000000}"/>
    <cellStyle name="Normal 2 9" xfId="71" xr:uid="{00000000-0005-0000-0000-000047000000}"/>
    <cellStyle name="Normal 3" xfId="72" xr:uid="{00000000-0005-0000-0000-000048000000}"/>
    <cellStyle name="Normal 3 2" xfId="73" xr:uid="{00000000-0005-0000-0000-000049000000}"/>
    <cellStyle name="Normal 3 3" xfId="74" xr:uid="{00000000-0005-0000-0000-00004A000000}"/>
    <cellStyle name="Normal 3 4" xfId="75" xr:uid="{00000000-0005-0000-0000-00004B000000}"/>
    <cellStyle name="Normal 4" xfId="76" xr:uid="{00000000-0005-0000-0000-00004C000000}"/>
    <cellStyle name="Normal 4 2" xfId="77" xr:uid="{00000000-0005-0000-0000-00004D000000}"/>
    <cellStyle name="Normal 5" xfId="78" xr:uid="{00000000-0005-0000-0000-00004E000000}"/>
    <cellStyle name="Normal 5 2" xfId="79" xr:uid="{00000000-0005-0000-0000-00004F000000}"/>
    <cellStyle name="Normal 5 5" xfId="80" xr:uid="{00000000-0005-0000-0000-000050000000}"/>
    <cellStyle name="Normal 52 3 2" xfId="81" xr:uid="{00000000-0005-0000-0000-000051000000}"/>
    <cellStyle name="Normal 55" xfId="82" xr:uid="{00000000-0005-0000-0000-000052000000}"/>
    <cellStyle name="Normal 6" xfId="83" xr:uid="{00000000-0005-0000-0000-000053000000}"/>
    <cellStyle name="Normal 7" xfId="84" xr:uid="{00000000-0005-0000-0000-000054000000}"/>
    <cellStyle name="Normal 7 2" xfId="85" xr:uid="{00000000-0005-0000-0000-000055000000}"/>
    <cellStyle name="Normal 7 2 2" xfId="86" xr:uid="{00000000-0005-0000-0000-000056000000}"/>
    <cellStyle name="Normal 8" xfId="87" xr:uid="{00000000-0005-0000-0000-000057000000}"/>
    <cellStyle name="Normal 9" xfId="88" xr:uid="{00000000-0005-0000-0000-000058000000}"/>
    <cellStyle name="Normal 90 2" xfId="89" xr:uid="{00000000-0005-0000-0000-000059000000}"/>
    <cellStyle name="Normal 90 2 2" xfId="90" xr:uid="{00000000-0005-0000-0000-00005A000000}"/>
    <cellStyle name="Normal 90 2 3" xfId="91" xr:uid="{00000000-0005-0000-0000-00005B000000}"/>
    <cellStyle name="Normal_DO NOT USE" xfId="92" xr:uid="{00000000-0005-0000-0000-00005C000000}"/>
    <cellStyle name="Note 2" xfId="93" xr:uid="{00000000-0005-0000-0000-00005D000000}"/>
    <cellStyle name="Note 2 2" xfId="94" xr:uid="{00000000-0005-0000-0000-00005E000000}"/>
    <cellStyle name="Note 2 3" xfId="95" xr:uid="{00000000-0005-0000-0000-00005F000000}"/>
    <cellStyle name="Note 3" xfId="96" xr:uid="{00000000-0005-0000-0000-000060000000}"/>
    <cellStyle name="Output 2" xfId="97" xr:uid="{00000000-0005-0000-0000-000061000000}"/>
    <cellStyle name="Output 2 2" xfId="98" xr:uid="{00000000-0005-0000-0000-000062000000}"/>
    <cellStyle name="Output 2 3" xfId="99" xr:uid="{00000000-0005-0000-0000-000063000000}"/>
    <cellStyle name="Percen" xfId="100" xr:uid="{00000000-0005-0000-0000-000064000000}"/>
    <cellStyle name="Percent" xfId="101" builtinId="5"/>
    <cellStyle name="Percent 2" xfId="102" xr:uid="{00000000-0005-0000-0000-000066000000}"/>
    <cellStyle name="Percent 2 2" xfId="103" xr:uid="{00000000-0005-0000-0000-000067000000}"/>
    <cellStyle name="Percent 3" xfId="104" xr:uid="{00000000-0005-0000-0000-000068000000}"/>
    <cellStyle name="Percent 4" xfId="105" xr:uid="{00000000-0005-0000-0000-000069000000}"/>
    <cellStyle name="Percent 5" xfId="106" xr:uid="{00000000-0005-0000-0000-00006A000000}"/>
    <cellStyle name="Percent 7" xfId="107" xr:uid="{00000000-0005-0000-0000-00006B000000}"/>
    <cellStyle name="Percent 90 2" xfId="108" xr:uid="{00000000-0005-0000-0000-00006C000000}"/>
    <cellStyle name="Percent 90 2 2" xfId="109" xr:uid="{00000000-0005-0000-0000-00006D000000}"/>
    <cellStyle name="Percent 90 2 3" xfId="110" xr:uid="{00000000-0005-0000-0000-00006E000000}"/>
    <cellStyle name="Title 2" xfId="111" xr:uid="{00000000-0005-0000-0000-00006F000000}"/>
    <cellStyle name="Total 2" xfId="112" xr:uid="{00000000-0005-0000-0000-000070000000}"/>
    <cellStyle name="Total 2 2" xfId="113" xr:uid="{00000000-0005-0000-0000-000071000000}"/>
    <cellStyle name="Total 2 3" xfId="114" xr:uid="{00000000-0005-0000-0000-000072000000}"/>
    <cellStyle name="Warning Text 2" xfId="115" xr:uid="{00000000-0005-0000-0000-000073000000}"/>
  </cellStyles>
  <dxfs count="81">
    <dxf>
      <font>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auto="1"/>
      </font>
      <fill>
        <patternFill>
          <bgColor rgb="FFFF0000"/>
        </patternFill>
      </fill>
    </dxf>
    <dxf>
      <fill>
        <patternFill>
          <bgColor rgb="FF92D050"/>
        </patternFill>
      </fil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0" formatCode="General"/>
      <fill>
        <patternFill patternType="none">
          <fgColor indexed="64"/>
          <bgColor indexed="65"/>
        </patternFill>
      </fill>
      <alignment horizontal="general" vertical="center" textRotation="0" wrapText="1" indent="0" justifyLastLine="0" shrinkToFit="0" readingOrder="0"/>
    </dxf>
    <dxf>
      <font>
        <color rgb="FF000000"/>
        <name val="Times New Roman"/>
        <scheme val="none"/>
      </font>
      <numFmt numFmtId="34" formatCode="_(&quot;$&quot;* #,##0.00_);_(&quot;$&quot;* \(#,##0.00\);_(&quot;$&quot;* &quot;-&quot;??_);_(@_)"/>
      <fill>
        <patternFill patternType="none">
          <fgColor indexed="64"/>
          <bgColor indexed="65"/>
        </patternFill>
      </fill>
      <alignment horizontal="general" vertical="center" textRotation="0" wrapText="1" indent="0" justifyLastLine="0" shrinkToFit="0" readingOrder="0"/>
    </dxf>
    <dxf>
      <font>
        <sz val="10"/>
        <color auto="1"/>
        <name val="Arial"/>
        <scheme val="none"/>
      </font>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bottom/>
      </border>
    </dxf>
    <dxf>
      <font>
        <sz val="11"/>
        <color rgb="FF000000"/>
        <name val="Times New Roman"/>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0" formatCode="General"/>
      <fill>
        <patternFill patternType="solid">
          <fgColor theme="4" tint="0.79998168889431442"/>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0" formatCode="General"/>
      <fill>
        <patternFill patternType="solid">
          <fgColor theme="4" tint="0.79998168889431442"/>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0" formatCode="General"/>
      <fill>
        <patternFill patternType="solid">
          <fgColor theme="4" tint="0.79998168889431442"/>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0" formatCode="General"/>
      <fill>
        <patternFill patternType="solid">
          <fgColor theme="4" tint="0.79998168889431442"/>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imes New Roman"/>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auto="1"/>
        <name val="Arial"/>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6" tint="0.59999389629810485"/>
        </patternFill>
      </fill>
      <border diagonalUp="0" diagonalDown="0">
        <left style="medium">
          <color indexed="64"/>
        </left>
        <right/>
        <top style="thin">
          <color indexed="64"/>
        </top>
        <bottom style="thin">
          <color indexed="64"/>
        </bottom>
      </border>
    </dxf>
    <dxf>
      <font>
        <b val="0"/>
        <i val="0"/>
        <strike val="0"/>
        <condense val="0"/>
        <extend val="0"/>
        <outline val="0"/>
        <shadow val="0"/>
        <u val="none"/>
        <vertAlign val="baseline"/>
        <sz val="8"/>
        <color auto="1"/>
        <name val="Arial"/>
        <scheme val="none"/>
      </font>
      <numFmt numFmtId="34" formatCode="_(&quot;$&quot;* #,##0.00_);_(&quot;$&quot;* \(#,##0.00\);_(&quot;$&quot;* &quot;-&quot;??_);_(@_)"/>
      <fill>
        <patternFill patternType="solid">
          <fgColor indexed="64"/>
          <bgColor rgb="FFCCFFCC"/>
        </patternFill>
      </fill>
      <border diagonalUp="0" diagonalDown="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35" formatCode="_(* #,##0.00_);_(* \(#,##0.00\);_(* &quot;-&quot;??_);_(@_)"/>
      <fill>
        <patternFill patternType="solid">
          <fgColor indexed="64"/>
          <bgColor theme="6" tint="0.59999389629810485"/>
        </patternFill>
      </fill>
      <border diagonalUp="0" diagonalDown="0">
        <left/>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border>
    </dxf>
    <dxf>
      <fill>
        <patternFill patternType="solid">
          <fgColor indexed="64"/>
          <bgColor theme="6" tint="0.59999389629810485"/>
        </patternFill>
      </fill>
      <border diagonalUp="0" diagonalDown="0" outline="0">
        <left/>
        <right style="medium">
          <color indexed="64"/>
        </right>
        <top style="thin">
          <color indexed="64"/>
        </top>
        <bottom style="thin">
          <color indexed="64"/>
        </bottom>
      </border>
    </dxf>
    <dxf>
      <fill>
        <patternFill patternType="solid">
          <fgColor indexed="64"/>
          <bgColor theme="6" tint="0.59999389629810485"/>
        </patternFill>
      </fill>
      <border diagonalUp="0" diagonalDown="0" outline="0">
        <left style="medium">
          <color indexed="64"/>
        </left>
        <right/>
        <top style="thin">
          <color indexed="64"/>
        </top>
        <bottom style="thin">
          <color indexed="64"/>
        </bottom>
      </border>
    </dxf>
    <dxf>
      <numFmt numFmtId="34" formatCode="_(&quot;$&quot;* #,##0.00_);_(&quot;$&quot;* \(#,##0.00\);_(&quot;$&quot;* &quot;-&quot;??_);_(@_)"/>
    </dxf>
    <dxf>
      <font>
        <b val="0"/>
        <i val="0"/>
        <strike val="0"/>
        <condense val="0"/>
        <extend val="0"/>
        <outline val="0"/>
        <shadow val="0"/>
        <u val="none"/>
        <vertAlign val="baseline"/>
        <sz val="8"/>
        <color auto="1"/>
        <name val="Arial"/>
        <scheme val="none"/>
      </font>
      <border diagonalUp="0" diagonalDown="0">
        <left style="medium">
          <color indexed="64"/>
        </left>
        <right style="thin">
          <color indexed="64"/>
        </right>
        <top style="thin">
          <color indexed="64"/>
        </top>
        <bottom style="thin">
          <color indexed="64"/>
        </bottom>
      </border>
    </dxf>
    <dxf>
      <fill>
        <patternFill patternType="solid">
          <fgColor indexed="64"/>
          <bgColor theme="6" tint="0.59999389629810485"/>
        </patternFill>
      </fill>
    </dxf>
    <dxf>
      <fill>
        <patternFill patternType="solid">
          <fgColor indexed="64"/>
          <bgColor theme="6" tint="0.59999389629810485"/>
        </patternFill>
      </fill>
    </dxf>
    <dxf>
      <numFmt numFmtId="34" formatCode="_(&quot;$&quot;* #,##0.00_);_(&quot;$&quot;* \(#,##0.00\);_(&quot;$&quot;* &quot;-&quot;??_);_(@_)"/>
    </dxf>
    <dxf>
      <font>
        <b val="0"/>
        <i val="0"/>
        <strike val="0"/>
        <condense val="0"/>
        <extend val="0"/>
        <outline val="0"/>
        <shadow val="0"/>
        <u val="none"/>
        <vertAlign val="baseline"/>
        <sz val="8"/>
        <color auto="1"/>
        <name val="Arial"/>
        <scheme val="none"/>
      </font>
      <border diagonalUp="0" diagonalDown="0">
        <left style="medium">
          <color indexed="64"/>
        </left>
        <right style="thin">
          <color indexed="64"/>
        </right>
        <top style="thin">
          <color indexed="64"/>
        </top>
        <bottom style="thin">
          <color indexed="64"/>
        </bottom>
      </border>
    </dxf>
    <dxf>
      <fill>
        <patternFill patternType="solid">
          <fgColor indexed="64"/>
          <bgColor theme="6" tint="0.59999389629810485"/>
        </patternFill>
      </fill>
    </dxf>
    <dxf>
      <fill>
        <patternFill patternType="solid">
          <fgColor indexed="64"/>
          <bgColor theme="6" tint="0.59999389629810485"/>
        </patternFill>
      </fill>
    </dxf>
    <dxf>
      <numFmt numFmtId="34" formatCode="_(&quot;$&quot;* #,##0.00_);_(&quot;$&quot;* \(#,##0.00\);_(&quot;$&quot;* &quot;-&quot;??_);_(@_)"/>
    </dxf>
    <dxf>
      <font>
        <b val="0"/>
        <i val="0"/>
        <strike val="0"/>
        <condense val="0"/>
        <extend val="0"/>
        <outline val="0"/>
        <shadow val="0"/>
        <u val="none"/>
        <vertAlign val="baseline"/>
        <sz val="8"/>
        <color auto="1"/>
        <name val="Arial"/>
        <scheme val="none"/>
      </font>
      <border diagonalUp="0" diagonalDown="0">
        <left style="medium">
          <color indexed="64"/>
        </left>
        <right style="thin">
          <color indexed="64"/>
        </right>
        <top style="thin">
          <color indexed="64"/>
        </top>
        <bottom style="thin">
          <color indexed="64"/>
        </bottom>
      </border>
    </dxf>
    <dxf>
      <fill>
        <patternFill patternType="solid">
          <fgColor indexed="64"/>
          <bgColor theme="6" tint="0.59999389629810485"/>
        </patternFill>
      </fill>
    </dxf>
    <dxf>
      <fill>
        <patternFill patternType="solid">
          <fgColor indexed="64"/>
          <bgColor theme="6" tint="0.59999389629810485"/>
        </patternFill>
      </fill>
    </dxf>
    <dxf>
      <numFmt numFmtId="34" formatCode="_(&quot;$&quot;* #,##0.00_);_(&quot;$&quot;* \(#,##0.00\);_(&quot;$&quot;* &quot;-&quot;??_);_(@_)"/>
    </dxf>
    <dxf>
      <font>
        <b val="0"/>
        <i val="0"/>
        <strike val="0"/>
        <condense val="0"/>
        <extend val="0"/>
        <outline val="0"/>
        <shadow val="0"/>
        <u val="none"/>
        <vertAlign val="baseline"/>
        <sz val="8"/>
        <color auto="1"/>
        <name val="Arial"/>
        <scheme val="none"/>
      </font>
      <border diagonalUp="0" diagonalDown="0">
        <left style="medium">
          <color indexed="64"/>
        </left>
        <right style="thin">
          <color indexed="64"/>
        </right>
        <top style="thin">
          <color indexed="64"/>
        </top>
        <bottom style="thin">
          <color indexed="64"/>
        </bottom>
      </border>
    </dxf>
    <dxf>
      <fill>
        <patternFill patternType="solid">
          <fgColor indexed="64"/>
          <bgColor theme="6" tint="0.59999389629810485"/>
        </patternFill>
      </fill>
    </dxf>
    <dxf>
      <fill>
        <patternFill patternType="solid">
          <fgColor indexed="64"/>
          <bgColor theme="6" tint="0.59999389629810485"/>
        </patternFill>
      </fill>
    </dxf>
    <dxf>
      <numFmt numFmtId="34" formatCode="_(&quot;$&quot;* #,##0.00_);_(&quot;$&quot;* \(#,##0.00\);_(&quot;$&quot;* &quot;-&quot;??_);_(@_)"/>
    </dxf>
    <dxf>
      <font>
        <b val="0"/>
        <i val="0"/>
        <strike val="0"/>
        <condense val="0"/>
        <extend val="0"/>
        <outline val="0"/>
        <shadow val="0"/>
        <u val="none"/>
        <vertAlign val="baseline"/>
        <sz val="8"/>
        <color auto="1"/>
        <name val="Arial"/>
        <scheme val="none"/>
      </font>
      <numFmt numFmtId="0" formatCode="General"/>
      <border diagonalUp="0" diagonalDown="0">
        <left/>
        <right/>
        <top/>
        <bottom style="thin">
          <color indexed="64"/>
        </bottom>
      </border>
    </dxf>
    <dxf>
      <font>
        <b val="0"/>
        <i val="0"/>
        <strike val="0"/>
        <condense val="0"/>
        <extend val="0"/>
        <outline val="0"/>
        <shadow val="0"/>
        <u val="none"/>
        <vertAlign val="baseline"/>
        <sz val="8"/>
        <color auto="1"/>
        <name val="Arial"/>
        <scheme val="none"/>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8"/>
        <color auto="1"/>
        <name val="Arial"/>
        <scheme val="none"/>
      </font>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8"/>
        <color auto="1"/>
        <name val="Arial"/>
        <scheme val="none"/>
      </font>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border>
    </dxf>
    <dxf>
      <border outline="0">
        <left style="medium">
          <color indexed="64"/>
        </left>
        <right style="medium">
          <color indexed="64"/>
        </right>
        <bottom style="medium">
          <color indexed="64"/>
        </bottom>
      </border>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57150</xdr:colOff>
          <xdr:row>5</xdr:row>
          <xdr:rowOff>0</xdr:rowOff>
        </xdr:from>
        <xdr:to>
          <xdr:col>12</xdr:col>
          <xdr:colOff>38100</xdr:colOff>
          <xdr:row>6</xdr:row>
          <xdr:rowOff>47625</xdr:rowOff>
        </xdr:to>
        <xdr:sp macro="" textlink="">
          <xdr:nvSpPr>
            <xdr:cNvPr id="7169" name="Button 1" hidden="1">
              <a:extLst>
                <a:ext uri="{63B3BB69-23CF-44E3-9099-C40C66FF867C}">
                  <a14:compatExt spid="_x0000_s7169"/>
                </a:ext>
                <a:ext uri="{FF2B5EF4-FFF2-40B4-BE49-F238E27FC236}">
                  <a16:creationId xmlns:a16="http://schemas.microsoft.com/office/drawing/2014/main" id="{00000000-0008-0000-0500-0000011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Calculate Burdened Rates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76200</xdr:colOff>
          <xdr:row>7</xdr:row>
          <xdr:rowOff>85725</xdr:rowOff>
        </xdr:from>
        <xdr:to>
          <xdr:col>12</xdr:col>
          <xdr:colOff>28575</xdr:colOff>
          <xdr:row>10</xdr:row>
          <xdr:rowOff>28575</xdr:rowOff>
        </xdr:to>
        <xdr:sp macro="" textlink="">
          <xdr:nvSpPr>
            <xdr:cNvPr id="7171" name="Button 3" hidden="1">
              <a:extLst>
                <a:ext uri="{63B3BB69-23CF-44E3-9099-C40C66FF867C}">
                  <a14:compatExt spid="_x0000_s7171"/>
                </a:ext>
                <a:ext uri="{FF2B5EF4-FFF2-40B4-BE49-F238E27FC236}">
                  <a16:creationId xmlns:a16="http://schemas.microsoft.com/office/drawing/2014/main" id="{00000000-0008-0000-0500-0000031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Reset Burdened Rates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luelnk.net\bludfs001\Shared\Busmgt\Copa\Oh-bdgt\Rates\OVERHEAD\Ratemodel.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ATETEMP"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unctions.us.baesystems.com/BUDOUT/CY07/REPORTS/RATEMSTA%20FEB%202007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aeapaxrfs101v\bulk_cs062$\BUDOUT\CY07\REPORTS\RATEMSTA%20FEB%202007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RM&amp;Liq)"/>
      <sheetName val="Group Breakout"/>
      <sheetName val="Rate Model"/>
      <sheetName val="Download (Dist)"/>
      <sheetName val="Mat'l Handling"/>
      <sheetName val="Square Footage"/>
      <sheetName val="Gross Roll-up"/>
      <sheetName val="G&amp;A support"/>
      <sheetName val="Distributed CFOs"/>
      <sheetName val="OH summary"/>
      <sheetName val="Monthly Bid Rate Download"/>
      <sheetName val="OH util Macro"/>
      <sheetName val="Import"/>
      <sheetName val="Material"/>
      <sheetName val="Print"/>
      <sheetName val="DL"/>
      <sheetName val="FPDLR"/>
      <sheetName val="OASIS II BPA Rates"/>
      <sheetName val="FR PLAN VS ACTUAL"/>
      <sheetName val="Classification Guidance"/>
      <sheetName val="LCats"/>
      <sheetName val="Price Comparison"/>
      <sheetName val="Lists"/>
      <sheetName val="FAM-GRPS"/>
      <sheetName val="LCATs and Rates"/>
      <sheetName val="Years 6-10"/>
      <sheetName val="EVOIP LCAT Descriptions"/>
      <sheetName val="Data Validation"/>
      <sheetName val="Sub Li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TEMP"/>
      <sheetName val="Lists"/>
      <sheetName val="NT"/>
      <sheetName val="Indirect Rates"/>
      <sheetName val="OpPlan"/>
      <sheetName val="Lina's Input"/>
      <sheetName val="FY2003 Forward Pricing Rates"/>
      <sheetName val="Wrap"/>
      <sheetName val="Database"/>
      <sheetName val="SCODE"/>
      <sheetName val="CG DL Rates"/>
      <sheetName val="Travel"/>
      <sheetName val="COM"/>
      <sheetName val="DOS_Brief"/>
      <sheetName val="Overhead Rates"/>
      <sheetName val="Productive Hrs"/>
      <sheetName val="pmi lookup"/>
      <sheetName val="Baseline"/>
      <sheetName val="Hard pricing"/>
      <sheetName val="SUM SCH (Internal)"/>
      <sheetName val="Instructions"/>
      <sheetName val="Revenue Recognition"/>
      <sheetName val="Resource Plan - Detailed"/>
      <sheetName val="Div Exec Summary"/>
      <sheetName val="Data Pool"/>
      <sheetName val="Info"/>
      <sheetName val="Job Title Info Search"/>
      <sheetName val="MD&amp;I"/>
      <sheetName val="Lookups"/>
      <sheetName val="GFILE"/>
      <sheetName val="List"/>
      <sheetName val="Sheet2"/>
      <sheetName val="Crosswalk"/>
      <sheetName val="Data Validation"/>
      <sheetName val="CONUS Per Diem"/>
      <sheetName val="Input Menus"/>
      <sheetName val="LCAT Descriptions"/>
      <sheetName val="Level III - summary"/>
      <sheetName val="SubList"/>
      <sheetName val="Contracts Waterfall"/>
      <sheetName val="Contract Waterfall"/>
      <sheetName val="Source Data"/>
      <sheetName val="Sum of FDC"/>
      <sheetName val="Form8"/>
      <sheetName val="Form5A"/>
      <sheetName val="Form3"/>
      <sheetName val="Form7"/>
      <sheetName val="Form4"/>
      <sheetName val="Form9"/>
      <sheetName val="Form5"/>
      <sheetName val="Form10"/>
      <sheetName val="ic"/>
      <sheetName val="LCAT - CLIN 2"/>
      <sheetName val="Misc"/>
      <sheetName val="Service Types"/>
      <sheetName val="TEAMS RATES"/>
      <sheetName val="BPA Available LCATs"/>
      <sheetName val="RFP LOE"/>
      <sheetName val="Validations"/>
      <sheetName val="REF Tab"/>
      <sheetName val="Burd Meth"/>
      <sheetName val="WD Impact Proposal"/>
      <sheetName val="CLIN Reference"/>
      <sheetName val="190604 Rate Deck"/>
      <sheetName val="190730 CBA Workpaper"/>
      <sheetName val="190730 SCA Workpaper"/>
      <sheetName val="DATA INPUT"/>
      <sheetName val="Sheet1"/>
      <sheetName val="Sheet3"/>
      <sheetName val="Pick List"/>
      <sheetName val="DL Rates"/>
      <sheetName val="TI Tracking"/>
      <sheetName val="Directions"/>
      <sheetName val="Cost FBLRs to ManTech"/>
      <sheetName val="IAC MAC Labor Cat Descriptions"/>
      <sheetName val="drop-downs"/>
      <sheetName val="Labor Inpu"/>
      <sheetName val="ERI JDs"/>
      <sheetName val="Supplier Comparison"/>
      <sheetName val="OBSOLETE"/>
      <sheetName val="timecard 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refreshError="1"/>
      <sheetData sheetId="67"/>
      <sheetData sheetId="68"/>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xt data"/>
      <sheetName val="Wrap rate calculation"/>
      <sheetName val="A"/>
      <sheetName val="Sheet1"/>
      <sheetName val="SV CNT"/>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xt data"/>
      <sheetName val="Wrap rate calculation"/>
      <sheetName val="A"/>
      <sheetName val="Sheet1"/>
      <sheetName val="SV CNT"/>
    </sheetNames>
    <sheetDataSet>
      <sheetData sheetId="0"/>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6:AT263" totalsRowShown="0" headerRowBorderDxfId="80" tableBorderDxfId="79">
  <autoFilter ref="A6:AT263" xr:uid="{00000000-0009-0000-0100-000004000000}"/>
  <tableColumns count="46">
    <tableColumn id="1" xr3:uid="{00000000-0010-0000-0000-000001000000}" name="Cost Elements"/>
    <tableColumn id="2" xr3:uid="{00000000-0010-0000-0000-000002000000}" name="Government Labor Category" dataDxfId="78" dataCellStyle="Normal - Style1 2 3"/>
    <tableColumn id="3" xr3:uid="{00000000-0010-0000-0000-000003000000}" name="Proposed Labor Category" dataDxfId="77" dataCellStyle="Normal - Style1 2 3"/>
    <tableColumn id="4" xr3:uid="{00000000-0010-0000-0000-000004000000}" name="Site (K, G, T)" dataDxfId="76" dataCellStyle="Normal - Style1 2 3"/>
    <tableColumn id="5" xr3:uid="{00000000-0010-0000-0000-000005000000}" name="F/P" dataDxfId="75" dataCellStyle="Normal - Style1 2 3"/>
    <tableColumn id="6" xr3:uid="{00000000-0010-0000-0000-000006000000}" name="Minimum Direct Labor Rate" dataDxfId="74" dataCellStyle="Normal - Style1 2 3"/>
    <tableColumn id="7" xr3:uid="{00000000-0010-0000-0000-000007000000}" name="Rate | 1"/>
    <tableColumn id="8" xr3:uid="{00000000-0010-0000-0000-000008000000}" name="Hours | 1"/>
    <tableColumn id="9" xr3:uid="{00000000-0010-0000-0000-000009000000}" name="Amount | 1" dataDxfId="73"/>
    <tableColumn id="24" xr3:uid="{00000000-0010-0000-0000-000018000000}" name="Overhead on Fringe Calc. | 1" dataDxfId="72"/>
    <tableColumn id="25" xr3:uid="{00000000-0010-0000-0000-000019000000}" name="Fringe Amount | 1" dataDxfId="71"/>
    <tableColumn id="10" xr3:uid="{00000000-0010-0000-0000-00000A000000}" name="Rate | 2" dataDxfId="70" dataCellStyle="Normal - Style1 2 3"/>
    <tableColumn id="11" xr3:uid="{00000000-0010-0000-0000-00000B000000}" name="Hours | 2"/>
    <tableColumn id="12" xr3:uid="{00000000-0010-0000-0000-00000C000000}" name="Amount | 2" dataDxfId="69"/>
    <tableColumn id="37" xr3:uid="{00000000-0010-0000-0000-000025000000}" name="Overhead on Fringe Calc. | 2" dataDxfId="68"/>
    <tableColumn id="36" xr3:uid="{00000000-0010-0000-0000-000024000000}" name="Fringe Amount | 2" dataDxfId="67"/>
    <tableColumn id="13" xr3:uid="{00000000-0010-0000-0000-00000D000000}" name="Rate | 3" dataDxfId="66" dataCellStyle="Normal - Style1 2 3"/>
    <tableColumn id="14" xr3:uid="{00000000-0010-0000-0000-00000E000000}" name="Hours | 3"/>
    <tableColumn id="15" xr3:uid="{00000000-0010-0000-0000-00000F000000}" name="Amount | 3" dataDxfId="65"/>
    <tableColumn id="39" xr3:uid="{00000000-0010-0000-0000-000027000000}" name="Overhead on Fringe Calc. | 3" dataDxfId="64"/>
    <tableColumn id="38" xr3:uid="{00000000-0010-0000-0000-000026000000}" name="Fringe Amount | 3" dataDxfId="63"/>
    <tableColumn id="16" xr3:uid="{00000000-0010-0000-0000-000010000000}" name="Rate | 4" dataDxfId="62" dataCellStyle="Normal - Style1 2 3"/>
    <tableColumn id="17" xr3:uid="{00000000-0010-0000-0000-000011000000}" name="Hours | 4"/>
    <tableColumn id="18" xr3:uid="{00000000-0010-0000-0000-000012000000}" name="Amount | 4" dataDxfId="61"/>
    <tableColumn id="41" xr3:uid="{00000000-0010-0000-0000-000029000000}" name="Overhead on Fringe Calc. | 4" dataDxfId="60"/>
    <tableColumn id="40" xr3:uid="{00000000-0010-0000-0000-000028000000}" name="Fringe Amount | 4" dataDxfId="59"/>
    <tableColumn id="19" xr3:uid="{00000000-0010-0000-0000-000013000000}" name="Rate | 5" dataDxfId="58" dataCellStyle="Normal - Style1 2 3"/>
    <tableColumn id="20" xr3:uid="{00000000-0010-0000-0000-000014000000}" name="Hours | 5"/>
    <tableColumn id="21" xr3:uid="{00000000-0010-0000-0000-000015000000}" name="Amount | 5" dataDxfId="57"/>
    <tableColumn id="43" xr3:uid="{00000000-0010-0000-0000-00002B000000}" name="Overhead on Fringe Calc. | 5" dataDxfId="56"/>
    <tableColumn id="42" xr3:uid="{00000000-0010-0000-0000-00002A000000}" name="Fringe Amount | 5" dataDxfId="55"/>
    <tableColumn id="28" xr3:uid="{00000000-0010-0000-0000-00001C000000}" name="Rate | 6" dataDxfId="54" dataCellStyle="Normal - Style1 2 3"/>
    <tableColumn id="29" xr3:uid="{00000000-0010-0000-0000-00001D000000}" name="Hours | 6" dataDxfId="53" dataCellStyle="Currency"/>
    <tableColumn id="30" xr3:uid="{00000000-0010-0000-0000-00001E000000}" name="Amount | 6" dataDxfId="52" dataCellStyle="Currency"/>
    <tableColumn id="33" xr3:uid="{00000000-0010-0000-0000-000021000000}" name="Overhead on Fringe Calc. | 6" dataDxfId="51" dataCellStyle="Currency"/>
    <tableColumn id="34" xr3:uid="{00000000-0010-0000-0000-000022000000}" name="Fringe Amount | 6" dataDxfId="50" dataCellStyle="Currency"/>
    <tableColumn id="22" xr3:uid="{00000000-0010-0000-0000-000016000000}" name="Hours | Total" dataDxfId="49" dataCellStyle="Comma"/>
    <tableColumn id="23" xr3:uid="{00000000-0010-0000-0000-000017000000}" name="Amount | Total" dataDxfId="48" dataCellStyle="Currency"/>
    <tableColumn id="26" xr3:uid="{00000000-0010-0000-0000-00001A000000}" name="Row" dataDxfId="47"/>
    <tableColumn id="31" xr3:uid="{00000000-0010-0000-0000-00001F000000}" name="Column1"/>
    <tableColumn id="32" xr3:uid="{00000000-0010-0000-0000-000020000000}" name="Column2"/>
    <tableColumn id="35" xr3:uid="{00000000-0010-0000-0000-000023000000}" name="Column3"/>
    <tableColumn id="44" xr3:uid="{00000000-0010-0000-0000-00002C000000}" name="Column4"/>
    <tableColumn id="45" xr3:uid="{00000000-0010-0000-0000-00002D000000}" name="Column5"/>
    <tableColumn id="27" xr3:uid="{00000000-0010-0000-0000-00001B000000}" name="Column6"/>
    <tableColumn id="46" xr3:uid="{00000000-0010-0000-0000-00002E000000}" name="Column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2:M46" totalsRowShown="0" headerRowDxfId="46" dataDxfId="45" tableBorderDxfId="44">
  <autoFilter ref="A2:M46" xr:uid="{00000000-0009-0000-0100-000006000000}"/>
  <tableColumns count="13">
    <tableColumn id="1" xr3:uid="{00000000-0010-0000-0100-000001000000}" name="Labor Category " dataDxfId="43"/>
    <tableColumn id="2" xr3:uid="{00000000-0010-0000-0100-000002000000}" name="Site" dataDxfId="42"/>
    <tableColumn id="13" xr3:uid="{00000000-0010-0000-0100-00000D000000}" name="Site Abbreviation" dataDxfId="41"/>
    <tableColumn id="3" xr3:uid="{00000000-0010-0000-0100-000003000000}" name="Base Year (Specified in RFTOP)" dataDxfId="40"/>
    <tableColumn id="4" xr3:uid="{00000000-0010-0000-0100-000004000000}" name="Base Year (Proposed)" dataDxfId="39"/>
    <tableColumn id="5" xr3:uid="{00000000-0010-0000-0100-000005000000}" name="Year 2 (Specified in RFTOP)" dataDxfId="38"/>
    <tableColumn id="6" xr3:uid="{00000000-0010-0000-0100-000006000000}" name="Year 2 (Proposed)" dataDxfId="37"/>
    <tableColumn id="7" xr3:uid="{00000000-0010-0000-0100-000007000000}" name="Year 3 (Specified in RFTOP)" dataDxfId="36"/>
    <tableColumn id="8" xr3:uid="{00000000-0010-0000-0100-000008000000}" name="Year 3 (Proposed)" dataDxfId="35"/>
    <tableColumn id="9" xr3:uid="{00000000-0010-0000-0100-000009000000}" name="Year 4 (Specified in RFTOP)" dataDxfId="34"/>
    <tableColumn id="10" xr3:uid="{00000000-0010-0000-0100-00000A000000}" name="Year 4 (Proposed)" dataDxfId="33"/>
    <tableColumn id="11" xr3:uid="{00000000-0010-0000-0100-00000B000000}" name="Year 5 (Specified in RFTOP)2" dataDxfId="32"/>
    <tableColumn id="12" xr3:uid="{00000000-0010-0000-0100-00000C000000}" name="Year 5 (Proposed)" dataDxfId="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I34" totalsRowShown="0" headerRowDxfId="30" dataDxfId="29" tableBorderDxfId="28" dataCellStyle="Normal_DO NOT USE">
  <autoFilter ref="A1:I34" xr:uid="{00000000-0009-0000-0100-000001000000}"/>
  <sortState xmlns:xlrd2="http://schemas.microsoft.com/office/spreadsheetml/2017/richdata2" ref="A2:A32">
    <sortCondition ref="A1:A33"/>
  </sortState>
  <tableColumns count="9">
    <tableColumn id="4" xr3:uid="{00000000-0010-0000-0200-000004000000}" name="N" dataDxfId="27" dataCellStyle="Normal_DO NOT USE"/>
    <tableColumn id="1" xr3:uid="{00000000-0010-0000-0200-000001000000}" name="Labor Categories" dataDxfId="26" dataCellStyle="Normal_DO NOT USE"/>
    <tableColumn id="3" xr3:uid="{00000000-0010-0000-0200-000003000000}" name="Minimum Direct Labor Rates " dataDxfId="25" dataCellStyle="Normal_DO NOT USE"/>
    <tableColumn id="5" xr3:uid="{00000000-0010-0000-0200-000005000000}" name="Column1" dataDxfId="24" dataCellStyle="Normal_DO NOT USE"/>
    <tableColumn id="2" xr3:uid="{00000000-0010-0000-0200-000002000000}" name="Column2" dataDxfId="23" dataCellStyle="Normal_DO NOT USE"/>
    <tableColumn id="6" xr3:uid="{00000000-0010-0000-0200-000006000000}" name="Column3" dataDxfId="22" dataCellStyle="Normal_DO NOT USE"/>
    <tableColumn id="7" xr3:uid="{00000000-0010-0000-0200-000007000000}" name="Column4" dataDxfId="21" dataCellStyle="Normal_DO NOT USE"/>
    <tableColumn id="8" xr3:uid="{00000000-0010-0000-0200-000008000000}" name="Column5" dataDxfId="20" dataCellStyle="Normal_DO NOT USE"/>
    <tableColumn id="9" xr3:uid="{00000000-0010-0000-0200-000009000000}" name="Column6" dataDxfId="19"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K1:K4" totalsRowShown="0" headerRowDxfId="18" dataDxfId="17">
  <autoFilter ref="K1:K4" xr:uid="{00000000-0009-0000-0100-000002000000}"/>
  <tableColumns count="1">
    <tableColumn id="1" xr3:uid="{00000000-0010-0000-0300-000001000000}" name="Site" dataDxfId="1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L1:L3" totalsRowShown="0" headerRowDxfId="15" dataDxfId="14">
  <autoFilter ref="L1:L3" xr:uid="{00000000-0009-0000-0100-000003000000}"/>
  <tableColumns count="1">
    <tableColumn id="1" xr3:uid="{00000000-0010-0000-0400-000001000000}" name="F or P" dataDxf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vmlDrawing" Target="../drawings/vmlDrawing2.vml"/><Relationship Id="rId7"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1"/>
  <sheetViews>
    <sheetView topLeftCell="A33" zoomScale="90" zoomScaleNormal="90" workbookViewId="0">
      <selection activeCell="G6" sqref="G6:G7"/>
    </sheetView>
  </sheetViews>
  <sheetFormatPr defaultColWidth="8.7109375" defaultRowHeight="12.75" x14ac:dyDescent="0.2"/>
  <cols>
    <col min="1" max="1" width="3.28515625" style="1" bestFit="1" customWidth="1"/>
    <col min="2" max="2" width="115.140625" style="1" customWidth="1"/>
    <col min="3" max="3" width="24.5703125" style="1" customWidth="1"/>
    <col min="4" max="4" width="46.140625" style="1" customWidth="1"/>
    <col min="5" max="16384" width="8.7109375" style="1"/>
  </cols>
  <sheetData>
    <row r="1" spans="1:4" ht="15.75" x14ac:dyDescent="0.2">
      <c r="A1" s="290"/>
      <c r="B1" s="368" t="s">
        <v>267</v>
      </c>
      <c r="C1" s="369"/>
      <c r="D1" s="370"/>
    </row>
    <row r="2" spans="1:4" ht="15.75" x14ac:dyDescent="0.2">
      <c r="A2" s="291"/>
      <c r="B2" s="371" t="s">
        <v>156</v>
      </c>
      <c r="C2" s="360"/>
      <c r="D2" s="361"/>
    </row>
    <row r="3" spans="1:4" ht="15.75" x14ac:dyDescent="0.25">
      <c r="A3" s="291"/>
      <c r="B3" s="372" t="s">
        <v>157</v>
      </c>
      <c r="C3" s="373"/>
      <c r="D3" s="374"/>
    </row>
    <row r="4" spans="1:4" ht="28.5" customHeight="1" x14ac:dyDescent="0.2">
      <c r="A4" s="291"/>
      <c r="B4" s="375" t="s">
        <v>204</v>
      </c>
      <c r="C4" s="362"/>
      <c r="D4" s="363"/>
    </row>
    <row r="5" spans="1:4" ht="7.5" customHeight="1" x14ac:dyDescent="0.2">
      <c r="A5" s="291"/>
      <c r="B5" s="376"/>
      <c r="C5" s="377"/>
      <c r="D5" s="378"/>
    </row>
    <row r="6" spans="1:4" ht="30" customHeight="1" x14ac:dyDescent="0.2">
      <c r="A6" s="291"/>
      <c r="B6" s="376" t="s">
        <v>205</v>
      </c>
      <c r="C6" s="377"/>
      <c r="D6" s="378"/>
    </row>
    <row r="7" spans="1:4" ht="15.75" x14ac:dyDescent="0.2">
      <c r="A7" s="291"/>
      <c r="B7" s="376" t="s">
        <v>102</v>
      </c>
      <c r="C7" s="377"/>
      <c r="D7" s="378"/>
    </row>
    <row r="8" spans="1:4" ht="16.5" thickBot="1" x14ac:dyDescent="0.25">
      <c r="A8" s="291"/>
      <c r="B8" s="379" t="s">
        <v>206</v>
      </c>
      <c r="C8" s="380"/>
      <c r="D8" s="381"/>
    </row>
    <row r="9" spans="1:4" ht="16.5" thickBot="1" x14ac:dyDescent="0.3">
      <c r="A9" s="291"/>
      <c r="B9" s="292"/>
      <c r="C9" s="293"/>
      <c r="D9" s="293"/>
    </row>
    <row r="10" spans="1:4" ht="18" customHeight="1" x14ac:dyDescent="0.2">
      <c r="A10" s="368" t="s">
        <v>104</v>
      </c>
      <c r="B10" s="369"/>
      <c r="C10" s="369"/>
      <c r="D10" s="370"/>
    </row>
    <row r="11" spans="1:4" ht="15.75" x14ac:dyDescent="0.25">
      <c r="A11" s="294"/>
      <c r="B11" s="302"/>
      <c r="C11" s="295" t="s">
        <v>169</v>
      </c>
      <c r="D11" s="296" t="s">
        <v>170</v>
      </c>
    </row>
    <row r="12" spans="1:4" ht="38.25" customHeight="1" x14ac:dyDescent="0.25">
      <c r="A12" s="297">
        <v>1</v>
      </c>
      <c r="B12" s="298" t="s">
        <v>207</v>
      </c>
      <c r="C12" s="299" t="s">
        <v>174</v>
      </c>
      <c r="D12" s="300" t="s">
        <v>186</v>
      </c>
    </row>
    <row r="13" spans="1:4" ht="27" customHeight="1" x14ac:dyDescent="0.25">
      <c r="A13" s="301"/>
      <c r="B13" s="364" t="s">
        <v>164</v>
      </c>
      <c r="C13" s="364"/>
      <c r="D13" s="365"/>
    </row>
    <row r="14" spans="1:4" ht="15" customHeight="1" x14ac:dyDescent="0.2">
      <c r="A14" s="297">
        <v>2</v>
      </c>
      <c r="B14" s="303" t="s">
        <v>155</v>
      </c>
      <c r="C14" s="304" t="s">
        <v>171</v>
      </c>
      <c r="D14" s="305" t="s">
        <v>152</v>
      </c>
    </row>
    <row r="15" spans="1:4" ht="15" customHeight="1" x14ac:dyDescent="0.2">
      <c r="A15" s="297">
        <v>3</v>
      </c>
      <c r="B15" s="303" t="s">
        <v>217</v>
      </c>
      <c r="C15" s="304" t="s">
        <v>171</v>
      </c>
      <c r="D15" s="305" t="s">
        <v>152</v>
      </c>
    </row>
    <row r="16" spans="1:4" ht="30.75" customHeight="1" x14ac:dyDescent="0.2">
      <c r="A16" s="297">
        <v>4</v>
      </c>
      <c r="B16" s="303" t="s">
        <v>208</v>
      </c>
      <c r="C16" s="304" t="s">
        <v>172</v>
      </c>
      <c r="D16" s="305" t="s">
        <v>152</v>
      </c>
    </row>
    <row r="17" spans="1:4" ht="63" x14ac:dyDescent="0.2">
      <c r="A17" s="297">
        <v>5</v>
      </c>
      <c r="B17" s="303" t="s">
        <v>218</v>
      </c>
      <c r="C17" s="304" t="s">
        <v>173</v>
      </c>
      <c r="D17" s="305" t="s">
        <v>152</v>
      </c>
    </row>
    <row r="18" spans="1:4" ht="63" x14ac:dyDescent="0.2">
      <c r="A18" s="297">
        <v>6</v>
      </c>
      <c r="B18" s="298" t="s">
        <v>232</v>
      </c>
      <c r="C18" s="304" t="s">
        <v>174</v>
      </c>
      <c r="D18" s="305" t="s">
        <v>152</v>
      </c>
    </row>
    <row r="19" spans="1:4" ht="31.5" x14ac:dyDescent="0.2">
      <c r="A19" s="297">
        <v>7</v>
      </c>
      <c r="B19" s="306" t="s">
        <v>158</v>
      </c>
      <c r="C19" s="304" t="s">
        <v>175</v>
      </c>
      <c r="D19" s="305" t="s">
        <v>152</v>
      </c>
    </row>
    <row r="20" spans="1:4" ht="63" x14ac:dyDescent="0.2">
      <c r="A20" s="297">
        <v>8</v>
      </c>
      <c r="B20" s="306" t="s">
        <v>176</v>
      </c>
      <c r="C20" s="304" t="s">
        <v>68</v>
      </c>
      <c r="D20" s="305" t="s">
        <v>180</v>
      </c>
    </row>
    <row r="21" spans="1:4" ht="15.75" x14ac:dyDescent="0.2">
      <c r="A21" s="297">
        <v>9</v>
      </c>
      <c r="B21" s="306" t="s">
        <v>159</v>
      </c>
      <c r="C21" s="304" t="s">
        <v>177</v>
      </c>
      <c r="D21" s="305" t="s">
        <v>178</v>
      </c>
    </row>
    <row r="22" spans="1:4" ht="47.25" x14ac:dyDescent="0.2">
      <c r="A22" s="297">
        <v>10</v>
      </c>
      <c r="B22" s="298" t="s">
        <v>210</v>
      </c>
      <c r="C22" s="304" t="s">
        <v>179</v>
      </c>
      <c r="D22" s="305" t="s">
        <v>185</v>
      </c>
    </row>
    <row r="23" spans="1:4" ht="31.5" x14ac:dyDescent="0.2">
      <c r="A23" s="297">
        <v>11</v>
      </c>
      <c r="B23" s="298" t="s">
        <v>187</v>
      </c>
      <c r="C23" s="304" t="s">
        <v>152</v>
      </c>
      <c r="D23" s="305" t="s">
        <v>178</v>
      </c>
    </row>
    <row r="24" spans="1:4" ht="31.5" x14ac:dyDescent="0.2">
      <c r="A24" s="297">
        <v>12</v>
      </c>
      <c r="B24" s="303" t="s">
        <v>211</v>
      </c>
      <c r="C24" s="304" t="s">
        <v>181</v>
      </c>
      <c r="D24" s="305" t="s">
        <v>182</v>
      </c>
    </row>
    <row r="25" spans="1:4" ht="42" customHeight="1" x14ac:dyDescent="0.2">
      <c r="A25" s="297">
        <v>13</v>
      </c>
      <c r="B25" s="303" t="s">
        <v>168</v>
      </c>
      <c r="C25" s="304" t="s">
        <v>67</v>
      </c>
      <c r="D25" s="305" t="s">
        <v>152</v>
      </c>
    </row>
    <row r="26" spans="1:4" ht="66" customHeight="1" x14ac:dyDescent="0.2">
      <c r="A26" s="297">
        <v>14</v>
      </c>
      <c r="B26" s="307" t="s">
        <v>190</v>
      </c>
      <c r="C26" s="304"/>
      <c r="D26" s="305"/>
    </row>
    <row r="27" spans="1:4" ht="50.25" customHeight="1" x14ac:dyDescent="0.2">
      <c r="A27" s="297">
        <v>15</v>
      </c>
      <c r="B27" s="298" t="s">
        <v>160</v>
      </c>
      <c r="C27" s="304" t="s">
        <v>183</v>
      </c>
      <c r="D27" s="305" t="s">
        <v>184</v>
      </c>
    </row>
    <row r="28" spans="1:4" ht="51.75" customHeight="1" x14ac:dyDescent="0.2">
      <c r="A28" s="297">
        <v>16</v>
      </c>
      <c r="B28" s="303" t="s">
        <v>162</v>
      </c>
      <c r="C28" s="304" t="s">
        <v>183</v>
      </c>
      <c r="D28" s="305" t="s">
        <v>184</v>
      </c>
    </row>
    <row r="29" spans="1:4" ht="227.25" customHeight="1" x14ac:dyDescent="0.2">
      <c r="A29" s="297">
        <v>17</v>
      </c>
      <c r="B29" s="325" t="s">
        <v>243</v>
      </c>
      <c r="C29" s="304" t="s">
        <v>183</v>
      </c>
      <c r="D29" s="305" t="s">
        <v>184</v>
      </c>
    </row>
    <row r="30" spans="1:4" ht="51.75" customHeight="1" x14ac:dyDescent="0.2">
      <c r="A30" s="297"/>
      <c r="B30" s="325"/>
      <c r="C30" s="326"/>
      <c r="D30" s="327"/>
    </row>
    <row r="31" spans="1:4" ht="39.75" customHeight="1" x14ac:dyDescent="0.25">
      <c r="A31" s="297"/>
      <c r="B31" s="366" t="s">
        <v>212</v>
      </c>
      <c r="C31" s="366"/>
      <c r="D31" s="367"/>
    </row>
    <row r="32" spans="1:4" ht="15.75" x14ac:dyDescent="0.2">
      <c r="A32" s="308">
        <v>18</v>
      </c>
      <c r="B32" s="303" t="s">
        <v>231</v>
      </c>
      <c r="C32" s="304" t="s">
        <v>152</v>
      </c>
      <c r="D32" s="305" t="s">
        <v>152</v>
      </c>
    </row>
    <row r="33" spans="1:4" ht="15.75" x14ac:dyDescent="0.25">
      <c r="A33" s="309"/>
      <c r="B33" s="310"/>
      <c r="C33" s="293"/>
      <c r="D33" s="293"/>
    </row>
    <row r="34" spans="1:4" ht="16.5" customHeight="1" thickBot="1" x14ac:dyDescent="0.3">
      <c r="A34" s="309"/>
      <c r="B34" s="311"/>
      <c r="C34" s="293"/>
      <c r="D34" s="293"/>
    </row>
    <row r="35" spans="1:4" ht="14.25" customHeight="1" x14ac:dyDescent="0.2">
      <c r="A35" s="368" t="s">
        <v>103</v>
      </c>
      <c r="B35" s="369"/>
      <c r="C35" s="369"/>
      <c r="D35" s="370"/>
    </row>
    <row r="36" spans="1:4" ht="15.75" x14ac:dyDescent="0.2">
      <c r="A36" s="294"/>
      <c r="B36" s="360" t="s">
        <v>156</v>
      </c>
      <c r="C36" s="360"/>
      <c r="D36" s="361"/>
    </row>
    <row r="37" spans="1:4" ht="15.75" x14ac:dyDescent="0.25">
      <c r="A37" s="294"/>
      <c r="B37" s="373" t="s">
        <v>157</v>
      </c>
      <c r="C37" s="373"/>
      <c r="D37" s="374"/>
    </row>
    <row r="38" spans="1:4" ht="15" customHeight="1" x14ac:dyDescent="0.2">
      <c r="A38" s="294"/>
      <c r="B38" s="362" t="s">
        <v>163</v>
      </c>
      <c r="C38" s="362"/>
      <c r="D38" s="363"/>
    </row>
    <row r="39" spans="1:4" ht="59.25" customHeight="1" x14ac:dyDescent="0.2">
      <c r="A39" s="294"/>
      <c r="B39" s="312"/>
      <c r="C39" s="313" t="s">
        <v>169</v>
      </c>
      <c r="D39" s="314" t="s">
        <v>170</v>
      </c>
    </row>
    <row r="40" spans="1:4" ht="15.75" x14ac:dyDescent="0.2">
      <c r="A40" s="294"/>
      <c r="B40" s="364" t="s">
        <v>213</v>
      </c>
      <c r="C40" s="364"/>
      <c r="D40" s="365"/>
    </row>
    <row r="41" spans="1:4" ht="31.5" x14ac:dyDescent="0.25">
      <c r="A41" s="297">
        <v>1</v>
      </c>
      <c r="B41" s="298" t="s">
        <v>207</v>
      </c>
      <c r="C41" s="299" t="s">
        <v>174</v>
      </c>
      <c r="D41" s="300" t="s">
        <v>186</v>
      </c>
    </row>
    <row r="42" spans="1:4" ht="15.75" x14ac:dyDescent="0.2">
      <c r="A42" s="315"/>
      <c r="B42" s="364" t="s">
        <v>165</v>
      </c>
      <c r="C42" s="364"/>
      <c r="D42" s="365"/>
    </row>
    <row r="43" spans="1:4" ht="15.75" x14ac:dyDescent="0.2">
      <c r="A43" s="297">
        <v>2</v>
      </c>
      <c r="B43" s="303" t="s">
        <v>155</v>
      </c>
      <c r="C43" s="304" t="s">
        <v>171</v>
      </c>
      <c r="D43" s="305" t="s">
        <v>152</v>
      </c>
    </row>
    <row r="44" spans="1:4" ht="63" x14ac:dyDescent="0.2">
      <c r="A44" s="297">
        <v>3</v>
      </c>
      <c r="B44" s="303" t="s">
        <v>214</v>
      </c>
      <c r="C44" s="304" t="s">
        <v>171</v>
      </c>
      <c r="D44" s="305" t="s">
        <v>152</v>
      </c>
    </row>
    <row r="45" spans="1:4" ht="47.25" x14ac:dyDescent="0.2">
      <c r="A45" s="297">
        <v>4</v>
      </c>
      <c r="B45" s="303" t="s">
        <v>166</v>
      </c>
      <c r="C45" s="304" t="s">
        <v>172</v>
      </c>
      <c r="D45" s="305" t="s">
        <v>152</v>
      </c>
    </row>
    <row r="46" spans="1:4" ht="63" x14ac:dyDescent="0.2">
      <c r="A46" s="297">
        <v>5</v>
      </c>
      <c r="B46" s="303" t="s">
        <v>215</v>
      </c>
      <c r="C46" s="304" t="s">
        <v>173</v>
      </c>
      <c r="D46" s="305" t="s">
        <v>152</v>
      </c>
    </row>
    <row r="47" spans="1:4" ht="58.5" x14ac:dyDescent="0.2">
      <c r="A47" s="297">
        <v>6</v>
      </c>
      <c r="B47" s="289" t="s">
        <v>209</v>
      </c>
      <c r="C47" s="304" t="s">
        <v>174</v>
      </c>
      <c r="D47" s="305" t="s">
        <v>152</v>
      </c>
    </row>
    <row r="48" spans="1:4" ht="31.5" x14ac:dyDescent="0.2">
      <c r="A48" s="297">
        <v>7</v>
      </c>
      <c r="B48" s="306" t="s">
        <v>158</v>
      </c>
      <c r="C48" s="304" t="s">
        <v>175</v>
      </c>
      <c r="D48" s="305" t="s">
        <v>152</v>
      </c>
    </row>
    <row r="49" spans="1:4" ht="63" x14ac:dyDescent="0.2">
      <c r="A49" s="297">
        <v>8</v>
      </c>
      <c r="B49" s="306" t="s">
        <v>167</v>
      </c>
      <c r="C49" s="304" t="s">
        <v>68</v>
      </c>
      <c r="D49" s="305" t="s">
        <v>180</v>
      </c>
    </row>
    <row r="50" spans="1:4" ht="15.75" x14ac:dyDescent="0.2">
      <c r="A50" s="297">
        <v>9</v>
      </c>
      <c r="B50" s="306" t="s">
        <v>159</v>
      </c>
      <c r="C50" s="304" t="s">
        <v>177</v>
      </c>
      <c r="D50" s="305" t="s">
        <v>178</v>
      </c>
    </row>
    <row r="51" spans="1:4" ht="47.25" x14ac:dyDescent="0.2">
      <c r="A51" s="297">
        <v>10</v>
      </c>
      <c r="B51" s="298" t="s">
        <v>210</v>
      </c>
      <c r="C51" s="304" t="s">
        <v>179</v>
      </c>
      <c r="D51" s="305" t="s">
        <v>185</v>
      </c>
    </row>
    <row r="52" spans="1:4" ht="31.5" x14ac:dyDescent="0.2">
      <c r="A52" s="294">
        <v>11</v>
      </c>
      <c r="B52" s="298" t="s">
        <v>187</v>
      </c>
      <c r="C52" s="304" t="s">
        <v>152</v>
      </c>
      <c r="D52" s="305" t="s">
        <v>178</v>
      </c>
    </row>
    <row r="53" spans="1:4" ht="15.75" x14ac:dyDescent="0.25">
      <c r="A53" s="297"/>
      <c r="B53" s="366" t="s">
        <v>212</v>
      </c>
      <c r="C53" s="366"/>
      <c r="D53" s="367"/>
    </row>
    <row r="54" spans="1:4" ht="15.75" x14ac:dyDescent="0.2">
      <c r="A54" s="308">
        <v>12</v>
      </c>
      <c r="B54" s="303" t="s">
        <v>231</v>
      </c>
      <c r="C54" s="304" t="s">
        <v>152</v>
      </c>
      <c r="D54" s="305" t="s">
        <v>152</v>
      </c>
    </row>
    <row r="55" spans="1:4" ht="14.25" x14ac:dyDescent="0.2">
      <c r="A55" s="146"/>
      <c r="B55" s="145"/>
    </row>
    <row r="56" spans="1:4" ht="14.25" x14ac:dyDescent="0.2">
      <c r="A56" s="146"/>
      <c r="B56" s="145"/>
    </row>
    <row r="57" spans="1:4" ht="14.25" x14ac:dyDescent="0.2">
      <c r="A57" s="146"/>
      <c r="B57" s="145"/>
    </row>
    <row r="58" spans="1:4" ht="14.25" x14ac:dyDescent="0.2">
      <c r="A58" s="146"/>
      <c r="B58" s="145"/>
    </row>
    <row r="59" spans="1:4" ht="14.25" x14ac:dyDescent="0.2">
      <c r="A59" s="146"/>
      <c r="B59" s="145"/>
    </row>
    <row r="60" spans="1:4" ht="14.25" x14ac:dyDescent="0.2">
      <c r="A60" s="146"/>
      <c r="B60" s="145"/>
    </row>
    <row r="61" spans="1:4" ht="14.25" x14ac:dyDescent="0.2">
      <c r="A61" s="146"/>
      <c r="B61" s="145"/>
    </row>
    <row r="62" spans="1:4" ht="14.25" x14ac:dyDescent="0.2">
      <c r="A62" s="146"/>
      <c r="B62" s="145"/>
    </row>
    <row r="63" spans="1:4" ht="14.25" x14ac:dyDescent="0.2">
      <c r="A63" s="146"/>
      <c r="B63" s="147"/>
    </row>
    <row r="64" spans="1:4" ht="14.25" x14ac:dyDescent="0.2">
      <c r="A64" s="148"/>
      <c r="B64" s="147"/>
    </row>
    <row r="65" spans="1:2" ht="14.25" x14ac:dyDescent="0.2">
      <c r="A65" s="148"/>
      <c r="B65" s="145"/>
    </row>
    <row r="66" spans="1:2" ht="14.25" x14ac:dyDescent="0.2">
      <c r="A66" s="148"/>
      <c r="B66" s="145"/>
    </row>
    <row r="67" spans="1:2" ht="14.25" x14ac:dyDescent="0.2">
      <c r="A67" s="146"/>
      <c r="B67" s="147"/>
    </row>
    <row r="68" spans="1:2" ht="14.25" x14ac:dyDescent="0.2">
      <c r="A68" s="146"/>
      <c r="B68" s="145"/>
    </row>
    <row r="69" spans="1:2" ht="14.25" x14ac:dyDescent="0.2">
      <c r="A69" s="146"/>
      <c r="B69" s="145"/>
    </row>
    <row r="70" spans="1:2" ht="14.25" x14ac:dyDescent="0.2">
      <c r="A70" s="146"/>
      <c r="B70" s="145"/>
    </row>
    <row r="71" spans="1:2" ht="14.25" x14ac:dyDescent="0.2">
      <c r="A71" s="146"/>
      <c r="B71" s="145"/>
    </row>
  </sheetData>
  <mergeCells count="18">
    <mergeCell ref="B13:D13"/>
    <mergeCell ref="A35:D35"/>
    <mergeCell ref="B36:D36"/>
    <mergeCell ref="B38:D38"/>
    <mergeCell ref="B42:D42"/>
    <mergeCell ref="B53:D53"/>
    <mergeCell ref="B1:D1"/>
    <mergeCell ref="B2:D2"/>
    <mergeCell ref="B3:D3"/>
    <mergeCell ref="B4:D4"/>
    <mergeCell ref="B5:D5"/>
    <mergeCell ref="B31:D31"/>
    <mergeCell ref="B40:D40"/>
    <mergeCell ref="B37:D37"/>
    <mergeCell ref="B6:D6"/>
    <mergeCell ref="B7:D7"/>
    <mergeCell ref="B8:D8"/>
    <mergeCell ref="A10:D10"/>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B1:I32"/>
  <sheetViews>
    <sheetView showGridLines="0" zoomScaleNormal="100" zoomScaleSheetLayoutView="115" zoomScalePageLayoutView="85" workbookViewId="0">
      <selection activeCell="P12" sqref="P12"/>
    </sheetView>
  </sheetViews>
  <sheetFormatPr defaultRowHeight="12.75" x14ac:dyDescent="0.2"/>
  <cols>
    <col min="1" max="1" width="2.28515625" style="86" customWidth="1"/>
    <col min="2" max="2" width="22.85546875" style="86" bestFit="1" customWidth="1"/>
    <col min="3" max="3" width="25.140625" style="86" customWidth="1"/>
    <col min="4" max="4" width="10.42578125" style="86" customWidth="1"/>
    <col min="5" max="6" width="9.85546875" style="86" customWidth="1"/>
    <col min="7" max="7" width="10" style="86" customWidth="1"/>
    <col min="8" max="8" width="10.5703125" style="86" customWidth="1"/>
    <col min="9" max="9" width="10.7109375" style="86" customWidth="1"/>
    <col min="10" max="16384" width="9.140625" style="86"/>
  </cols>
  <sheetData>
    <row r="1" spans="2:9" x14ac:dyDescent="0.2">
      <c r="B1" s="85" t="s">
        <v>52</v>
      </c>
    </row>
    <row r="2" spans="2:9" x14ac:dyDescent="0.2">
      <c r="B2" s="87" t="s">
        <v>81</v>
      </c>
    </row>
    <row r="3" spans="2:9" ht="3.75" customHeight="1" x14ac:dyDescent="0.2"/>
    <row r="4" spans="2:9" ht="17.25" customHeight="1" x14ac:dyDescent="0.2">
      <c r="B4" s="103"/>
      <c r="C4" s="104"/>
      <c r="D4" s="105" t="s">
        <v>53</v>
      </c>
      <c r="E4" s="105"/>
      <c r="F4" s="105"/>
      <c r="G4" s="105"/>
      <c r="H4" s="105"/>
      <c r="I4" s="105"/>
    </row>
    <row r="5" spans="2:9" ht="35.25" customHeight="1" x14ac:dyDescent="0.2">
      <c r="B5" s="106"/>
      <c r="C5" s="106" t="s">
        <v>54</v>
      </c>
      <c r="D5" s="106" t="s">
        <v>198</v>
      </c>
      <c r="E5" s="106" t="s">
        <v>199</v>
      </c>
      <c r="F5" s="106" t="s">
        <v>200</v>
      </c>
      <c r="G5" s="106" t="s">
        <v>201</v>
      </c>
      <c r="H5" s="106" t="s">
        <v>202</v>
      </c>
      <c r="I5" s="106" t="s">
        <v>203</v>
      </c>
    </row>
    <row r="6" spans="2:9" x14ac:dyDescent="0.2">
      <c r="B6" s="107" t="s">
        <v>51</v>
      </c>
      <c r="C6" s="107"/>
      <c r="D6" s="108"/>
      <c r="E6" s="108"/>
      <c r="F6" s="108"/>
      <c r="G6" s="108"/>
      <c r="H6" s="108"/>
      <c r="I6" s="108"/>
    </row>
    <row r="7" spans="2:9" x14ac:dyDescent="0.2">
      <c r="B7" s="109" t="s">
        <v>67</v>
      </c>
      <c r="C7" s="110" t="s">
        <v>73</v>
      </c>
      <c r="D7" s="111"/>
      <c r="E7" s="111"/>
      <c r="F7" s="111"/>
      <c r="G7" s="111"/>
      <c r="H7" s="111"/>
      <c r="I7" s="111"/>
    </row>
    <row r="8" spans="2:9" x14ac:dyDescent="0.2">
      <c r="B8" s="109" t="s">
        <v>69</v>
      </c>
      <c r="C8" s="110" t="s">
        <v>74</v>
      </c>
      <c r="D8" s="111"/>
      <c r="E8" s="111"/>
      <c r="F8" s="111"/>
      <c r="G8" s="111"/>
      <c r="H8" s="111"/>
      <c r="I8" s="111"/>
    </row>
    <row r="9" spans="2:9" x14ac:dyDescent="0.2">
      <c r="B9" s="112"/>
      <c r="C9" s="113"/>
      <c r="D9" s="114"/>
      <c r="E9" s="114"/>
      <c r="F9" s="114"/>
      <c r="G9" s="114"/>
      <c r="H9" s="114"/>
      <c r="I9" s="114"/>
    </row>
    <row r="10" spans="2:9" x14ac:dyDescent="0.2">
      <c r="B10" s="113" t="s">
        <v>195</v>
      </c>
      <c r="C10" s="113"/>
      <c r="D10" s="114"/>
      <c r="E10" s="114"/>
      <c r="F10" s="114"/>
      <c r="G10" s="114"/>
      <c r="H10" s="114"/>
      <c r="I10" s="114"/>
    </row>
    <row r="11" spans="2:9" x14ac:dyDescent="0.2">
      <c r="B11" s="109" t="s">
        <v>75</v>
      </c>
      <c r="C11" s="110" t="s">
        <v>76</v>
      </c>
      <c r="D11" s="111"/>
      <c r="E11" s="111"/>
      <c r="F11" s="111"/>
      <c r="G11" s="111"/>
      <c r="H11" s="111"/>
      <c r="I11" s="111"/>
    </row>
    <row r="12" spans="2:9" x14ac:dyDescent="0.2">
      <c r="B12" s="109" t="s">
        <v>68</v>
      </c>
      <c r="C12" s="110" t="s">
        <v>77</v>
      </c>
      <c r="D12" s="111"/>
      <c r="E12" s="111"/>
      <c r="F12" s="111"/>
      <c r="G12" s="111"/>
      <c r="H12" s="111"/>
      <c r="I12" s="111"/>
    </row>
    <row r="13" spans="2:9" x14ac:dyDescent="0.2">
      <c r="B13" s="112" t="s">
        <v>79</v>
      </c>
      <c r="C13" s="113" t="s">
        <v>196</v>
      </c>
      <c r="D13" s="111"/>
      <c r="E13" s="111"/>
      <c r="F13" s="111"/>
      <c r="G13" s="111"/>
      <c r="H13" s="111"/>
      <c r="I13" s="111"/>
    </row>
    <row r="14" spans="2:9" x14ac:dyDescent="0.2">
      <c r="B14" s="113" t="s">
        <v>22</v>
      </c>
      <c r="C14" s="113"/>
      <c r="D14" s="114"/>
      <c r="E14" s="114"/>
      <c r="F14" s="114"/>
      <c r="G14" s="114"/>
      <c r="H14" s="114"/>
      <c r="I14" s="114"/>
    </row>
    <row r="15" spans="2:9" x14ac:dyDescent="0.2">
      <c r="B15" s="115"/>
      <c r="C15" s="110" t="s">
        <v>22</v>
      </c>
      <c r="D15" s="111"/>
      <c r="E15" s="111"/>
      <c r="F15" s="111"/>
      <c r="G15" s="111"/>
      <c r="H15" s="111"/>
      <c r="I15" s="111"/>
    </row>
    <row r="16" spans="2:9" x14ac:dyDescent="0.2">
      <c r="B16" s="115"/>
      <c r="C16" s="110" t="s">
        <v>161</v>
      </c>
      <c r="D16" s="111"/>
      <c r="E16" s="111"/>
      <c r="F16" s="111"/>
      <c r="G16" s="111"/>
      <c r="H16" s="111"/>
      <c r="I16" s="111"/>
    </row>
    <row r="17" spans="2:9" ht="9" customHeight="1" x14ac:dyDescent="0.2">
      <c r="B17" s="112"/>
      <c r="C17" s="113"/>
      <c r="D17" s="114"/>
      <c r="E17" s="114"/>
      <c r="F17" s="114"/>
      <c r="G17" s="114"/>
      <c r="H17" s="114"/>
      <c r="I17" s="114"/>
    </row>
    <row r="18" spans="2:9" x14ac:dyDescent="0.2">
      <c r="B18" s="113" t="s">
        <v>55</v>
      </c>
      <c r="C18" s="113"/>
      <c r="D18" s="114"/>
      <c r="E18" s="114"/>
      <c r="F18" s="114"/>
      <c r="G18" s="114"/>
      <c r="H18" s="114"/>
      <c r="I18" s="114"/>
    </row>
    <row r="19" spans="2:9" x14ac:dyDescent="0.2">
      <c r="B19" s="112"/>
      <c r="C19" s="116" t="s">
        <v>148</v>
      </c>
      <c r="D19" s="111"/>
      <c r="E19" s="111"/>
      <c r="F19" s="111"/>
      <c r="G19" s="111"/>
      <c r="H19" s="111"/>
      <c r="I19" s="111"/>
    </row>
    <row r="20" spans="2:9" x14ac:dyDescent="0.2">
      <c r="B20" s="112"/>
      <c r="C20" s="116" t="s">
        <v>149</v>
      </c>
      <c r="D20" s="111"/>
      <c r="E20" s="111"/>
      <c r="F20" s="111"/>
      <c r="G20" s="111"/>
      <c r="H20" s="111"/>
      <c r="I20" s="111"/>
    </row>
    <row r="21" spans="2:9" x14ac:dyDescent="0.2">
      <c r="B21" s="112"/>
      <c r="C21" s="116" t="s">
        <v>78</v>
      </c>
      <c r="D21" s="111"/>
      <c r="E21" s="111"/>
      <c r="F21" s="111"/>
      <c r="G21" s="111"/>
      <c r="H21" s="111"/>
      <c r="I21" s="111"/>
    </row>
    <row r="22" spans="2:9" x14ac:dyDescent="0.2">
      <c r="B22" s="112"/>
      <c r="C22" s="113"/>
      <c r="D22" s="114"/>
      <c r="E22" s="114"/>
      <c r="F22" s="114"/>
      <c r="G22" s="114"/>
      <c r="H22" s="114"/>
      <c r="I22" s="114"/>
    </row>
    <row r="23" spans="2:9" ht="7.5" customHeight="1" x14ac:dyDescent="0.2">
      <c r="B23" s="112"/>
      <c r="C23" s="113"/>
      <c r="D23" s="114"/>
      <c r="E23" s="114"/>
      <c r="F23" s="114"/>
      <c r="G23" s="114"/>
      <c r="H23" s="114"/>
      <c r="I23" s="114"/>
    </row>
    <row r="24" spans="2:9" x14ac:dyDescent="0.2">
      <c r="B24" s="113" t="s">
        <v>56</v>
      </c>
      <c r="C24" s="113"/>
      <c r="D24" s="114"/>
      <c r="E24" s="114"/>
      <c r="F24" s="114"/>
      <c r="G24" s="114"/>
      <c r="H24" s="114"/>
      <c r="I24" s="114"/>
    </row>
    <row r="25" spans="2:9" x14ac:dyDescent="0.2">
      <c r="B25" s="112"/>
      <c r="C25" s="113" t="s">
        <v>80</v>
      </c>
      <c r="D25" s="111"/>
      <c r="E25" s="111"/>
      <c r="F25" s="111"/>
      <c r="G25" s="111"/>
      <c r="H25" s="111"/>
      <c r="I25" s="111"/>
    </row>
    <row r="26" spans="2:9" x14ac:dyDescent="0.2">
      <c r="B26" s="112"/>
      <c r="C26" s="113" t="s">
        <v>57</v>
      </c>
      <c r="D26" s="111"/>
      <c r="E26" s="111"/>
      <c r="F26" s="111"/>
      <c r="G26" s="111"/>
      <c r="H26" s="111"/>
      <c r="I26" s="111"/>
    </row>
    <row r="27" spans="2:9" ht="4.5" customHeight="1" x14ac:dyDescent="0.2">
      <c r="B27" s="112"/>
      <c r="C27" s="113"/>
      <c r="D27" s="114"/>
      <c r="E27" s="114"/>
      <c r="F27" s="114"/>
      <c r="G27" s="114"/>
      <c r="H27" s="114"/>
      <c r="I27" s="114"/>
    </row>
    <row r="28" spans="2:9" ht="3" customHeight="1" x14ac:dyDescent="0.2">
      <c r="B28" s="88"/>
      <c r="C28" s="89"/>
      <c r="D28" s="90"/>
      <c r="E28" s="91"/>
      <c r="F28" s="91"/>
      <c r="G28" s="91"/>
      <c r="H28" s="91"/>
      <c r="I28" s="91"/>
    </row>
    <row r="29" spans="2:9" x14ac:dyDescent="0.2">
      <c r="B29" s="92"/>
    </row>
    <row r="30" spans="2:9" x14ac:dyDescent="0.2">
      <c r="B30" s="93"/>
    </row>
    <row r="32" spans="2:9" x14ac:dyDescent="0.2">
      <c r="B32" s="86" t="s">
        <v>194</v>
      </c>
    </row>
  </sheetData>
  <pageMargins left="1" right="1" top="1" bottom="1" header="0.5" footer="0.5"/>
  <pageSetup orientation="landscape" horizontalDpi="90" verticalDpi="90" r:id="rId1"/>
  <headerFooter>
    <oddHeader>&amp;C&amp;"Times New Roman,Bold"UNCLASSIFIED</oddHeader>
    <oddFooter>&amp;C&amp;"Times New Roman,Regular"&amp;8
&amp;"Times New Roman,Bold"UNCLASSIFIED&amp;R&amp;"Times New Roman,Regular"&amp;P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T288"/>
  <sheetViews>
    <sheetView showGridLines="0" showZeros="0" topLeftCell="C1" zoomScaleNormal="100" zoomScaleSheetLayoutView="100" workbookViewId="0">
      <selection activeCell="AB9" sqref="AB9"/>
    </sheetView>
  </sheetViews>
  <sheetFormatPr defaultRowHeight="15" x14ac:dyDescent="0.25"/>
  <cols>
    <col min="1" max="1" width="36.28515625" style="2" bestFit="1" customWidth="1"/>
    <col min="2" max="2" width="53" style="2" bestFit="1" customWidth="1"/>
    <col min="3" max="3" width="20.85546875" style="2" customWidth="1"/>
    <col min="4" max="4" width="11.28515625" style="2" customWidth="1"/>
    <col min="5" max="5" width="5.140625" style="2" customWidth="1"/>
    <col min="6" max="6" width="27.85546875" style="2" customWidth="1"/>
    <col min="7" max="7" width="7.7109375" style="2" bestFit="1" customWidth="1"/>
    <col min="8" max="8" width="12.85546875" style="2" bestFit="1" customWidth="1"/>
    <col min="9" max="9" width="15.85546875" style="4" customWidth="1"/>
    <col min="10" max="10" width="33.140625" style="162" hidden="1" customWidth="1"/>
    <col min="11" max="11" width="23" style="163" hidden="1" customWidth="1"/>
    <col min="12" max="12" width="12.85546875" style="2" bestFit="1" customWidth="1"/>
    <col min="13" max="13" width="15" style="4" bestFit="1" customWidth="1"/>
    <col min="14" max="14" width="18.140625" style="2" bestFit="1" customWidth="1"/>
    <col min="15" max="15" width="33.28515625" style="163" hidden="1" customWidth="1"/>
    <col min="16" max="16" width="23.28515625" style="163" hidden="1" customWidth="1"/>
    <col min="17" max="17" width="12.85546875" style="2" bestFit="1" customWidth="1"/>
    <col min="18" max="18" width="12.85546875" style="4" bestFit="1" customWidth="1"/>
    <col min="19" max="19" width="17.140625" style="2" bestFit="1" customWidth="1"/>
    <col min="20" max="20" width="33.28515625" style="163" hidden="1" customWidth="1"/>
    <col min="21" max="21" width="23.28515625" style="163" hidden="1" customWidth="1"/>
    <col min="22" max="22" width="12.85546875" style="2" bestFit="1" customWidth="1"/>
    <col min="23" max="23" width="12.85546875" style="4" bestFit="1" customWidth="1"/>
    <col min="24" max="24" width="17.140625" style="2" bestFit="1" customWidth="1"/>
    <col min="25" max="25" width="33.28515625" style="163" hidden="1" customWidth="1"/>
    <col min="26" max="26" width="23.28515625" style="163" hidden="1" customWidth="1"/>
    <col min="27" max="27" width="12.85546875" style="2" bestFit="1" customWidth="1"/>
    <col min="28" max="28" width="12.85546875" style="4" bestFit="1" customWidth="1"/>
    <col min="29" max="29" width="15.5703125" style="5" customWidth="1"/>
    <col min="30" max="30" width="33.28515625" style="166" hidden="1" customWidth="1"/>
    <col min="31" max="31" width="23.28515625" style="166" hidden="1" customWidth="1"/>
    <col min="32" max="32" width="11.140625" style="166" customWidth="1"/>
    <col min="33" max="33" width="12.42578125" style="166" customWidth="1"/>
    <col min="34" max="34" width="15.140625" style="166" customWidth="1"/>
    <col min="35" max="35" width="28.85546875" style="166" hidden="1" customWidth="1"/>
    <col min="36" max="36" width="20.7109375" style="166" hidden="1" customWidth="1"/>
    <col min="37" max="37" width="13.85546875" style="4" bestFit="1" customWidth="1"/>
    <col min="38" max="38" width="20.5703125" style="2" bestFit="1" customWidth="1"/>
    <col min="39" max="39" width="6.5703125" style="2" customWidth="1"/>
    <col min="40" max="44" width="11.140625" customWidth="1"/>
    <col min="45" max="46" width="9.140625" customWidth="1"/>
    <col min="47" max="239" width="9.140625" style="2"/>
    <col min="240" max="240" width="47.28515625" style="2" customWidth="1"/>
    <col min="241" max="242" width="23.85546875" style="2" bestFit="1" customWidth="1"/>
    <col min="243" max="244" width="5.7109375" style="2" customWidth="1"/>
    <col min="245" max="246" width="9.140625" style="2"/>
    <col min="247" max="247" width="7.5703125" style="2" customWidth="1"/>
    <col min="248" max="248" width="9.140625" style="2"/>
    <col min="249" max="249" width="8" style="2" customWidth="1"/>
    <col min="250" max="252" width="7.5703125" style="2" customWidth="1"/>
    <col min="253" max="16384" width="9.140625" style="2"/>
  </cols>
  <sheetData>
    <row r="1" spans="1:46" x14ac:dyDescent="0.25">
      <c r="A1" s="3" t="s">
        <v>0</v>
      </c>
    </row>
    <row r="2" spans="1:46" s="6" customFormat="1" ht="6" customHeight="1" x14ac:dyDescent="0.25">
      <c r="A2" s="7"/>
      <c r="I2" s="8"/>
      <c r="J2" s="162"/>
      <c r="K2" s="163"/>
      <c r="M2" s="8"/>
      <c r="O2" s="163"/>
      <c r="P2" s="163"/>
      <c r="R2" s="8"/>
      <c r="T2" s="163"/>
      <c r="U2" s="163"/>
      <c r="W2" s="8"/>
      <c r="Y2" s="163"/>
      <c r="Z2" s="163"/>
      <c r="AB2" s="8"/>
      <c r="AC2" s="9"/>
      <c r="AD2" s="166"/>
      <c r="AE2" s="166"/>
      <c r="AF2" s="166"/>
      <c r="AG2" s="166"/>
      <c r="AH2" s="166"/>
      <c r="AI2" s="166"/>
      <c r="AJ2" s="166"/>
      <c r="AK2" s="8"/>
      <c r="AN2"/>
      <c r="AO2"/>
      <c r="AP2"/>
      <c r="AQ2"/>
      <c r="AR2"/>
      <c r="AS2"/>
      <c r="AT2"/>
    </row>
    <row r="3" spans="1:46" s="6" customFormat="1" ht="15.75" thickBot="1" x14ac:dyDescent="0.3">
      <c r="A3" s="10" t="s">
        <v>58</v>
      </c>
      <c r="B3" s="10"/>
      <c r="C3" s="10"/>
      <c r="D3" s="10"/>
      <c r="E3" s="10"/>
      <c r="F3" s="10"/>
      <c r="I3" s="8"/>
      <c r="J3" s="162"/>
      <c r="K3" s="163"/>
      <c r="M3" s="8"/>
      <c r="O3" s="163"/>
      <c r="P3" s="163"/>
      <c r="R3" s="8"/>
      <c r="T3" s="163"/>
      <c r="U3" s="163"/>
      <c r="W3" s="8"/>
      <c r="Y3" s="163"/>
      <c r="Z3" s="163"/>
      <c r="AB3" s="8"/>
      <c r="AC3" s="9"/>
      <c r="AD3" s="166"/>
      <c r="AE3" s="166"/>
      <c r="AF3" s="166"/>
      <c r="AG3" s="166"/>
      <c r="AH3" s="166"/>
      <c r="AI3" s="166"/>
      <c r="AJ3" s="166"/>
      <c r="AK3" s="8"/>
      <c r="AN3"/>
      <c r="AO3"/>
      <c r="AP3"/>
      <c r="AQ3"/>
      <c r="AR3"/>
      <c r="AS3"/>
      <c r="AT3"/>
    </row>
    <row r="4" spans="1:46" s="6" customFormat="1" ht="15.75" thickBot="1" x14ac:dyDescent="0.3">
      <c r="A4" s="10" t="s">
        <v>1</v>
      </c>
      <c r="B4" s="10"/>
      <c r="C4" s="10"/>
      <c r="D4" s="10"/>
      <c r="E4" s="10"/>
      <c r="F4" s="10"/>
      <c r="I4" s="8"/>
      <c r="J4" s="162"/>
      <c r="K4" s="163"/>
      <c r="L4" s="155" t="s">
        <v>88</v>
      </c>
      <c r="M4" s="268">
        <v>3.9E-2</v>
      </c>
      <c r="O4" s="163"/>
      <c r="P4" s="163"/>
      <c r="Q4" s="155" t="s">
        <v>88</v>
      </c>
      <c r="R4" s="268">
        <v>3.9E-2</v>
      </c>
      <c r="T4" s="163"/>
      <c r="U4" s="163"/>
      <c r="V4" s="155" t="s">
        <v>88</v>
      </c>
      <c r="W4" s="268">
        <v>3.9E-2</v>
      </c>
      <c r="Y4" s="163"/>
      <c r="Z4" s="163"/>
      <c r="AA4" s="155" t="s">
        <v>88</v>
      </c>
      <c r="AB4" s="268">
        <v>3.9E-2</v>
      </c>
      <c r="AC4" s="9"/>
      <c r="AD4" s="166"/>
      <c r="AE4" s="166"/>
      <c r="AF4" s="155" t="s">
        <v>88</v>
      </c>
      <c r="AG4" s="268">
        <v>3.9E-2</v>
      </c>
      <c r="AH4" s="166"/>
      <c r="AI4" s="166"/>
      <c r="AJ4" s="166"/>
      <c r="AK4" s="8"/>
      <c r="AN4"/>
      <c r="AO4"/>
      <c r="AP4"/>
      <c r="AQ4"/>
      <c r="AR4"/>
      <c r="AS4"/>
      <c r="AT4"/>
    </row>
    <row r="5" spans="1:46" ht="15.75" customHeight="1" thickBot="1" x14ac:dyDescent="0.3">
      <c r="A5" s="3"/>
      <c r="B5" s="11"/>
      <c r="C5" s="11"/>
      <c r="D5" s="11"/>
      <c r="E5" s="11"/>
      <c r="F5" s="11"/>
      <c r="G5" s="384" t="s">
        <v>2</v>
      </c>
      <c r="H5" s="385"/>
      <c r="I5" s="386"/>
      <c r="J5" s="387" t="s">
        <v>108</v>
      </c>
      <c r="K5" s="388"/>
      <c r="L5" s="391" t="s">
        <v>3</v>
      </c>
      <c r="M5" s="389"/>
      <c r="N5" s="390"/>
      <c r="O5" s="392" t="s">
        <v>108</v>
      </c>
      <c r="P5" s="393"/>
      <c r="Q5" s="391" t="s">
        <v>4</v>
      </c>
      <c r="R5" s="389"/>
      <c r="S5" s="390"/>
      <c r="T5" s="392" t="s">
        <v>108</v>
      </c>
      <c r="U5" s="393"/>
      <c r="V5" s="391" t="s">
        <v>5</v>
      </c>
      <c r="W5" s="389"/>
      <c r="X5" s="390"/>
      <c r="Y5" s="387" t="s">
        <v>108</v>
      </c>
      <c r="Z5" s="388"/>
      <c r="AA5" s="391" t="s">
        <v>6</v>
      </c>
      <c r="AB5" s="389"/>
      <c r="AC5" s="390"/>
      <c r="AD5" s="387" t="s">
        <v>108</v>
      </c>
      <c r="AE5" s="388"/>
      <c r="AF5" s="394" t="s">
        <v>142</v>
      </c>
      <c r="AG5" s="395"/>
      <c r="AH5" s="396"/>
      <c r="AI5" s="387" t="s">
        <v>108</v>
      </c>
      <c r="AJ5" s="397"/>
      <c r="AK5" s="389" t="s">
        <v>7</v>
      </c>
      <c r="AL5" s="390"/>
    </row>
    <row r="6" spans="1:46" ht="24" thickBot="1" x14ac:dyDescent="0.3">
      <c r="A6" s="121" t="s">
        <v>8</v>
      </c>
      <c r="B6" s="101" t="s">
        <v>9</v>
      </c>
      <c r="C6" s="12" t="s">
        <v>10</v>
      </c>
      <c r="D6" s="13" t="s">
        <v>85</v>
      </c>
      <c r="E6" s="14" t="s">
        <v>11</v>
      </c>
      <c r="F6" s="100" t="s">
        <v>150</v>
      </c>
      <c r="G6" s="15" t="s">
        <v>99</v>
      </c>
      <c r="H6" s="16" t="s">
        <v>100</v>
      </c>
      <c r="I6" s="17" t="s">
        <v>101</v>
      </c>
      <c r="J6" s="168" t="s">
        <v>125</v>
      </c>
      <c r="K6" s="168" t="s">
        <v>126</v>
      </c>
      <c r="L6" s="152" t="s">
        <v>109</v>
      </c>
      <c r="M6" s="153" t="s">
        <v>110</v>
      </c>
      <c r="N6" s="154" t="s">
        <v>111</v>
      </c>
      <c r="O6" s="191" t="s">
        <v>127</v>
      </c>
      <c r="P6" s="191" t="s">
        <v>128</v>
      </c>
      <c r="Q6" s="152" t="s">
        <v>112</v>
      </c>
      <c r="R6" s="153" t="s">
        <v>113</v>
      </c>
      <c r="S6" s="154" t="s">
        <v>114</v>
      </c>
      <c r="T6" s="191" t="s">
        <v>129</v>
      </c>
      <c r="U6" s="191" t="s">
        <v>130</v>
      </c>
      <c r="V6" s="152" t="s">
        <v>115</v>
      </c>
      <c r="W6" s="153" t="s">
        <v>116</v>
      </c>
      <c r="X6" s="154" t="s">
        <v>117</v>
      </c>
      <c r="Y6" s="168" t="s">
        <v>131</v>
      </c>
      <c r="Z6" s="168" t="s">
        <v>132</v>
      </c>
      <c r="AA6" s="152" t="s">
        <v>118</v>
      </c>
      <c r="AB6" s="153" t="s">
        <v>119</v>
      </c>
      <c r="AC6" s="154" t="s">
        <v>120</v>
      </c>
      <c r="AD6" s="176" t="s">
        <v>133</v>
      </c>
      <c r="AE6" s="177" t="s">
        <v>134</v>
      </c>
      <c r="AF6" s="152" t="s">
        <v>139</v>
      </c>
      <c r="AG6" s="153" t="s">
        <v>140</v>
      </c>
      <c r="AH6" s="154" t="s">
        <v>141</v>
      </c>
      <c r="AI6" s="176" t="s">
        <v>143</v>
      </c>
      <c r="AJ6" s="177" t="s">
        <v>138</v>
      </c>
      <c r="AK6" s="208" t="s">
        <v>121</v>
      </c>
      <c r="AL6" s="218" t="s">
        <v>122</v>
      </c>
      <c r="AM6" s="192" t="s">
        <v>106</v>
      </c>
      <c r="AN6" t="s">
        <v>92</v>
      </c>
      <c r="AO6" t="s">
        <v>144</v>
      </c>
      <c r="AP6" t="s">
        <v>145</v>
      </c>
      <c r="AQ6" t="s">
        <v>146</v>
      </c>
      <c r="AR6" t="s">
        <v>147</v>
      </c>
      <c r="AS6" t="s">
        <v>189</v>
      </c>
      <c r="AT6" t="s">
        <v>193</v>
      </c>
    </row>
    <row r="7" spans="1:46" ht="15.75" thickBot="1" x14ac:dyDescent="0.3">
      <c r="A7" s="122" t="s">
        <v>14</v>
      </c>
      <c r="B7" s="18"/>
      <c r="C7" s="19"/>
      <c r="D7" s="19"/>
      <c r="E7" s="19"/>
      <c r="F7" s="99" t="s">
        <v>98</v>
      </c>
      <c r="G7" s="20"/>
      <c r="H7" s="21"/>
      <c r="I7" s="22"/>
      <c r="J7" s="169"/>
      <c r="K7" s="169"/>
      <c r="L7" s="20"/>
      <c r="M7" s="21"/>
      <c r="N7" s="22"/>
      <c r="O7" s="169"/>
      <c r="P7" s="169"/>
      <c r="Q7" s="20"/>
      <c r="R7" s="21"/>
      <c r="S7" s="22"/>
      <c r="T7" s="169"/>
      <c r="U7" s="169"/>
      <c r="V7" s="20"/>
      <c r="W7" s="21"/>
      <c r="X7" s="22"/>
      <c r="Y7" s="169"/>
      <c r="Z7" s="169"/>
      <c r="AA7" s="20"/>
      <c r="AB7" s="21"/>
      <c r="AC7" s="22"/>
      <c r="AD7" s="178"/>
      <c r="AE7" s="179"/>
      <c r="AF7" s="20"/>
      <c r="AG7" s="271"/>
      <c r="AH7" s="22"/>
      <c r="AI7" s="176"/>
      <c r="AJ7" s="177"/>
      <c r="AK7" s="209"/>
      <c r="AL7" s="219"/>
      <c r="AM7" s="193">
        <v>7</v>
      </c>
    </row>
    <row r="8" spans="1:46" x14ac:dyDescent="0.25">
      <c r="A8" s="123" t="s">
        <v>15</v>
      </c>
      <c r="B8" s="23"/>
      <c r="C8" s="24"/>
      <c r="D8" s="21"/>
      <c r="E8" s="21"/>
      <c r="F8" s="99" t="s">
        <v>98</v>
      </c>
      <c r="G8" s="25"/>
      <c r="H8" s="24"/>
      <c r="I8" s="22"/>
      <c r="J8" s="169"/>
      <c r="K8" s="169"/>
      <c r="L8" s="25"/>
      <c r="M8" s="24"/>
      <c r="N8" s="22"/>
      <c r="O8" s="169"/>
      <c r="P8" s="169"/>
      <c r="Q8" s="25"/>
      <c r="R8" s="24"/>
      <c r="S8" s="22"/>
      <c r="T8" s="169"/>
      <c r="U8" s="169"/>
      <c r="V8" s="25"/>
      <c r="W8" s="24"/>
      <c r="X8" s="22"/>
      <c r="Y8" s="169"/>
      <c r="Z8" s="169"/>
      <c r="AA8" s="25"/>
      <c r="AB8" s="24"/>
      <c r="AC8" s="22"/>
      <c r="AD8" s="178"/>
      <c r="AE8" s="179"/>
      <c r="AF8" s="25"/>
      <c r="AG8" s="272"/>
      <c r="AH8" s="22"/>
      <c r="AI8" s="178"/>
      <c r="AJ8" s="179"/>
      <c r="AK8" s="209"/>
      <c r="AL8" s="219"/>
      <c r="AM8" s="193">
        <v>8</v>
      </c>
    </row>
    <row r="9" spans="1:46" ht="22.5" customHeight="1" x14ac:dyDescent="0.25">
      <c r="A9" s="124" t="s">
        <v>72</v>
      </c>
      <c r="B9" s="347"/>
      <c r="C9" s="27"/>
      <c r="D9" s="157"/>
      <c r="E9" s="157"/>
      <c r="F9" s="144" t="s">
        <v>98</v>
      </c>
      <c r="G9" s="206"/>
      <c r="H9" s="29"/>
      <c r="I9" s="30">
        <v>0</v>
      </c>
      <c r="J9" s="169"/>
      <c r="K9" s="169"/>
      <c r="L9" s="255">
        <v>0</v>
      </c>
      <c r="M9" s="29"/>
      <c r="N9" s="30">
        <v>0</v>
      </c>
      <c r="O9" s="169"/>
      <c r="P9" s="169"/>
      <c r="Q9" s="255">
        <v>0</v>
      </c>
      <c r="R9" s="29"/>
      <c r="S9" s="30">
        <v>0</v>
      </c>
      <c r="T9" s="169"/>
      <c r="U9" s="169"/>
      <c r="V9" s="255">
        <v>0</v>
      </c>
      <c r="W9" s="29"/>
      <c r="X9" s="30">
        <v>0</v>
      </c>
      <c r="Y9" s="169"/>
      <c r="Z9" s="169"/>
      <c r="AA9" s="255">
        <v>0</v>
      </c>
      <c r="AB9" s="29"/>
      <c r="AC9" s="30">
        <v>0</v>
      </c>
      <c r="AD9" s="178"/>
      <c r="AE9" s="179"/>
      <c r="AF9" s="255">
        <v>0</v>
      </c>
      <c r="AG9" s="29"/>
      <c r="AH9" s="30">
        <v>0</v>
      </c>
      <c r="AI9" s="178"/>
      <c r="AJ9" s="179"/>
      <c r="AK9" s="232">
        <f>H9+M9+R9+W9+AB9+AG9</f>
        <v>0</v>
      </c>
      <c r="AL9" s="220">
        <f>I9+N9+S9+X9+AC9+AH9</f>
        <v>0</v>
      </c>
      <c r="AM9" s="193">
        <v>9</v>
      </c>
    </row>
    <row r="10" spans="1:46" x14ac:dyDescent="0.25">
      <c r="A10" s="124" t="s">
        <v>72</v>
      </c>
      <c r="B10" s="347"/>
      <c r="C10" s="27"/>
      <c r="D10" s="157"/>
      <c r="E10" s="157"/>
      <c r="F10" s="144" t="s">
        <v>98</v>
      </c>
      <c r="G10" s="206"/>
      <c r="H10" s="29"/>
      <c r="I10" s="30">
        <v>0</v>
      </c>
      <c r="J10" s="169"/>
      <c r="K10" s="169"/>
      <c r="L10" s="255">
        <v>0</v>
      </c>
      <c r="M10" s="29"/>
      <c r="N10" s="30">
        <v>0</v>
      </c>
      <c r="O10" s="169"/>
      <c r="P10" s="169"/>
      <c r="Q10" s="255">
        <v>0</v>
      </c>
      <c r="R10" s="29"/>
      <c r="S10" s="30">
        <v>0</v>
      </c>
      <c r="T10" s="169"/>
      <c r="U10" s="169"/>
      <c r="V10" s="255">
        <v>0</v>
      </c>
      <c r="W10" s="29"/>
      <c r="X10" s="30">
        <v>0</v>
      </c>
      <c r="Y10" s="169"/>
      <c r="Z10" s="169"/>
      <c r="AA10" s="255">
        <v>0</v>
      </c>
      <c r="AB10" s="29"/>
      <c r="AC10" s="30">
        <v>0</v>
      </c>
      <c r="AD10" s="178"/>
      <c r="AE10" s="179"/>
      <c r="AF10" s="255">
        <v>0</v>
      </c>
      <c r="AG10" s="29"/>
      <c r="AH10" s="30">
        <v>0</v>
      </c>
      <c r="AI10" s="178"/>
      <c r="AJ10" s="179"/>
      <c r="AK10" s="232">
        <f t="shared" ref="AK10:AK73" si="0">H10+M10+R10+W10+AB10+AG10</f>
        <v>0</v>
      </c>
      <c r="AL10" s="220">
        <f t="shared" ref="AL10:AL73" si="1">I10+N10+S10+X10+AC10+AH10</f>
        <v>0</v>
      </c>
      <c r="AM10" s="193">
        <v>10</v>
      </c>
    </row>
    <row r="11" spans="1:46" x14ac:dyDescent="0.25">
      <c r="A11" s="124" t="s">
        <v>72</v>
      </c>
      <c r="B11" s="348"/>
      <c r="C11" s="27"/>
      <c r="D11" s="157"/>
      <c r="E11" s="157"/>
      <c r="F11" s="144" t="s">
        <v>98</v>
      </c>
      <c r="G11" s="206"/>
      <c r="H11" s="29"/>
      <c r="I11" s="30">
        <v>0</v>
      </c>
      <c r="J11" s="169"/>
      <c r="K11" s="169"/>
      <c r="L11" s="255">
        <v>0</v>
      </c>
      <c r="M11" s="29"/>
      <c r="N11" s="30">
        <v>0</v>
      </c>
      <c r="O11" s="169"/>
      <c r="P11" s="169"/>
      <c r="Q11" s="255">
        <v>0</v>
      </c>
      <c r="R11" s="29"/>
      <c r="S11" s="30">
        <v>0</v>
      </c>
      <c r="T11" s="169"/>
      <c r="U11" s="169"/>
      <c r="V11" s="255">
        <v>0</v>
      </c>
      <c r="W11" s="29"/>
      <c r="X11" s="30">
        <v>0</v>
      </c>
      <c r="Y11" s="169"/>
      <c r="Z11" s="169"/>
      <c r="AA11" s="255">
        <v>0</v>
      </c>
      <c r="AB11" s="29"/>
      <c r="AC11" s="30">
        <v>0</v>
      </c>
      <c r="AD11" s="178"/>
      <c r="AE11" s="179"/>
      <c r="AF11" s="255">
        <v>0</v>
      </c>
      <c r="AG11" s="29"/>
      <c r="AH11" s="30">
        <v>0</v>
      </c>
      <c r="AI11" s="178"/>
      <c r="AJ11" s="179"/>
      <c r="AK11" s="232">
        <f t="shared" si="0"/>
        <v>0</v>
      </c>
      <c r="AL11" s="220">
        <f t="shared" si="1"/>
        <v>0</v>
      </c>
      <c r="AM11" s="193">
        <v>11</v>
      </c>
    </row>
    <row r="12" spans="1:46" x14ac:dyDescent="0.25">
      <c r="A12" s="124" t="s">
        <v>72</v>
      </c>
      <c r="B12" s="348"/>
      <c r="C12" s="27"/>
      <c r="D12" s="157"/>
      <c r="E12" s="157"/>
      <c r="F12" s="144" t="s">
        <v>98</v>
      </c>
      <c r="G12" s="206"/>
      <c r="H12" s="29"/>
      <c r="I12" s="30">
        <v>0</v>
      </c>
      <c r="J12" s="169"/>
      <c r="K12" s="169"/>
      <c r="L12" s="255">
        <v>0</v>
      </c>
      <c r="M12" s="29"/>
      <c r="N12" s="30">
        <v>0</v>
      </c>
      <c r="O12" s="169"/>
      <c r="P12" s="169"/>
      <c r="Q12" s="255">
        <v>0</v>
      </c>
      <c r="R12" s="29"/>
      <c r="S12" s="30">
        <v>0</v>
      </c>
      <c r="T12" s="169"/>
      <c r="U12" s="169"/>
      <c r="V12" s="255">
        <v>0</v>
      </c>
      <c r="W12" s="29"/>
      <c r="X12" s="30">
        <v>0</v>
      </c>
      <c r="Y12" s="169"/>
      <c r="Z12" s="169"/>
      <c r="AA12" s="255">
        <v>0</v>
      </c>
      <c r="AB12" s="29"/>
      <c r="AC12" s="30">
        <v>0</v>
      </c>
      <c r="AD12" s="178"/>
      <c r="AE12" s="179"/>
      <c r="AF12" s="255">
        <v>0</v>
      </c>
      <c r="AG12" s="29"/>
      <c r="AH12" s="30">
        <v>0</v>
      </c>
      <c r="AI12" s="178"/>
      <c r="AJ12" s="179"/>
      <c r="AK12" s="232">
        <f t="shared" si="0"/>
        <v>0</v>
      </c>
      <c r="AL12" s="220">
        <f t="shared" si="1"/>
        <v>0</v>
      </c>
      <c r="AM12" s="193">
        <v>12</v>
      </c>
    </row>
    <row r="13" spans="1:46" x14ac:dyDescent="0.25">
      <c r="A13" s="124" t="s">
        <v>72</v>
      </c>
      <c r="B13" s="347"/>
      <c r="C13" s="27"/>
      <c r="D13" s="157"/>
      <c r="E13" s="157"/>
      <c r="F13" s="144" t="s">
        <v>98</v>
      </c>
      <c r="G13" s="206"/>
      <c r="H13" s="29"/>
      <c r="I13" s="30">
        <v>0</v>
      </c>
      <c r="J13" s="169"/>
      <c r="K13" s="169"/>
      <c r="L13" s="255">
        <v>0</v>
      </c>
      <c r="M13" s="29"/>
      <c r="N13" s="30">
        <v>0</v>
      </c>
      <c r="O13" s="169"/>
      <c r="P13" s="169"/>
      <c r="Q13" s="255">
        <v>0</v>
      </c>
      <c r="R13" s="29"/>
      <c r="S13" s="30">
        <v>0</v>
      </c>
      <c r="T13" s="169"/>
      <c r="U13" s="169"/>
      <c r="V13" s="255">
        <v>0</v>
      </c>
      <c r="W13" s="29"/>
      <c r="X13" s="30">
        <v>0</v>
      </c>
      <c r="Y13" s="169"/>
      <c r="Z13" s="169"/>
      <c r="AA13" s="255">
        <v>0</v>
      </c>
      <c r="AB13" s="29"/>
      <c r="AC13" s="30">
        <v>0</v>
      </c>
      <c r="AD13" s="178"/>
      <c r="AE13" s="179"/>
      <c r="AF13" s="255">
        <v>0</v>
      </c>
      <c r="AG13" s="29"/>
      <c r="AH13" s="30">
        <v>0</v>
      </c>
      <c r="AI13" s="178"/>
      <c r="AJ13" s="179"/>
      <c r="AK13" s="232">
        <f t="shared" si="0"/>
        <v>0</v>
      </c>
      <c r="AL13" s="220">
        <f t="shared" si="1"/>
        <v>0</v>
      </c>
      <c r="AM13" s="193">
        <v>13</v>
      </c>
    </row>
    <row r="14" spans="1:46" x14ac:dyDescent="0.25">
      <c r="A14" s="124" t="s">
        <v>72</v>
      </c>
      <c r="B14" s="348"/>
      <c r="C14" s="27"/>
      <c r="D14" s="157"/>
      <c r="E14" s="157"/>
      <c r="F14" s="144" t="s">
        <v>98</v>
      </c>
      <c r="G14" s="206"/>
      <c r="H14" s="29"/>
      <c r="I14" s="30">
        <v>0</v>
      </c>
      <c r="J14" s="169"/>
      <c r="K14" s="169"/>
      <c r="L14" s="255">
        <v>0</v>
      </c>
      <c r="M14" s="29"/>
      <c r="N14" s="30">
        <v>0</v>
      </c>
      <c r="O14" s="169"/>
      <c r="P14" s="169"/>
      <c r="Q14" s="255">
        <v>0</v>
      </c>
      <c r="R14" s="29"/>
      <c r="S14" s="30">
        <v>0</v>
      </c>
      <c r="T14" s="169"/>
      <c r="U14" s="169"/>
      <c r="V14" s="255">
        <v>0</v>
      </c>
      <c r="W14" s="29"/>
      <c r="X14" s="30">
        <v>0</v>
      </c>
      <c r="Y14" s="169"/>
      <c r="Z14" s="169"/>
      <c r="AA14" s="255">
        <v>0</v>
      </c>
      <c r="AB14" s="29"/>
      <c r="AC14" s="30">
        <v>0</v>
      </c>
      <c r="AD14" s="178"/>
      <c r="AE14" s="179"/>
      <c r="AF14" s="255">
        <v>0</v>
      </c>
      <c r="AG14" s="29"/>
      <c r="AH14" s="30">
        <v>0</v>
      </c>
      <c r="AI14" s="178"/>
      <c r="AJ14" s="179"/>
      <c r="AK14" s="232">
        <f t="shared" si="0"/>
        <v>0</v>
      </c>
      <c r="AL14" s="220">
        <f t="shared" si="1"/>
        <v>0</v>
      </c>
      <c r="AM14" s="193">
        <v>14</v>
      </c>
    </row>
    <row r="15" spans="1:46" x14ac:dyDescent="0.25">
      <c r="A15" s="124" t="s">
        <v>72</v>
      </c>
      <c r="B15" s="348"/>
      <c r="C15" s="27"/>
      <c r="D15" s="157"/>
      <c r="E15" s="157"/>
      <c r="F15" s="144" t="s">
        <v>98</v>
      </c>
      <c r="G15" s="206"/>
      <c r="H15" s="29"/>
      <c r="I15" s="30">
        <v>0</v>
      </c>
      <c r="J15" s="169"/>
      <c r="K15" s="169"/>
      <c r="L15" s="255">
        <v>0</v>
      </c>
      <c r="M15" s="29"/>
      <c r="N15" s="30">
        <v>0</v>
      </c>
      <c r="O15" s="169"/>
      <c r="P15" s="169"/>
      <c r="Q15" s="255">
        <v>0</v>
      </c>
      <c r="R15" s="29"/>
      <c r="S15" s="30">
        <v>0</v>
      </c>
      <c r="T15" s="169"/>
      <c r="U15" s="169"/>
      <c r="V15" s="255">
        <v>0</v>
      </c>
      <c r="W15" s="29"/>
      <c r="X15" s="30">
        <v>0</v>
      </c>
      <c r="Y15" s="169"/>
      <c r="Z15" s="169"/>
      <c r="AA15" s="255">
        <v>0</v>
      </c>
      <c r="AB15" s="29"/>
      <c r="AC15" s="30">
        <v>0</v>
      </c>
      <c r="AD15" s="178"/>
      <c r="AE15" s="179"/>
      <c r="AF15" s="255">
        <v>0</v>
      </c>
      <c r="AG15" s="29"/>
      <c r="AH15" s="30">
        <v>0</v>
      </c>
      <c r="AI15" s="178"/>
      <c r="AJ15" s="179"/>
      <c r="AK15" s="232">
        <f t="shared" si="0"/>
        <v>0</v>
      </c>
      <c r="AL15" s="220">
        <f t="shared" si="1"/>
        <v>0</v>
      </c>
      <c r="AM15" s="193">
        <v>15</v>
      </c>
    </row>
    <row r="16" spans="1:46" x14ac:dyDescent="0.25">
      <c r="A16" s="124" t="s">
        <v>72</v>
      </c>
      <c r="B16" s="349"/>
      <c r="C16" s="27"/>
      <c r="D16" s="157"/>
      <c r="E16" s="157"/>
      <c r="F16" s="144" t="s">
        <v>98</v>
      </c>
      <c r="G16" s="206"/>
      <c r="H16" s="29"/>
      <c r="I16" s="30">
        <v>0</v>
      </c>
      <c r="J16" s="169"/>
      <c r="K16" s="169"/>
      <c r="L16" s="255">
        <v>0</v>
      </c>
      <c r="M16" s="29"/>
      <c r="N16" s="30">
        <v>0</v>
      </c>
      <c r="O16" s="169"/>
      <c r="P16" s="169"/>
      <c r="Q16" s="255">
        <v>0</v>
      </c>
      <c r="R16" s="29"/>
      <c r="S16" s="30">
        <v>0</v>
      </c>
      <c r="T16" s="169"/>
      <c r="U16" s="169"/>
      <c r="V16" s="255">
        <v>0</v>
      </c>
      <c r="W16" s="29"/>
      <c r="X16" s="30">
        <v>0</v>
      </c>
      <c r="Y16" s="169"/>
      <c r="Z16" s="169"/>
      <c r="AA16" s="255">
        <v>0</v>
      </c>
      <c r="AB16" s="29"/>
      <c r="AC16" s="30">
        <v>0</v>
      </c>
      <c r="AD16" s="178"/>
      <c r="AE16" s="179"/>
      <c r="AF16" s="255">
        <v>0</v>
      </c>
      <c r="AG16" s="29"/>
      <c r="AH16" s="30">
        <v>0</v>
      </c>
      <c r="AI16" s="178"/>
      <c r="AJ16" s="179"/>
      <c r="AK16" s="232">
        <f t="shared" si="0"/>
        <v>0</v>
      </c>
      <c r="AL16" s="220">
        <f t="shared" si="1"/>
        <v>0</v>
      </c>
      <c r="AM16" s="193">
        <v>16</v>
      </c>
    </row>
    <row r="17" spans="1:39" x14ac:dyDescent="0.25">
      <c r="A17" s="124" t="s">
        <v>72</v>
      </c>
      <c r="B17" s="349"/>
      <c r="C17" s="27"/>
      <c r="D17" s="157"/>
      <c r="E17" s="157"/>
      <c r="F17" s="144" t="s">
        <v>98</v>
      </c>
      <c r="G17" s="206"/>
      <c r="H17" s="29"/>
      <c r="I17" s="30">
        <v>0</v>
      </c>
      <c r="J17" s="169"/>
      <c r="K17" s="169"/>
      <c r="L17" s="255">
        <v>0</v>
      </c>
      <c r="M17" s="29"/>
      <c r="N17" s="30">
        <v>0</v>
      </c>
      <c r="O17" s="169"/>
      <c r="P17" s="169"/>
      <c r="Q17" s="255">
        <v>0</v>
      </c>
      <c r="R17" s="29"/>
      <c r="S17" s="30">
        <v>0</v>
      </c>
      <c r="T17" s="169"/>
      <c r="U17" s="169"/>
      <c r="V17" s="255">
        <v>0</v>
      </c>
      <c r="W17" s="29"/>
      <c r="X17" s="30">
        <v>0</v>
      </c>
      <c r="Y17" s="169"/>
      <c r="Z17" s="169"/>
      <c r="AA17" s="255">
        <v>0</v>
      </c>
      <c r="AB17" s="29"/>
      <c r="AC17" s="30">
        <v>0</v>
      </c>
      <c r="AD17" s="178"/>
      <c r="AE17" s="179"/>
      <c r="AF17" s="255">
        <v>0</v>
      </c>
      <c r="AG17" s="29"/>
      <c r="AH17" s="30">
        <v>0</v>
      </c>
      <c r="AI17" s="178"/>
      <c r="AJ17" s="179"/>
      <c r="AK17" s="232">
        <f t="shared" si="0"/>
        <v>0</v>
      </c>
      <c r="AL17" s="220">
        <f t="shared" si="1"/>
        <v>0</v>
      </c>
      <c r="AM17" s="193">
        <v>17</v>
      </c>
    </row>
    <row r="18" spans="1:39" x14ac:dyDescent="0.25">
      <c r="A18" s="124" t="s">
        <v>72</v>
      </c>
      <c r="B18" s="26"/>
      <c r="C18" s="27"/>
      <c r="D18" s="157"/>
      <c r="E18" s="157"/>
      <c r="F18" s="144" t="s">
        <v>98</v>
      </c>
      <c r="G18" s="206"/>
      <c r="H18" s="29"/>
      <c r="I18" s="30">
        <v>0</v>
      </c>
      <c r="J18" s="169"/>
      <c r="K18" s="169"/>
      <c r="L18" s="255">
        <v>0</v>
      </c>
      <c r="M18" s="29"/>
      <c r="N18" s="30">
        <v>0</v>
      </c>
      <c r="O18" s="169"/>
      <c r="P18" s="169"/>
      <c r="Q18" s="255">
        <v>0</v>
      </c>
      <c r="R18" s="29"/>
      <c r="S18" s="30">
        <v>0</v>
      </c>
      <c r="T18" s="169"/>
      <c r="U18" s="169"/>
      <c r="V18" s="255">
        <v>0</v>
      </c>
      <c r="W18" s="29"/>
      <c r="X18" s="30">
        <v>0</v>
      </c>
      <c r="Y18" s="169"/>
      <c r="Z18" s="169"/>
      <c r="AA18" s="255">
        <v>0</v>
      </c>
      <c r="AB18" s="29"/>
      <c r="AC18" s="30">
        <v>0</v>
      </c>
      <c r="AD18" s="178"/>
      <c r="AE18" s="179"/>
      <c r="AF18" s="255">
        <v>0</v>
      </c>
      <c r="AG18" s="29"/>
      <c r="AH18" s="30">
        <v>0</v>
      </c>
      <c r="AI18" s="178"/>
      <c r="AJ18" s="179"/>
      <c r="AK18" s="232">
        <f t="shared" si="0"/>
        <v>0</v>
      </c>
      <c r="AL18" s="220">
        <f t="shared" si="1"/>
        <v>0</v>
      </c>
      <c r="AM18" s="193">
        <v>18</v>
      </c>
    </row>
    <row r="19" spans="1:39" x14ac:dyDescent="0.25">
      <c r="A19" s="124" t="s">
        <v>72</v>
      </c>
      <c r="B19" s="26"/>
      <c r="C19" s="27"/>
      <c r="D19" s="157"/>
      <c r="E19" s="157"/>
      <c r="F19" s="144" t="s">
        <v>98</v>
      </c>
      <c r="G19" s="206"/>
      <c r="H19" s="29"/>
      <c r="I19" s="30">
        <v>0</v>
      </c>
      <c r="J19" s="169"/>
      <c r="K19" s="169"/>
      <c r="L19" s="255">
        <v>0</v>
      </c>
      <c r="M19" s="29"/>
      <c r="N19" s="30">
        <v>0</v>
      </c>
      <c r="O19" s="169"/>
      <c r="P19" s="169"/>
      <c r="Q19" s="255">
        <v>0</v>
      </c>
      <c r="R19" s="29"/>
      <c r="S19" s="30">
        <v>0</v>
      </c>
      <c r="T19" s="169"/>
      <c r="U19" s="169"/>
      <c r="V19" s="255">
        <v>0</v>
      </c>
      <c r="W19" s="29"/>
      <c r="X19" s="30">
        <v>0</v>
      </c>
      <c r="Y19" s="169"/>
      <c r="Z19" s="169"/>
      <c r="AA19" s="255">
        <v>0</v>
      </c>
      <c r="AB19" s="29"/>
      <c r="AC19" s="30">
        <v>0</v>
      </c>
      <c r="AD19" s="178"/>
      <c r="AE19" s="179"/>
      <c r="AF19" s="255">
        <v>0</v>
      </c>
      <c r="AG19" s="29"/>
      <c r="AH19" s="30">
        <v>0</v>
      </c>
      <c r="AI19" s="178"/>
      <c r="AJ19" s="179"/>
      <c r="AK19" s="232">
        <f t="shared" si="0"/>
        <v>0</v>
      </c>
      <c r="AL19" s="220">
        <f t="shared" si="1"/>
        <v>0</v>
      </c>
      <c r="AM19" s="193">
        <v>19</v>
      </c>
    </row>
    <row r="20" spans="1:39" x14ac:dyDescent="0.25">
      <c r="A20" s="124" t="s">
        <v>72</v>
      </c>
      <c r="B20" s="26"/>
      <c r="C20" s="27"/>
      <c r="D20" s="157"/>
      <c r="E20" s="157"/>
      <c r="F20" s="144" t="s">
        <v>98</v>
      </c>
      <c r="G20" s="206"/>
      <c r="H20" s="29"/>
      <c r="I20" s="30">
        <v>0</v>
      </c>
      <c r="J20" s="169"/>
      <c r="K20" s="169"/>
      <c r="L20" s="255"/>
      <c r="M20" s="29"/>
      <c r="N20" s="30">
        <v>0</v>
      </c>
      <c r="O20" s="169"/>
      <c r="P20" s="169"/>
      <c r="Q20" s="255"/>
      <c r="R20" s="29"/>
      <c r="S20" s="30">
        <v>0</v>
      </c>
      <c r="T20" s="169"/>
      <c r="U20" s="169"/>
      <c r="V20" s="255"/>
      <c r="W20" s="29"/>
      <c r="X20" s="30">
        <v>0</v>
      </c>
      <c r="Y20" s="169"/>
      <c r="Z20" s="169"/>
      <c r="AA20" s="255"/>
      <c r="AB20" s="29"/>
      <c r="AC20" s="30">
        <v>0</v>
      </c>
      <c r="AD20" s="178"/>
      <c r="AE20" s="179"/>
      <c r="AF20" s="255"/>
      <c r="AG20" s="29"/>
      <c r="AH20" s="30">
        <v>0</v>
      </c>
      <c r="AI20" s="178"/>
      <c r="AJ20" s="179"/>
      <c r="AK20" s="232">
        <f t="shared" si="0"/>
        <v>0</v>
      </c>
      <c r="AL20" s="220">
        <f t="shared" si="1"/>
        <v>0</v>
      </c>
      <c r="AM20" s="193">
        <v>20</v>
      </c>
    </row>
    <row r="21" spans="1:39" x14ac:dyDescent="0.25">
      <c r="A21" s="124" t="s">
        <v>72</v>
      </c>
      <c r="B21" s="26"/>
      <c r="C21" s="27"/>
      <c r="D21" s="157"/>
      <c r="E21" s="157"/>
      <c r="F21" s="144" t="s">
        <v>98</v>
      </c>
      <c r="G21" s="206"/>
      <c r="H21" s="29"/>
      <c r="I21" s="30">
        <v>0</v>
      </c>
      <c r="J21" s="169"/>
      <c r="K21" s="169"/>
      <c r="L21" s="255"/>
      <c r="M21" s="29"/>
      <c r="N21" s="30">
        <v>0</v>
      </c>
      <c r="O21" s="169"/>
      <c r="P21" s="169"/>
      <c r="Q21" s="255"/>
      <c r="R21" s="29"/>
      <c r="S21" s="30">
        <v>0</v>
      </c>
      <c r="T21" s="169"/>
      <c r="U21" s="169"/>
      <c r="V21" s="255"/>
      <c r="W21" s="29"/>
      <c r="X21" s="30">
        <v>0</v>
      </c>
      <c r="Y21" s="169"/>
      <c r="Z21" s="169"/>
      <c r="AA21" s="255"/>
      <c r="AB21" s="29"/>
      <c r="AC21" s="30">
        <v>0</v>
      </c>
      <c r="AD21" s="178"/>
      <c r="AE21" s="179"/>
      <c r="AF21" s="255"/>
      <c r="AG21" s="29"/>
      <c r="AH21" s="30">
        <v>0</v>
      </c>
      <c r="AI21" s="178"/>
      <c r="AJ21" s="179"/>
      <c r="AK21" s="232">
        <f t="shared" si="0"/>
        <v>0</v>
      </c>
      <c r="AL21" s="220">
        <f t="shared" si="1"/>
        <v>0</v>
      </c>
      <c r="AM21" s="193">
        <v>21</v>
      </c>
    </row>
    <row r="22" spans="1:39" x14ac:dyDescent="0.25">
      <c r="A22" s="124" t="s">
        <v>72</v>
      </c>
      <c r="B22" s="26"/>
      <c r="C22" s="27"/>
      <c r="D22" s="157"/>
      <c r="E22" s="157"/>
      <c r="F22" s="144" t="s">
        <v>98</v>
      </c>
      <c r="G22" s="206"/>
      <c r="H22" s="29"/>
      <c r="I22" s="30">
        <v>0</v>
      </c>
      <c r="J22" s="169"/>
      <c r="K22" s="169"/>
      <c r="L22" s="255">
        <v>0</v>
      </c>
      <c r="M22" s="29"/>
      <c r="N22" s="30">
        <v>0</v>
      </c>
      <c r="O22" s="169"/>
      <c r="P22" s="169"/>
      <c r="Q22" s="255">
        <v>0</v>
      </c>
      <c r="R22" s="29"/>
      <c r="S22" s="30">
        <v>0</v>
      </c>
      <c r="T22" s="169"/>
      <c r="U22" s="169"/>
      <c r="V22" s="255">
        <v>0</v>
      </c>
      <c r="W22" s="29"/>
      <c r="X22" s="30">
        <v>0</v>
      </c>
      <c r="Y22" s="169"/>
      <c r="Z22" s="169"/>
      <c r="AA22" s="255">
        <v>0</v>
      </c>
      <c r="AB22" s="29"/>
      <c r="AC22" s="30">
        <v>0</v>
      </c>
      <c r="AD22" s="178"/>
      <c r="AE22" s="179"/>
      <c r="AF22" s="255">
        <v>0</v>
      </c>
      <c r="AG22" s="29"/>
      <c r="AH22" s="30">
        <v>0</v>
      </c>
      <c r="AI22" s="178"/>
      <c r="AJ22" s="179"/>
      <c r="AK22" s="232">
        <f t="shared" si="0"/>
        <v>0</v>
      </c>
      <c r="AL22" s="220">
        <f t="shared" si="1"/>
        <v>0</v>
      </c>
      <c r="AM22" s="193">
        <v>22</v>
      </c>
    </row>
    <row r="23" spans="1:39" x14ac:dyDescent="0.25">
      <c r="A23" s="124" t="s">
        <v>72</v>
      </c>
      <c r="B23" s="26"/>
      <c r="C23" s="27"/>
      <c r="D23" s="157"/>
      <c r="E23" s="157"/>
      <c r="F23" s="144" t="s">
        <v>98</v>
      </c>
      <c r="G23" s="206"/>
      <c r="H23" s="29"/>
      <c r="I23" s="30">
        <v>0</v>
      </c>
      <c r="J23" s="169"/>
      <c r="K23" s="169"/>
      <c r="L23" s="255">
        <v>0</v>
      </c>
      <c r="M23" s="29"/>
      <c r="N23" s="30">
        <v>0</v>
      </c>
      <c r="O23" s="169"/>
      <c r="P23" s="169"/>
      <c r="Q23" s="255">
        <v>0</v>
      </c>
      <c r="R23" s="29"/>
      <c r="S23" s="30">
        <v>0</v>
      </c>
      <c r="T23" s="169"/>
      <c r="U23" s="169"/>
      <c r="V23" s="255">
        <v>0</v>
      </c>
      <c r="W23" s="29"/>
      <c r="X23" s="30">
        <v>0</v>
      </c>
      <c r="Y23" s="169"/>
      <c r="Z23" s="169"/>
      <c r="AA23" s="255">
        <v>0</v>
      </c>
      <c r="AB23" s="29"/>
      <c r="AC23" s="30">
        <v>0</v>
      </c>
      <c r="AD23" s="178"/>
      <c r="AE23" s="179"/>
      <c r="AF23" s="255">
        <v>0</v>
      </c>
      <c r="AG23" s="29"/>
      <c r="AH23" s="30">
        <v>0</v>
      </c>
      <c r="AI23" s="178"/>
      <c r="AJ23" s="179"/>
      <c r="AK23" s="232">
        <f t="shared" si="0"/>
        <v>0</v>
      </c>
      <c r="AL23" s="220">
        <f t="shared" si="1"/>
        <v>0</v>
      </c>
      <c r="AM23" s="193">
        <v>23</v>
      </c>
    </row>
    <row r="24" spans="1:39" x14ac:dyDescent="0.25">
      <c r="A24" s="124" t="s">
        <v>72</v>
      </c>
      <c r="B24" s="26"/>
      <c r="C24" s="27"/>
      <c r="D24" s="157"/>
      <c r="E24" s="157"/>
      <c r="F24" s="144" t="s">
        <v>98</v>
      </c>
      <c r="G24" s="206"/>
      <c r="H24" s="29"/>
      <c r="I24" s="30">
        <v>0</v>
      </c>
      <c r="J24" s="169"/>
      <c r="K24" s="169"/>
      <c r="L24" s="255">
        <v>0</v>
      </c>
      <c r="M24" s="29"/>
      <c r="N24" s="30">
        <v>0</v>
      </c>
      <c r="O24" s="169"/>
      <c r="P24" s="169"/>
      <c r="Q24" s="255">
        <v>0</v>
      </c>
      <c r="R24" s="29"/>
      <c r="S24" s="30">
        <v>0</v>
      </c>
      <c r="T24" s="169"/>
      <c r="U24" s="169"/>
      <c r="V24" s="255">
        <v>0</v>
      </c>
      <c r="W24" s="29"/>
      <c r="X24" s="30">
        <v>0</v>
      </c>
      <c r="Y24" s="169"/>
      <c r="Z24" s="169"/>
      <c r="AA24" s="255">
        <v>0</v>
      </c>
      <c r="AB24" s="29"/>
      <c r="AC24" s="30">
        <v>0</v>
      </c>
      <c r="AD24" s="178"/>
      <c r="AE24" s="179"/>
      <c r="AF24" s="255">
        <v>0</v>
      </c>
      <c r="AG24" s="29"/>
      <c r="AH24" s="30">
        <v>0</v>
      </c>
      <c r="AI24" s="178"/>
      <c r="AJ24" s="179"/>
      <c r="AK24" s="232">
        <f t="shared" si="0"/>
        <v>0</v>
      </c>
      <c r="AL24" s="220">
        <f t="shared" si="1"/>
        <v>0</v>
      </c>
      <c r="AM24" s="193">
        <v>24</v>
      </c>
    </row>
    <row r="25" spans="1:39" x14ac:dyDescent="0.25">
      <c r="A25" s="124" t="s">
        <v>72</v>
      </c>
      <c r="B25" s="26"/>
      <c r="C25" s="27"/>
      <c r="D25" s="157"/>
      <c r="E25" s="157"/>
      <c r="F25" s="144" t="s">
        <v>98</v>
      </c>
      <c r="G25" s="206"/>
      <c r="H25" s="29"/>
      <c r="I25" s="30">
        <v>0</v>
      </c>
      <c r="J25" s="169"/>
      <c r="K25" s="169"/>
      <c r="L25" s="255">
        <v>0</v>
      </c>
      <c r="M25" s="29"/>
      <c r="N25" s="30">
        <v>0</v>
      </c>
      <c r="O25" s="169"/>
      <c r="P25" s="169"/>
      <c r="Q25" s="255">
        <v>0</v>
      </c>
      <c r="R25" s="29"/>
      <c r="S25" s="30">
        <v>0</v>
      </c>
      <c r="T25" s="169"/>
      <c r="U25" s="169"/>
      <c r="V25" s="255">
        <v>0</v>
      </c>
      <c r="W25" s="29"/>
      <c r="X25" s="30">
        <v>0</v>
      </c>
      <c r="Y25" s="169"/>
      <c r="Z25" s="169"/>
      <c r="AA25" s="255">
        <v>0</v>
      </c>
      <c r="AB25" s="29"/>
      <c r="AC25" s="30">
        <v>0</v>
      </c>
      <c r="AD25" s="178"/>
      <c r="AE25" s="179"/>
      <c r="AF25" s="255">
        <v>0</v>
      </c>
      <c r="AG25" s="29"/>
      <c r="AH25" s="30">
        <v>0</v>
      </c>
      <c r="AI25" s="178"/>
      <c r="AJ25" s="179"/>
      <c r="AK25" s="232">
        <f t="shared" si="0"/>
        <v>0</v>
      </c>
      <c r="AL25" s="220">
        <f t="shared" si="1"/>
        <v>0</v>
      </c>
      <c r="AM25" s="193">
        <v>25</v>
      </c>
    </row>
    <row r="26" spans="1:39" x14ac:dyDescent="0.25">
      <c r="A26" s="124" t="s">
        <v>72</v>
      </c>
      <c r="B26" s="26"/>
      <c r="C26" s="27"/>
      <c r="D26" s="157"/>
      <c r="E26" s="157"/>
      <c r="F26" s="144" t="s">
        <v>98</v>
      </c>
      <c r="G26" s="206"/>
      <c r="H26" s="29"/>
      <c r="I26" s="30">
        <v>0</v>
      </c>
      <c r="J26" s="169"/>
      <c r="K26" s="169"/>
      <c r="L26" s="255">
        <v>0</v>
      </c>
      <c r="M26" s="29"/>
      <c r="N26" s="30">
        <v>0</v>
      </c>
      <c r="O26" s="169"/>
      <c r="P26" s="169"/>
      <c r="Q26" s="255">
        <v>0</v>
      </c>
      <c r="R26" s="29"/>
      <c r="S26" s="30">
        <v>0</v>
      </c>
      <c r="T26" s="169"/>
      <c r="U26" s="169"/>
      <c r="V26" s="255">
        <v>0</v>
      </c>
      <c r="W26" s="29"/>
      <c r="X26" s="30">
        <v>0</v>
      </c>
      <c r="Y26" s="169"/>
      <c r="Z26" s="169"/>
      <c r="AA26" s="255">
        <v>0</v>
      </c>
      <c r="AB26" s="29"/>
      <c r="AC26" s="30">
        <v>0</v>
      </c>
      <c r="AD26" s="178"/>
      <c r="AE26" s="179"/>
      <c r="AF26" s="255">
        <v>0</v>
      </c>
      <c r="AG26" s="29"/>
      <c r="AH26" s="30">
        <v>0</v>
      </c>
      <c r="AI26" s="178"/>
      <c r="AJ26" s="179"/>
      <c r="AK26" s="232">
        <f t="shared" si="0"/>
        <v>0</v>
      </c>
      <c r="AL26" s="220">
        <f t="shared" si="1"/>
        <v>0</v>
      </c>
      <c r="AM26" s="193">
        <v>26</v>
      </c>
    </row>
    <row r="27" spans="1:39" x14ac:dyDescent="0.25">
      <c r="A27" s="124" t="s">
        <v>72</v>
      </c>
      <c r="B27" s="26"/>
      <c r="C27" s="27"/>
      <c r="D27" s="157"/>
      <c r="E27" s="157"/>
      <c r="F27" s="144" t="s">
        <v>98</v>
      </c>
      <c r="G27" s="206"/>
      <c r="H27" s="29"/>
      <c r="I27" s="30">
        <v>0</v>
      </c>
      <c r="J27" s="169"/>
      <c r="K27" s="169"/>
      <c r="L27" s="255">
        <v>0</v>
      </c>
      <c r="M27" s="29"/>
      <c r="N27" s="30">
        <v>0</v>
      </c>
      <c r="O27" s="169"/>
      <c r="P27" s="169"/>
      <c r="Q27" s="255">
        <v>0</v>
      </c>
      <c r="R27" s="29"/>
      <c r="S27" s="30">
        <v>0</v>
      </c>
      <c r="T27" s="169"/>
      <c r="U27" s="169"/>
      <c r="V27" s="255">
        <v>0</v>
      </c>
      <c r="W27" s="29"/>
      <c r="X27" s="30">
        <v>0</v>
      </c>
      <c r="Y27" s="169"/>
      <c r="Z27" s="169"/>
      <c r="AA27" s="255">
        <v>0</v>
      </c>
      <c r="AB27" s="29"/>
      <c r="AC27" s="30">
        <v>0</v>
      </c>
      <c r="AD27" s="178"/>
      <c r="AE27" s="179"/>
      <c r="AF27" s="255">
        <v>0</v>
      </c>
      <c r="AG27" s="29"/>
      <c r="AH27" s="30">
        <v>0</v>
      </c>
      <c r="AI27" s="178"/>
      <c r="AJ27" s="179"/>
      <c r="AK27" s="232">
        <f t="shared" si="0"/>
        <v>0</v>
      </c>
      <c r="AL27" s="220">
        <f t="shared" si="1"/>
        <v>0</v>
      </c>
      <c r="AM27" s="193">
        <v>27</v>
      </c>
    </row>
    <row r="28" spans="1:39" x14ac:dyDescent="0.25">
      <c r="A28" s="124" t="s">
        <v>72</v>
      </c>
      <c r="B28" s="26"/>
      <c r="C28" s="27"/>
      <c r="D28" s="157"/>
      <c r="E28" s="157"/>
      <c r="F28" s="144" t="s">
        <v>98</v>
      </c>
      <c r="G28" s="206"/>
      <c r="H28" s="29"/>
      <c r="I28" s="30">
        <v>0</v>
      </c>
      <c r="J28" s="169"/>
      <c r="K28" s="169"/>
      <c r="L28" s="255">
        <v>0</v>
      </c>
      <c r="M28" s="29"/>
      <c r="N28" s="30">
        <v>0</v>
      </c>
      <c r="O28" s="169"/>
      <c r="P28" s="169"/>
      <c r="Q28" s="255">
        <v>0</v>
      </c>
      <c r="R28" s="29"/>
      <c r="S28" s="30">
        <v>0</v>
      </c>
      <c r="T28" s="169"/>
      <c r="U28" s="169"/>
      <c r="V28" s="255">
        <v>0</v>
      </c>
      <c r="W28" s="29"/>
      <c r="X28" s="30">
        <v>0</v>
      </c>
      <c r="Y28" s="169"/>
      <c r="Z28" s="169"/>
      <c r="AA28" s="255">
        <v>0</v>
      </c>
      <c r="AB28" s="29"/>
      <c r="AC28" s="30">
        <v>0</v>
      </c>
      <c r="AD28" s="178"/>
      <c r="AE28" s="179"/>
      <c r="AF28" s="255">
        <v>0</v>
      </c>
      <c r="AG28" s="29"/>
      <c r="AH28" s="30">
        <v>0</v>
      </c>
      <c r="AI28" s="178"/>
      <c r="AJ28" s="179"/>
      <c r="AK28" s="232">
        <f t="shared" si="0"/>
        <v>0</v>
      </c>
      <c r="AL28" s="220">
        <f t="shared" si="1"/>
        <v>0</v>
      </c>
      <c r="AM28" s="193">
        <v>28</v>
      </c>
    </row>
    <row r="29" spans="1:39" x14ac:dyDescent="0.25">
      <c r="A29" s="124" t="s">
        <v>72</v>
      </c>
      <c r="B29" s="26"/>
      <c r="C29" s="27"/>
      <c r="D29" s="157"/>
      <c r="E29" s="157"/>
      <c r="F29" s="144" t="s">
        <v>98</v>
      </c>
      <c r="G29" s="206"/>
      <c r="H29" s="29"/>
      <c r="I29" s="30">
        <v>0</v>
      </c>
      <c r="J29" s="169"/>
      <c r="K29" s="169"/>
      <c r="L29" s="255">
        <v>0</v>
      </c>
      <c r="M29" s="29"/>
      <c r="N29" s="30">
        <v>0</v>
      </c>
      <c r="O29" s="169"/>
      <c r="P29" s="169"/>
      <c r="Q29" s="255">
        <v>0</v>
      </c>
      <c r="R29" s="29"/>
      <c r="S29" s="30">
        <v>0</v>
      </c>
      <c r="T29" s="169"/>
      <c r="U29" s="169"/>
      <c r="V29" s="255">
        <v>0</v>
      </c>
      <c r="W29" s="29"/>
      <c r="X29" s="30">
        <v>0</v>
      </c>
      <c r="Y29" s="169"/>
      <c r="Z29" s="169"/>
      <c r="AA29" s="255">
        <v>0</v>
      </c>
      <c r="AB29" s="29"/>
      <c r="AC29" s="30">
        <v>0</v>
      </c>
      <c r="AD29" s="178"/>
      <c r="AE29" s="179"/>
      <c r="AF29" s="255">
        <v>0</v>
      </c>
      <c r="AG29" s="29"/>
      <c r="AH29" s="30">
        <v>0</v>
      </c>
      <c r="AI29" s="178"/>
      <c r="AJ29" s="179"/>
      <c r="AK29" s="232">
        <f t="shared" si="0"/>
        <v>0</v>
      </c>
      <c r="AL29" s="220">
        <f t="shared" si="1"/>
        <v>0</v>
      </c>
      <c r="AM29" s="193">
        <v>29</v>
      </c>
    </row>
    <row r="30" spans="1:39" x14ac:dyDescent="0.25">
      <c r="A30" s="124" t="s">
        <v>72</v>
      </c>
      <c r="B30" s="26"/>
      <c r="C30" s="27"/>
      <c r="D30" s="157"/>
      <c r="E30" s="157"/>
      <c r="F30" s="144" t="s">
        <v>98</v>
      </c>
      <c r="G30" s="206"/>
      <c r="H30" s="29"/>
      <c r="I30" s="30">
        <v>0</v>
      </c>
      <c r="J30" s="169"/>
      <c r="K30" s="169"/>
      <c r="L30" s="255">
        <v>0</v>
      </c>
      <c r="M30" s="29"/>
      <c r="N30" s="30">
        <v>0</v>
      </c>
      <c r="O30" s="169"/>
      <c r="P30" s="169"/>
      <c r="Q30" s="255">
        <v>0</v>
      </c>
      <c r="R30" s="29"/>
      <c r="S30" s="30">
        <v>0</v>
      </c>
      <c r="T30" s="169"/>
      <c r="U30" s="169"/>
      <c r="V30" s="255">
        <v>0</v>
      </c>
      <c r="W30" s="29"/>
      <c r="X30" s="30">
        <v>0</v>
      </c>
      <c r="Y30" s="169"/>
      <c r="Z30" s="169"/>
      <c r="AA30" s="255">
        <v>0</v>
      </c>
      <c r="AB30" s="29"/>
      <c r="AC30" s="30">
        <v>0</v>
      </c>
      <c r="AD30" s="178"/>
      <c r="AE30" s="179"/>
      <c r="AF30" s="255">
        <v>0</v>
      </c>
      <c r="AG30" s="29"/>
      <c r="AH30" s="30">
        <v>0</v>
      </c>
      <c r="AI30" s="178"/>
      <c r="AJ30" s="179"/>
      <c r="AK30" s="232">
        <f t="shared" si="0"/>
        <v>0</v>
      </c>
      <c r="AL30" s="220">
        <f t="shared" si="1"/>
        <v>0</v>
      </c>
      <c r="AM30" s="193">
        <v>30</v>
      </c>
    </row>
    <row r="31" spans="1:39" x14ac:dyDescent="0.25">
      <c r="A31" s="124" t="s">
        <v>72</v>
      </c>
      <c r="B31" s="26"/>
      <c r="C31" s="27"/>
      <c r="D31" s="157"/>
      <c r="E31" s="157"/>
      <c r="F31" s="144" t="s">
        <v>98</v>
      </c>
      <c r="G31" s="206"/>
      <c r="H31" s="29"/>
      <c r="I31" s="30">
        <v>0</v>
      </c>
      <c r="J31" s="169"/>
      <c r="K31" s="169"/>
      <c r="L31" s="255">
        <v>0</v>
      </c>
      <c r="M31" s="29"/>
      <c r="N31" s="30">
        <v>0</v>
      </c>
      <c r="O31" s="169"/>
      <c r="P31" s="169"/>
      <c r="Q31" s="255">
        <v>0</v>
      </c>
      <c r="R31" s="29"/>
      <c r="S31" s="30">
        <v>0</v>
      </c>
      <c r="T31" s="169"/>
      <c r="U31" s="169"/>
      <c r="V31" s="255">
        <v>0</v>
      </c>
      <c r="W31" s="29"/>
      <c r="X31" s="30">
        <v>0</v>
      </c>
      <c r="Y31" s="169"/>
      <c r="Z31" s="169"/>
      <c r="AA31" s="255">
        <v>0</v>
      </c>
      <c r="AB31" s="29"/>
      <c r="AC31" s="30">
        <v>0</v>
      </c>
      <c r="AD31" s="178"/>
      <c r="AE31" s="179"/>
      <c r="AF31" s="255">
        <v>0</v>
      </c>
      <c r="AG31" s="29"/>
      <c r="AH31" s="30">
        <v>0</v>
      </c>
      <c r="AI31" s="178"/>
      <c r="AJ31" s="179"/>
      <c r="AK31" s="232">
        <f t="shared" si="0"/>
        <v>0</v>
      </c>
      <c r="AL31" s="220">
        <f t="shared" si="1"/>
        <v>0</v>
      </c>
      <c r="AM31" s="193">
        <v>31</v>
      </c>
    </row>
    <row r="32" spans="1:39" x14ac:dyDescent="0.25">
      <c r="A32" s="124" t="s">
        <v>72</v>
      </c>
      <c r="B32" s="26"/>
      <c r="C32" s="27"/>
      <c r="D32" s="157"/>
      <c r="E32" s="157"/>
      <c r="F32" s="144" t="s">
        <v>98</v>
      </c>
      <c r="G32" s="206"/>
      <c r="H32" s="29"/>
      <c r="I32" s="30">
        <v>0</v>
      </c>
      <c r="J32" s="169"/>
      <c r="K32" s="169"/>
      <c r="L32" s="255">
        <v>0</v>
      </c>
      <c r="M32" s="29"/>
      <c r="N32" s="30">
        <v>0</v>
      </c>
      <c r="O32" s="169"/>
      <c r="P32" s="169"/>
      <c r="Q32" s="255">
        <v>0</v>
      </c>
      <c r="R32" s="29"/>
      <c r="S32" s="30">
        <v>0</v>
      </c>
      <c r="T32" s="169"/>
      <c r="U32" s="169"/>
      <c r="V32" s="255">
        <v>0</v>
      </c>
      <c r="W32" s="29"/>
      <c r="X32" s="30">
        <v>0</v>
      </c>
      <c r="Y32" s="169"/>
      <c r="Z32" s="169"/>
      <c r="AA32" s="255">
        <v>0</v>
      </c>
      <c r="AB32" s="29"/>
      <c r="AC32" s="30">
        <v>0</v>
      </c>
      <c r="AD32" s="178"/>
      <c r="AE32" s="179"/>
      <c r="AF32" s="255">
        <v>0</v>
      </c>
      <c r="AG32" s="29"/>
      <c r="AH32" s="30">
        <v>0</v>
      </c>
      <c r="AI32" s="178"/>
      <c r="AJ32" s="179"/>
      <c r="AK32" s="232">
        <f t="shared" si="0"/>
        <v>0</v>
      </c>
      <c r="AL32" s="220">
        <f t="shared" si="1"/>
        <v>0</v>
      </c>
      <c r="AM32" s="193">
        <v>32</v>
      </c>
    </row>
    <row r="33" spans="1:39" x14ac:dyDescent="0.25">
      <c r="A33" s="124" t="s">
        <v>72</v>
      </c>
      <c r="B33" s="26"/>
      <c r="C33" s="27"/>
      <c r="D33" s="157"/>
      <c r="E33" s="157"/>
      <c r="F33" s="144" t="s">
        <v>98</v>
      </c>
      <c r="G33" s="206"/>
      <c r="H33" s="29"/>
      <c r="I33" s="30">
        <v>0</v>
      </c>
      <c r="J33" s="169"/>
      <c r="K33" s="169"/>
      <c r="L33" s="255">
        <v>0</v>
      </c>
      <c r="M33" s="29"/>
      <c r="N33" s="30">
        <v>0</v>
      </c>
      <c r="O33" s="169"/>
      <c r="P33" s="169"/>
      <c r="Q33" s="255">
        <v>0</v>
      </c>
      <c r="R33" s="29"/>
      <c r="S33" s="30">
        <v>0</v>
      </c>
      <c r="T33" s="169"/>
      <c r="U33" s="169"/>
      <c r="V33" s="255">
        <v>0</v>
      </c>
      <c r="W33" s="29"/>
      <c r="X33" s="30">
        <v>0</v>
      </c>
      <c r="Y33" s="169"/>
      <c r="Z33" s="169"/>
      <c r="AA33" s="255">
        <v>0</v>
      </c>
      <c r="AB33" s="29"/>
      <c r="AC33" s="30">
        <v>0</v>
      </c>
      <c r="AD33" s="178"/>
      <c r="AE33" s="179"/>
      <c r="AF33" s="255">
        <v>0</v>
      </c>
      <c r="AG33" s="29"/>
      <c r="AH33" s="30">
        <v>0</v>
      </c>
      <c r="AI33" s="178"/>
      <c r="AJ33" s="179"/>
      <c r="AK33" s="232">
        <f t="shared" si="0"/>
        <v>0</v>
      </c>
      <c r="AL33" s="220">
        <f t="shared" si="1"/>
        <v>0</v>
      </c>
      <c r="AM33" s="193">
        <v>33</v>
      </c>
    </row>
    <row r="34" spans="1:39" ht="23.1" customHeight="1" x14ac:dyDescent="0.25">
      <c r="A34" s="124" t="s">
        <v>72</v>
      </c>
      <c r="B34" s="26"/>
      <c r="C34" s="27"/>
      <c r="D34" s="157"/>
      <c r="E34" s="157"/>
      <c r="F34" s="144" t="s">
        <v>98</v>
      </c>
      <c r="G34" s="206"/>
      <c r="H34" s="29"/>
      <c r="I34" s="30">
        <v>0</v>
      </c>
      <c r="J34" s="169"/>
      <c r="K34" s="169"/>
      <c r="L34" s="255">
        <v>0</v>
      </c>
      <c r="M34" s="29"/>
      <c r="N34" s="30">
        <v>0</v>
      </c>
      <c r="O34" s="169"/>
      <c r="P34" s="169"/>
      <c r="Q34" s="255">
        <v>0</v>
      </c>
      <c r="R34" s="29"/>
      <c r="S34" s="30">
        <v>0</v>
      </c>
      <c r="T34" s="169"/>
      <c r="U34" s="169"/>
      <c r="V34" s="255">
        <v>0</v>
      </c>
      <c r="W34" s="29"/>
      <c r="X34" s="30">
        <v>0</v>
      </c>
      <c r="Y34" s="169"/>
      <c r="Z34" s="169"/>
      <c r="AA34" s="255">
        <v>0</v>
      </c>
      <c r="AB34" s="29"/>
      <c r="AC34" s="30">
        <v>0</v>
      </c>
      <c r="AD34" s="178"/>
      <c r="AE34" s="179"/>
      <c r="AF34" s="255">
        <v>0</v>
      </c>
      <c r="AG34" s="29"/>
      <c r="AH34" s="30">
        <v>0</v>
      </c>
      <c r="AI34" s="178"/>
      <c r="AJ34" s="179"/>
      <c r="AK34" s="232">
        <f t="shared" si="0"/>
        <v>0</v>
      </c>
      <c r="AL34" s="220">
        <f t="shared" si="1"/>
        <v>0</v>
      </c>
      <c r="AM34" s="193">
        <v>34</v>
      </c>
    </row>
    <row r="35" spans="1:39" x14ac:dyDescent="0.25">
      <c r="A35" s="124" t="s">
        <v>72</v>
      </c>
      <c r="B35" s="26"/>
      <c r="C35" s="27"/>
      <c r="D35" s="157"/>
      <c r="E35" s="157"/>
      <c r="F35" s="144" t="s">
        <v>98</v>
      </c>
      <c r="G35" s="206"/>
      <c r="H35" s="29"/>
      <c r="I35" s="30">
        <v>0</v>
      </c>
      <c r="J35" s="169"/>
      <c r="K35" s="169"/>
      <c r="L35" s="255">
        <v>0</v>
      </c>
      <c r="M35" s="29"/>
      <c r="N35" s="30">
        <v>0</v>
      </c>
      <c r="O35" s="169"/>
      <c r="P35" s="169"/>
      <c r="Q35" s="255">
        <v>0</v>
      </c>
      <c r="R35" s="29"/>
      <c r="S35" s="30">
        <v>0</v>
      </c>
      <c r="T35" s="169"/>
      <c r="U35" s="169"/>
      <c r="V35" s="255">
        <v>0</v>
      </c>
      <c r="W35" s="29"/>
      <c r="X35" s="30">
        <v>0</v>
      </c>
      <c r="Y35" s="169"/>
      <c r="Z35" s="169"/>
      <c r="AA35" s="255">
        <v>0</v>
      </c>
      <c r="AB35" s="29"/>
      <c r="AC35" s="30">
        <v>0</v>
      </c>
      <c r="AD35" s="178"/>
      <c r="AE35" s="179"/>
      <c r="AF35" s="255">
        <v>0</v>
      </c>
      <c r="AG35" s="29"/>
      <c r="AH35" s="30">
        <v>0</v>
      </c>
      <c r="AI35" s="178"/>
      <c r="AJ35" s="179"/>
      <c r="AK35" s="232">
        <f t="shared" si="0"/>
        <v>0</v>
      </c>
      <c r="AL35" s="220">
        <f t="shared" si="1"/>
        <v>0</v>
      </c>
      <c r="AM35" s="193">
        <v>35</v>
      </c>
    </row>
    <row r="36" spans="1:39" x14ac:dyDescent="0.25">
      <c r="A36" s="124" t="s">
        <v>72</v>
      </c>
      <c r="B36" s="26"/>
      <c r="C36" s="27"/>
      <c r="D36" s="157"/>
      <c r="E36" s="157"/>
      <c r="F36" s="144" t="s">
        <v>98</v>
      </c>
      <c r="G36" s="206"/>
      <c r="H36" s="29"/>
      <c r="I36" s="30">
        <v>0</v>
      </c>
      <c r="J36" s="169"/>
      <c r="K36" s="169"/>
      <c r="L36" s="255">
        <v>0</v>
      </c>
      <c r="M36" s="29"/>
      <c r="N36" s="30">
        <v>0</v>
      </c>
      <c r="O36" s="169"/>
      <c r="P36" s="169"/>
      <c r="Q36" s="255">
        <v>0</v>
      </c>
      <c r="R36" s="29"/>
      <c r="S36" s="30">
        <v>0</v>
      </c>
      <c r="T36" s="169"/>
      <c r="U36" s="169"/>
      <c r="V36" s="255">
        <v>0</v>
      </c>
      <c r="W36" s="29"/>
      <c r="X36" s="30">
        <v>0</v>
      </c>
      <c r="Y36" s="169"/>
      <c r="Z36" s="169"/>
      <c r="AA36" s="255">
        <v>0</v>
      </c>
      <c r="AB36" s="29"/>
      <c r="AC36" s="30">
        <v>0</v>
      </c>
      <c r="AD36" s="178"/>
      <c r="AE36" s="179"/>
      <c r="AF36" s="255">
        <v>0</v>
      </c>
      <c r="AG36" s="29"/>
      <c r="AH36" s="30">
        <v>0</v>
      </c>
      <c r="AI36" s="178"/>
      <c r="AJ36" s="179"/>
      <c r="AK36" s="232">
        <f t="shared" si="0"/>
        <v>0</v>
      </c>
      <c r="AL36" s="220">
        <f t="shared" si="1"/>
        <v>0</v>
      </c>
      <c r="AM36" s="193">
        <v>36</v>
      </c>
    </row>
    <row r="37" spans="1:39" x14ac:dyDescent="0.25">
      <c r="A37" s="124" t="s">
        <v>72</v>
      </c>
      <c r="B37" s="26"/>
      <c r="C37" s="27"/>
      <c r="D37" s="157"/>
      <c r="E37" s="157"/>
      <c r="F37" s="144" t="s">
        <v>98</v>
      </c>
      <c r="G37" s="206"/>
      <c r="H37" s="29"/>
      <c r="I37" s="30">
        <v>0</v>
      </c>
      <c r="J37" s="169"/>
      <c r="K37" s="169"/>
      <c r="L37" s="255">
        <v>0</v>
      </c>
      <c r="M37" s="29"/>
      <c r="N37" s="30">
        <v>0</v>
      </c>
      <c r="O37" s="169"/>
      <c r="P37" s="169"/>
      <c r="Q37" s="255">
        <v>0</v>
      </c>
      <c r="R37" s="29"/>
      <c r="S37" s="30">
        <v>0</v>
      </c>
      <c r="T37" s="169"/>
      <c r="U37" s="169"/>
      <c r="V37" s="255">
        <v>0</v>
      </c>
      <c r="W37" s="29"/>
      <c r="X37" s="30">
        <v>0</v>
      </c>
      <c r="Y37" s="169"/>
      <c r="Z37" s="169"/>
      <c r="AA37" s="255">
        <v>0</v>
      </c>
      <c r="AB37" s="29"/>
      <c r="AC37" s="30">
        <v>0</v>
      </c>
      <c r="AD37" s="178"/>
      <c r="AE37" s="179"/>
      <c r="AF37" s="255">
        <v>0</v>
      </c>
      <c r="AG37" s="29"/>
      <c r="AH37" s="30">
        <v>0</v>
      </c>
      <c r="AI37" s="178"/>
      <c r="AJ37" s="179"/>
      <c r="AK37" s="232">
        <f t="shared" si="0"/>
        <v>0</v>
      </c>
      <c r="AL37" s="220">
        <f t="shared" si="1"/>
        <v>0</v>
      </c>
      <c r="AM37" s="193">
        <v>37</v>
      </c>
    </row>
    <row r="38" spans="1:39" x14ac:dyDescent="0.25">
      <c r="A38" s="124" t="s">
        <v>72</v>
      </c>
      <c r="B38" s="26"/>
      <c r="C38" s="27"/>
      <c r="D38" s="157"/>
      <c r="E38" s="157"/>
      <c r="F38" s="144" t="s">
        <v>98</v>
      </c>
      <c r="G38" s="206"/>
      <c r="H38" s="29"/>
      <c r="I38" s="30">
        <v>0</v>
      </c>
      <c r="J38" s="169"/>
      <c r="K38" s="169"/>
      <c r="L38" s="255">
        <v>0</v>
      </c>
      <c r="M38" s="29"/>
      <c r="N38" s="30">
        <v>0</v>
      </c>
      <c r="O38" s="169"/>
      <c r="P38" s="169"/>
      <c r="Q38" s="255">
        <v>0</v>
      </c>
      <c r="R38" s="29"/>
      <c r="S38" s="30">
        <v>0</v>
      </c>
      <c r="T38" s="169"/>
      <c r="U38" s="169"/>
      <c r="V38" s="255">
        <v>0</v>
      </c>
      <c r="W38" s="29"/>
      <c r="X38" s="30">
        <v>0</v>
      </c>
      <c r="Y38" s="169"/>
      <c r="Z38" s="169"/>
      <c r="AA38" s="255">
        <v>0</v>
      </c>
      <c r="AB38" s="29"/>
      <c r="AC38" s="30">
        <v>0</v>
      </c>
      <c r="AD38" s="178"/>
      <c r="AE38" s="179"/>
      <c r="AF38" s="255">
        <v>0</v>
      </c>
      <c r="AG38" s="29"/>
      <c r="AH38" s="30">
        <v>0</v>
      </c>
      <c r="AI38" s="178"/>
      <c r="AJ38" s="179"/>
      <c r="AK38" s="232">
        <f t="shared" si="0"/>
        <v>0</v>
      </c>
      <c r="AL38" s="220">
        <f t="shared" si="1"/>
        <v>0</v>
      </c>
      <c r="AM38" s="193">
        <v>38</v>
      </c>
    </row>
    <row r="39" spans="1:39" x14ac:dyDescent="0.25">
      <c r="A39" s="124" t="s">
        <v>72</v>
      </c>
      <c r="B39" s="26"/>
      <c r="C39" s="27"/>
      <c r="D39" s="157"/>
      <c r="E39" s="157"/>
      <c r="F39" s="144" t="s">
        <v>98</v>
      </c>
      <c r="G39" s="206"/>
      <c r="H39" s="29"/>
      <c r="I39" s="30">
        <v>0</v>
      </c>
      <c r="J39" s="169"/>
      <c r="K39" s="169"/>
      <c r="L39" s="255">
        <v>0</v>
      </c>
      <c r="M39" s="29"/>
      <c r="N39" s="30">
        <v>0</v>
      </c>
      <c r="O39" s="169"/>
      <c r="P39" s="169"/>
      <c r="Q39" s="255">
        <v>0</v>
      </c>
      <c r="R39" s="29"/>
      <c r="S39" s="30">
        <v>0</v>
      </c>
      <c r="T39" s="169"/>
      <c r="U39" s="169"/>
      <c r="V39" s="255">
        <v>0</v>
      </c>
      <c r="W39" s="29"/>
      <c r="X39" s="30">
        <v>0</v>
      </c>
      <c r="Y39" s="169"/>
      <c r="Z39" s="169"/>
      <c r="AA39" s="255">
        <v>0</v>
      </c>
      <c r="AB39" s="29"/>
      <c r="AC39" s="30">
        <v>0</v>
      </c>
      <c r="AD39" s="178"/>
      <c r="AE39" s="179"/>
      <c r="AF39" s="255">
        <v>0</v>
      </c>
      <c r="AG39" s="29"/>
      <c r="AH39" s="30">
        <v>0</v>
      </c>
      <c r="AI39" s="178"/>
      <c r="AJ39" s="179"/>
      <c r="AK39" s="232">
        <f t="shared" si="0"/>
        <v>0</v>
      </c>
      <c r="AL39" s="220">
        <f t="shared" si="1"/>
        <v>0</v>
      </c>
      <c r="AM39" s="193">
        <v>39</v>
      </c>
    </row>
    <row r="40" spans="1:39" x14ac:dyDescent="0.25">
      <c r="A40" s="124" t="s">
        <v>72</v>
      </c>
      <c r="B40" s="26"/>
      <c r="C40" s="27"/>
      <c r="D40" s="157"/>
      <c r="E40" s="157"/>
      <c r="F40" s="144" t="s">
        <v>98</v>
      </c>
      <c r="G40" s="206"/>
      <c r="H40" s="29"/>
      <c r="I40" s="30">
        <v>0</v>
      </c>
      <c r="J40" s="169"/>
      <c r="K40" s="169"/>
      <c r="L40" s="255">
        <v>0</v>
      </c>
      <c r="M40" s="29"/>
      <c r="N40" s="30">
        <v>0</v>
      </c>
      <c r="O40" s="169"/>
      <c r="P40" s="169"/>
      <c r="Q40" s="255">
        <v>0</v>
      </c>
      <c r="R40" s="29"/>
      <c r="S40" s="30">
        <v>0</v>
      </c>
      <c r="T40" s="169"/>
      <c r="U40" s="169"/>
      <c r="V40" s="255">
        <v>0</v>
      </c>
      <c r="W40" s="29"/>
      <c r="X40" s="30">
        <v>0</v>
      </c>
      <c r="Y40" s="169"/>
      <c r="Z40" s="169"/>
      <c r="AA40" s="255">
        <v>0</v>
      </c>
      <c r="AB40" s="29"/>
      <c r="AC40" s="30">
        <v>0</v>
      </c>
      <c r="AD40" s="178"/>
      <c r="AE40" s="179"/>
      <c r="AF40" s="255">
        <v>0</v>
      </c>
      <c r="AG40" s="29"/>
      <c r="AH40" s="30">
        <v>0</v>
      </c>
      <c r="AI40" s="178"/>
      <c r="AJ40" s="179"/>
      <c r="AK40" s="232">
        <f t="shared" si="0"/>
        <v>0</v>
      </c>
      <c r="AL40" s="220">
        <f t="shared" si="1"/>
        <v>0</v>
      </c>
      <c r="AM40" s="193">
        <v>40</v>
      </c>
    </row>
    <row r="41" spans="1:39" x14ac:dyDescent="0.25">
      <c r="A41" s="124" t="s">
        <v>72</v>
      </c>
      <c r="B41" s="26"/>
      <c r="C41" s="27"/>
      <c r="D41" s="157"/>
      <c r="E41" s="157"/>
      <c r="F41" s="144" t="s">
        <v>98</v>
      </c>
      <c r="G41" s="206"/>
      <c r="H41" s="29"/>
      <c r="I41" s="30">
        <v>0</v>
      </c>
      <c r="J41" s="169"/>
      <c r="K41" s="169"/>
      <c r="L41" s="255">
        <v>0</v>
      </c>
      <c r="M41" s="29"/>
      <c r="N41" s="30">
        <v>0</v>
      </c>
      <c r="O41" s="169"/>
      <c r="P41" s="169"/>
      <c r="Q41" s="255">
        <v>0</v>
      </c>
      <c r="R41" s="29"/>
      <c r="S41" s="30">
        <v>0</v>
      </c>
      <c r="T41" s="169"/>
      <c r="U41" s="169"/>
      <c r="V41" s="255">
        <v>0</v>
      </c>
      <c r="W41" s="29"/>
      <c r="X41" s="30">
        <v>0</v>
      </c>
      <c r="Y41" s="169"/>
      <c r="Z41" s="169"/>
      <c r="AA41" s="255">
        <v>0</v>
      </c>
      <c r="AB41" s="29"/>
      <c r="AC41" s="30">
        <v>0</v>
      </c>
      <c r="AD41" s="178"/>
      <c r="AE41" s="179"/>
      <c r="AF41" s="255">
        <v>0</v>
      </c>
      <c r="AG41" s="29"/>
      <c r="AH41" s="30">
        <v>0</v>
      </c>
      <c r="AI41" s="178"/>
      <c r="AJ41" s="179"/>
      <c r="AK41" s="232">
        <f t="shared" si="0"/>
        <v>0</v>
      </c>
      <c r="AL41" s="220">
        <f t="shared" si="1"/>
        <v>0</v>
      </c>
      <c r="AM41" s="193">
        <v>41</v>
      </c>
    </row>
    <row r="42" spans="1:39" x14ac:dyDescent="0.25">
      <c r="A42" s="124" t="s">
        <v>72</v>
      </c>
      <c r="B42" s="26"/>
      <c r="C42" s="27"/>
      <c r="D42" s="157"/>
      <c r="E42" s="157"/>
      <c r="F42" s="144" t="s">
        <v>98</v>
      </c>
      <c r="G42" s="206"/>
      <c r="H42" s="29"/>
      <c r="I42" s="30">
        <v>0</v>
      </c>
      <c r="J42" s="169"/>
      <c r="K42" s="169"/>
      <c r="L42" s="255">
        <v>0</v>
      </c>
      <c r="M42" s="29"/>
      <c r="N42" s="30">
        <v>0</v>
      </c>
      <c r="O42" s="169"/>
      <c r="P42" s="169"/>
      <c r="Q42" s="255">
        <v>0</v>
      </c>
      <c r="R42" s="29"/>
      <c r="S42" s="30">
        <v>0</v>
      </c>
      <c r="T42" s="169"/>
      <c r="U42" s="169"/>
      <c r="V42" s="255">
        <v>0</v>
      </c>
      <c r="W42" s="29"/>
      <c r="X42" s="30">
        <v>0</v>
      </c>
      <c r="Y42" s="169"/>
      <c r="Z42" s="169"/>
      <c r="AA42" s="255">
        <v>0</v>
      </c>
      <c r="AB42" s="29"/>
      <c r="AC42" s="30">
        <v>0</v>
      </c>
      <c r="AD42" s="178"/>
      <c r="AE42" s="179"/>
      <c r="AF42" s="255">
        <v>0</v>
      </c>
      <c r="AG42" s="29"/>
      <c r="AH42" s="30">
        <v>0</v>
      </c>
      <c r="AI42" s="178"/>
      <c r="AJ42" s="179"/>
      <c r="AK42" s="232">
        <f t="shared" si="0"/>
        <v>0</v>
      </c>
      <c r="AL42" s="220">
        <f t="shared" si="1"/>
        <v>0</v>
      </c>
      <c r="AM42" s="193">
        <v>42</v>
      </c>
    </row>
    <row r="43" spans="1:39" x14ac:dyDescent="0.25">
      <c r="A43" s="124" t="s">
        <v>72</v>
      </c>
      <c r="B43" s="26"/>
      <c r="C43" s="27"/>
      <c r="D43" s="157"/>
      <c r="E43" s="157"/>
      <c r="F43" s="144" t="s">
        <v>98</v>
      </c>
      <c r="G43" s="206"/>
      <c r="H43" s="29"/>
      <c r="I43" s="30">
        <v>0</v>
      </c>
      <c r="J43" s="169"/>
      <c r="K43" s="169"/>
      <c r="L43" s="255">
        <v>0</v>
      </c>
      <c r="M43" s="29"/>
      <c r="N43" s="30">
        <v>0</v>
      </c>
      <c r="O43" s="169"/>
      <c r="P43" s="169"/>
      <c r="Q43" s="255">
        <v>0</v>
      </c>
      <c r="R43" s="29"/>
      <c r="S43" s="30">
        <v>0</v>
      </c>
      <c r="T43" s="169"/>
      <c r="U43" s="169"/>
      <c r="V43" s="255">
        <v>0</v>
      </c>
      <c r="W43" s="29"/>
      <c r="X43" s="30">
        <v>0</v>
      </c>
      <c r="Y43" s="169"/>
      <c r="Z43" s="169"/>
      <c r="AA43" s="255">
        <v>0</v>
      </c>
      <c r="AB43" s="29"/>
      <c r="AC43" s="30">
        <v>0</v>
      </c>
      <c r="AD43" s="178"/>
      <c r="AE43" s="179"/>
      <c r="AF43" s="255">
        <v>0</v>
      </c>
      <c r="AG43" s="29"/>
      <c r="AH43" s="30">
        <v>0</v>
      </c>
      <c r="AI43" s="178"/>
      <c r="AJ43" s="179"/>
      <c r="AK43" s="232">
        <f t="shared" si="0"/>
        <v>0</v>
      </c>
      <c r="AL43" s="220">
        <f t="shared" si="1"/>
        <v>0</v>
      </c>
      <c r="AM43" s="193">
        <v>43</v>
      </c>
    </row>
    <row r="44" spans="1:39" x14ac:dyDescent="0.25">
      <c r="A44" s="124" t="s">
        <v>72</v>
      </c>
      <c r="B44" s="26"/>
      <c r="C44" s="27"/>
      <c r="D44" s="157"/>
      <c r="E44" s="157"/>
      <c r="F44" s="144" t="s">
        <v>98</v>
      </c>
      <c r="G44" s="206"/>
      <c r="H44" s="29"/>
      <c r="I44" s="30">
        <v>0</v>
      </c>
      <c r="J44" s="169"/>
      <c r="K44" s="169"/>
      <c r="L44" s="255">
        <v>0</v>
      </c>
      <c r="M44" s="29"/>
      <c r="N44" s="30">
        <v>0</v>
      </c>
      <c r="O44" s="169"/>
      <c r="P44" s="169"/>
      <c r="Q44" s="255">
        <v>0</v>
      </c>
      <c r="R44" s="29"/>
      <c r="S44" s="30">
        <v>0</v>
      </c>
      <c r="T44" s="169"/>
      <c r="U44" s="169"/>
      <c r="V44" s="255">
        <v>0</v>
      </c>
      <c r="W44" s="29"/>
      <c r="X44" s="30">
        <v>0</v>
      </c>
      <c r="Y44" s="169"/>
      <c r="Z44" s="169"/>
      <c r="AA44" s="255">
        <v>0</v>
      </c>
      <c r="AB44" s="29"/>
      <c r="AC44" s="30">
        <v>0</v>
      </c>
      <c r="AD44" s="178"/>
      <c r="AE44" s="179"/>
      <c r="AF44" s="255">
        <v>0</v>
      </c>
      <c r="AG44" s="29"/>
      <c r="AH44" s="30">
        <v>0</v>
      </c>
      <c r="AI44" s="178"/>
      <c r="AJ44" s="179"/>
      <c r="AK44" s="232">
        <f t="shared" si="0"/>
        <v>0</v>
      </c>
      <c r="AL44" s="220">
        <f t="shared" si="1"/>
        <v>0</v>
      </c>
      <c r="AM44" s="193">
        <v>44</v>
      </c>
    </row>
    <row r="45" spans="1:39" x14ac:dyDescent="0.25">
      <c r="A45" s="124" t="s">
        <v>72</v>
      </c>
      <c r="B45" s="26"/>
      <c r="C45" s="27"/>
      <c r="D45" s="157"/>
      <c r="E45" s="157"/>
      <c r="F45" s="144" t="s">
        <v>98</v>
      </c>
      <c r="G45" s="206"/>
      <c r="H45" s="29"/>
      <c r="I45" s="30">
        <v>0</v>
      </c>
      <c r="J45" s="169"/>
      <c r="K45" s="169"/>
      <c r="L45" s="255">
        <v>0</v>
      </c>
      <c r="M45" s="29"/>
      <c r="N45" s="30">
        <v>0</v>
      </c>
      <c r="O45" s="169"/>
      <c r="P45" s="169"/>
      <c r="Q45" s="255">
        <v>0</v>
      </c>
      <c r="R45" s="29"/>
      <c r="S45" s="30">
        <v>0</v>
      </c>
      <c r="T45" s="169"/>
      <c r="U45" s="169"/>
      <c r="V45" s="255">
        <v>0</v>
      </c>
      <c r="W45" s="29"/>
      <c r="X45" s="30">
        <v>0</v>
      </c>
      <c r="Y45" s="169"/>
      <c r="Z45" s="169"/>
      <c r="AA45" s="255">
        <v>0</v>
      </c>
      <c r="AB45" s="29"/>
      <c r="AC45" s="30">
        <v>0</v>
      </c>
      <c r="AD45" s="178"/>
      <c r="AE45" s="179"/>
      <c r="AF45" s="255">
        <v>0</v>
      </c>
      <c r="AG45" s="29"/>
      <c r="AH45" s="30">
        <v>0</v>
      </c>
      <c r="AI45" s="178"/>
      <c r="AJ45" s="179"/>
      <c r="AK45" s="232">
        <f t="shared" si="0"/>
        <v>0</v>
      </c>
      <c r="AL45" s="220">
        <f t="shared" si="1"/>
        <v>0</v>
      </c>
      <c r="AM45" s="193">
        <v>45</v>
      </c>
    </row>
    <row r="46" spans="1:39" x14ac:dyDescent="0.25">
      <c r="A46" s="124" t="s">
        <v>72</v>
      </c>
      <c r="B46" s="26"/>
      <c r="C46" s="27"/>
      <c r="D46" s="157"/>
      <c r="E46" s="157"/>
      <c r="F46" s="144" t="s">
        <v>98</v>
      </c>
      <c r="G46" s="206"/>
      <c r="H46" s="29"/>
      <c r="I46" s="30">
        <v>0</v>
      </c>
      <c r="J46" s="169"/>
      <c r="K46" s="169"/>
      <c r="L46" s="255">
        <v>0</v>
      </c>
      <c r="M46" s="29"/>
      <c r="N46" s="30">
        <v>0</v>
      </c>
      <c r="O46" s="169"/>
      <c r="P46" s="169"/>
      <c r="Q46" s="255">
        <v>0</v>
      </c>
      <c r="R46" s="29"/>
      <c r="S46" s="30">
        <v>0</v>
      </c>
      <c r="T46" s="169"/>
      <c r="U46" s="169"/>
      <c r="V46" s="255">
        <v>0</v>
      </c>
      <c r="W46" s="29"/>
      <c r="X46" s="30">
        <v>0</v>
      </c>
      <c r="Y46" s="169"/>
      <c r="Z46" s="169"/>
      <c r="AA46" s="255">
        <v>0</v>
      </c>
      <c r="AB46" s="29"/>
      <c r="AC46" s="30">
        <v>0</v>
      </c>
      <c r="AD46" s="178"/>
      <c r="AE46" s="179"/>
      <c r="AF46" s="255">
        <v>0</v>
      </c>
      <c r="AG46" s="29"/>
      <c r="AH46" s="30">
        <v>0</v>
      </c>
      <c r="AI46" s="178"/>
      <c r="AJ46" s="179"/>
      <c r="AK46" s="232">
        <f t="shared" si="0"/>
        <v>0</v>
      </c>
      <c r="AL46" s="220">
        <f t="shared" si="1"/>
        <v>0</v>
      </c>
      <c r="AM46" s="193">
        <v>46</v>
      </c>
    </row>
    <row r="47" spans="1:39" x14ac:dyDescent="0.25">
      <c r="A47" s="124" t="s">
        <v>72</v>
      </c>
      <c r="B47" s="26"/>
      <c r="C47" s="27"/>
      <c r="D47" s="157"/>
      <c r="E47" s="157"/>
      <c r="F47" s="144" t="s">
        <v>98</v>
      </c>
      <c r="G47" s="206"/>
      <c r="H47" s="29"/>
      <c r="I47" s="30">
        <v>0</v>
      </c>
      <c r="J47" s="169"/>
      <c r="K47" s="169"/>
      <c r="L47" s="255">
        <v>0</v>
      </c>
      <c r="M47" s="29"/>
      <c r="N47" s="30">
        <v>0</v>
      </c>
      <c r="O47" s="169"/>
      <c r="P47" s="169"/>
      <c r="Q47" s="255">
        <v>0</v>
      </c>
      <c r="R47" s="29"/>
      <c r="S47" s="30">
        <v>0</v>
      </c>
      <c r="T47" s="169"/>
      <c r="U47" s="169"/>
      <c r="V47" s="255">
        <v>0</v>
      </c>
      <c r="W47" s="29"/>
      <c r="X47" s="30">
        <v>0</v>
      </c>
      <c r="Y47" s="169"/>
      <c r="Z47" s="169"/>
      <c r="AA47" s="255">
        <v>0</v>
      </c>
      <c r="AB47" s="29"/>
      <c r="AC47" s="30">
        <v>0</v>
      </c>
      <c r="AD47" s="178"/>
      <c r="AE47" s="179"/>
      <c r="AF47" s="255">
        <v>0</v>
      </c>
      <c r="AG47" s="29"/>
      <c r="AH47" s="30">
        <v>0</v>
      </c>
      <c r="AI47" s="178"/>
      <c r="AJ47" s="179"/>
      <c r="AK47" s="232">
        <f t="shared" si="0"/>
        <v>0</v>
      </c>
      <c r="AL47" s="220">
        <f t="shared" si="1"/>
        <v>0</v>
      </c>
      <c r="AM47" s="193">
        <v>47</v>
      </c>
    </row>
    <row r="48" spans="1:39" x14ac:dyDescent="0.25">
      <c r="A48" s="124" t="s">
        <v>72</v>
      </c>
      <c r="B48" s="26"/>
      <c r="C48" s="27"/>
      <c r="D48" s="157"/>
      <c r="E48" s="157"/>
      <c r="F48" s="144" t="s">
        <v>98</v>
      </c>
      <c r="G48" s="206"/>
      <c r="H48" s="29"/>
      <c r="I48" s="30">
        <v>0</v>
      </c>
      <c r="J48" s="169"/>
      <c r="K48" s="169"/>
      <c r="L48" s="255">
        <v>0</v>
      </c>
      <c r="M48" s="29"/>
      <c r="N48" s="30">
        <v>0</v>
      </c>
      <c r="O48" s="169"/>
      <c r="P48" s="169"/>
      <c r="Q48" s="255">
        <v>0</v>
      </c>
      <c r="R48" s="29"/>
      <c r="S48" s="30">
        <v>0</v>
      </c>
      <c r="T48" s="169"/>
      <c r="U48" s="169"/>
      <c r="V48" s="255">
        <v>0</v>
      </c>
      <c r="W48" s="29"/>
      <c r="X48" s="30">
        <v>0</v>
      </c>
      <c r="Y48" s="169"/>
      <c r="Z48" s="169"/>
      <c r="AA48" s="255">
        <v>0</v>
      </c>
      <c r="AB48" s="29"/>
      <c r="AC48" s="30">
        <v>0</v>
      </c>
      <c r="AD48" s="178"/>
      <c r="AE48" s="179"/>
      <c r="AF48" s="255">
        <v>0</v>
      </c>
      <c r="AG48" s="29"/>
      <c r="AH48" s="30">
        <v>0</v>
      </c>
      <c r="AI48" s="178"/>
      <c r="AJ48" s="179"/>
      <c r="AK48" s="232">
        <f t="shared" si="0"/>
        <v>0</v>
      </c>
      <c r="AL48" s="220">
        <f t="shared" si="1"/>
        <v>0</v>
      </c>
      <c r="AM48" s="193">
        <v>48</v>
      </c>
    </row>
    <row r="49" spans="1:39" x14ac:dyDescent="0.25">
      <c r="A49" s="124" t="s">
        <v>72</v>
      </c>
      <c r="B49" s="26"/>
      <c r="C49" s="27"/>
      <c r="D49" s="157"/>
      <c r="E49" s="157"/>
      <c r="F49" s="144" t="s">
        <v>98</v>
      </c>
      <c r="G49" s="206"/>
      <c r="H49" s="29"/>
      <c r="I49" s="30">
        <v>0</v>
      </c>
      <c r="J49" s="169"/>
      <c r="K49" s="169"/>
      <c r="L49" s="255">
        <v>0</v>
      </c>
      <c r="M49" s="29"/>
      <c r="N49" s="30">
        <v>0</v>
      </c>
      <c r="O49" s="169"/>
      <c r="P49" s="169"/>
      <c r="Q49" s="255">
        <v>0</v>
      </c>
      <c r="R49" s="29"/>
      <c r="S49" s="30">
        <v>0</v>
      </c>
      <c r="T49" s="169"/>
      <c r="U49" s="169"/>
      <c r="V49" s="255">
        <v>0</v>
      </c>
      <c r="W49" s="29"/>
      <c r="X49" s="30">
        <v>0</v>
      </c>
      <c r="Y49" s="169"/>
      <c r="Z49" s="169"/>
      <c r="AA49" s="255">
        <v>0</v>
      </c>
      <c r="AB49" s="29"/>
      <c r="AC49" s="30">
        <v>0</v>
      </c>
      <c r="AD49" s="178"/>
      <c r="AE49" s="179"/>
      <c r="AF49" s="255">
        <v>0</v>
      </c>
      <c r="AG49" s="29"/>
      <c r="AH49" s="30">
        <v>0</v>
      </c>
      <c r="AI49" s="178"/>
      <c r="AJ49" s="179"/>
      <c r="AK49" s="232">
        <f t="shared" si="0"/>
        <v>0</v>
      </c>
      <c r="AL49" s="220">
        <f t="shared" si="1"/>
        <v>0</v>
      </c>
      <c r="AM49" s="193">
        <v>49</v>
      </c>
    </row>
    <row r="50" spans="1:39" x14ac:dyDescent="0.25">
      <c r="A50" s="124" t="s">
        <v>72</v>
      </c>
      <c r="B50" s="26"/>
      <c r="C50" s="27"/>
      <c r="D50" s="157"/>
      <c r="E50" s="157"/>
      <c r="F50" s="144" t="s">
        <v>98</v>
      </c>
      <c r="G50" s="206"/>
      <c r="H50" s="29"/>
      <c r="I50" s="30">
        <v>0</v>
      </c>
      <c r="J50" s="169"/>
      <c r="K50" s="169"/>
      <c r="L50" s="255">
        <v>0</v>
      </c>
      <c r="M50" s="29"/>
      <c r="N50" s="30">
        <v>0</v>
      </c>
      <c r="O50" s="169"/>
      <c r="P50" s="169"/>
      <c r="Q50" s="255">
        <v>0</v>
      </c>
      <c r="R50" s="29"/>
      <c r="S50" s="30">
        <v>0</v>
      </c>
      <c r="T50" s="169"/>
      <c r="U50" s="169"/>
      <c r="V50" s="255">
        <v>0</v>
      </c>
      <c r="W50" s="29"/>
      <c r="X50" s="30">
        <v>0</v>
      </c>
      <c r="Y50" s="169"/>
      <c r="Z50" s="169"/>
      <c r="AA50" s="255">
        <v>0</v>
      </c>
      <c r="AB50" s="29"/>
      <c r="AC50" s="30">
        <v>0</v>
      </c>
      <c r="AD50" s="178"/>
      <c r="AE50" s="179"/>
      <c r="AF50" s="255">
        <v>0</v>
      </c>
      <c r="AG50" s="29"/>
      <c r="AH50" s="30">
        <v>0</v>
      </c>
      <c r="AI50" s="178"/>
      <c r="AJ50" s="179"/>
      <c r="AK50" s="232">
        <f t="shared" si="0"/>
        <v>0</v>
      </c>
      <c r="AL50" s="220">
        <f t="shared" si="1"/>
        <v>0</v>
      </c>
      <c r="AM50" s="193">
        <v>50</v>
      </c>
    </row>
    <row r="51" spans="1:39" x14ac:dyDescent="0.25">
      <c r="A51" s="124" t="s">
        <v>72</v>
      </c>
      <c r="B51" s="26"/>
      <c r="C51" s="27"/>
      <c r="D51" s="157"/>
      <c r="E51" s="157"/>
      <c r="F51" s="144" t="s">
        <v>98</v>
      </c>
      <c r="G51" s="206"/>
      <c r="H51" s="29"/>
      <c r="I51" s="30">
        <v>0</v>
      </c>
      <c r="J51" s="169"/>
      <c r="K51" s="169"/>
      <c r="L51" s="255">
        <v>0</v>
      </c>
      <c r="M51" s="29"/>
      <c r="N51" s="30">
        <v>0</v>
      </c>
      <c r="O51" s="169"/>
      <c r="P51" s="169"/>
      <c r="Q51" s="255">
        <v>0</v>
      </c>
      <c r="R51" s="29"/>
      <c r="S51" s="30">
        <v>0</v>
      </c>
      <c r="T51" s="169"/>
      <c r="U51" s="169"/>
      <c r="V51" s="255">
        <v>0</v>
      </c>
      <c r="W51" s="29"/>
      <c r="X51" s="30">
        <v>0</v>
      </c>
      <c r="Y51" s="169"/>
      <c r="Z51" s="169"/>
      <c r="AA51" s="255">
        <v>0</v>
      </c>
      <c r="AB51" s="29"/>
      <c r="AC51" s="30">
        <v>0</v>
      </c>
      <c r="AD51" s="178"/>
      <c r="AE51" s="179"/>
      <c r="AF51" s="255">
        <v>0</v>
      </c>
      <c r="AG51" s="29"/>
      <c r="AH51" s="30">
        <v>0</v>
      </c>
      <c r="AI51" s="178"/>
      <c r="AJ51" s="179"/>
      <c r="AK51" s="232">
        <f t="shared" si="0"/>
        <v>0</v>
      </c>
      <c r="AL51" s="220">
        <f t="shared" si="1"/>
        <v>0</v>
      </c>
      <c r="AM51" s="193">
        <v>51</v>
      </c>
    </row>
    <row r="52" spans="1:39" x14ac:dyDescent="0.25">
      <c r="A52" s="124" t="s">
        <v>72</v>
      </c>
      <c r="B52" s="26"/>
      <c r="C52" s="27"/>
      <c r="D52" s="157"/>
      <c r="E52" s="157"/>
      <c r="F52" s="144" t="s">
        <v>98</v>
      </c>
      <c r="G52" s="206"/>
      <c r="H52" s="29"/>
      <c r="I52" s="30">
        <v>0</v>
      </c>
      <c r="J52" s="169"/>
      <c r="K52" s="169"/>
      <c r="L52" s="255">
        <v>0</v>
      </c>
      <c r="M52" s="29"/>
      <c r="N52" s="30">
        <v>0</v>
      </c>
      <c r="O52" s="169"/>
      <c r="P52" s="169"/>
      <c r="Q52" s="255">
        <v>0</v>
      </c>
      <c r="R52" s="29"/>
      <c r="S52" s="30">
        <v>0</v>
      </c>
      <c r="T52" s="169"/>
      <c r="U52" s="169"/>
      <c r="V52" s="255">
        <v>0</v>
      </c>
      <c r="W52" s="29"/>
      <c r="X52" s="30">
        <v>0</v>
      </c>
      <c r="Y52" s="169"/>
      <c r="Z52" s="169"/>
      <c r="AA52" s="255">
        <v>0</v>
      </c>
      <c r="AB52" s="29"/>
      <c r="AC52" s="30">
        <v>0</v>
      </c>
      <c r="AD52" s="178"/>
      <c r="AE52" s="179"/>
      <c r="AF52" s="255">
        <v>0</v>
      </c>
      <c r="AG52" s="29"/>
      <c r="AH52" s="30">
        <v>0</v>
      </c>
      <c r="AI52" s="178"/>
      <c r="AJ52" s="179"/>
      <c r="AK52" s="232">
        <f t="shared" si="0"/>
        <v>0</v>
      </c>
      <c r="AL52" s="220">
        <f t="shared" si="1"/>
        <v>0</v>
      </c>
      <c r="AM52" s="193">
        <v>52</v>
      </c>
    </row>
    <row r="53" spans="1:39" x14ac:dyDescent="0.25">
      <c r="A53" s="124" t="s">
        <v>72</v>
      </c>
      <c r="B53" s="26"/>
      <c r="C53" s="27"/>
      <c r="D53" s="157"/>
      <c r="E53" s="157"/>
      <c r="F53" s="144" t="s">
        <v>98</v>
      </c>
      <c r="G53" s="206"/>
      <c r="H53" s="29"/>
      <c r="I53" s="30">
        <v>0</v>
      </c>
      <c r="J53" s="169"/>
      <c r="K53" s="169"/>
      <c r="L53" s="255">
        <v>0</v>
      </c>
      <c r="M53" s="29"/>
      <c r="N53" s="30">
        <v>0</v>
      </c>
      <c r="O53" s="169"/>
      <c r="P53" s="169"/>
      <c r="Q53" s="255">
        <v>0</v>
      </c>
      <c r="R53" s="29"/>
      <c r="S53" s="30">
        <v>0</v>
      </c>
      <c r="T53" s="169"/>
      <c r="U53" s="169"/>
      <c r="V53" s="255">
        <v>0</v>
      </c>
      <c r="W53" s="29"/>
      <c r="X53" s="30">
        <v>0</v>
      </c>
      <c r="Y53" s="169"/>
      <c r="Z53" s="169"/>
      <c r="AA53" s="255">
        <v>0</v>
      </c>
      <c r="AB53" s="29"/>
      <c r="AC53" s="30">
        <v>0</v>
      </c>
      <c r="AD53" s="178"/>
      <c r="AE53" s="179"/>
      <c r="AF53" s="255">
        <v>0</v>
      </c>
      <c r="AG53" s="29"/>
      <c r="AH53" s="30">
        <v>0</v>
      </c>
      <c r="AI53" s="178"/>
      <c r="AJ53" s="179"/>
      <c r="AK53" s="232">
        <f t="shared" si="0"/>
        <v>0</v>
      </c>
      <c r="AL53" s="220">
        <f t="shared" si="1"/>
        <v>0</v>
      </c>
      <c r="AM53" s="193">
        <v>53</v>
      </c>
    </row>
    <row r="54" spans="1:39" x14ac:dyDescent="0.25">
      <c r="A54" s="124" t="s">
        <v>72</v>
      </c>
      <c r="B54" s="26"/>
      <c r="C54" s="27"/>
      <c r="D54" s="157"/>
      <c r="E54" s="157"/>
      <c r="F54" s="144" t="s">
        <v>98</v>
      </c>
      <c r="G54" s="206"/>
      <c r="H54" s="29"/>
      <c r="I54" s="30">
        <v>0</v>
      </c>
      <c r="J54" s="169"/>
      <c r="K54" s="169"/>
      <c r="L54" s="255">
        <v>0</v>
      </c>
      <c r="M54" s="29"/>
      <c r="N54" s="30">
        <v>0</v>
      </c>
      <c r="O54" s="169"/>
      <c r="P54" s="169"/>
      <c r="Q54" s="255">
        <v>0</v>
      </c>
      <c r="R54" s="29"/>
      <c r="S54" s="30">
        <v>0</v>
      </c>
      <c r="T54" s="169"/>
      <c r="U54" s="169"/>
      <c r="V54" s="255">
        <v>0</v>
      </c>
      <c r="W54" s="29"/>
      <c r="X54" s="30">
        <v>0</v>
      </c>
      <c r="Y54" s="169"/>
      <c r="Z54" s="169"/>
      <c r="AA54" s="255">
        <v>0</v>
      </c>
      <c r="AB54" s="29"/>
      <c r="AC54" s="30">
        <v>0</v>
      </c>
      <c r="AD54" s="178"/>
      <c r="AE54" s="179"/>
      <c r="AF54" s="255">
        <v>0</v>
      </c>
      <c r="AG54" s="29"/>
      <c r="AH54" s="30">
        <v>0</v>
      </c>
      <c r="AI54" s="178"/>
      <c r="AJ54" s="179"/>
      <c r="AK54" s="232">
        <f t="shared" si="0"/>
        <v>0</v>
      </c>
      <c r="AL54" s="220">
        <f t="shared" si="1"/>
        <v>0</v>
      </c>
      <c r="AM54" s="193">
        <v>54</v>
      </c>
    </row>
    <row r="55" spans="1:39" x14ac:dyDescent="0.25">
      <c r="A55" s="124" t="s">
        <v>72</v>
      </c>
      <c r="B55" s="26"/>
      <c r="C55" s="27"/>
      <c r="D55" s="157"/>
      <c r="E55" s="157"/>
      <c r="F55" s="144" t="s">
        <v>98</v>
      </c>
      <c r="G55" s="206"/>
      <c r="H55" s="29"/>
      <c r="I55" s="30">
        <v>0</v>
      </c>
      <c r="J55" s="169"/>
      <c r="K55" s="169"/>
      <c r="L55" s="255">
        <v>0</v>
      </c>
      <c r="M55" s="29"/>
      <c r="N55" s="30">
        <v>0</v>
      </c>
      <c r="O55" s="169"/>
      <c r="P55" s="169"/>
      <c r="Q55" s="255">
        <v>0</v>
      </c>
      <c r="R55" s="29"/>
      <c r="S55" s="30">
        <v>0</v>
      </c>
      <c r="T55" s="169"/>
      <c r="U55" s="169"/>
      <c r="V55" s="255">
        <v>0</v>
      </c>
      <c r="W55" s="29"/>
      <c r="X55" s="30">
        <v>0</v>
      </c>
      <c r="Y55" s="169"/>
      <c r="Z55" s="169"/>
      <c r="AA55" s="255">
        <v>0</v>
      </c>
      <c r="AB55" s="29"/>
      <c r="AC55" s="30">
        <v>0</v>
      </c>
      <c r="AD55" s="178"/>
      <c r="AE55" s="179"/>
      <c r="AF55" s="255">
        <v>0</v>
      </c>
      <c r="AG55" s="29"/>
      <c r="AH55" s="30">
        <v>0</v>
      </c>
      <c r="AI55" s="178"/>
      <c r="AJ55" s="179"/>
      <c r="AK55" s="232">
        <f t="shared" si="0"/>
        <v>0</v>
      </c>
      <c r="AL55" s="220">
        <f t="shared" si="1"/>
        <v>0</v>
      </c>
      <c r="AM55" s="193">
        <v>55</v>
      </c>
    </row>
    <row r="56" spans="1:39" x14ac:dyDescent="0.25">
      <c r="A56" s="124" t="s">
        <v>72</v>
      </c>
      <c r="B56" s="26"/>
      <c r="C56" s="27"/>
      <c r="D56" s="157"/>
      <c r="E56" s="157"/>
      <c r="F56" s="144" t="s">
        <v>98</v>
      </c>
      <c r="G56" s="206"/>
      <c r="H56" s="29"/>
      <c r="I56" s="30">
        <v>0</v>
      </c>
      <c r="J56" s="169"/>
      <c r="K56" s="169"/>
      <c r="L56" s="255">
        <v>0</v>
      </c>
      <c r="M56" s="29"/>
      <c r="N56" s="30">
        <v>0</v>
      </c>
      <c r="O56" s="169"/>
      <c r="P56" s="169"/>
      <c r="Q56" s="255">
        <v>0</v>
      </c>
      <c r="R56" s="29"/>
      <c r="S56" s="30">
        <v>0</v>
      </c>
      <c r="T56" s="169"/>
      <c r="U56" s="169"/>
      <c r="V56" s="255">
        <v>0</v>
      </c>
      <c r="W56" s="29"/>
      <c r="X56" s="30">
        <v>0</v>
      </c>
      <c r="Y56" s="169"/>
      <c r="Z56" s="169"/>
      <c r="AA56" s="255">
        <v>0</v>
      </c>
      <c r="AB56" s="29"/>
      <c r="AC56" s="30">
        <v>0</v>
      </c>
      <c r="AD56" s="178"/>
      <c r="AE56" s="179"/>
      <c r="AF56" s="255">
        <v>0</v>
      </c>
      <c r="AG56" s="29"/>
      <c r="AH56" s="30">
        <v>0</v>
      </c>
      <c r="AI56" s="178"/>
      <c r="AJ56" s="179"/>
      <c r="AK56" s="232">
        <f t="shared" si="0"/>
        <v>0</v>
      </c>
      <c r="AL56" s="220">
        <f t="shared" si="1"/>
        <v>0</v>
      </c>
      <c r="AM56" s="193">
        <v>56</v>
      </c>
    </row>
    <row r="57" spans="1:39" x14ac:dyDescent="0.25">
      <c r="A57" s="124" t="s">
        <v>72</v>
      </c>
      <c r="B57" s="26"/>
      <c r="C57" s="27"/>
      <c r="D57" s="157"/>
      <c r="E57" s="157"/>
      <c r="F57" s="144" t="s">
        <v>98</v>
      </c>
      <c r="G57" s="206"/>
      <c r="H57" s="29"/>
      <c r="I57" s="30">
        <v>0</v>
      </c>
      <c r="J57" s="169"/>
      <c r="K57" s="169"/>
      <c r="L57" s="255">
        <v>0</v>
      </c>
      <c r="M57" s="29"/>
      <c r="N57" s="30">
        <v>0</v>
      </c>
      <c r="O57" s="169"/>
      <c r="P57" s="169"/>
      <c r="Q57" s="255">
        <v>0</v>
      </c>
      <c r="R57" s="29"/>
      <c r="S57" s="30">
        <v>0</v>
      </c>
      <c r="T57" s="169"/>
      <c r="U57" s="169"/>
      <c r="V57" s="255">
        <v>0</v>
      </c>
      <c r="W57" s="29"/>
      <c r="X57" s="30">
        <v>0</v>
      </c>
      <c r="Y57" s="169"/>
      <c r="Z57" s="169"/>
      <c r="AA57" s="255">
        <v>0</v>
      </c>
      <c r="AB57" s="29"/>
      <c r="AC57" s="30">
        <v>0</v>
      </c>
      <c r="AD57" s="178"/>
      <c r="AE57" s="179"/>
      <c r="AF57" s="255">
        <v>0</v>
      </c>
      <c r="AG57" s="29"/>
      <c r="AH57" s="30">
        <v>0</v>
      </c>
      <c r="AI57" s="178"/>
      <c r="AJ57" s="179"/>
      <c r="AK57" s="232">
        <f t="shared" si="0"/>
        <v>0</v>
      </c>
      <c r="AL57" s="220">
        <f t="shared" si="1"/>
        <v>0</v>
      </c>
      <c r="AM57" s="193">
        <v>57</v>
      </c>
    </row>
    <row r="58" spans="1:39" x14ac:dyDescent="0.25">
      <c r="A58" s="124" t="s">
        <v>72</v>
      </c>
      <c r="B58" s="26"/>
      <c r="C58" s="27"/>
      <c r="D58" s="157"/>
      <c r="E58" s="157"/>
      <c r="F58" s="144" t="s">
        <v>98</v>
      </c>
      <c r="G58" s="206"/>
      <c r="H58" s="29"/>
      <c r="I58" s="30">
        <v>0</v>
      </c>
      <c r="J58" s="169"/>
      <c r="K58" s="169"/>
      <c r="L58" s="255">
        <v>0</v>
      </c>
      <c r="M58" s="29"/>
      <c r="N58" s="30">
        <v>0</v>
      </c>
      <c r="O58" s="169"/>
      <c r="P58" s="169"/>
      <c r="Q58" s="255">
        <v>0</v>
      </c>
      <c r="R58" s="29"/>
      <c r="S58" s="30">
        <v>0</v>
      </c>
      <c r="T58" s="169"/>
      <c r="U58" s="169"/>
      <c r="V58" s="255">
        <v>0</v>
      </c>
      <c r="W58" s="29"/>
      <c r="X58" s="30">
        <v>0</v>
      </c>
      <c r="Y58" s="169"/>
      <c r="Z58" s="169"/>
      <c r="AA58" s="255">
        <v>0</v>
      </c>
      <c r="AB58" s="29"/>
      <c r="AC58" s="30">
        <v>0</v>
      </c>
      <c r="AD58" s="178"/>
      <c r="AE58" s="179"/>
      <c r="AF58" s="255">
        <v>0</v>
      </c>
      <c r="AG58" s="29"/>
      <c r="AH58" s="30">
        <v>0</v>
      </c>
      <c r="AI58" s="178"/>
      <c r="AJ58" s="179"/>
      <c r="AK58" s="232">
        <f t="shared" si="0"/>
        <v>0</v>
      </c>
      <c r="AL58" s="220">
        <f t="shared" si="1"/>
        <v>0</v>
      </c>
      <c r="AM58" s="193">
        <v>58</v>
      </c>
    </row>
    <row r="59" spans="1:39" x14ac:dyDescent="0.25">
      <c r="A59" s="124" t="s">
        <v>72</v>
      </c>
      <c r="B59" s="26"/>
      <c r="C59" s="27"/>
      <c r="D59" s="157"/>
      <c r="E59" s="157"/>
      <c r="F59" s="144" t="s">
        <v>98</v>
      </c>
      <c r="G59" s="206"/>
      <c r="H59" s="29"/>
      <c r="I59" s="30">
        <v>0</v>
      </c>
      <c r="J59" s="169"/>
      <c r="K59" s="169"/>
      <c r="L59" s="255">
        <v>0</v>
      </c>
      <c r="M59" s="29"/>
      <c r="N59" s="30">
        <v>0</v>
      </c>
      <c r="O59" s="169"/>
      <c r="P59" s="169"/>
      <c r="Q59" s="255">
        <v>0</v>
      </c>
      <c r="R59" s="29"/>
      <c r="S59" s="30">
        <v>0</v>
      </c>
      <c r="T59" s="169"/>
      <c r="U59" s="169"/>
      <c r="V59" s="255">
        <v>0</v>
      </c>
      <c r="W59" s="29"/>
      <c r="X59" s="30">
        <v>0</v>
      </c>
      <c r="Y59" s="169"/>
      <c r="Z59" s="169"/>
      <c r="AA59" s="255">
        <v>0</v>
      </c>
      <c r="AB59" s="29"/>
      <c r="AC59" s="30">
        <v>0</v>
      </c>
      <c r="AD59" s="178"/>
      <c r="AE59" s="179"/>
      <c r="AF59" s="255">
        <v>0</v>
      </c>
      <c r="AG59" s="29"/>
      <c r="AH59" s="30">
        <v>0</v>
      </c>
      <c r="AI59" s="178"/>
      <c r="AJ59" s="179"/>
      <c r="AK59" s="232">
        <f t="shared" si="0"/>
        <v>0</v>
      </c>
      <c r="AL59" s="220">
        <f t="shared" si="1"/>
        <v>0</v>
      </c>
      <c r="AM59" s="193">
        <v>59</v>
      </c>
    </row>
    <row r="60" spans="1:39" x14ac:dyDescent="0.25">
      <c r="A60" s="124" t="s">
        <v>72</v>
      </c>
      <c r="B60" s="26"/>
      <c r="C60" s="27"/>
      <c r="D60" s="157"/>
      <c r="E60" s="157"/>
      <c r="F60" s="144" t="s">
        <v>98</v>
      </c>
      <c r="G60" s="206"/>
      <c r="H60" s="29"/>
      <c r="I60" s="30">
        <v>0</v>
      </c>
      <c r="J60" s="169"/>
      <c r="K60" s="169"/>
      <c r="L60" s="255">
        <v>0</v>
      </c>
      <c r="M60" s="29"/>
      <c r="N60" s="30">
        <v>0</v>
      </c>
      <c r="O60" s="169"/>
      <c r="P60" s="169"/>
      <c r="Q60" s="255">
        <v>0</v>
      </c>
      <c r="R60" s="29"/>
      <c r="S60" s="30">
        <v>0</v>
      </c>
      <c r="T60" s="169"/>
      <c r="U60" s="169"/>
      <c r="V60" s="255">
        <v>0</v>
      </c>
      <c r="W60" s="29"/>
      <c r="X60" s="30">
        <v>0</v>
      </c>
      <c r="Y60" s="169"/>
      <c r="Z60" s="169"/>
      <c r="AA60" s="255">
        <v>0</v>
      </c>
      <c r="AB60" s="29"/>
      <c r="AC60" s="30">
        <v>0</v>
      </c>
      <c r="AD60" s="178"/>
      <c r="AE60" s="179"/>
      <c r="AF60" s="255">
        <v>0</v>
      </c>
      <c r="AG60" s="29"/>
      <c r="AH60" s="30">
        <v>0</v>
      </c>
      <c r="AI60" s="178"/>
      <c r="AJ60" s="179"/>
      <c r="AK60" s="232">
        <f t="shared" si="0"/>
        <v>0</v>
      </c>
      <c r="AL60" s="220">
        <f t="shared" si="1"/>
        <v>0</v>
      </c>
      <c r="AM60" s="193">
        <v>60</v>
      </c>
    </row>
    <row r="61" spans="1:39" x14ac:dyDescent="0.25">
      <c r="A61" s="124" t="s">
        <v>72</v>
      </c>
      <c r="B61" s="26"/>
      <c r="C61" s="27"/>
      <c r="D61" s="157"/>
      <c r="E61" s="157"/>
      <c r="F61" s="144" t="s">
        <v>98</v>
      </c>
      <c r="G61" s="206"/>
      <c r="H61" s="29"/>
      <c r="I61" s="30">
        <v>0</v>
      </c>
      <c r="J61" s="169"/>
      <c r="K61" s="169"/>
      <c r="L61" s="255">
        <v>0</v>
      </c>
      <c r="M61" s="29"/>
      <c r="N61" s="30">
        <v>0</v>
      </c>
      <c r="O61" s="169"/>
      <c r="P61" s="169"/>
      <c r="Q61" s="255">
        <v>0</v>
      </c>
      <c r="R61" s="29"/>
      <c r="S61" s="30">
        <v>0</v>
      </c>
      <c r="T61" s="169"/>
      <c r="U61" s="169"/>
      <c r="V61" s="255">
        <v>0</v>
      </c>
      <c r="W61" s="29"/>
      <c r="X61" s="30">
        <v>0</v>
      </c>
      <c r="Y61" s="169"/>
      <c r="Z61" s="169"/>
      <c r="AA61" s="255">
        <v>0</v>
      </c>
      <c r="AB61" s="29"/>
      <c r="AC61" s="30">
        <v>0</v>
      </c>
      <c r="AD61" s="178"/>
      <c r="AE61" s="179"/>
      <c r="AF61" s="255">
        <v>0</v>
      </c>
      <c r="AG61" s="29"/>
      <c r="AH61" s="30">
        <v>0</v>
      </c>
      <c r="AI61" s="178"/>
      <c r="AJ61" s="179"/>
      <c r="AK61" s="232">
        <f t="shared" si="0"/>
        <v>0</v>
      </c>
      <c r="AL61" s="220">
        <f t="shared" si="1"/>
        <v>0</v>
      </c>
      <c r="AM61" s="193">
        <v>61</v>
      </c>
    </row>
    <row r="62" spans="1:39" x14ac:dyDescent="0.25">
      <c r="A62" s="124" t="s">
        <v>72</v>
      </c>
      <c r="B62" s="26"/>
      <c r="C62" s="27"/>
      <c r="D62" s="157"/>
      <c r="E62" s="157"/>
      <c r="F62" s="144" t="s">
        <v>98</v>
      </c>
      <c r="G62" s="206"/>
      <c r="H62" s="29"/>
      <c r="I62" s="30">
        <v>0</v>
      </c>
      <c r="J62" s="169"/>
      <c r="K62" s="169"/>
      <c r="L62" s="255">
        <v>0</v>
      </c>
      <c r="M62" s="29"/>
      <c r="N62" s="30">
        <v>0</v>
      </c>
      <c r="O62" s="169"/>
      <c r="P62" s="169"/>
      <c r="Q62" s="255">
        <v>0</v>
      </c>
      <c r="R62" s="29"/>
      <c r="S62" s="30">
        <v>0</v>
      </c>
      <c r="T62" s="169"/>
      <c r="U62" s="169"/>
      <c r="V62" s="255">
        <v>0</v>
      </c>
      <c r="W62" s="29"/>
      <c r="X62" s="30">
        <v>0</v>
      </c>
      <c r="Y62" s="169"/>
      <c r="Z62" s="169"/>
      <c r="AA62" s="255">
        <v>0</v>
      </c>
      <c r="AB62" s="29"/>
      <c r="AC62" s="30">
        <v>0</v>
      </c>
      <c r="AD62" s="178"/>
      <c r="AE62" s="179"/>
      <c r="AF62" s="255">
        <v>0</v>
      </c>
      <c r="AG62" s="29"/>
      <c r="AH62" s="30">
        <v>0</v>
      </c>
      <c r="AI62" s="178"/>
      <c r="AJ62" s="179"/>
      <c r="AK62" s="232">
        <f t="shared" si="0"/>
        <v>0</v>
      </c>
      <c r="AL62" s="220">
        <f t="shared" si="1"/>
        <v>0</v>
      </c>
      <c r="AM62" s="193">
        <v>62</v>
      </c>
    </row>
    <row r="63" spans="1:39" x14ac:dyDescent="0.25">
      <c r="A63" s="124" t="s">
        <v>72</v>
      </c>
      <c r="B63" s="26"/>
      <c r="C63" s="27"/>
      <c r="D63" s="157"/>
      <c r="E63" s="157"/>
      <c r="F63" s="144" t="s">
        <v>98</v>
      </c>
      <c r="G63" s="206"/>
      <c r="H63" s="29"/>
      <c r="I63" s="30">
        <v>0</v>
      </c>
      <c r="J63" s="169"/>
      <c r="K63" s="169"/>
      <c r="L63" s="255">
        <v>0</v>
      </c>
      <c r="M63" s="29"/>
      <c r="N63" s="30">
        <v>0</v>
      </c>
      <c r="O63" s="169"/>
      <c r="P63" s="169"/>
      <c r="Q63" s="255">
        <v>0</v>
      </c>
      <c r="R63" s="29"/>
      <c r="S63" s="30">
        <v>0</v>
      </c>
      <c r="T63" s="169"/>
      <c r="U63" s="169"/>
      <c r="V63" s="255">
        <v>0</v>
      </c>
      <c r="W63" s="29"/>
      <c r="X63" s="30">
        <v>0</v>
      </c>
      <c r="Y63" s="169"/>
      <c r="Z63" s="169"/>
      <c r="AA63" s="255">
        <v>0</v>
      </c>
      <c r="AB63" s="29"/>
      <c r="AC63" s="30">
        <v>0</v>
      </c>
      <c r="AD63" s="178"/>
      <c r="AE63" s="179"/>
      <c r="AF63" s="255">
        <v>0</v>
      </c>
      <c r="AG63" s="29"/>
      <c r="AH63" s="30">
        <v>0</v>
      </c>
      <c r="AI63" s="178"/>
      <c r="AJ63" s="179"/>
      <c r="AK63" s="232">
        <f t="shared" si="0"/>
        <v>0</v>
      </c>
      <c r="AL63" s="220">
        <f t="shared" si="1"/>
        <v>0</v>
      </c>
      <c r="AM63" s="193">
        <v>63</v>
      </c>
    </row>
    <row r="64" spans="1:39" x14ac:dyDescent="0.25">
      <c r="A64" s="124" t="s">
        <v>72</v>
      </c>
      <c r="B64" s="26"/>
      <c r="C64" s="27"/>
      <c r="D64" s="157"/>
      <c r="E64" s="157"/>
      <c r="F64" s="144" t="s">
        <v>98</v>
      </c>
      <c r="G64" s="206"/>
      <c r="H64" s="29"/>
      <c r="I64" s="30">
        <v>0</v>
      </c>
      <c r="J64" s="169"/>
      <c r="K64" s="169"/>
      <c r="L64" s="255">
        <v>0</v>
      </c>
      <c r="M64" s="29"/>
      <c r="N64" s="30">
        <v>0</v>
      </c>
      <c r="O64" s="169"/>
      <c r="P64" s="169"/>
      <c r="Q64" s="255">
        <v>0</v>
      </c>
      <c r="R64" s="29"/>
      <c r="S64" s="30">
        <v>0</v>
      </c>
      <c r="T64" s="169"/>
      <c r="U64" s="169"/>
      <c r="V64" s="255">
        <v>0</v>
      </c>
      <c r="W64" s="29"/>
      <c r="X64" s="30">
        <v>0</v>
      </c>
      <c r="Y64" s="169"/>
      <c r="Z64" s="169"/>
      <c r="AA64" s="255">
        <v>0</v>
      </c>
      <c r="AB64" s="29"/>
      <c r="AC64" s="30">
        <v>0</v>
      </c>
      <c r="AD64" s="178"/>
      <c r="AE64" s="179"/>
      <c r="AF64" s="255">
        <v>0</v>
      </c>
      <c r="AG64" s="29"/>
      <c r="AH64" s="30">
        <v>0</v>
      </c>
      <c r="AI64" s="178"/>
      <c r="AJ64" s="179"/>
      <c r="AK64" s="232">
        <f t="shared" si="0"/>
        <v>0</v>
      </c>
      <c r="AL64" s="220">
        <f t="shared" si="1"/>
        <v>0</v>
      </c>
      <c r="AM64" s="193">
        <v>64</v>
      </c>
    </row>
    <row r="65" spans="1:46" x14ac:dyDescent="0.25">
      <c r="A65" s="124" t="s">
        <v>72</v>
      </c>
      <c r="B65" s="26"/>
      <c r="C65" s="27"/>
      <c r="D65" s="157"/>
      <c r="E65" s="157"/>
      <c r="F65" s="144" t="s">
        <v>98</v>
      </c>
      <c r="G65" s="206"/>
      <c r="H65" s="29"/>
      <c r="I65" s="30">
        <v>0</v>
      </c>
      <c r="J65" s="169"/>
      <c r="K65" s="169"/>
      <c r="L65" s="255">
        <v>0</v>
      </c>
      <c r="M65" s="29"/>
      <c r="N65" s="30">
        <v>0</v>
      </c>
      <c r="O65" s="169"/>
      <c r="P65" s="169"/>
      <c r="Q65" s="255">
        <v>0</v>
      </c>
      <c r="R65" s="29"/>
      <c r="S65" s="30">
        <v>0</v>
      </c>
      <c r="T65" s="169"/>
      <c r="U65" s="169"/>
      <c r="V65" s="255">
        <v>0</v>
      </c>
      <c r="W65" s="29"/>
      <c r="X65" s="30">
        <v>0</v>
      </c>
      <c r="Y65" s="169"/>
      <c r="Z65" s="169"/>
      <c r="AA65" s="255">
        <v>0</v>
      </c>
      <c r="AB65" s="29"/>
      <c r="AC65" s="30">
        <v>0</v>
      </c>
      <c r="AD65" s="178"/>
      <c r="AE65" s="179"/>
      <c r="AF65" s="255">
        <v>0</v>
      </c>
      <c r="AG65" s="29"/>
      <c r="AH65" s="30">
        <v>0</v>
      </c>
      <c r="AI65" s="178"/>
      <c r="AJ65" s="179"/>
      <c r="AK65" s="232">
        <f t="shared" si="0"/>
        <v>0</v>
      </c>
      <c r="AL65" s="220">
        <f t="shared" si="1"/>
        <v>0</v>
      </c>
      <c r="AM65" s="193">
        <v>65</v>
      </c>
    </row>
    <row r="66" spans="1:46" x14ac:dyDescent="0.25">
      <c r="A66" s="124" t="s">
        <v>72</v>
      </c>
      <c r="B66" s="26"/>
      <c r="C66" s="27"/>
      <c r="D66" s="157"/>
      <c r="E66" s="157"/>
      <c r="F66" s="144" t="s">
        <v>98</v>
      </c>
      <c r="G66" s="206"/>
      <c r="H66" s="29"/>
      <c r="I66" s="30">
        <v>0</v>
      </c>
      <c r="J66" s="169"/>
      <c r="K66" s="169"/>
      <c r="L66" s="255">
        <v>0</v>
      </c>
      <c r="M66" s="29"/>
      <c r="N66" s="30">
        <v>0</v>
      </c>
      <c r="O66" s="169"/>
      <c r="P66" s="169"/>
      <c r="Q66" s="255">
        <v>0</v>
      </c>
      <c r="R66" s="29"/>
      <c r="S66" s="30">
        <v>0</v>
      </c>
      <c r="T66" s="169"/>
      <c r="U66" s="169"/>
      <c r="V66" s="255">
        <v>0</v>
      </c>
      <c r="W66" s="29"/>
      <c r="X66" s="30">
        <v>0</v>
      </c>
      <c r="Y66" s="169"/>
      <c r="Z66" s="169"/>
      <c r="AA66" s="255">
        <v>0</v>
      </c>
      <c r="AB66" s="29"/>
      <c r="AC66" s="30">
        <v>0</v>
      </c>
      <c r="AD66" s="178"/>
      <c r="AE66" s="179"/>
      <c r="AF66" s="255">
        <v>0</v>
      </c>
      <c r="AG66" s="29"/>
      <c r="AH66" s="30">
        <v>0</v>
      </c>
      <c r="AI66" s="178"/>
      <c r="AJ66" s="179"/>
      <c r="AK66" s="232">
        <f t="shared" si="0"/>
        <v>0</v>
      </c>
      <c r="AL66" s="220">
        <f t="shared" si="1"/>
        <v>0</v>
      </c>
      <c r="AM66" s="193">
        <v>66</v>
      </c>
    </row>
    <row r="67" spans="1:46" x14ac:dyDescent="0.25">
      <c r="A67" s="124" t="s">
        <v>72</v>
      </c>
      <c r="B67" s="26"/>
      <c r="C67" s="27"/>
      <c r="D67" s="157"/>
      <c r="E67" s="157"/>
      <c r="F67" s="144" t="s">
        <v>98</v>
      </c>
      <c r="G67" s="206"/>
      <c r="H67" s="29"/>
      <c r="I67" s="30">
        <v>0</v>
      </c>
      <c r="J67" s="169"/>
      <c r="K67" s="169"/>
      <c r="L67" s="255">
        <v>0</v>
      </c>
      <c r="M67" s="29"/>
      <c r="N67" s="30">
        <v>0</v>
      </c>
      <c r="O67" s="169"/>
      <c r="P67" s="169"/>
      <c r="Q67" s="255">
        <v>0</v>
      </c>
      <c r="R67" s="29"/>
      <c r="S67" s="30">
        <v>0</v>
      </c>
      <c r="T67" s="169"/>
      <c r="U67" s="169"/>
      <c r="V67" s="255">
        <v>0</v>
      </c>
      <c r="W67" s="29"/>
      <c r="X67" s="30">
        <v>0</v>
      </c>
      <c r="Y67" s="169"/>
      <c r="Z67" s="169"/>
      <c r="AA67" s="255">
        <v>0</v>
      </c>
      <c r="AB67" s="29"/>
      <c r="AC67" s="30">
        <v>0</v>
      </c>
      <c r="AD67" s="178"/>
      <c r="AE67" s="179"/>
      <c r="AF67" s="255">
        <v>0</v>
      </c>
      <c r="AG67" s="29"/>
      <c r="AH67" s="30">
        <v>0</v>
      </c>
      <c r="AI67" s="178"/>
      <c r="AJ67" s="179"/>
      <c r="AK67" s="232">
        <f t="shared" si="0"/>
        <v>0</v>
      </c>
      <c r="AL67" s="220">
        <f t="shared" si="1"/>
        <v>0</v>
      </c>
      <c r="AM67" s="193">
        <v>67</v>
      </c>
    </row>
    <row r="68" spans="1:46" x14ac:dyDescent="0.25">
      <c r="A68" s="124" t="s">
        <v>72</v>
      </c>
      <c r="B68" s="26"/>
      <c r="C68" s="27"/>
      <c r="D68" s="157"/>
      <c r="E68" s="157"/>
      <c r="F68" s="144" t="s">
        <v>98</v>
      </c>
      <c r="G68" s="206"/>
      <c r="H68" s="29"/>
      <c r="I68" s="30">
        <v>0</v>
      </c>
      <c r="J68" s="169"/>
      <c r="K68" s="169"/>
      <c r="L68" s="255">
        <v>0</v>
      </c>
      <c r="M68" s="29"/>
      <c r="N68" s="30">
        <v>0</v>
      </c>
      <c r="O68" s="169"/>
      <c r="P68" s="169"/>
      <c r="Q68" s="255">
        <v>0</v>
      </c>
      <c r="R68" s="29"/>
      <c r="S68" s="30">
        <v>0</v>
      </c>
      <c r="T68" s="169"/>
      <c r="U68" s="169"/>
      <c r="V68" s="255">
        <v>0</v>
      </c>
      <c r="W68" s="29"/>
      <c r="X68" s="30">
        <v>0</v>
      </c>
      <c r="Y68" s="169"/>
      <c r="Z68" s="169"/>
      <c r="AA68" s="255">
        <v>0</v>
      </c>
      <c r="AB68" s="29"/>
      <c r="AC68" s="30">
        <v>0</v>
      </c>
      <c r="AD68" s="178"/>
      <c r="AE68" s="179"/>
      <c r="AF68" s="255">
        <v>0</v>
      </c>
      <c r="AG68" s="29"/>
      <c r="AH68" s="30">
        <v>0</v>
      </c>
      <c r="AI68" s="178"/>
      <c r="AJ68" s="179"/>
      <c r="AK68" s="232">
        <f t="shared" si="0"/>
        <v>0</v>
      </c>
      <c r="AL68" s="220">
        <f t="shared" si="1"/>
        <v>0</v>
      </c>
      <c r="AM68" s="193">
        <v>68</v>
      </c>
    </row>
    <row r="69" spans="1:46" ht="15.6" customHeight="1" x14ac:dyDescent="0.25">
      <c r="A69" s="124" t="s">
        <v>72</v>
      </c>
      <c r="B69" s="26"/>
      <c r="C69" s="27"/>
      <c r="D69" s="157"/>
      <c r="E69" s="157"/>
      <c r="F69" s="144" t="s">
        <v>98</v>
      </c>
      <c r="G69" s="206"/>
      <c r="H69" s="29"/>
      <c r="I69" s="30">
        <v>0</v>
      </c>
      <c r="J69" s="169"/>
      <c r="K69" s="169"/>
      <c r="L69" s="255">
        <v>0</v>
      </c>
      <c r="M69" s="29"/>
      <c r="N69" s="30">
        <v>0</v>
      </c>
      <c r="O69" s="169"/>
      <c r="P69" s="169"/>
      <c r="Q69" s="255">
        <v>0</v>
      </c>
      <c r="R69" s="29"/>
      <c r="S69" s="30">
        <v>0</v>
      </c>
      <c r="T69" s="169"/>
      <c r="U69" s="169"/>
      <c r="V69" s="255">
        <v>0</v>
      </c>
      <c r="W69" s="29"/>
      <c r="X69" s="30">
        <v>0</v>
      </c>
      <c r="Y69" s="169"/>
      <c r="Z69" s="169"/>
      <c r="AA69" s="255">
        <v>0</v>
      </c>
      <c r="AB69" s="29"/>
      <c r="AC69" s="30">
        <v>0</v>
      </c>
      <c r="AD69" s="178"/>
      <c r="AE69" s="179"/>
      <c r="AF69" s="255">
        <v>0</v>
      </c>
      <c r="AG69" s="29"/>
      <c r="AH69" s="30">
        <v>0</v>
      </c>
      <c r="AI69" s="178"/>
      <c r="AJ69" s="179"/>
      <c r="AK69" s="232">
        <f t="shared" si="0"/>
        <v>0</v>
      </c>
      <c r="AL69" s="220">
        <f t="shared" si="1"/>
        <v>0</v>
      </c>
      <c r="AM69" s="193">
        <v>69</v>
      </c>
    </row>
    <row r="70" spans="1:46" x14ac:dyDescent="0.25">
      <c r="A70" s="124" t="s">
        <v>72</v>
      </c>
      <c r="B70" s="26"/>
      <c r="C70" s="27"/>
      <c r="D70" s="157"/>
      <c r="E70" s="157"/>
      <c r="F70" s="144" t="s">
        <v>98</v>
      </c>
      <c r="G70" s="206"/>
      <c r="H70" s="29"/>
      <c r="I70" s="30">
        <v>0</v>
      </c>
      <c r="J70" s="169"/>
      <c r="K70" s="169"/>
      <c r="L70" s="255">
        <v>0</v>
      </c>
      <c r="M70" s="29"/>
      <c r="N70" s="30">
        <v>0</v>
      </c>
      <c r="O70" s="169"/>
      <c r="P70" s="169"/>
      <c r="Q70" s="255">
        <v>0</v>
      </c>
      <c r="R70" s="29"/>
      <c r="S70" s="30">
        <v>0</v>
      </c>
      <c r="T70" s="169"/>
      <c r="U70" s="169"/>
      <c r="V70" s="255">
        <v>0</v>
      </c>
      <c r="W70" s="29"/>
      <c r="X70" s="30">
        <v>0</v>
      </c>
      <c r="Y70" s="169"/>
      <c r="Z70" s="169"/>
      <c r="AA70" s="255">
        <v>0</v>
      </c>
      <c r="AB70" s="29"/>
      <c r="AC70" s="30">
        <v>0</v>
      </c>
      <c r="AD70" s="178"/>
      <c r="AE70" s="179"/>
      <c r="AF70" s="255">
        <v>0</v>
      </c>
      <c r="AG70" s="29"/>
      <c r="AH70" s="30">
        <v>0</v>
      </c>
      <c r="AI70" s="178"/>
      <c r="AJ70" s="179"/>
      <c r="AK70" s="232">
        <f t="shared" si="0"/>
        <v>0</v>
      </c>
      <c r="AL70" s="220">
        <f t="shared" si="1"/>
        <v>0</v>
      </c>
      <c r="AM70" s="193">
        <v>70</v>
      </c>
    </row>
    <row r="71" spans="1:46" x14ac:dyDescent="0.25">
      <c r="A71" s="124" t="s">
        <v>72</v>
      </c>
      <c r="B71" s="26"/>
      <c r="C71" s="27"/>
      <c r="D71" s="157"/>
      <c r="E71" s="157"/>
      <c r="F71" s="144" t="s">
        <v>98</v>
      </c>
      <c r="G71" s="206"/>
      <c r="H71" s="29"/>
      <c r="I71" s="30">
        <v>0</v>
      </c>
      <c r="J71" s="169"/>
      <c r="K71" s="169"/>
      <c r="L71" s="255">
        <v>0</v>
      </c>
      <c r="M71" s="29"/>
      <c r="N71" s="30">
        <v>0</v>
      </c>
      <c r="O71" s="169"/>
      <c r="P71" s="169"/>
      <c r="Q71" s="255">
        <v>0</v>
      </c>
      <c r="R71" s="29"/>
      <c r="S71" s="30">
        <v>0</v>
      </c>
      <c r="T71" s="169"/>
      <c r="U71" s="169"/>
      <c r="V71" s="255">
        <v>0</v>
      </c>
      <c r="W71" s="29"/>
      <c r="X71" s="30">
        <v>0</v>
      </c>
      <c r="Y71" s="169"/>
      <c r="Z71" s="169"/>
      <c r="AA71" s="255">
        <v>0</v>
      </c>
      <c r="AB71" s="29"/>
      <c r="AC71" s="30">
        <v>0</v>
      </c>
      <c r="AD71" s="178"/>
      <c r="AE71" s="179"/>
      <c r="AF71" s="255">
        <v>0</v>
      </c>
      <c r="AG71" s="29"/>
      <c r="AH71" s="30">
        <v>0</v>
      </c>
      <c r="AI71" s="178"/>
      <c r="AJ71" s="179"/>
      <c r="AK71" s="232">
        <f t="shared" si="0"/>
        <v>0</v>
      </c>
      <c r="AL71" s="220">
        <f t="shared" si="1"/>
        <v>0</v>
      </c>
      <c r="AM71" s="193">
        <v>71</v>
      </c>
    </row>
    <row r="72" spans="1:46" x14ac:dyDescent="0.25">
      <c r="A72" s="124" t="s">
        <v>72</v>
      </c>
      <c r="B72" s="26"/>
      <c r="C72" s="27"/>
      <c r="D72" s="157"/>
      <c r="E72" s="157"/>
      <c r="F72" s="144" t="s">
        <v>98</v>
      </c>
      <c r="G72" s="28"/>
      <c r="H72" s="29"/>
      <c r="I72" s="30">
        <v>0</v>
      </c>
      <c r="J72" s="169"/>
      <c r="K72" s="169"/>
      <c r="L72" s="255">
        <v>0</v>
      </c>
      <c r="M72" s="29"/>
      <c r="N72" s="30">
        <v>0</v>
      </c>
      <c r="O72" s="169"/>
      <c r="P72" s="169"/>
      <c r="Q72" s="255">
        <v>0</v>
      </c>
      <c r="R72" s="29"/>
      <c r="S72" s="30">
        <v>0</v>
      </c>
      <c r="T72" s="169"/>
      <c r="U72" s="169"/>
      <c r="V72" s="255">
        <v>0</v>
      </c>
      <c r="W72" s="29"/>
      <c r="X72" s="30">
        <v>0</v>
      </c>
      <c r="Y72" s="169"/>
      <c r="Z72" s="169"/>
      <c r="AA72" s="255">
        <v>0</v>
      </c>
      <c r="AB72" s="29"/>
      <c r="AC72" s="30">
        <v>0</v>
      </c>
      <c r="AD72" s="178"/>
      <c r="AE72" s="179"/>
      <c r="AF72" s="255">
        <v>0</v>
      </c>
      <c r="AG72" s="29"/>
      <c r="AH72" s="30">
        <v>0</v>
      </c>
      <c r="AI72" s="178"/>
      <c r="AJ72" s="179"/>
      <c r="AK72" s="232">
        <f t="shared" si="0"/>
        <v>0</v>
      </c>
      <c r="AL72" s="220">
        <f t="shared" si="1"/>
        <v>0</v>
      </c>
      <c r="AM72" s="193">
        <v>72</v>
      </c>
    </row>
    <row r="73" spans="1:46" x14ac:dyDescent="0.25">
      <c r="A73" s="124" t="s">
        <v>72</v>
      </c>
      <c r="B73" s="26"/>
      <c r="C73" s="27"/>
      <c r="D73" s="157"/>
      <c r="E73" s="157"/>
      <c r="F73" s="144" t="s">
        <v>98</v>
      </c>
      <c r="G73" s="28"/>
      <c r="H73" s="29"/>
      <c r="I73" s="30">
        <v>0</v>
      </c>
      <c r="J73" s="169"/>
      <c r="K73" s="169"/>
      <c r="L73" s="255">
        <v>0</v>
      </c>
      <c r="M73" s="29"/>
      <c r="N73" s="30">
        <v>0</v>
      </c>
      <c r="O73" s="169"/>
      <c r="P73" s="169"/>
      <c r="Q73" s="255">
        <v>0</v>
      </c>
      <c r="R73" s="29"/>
      <c r="S73" s="30">
        <v>0</v>
      </c>
      <c r="T73" s="169"/>
      <c r="U73" s="169"/>
      <c r="V73" s="255">
        <v>0</v>
      </c>
      <c r="W73" s="29"/>
      <c r="X73" s="30">
        <v>0</v>
      </c>
      <c r="Y73" s="169"/>
      <c r="Z73" s="169"/>
      <c r="AA73" s="255">
        <v>0</v>
      </c>
      <c r="AB73" s="29"/>
      <c r="AC73" s="30">
        <v>0</v>
      </c>
      <c r="AD73" s="178"/>
      <c r="AE73" s="179"/>
      <c r="AF73" s="255">
        <v>0</v>
      </c>
      <c r="AG73" s="29"/>
      <c r="AH73" s="30">
        <v>0</v>
      </c>
      <c r="AI73" s="178"/>
      <c r="AJ73" s="179"/>
      <c r="AK73" s="232">
        <f t="shared" si="0"/>
        <v>0</v>
      </c>
      <c r="AL73" s="220">
        <f t="shared" si="1"/>
        <v>0</v>
      </c>
      <c r="AM73" s="193">
        <v>73</v>
      </c>
    </row>
    <row r="74" spans="1:46" x14ac:dyDescent="0.25">
      <c r="A74" s="124" t="s">
        <v>72</v>
      </c>
      <c r="B74" s="26"/>
      <c r="C74" s="27"/>
      <c r="D74" s="157"/>
      <c r="E74" s="157"/>
      <c r="F74" s="144" t="s">
        <v>98</v>
      </c>
      <c r="G74" s="28"/>
      <c r="H74" s="29"/>
      <c r="I74" s="30">
        <v>0</v>
      </c>
      <c r="J74" s="169"/>
      <c r="K74" s="169"/>
      <c r="L74" s="255">
        <v>0</v>
      </c>
      <c r="M74" s="29"/>
      <c r="N74" s="30">
        <v>0</v>
      </c>
      <c r="O74" s="169"/>
      <c r="P74" s="169"/>
      <c r="Q74" s="255">
        <v>0</v>
      </c>
      <c r="R74" s="29"/>
      <c r="S74" s="30">
        <v>0</v>
      </c>
      <c r="T74" s="169"/>
      <c r="U74" s="169"/>
      <c r="V74" s="255">
        <v>0</v>
      </c>
      <c r="W74" s="29"/>
      <c r="X74" s="30">
        <v>0</v>
      </c>
      <c r="Y74" s="169"/>
      <c r="Z74" s="169"/>
      <c r="AA74" s="255">
        <v>0</v>
      </c>
      <c r="AB74" s="29"/>
      <c r="AC74" s="30">
        <v>0</v>
      </c>
      <c r="AD74" s="178"/>
      <c r="AE74" s="179"/>
      <c r="AF74" s="255">
        <v>0</v>
      </c>
      <c r="AG74" s="29"/>
      <c r="AH74" s="30">
        <v>0</v>
      </c>
      <c r="AI74" s="178"/>
      <c r="AJ74" s="179"/>
      <c r="AK74" s="232">
        <f t="shared" ref="AK74:AL77" si="2">H74+M74+R74+W74+AB74+AG74</f>
        <v>0</v>
      </c>
      <c r="AL74" s="220">
        <f t="shared" si="2"/>
        <v>0</v>
      </c>
      <c r="AM74" s="193">
        <v>74</v>
      </c>
    </row>
    <row r="75" spans="1:46" x14ac:dyDescent="0.25">
      <c r="A75" s="124" t="s">
        <v>72</v>
      </c>
      <c r="B75" s="26"/>
      <c r="C75" s="27"/>
      <c r="D75" s="157"/>
      <c r="E75" s="157"/>
      <c r="F75" s="144" t="s">
        <v>98</v>
      </c>
      <c r="G75" s="28"/>
      <c r="H75" s="29"/>
      <c r="I75" s="30">
        <v>0</v>
      </c>
      <c r="J75" s="169"/>
      <c r="K75" s="169"/>
      <c r="L75" s="255">
        <v>0</v>
      </c>
      <c r="M75" s="29"/>
      <c r="N75" s="30">
        <v>0</v>
      </c>
      <c r="O75" s="169"/>
      <c r="P75" s="169"/>
      <c r="Q75" s="255">
        <v>0</v>
      </c>
      <c r="R75" s="29"/>
      <c r="S75" s="30">
        <v>0</v>
      </c>
      <c r="T75" s="169"/>
      <c r="U75" s="169"/>
      <c r="V75" s="255">
        <v>0</v>
      </c>
      <c r="W75" s="29"/>
      <c r="X75" s="30">
        <v>0</v>
      </c>
      <c r="Y75" s="169"/>
      <c r="Z75" s="169"/>
      <c r="AA75" s="255">
        <v>0</v>
      </c>
      <c r="AB75" s="29"/>
      <c r="AC75" s="30">
        <v>0</v>
      </c>
      <c r="AD75" s="178"/>
      <c r="AE75" s="179"/>
      <c r="AF75" s="255">
        <v>0</v>
      </c>
      <c r="AG75" s="29"/>
      <c r="AH75" s="30">
        <v>0</v>
      </c>
      <c r="AI75" s="178"/>
      <c r="AJ75" s="179"/>
      <c r="AK75" s="232">
        <f t="shared" si="2"/>
        <v>0</v>
      </c>
      <c r="AL75" s="220">
        <f t="shared" si="2"/>
        <v>0</v>
      </c>
      <c r="AM75" s="193">
        <v>75</v>
      </c>
    </row>
    <row r="76" spans="1:46" x14ac:dyDescent="0.25">
      <c r="A76" s="124" t="s">
        <v>72</v>
      </c>
      <c r="B76" s="26"/>
      <c r="C76" s="27"/>
      <c r="D76" s="157"/>
      <c r="E76" s="157"/>
      <c r="F76" s="144" t="s">
        <v>98</v>
      </c>
      <c r="G76" s="28"/>
      <c r="H76" s="29"/>
      <c r="I76" s="30">
        <v>0</v>
      </c>
      <c r="J76" s="169"/>
      <c r="K76" s="169"/>
      <c r="L76" s="255">
        <v>0</v>
      </c>
      <c r="M76" s="29"/>
      <c r="N76" s="30">
        <v>0</v>
      </c>
      <c r="O76" s="169"/>
      <c r="P76" s="169"/>
      <c r="Q76" s="255">
        <v>0</v>
      </c>
      <c r="R76" s="29"/>
      <c r="S76" s="30">
        <v>0</v>
      </c>
      <c r="T76" s="169"/>
      <c r="U76" s="169"/>
      <c r="V76" s="255">
        <v>0</v>
      </c>
      <c r="W76" s="29"/>
      <c r="X76" s="30">
        <v>0</v>
      </c>
      <c r="Y76" s="169"/>
      <c r="Z76" s="169"/>
      <c r="AA76" s="255">
        <v>0</v>
      </c>
      <c r="AB76" s="29"/>
      <c r="AC76" s="30">
        <v>0</v>
      </c>
      <c r="AD76" s="178"/>
      <c r="AE76" s="179"/>
      <c r="AF76" s="255">
        <v>0</v>
      </c>
      <c r="AG76" s="29"/>
      <c r="AH76" s="30">
        <v>0</v>
      </c>
      <c r="AI76" s="178"/>
      <c r="AJ76" s="179"/>
      <c r="AK76" s="232">
        <f t="shared" si="2"/>
        <v>0</v>
      </c>
      <c r="AL76" s="220">
        <f t="shared" si="2"/>
        <v>0</v>
      </c>
      <c r="AM76" s="193">
        <v>76</v>
      </c>
    </row>
    <row r="77" spans="1:46" x14ac:dyDescent="0.25">
      <c r="A77" s="125"/>
      <c r="B77" s="31"/>
      <c r="C77" s="24"/>
      <c r="D77" s="157"/>
      <c r="E77" s="157"/>
      <c r="F77" s="144" t="s">
        <v>98</v>
      </c>
      <c r="G77" s="28"/>
      <c r="H77" s="32"/>
      <c r="I77" s="30">
        <v>0</v>
      </c>
      <c r="J77" s="169"/>
      <c r="K77" s="169"/>
      <c r="L77" s="255"/>
      <c r="M77" s="32"/>
      <c r="N77" s="30">
        <v>0</v>
      </c>
      <c r="O77" s="169"/>
      <c r="P77" s="169"/>
      <c r="Q77" s="255"/>
      <c r="R77" s="32"/>
      <c r="S77" s="30">
        <v>0</v>
      </c>
      <c r="T77" s="169"/>
      <c r="U77" s="169"/>
      <c r="V77" s="255"/>
      <c r="W77" s="32"/>
      <c r="X77" s="30">
        <v>0</v>
      </c>
      <c r="Y77" s="169"/>
      <c r="Z77" s="169"/>
      <c r="AA77" s="255"/>
      <c r="AB77" s="32"/>
      <c r="AC77" s="30">
        <v>0</v>
      </c>
      <c r="AD77" s="178"/>
      <c r="AE77" s="179"/>
      <c r="AF77" s="255"/>
      <c r="AG77" s="273"/>
      <c r="AH77" s="30">
        <v>0</v>
      </c>
      <c r="AI77" s="178"/>
      <c r="AJ77" s="179"/>
      <c r="AK77" s="232">
        <f t="shared" si="2"/>
        <v>0</v>
      </c>
      <c r="AL77" s="220">
        <f t="shared" si="2"/>
        <v>0</v>
      </c>
      <c r="AM77" s="193">
        <v>77</v>
      </c>
    </row>
    <row r="78" spans="1:46" s="39" customFormat="1" x14ac:dyDescent="0.25">
      <c r="A78" s="126" t="s">
        <v>105</v>
      </c>
      <c r="B78" s="33"/>
      <c r="C78" s="34"/>
      <c r="D78" s="35"/>
      <c r="E78" s="35"/>
      <c r="F78" s="99" t="s">
        <v>98</v>
      </c>
      <c r="G78" s="36"/>
      <c r="H78" s="37">
        <f>SUM(H9:H77)</f>
        <v>0</v>
      </c>
      <c r="I78" s="38">
        <f>SUM(I9:I77)</f>
        <v>0</v>
      </c>
      <c r="J78" s="170"/>
      <c r="K78" s="170"/>
      <c r="L78" s="36"/>
      <c r="M78" s="37">
        <f>SUM(M9:M77)</f>
        <v>0</v>
      </c>
      <c r="N78" s="38">
        <f>SUM(N9:N77)</f>
        <v>0</v>
      </c>
      <c r="O78" s="170"/>
      <c r="P78" s="170"/>
      <c r="Q78" s="36"/>
      <c r="R78" s="37">
        <f>SUM(R9:R77)</f>
        <v>0</v>
      </c>
      <c r="S78" s="38">
        <f>SUM(S9:S77)</f>
        <v>0</v>
      </c>
      <c r="T78" s="170"/>
      <c r="U78" s="170"/>
      <c r="V78" s="36"/>
      <c r="W78" s="37">
        <f>SUM(W9:W77)</f>
        <v>0</v>
      </c>
      <c r="X78" s="38">
        <f>SUM(X9:X77)</f>
        <v>0</v>
      </c>
      <c r="Y78" s="170"/>
      <c r="Z78" s="170"/>
      <c r="AA78" s="36"/>
      <c r="AB78" s="37">
        <f>SUM(AB9:AB77)</f>
        <v>0</v>
      </c>
      <c r="AC78" s="38">
        <f>SUM(AC9:AC77)</f>
        <v>0</v>
      </c>
      <c r="AD78" s="180"/>
      <c r="AE78" s="181"/>
      <c r="AF78" s="36"/>
      <c r="AG78" s="37">
        <f>SUM(AG9:AG77)</f>
        <v>0</v>
      </c>
      <c r="AH78" s="38">
        <f>SUM(AH9:AH77)</f>
        <v>0</v>
      </c>
      <c r="AI78" s="178"/>
      <c r="AJ78" s="179"/>
      <c r="AK78" s="278">
        <f>SUM(H78,M78,R78,W78,AB78)</f>
        <v>0</v>
      </c>
      <c r="AL78" s="221">
        <f>I78+N78+S78+X78+AC78</f>
        <v>0</v>
      </c>
      <c r="AM78" s="194">
        <v>78</v>
      </c>
      <c r="AN78"/>
      <c r="AO78"/>
      <c r="AP78"/>
      <c r="AQ78"/>
      <c r="AR78"/>
      <c r="AS78"/>
      <c r="AT78"/>
    </row>
    <row r="79" spans="1:46" s="6" customFormat="1" x14ac:dyDescent="0.25">
      <c r="A79" s="127"/>
      <c r="B79" s="23"/>
      <c r="C79" s="23"/>
      <c r="D79" s="40"/>
      <c r="E79" s="40"/>
      <c r="F79" s="99" t="s">
        <v>98</v>
      </c>
      <c r="G79" s="41"/>
      <c r="H79" s="23"/>
      <c r="I79" s="42"/>
      <c r="J79" s="171" t="s">
        <v>93</v>
      </c>
      <c r="K79" s="171"/>
      <c r="L79" s="207">
        <v>0</v>
      </c>
      <c r="M79" s="23"/>
      <c r="N79" s="42"/>
      <c r="O79" s="171" t="s">
        <v>93</v>
      </c>
      <c r="P79" s="171"/>
      <c r="Q79" s="41"/>
      <c r="R79" s="23"/>
      <c r="S79" s="42"/>
      <c r="T79" s="171" t="s">
        <v>93</v>
      </c>
      <c r="U79" s="171"/>
      <c r="V79" s="41"/>
      <c r="W79" s="23"/>
      <c r="X79" s="42"/>
      <c r="Y79" s="171" t="s">
        <v>93</v>
      </c>
      <c r="Z79" s="171"/>
      <c r="AA79" s="41"/>
      <c r="AB79" s="23"/>
      <c r="AC79" s="42"/>
      <c r="AD79" s="182" t="s">
        <v>93</v>
      </c>
      <c r="AE79" s="183"/>
      <c r="AF79" s="41"/>
      <c r="AG79" s="274"/>
      <c r="AH79" s="42"/>
      <c r="AI79" s="182" t="s">
        <v>93</v>
      </c>
      <c r="AJ79" s="183"/>
      <c r="AK79" s="211"/>
      <c r="AL79" s="222"/>
      <c r="AM79" s="193">
        <v>79</v>
      </c>
      <c r="AN79"/>
      <c r="AO79"/>
      <c r="AP79"/>
      <c r="AQ79"/>
      <c r="AR79"/>
      <c r="AS79"/>
      <c r="AT79"/>
    </row>
    <row r="80" spans="1:46" x14ac:dyDescent="0.25">
      <c r="A80" s="123" t="s">
        <v>59</v>
      </c>
      <c r="B80" s="23"/>
      <c r="C80" s="24"/>
      <c r="D80" s="21"/>
      <c r="E80" s="21"/>
      <c r="F80" s="99" t="s">
        <v>98</v>
      </c>
      <c r="G80" s="25"/>
      <c r="H80" s="43" t="s">
        <v>16</v>
      </c>
      <c r="I80" s="44" t="s">
        <v>98</v>
      </c>
      <c r="J80" s="171" t="s">
        <v>95</v>
      </c>
      <c r="K80" s="171" t="s">
        <v>94</v>
      </c>
      <c r="L80" s="207"/>
      <c r="M80" s="43" t="s">
        <v>16</v>
      </c>
      <c r="N80" s="44" t="s">
        <v>98</v>
      </c>
      <c r="O80" s="171" t="s">
        <v>95</v>
      </c>
      <c r="P80" s="171" t="s">
        <v>94</v>
      </c>
      <c r="Q80" s="25"/>
      <c r="R80" s="43" t="s">
        <v>16</v>
      </c>
      <c r="S80" s="44" t="s">
        <v>98</v>
      </c>
      <c r="T80" s="171" t="s">
        <v>95</v>
      </c>
      <c r="U80" s="171" t="s">
        <v>94</v>
      </c>
      <c r="V80" s="25"/>
      <c r="W80" s="43" t="s">
        <v>16</v>
      </c>
      <c r="X80" s="44" t="s">
        <v>98</v>
      </c>
      <c r="Y80" s="171" t="s">
        <v>95</v>
      </c>
      <c r="Z80" s="171" t="s">
        <v>94</v>
      </c>
      <c r="AA80" s="25"/>
      <c r="AB80" s="43" t="s">
        <v>16</v>
      </c>
      <c r="AC80" s="44" t="s">
        <v>98</v>
      </c>
      <c r="AD80" s="182" t="s">
        <v>95</v>
      </c>
      <c r="AE80" s="183" t="s">
        <v>94</v>
      </c>
      <c r="AF80" s="25"/>
      <c r="AG80" s="275" t="s">
        <v>16</v>
      </c>
      <c r="AH80" s="44" t="s">
        <v>98</v>
      </c>
      <c r="AI80" s="182" t="s">
        <v>95</v>
      </c>
      <c r="AJ80" s="183" t="s">
        <v>94</v>
      </c>
      <c r="AK80" s="212"/>
      <c r="AL80" s="223"/>
      <c r="AM80" s="193">
        <v>80</v>
      </c>
    </row>
    <row r="81" spans="1:46" x14ac:dyDescent="0.25">
      <c r="A81" s="128" t="s">
        <v>17</v>
      </c>
      <c r="B81" s="45" t="s">
        <v>75</v>
      </c>
      <c r="C81" s="24"/>
      <c r="D81" s="281" t="s">
        <v>66</v>
      </c>
      <c r="E81" s="21"/>
      <c r="F81" s="99" t="s">
        <v>98</v>
      </c>
      <c r="G81" s="151">
        <v>0</v>
      </c>
      <c r="H81" s="279">
        <f>SUMIF($D$9:$D$77, $D81, I$9:I$77)+SUM(K81:K82)</f>
        <v>0</v>
      </c>
      <c r="I81" s="47">
        <v>0</v>
      </c>
      <c r="J81" s="171">
        <f>SUMIFS((I$5:I$77),E$5:E$77,"f",D5:D77,"K")</f>
        <v>0</v>
      </c>
      <c r="K81" s="171">
        <v>0</v>
      </c>
      <c r="L81" s="151">
        <v>0</v>
      </c>
      <c r="M81" s="279">
        <f>SUMIF($D$8:$D$77, $D81, N$8:N$77)+SUM(P81:P82)</f>
        <v>0</v>
      </c>
      <c r="N81" s="47">
        <v>0</v>
      </c>
      <c r="O81" s="171">
        <f>SUMIFS((N$5:N$77),E$5:E$77,"f",D5:D77,"K")</f>
        <v>0</v>
      </c>
      <c r="P81" s="171">
        <v>0</v>
      </c>
      <c r="Q81" s="151">
        <v>0</v>
      </c>
      <c r="R81" s="279">
        <f>SUMIF($D$8:$D$77, $D81, S$8:S$77)+SUM(U81:U82)</f>
        <v>0</v>
      </c>
      <c r="S81" s="47">
        <v>0</v>
      </c>
      <c r="T81" s="171">
        <f>SUMIFS((S$5:S$77),E$5:E$77,"f",D5:D77,"K")</f>
        <v>0</v>
      </c>
      <c r="U81" s="171">
        <v>0</v>
      </c>
      <c r="V81" s="151">
        <v>0</v>
      </c>
      <c r="W81" s="279">
        <f>SUMIF($D$8:$D$77, $D81, X$8:X$77)+SUM(Z81:Z82)</f>
        <v>0</v>
      </c>
      <c r="X81" s="47">
        <v>0</v>
      </c>
      <c r="Y81" s="171">
        <f>SUMIFS((X$5:X$77),E$5:E$77,"f",D5:D77,"K")</f>
        <v>0</v>
      </c>
      <c r="Z81" s="171">
        <v>0</v>
      </c>
      <c r="AA81" s="151">
        <v>0</v>
      </c>
      <c r="AB81" s="279">
        <f>SUMIF($D$8:$D$77, $D81, AC$8:AC$77)+SUM(AE81:AE82)</f>
        <v>0</v>
      </c>
      <c r="AC81" s="47">
        <v>0</v>
      </c>
      <c r="AD81" s="182">
        <f>SUMIFS((AC$5:AC$77),E$5:E$77,"f",D5:D77,"K")</f>
        <v>0</v>
      </c>
      <c r="AE81" s="183">
        <v>0</v>
      </c>
      <c r="AF81" s="151">
        <v>0</v>
      </c>
      <c r="AG81" s="279">
        <f>SUMIF($D$8:$D$77, $D81, AH$8:AH$77)+SUM(AJ81:AJ82)</f>
        <v>0</v>
      </c>
      <c r="AH81" s="47">
        <v>0</v>
      </c>
      <c r="AI81" s="182">
        <f>SUMIFS((AH$5:AH$77),E$5:E$77,"f",D5:D77,"K")</f>
        <v>0</v>
      </c>
      <c r="AJ81" s="183">
        <v>0</v>
      </c>
      <c r="AK81" s="212"/>
      <c r="AL81" s="224">
        <f>I81+S81+AC81+N81+X81</f>
        <v>0</v>
      </c>
      <c r="AM81" s="193">
        <v>81</v>
      </c>
    </row>
    <row r="82" spans="1:46" x14ac:dyDescent="0.25">
      <c r="A82" s="128" t="s">
        <v>17</v>
      </c>
      <c r="B82" s="45" t="s">
        <v>82</v>
      </c>
      <c r="C82" s="24"/>
      <c r="D82" s="281" t="s">
        <v>68</v>
      </c>
      <c r="E82" s="21"/>
      <c r="F82" s="99" t="s">
        <v>98</v>
      </c>
      <c r="G82" s="151">
        <v>0</v>
      </c>
      <c r="H82" s="279">
        <f>SUMIF($D$9:$D$77, $D82, I$9:I$77)+SUM(K85:K86)</f>
        <v>0</v>
      </c>
      <c r="I82" s="47">
        <v>0</v>
      </c>
      <c r="J82" s="171">
        <f>SUMIFS((I$5:I$77),E$5:E$77,"p",D5:D77,"K")</f>
        <v>0</v>
      </c>
      <c r="K82" s="171">
        <v>0</v>
      </c>
      <c r="L82" s="151">
        <v>0</v>
      </c>
      <c r="M82" s="279">
        <f>SUMIF($D$8:$D$77, $D82, N$8:N$77)+SUM(P85:P86)</f>
        <v>0</v>
      </c>
      <c r="N82" s="47">
        <v>0</v>
      </c>
      <c r="O82" s="171">
        <f>SUMIFS((N$5:N$77),E$5:E$77,"p",D5:D77,"K")</f>
        <v>0</v>
      </c>
      <c r="P82" s="171">
        <v>0</v>
      </c>
      <c r="Q82" s="151">
        <v>0</v>
      </c>
      <c r="R82" s="279">
        <f>SUMIF($D$8:$D$77, $D82, S$8:S$77)+SUM(U85:U86)</f>
        <v>0</v>
      </c>
      <c r="S82" s="47">
        <v>0</v>
      </c>
      <c r="T82" s="171">
        <f>SUMIFS((S$5:S$77),E$5:E$77,"p",D5:D77,"K")</f>
        <v>0</v>
      </c>
      <c r="U82" s="171">
        <v>0</v>
      </c>
      <c r="V82" s="151">
        <v>0</v>
      </c>
      <c r="W82" s="279">
        <f>SUMIF($D$8:$D$77, $D82, X$8:X$77)+SUM(Z85:Z86)</f>
        <v>0</v>
      </c>
      <c r="X82" s="47">
        <v>0</v>
      </c>
      <c r="Y82" s="171">
        <f>SUMIFS((X$5:X$77),E$5:E$77,"p",D5:D77,"K")</f>
        <v>0</v>
      </c>
      <c r="Z82" s="171">
        <v>0</v>
      </c>
      <c r="AA82" s="151">
        <v>0</v>
      </c>
      <c r="AB82" s="279">
        <f>SUMIF($D$8:$D$77, $D82, AC$8:AC$77)+SUM(AE85:AE86)</f>
        <v>0</v>
      </c>
      <c r="AC82" s="47">
        <v>0</v>
      </c>
      <c r="AD82" s="182">
        <f>SUMIFS((AC$5:AC$77),E$5:E$77,"p",D5:D77,"K")</f>
        <v>0</v>
      </c>
      <c r="AE82" s="183">
        <v>0</v>
      </c>
      <c r="AF82" s="151">
        <v>0</v>
      </c>
      <c r="AG82" s="279">
        <f>SUMIF($D$8:$D$77, $D82, AH$8:AH$77)+SUM(AJ85:AJ86)</f>
        <v>0</v>
      </c>
      <c r="AH82" s="47">
        <v>0</v>
      </c>
      <c r="AI82" s="182">
        <f>SUMIFS((AH$5:AH$77),E$5:E$77,"p",D5:D77,"K")</f>
        <v>0</v>
      </c>
      <c r="AJ82" s="183">
        <v>0</v>
      </c>
      <c r="AK82" s="212"/>
      <c r="AL82" s="224">
        <f>I82+S82+AC82+N82+X82</f>
        <v>0</v>
      </c>
      <c r="AM82" s="193">
        <v>82</v>
      </c>
    </row>
    <row r="83" spans="1:46" x14ac:dyDescent="0.25">
      <c r="A83" s="128" t="s">
        <v>17</v>
      </c>
      <c r="B83" s="45" t="s">
        <v>216</v>
      </c>
      <c r="C83" s="24"/>
      <c r="D83" s="281" t="s">
        <v>79</v>
      </c>
      <c r="E83" s="21"/>
      <c r="F83" s="99" t="s">
        <v>98</v>
      </c>
      <c r="G83" s="151">
        <v>0</v>
      </c>
      <c r="H83" s="279">
        <f>SUMIF($D$8:$D$77, $D83, I$8:I$77)+SUM(K89:K90)</f>
        <v>0</v>
      </c>
      <c r="I83" s="47">
        <v>0</v>
      </c>
      <c r="J83" s="172" t="s">
        <v>96</v>
      </c>
      <c r="K83" s="172" t="s">
        <v>94</v>
      </c>
      <c r="L83" s="151">
        <v>0</v>
      </c>
      <c r="M83" s="279">
        <f>SUMIF($D$8:$D$77, $D83, N$8:N$77)+SUM(P89:P90)</f>
        <v>0</v>
      </c>
      <c r="N83" s="47">
        <v>0</v>
      </c>
      <c r="O83" s="172" t="s">
        <v>96</v>
      </c>
      <c r="P83" s="172" t="s">
        <v>94</v>
      </c>
      <c r="Q83" s="151">
        <v>0</v>
      </c>
      <c r="R83" s="279">
        <f>SUMIF($D$8:$D$77, $D83, S$8:S$77)+SUM(U89:U90)</f>
        <v>0</v>
      </c>
      <c r="S83" s="47">
        <v>0</v>
      </c>
      <c r="T83" s="172" t="s">
        <v>96</v>
      </c>
      <c r="U83" s="172" t="s">
        <v>94</v>
      </c>
      <c r="V83" s="151">
        <v>0</v>
      </c>
      <c r="W83" s="279">
        <f>SUMIF($D$8:$D$77, $D83, X$8:X$77)+SUM(Z89:Z90)</f>
        <v>0</v>
      </c>
      <c r="X83" s="47">
        <v>0</v>
      </c>
      <c r="Y83" s="172" t="s">
        <v>96</v>
      </c>
      <c r="Z83" s="172" t="s">
        <v>94</v>
      </c>
      <c r="AA83" s="151">
        <v>0</v>
      </c>
      <c r="AB83" s="279">
        <f>SUMIF($D$8:$D$77, $D83, AC$8:AC$77)+SUM(AE89:AE90)</f>
        <v>0</v>
      </c>
      <c r="AC83" s="47">
        <v>0</v>
      </c>
      <c r="AD83" s="184" t="s">
        <v>96</v>
      </c>
      <c r="AE83" s="185" t="s">
        <v>94</v>
      </c>
      <c r="AF83" s="151">
        <v>0</v>
      </c>
      <c r="AG83" s="279">
        <f>SUMIF($D$8:$D$77, $D83, AH$8:AH$77)+SUM(AJ89:AJ90)</f>
        <v>0</v>
      </c>
      <c r="AH83" s="47">
        <v>0</v>
      </c>
      <c r="AI83" s="184" t="s">
        <v>96</v>
      </c>
      <c r="AJ83" s="185" t="s">
        <v>94</v>
      </c>
      <c r="AK83" s="212"/>
      <c r="AL83" s="224"/>
      <c r="AM83" s="193">
        <v>83</v>
      </c>
    </row>
    <row r="84" spans="1:46" x14ac:dyDescent="0.25">
      <c r="A84" s="161" t="s">
        <v>123</v>
      </c>
      <c r="B84" s="158"/>
      <c r="C84" s="158"/>
      <c r="D84" s="159"/>
      <c r="E84" s="159"/>
      <c r="F84" s="160" t="s">
        <v>98</v>
      </c>
      <c r="G84" s="151"/>
      <c r="H84" s="46"/>
      <c r="I84" s="199">
        <v>0</v>
      </c>
      <c r="J84" s="172"/>
      <c r="K84" s="172"/>
      <c r="L84" s="151"/>
      <c r="M84" s="46"/>
      <c r="N84" s="199">
        <v>0</v>
      </c>
      <c r="O84" s="172"/>
      <c r="P84" s="172"/>
      <c r="Q84" s="151"/>
      <c r="R84" s="46"/>
      <c r="S84" s="199">
        <v>0</v>
      </c>
      <c r="T84" s="172"/>
      <c r="U84" s="172"/>
      <c r="V84" s="151"/>
      <c r="W84" s="46"/>
      <c r="X84" s="199">
        <v>0</v>
      </c>
      <c r="Y84" s="172"/>
      <c r="Z84" s="172"/>
      <c r="AA84" s="151"/>
      <c r="AB84" s="46"/>
      <c r="AC84" s="199">
        <v>0</v>
      </c>
      <c r="AD84" s="184"/>
      <c r="AE84" s="185"/>
      <c r="AF84" s="151"/>
      <c r="AG84" s="46"/>
      <c r="AH84" s="199">
        <v>0</v>
      </c>
      <c r="AI84" s="184"/>
      <c r="AJ84" s="185"/>
      <c r="AK84" s="213"/>
      <c r="AL84" s="237">
        <f>SUM(AC84,X84,S84,N84,I84)</f>
        <v>0</v>
      </c>
      <c r="AM84" s="195">
        <v>84</v>
      </c>
    </row>
    <row r="85" spans="1:46" x14ac:dyDescent="0.25">
      <c r="A85" s="128" t="s">
        <v>18</v>
      </c>
      <c r="B85" s="45" t="s">
        <v>83</v>
      </c>
      <c r="C85" s="24"/>
      <c r="D85" s="21"/>
      <c r="E85" s="281" t="s">
        <v>67</v>
      </c>
      <c r="F85" s="99" t="s">
        <v>98</v>
      </c>
      <c r="G85" s="151">
        <v>0</v>
      </c>
      <c r="H85" s="279">
        <f>SUMIF($E$9:$E$77,$E85, I$9:I$77)</f>
        <v>0</v>
      </c>
      <c r="I85" s="47">
        <v>0</v>
      </c>
      <c r="J85" s="171">
        <f>SUMIFS((I$5:I$77),E$5:E$77,"f",D5:D77,"G")</f>
        <v>0</v>
      </c>
      <c r="K85" s="171">
        <v>0</v>
      </c>
      <c r="L85" s="151">
        <v>0</v>
      </c>
      <c r="M85" s="279">
        <f>SUMIF($E$9:$E$77,$E85, N$9:N$77)</f>
        <v>0</v>
      </c>
      <c r="N85" s="47">
        <v>0</v>
      </c>
      <c r="O85" s="171">
        <f>SUMIFS((N$5:N$77),E$5:E$77,"f",D5:D77,"G")</f>
        <v>0</v>
      </c>
      <c r="P85" s="171">
        <v>0</v>
      </c>
      <c r="Q85" s="151">
        <v>0</v>
      </c>
      <c r="R85" s="279">
        <f>SUMIF($E$9:$E$77,$E85, S$9:S$77)</f>
        <v>0</v>
      </c>
      <c r="S85" s="47">
        <v>0</v>
      </c>
      <c r="T85" s="171">
        <f>SUMIFS((S$5:S$77),E$5:E$77,"f",D5:D77,"G")</f>
        <v>0</v>
      </c>
      <c r="U85" s="171">
        <v>0</v>
      </c>
      <c r="V85" s="151">
        <v>0</v>
      </c>
      <c r="W85" s="279">
        <f>SUMIF($E$9:$E$77,$E85, X$9:X$77)</f>
        <v>0</v>
      </c>
      <c r="X85" s="47">
        <v>0</v>
      </c>
      <c r="Y85" s="171">
        <f>SUMIFS((X$5:X$77),E$5:E$77,"f",D5:D77,"G")</f>
        <v>0</v>
      </c>
      <c r="Z85" s="171">
        <v>0</v>
      </c>
      <c r="AA85" s="151">
        <v>0</v>
      </c>
      <c r="AB85" s="279">
        <f>SUMIF($E$9:$E$77,$E85, AC$9:AC$77)</f>
        <v>0</v>
      </c>
      <c r="AC85" s="47">
        <v>0</v>
      </c>
      <c r="AD85" s="182">
        <f>SUMIFS((AC$5:AC$77),E$5:E$77,"f",D5:D77,"G")</f>
        <v>0</v>
      </c>
      <c r="AE85" s="183">
        <v>0</v>
      </c>
      <c r="AF85" s="151">
        <v>0</v>
      </c>
      <c r="AG85" s="279">
        <f>SUMIF($E$9:$E$77,$E85, AH$9:AH$77)</f>
        <v>0</v>
      </c>
      <c r="AH85" s="47">
        <v>0</v>
      </c>
      <c r="AI85" s="182">
        <f>SUMIFS((AH$5:AH$77),E$5:E$77,"f",D5:D77,"G")</f>
        <v>0</v>
      </c>
      <c r="AJ85" s="183">
        <v>0</v>
      </c>
      <c r="AK85" s="212"/>
      <c r="AL85" s="224">
        <f>I85+S85+AC85+N85+X85</f>
        <v>0</v>
      </c>
      <c r="AM85" s="193">
        <v>85</v>
      </c>
    </row>
    <row r="86" spans="1:46" x14ac:dyDescent="0.25">
      <c r="A86" s="128" t="s">
        <v>18</v>
      </c>
      <c r="B86" s="45" t="s">
        <v>84</v>
      </c>
      <c r="C86" s="24"/>
      <c r="D86" s="21"/>
      <c r="E86" s="281" t="s">
        <v>69</v>
      </c>
      <c r="F86" s="99" t="s">
        <v>98</v>
      </c>
      <c r="G86" s="151">
        <v>0</v>
      </c>
      <c r="H86" s="279">
        <f>SUMIF($E$9:$E$77,$E86, I$9:I$77)</f>
        <v>0</v>
      </c>
      <c r="I86" s="47">
        <v>0</v>
      </c>
      <c r="J86" s="171">
        <f>SUMIFS((I$5:I$77),E$5:E$77,"p",D5:D77,"G")</f>
        <v>0</v>
      </c>
      <c r="K86" s="171">
        <v>0</v>
      </c>
      <c r="L86" s="151">
        <v>0</v>
      </c>
      <c r="M86" s="279">
        <f>SUMIF($E$9:$E$77,$E86, N$9:N$77)</f>
        <v>0</v>
      </c>
      <c r="N86" s="47">
        <v>0</v>
      </c>
      <c r="O86" s="171">
        <f>SUMIFS((N$5:N$77),E$5:E$77,"p",D5:D77,"G")</f>
        <v>0</v>
      </c>
      <c r="P86" s="171">
        <v>0</v>
      </c>
      <c r="Q86" s="151">
        <v>0</v>
      </c>
      <c r="R86" s="279">
        <f>SUMIF($E$9:$E$77,$E86, S$9:S$77)</f>
        <v>0</v>
      </c>
      <c r="S86" s="47">
        <v>0</v>
      </c>
      <c r="T86" s="171">
        <f>SUMIFS((S$5:S$77),E$5:E$77,"p",D5:D77,"G")</f>
        <v>0</v>
      </c>
      <c r="U86" s="171">
        <v>0</v>
      </c>
      <c r="V86" s="151">
        <v>0</v>
      </c>
      <c r="W86" s="279">
        <f>SUMIF($E$9:$E$77,$E86, X$9:X$77)</f>
        <v>0</v>
      </c>
      <c r="X86" s="47">
        <v>0</v>
      </c>
      <c r="Y86" s="171">
        <f>SUMIFS((X$5:X$77),E$5:E$77,"p",D5:D77,"G")</f>
        <v>0</v>
      </c>
      <c r="Z86" s="171">
        <v>0</v>
      </c>
      <c r="AA86" s="151">
        <v>0</v>
      </c>
      <c r="AB86" s="279">
        <f>SUMIF($E$9:$E$77,$E86, AC$9:AC$77)</f>
        <v>0</v>
      </c>
      <c r="AC86" s="47">
        <v>0</v>
      </c>
      <c r="AD86" s="182">
        <f>SUMIFS((AC$5:AC$77),E$5:E$77,"p",D5:D77,"G")</f>
        <v>0</v>
      </c>
      <c r="AE86" s="183">
        <v>0</v>
      </c>
      <c r="AF86" s="151">
        <v>0</v>
      </c>
      <c r="AG86" s="279">
        <f>SUMIF($E$9:$E$77,$E86, AH$9:AH$77)</f>
        <v>0</v>
      </c>
      <c r="AH86" s="47">
        <v>0</v>
      </c>
      <c r="AI86" s="182">
        <f>SUMIFS((AH$5:AH$77),E$5:E$77,"p",D5:D77,"G")</f>
        <v>0</v>
      </c>
      <c r="AJ86" s="183">
        <v>0</v>
      </c>
      <c r="AK86" s="212"/>
      <c r="AL86" s="224">
        <f>I86+S86+AC86+N86+X86</f>
        <v>0</v>
      </c>
      <c r="AM86" s="193">
        <v>86</v>
      </c>
    </row>
    <row r="87" spans="1:46" x14ac:dyDescent="0.25">
      <c r="A87" s="161" t="s">
        <v>124</v>
      </c>
      <c r="B87" s="158"/>
      <c r="C87" s="158"/>
      <c r="D87" s="159"/>
      <c r="E87" s="159"/>
      <c r="F87" s="160" t="s">
        <v>98</v>
      </c>
      <c r="G87" s="151"/>
      <c r="H87" s="46"/>
      <c r="I87" s="199">
        <v>0</v>
      </c>
      <c r="J87" s="172"/>
      <c r="K87" s="172"/>
      <c r="L87" s="151"/>
      <c r="M87" s="46"/>
      <c r="N87" s="199">
        <v>0</v>
      </c>
      <c r="O87" s="172"/>
      <c r="P87" s="172"/>
      <c r="Q87" s="151"/>
      <c r="R87" s="46"/>
      <c r="S87" s="199">
        <v>0</v>
      </c>
      <c r="T87" s="172"/>
      <c r="U87" s="172"/>
      <c r="V87" s="151"/>
      <c r="W87" s="46"/>
      <c r="X87" s="199">
        <v>0</v>
      </c>
      <c r="Y87" s="172"/>
      <c r="Z87" s="172"/>
      <c r="AA87" s="151"/>
      <c r="AB87" s="46"/>
      <c r="AC87" s="199">
        <v>0</v>
      </c>
      <c r="AD87" s="184"/>
      <c r="AE87" s="185"/>
      <c r="AF87" s="151"/>
      <c r="AG87" s="46"/>
      <c r="AH87" s="199">
        <v>0</v>
      </c>
      <c r="AI87" s="182"/>
      <c r="AJ87" s="183"/>
      <c r="AK87" s="213"/>
      <c r="AL87" s="237">
        <f>SUM(AC87,X87,S87,N87,I87)</f>
        <v>0</v>
      </c>
      <c r="AM87" s="195">
        <v>87</v>
      </c>
    </row>
    <row r="88" spans="1:46" x14ac:dyDescent="0.25">
      <c r="A88" s="123" t="s">
        <v>19</v>
      </c>
      <c r="B88" s="23"/>
      <c r="C88" s="24"/>
      <c r="D88" s="21"/>
      <c r="E88" s="21"/>
      <c r="F88" s="99" t="s">
        <v>98</v>
      </c>
      <c r="G88" s="25"/>
      <c r="H88" s="24"/>
      <c r="I88" s="38">
        <v>0</v>
      </c>
      <c r="J88" s="172" t="s">
        <v>97</v>
      </c>
      <c r="K88" s="172" t="s">
        <v>94</v>
      </c>
      <c r="L88" s="25"/>
      <c r="M88" s="24"/>
      <c r="N88" s="38">
        <v>0</v>
      </c>
      <c r="O88" s="172" t="s">
        <v>97</v>
      </c>
      <c r="P88" s="172" t="s">
        <v>94</v>
      </c>
      <c r="Q88" s="25"/>
      <c r="R88" s="24"/>
      <c r="S88" s="38">
        <v>0</v>
      </c>
      <c r="T88" s="172" t="s">
        <v>97</v>
      </c>
      <c r="U88" s="172" t="s">
        <v>94</v>
      </c>
      <c r="V88" s="25"/>
      <c r="W88" s="24"/>
      <c r="X88" s="38">
        <v>0</v>
      </c>
      <c r="Y88" s="172" t="s">
        <v>97</v>
      </c>
      <c r="Z88" s="172" t="s">
        <v>94</v>
      </c>
      <c r="AA88" s="25"/>
      <c r="AB88" s="24"/>
      <c r="AC88" s="38">
        <v>0</v>
      </c>
      <c r="AD88" s="184" t="s">
        <v>97</v>
      </c>
      <c r="AE88" s="185" t="s">
        <v>94</v>
      </c>
      <c r="AF88" s="25"/>
      <c r="AG88" s="272"/>
      <c r="AH88" s="38">
        <v>0</v>
      </c>
      <c r="AI88" s="184" t="s">
        <v>97</v>
      </c>
      <c r="AJ88" s="185" t="s">
        <v>94</v>
      </c>
      <c r="AK88" s="212"/>
      <c r="AL88" s="237">
        <f>I88+S88+AC88+N88+X88</f>
        <v>0</v>
      </c>
      <c r="AM88" s="193">
        <v>88</v>
      </c>
    </row>
    <row r="89" spans="1:46" s="6" customFormat="1" x14ac:dyDescent="0.25">
      <c r="A89" s="129"/>
      <c r="B89" s="23"/>
      <c r="C89" s="23"/>
      <c r="D89" s="40"/>
      <c r="E89" s="40"/>
      <c r="F89" s="99" t="s">
        <v>98</v>
      </c>
      <c r="G89" s="41"/>
      <c r="H89" s="23"/>
      <c r="I89" s="42"/>
      <c r="J89" s="171">
        <f>SUMIFS((I$5:I$77),E$5:E$77,"f",D5:D77,"T")</f>
        <v>0</v>
      </c>
      <c r="K89" s="171">
        <v>0</v>
      </c>
      <c r="L89" s="41"/>
      <c r="M89" s="23"/>
      <c r="N89" s="42"/>
      <c r="O89" s="171">
        <f>SUMIFS((N$5:N$77),E$5:E$77,"f",D5:D77,"T")</f>
        <v>0</v>
      </c>
      <c r="P89" s="171">
        <v>0</v>
      </c>
      <c r="Q89" s="41"/>
      <c r="R89" s="23"/>
      <c r="S89" s="42"/>
      <c r="T89" s="171">
        <f>SUMIFS((S$5:S$77),E$5:E$77,"f",D5:D77,"T")</f>
        <v>0</v>
      </c>
      <c r="U89" s="171">
        <v>0</v>
      </c>
      <c r="V89" s="41"/>
      <c r="W89" s="23"/>
      <c r="X89" s="42"/>
      <c r="Y89" s="171">
        <f>SUMIFS((X$5:X$77),E$5:E$77,"f",D5:D77,"T")</f>
        <v>0</v>
      </c>
      <c r="Z89" s="171">
        <v>0</v>
      </c>
      <c r="AA89" s="41"/>
      <c r="AB89" s="23"/>
      <c r="AC89" s="42"/>
      <c r="AD89" s="182">
        <f>SUMIFS((AC$5:AC$77),E$5:E$77,"f",D5:D77,"T")</f>
        <v>0</v>
      </c>
      <c r="AE89" s="183">
        <v>0</v>
      </c>
      <c r="AF89" s="41"/>
      <c r="AG89" s="274"/>
      <c r="AH89" s="42">
        <v>0</v>
      </c>
      <c r="AI89" s="182">
        <f>SUMIFS((AH$5:AH$77),E$5:E$77,"f",D5:D77,"T")</f>
        <v>0</v>
      </c>
      <c r="AJ89" s="183">
        <v>0</v>
      </c>
      <c r="AK89" s="211"/>
      <c r="AL89" s="225"/>
      <c r="AM89" s="193">
        <v>89</v>
      </c>
      <c r="AN89"/>
      <c r="AO89"/>
      <c r="AP89"/>
      <c r="AQ89"/>
      <c r="AR89"/>
      <c r="AS89"/>
      <c r="AT89"/>
    </row>
    <row r="90" spans="1:46" x14ac:dyDescent="0.25">
      <c r="A90" s="123" t="s">
        <v>20</v>
      </c>
      <c r="B90" s="23" t="s">
        <v>21</v>
      </c>
      <c r="C90" s="24"/>
      <c r="D90" s="21"/>
      <c r="E90" s="21"/>
      <c r="F90" s="99" t="s">
        <v>98</v>
      </c>
      <c r="G90" s="200"/>
      <c r="H90" s="48">
        <f>SUMIF($B$8:$B$73, "*Overtime*", $H8:$H73)</f>
        <v>0</v>
      </c>
      <c r="I90" s="49">
        <v>0</v>
      </c>
      <c r="J90" s="171">
        <f>SUMIFS((I$5:I$77),E$5:E$77,"p",D5:D77,"T")</f>
        <v>0</v>
      </c>
      <c r="K90" s="171">
        <v>0</v>
      </c>
      <c r="L90" s="200"/>
      <c r="M90" s="48">
        <f>SUMIF($B$8:$B$73, "*Overtime*", $H8:$H73)</f>
        <v>0</v>
      </c>
      <c r="N90" s="49">
        <v>0</v>
      </c>
      <c r="O90" s="171">
        <f>SUMIFS((N$5:N$77),E$5:E$77,"p",D5:D77,"T")</f>
        <v>0</v>
      </c>
      <c r="P90" s="171">
        <v>0</v>
      </c>
      <c r="Q90" s="200"/>
      <c r="R90" s="48">
        <f>SUMIF($B$8:$B$73, "*Overtime*", $H8:$H73)</f>
        <v>0</v>
      </c>
      <c r="S90" s="49">
        <v>0</v>
      </c>
      <c r="T90" s="171">
        <f>SUMIFS((S$5:S$77),E$5:E$77,"p",D5:D77,"T")</f>
        <v>0</v>
      </c>
      <c r="U90" s="171">
        <v>0</v>
      </c>
      <c r="V90" s="200"/>
      <c r="W90" s="48">
        <f>SUMIF($B$8:$B$73, "*Overtime*", $H8:$H73)</f>
        <v>0</v>
      </c>
      <c r="X90" s="49">
        <v>0</v>
      </c>
      <c r="Y90" s="171">
        <f>SUMIFS((X$5:X$77),E$5:E$77,"p",D5:D77,"T")</f>
        <v>0</v>
      </c>
      <c r="Z90" s="171">
        <v>0</v>
      </c>
      <c r="AA90" s="200"/>
      <c r="AB90" s="48">
        <f>SUMIF($B$8:$B$73, "*Overtime*", $H8:$H73)</f>
        <v>0</v>
      </c>
      <c r="AC90" s="49">
        <v>0</v>
      </c>
      <c r="AD90" s="182">
        <f>SUMIFS((AC$5:AC$77),E$5:E$77,"p",D5:D77,"T")</f>
        <v>0</v>
      </c>
      <c r="AE90" s="183">
        <v>0</v>
      </c>
      <c r="AF90" s="200"/>
      <c r="AG90" s="48">
        <f>SUMIF($B$8:$B$73, "*Overtime*", $H8:$H73)</f>
        <v>0</v>
      </c>
      <c r="AH90" s="49">
        <v>0</v>
      </c>
      <c r="AI90" s="182">
        <f>SUMIFS((AH$5:AH$77),E$5:E$77,"p",D5:D77,"T")</f>
        <v>0</v>
      </c>
      <c r="AJ90" s="183">
        <v>0</v>
      </c>
      <c r="AK90" s="211"/>
      <c r="AL90" s="224">
        <f>I90+S90+AC90+N90+X90</f>
        <v>0</v>
      </c>
      <c r="AM90" s="193">
        <v>90</v>
      </c>
    </row>
    <row r="91" spans="1:46" x14ac:dyDescent="0.25">
      <c r="A91" s="130" t="s">
        <v>22</v>
      </c>
      <c r="B91" s="50" t="s">
        <v>22</v>
      </c>
      <c r="C91" s="24"/>
      <c r="D91" s="21"/>
      <c r="E91" s="21"/>
      <c r="F91" s="99" t="s">
        <v>98</v>
      </c>
      <c r="G91" s="151">
        <v>0</v>
      </c>
      <c r="H91" s="280">
        <f>I90+I88+I78</f>
        <v>0</v>
      </c>
      <c r="I91" s="47">
        <v>0</v>
      </c>
      <c r="J91" s="172"/>
      <c r="K91" s="172"/>
      <c r="L91" s="151">
        <v>0</v>
      </c>
      <c r="M91" s="280">
        <f>N90+N88+N78</f>
        <v>0</v>
      </c>
      <c r="N91" s="47">
        <v>0</v>
      </c>
      <c r="O91" s="172"/>
      <c r="P91" s="172"/>
      <c r="Q91" s="151">
        <v>0</v>
      </c>
      <c r="R91" s="280">
        <f>S90+S88+S78</f>
        <v>0</v>
      </c>
      <c r="S91" s="47">
        <v>0</v>
      </c>
      <c r="T91" s="172"/>
      <c r="U91" s="172"/>
      <c r="V91" s="151">
        <v>0</v>
      </c>
      <c r="W91" s="280">
        <f>X90+X88+X78</f>
        <v>0</v>
      </c>
      <c r="X91" s="47">
        <v>0</v>
      </c>
      <c r="Y91" s="172"/>
      <c r="Z91" s="172"/>
      <c r="AA91" s="151">
        <v>0</v>
      </c>
      <c r="AB91" s="280">
        <f>AC90+AC88+AC78</f>
        <v>0</v>
      </c>
      <c r="AC91" s="47">
        <v>0</v>
      </c>
      <c r="AD91" s="184"/>
      <c r="AE91" s="185"/>
      <c r="AF91" s="151">
        <v>0</v>
      </c>
      <c r="AG91" s="280">
        <f>AH90+AH88+AH78</f>
        <v>0</v>
      </c>
      <c r="AH91" s="47">
        <v>0</v>
      </c>
      <c r="AI91" s="182"/>
      <c r="AJ91" s="183"/>
      <c r="AK91" s="212"/>
      <c r="AL91" s="224">
        <f>I91+S91+AC91+N91+X91</f>
        <v>0</v>
      </c>
      <c r="AM91" s="193">
        <v>91</v>
      </c>
    </row>
    <row r="92" spans="1:46" x14ac:dyDescent="0.25">
      <c r="A92" s="131" t="s">
        <v>23</v>
      </c>
      <c r="B92" s="23"/>
      <c r="C92" s="24"/>
      <c r="D92" s="21"/>
      <c r="E92" s="21"/>
      <c r="F92" s="99" t="s">
        <v>98</v>
      </c>
      <c r="G92" s="25"/>
      <c r="H92" s="24"/>
      <c r="I92" s="47">
        <v>0</v>
      </c>
      <c r="J92" s="172"/>
      <c r="K92" s="172"/>
      <c r="L92" s="25"/>
      <c r="M92" s="24"/>
      <c r="N92" s="47">
        <v>0</v>
      </c>
      <c r="O92" s="172"/>
      <c r="P92" s="172"/>
      <c r="Q92" s="25"/>
      <c r="R92" s="24"/>
      <c r="S92" s="47">
        <v>0</v>
      </c>
      <c r="T92" s="172"/>
      <c r="U92" s="172"/>
      <c r="V92" s="25"/>
      <c r="W92" s="24"/>
      <c r="X92" s="47">
        <v>0</v>
      </c>
      <c r="Y92" s="172"/>
      <c r="Z92" s="172"/>
      <c r="AA92" s="25"/>
      <c r="AB92" s="24"/>
      <c r="AC92" s="47">
        <v>0</v>
      </c>
      <c r="AD92" s="184"/>
      <c r="AE92" s="185"/>
      <c r="AF92" s="25"/>
      <c r="AG92" s="272"/>
      <c r="AH92" s="47">
        <v>0</v>
      </c>
      <c r="AI92" s="184"/>
      <c r="AJ92" s="185"/>
      <c r="AK92" s="212"/>
      <c r="AL92" s="224">
        <f>I92+S92+AC92+N92+X92</f>
        <v>0</v>
      </c>
      <c r="AM92" s="193">
        <v>92</v>
      </c>
    </row>
    <row r="93" spans="1:46" s="39" customFormat="1" x14ac:dyDescent="0.25">
      <c r="A93" s="134" t="s">
        <v>24</v>
      </c>
      <c r="B93" s="33"/>
      <c r="C93" s="34"/>
      <c r="D93" s="35"/>
      <c r="E93" s="35"/>
      <c r="F93" s="235" t="s">
        <v>98</v>
      </c>
      <c r="G93" s="36"/>
      <c r="H93" s="34"/>
      <c r="I93" s="38">
        <v>0</v>
      </c>
      <c r="J93" s="170"/>
      <c r="K93" s="170"/>
      <c r="L93" s="36"/>
      <c r="M93" s="34"/>
      <c r="N93" s="38">
        <v>0</v>
      </c>
      <c r="O93" s="170"/>
      <c r="P93" s="170"/>
      <c r="Q93" s="36"/>
      <c r="R93" s="34"/>
      <c r="S93" s="38">
        <v>0</v>
      </c>
      <c r="T93" s="170"/>
      <c r="U93" s="170"/>
      <c r="V93" s="36"/>
      <c r="W93" s="34"/>
      <c r="X93" s="38">
        <v>0</v>
      </c>
      <c r="Y93" s="170"/>
      <c r="Z93" s="170"/>
      <c r="AA93" s="36"/>
      <c r="AB93" s="34"/>
      <c r="AC93" s="38">
        <v>0</v>
      </c>
      <c r="AD93" s="180"/>
      <c r="AE93" s="181"/>
      <c r="AF93" s="36"/>
      <c r="AG93" s="276"/>
      <c r="AH93" s="38">
        <v>0</v>
      </c>
      <c r="AI93" s="180"/>
      <c r="AJ93" s="181"/>
      <c r="AK93" s="214"/>
      <c r="AL93" s="237">
        <f>I93+S93+AC93+N93+X93</f>
        <v>0</v>
      </c>
      <c r="AM93" s="194">
        <v>93</v>
      </c>
      <c r="AN93"/>
      <c r="AO93"/>
      <c r="AP93"/>
      <c r="AQ93"/>
      <c r="AR93"/>
      <c r="AS93"/>
      <c r="AT93"/>
    </row>
    <row r="94" spans="1:46" x14ac:dyDescent="0.25">
      <c r="A94" s="132"/>
      <c r="B94" s="33"/>
      <c r="C94" s="34"/>
      <c r="D94" s="35"/>
      <c r="E94" s="21"/>
      <c r="F94" s="99" t="s">
        <v>98</v>
      </c>
      <c r="G94" s="52"/>
      <c r="H94" s="53" t="s">
        <v>16</v>
      </c>
      <c r="I94" s="54" t="s">
        <v>98</v>
      </c>
      <c r="J94" s="173"/>
      <c r="K94" s="173"/>
      <c r="L94" s="55"/>
      <c r="M94" s="53" t="s">
        <v>16</v>
      </c>
      <c r="N94" s="54" t="s">
        <v>98</v>
      </c>
      <c r="O94" s="173"/>
      <c r="P94" s="173"/>
      <c r="Q94" s="55"/>
      <c r="R94" s="53" t="s">
        <v>16</v>
      </c>
      <c r="S94" s="54" t="s">
        <v>98</v>
      </c>
      <c r="T94" s="173"/>
      <c r="U94" s="173"/>
      <c r="V94" s="55"/>
      <c r="W94" s="53" t="s">
        <v>16</v>
      </c>
      <c r="X94" s="54" t="s">
        <v>98</v>
      </c>
      <c r="Y94" s="173"/>
      <c r="Z94" s="173"/>
      <c r="AA94" s="55"/>
      <c r="AB94" s="53" t="s">
        <v>16</v>
      </c>
      <c r="AC94" s="54" t="s">
        <v>98</v>
      </c>
      <c r="AD94" s="184"/>
      <c r="AE94" s="185"/>
      <c r="AF94" s="55"/>
      <c r="AG94" s="277" t="s">
        <v>16</v>
      </c>
      <c r="AH94" s="54" t="s">
        <v>98</v>
      </c>
      <c r="AI94" s="184"/>
      <c r="AJ94" s="185"/>
      <c r="AK94" s="211"/>
      <c r="AL94" s="225"/>
      <c r="AM94" s="193">
        <v>94</v>
      </c>
    </row>
    <row r="95" spans="1:46" x14ac:dyDescent="0.25">
      <c r="A95" s="133" t="s">
        <v>87</v>
      </c>
      <c r="B95" s="23"/>
      <c r="C95" s="24"/>
      <c r="D95" s="21"/>
      <c r="E95" s="21"/>
      <c r="F95" s="99" t="s">
        <v>98</v>
      </c>
      <c r="G95" s="61"/>
      <c r="H95" s="279">
        <f>+I93</f>
        <v>0</v>
      </c>
      <c r="I95" s="47">
        <v>0</v>
      </c>
      <c r="J95" s="172"/>
      <c r="K95" s="172"/>
      <c r="L95" s="56"/>
      <c r="M95" s="279">
        <f>N93</f>
        <v>0</v>
      </c>
      <c r="N95" s="47">
        <v>0</v>
      </c>
      <c r="O95" s="172"/>
      <c r="P95" s="172"/>
      <c r="Q95" s="56"/>
      <c r="R95" s="279">
        <f>S93</f>
        <v>0</v>
      </c>
      <c r="S95" s="47">
        <v>0</v>
      </c>
      <c r="T95" s="172"/>
      <c r="U95" s="172"/>
      <c r="V95" s="56"/>
      <c r="W95" s="279">
        <f>X93</f>
        <v>0</v>
      </c>
      <c r="X95" s="47">
        <v>0</v>
      </c>
      <c r="Y95" s="172"/>
      <c r="Z95" s="172"/>
      <c r="AA95" s="56"/>
      <c r="AB95" s="279">
        <f>AC93</f>
        <v>0</v>
      </c>
      <c r="AC95" s="47">
        <v>0</v>
      </c>
      <c r="AD95" s="184"/>
      <c r="AE95" s="185"/>
      <c r="AF95" s="56"/>
      <c r="AG95" s="279">
        <f>AH93</f>
        <v>0</v>
      </c>
      <c r="AH95" s="47">
        <v>0</v>
      </c>
      <c r="AI95" s="184"/>
      <c r="AJ95" s="185"/>
      <c r="AK95" s="210"/>
      <c r="AL95" s="224">
        <f>I95+S95+AC95+N95+X95</f>
        <v>0</v>
      </c>
      <c r="AM95" s="193">
        <v>95</v>
      </c>
    </row>
    <row r="96" spans="1:46" s="39" customFormat="1" x14ac:dyDescent="0.25">
      <c r="A96" s="134" t="s">
        <v>25</v>
      </c>
      <c r="B96" s="33"/>
      <c r="C96" s="57"/>
      <c r="D96" s="58"/>
      <c r="E96" s="35"/>
      <c r="F96" s="99" t="s">
        <v>98</v>
      </c>
      <c r="G96" s="36"/>
      <c r="H96" s="34"/>
      <c r="I96" s="38">
        <v>0</v>
      </c>
      <c r="J96" s="170"/>
      <c r="K96" s="170"/>
      <c r="L96" s="36"/>
      <c r="M96" s="34"/>
      <c r="N96" s="38">
        <v>0</v>
      </c>
      <c r="O96" s="170"/>
      <c r="P96" s="170"/>
      <c r="Q96" s="36"/>
      <c r="R96" s="34"/>
      <c r="S96" s="38">
        <v>0</v>
      </c>
      <c r="T96" s="170"/>
      <c r="U96" s="170"/>
      <c r="V96" s="36"/>
      <c r="W96" s="34"/>
      <c r="X96" s="38">
        <v>0</v>
      </c>
      <c r="Y96" s="170"/>
      <c r="Z96" s="170"/>
      <c r="AA96" s="36"/>
      <c r="AB96" s="34"/>
      <c r="AC96" s="38">
        <v>0</v>
      </c>
      <c r="AD96" s="180"/>
      <c r="AE96" s="181"/>
      <c r="AF96" s="36"/>
      <c r="AG96" s="276"/>
      <c r="AH96" s="38">
        <v>0</v>
      </c>
      <c r="AI96" s="184"/>
      <c r="AJ96" s="185"/>
      <c r="AK96" s="214"/>
      <c r="AL96" s="226">
        <f>I96+S96+AC96+N96+X96</f>
        <v>0</v>
      </c>
      <c r="AM96" s="196">
        <v>96</v>
      </c>
      <c r="AN96"/>
      <c r="AO96"/>
      <c r="AP96"/>
      <c r="AQ96"/>
      <c r="AR96"/>
      <c r="AS96"/>
      <c r="AT96"/>
    </row>
    <row r="97" spans="1:39" x14ac:dyDescent="0.25">
      <c r="A97" s="123"/>
      <c r="B97" s="33"/>
      <c r="C97" s="24"/>
      <c r="D97" s="21"/>
      <c r="E97" s="21"/>
      <c r="F97" s="99" t="s">
        <v>98</v>
      </c>
      <c r="G97" s="25"/>
      <c r="H97" s="24"/>
      <c r="I97" s="44"/>
      <c r="J97" s="172"/>
      <c r="K97" s="172"/>
      <c r="L97" s="25"/>
      <c r="M97" s="24"/>
      <c r="N97" s="44"/>
      <c r="O97" s="172"/>
      <c r="P97" s="172"/>
      <c r="Q97" s="25"/>
      <c r="R97" s="24"/>
      <c r="S97" s="44"/>
      <c r="T97" s="172"/>
      <c r="U97" s="172"/>
      <c r="V97" s="25"/>
      <c r="W97" s="24"/>
      <c r="X97" s="44"/>
      <c r="Y97" s="172"/>
      <c r="Z97" s="172"/>
      <c r="AA97" s="25"/>
      <c r="AB97" s="24"/>
      <c r="AC97" s="44"/>
      <c r="AD97" s="184"/>
      <c r="AE97" s="185"/>
      <c r="AF97" s="25"/>
      <c r="AG97" s="272"/>
      <c r="AH97" s="44"/>
      <c r="AI97" s="180"/>
      <c r="AJ97" s="181"/>
      <c r="AK97" s="212"/>
      <c r="AL97" s="223"/>
      <c r="AM97" s="193">
        <v>97</v>
      </c>
    </row>
    <row r="98" spans="1:39" x14ac:dyDescent="0.25">
      <c r="A98" s="131" t="s">
        <v>26</v>
      </c>
      <c r="B98" s="33"/>
      <c r="C98" s="24"/>
      <c r="D98" s="21"/>
      <c r="E98" s="21"/>
      <c r="F98" s="99" t="s">
        <v>98</v>
      </c>
      <c r="G98" s="25"/>
      <c r="H98" s="46"/>
      <c r="I98" s="156"/>
      <c r="J98" s="174"/>
      <c r="K98" s="174"/>
      <c r="L98" s="25"/>
      <c r="M98" s="24"/>
      <c r="N98" s="156"/>
      <c r="O98" s="174"/>
      <c r="P98" s="174"/>
      <c r="Q98" s="25"/>
      <c r="R98" s="24"/>
      <c r="S98" s="156"/>
      <c r="T98" s="174"/>
      <c r="U98" s="174"/>
      <c r="V98" s="25"/>
      <c r="W98" s="24"/>
      <c r="X98" s="156"/>
      <c r="Y98" s="174"/>
      <c r="Z98" s="174"/>
      <c r="AA98" s="25"/>
      <c r="AB98" s="24"/>
      <c r="AC98" s="156"/>
      <c r="AD98" s="186"/>
      <c r="AE98" s="187"/>
      <c r="AF98" s="25"/>
      <c r="AG98" s="272"/>
      <c r="AH98" s="156"/>
      <c r="AI98" s="184"/>
      <c r="AJ98" s="185"/>
      <c r="AK98" s="215"/>
      <c r="AL98" s="223"/>
      <c r="AM98" s="193">
        <v>98</v>
      </c>
    </row>
    <row r="99" spans="1:39" x14ac:dyDescent="0.25">
      <c r="A99" s="123"/>
      <c r="B99" s="33"/>
      <c r="C99" s="24"/>
      <c r="D99" s="21"/>
      <c r="E99" s="21"/>
      <c r="F99" s="99" t="s">
        <v>98</v>
      </c>
      <c r="G99" s="25"/>
      <c r="H99" s="46"/>
      <c r="I99" s="156"/>
      <c r="J99" s="174"/>
      <c r="K99" s="174"/>
      <c r="L99" s="25"/>
      <c r="M99" s="24"/>
      <c r="N99" s="156"/>
      <c r="O99" s="174"/>
      <c r="P99" s="174"/>
      <c r="Q99" s="25"/>
      <c r="R99" s="24"/>
      <c r="S99" s="156"/>
      <c r="T99" s="174"/>
      <c r="U99" s="174"/>
      <c r="V99" s="25"/>
      <c r="W99" s="24"/>
      <c r="X99" s="156"/>
      <c r="Y99" s="174"/>
      <c r="Z99" s="174"/>
      <c r="AA99" s="25"/>
      <c r="AB99" s="24"/>
      <c r="AC99" s="156"/>
      <c r="AD99" s="186"/>
      <c r="AE99" s="187"/>
      <c r="AF99" s="25"/>
      <c r="AG99" s="272"/>
      <c r="AH99" s="156"/>
      <c r="AI99" s="186"/>
      <c r="AJ99" s="187"/>
      <c r="AK99" s="215"/>
      <c r="AL99" s="223"/>
      <c r="AM99" s="193">
        <v>99</v>
      </c>
    </row>
    <row r="100" spans="1:39" x14ac:dyDescent="0.25">
      <c r="A100" s="123"/>
      <c r="B100" s="23"/>
      <c r="C100" s="24"/>
      <c r="D100" s="21"/>
      <c r="E100" s="21"/>
      <c r="F100" s="99" t="s">
        <v>98</v>
      </c>
      <c r="G100" s="25"/>
      <c r="H100" s="24"/>
      <c r="I100" s="44"/>
      <c r="J100" s="172"/>
      <c r="K100" s="172"/>
      <c r="L100" s="25">
        <v>0</v>
      </c>
      <c r="M100" s="24">
        <v>0</v>
      </c>
      <c r="N100" s="44"/>
      <c r="O100" s="172"/>
      <c r="P100" s="172"/>
      <c r="Q100" s="25">
        <v>0</v>
      </c>
      <c r="R100" s="24">
        <v>0</v>
      </c>
      <c r="S100" s="44"/>
      <c r="T100" s="172"/>
      <c r="U100" s="172"/>
      <c r="V100" s="25">
        <v>0</v>
      </c>
      <c r="W100" s="24">
        <v>0</v>
      </c>
      <c r="X100" s="44"/>
      <c r="Y100" s="172"/>
      <c r="Z100" s="172"/>
      <c r="AA100" s="25">
        <v>0</v>
      </c>
      <c r="AB100" s="24">
        <v>0</v>
      </c>
      <c r="AC100" s="44"/>
      <c r="AD100" s="184"/>
      <c r="AE100" s="185"/>
      <c r="AF100" s="25"/>
      <c r="AG100" s="272"/>
      <c r="AH100" s="44"/>
      <c r="AI100" s="186"/>
      <c r="AJ100" s="187"/>
      <c r="AK100" s="212"/>
      <c r="AL100" s="223"/>
      <c r="AM100" s="193">
        <v>100</v>
      </c>
    </row>
    <row r="101" spans="1:39" x14ac:dyDescent="0.25">
      <c r="A101" s="123" t="s">
        <v>60</v>
      </c>
      <c r="B101" s="23"/>
      <c r="C101" s="24"/>
      <c r="D101" s="21"/>
      <c r="E101" s="21"/>
      <c r="F101" s="99" t="s">
        <v>98</v>
      </c>
      <c r="G101" s="25"/>
      <c r="H101" s="201">
        <f>SUM(H102:H113)</f>
        <v>0</v>
      </c>
      <c r="I101" s="202">
        <f>SUM(I102:I113)</f>
        <v>0</v>
      </c>
      <c r="J101" s="172"/>
      <c r="K101" s="172"/>
      <c r="L101" s="25"/>
      <c r="M101" s="201">
        <f>SUM(M102:M113)</f>
        <v>0</v>
      </c>
      <c r="N101" s="202">
        <f>SUM(N102:N113)</f>
        <v>0</v>
      </c>
      <c r="O101" s="172"/>
      <c r="P101" s="172"/>
      <c r="Q101" s="25"/>
      <c r="R101" s="201">
        <f>SUM(R102:R113)</f>
        <v>0</v>
      </c>
      <c r="S101" s="202">
        <f>SUM(S102:S113)</f>
        <v>0</v>
      </c>
      <c r="T101" s="172"/>
      <c r="U101" s="172"/>
      <c r="V101" s="25"/>
      <c r="W101" s="201">
        <f>SUM(W102:W113)</f>
        <v>0</v>
      </c>
      <c r="X101" s="202">
        <f>SUM(X102:X113)</f>
        <v>0</v>
      </c>
      <c r="Y101" s="172"/>
      <c r="Z101" s="172"/>
      <c r="AA101" s="25"/>
      <c r="AB101" s="201">
        <f>SUM(AB102:AB113)</f>
        <v>0</v>
      </c>
      <c r="AC101" s="202">
        <f>SUM(AC102:AC113)</f>
        <v>0</v>
      </c>
      <c r="AD101" s="184"/>
      <c r="AE101" s="183"/>
      <c r="AF101" s="25"/>
      <c r="AG101" s="201">
        <f>SUM(AG102:AG113)</f>
        <v>0</v>
      </c>
      <c r="AH101" s="202">
        <f>SUM(AH102:AH113)</f>
        <v>0</v>
      </c>
      <c r="AI101" s="184"/>
      <c r="AJ101" s="185"/>
      <c r="AK101" s="201">
        <f>SUM(AK102:AK113)</f>
        <v>0</v>
      </c>
      <c r="AL101" s="221">
        <f>SUM(AL102:AL113)</f>
        <v>0</v>
      </c>
      <c r="AM101" s="193">
        <v>101</v>
      </c>
    </row>
    <row r="102" spans="1:39" x14ac:dyDescent="0.25">
      <c r="A102" s="124" t="s">
        <v>72</v>
      </c>
      <c r="B102" s="26"/>
      <c r="C102" s="24"/>
      <c r="D102" s="21"/>
      <c r="E102" s="21"/>
      <c r="F102" s="150" t="s">
        <v>98</v>
      </c>
      <c r="G102" s="206"/>
      <c r="H102" s="29"/>
      <c r="I102" s="30">
        <v>0</v>
      </c>
      <c r="J102" s="169"/>
      <c r="K102" s="169"/>
      <c r="L102" s="206"/>
      <c r="M102" s="29"/>
      <c r="N102" s="30">
        <v>0</v>
      </c>
      <c r="O102" s="169"/>
      <c r="P102" s="169"/>
      <c r="Q102" s="206"/>
      <c r="R102" s="29"/>
      <c r="S102" s="30">
        <v>0</v>
      </c>
      <c r="T102" s="169"/>
      <c r="U102" s="169"/>
      <c r="V102" s="206"/>
      <c r="W102" s="29"/>
      <c r="X102" s="30">
        <v>0</v>
      </c>
      <c r="Y102" s="169"/>
      <c r="Z102" s="169"/>
      <c r="AA102" s="206"/>
      <c r="AB102" s="29"/>
      <c r="AC102" s="30">
        <v>0</v>
      </c>
      <c r="AD102" s="178"/>
      <c r="AE102" s="179"/>
      <c r="AF102" s="206"/>
      <c r="AG102" s="29"/>
      <c r="AH102" s="30">
        <v>0</v>
      </c>
      <c r="AI102" s="184"/>
      <c r="AJ102" s="183"/>
      <c r="AK102" s="232">
        <f>H102+R102+AB102+M102+W102+AG102</f>
        <v>0</v>
      </c>
      <c r="AL102" s="227">
        <f>I102+S102+AC102+N102+X102+AH102</f>
        <v>0</v>
      </c>
      <c r="AM102" s="193">
        <v>102</v>
      </c>
    </row>
    <row r="103" spans="1:39" x14ac:dyDescent="0.25">
      <c r="A103" s="124" t="s">
        <v>72</v>
      </c>
      <c r="B103" s="26"/>
      <c r="C103" s="24"/>
      <c r="D103" s="21"/>
      <c r="E103" s="21"/>
      <c r="F103" s="150" t="s">
        <v>98</v>
      </c>
      <c r="G103" s="206"/>
      <c r="H103" s="29"/>
      <c r="I103" s="30">
        <v>0</v>
      </c>
      <c r="J103" s="169"/>
      <c r="K103" s="169"/>
      <c r="L103" s="206"/>
      <c r="M103" s="29"/>
      <c r="N103" s="30">
        <v>0</v>
      </c>
      <c r="O103" s="169"/>
      <c r="P103" s="169"/>
      <c r="Q103" s="206"/>
      <c r="R103" s="29"/>
      <c r="S103" s="30">
        <v>0</v>
      </c>
      <c r="T103" s="169"/>
      <c r="U103" s="169"/>
      <c r="V103" s="206"/>
      <c r="W103" s="29"/>
      <c r="X103" s="30">
        <v>0</v>
      </c>
      <c r="Y103" s="169"/>
      <c r="Z103" s="169"/>
      <c r="AA103" s="206"/>
      <c r="AB103" s="29"/>
      <c r="AC103" s="30">
        <v>0</v>
      </c>
      <c r="AD103" s="178"/>
      <c r="AE103" s="179"/>
      <c r="AF103" s="206"/>
      <c r="AG103" s="29"/>
      <c r="AH103" s="30">
        <v>0</v>
      </c>
      <c r="AI103" s="178"/>
      <c r="AJ103" s="179"/>
      <c r="AK103" s="232">
        <f t="shared" ref="AK103:AK113" si="3">H103+R103+AB103+M103+W103+AG103</f>
        <v>0</v>
      </c>
      <c r="AL103" s="227">
        <f t="shared" ref="AL103:AL113" si="4">I103+S103+AC103+N103+X103+AH103</f>
        <v>0</v>
      </c>
      <c r="AM103" s="193">
        <v>103</v>
      </c>
    </row>
    <row r="104" spans="1:39" x14ac:dyDescent="0.25">
      <c r="A104" s="124" t="s">
        <v>72</v>
      </c>
      <c r="B104" s="26"/>
      <c r="C104" s="24"/>
      <c r="D104" s="21"/>
      <c r="E104" s="21"/>
      <c r="F104" s="150" t="s">
        <v>98</v>
      </c>
      <c r="G104" s="206"/>
      <c r="H104" s="29"/>
      <c r="I104" s="30">
        <v>0</v>
      </c>
      <c r="J104" s="169"/>
      <c r="K104" s="169"/>
      <c r="L104" s="206"/>
      <c r="M104" s="29"/>
      <c r="N104" s="30">
        <v>0</v>
      </c>
      <c r="O104" s="169"/>
      <c r="P104" s="169"/>
      <c r="Q104" s="206"/>
      <c r="R104" s="29"/>
      <c r="S104" s="30">
        <v>0</v>
      </c>
      <c r="T104" s="169"/>
      <c r="U104" s="169"/>
      <c r="V104" s="206"/>
      <c r="W104" s="29"/>
      <c r="X104" s="30">
        <v>0</v>
      </c>
      <c r="Y104" s="169"/>
      <c r="Z104" s="169"/>
      <c r="AA104" s="206"/>
      <c r="AB104" s="29"/>
      <c r="AC104" s="30">
        <v>0</v>
      </c>
      <c r="AD104" s="178"/>
      <c r="AE104" s="179"/>
      <c r="AF104" s="206"/>
      <c r="AG104" s="29"/>
      <c r="AH104" s="30">
        <v>0</v>
      </c>
      <c r="AI104" s="178"/>
      <c r="AJ104" s="179"/>
      <c r="AK104" s="232">
        <f t="shared" si="3"/>
        <v>0</v>
      </c>
      <c r="AL104" s="227">
        <f t="shared" si="4"/>
        <v>0</v>
      </c>
      <c r="AM104" s="193">
        <v>104</v>
      </c>
    </row>
    <row r="105" spans="1:39" x14ac:dyDescent="0.25">
      <c r="A105" s="124" t="s">
        <v>72</v>
      </c>
      <c r="B105" s="26"/>
      <c r="C105" s="24"/>
      <c r="D105" s="21"/>
      <c r="E105" s="21"/>
      <c r="F105" s="150" t="s">
        <v>98</v>
      </c>
      <c r="G105" s="206"/>
      <c r="H105" s="29"/>
      <c r="I105" s="30">
        <v>0</v>
      </c>
      <c r="J105" s="169"/>
      <c r="K105" s="169"/>
      <c r="L105" s="206"/>
      <c r="M105" s="29"/>
      <c r="N105" s="30">
        <v>0</v>
      </c>
      <c r="O105" s="169"/>
      <c r="P105" s="169"/>
      <c r="Q105" s="206"/>
      <c r="R105" s="29"/>
      <c r="S105" s="30">
        <v>0</v>
      </c>
      <c r="T105" s="169"/>
      <c r="U105" s="169"/>
      <c r="V105" s="206"/>
      <c r="W105" s="29"/>
      <c r="X105" s="30">
        <v>0</v>
      </c>
      <c r="Y105" s="169"/>
      <c r="Z105" s="169"/>
      <c r="AA105" s="206"/>
      <c r="AB105" s="29"/>
      <c r="AC105" s="30">
        <v>0</v>
      </c>
      <c r="AD105" s="178"/>
      <c r="AE105" s="179"/>
      <c r="AF105" s="206"/>
      <c r="AG105" s="29"/>
      <c r="AH105" s="30">
        <v>0</v>
      </c>
      <c r="AI105" s="178"/>
      <c r="AJ105" s="179"/>
      <c r="AK105" s="232">
        <f t="shared" si="3"/>
        <v>0</v>
      </c>
      <c r="AL105" s="227">
        <f t="shared" si="4"/>
        <v>0</v>
      </c>
      <c r="AM105" s="193">
        <v>105</v>
      </c>
    </row>
    <row r="106" spans="1:39" ht="15.75" thickBot="1" x14ac:dyDescent="0.3">
      <c r="A106" s="124" t="s">
        <v>72</v>
      </c>
      <c r="B106" s="26"/>
      <c r="C106" s="24"/>
      <c r="D106" s="21"/>
      <c r="E106" s="21"/>
      <c r="F106" s="150" t="s">
        <v>98</v>
      </c>
      <c r="G106" s="206"/>
      <c r="H106" s="29"/>
      <c r="I106" s="30">
        <v>0</v>
      </c>
      <c r="J106" s="169"/>
      <c r="K106" s="169"/>
      <c r="L106" s="206"/>
      <c r="M106" s="29"/>
      <c r="N106" s="30">
        <v>0</v>
      </c>
      <c r="O106" s="169"/>
      <c r="P106" s="169"/>
      <c r="Q106" s="206"/>
      <c r="R106" s="29"/>
      <c r="S106" s="30">
        <v>0</v>
      </c>
      <c r="T106" s="169"/>
      <c r="U106" s="169"/>
      <c r="V106" s="206"/>
      <c r="W106" s="29"/>
      <c r="X106" s="30">
        <v>0</v>
      </c>
      <c r="Y106" s="169"/>
      <c r="Z106" s="169"/>
      <c r="AA106" s="206"/>
      <c r="AB106" s="29"/>
      <c r="AC106" s="30">
        <v>0</v>
      </c>
      <c r="AD106" s="178"/>
      <c r="AE106" s="179"/>
      <c r="AF106" s="206"/>
      <c r="AG106" s="29"/>
      <c r="AH106" s="30">
        <v>0</v>
      </c>
      <c r="AI106" s="178"/>
      <c r="AJ106" s="179"/>
      <c r="AK106" s="232">
        <f t="shared" si="3"/>
        <v>0</v>
      </c>
      <c r="AL106" s="227">
        <f t="shared" si="4"/>
        <v>0</v>
      </c>
      <c r="AM106" s="193">
        <v>106</v>
      </c>
    </row>
    <row r="107" spans="1:39" ht="15.75" thickBot="1" x14ac:dyDescent="0.3">
      <c r="A107" s="124" t="s">
        <v>72</v>
      </c>
      <c r="B107" s="23"/>
      <c r="C107" s="23"/>
      <c r="D107" s="23"/>
      <c r="E107" s="23"/>
      <c r="F107" s="150" t="s">
        <v>98</v>
      </c>
      <c r="G107" s="206"/>
      <c r="H107" s="29"/>
      <c r="I107" s="231">
        <v>0</v>
      </c>
      <c r="J107" s="169"/>
      <c r="K107" s="169"/>
      <c r="L107" s="206"/>
      <c r="M107" s="29"/>
      <c r="N107" s="231">
        <v>0</v>
      </c>
      <c r="O107" s="169"/>
      <c r="P107" s="169"/>
      <c r="Q107" s="206"/>
      <c r="R107" s="29"/>
      <c r="S107" s="231">
        <v>0</v>
      </c>
      <c r="T107" s="169"/>
      <c r="U107" s="169"/>
      <c r="V107" s="206"/>
      <c r="W107" s="29"/>
      <c r="X107" s="231">
        <v>0</v>
      </c>
      <c r="Y107" s="169"/>
      <c r="Z107" s="169"/>
      <c r="AA107" s="206"/>
      <c r="AB107" s="29"/>
      <c r="AC107" s="231">
        <v>0</v>
      </c>
      <c r="AD107" s="184"/>
      <c r="AE107" s="185"/>
      <c r="AF107" s="206"/>
      <c r="AG107" s="29"/>
      <c r="AH107" s="229">
        <v>0</v>
      </c>
      <c r="AI107" s="184"/>
      <c r="AJ107" s="185"/>
      <c r="AK107" s="232">
        <f t="shared" si="3"/>
        <v>0</v>
      </c>
      <c r="AL107" s="227">
        <f t="shared" si="4"/>
        <v>0</v>
      </c>
      <c r="AM107" s="230">
        <v>107</v>
      </c>
    </row>
    <row r="108" spans="1:39" ht="15.75" thickBot="1" x14ac:dyDescent="0.3">
      <c r="A108" s="124" t="s">
        <v>72</v>
      </c>
      <c r="B108" s="23"/>
      <c r="C108" s="23"/>
      <c r="D108" s="23"/>
      <c r="E108" s="23"/>
      <c r="F108" s="150" t="s">
        <v>98</v>
      </c>
      <c r="G108" s="206"/>
      <c r="H108" s="29"/>
      <c r="I108" s="231">
        <v>0</v>
      </c>
      <c r="J108" s="169"/>
      <c r="K108" s="169"/>
      <c r="L108" s="206"/>
      <c r="M108" s="29"/>
      <c r="N108" s="231">
        <v>0</v>
      </c>
      <c r="O108" s="169"/>
      <c r="P108" s="169"/>
      <c r="Q108" s="206"/>
      <c r="R108" s="29"/>
      <c r="S108" s="231">
        <v>0</v>
      </c>
      <c r="T108" s="169"/>
      <c r="U108" s="169"/>
      <c r="V108" s="206"/>
      <c r="W108" s="29"/>
      <c r="X108" s="231">
        <v>0</v>
      </c>
      <c r="Y108" s="169"/>
      <c r="Z108" s="169"/>
      <c r="AA108" s="206"/>
      <c r="AB108" s="29"/>
      <c r="AC108" s="231">
        <v>0</v>
      </c>
      <c r="AD108" s="184"/>
      <c r="AE108" s="185"/>
      <c r="AF108" s="206"/>
      <c r="AG108" s="29"/>
      <c r="AH108" s="229">
        <v>0</v>
      </c>
      <c r="AI108" s="184"/>
      <c r="AJ108" s="185"/>
      <c r="AK108" s="232">
        <f t="shared" si="3"/>
        <v>0</v>
      </c>
      <c r="AL108" s="227">
        <f t="shared" si="4"/>
        <v>0</v>
      </c>
      <c r="AM108" s="230">
        <v>108</v>
      </c>
    </row>
    <row r="109" spans="1:39" ht="15.75" thickBot="1" x14ac:dyDescent="0.3">
      <c r="A109" s="124" t="s">
        <v>72</v>
      </c>
      <c r="B109" s="23"/>
      <c r="C109" s="23"/>
      <c r="D109" s="23"/>
      <c r="E109" s="23"/>
      <c r="F109" s="150" t="s">
        <v>98</v>
      </c>
      <c r="G109" s="206"/>
      <c r="H109" s="29"/>
      <c r="I109" s="231">
        <v>0</v>
      </c>
      <c r="J109" s="169"/>
      <c r="K109" s="169"/>
      <c r="L109" s="206"/>
      <c r="M109" s="29"/>
      <c r="N109" s="231">
        <v>0</v>
      </c>
      <c r="O109" s="169"/>
      <c r="P109" s="169"/>
      <c r="Q109" s="206"/>
      <c r="R109" s="29"/>
      <c r="S109" s="231">
        <v>0</v>
      </c>
      <c r="T109" s="169"/>
      <c r="U109" s="169"/>
      <c r="V109" s="206"/>
      <c r="W109" s="29"/>
      <c r="X109" s="231">
        <v>0</v>
      </c>
      <c r="Y109" s="169"/>
      <c r="Z109" s="169"/>
      <c r="AA109" s="206"/>
      <c r="AB109" s="29"/>
      <c r="AC109" s="231">
        <v>0</v>
      </c>
      <c r="AD109" s="184"/>
      <c r="AE109" s="185"/>
      <c r="AF109" s="206"/>
      <c r="AG109" s="29"/>
      <c r="AH109" s="229">
        <v>0</v>
      </c>
      <c r="AI109" s="184"/>
      <c r="AJ109" s="185"/>
      <c r="AK109" s="232">
        <f t="shared" si="3"/>
        <v>0</v>
      </c>
      <c r="AL109" s="227">
        <f t="shared" si="4"/>
        <v>0</v>
      </c>
      <c r="AM109" s="230">
        <v>109</v>
      </c>
    </row>
    <row r="110" spans="1:39" ht="15.75" thickBot="1" x14ac:dyDescent="0.3">
      <c r="A110" s="124" t="s">
        <v>72</v>
      </c>
      <c r="B110" s="23"/>
      <c r="C110" s="23"/>
      <c r="D110" s="23"/>
      <c r="E110" s="23"/>
      <c r="F110" s="150" t="s">
        <v>98</v>
      </c>
      <c r="G110" s="206"/>
      <c r="H110" s="29"/>
      <c r="I110" s="231">
        <v>0</v>
      </c>
      <c r="J110" s="169"/>
      <c r="K110" s="169"/>
      <c r="L110" s="206"/>
      <c r="M110" s="29"/>
      <c r="N110" s="231">
        <v>0</v>
      </c>
      <c r="O110" s="169"/>
      <c r="P110" s="169"/>
      <c r="Q110" s="206"/>
      <c r="R110" s="29"/>
      <c r="S110" s="231">
        <v>0</v>
      </c>
      <c r="T110" s="169"/>
      <c r="U110" s="169"/>
      <c r="V110" s="206"/>
      <c r="W110" s="29"/>
      <c r="X110" s="231">
        <v>0</v>
      </c>
      <c r="Y110" s="169"/>
      <c r="Z110" s="169"/>
      <c r="AA110" s="206"/>
      <c r="AB110" s="29"/>
      <c r="AC110" s="231">
        <v>0</v>
      </c>
      <c r="AD110" s="184"/>
      <c r="AE110" s="185"/>
      <c r="AF110" s="206"/>
      <c r="AG110" s="29"/>
      <c r="AH110" s="229">
        <v>0</v>
      </c>
      <c r="AI110" s="184"/>
      <c r="AJ110" s="185"/>
      <c r="AK110" s="232">
        <f t="shared" si="3"/>
        <v>0</v>
      </c>
      <c r="AL110" s="227">
        <f t="shared" si="4"/>
        <v>0</v>
      </c>
      <c r="AM110" s="230">
        <v>110</v>
      </c>
    </row>
    <row r="111" spans="1:39" ht="15.75" thickBot="1" x14ac:dyDescent="0.3">
      <c r="A111" s="124" t="s">
        <v>72</v>
      </c>
      <c r="B111" s="23"/>
      <c r="C111" s="23"/>
      <c r="D111" s="23"/>
      <c r="E111" s="23"/>
      <c r="F111" s="150" t="s">
        <v>98</v>
      </c>
      <c r="G111" s="206"/>
      <c r="H111" s="29"/>
      <c r="I111" s="231">
        <v>0</v>
      </c>
      <c r="J111" s="169"/>
      <c r="K111" s="169"/>
      <c r="L111" s="206"/>
      <c r="M111" s="29"/>
      <c r="N111" s="231">
        <v>0</v>
      </c>
      <c r="O111" s="169"/>
      <c r="P111" s="169"/>
      <c r="Q111" s="206"/>
      <c r="R111" s="29"/>
      <c r="S111" s="231">
        <v>0</v>
      </c>
      <c r="T111" s="169"/>
      <c r="U111" s="169"/>
      <c r="V111" s="206"/>
      <c r="W111" s="29"/>
      <c r="X111" s="231">
        <v>0</v>
      </c>
      <c r="Y111" s="169"/>
      <c r="Z111" s="169"/>
      <c r="AA111" s="206"/>
      <c r="AB111" s="29"/>
      <c r="AC111" s="231">
        <v>0</v>
      </c>
      <c r="AD111" s="184"/>
      <c r="AE111" s="185"/>
      <c r="AF111" s="206"/>
      <c r="AG111" s="29"/>
      <c r="AH111" s="229">
        <v>0</v>
      </c>
      <c r="AI111" s="184"/>
      <c r="AJ111" s="185"/>
      <c r="AK111" s="232">
        <f t="shared" si="3"/>
        <v>0</v>
      </c>
      <c r="AL111" s="227">
        <f t="shared" si="4"/>
        <v>0</v>
      </c>
      <c r="AM111" s="230">
        <v>111</v>
      </c>
    </row>
    <row r="112" spans="1:39" x14ac:dyDescent="0.25">
      <c r="A112" s="124" t="s">
        <v>72</v>
      </c>
      <c r="B112" s="26"/>
      <c r="C112" s="24"/>
      <c r="D112" s="21"/>
      <c r="E112" s="21"/>
      <c r="F112" s="150" t="s">
        <v>98</v>
      </c>
      <c r="G112" s="206"/>
      <c r="H112" s="29"/>
      <c r="I112" s="30">
        <v>0</v>
      </c>
      <c r="J112" s="169"/>
      <c r="K112" s="169"/>
      <c r="L112" s="206"/>
      <c r="M112" s="29"/>
      <c r="N112" s="30">
        <v>0</v>
      </c>
      <c r="O112" s="169"/>
      <c r="P112" s="169"/>
      <c r="Q112" s="206"/>
      <c r="R112" s="29"/>
      <c r="S112" s="30">
        <v>0</v>
      </c>
      <c r="T112" s="169"/>
      <c r="U112" s="169"/>
      <c r="V112" s="28"/>
      <c r="W112" s="29"/>
      <c r="X112" s="30">
        <v>0</v>
      </c>
      <c r="Y112" s="169"/>
      <c r="Z112" s="169"/>
      <c r="AA112" s="28"/>
      <c r="AB112" s="29"/>
      <c r="AC112" s="30">
        <v>0</v>
      </c>
      <c r="AD112" s="178"/>
      <c r="AE112" s="179"/>
      <c r="AF112" s="206"/>
      <c r="AG112" s="29"/>
      <c r="AH112" s="30">
        <v>0</v>
      </c>
      <c r="AI112" s="178"/>
      <c r="AJ112" s="179"/>
      <c r="AK112" s="232">
        <f t="shared" si="3"/>
        <v>0</v>
      </c>
      <c r="AL112" s="227">
        <f t="shared" si="4"/>
        <v>0</v>
      </c>
      <c r="AM112" s="193">
        <v>112</v>
      </c>
    </row>
    <row r="113" spans="1:39" x14ac:dyDescent="0.25">
      <c r="A113" s="133"/>
      <c r="B113" s="59"/>
      <c r="C113" s="24"/>
      <c r="D113" s="21"/>
      <c r="E113" s="21"/>
      <c r="F113" s="150" t="s">
        <v>98</v>
      </c>
      <c r="G113" s="206"/>
      <c r="H113" s="29"/>
      <c r="I113" s="30">
        <v>0</v>
      </c>
      <c r="J113" s="169"/>
      <c r="K113" s="169"/>
      <c r="L113" s="206"/>
      <c r="M113" s="29"/>
      <c r="N113" s="30">
        <v>0</v>
      </c>
      <c r="O113" s="169"/>
      <c r="P113" s="169"/>
      <c r="Q113" s="206"/>
      <c r="R113" s="29"/>
      <c r="S113" s="30">
        <v>0</v>
      </c>
      <c r="T113" s="169"/>
      <c r="U113" s="169"/>
      <c r="V113" s="28"/>
      <c r="W113" s="29"/>
      <c r="X113" s="30">
        <v>0</v>
      </c>
      <c r="Y113" s="169"/>
      <c r="Z113" s="169"/>
      <c r="AA113" s="28"/>
      <c r="AB113" s="29"/>
      <c r="AC113" s="30">
        <v>0</v>
      </c>
      <c r="AD113" s="178"/>
      <c r="AE113" s="188"/>
      <c r="AF113" s="28"/>
      <c r="AG113" s="29"/>
      <c r="AH113" s="30">
        <v>0</v>
      </c>
      <c r="AI113" s="178"/>
      <c r="AJ113" s="179"/>
      <c r="AK113" s="232">
        <f t="shared" si="3"/>
        <v>0</v>
      </c>
      <c r="AL113" s="227">
        <f t="shared" si="4"/>
        <v>0</v>
      </c>
      <c r="AM113" s="193">
        <v>113</v>
      </c>
    </row>
    <row r="114" spans="1:39" x14ac:dyDescent="0.25">
      <c r="A114" s="123" t="s">
        <v>60</v>
      </c>
      <c r="B114" s="59"/>
      <c r="C114" s="24"/>
      <c r="D114" s="21"/>
      <c r="E114" s="21"/>
      <c r="F114" s="99" t="s">
        <v>98</v>
      </c>
      <c r="G114" s="25"/>
      <c r="H114" s="201">
        <f>SUM(H115:H133)</f>
        <v>0</v>
      </c>
      <c r="I114" s="202">
        <f>SUM(I115:I133)</f>
        <v>0</v>
      </c>
      <c r="J114" s="172"/>
      <c r="K114" s="172"/>
      <c r="L114" s="25">
        <v>0</v>
      </c>
      <c r="M114" s="201">
        <f>SUM(M115:M133)</f>
        <v>0</v>
      </c>
      <c r="N114" s="202">
        <f>SUM(N115:N133)</f>
        <v>0</v>
      </c>
      <c r="O114" s="172"/>
      <c r="P114" s="172"/>
      <c r="Q114" s="25">
        <v>0</v>
      </c>
      <c r="R114" s="201">
        <f>SUM(R115:R133)</f>
        <v>0</v>
      </c>
      <c r="S114" s="202">
        <f>SUM(S115:S133)</f>
        <v>0</v>
      </c>
      <c r="T114" s="172"/>
      <c r="U114" s="172"/>
      <c r="V114" s="25">
        <v>0</v>
      </c>
      <c r="W114" s="201">
        <f>SUM(W115:W133)</f>
        <v>0</v>
      </c>
      <c r="X114" s="202">
        <f>SUM(X115:X133)</f>
        <v>0</v>
      </c>
      <c r="Y114" s="172"/>
      <c r="Z114" s="172"/>
      <c r="AA114" s="25">
        <v>0</v>
      </c>
      <c r="AB114" s="201">
        <f>SUM(AB115:AB133)</f>
        <v>0</v>
      </c>
      <c r="AC114" s="202">
        <f>SUM(AC115:AC133)</f>
        <v>0</v>
      </c>
      <c r="AD114" s="184"/>
      <c r="AE114" s="183"/>
      <c r="AF114" s="25">
        <v>0</v>
      </c>
      <c r="AG114" s="201">
        <f>SUM(AG115:AG133)</f>
        <v>0</v>
      </c>
      <c r="AH114" s="202">
        <f>SUM(AH115:AH133)</f>
        <v>0</v>
      </c>
      <c r="AI114" s="178"/>
      <c r="AJ114" s="188"/>
      <c r="AK114" s="216">
        <f>SUM(AK115:AK133)</f>
        <v>0</v>
      </c>
      <c r="AL114" s="219">
        <f>SUM(AL115:AL133)</f>
        <v>0</v>
      </c>
      <c r="AM114" s="193">
        <v>114</v>
      </c>
    </row>
    <row r="115" spans="1:39" x14ac:dyDescent="0.25">
      <c r="A115" s="124" t="s">
        <v>72</v>
      </c>
      <c r="B115" s="26"/>
      <c r="C115" s="24"/>
      <c r="D115" s="21"/>
      <c r="E115" s="21"/>
      <c r="F115" s="150" t="s">
        <v>98</v>
      </c>
      <c r="G115" s="206"/>
      <c r="H115" s="29"/>
      <c r="I115" s="30">
        <v>0</v>
      </c>
      <c r="J115" s="169"/>
      <c r="K115" s="169"/>
      <c r="L115" s="28"/>
      <c r="M115" s="29"/>
      <c r="N115" s="30">
        <v>0</v>
      </c>
      <c r="O115" s="169"/>
      <c r="P115" s="169"/>
      <c r="Q115" s="28"/>
      <c r="R115" s="29"/>
      <c r="S115" s="30">
        <v>0</v>
      </c>
      <c r="T115" s="169"/>
      <c r="U115" s="169"/>
      <c r="V115" s="28"/>
      <c r="W115" s="29"/>
      <c r="X115" s="30">
        <v>0</v>
      </c>
      <c r="Y115" s="169"/>
      <c r="Z115" s="169"/>
      <c r="AA115" s="28"/>
      <c r="AB115" s="29"/>
      <c r="AC115" s="30">
        <v>0</v>
      </c>
      <c r="AD115" s="178"/>
      <c r="AE115" s="179"/>
      <c r="AF115" s="206"/>
      <c r="AG115" s="29"/>
      <c r="AH115" s="30">
        <v>0</v>
      </c>
      <c r="AI115" s="184"/>
      <c r="AJ115" s="183"/>
      <c r="AK115" s="232">
        <f>H115+R115+AB115+M115+W115+AG115</f>
        <v>0</v>
      </c>
      <c r="AL115" s="227">
        <f>I115+S115+AC115+N115+X115+AH115</f>
        <v>0</v>
      </c>
      <c r="AM115" s="193">
        <v>115</v>
      </c>
    </row>
    <row r="116" spans="1:39" x14ac:dyDescent="0.25">
      <c r="A116" s="124" t="s">
        <v>72</v>
      </c>
      <c r="B116" s="26"/>
      <c r="C116" s="24"/>
      <c r="D116" s="21"/>
      <c r="E116" s="21"/>
      <c r="F116" s="150" t="s">
        <v>98</v>
      </c>
      <c r="G116" s="206"/>
      <c r="H116" s="29"/>
      <c r="I116" s="30">
        <v>0</v>
      </c>
      <c r="J116" s="169"/>
      <c r="K116" s="169"/>
      <c r="L116" s="28"/>
      <c r="M116" s="29"/>
      <c r="N116" s="30">
        <v>0</v>
      </c>
      <c r="O116" s="169"/>
      <c r="P116" s="169"/>
      <c r="Q116" s="28"/>
      <c r="R116" s="29"/>
      <c r="S116" s="30">
        <v>0</v>
      </c>
      <c r="T116" s="169"/>
      <c r="U116" s="169"/>
      <c r="V116" s="28"/>
      <c r="W116" s="29"/>
      <c r="X116" s="30">
        <v>0</v>
      </c>
      <c r="Y116" s="169"/>
      <c r="Z116" s="169"/>
      <c r="AA116" s="28"/>
      <c r="AB116" s="29"/>
      <c r="AC116" s="30">
        <v>0</v>
      </c>
      <c r="AD116" s="178"/>
      <c r="AE116" s="179"/>
      <c r="AF116" s="206"/>
      <c r="AG116" s="29"/>
      <c r="AH116" s="30">
        <v>0</v>
      </c>
      <c r="AI116" s="178"/>
      <c r="AJ116" s="179"/>
      <c r="AK116" s="232">
        <f t="shared" ref="AK116:AK133" si="5">H116+R116+AB116+M116+W116+AG116</f>
        <v>0</v>
      </c>
      <c r="AL116" s="227">
        <f t="shared" ref="AL116:AL133" si="6">I116+S116+AC116+N116+X116+AH116</f>
        <v>0</v>
      </c>
      <c r="AM116" s="193">
        <v>116</v>
      </c>
    </row>
    <row r="117" spans="1:39" ht="15.75" thickBot="1" x14ac:dyDescent="0.3">
      <c r="A117" s="124" t="s">
        <v>72</v>
      </c>
      <c r="B117" s="26"/>
      <c r="C117" s="24"/>
      <c r="D117" s="21"/>
      <c r="E117" s="21"/>
      <c r="F117" s="150" t="s">
        <v>98</v>
      </c>
      <c r="G117" s="206"/>
      <c r="H117" s="29"/>
      <c r="I117" s="30">
        <v>0</v>
      </c>
      <c r="J117" s="169"/>
      <c r="K117" s="169"/>
      <c r="L117" s="28"/>
      <c r="M117" s="29"/>
      <c r="N117" s="30">
        <v>0</v>
      </c>
      <c r="O117" s="169"/>
      <c r="P117" s="169"/>
      <c r="Q117" s="28"/>
      <c r="R117" s="29"/>
      <c r="S117" s="30">
        <v>0</v>
      </c>
      <c r="T117" s="169"/>
      <c r="U117" s="169"/>
      <c r="V117" s="28"/>
      <c r="W117" s="29"/>
      <c r="X117" s="30">
        <v>0</v>
      </c>
      <c r="Y117" s="169"/>
      <c r="Z117" s="169"/>
      <c r="AA117" s="28"/>
      <c r="AB117" s="29"/>
      <c r="AC117" s="30">
        <v>0</v>
      </c>
      <c r="AD117" s="178"/>
      <c r="AE117" s="179"/>
      <c r="AF117" s="206"/>
      <c r="AG117" s="29"/>
      <c r="AH117" s="30">
        <v>0</v>
      </c>
      <c r="AI117" s="178"/>
      <c r="AJ117" s="179"/>
      <c r="AK117" s="232">
        <f t="shared" si="5"/>
        <v>0</v>
      </c>
      <c r="AL117" s="227">
        <f t="shared" si="6"/>
        <v>0</v>
      </c>
      <c r="AM117" s="193">
        <v>117</v>
      </c>
    </row>
    <row r="118" spans="1:39" ht="15.75" thickBot="1" x14ac:dyDescent="0.3">
      <c r="A118" s="124" t="s">
        <v>72</v>
      </c>
      <c r="B118" s="23"/>
      <c r="C118" s="23"/>
      <c r="D118" s="23"/>
      <c r="E118" s="23"/>
      <c r="F118" s="150" t="s">
        <v>98</v>
      </c>
      <c r="G118" s="233"/>
      <c r="H118" s="29"/>
      <c r="I118" s="231">
        <v>0</v>
      </c>
      <c r="J118" s="169"/>
      <c r="K118" s="169"/>
      <c r="L118" s="28"/>
      <c r="M118" s="29"/>
      <c r="N118" s="231">
        <v>0</v>
      </c>
      <c r="O118" s="169"/>
      <c r="P118" s="169"/>
      <c r="Q118" s="28"/>
      <c r="R118" s="29"/>
      <c r="S118" s="231">
        <v>0</v>
      </c>
      <c r="T118" s="169"/>
      <c r="U118" s="169"/>
      <c r="V118" s="28"/>
      <c r="W118" s="29"/>
      <c r="X118" s="231">
        <v>0</v>
      </c>
      <c r="Y118" s="169"/>
      <c r="Z118" s="169"/>
      <c r="AA118" s="28"/>
      <c r="AB118" s="29"/>
      <c r="AC118" s="231">
        <v>0</v>
      </c>
      <c r="AD118" s="184"/>
      <c r="AE118" s="185"/>
      <c r="AF118" s="206"/>
      <c r="AG118" s="29"/>
      <c r="AH118" s="229">
        <v>0</v>
      </c>
      <c r="AI118" s="184"/>
      <c r="AJ118" s="185"/>
      <c r="AK118" s="232">
        <f t="shared" si="5"/>
        <v>0</v>
      </c>
      <c r="AL118" s="227">
        <f t="shared" si="6"/>
        <v>0</v>
      </c>
      <c r="AM118" s="230">
        <v>118</v>
      </c>
    </row>
    <row r="119" spans="1:39" ht="15.75" thickBot="1" x14ac:dyDescent="0.3">
      <c r="A119" s="124" t="s">
        <v>72</v>
      </c>
      <c r="B119" s="23"/>
      <c r="C119" s="23"/>
      <c r="D119" s="23"/>
      <c r="E119" s="21"/>
      <c r="F119" s="150" t="s">
        <v>98</v>
      </c>
      <c r="G119" s="233"/>
      <c r="H119" s="29"/>
      <c r="I119" s="231">
        <v>0</v>
      </c>
      <c r="J119" s="169"/>
      <c r="K119" s="169"/>
      <c r="L119" s="28"/>
      <c r="M119" s="29"/>
      <c r="N119" s="231">
        <v>0</v>
      </c>
      <c r="O119" s="169"/>
      <c r="P119" s="169"/>
      <c r="Q119" s="28"/>
      <c r="R119" s="29"/>
      <c r="S119" s="231">
        <v>0</v>
      </c>
      <c r="T119" s="169"/>
      <c r="U119" s="169"/>
      <c r="V119" s="28"/>
      <c r="W119" s="29"/>
      <c r="X119" s="231">
        <v>0</v>
      </c>
      <c r="Y119" s="169"/>
      <c r="Z119" s="169"/>
      <c r="AA119" s="28"/>
      <c r="AB119" s="29"/>
      <c r="AC119" s="231">
        <v>0</v>
      </c>
      <c r="AD119" s="184"/>
      <c r="AE119" s="185"/>
      <c r="AF119" s="206"/>
      <c r="AG119" s="29"/>
      <c r="AH119" s="229">
        <v>0</v>
      </c>
      <c r="AI119" s="184"/>
      <c r="AJ119" s="185"/>
      <c r="AK119" s="232">
        <f t="shared" si="5"/>
        <v>0</v>
      </c>
      <c r="AL119" s="227">
        <f t="shared" si="6"/>
        <v>0</v>
      </c>
      <c r="AM119" s="230">
        <v>119</v>
      </c>
    </row>
    <row r="120" spans="1:39" ht="15.75" thickBot="1" x14ac:dyDescent="0.3">
      <c r="A120" s="124" t="s">
        <v>72</v>
      </c>
      <c r="B120" s="23"/>
      <c r="C120" s="23"/>
      <c r="D120" s="23"/>
      <c r="E120" s="21"/>
      <c r="F120" s="150" t="s">
        <v>98</v>
      </c>
      <c r="G120" s="233"/>
      <c r="H120" s="29"/>
      <c r="I120" s="231">
        <v>0</v>
      </c>
      <c r="J120" s="169"/>
      <c r="K120" s="169"/>
      <c r="L120" s="28"/>
      <c r="M120" s="29"/>
      <c r="N120" s="231">
        <v>0</v>
      </c>
      <c r="O120" s="169"/>
      <c r="P120" s="169"/>
      <c r="Q120" s="28"/>
      <c r="R120" s="29"/>
      <c r="S120" s="231">
        <v>0</v>
      </c>
      <c r="T120" s="169"/>
      <c r="U120" s="169"/>
      <c r="V120" s="28"/>
      <c r="W120" s="29"/>
      <c r="X120" s="231">
        <v>0</v>
      </c>
      <c r="Y120" s="169"/>
      <c r="Z120" s="169"/>
      <c r="AA120" s="28"/>
      <c r="AB120" s="29"/>
      <c r="AC120" s="231">
        <v>0</v>
      </c>
      <c r="AD120" s="184"/>
      <c r="AE120" s="185"/>
      <c r="AF120" s="206"/>
      <c r="AG120" s="29"/>
      <c r="AH120" s="229">
        <v>0</v>
      </c>
      <c r="AI120" s="184"/>
      <c r="AJ120" s="185"/>
      <c r="AK120" s="232">
        <f t="shared" si="5"/>
        <v>0</v>
      </c>
      <c r="AL120" s="227">
        <f t="shared" si="6"/>
        <v>0</v>
      </c>
      <c r="AM120" s="230">
        <v>120</v>
      </c>
    </row>
    <row r="121" spans="1:39" ht="15.75" thickBot="1" x14ac:dyDescent="0.3">
      <c r="A121" s="124" t="s">
        <v>72</v>
      </c>
      <c r="B121" s="23"/>
      <c r="C121" s="23"/>
      <c r="D121" s="23"/>
      <c r="E121" s="21"/>
      <c r="F121" s="150" t="s">
        <v>98</v>
      </c>
      <c r="G121" s="233"/>
      <c r="H121" s="29"/>
      <c r="I121" s="231">
        <v>0</v>
      </c>
      <c r="J121" s="169"/>
      <c r="K121" s="169"/>
      <c r="L121" s="28"/>
      <c r="M121" s="29"/>
      <c r="N121" s="231">
        <v>0</v>
      </c>
      <c r="O121" s="169"/>
      <c r="P121" s="169"/>
      <c r="Q121" s="28"/>
      <c r="R121" s="29"/>
      <c r="S121" s="231">
        <v>0</v>
      </c>
      <c r="T121" s="169"/>
      <c r="U121" s="169"/>
      <c r="V121" s="28"/>
      <c r="W121" s="29"/>
      <c r="X121" s="231">
        <v>0</v>
      </c>
      <c r="Y121" s="169"/>
      <c r="Z121" s="169"/>
      <c r="AA121" s="28"/>
      <c r="AB121" s="29"/>
      <c r="AC121" s="231">
        <v>0</v>
      </c>
      <c r="AD121" s="184"/>
      <c r="AE121" s="185"/>
      <c r="AF121" s="206"/>
      <c r="AG121" s="29"/>
      <c r="AH121" s="229">
        <v>0</v>
      </c>
      <c r="AI121" s="184"/>
      <c r="AJ121" s="185"/>
      <c r="AK121" s="232">
        <f t="shared" si="5"/>
        <v>0</v>
      </c>
      <c r="AL121" s="227">
        <f t="shared" si="6"/>
        <v>0</v>
      </c>
      <c r="AM121" s="230">
        <v>121</v>
      </c>
    </row>
    <row r="122" spans="1:39" ht="15.75" thickBot="1" x14ac:dyDescent="0.3">
      <c r="A122" s="124" t="s">
        <v>72</v>
      </c>
      <c r="B122" s="23"/>
      <c r="C122" s="23"/>
      <c r="D122" s="23"/>
      <c r="E122" s="23"/>
      <c r="F122" s="150" t="s">
        <v>98</v>
      </c>
      <c r="G122" s="233"/>
      <c r="H122" s="29"/>
      <c r="I122" s="231">
        <v>0</v>
      </c>
      <c r="J122" s="169"/>
      <c r="K122" s="169"/>
      <c r="L122" s="28"/>
      <c r="M122" s="29"/>
      <c r="N122" s="231">
        <v>0</v>
      </c>
      <c r="O122" s="169"/>
      <c r="P122" s="169"/>
      <c r="Q122" s="28"/>
      <c r="R122" s="29"/>
      <c r="S122" s="231">
        <v>0</v>
      </c>
      <c r="T122" s="169"/>
      <c r="U122" s="169"/>
      <c r="V122" s="28"/>
      <c r="W122" s="29"/>
      <c r="X122" s="231">
        <v>0</v>
      </c>
      <c r="Y122" s="169"/>
      <c r="Z122" s="169"/>
      <c r="AA122" s="28"/>
      <c r="AB122" s="29"/>
      <c r="AC122" s="231">
        <v>0</v>
      </c>
      <c r="AD122" s="184"/>
      <c r="AE122" s="185"/>
      <c r="AF122" s="206"/>
      <c r="AG122" s="29"/>
      <c r="AH122" s="229">
        <v>0</v>
      </c>
      <c r="AI122" s="184"/>
      <c r="AJ122" s="185"/>
      <c r="AK122" s="232">
        <f t="shared" si="5"/>
        <v>0</v>
      </c>
      <c r="AL122" s="227">
        <f t="shared" si="6"/>
        <v>0</v>
      </c>
      <c r="AM122" s="230">
        <v>122</v>
      </c>
    </row>
    <row r="123" spans="1:39" ht="15.75" thickBot="1" x14ac:dyDescent="0.3">
      <c r="A123" s="124" t="s">
        <v>72</v>
      </c>
      <c r="B123" s="23"/>
      <c r="C123" s="23"/>
      <c r="D123" s="23"/>
      <c r="E123" s="21"/>
      <c r="F123" s="150" t="s">
        <v>98</v>
      </c>
      <c r="G123" s="233"/>
      <c r="H123" s="29"/>
      <c r="I123" s="231">
        <v>0</v>
      </c>
      <c r="J123" s="169"/>
      <c r="K123" s="169"/>
      <c r="L123" s="28"/>
      <c r="M123" s="29"/>
      <c r="N123" s="231">
        <v>0</v>
      </c>
      <c r="O123" s="169"/>
      <c r="P123" s="169"/>
      <c r="Q123" s="28"/>
      <c r="R123" s="29"/>
      <c r="S123" s="231">
        <v>0</v>
      </c>
      <c r="T123" s="169"/>
      <c r="U123" s="169"/>
      <c r="V123" s="28"/>
      <c r="W123" s="29"/>
      <c r="X123" s="231">
        <v>0</v>
      </c>
      <c r="Y123" s="169"/>
      <c r="Z123" s="169"/>
      <c r="AA123" s="28"/>
      <c r="AB123" s="29"/>
      <c r="AC123" s="231">
        <v>0</v>
      </c>
      <c r="AD123" s="184"/>
      <c r="AE123" s="185"/>
      <c r="AF123" s="206"/>
      <c r="AG123" s="29"/>
      <c r="AH123" s="229">
        <v>0</v>
      </c>
      <c r="AI123" s="184"/>
      <c r="AJ123" s="185"/>
      <c r="AK123" s="232">
        <f t="shared" si="5"/>
        <v>0</v>
      </c>
      <c r="AL123" s="227">
        <f t="shared" si="6"/>
        <v>0</v>
      </c>
      <c r="AM123" s="230">
        <v>123</v>
      </c>
    </row>
    <row r="124" spans="1:39" ht="15.75" thickBot="1" x14ac:dyDescent="0.3">
      <c r="A124" s="124" t="s">
        <v>72</v>
      </c>
      <c r="B124" s="23"/>
      <c r="C124" s="23"/>
      <c r="D124" s="23"/>
      <c r="E124" s="21"/>
      <c r="F124" s="150" t="s">
        <v>98</v>
      </c>
      <c r="G124" s="233"/>
      <c r="H124" s="29"/>
      <c r="I124" s="231">
        <v>0</v>
      </c>
      <c r="J124" s="169"/>
      <c r="K124" s="169"/>
      <c r="L124" s="28"/>
      <c r="M124" s="29"/>
      <c r="N124" s="231">
        <v>0</v>
      </c>
      <c r="O124" s="169"/>
      <c r="P124" s="169"/>
      <c r="Q124" s="28"/>
      <c r="R124" s="29"/>
      <c r="S124" s="231">
        <v>0</v>
      </c>
      <c r="T124" s="169"/>
      <c r="U124" s="169"/>
      <c r="V124" s="28"/>
      <c r="W124" s="29"/>
      <c r="X124" s="231">
        <v>0</v>
      </c>
      <c r="Y124" s="169"/>
      <c r="Z124" s="169"/>
      <c r="AA124" s="28"/>
      <c r="AB124" s="29"/>
      <c r="AC124" s="231">
        <v>0</v>
      </c>
      <c r="AD124" s="184"/>
      <c r="AE124" s="185"/>
      <c r="AF124" s="206"/>
      <c r="AG124" s="29"/>
      <c r="AH124" s="229">
        <v>0</v>
      </c>
      <c r="AI124" s="184"/>
      <c r="AJ124" s="185"/>
      <c r="AK124" s="232">
        <f t="shared" si="5"/>
        <v>0</v>
      </c>
      <c r="AL124" s="227">
        <f t="shared" si="6"/>
        <v>0</v>
      </c>
      <c r="AM124" s="230">
        <v>124</v>
      </c>
    </row>
    <row r="125" spans="1:39" ht="15.75" thickBot="1" x14ac:dyDescent="0.3">
      <c r="A125" s="124" t="s">
        <v>72</v>
      </c>
      <c r="B125" s="23"/>
      <c r="C125" s="23"/>
      <c r="D125" s="23"/>
      <c r="E125" s="21"/>
      <c r="F125" s="150" t="s">
        <v>98</v>
      </c>
      <c r="G125" s="233"/>
      <c r="H125" s="29"/>
      <c r="I125" s="231">
        <v>0</v>
      </c>
      <c r="J125" s="169"/>
      <c r="K125" s="169"/>
      <c r="L125" s="28"/>
      <c r="M125" s="29"/>
      <c r="N125" s="231">
        <v>0</v>
      </c>
      <c r="O125" s="169"/>
      <c r="P125" s="169"/>
      <c r="Q125" s="28"/>
      <c r="R125" s="29"/>
      <c r="S125" s="231">
        <v>0</v>
      </c>
      <c r="T125" s="169"/>
      <c r="U125" s="169"/>
      <c r="V125" s="28"/>
      <c r="W125" s="29"/>
      <c r="X125" s="231">
        <v>0</v>
      </c>
      <c r="Y125" s="169"/>
      <c r="Z125" s="169"/>
      <c r="AA125" s="28"/>
      <c r="AB125" s="29"/>
      <c r="AC125" s="231">
        <v>0</v>
      </c>
      <c r="AD125" s="184"/>
      <c r="AE125" s="185"/>
      <c r="AF125" s="206"/>
      <c r="AG125" s="29"/>
      <c r="AH125" s="229">
        <v>0</v>
      </c>
      <c r="AI125" s="184"/>
      <c r="AJ125" s="185"/>
      <c r="AK125" s="232">
        <f t="shared" si="5"/>
        <v>0</v>
      </c>
      <c r="AL125" s="227">
        <f t="shared" si="6"/>
        <v>0</v>
      </c>
      <c r="AM125" s="230">
        <v>125</v>
      </c>
    </row>
    <row r="126" spans="1:39" ht="15.75" thickBot="1" x14ac:dyDescent="0.3">
      <c r="A126" s="124" t="s">
        <v>72</v>
      </c>
      <c r="B126" s="23"/>
      <c r="C126" s="23"/>
      <c r="D126" s="23"/>
      <c r="E126" s="23"/>
      <c r="F126" s="150" t="s">
        <v>98</v>
      </c>
      <c r="G126" s="233"/>
      <c r="H126" s="29"/>
      <c r="I126" s="231">
        <v>0</v>
      </c>
      <c r="J126" s="169"/>
      <c r="K126" s="169"/>
      <c r="L126" s="28"/>
      <c r="M126" s="29"/>
      <c r="N126" s="231">
        <v>0</v>
      </c>
      <c r="O126" s="169"/>
      <c r="P126" s="169"/>
      <c r="Q126" s="28"/>
      <c r="R126" s="29"/>
      <c r="S126" s="231">
        <v>0</v>
      </c>
      <c r="T126" s="169"/>
      <c r="U126" s="169"/>
      <c r="V126" s="28"/>
      <c r="W126" s="29"/>
      <c r="X126" s="231">
        <v>0</v>
      </c>
      <c r="Y126" s="169"/>
      <c r="Z126" s="169"/>
      <c r="AA126" s="28"/>
      <c r="AB126" s="29"/>
      <c r="AC126" s="231">
        <v>0</v>
      </c>
      <c r="AD126" s="184"/>
      <c r="AE126" s="185"/>
      <c r="AF126" s="206"/>
      <c r="AG126" s="29"/>
      <c r="AH126" s="229">
        <v>0</v>
      </c>
      <c r="AI126" s="184"/>
      <c r="AJ126" s="185"/>
      <c r="AK126" s="232">
        <f t="shared" si="5"/>
        <v>0</v>
      </c>
      <c r="AL126" s="227">
        <f t="shared" si="6"/>
        <v>0</v>
      </c>
      <c r="AM126" s="230">
        <v>126</v>
      </c>
    </row>
    <row r="127" spans="1:39" ht="15.75" thickBot="1" x14ac:dyDescent="0.3">
      <c r="A127" s="124" t="s">
        <v>72</v>
      </c>
      <c r="B127" s="23"/>
      <c r="C127" s="23"/>
      <c r="D127" s="23"/>
      <c r="E127" s="21"/>
      <c r="F127" s="150" t="s">
        <v>98</v>
      </c>
      <c r="G127" s="233"/>
      <c r="H127" s="29"/>
      <c r="I127" s="231">
        <v>0</v>
      </c>
      <c r="J127" s="169"/>
      <c r="K127" s="169"/>
      <c r="L127" s="28"/>
      <c r="M127" s="29"/>
      <c r="N127" s="231">
        <v>0</v>
      </c>
      <c r="O127" s="169"/>
      <c r="P127" s="169"/>
      <c r="Q127" s="28"/>
      <c r="R127" s="29"/>
      <c r="S127" s="231">
        <v>0</v>
      </c>
      <c r="T127" s="169"/>
      <c r="U127" s="169"/>
      <c r="V127" s="28"/>
      <c r="W127" s="29"/>
      <c r="X127" s="231">
        <v>0</v>
      </c>
      <c r="Y127" s="169"/>
      <c r="Z127" s="169"/>
      <c r="AA127" s="28"/>
      <c r="AB127" s="29"/>
      <c r="AC127" s="231">
        <v>0</v>
      </c>
      <c r="AD127" s="184"/>
      <c r="AE127" s="185"/>
      <c r="AF127" s="206"/>
      <c r="AG127" s="29"/>
      <c r="AH127" s="229">
        <v>0</v>
      </c>
      <c r="AI127" s="184"/>
      <c r="AJ127" s="185"/>
      <c r="AK127" s="232">
        <f t="shared" si="5"/>
        <v>0</v>
      </c>
      <c r="AL127" s="227">
        <f t="shared" si="6"/>
        <v>0</v>
      </c>
      <c r="AM127" s="230">
        <v>127</v>
      </c>
    </row>
    <row r="128" spans="1:39" ht="15.75" thickBot="1" x14ac:dyDescent="0.3">
      <c r="A128" s="124" t="s">
        <v>72</v>
      </c>
      <c r="B128" s="23"/>
      <c r="C128" s="23"/>
      <c r="D128" s="23"/>
      <c r="E128" s="21"/>
      <c r="F128" s="150" t="s">
        <v>98</v>
      </c>
      <c r="G128" s="233"/>
      <c r="H128" s="29"/>
      <c r="I128" s="231">
        <v>0</v>
      </c>
      <c r="J128" s="169"/>
      <c r="K128" s="169"/>
      <c r="L128" s="28"/>
      <c r="M128" s="29"/>
      <c r="N128" s="231">
        <v>0</v>
      </c>
      <c r="O128" s="169"/>
      <c r="P128" s="169"/>
      <c r="Q128" s="28"/>
      <c r="R128" s="29"/>
      <c r="S128" s="231">
        <v>0</v>
      </c>
      <c r="T128" s="169"/>
      <c r="U128" s="169"/>
      <c r="V128" s="28"/>
      <c r="W128" s="29"/>
      <c r="X128" s="231">
        <v>0</v>
      </c>
      <c r="Y128" s="169"/>
      <c r="Z128" s="169"/>
      <c r="AA128" s="28"/>
      <c r="AB128" s="29"/>
      <c r="AC128" s="231">
        <v>0</v>
      </c>
      <c r="AD128" s="184"/>
      <c r="AE128" s="185"/>
      <c r="AF128" s="206"/>
      <c r="AG128" s="29"/>
      <c r="AH128" s="229">
        <v>0</v>
      </c>
      <c r="AI128" s="184"/>
      <c r="AJ128" s="185"/>
      <c r="AK128" s="232">
        <f t="shared" si="5"/>
        <v>0</v>
      </c>
      <c r="AL128" s="227">
        <f t="shared" si="6"/>
        <v>0</v>
      </c>
      <c r="AM128" s="230">
        <v>128</v>
      </c>
    </row>
    <row r="129" spans="1:39" ht="15.75" thickBot="1" x14ac:dyDescent="0.3">
      <c r="A129" s="124" t="s">
        <v>72</v>
      </c>
      <c r="B129" s="23"/>
      <c r="C129" s="23"/>
      <c r="D129" s="23"/>
      <c r="E129" s="21"/>
      <c r="F129" s="150" t="s">
        <v>98</v>
      </c>
      <c r="G129" s="233"/>
      <c r="H129" s="29"/>
      <c r="I129" s="231">
        <v>0</v>
      </c>
      <c r="J129" s="169"/>
      <c r="K129" s="169"/>
      <c r="L129" s="28"/>
      <c r="M129" s="29"/>
      <c r="N129" s="231">
        <v>0</v>
      </c>
      <c r="O129" s="169"/>
      <c r="P129" s="169"/>
      <c r="Q129" s="28"/>
      <c r="R129" s="29"/>
      <c r="S129" s="231">
        <v>0</v>
      </c>
      <c r="T129" s="169"/>
      <c r="U129" s="169"/>
      <c r="V129" s="28"/>
      <c r="W129" s="29"/>
      <c r="X129" s="231">
        <v>0</v>
      </c>
      <c r="Y129" s="169"/>
      <c r="Z129" s="169"/>
      <c r="AA129" s="28"/>
      <c r="AB129" s="29"/>
      <c r="AC129" s="231">
        <v>0</v>
      </c>
      <c r="AD129" s="184"/>
      <c r="AE129" s="185"/>
      <c r="AF129" s="206"/>
      <c r="AG129" s="29"/>
      <c r="AH129" s="229">
        <v>0</v>
      </c>
      <c r="AI129" s="184"/>
      <c r="AJ129" s="185"/>
      <c r="AK129" s="232">
        <f t="shared" si="5"/>
        <v>0</v>
      </c>
      <c r="AL129" s="227">
        <f t="shared" si="6"/>
        <v>0</v>
      </c>
      <c r="AM129" s="230">
        <v>129</v>
      </c>
    </row>
    <row r="130" spans="1:39" x14ac:dyDescent="0.25">
      <c r="A130" s="124" t="s">
        <v>72</v>
      </c>
      <c r="B130" s="23"/>
      <c r="C130" s="24"/>
      <c r="D130" s="21"/>
      <c r="E130" s="21"/>
      <c r="F130" s="150" t="s">
        <v>98</v>
      </c>
      <c r="G130" s="28"/>
      <c r="H130" s="29"/>
      <c r="I130" s="30">
        <v>0</v>
      </c>
      <c r="J130" s="169"/>
      <c r="K130" s="169"/>
      <c r="L130" s="28"/>
      <c r="M130" s="29"/>
      <c r="N130" s="30">
        <v>0</v>
      </c>
      <c r="O130" s="169"/>
      <c r="P130" s="169"/>
      <c r="Q130" s="28"/>
      <c r="R130" s="29"/>
      <c r="S130" s="30">
        <v>0</v>
      </c>
      <c r="T130" s="169"/>
      <c r="U130" s="169"/>
      <c r="V130" s="28"/>
      <c r="W130" s="29"/>
      <c r="X130" s="30">
        <v>0</v>
      </c>
      <c r="Y130" s="169"/>
      <c r="Z130" s="169"/>
      <c r="AA130" s="28"/>
      <c r="AB130" s="29"/>
      <c r="AC130" s="30">
        <v>0</v>
      </c>
      <c r="AD130" s="178"/>
      <c r="AE130" s="179"/>
      <c r="AF130" s="206"/>
      <c r="AG130" s="29"/>
      <c r="AH130" s="30">
        <v>0</v>
      </c>
      <c r="AI130" s="178"/>
      <c r="AJ130" s="179"/>
      <c r="AK130" s="232">
        <f t="shared" si="5"/>
        <v>0</v>
      </c>
      <c r="AL130" s="227">
        <f t="shared" si="6"/>
        <v>0</v>
      </c>
      <c r="AM130" s="193">
        <v>130</v>
      </c>
    </row>
    <row r="131" spans="1:39" x14ac:dyDescent="0.25">
      <c r="A131" s="124" t="s">
        <v>72</v>
      </c>
      <c r="B131" s="23"/>
      <c r="C131" s="24"/>
      <c r="D131" s="21"/>
      <c r="E131" s="21"/>
      <c r="F131" s="150" t="s">
        <v>98</v>
      </c>
      <c r="G131" s="28"/>
      <c r="H131" s="29"/>
      <c r="I131" s="30">
        <v>0</v>
      </c>
      <c r="J131" s="169"/>
      <c r="K131" s="169"/>
      <c r="L131" s="28"/>
      <c r="M131" s="29"/>
      <c r="N131" s="30">
        <v>0</v>
      </c>
      <c r="O131" s="169"/>
      <c r="P131" s="169"/>
      <c r="Q131" s="28"/>
      <c r="R131" s="29"/>
      <c r="S131" s="30">
        <v>0</v>
      </c>
      <c r="T131" s="169"/>
      <c r="U131" s="169"/>
      <c r="V131" s="28"/>
      <c r="W131" s="29"/>
      <c r="X131" s="30">
        <v>0</v>
      </c>
      <c r="Y131" s="169"/>
      <c r="Z131" s="169"/>
      <c r="AA131" s="28"/>
      <c r="AB131" s="29"/>
      <c r="AC131" s="30">
        <v>0</v>
      </c>
      <c r="AD131" s="178"/>
      <c r="AE131" s="179"/>
      <c r="AF131" s="206"/>
      <c r="AG131" s="29"/>
      <c r="AH131" s="30">
        <v>0</v>
      </c>
      <c r="AI131" s="178"/>
      <c r="AJ131" s="179"/>
      <c r="AK131" s="232">
        <f t="shared" si="5"/>
        <v>0</v>
      </c>
      <c r="AL131" s="227">
        <f t="shared" si="6"/>
        <v>0</v>
      </c>
      <c r="AM131" s="193">
        <v>131</v>
      </c>
    </row>
    <row r="132" spans="1:39" x14ac:dyDescent="0.25">
      <c r="A132" s="124" t="s">
        <v>72</v>
      </c>
      <c r="B132" s="26"/>
      <c r="C132" s="24"/>
      <c r="D132" s="21"/>
      <c r="E132" s="21"/>
      <c r="F132" s="150" t="s">
        <v>98</v>
      </c>
      <c r="G132" s="28"/>
      <c r="H132" s="29"/>
      <c r="I132" s="30">
        <v>0</v>
      </c>
      <c r="J132" s="169"/>
      <c r="K132" s="169"/>
      <c r="L132" s="28"/>
      <c r="M132" s="29"/>
      <c r="N132" s="30">
        <v>0</v>
      </c>
      <c r="O132" s="169"/>
      <c r="P132" s="169"/>
      <c r="Q132" s="28"/>
      <c r="R132" s="29"/>
      <c r="S132" s="30">
        <v>0</v>
      </c>
      <c r="T132" s="169"/>
      <c r="U132" s="169"/>
      <c r="V132" s="28"/>
      <c r="W132" s="29"/>
      <c r="X132" s="30">
        <v>0</v>
      </c>
      <c r="Y132" s="169"/>
      <c r="Z132" s="169"/>
      <c r="AA132" s="28"/>
      <c r="AB132" s="29"/>
      <c r="AC132" s="30">
        <v>0</v>
      </c>
      <c r="AD132" s="178"/>
      <c r="AE132" s="179"/>
      <c r="AF132" s="28"/>
      <c r="AG132" s="29"/>
      <c r="AH132" s="30">
        <v>0</v>
      </c>
      <c r="AI132" s="178"/>
      <c r="AJ132" s="179"/>
      <c r="AK132" s="232">
        <f t="shared" si="5"/>
        <v>0</v>
      </c>
      <c r="AL132" s="227">
        <f t="shared" si="6"/>
        <v>0</v>
      </c>
      <c r="AM132" s="193">
        <v>132</v>
      </c>
    </row>
    <row r="133" spans="1:39" x14ac:dyDescent="0.25">
      <c r="A133" s="124" t="s">
        <v>72</v>
      </c>
      <c r="B133" s="59"/>
      <c r="C133" s="24"/>
      <c r="D133" s="21"/>
      <c r="E133" s="21"/>
      <c r="F133" s="150" t="s">
        <v>98</v>
      </c>
      <c r="G133" s="28"/>
      <c r="H133" s="29"/>
      <c r="I133" s="30">
        <v>0</v>
      </c>
      <c r="J133" s="169"/>
      <c r="K133" s="169"/>
      <c r="L133" s="28"/>
      <c r="M133" s="29"/>
      <c r="N133" s="30">
        <v>0</v>
      </c>
      <c r="O133" s="169"/>
      <c r="P133" s="169"/>
      <c r="Q133" s="28"/>
      <c r="R133" s="29"/>
      <c r="S133" s="30">
        <v>0</v>
      </c>
      <c r="T133" s="169"/>
      <c r="U133" s="169"/>
      <c r="V133" s="28"/>
      <c r="W133" s="29"/>
      <c r="X133" s="30">
        <v>0</v>
      </c>
      <c r="Y133" s="169"/>
      <c r="Z133" s="169"/>
      <c r="AA133" s="28"/>
      <c r="AB133" s="29"/>
      <c r="AC133" s="30">
        <v>0</v>
      </c>
      <c r="AD133" s="178"/>
      <c r="AE133" s="188"/>
      <c r="AF133" s="28"/>
      <c r="AG133" s="29"/>
      <c r="AH133" s="30">
        <v>0</v>
      </c>
      <c r="AI133" s="178"/>
      <c r="AJ133" s="179"/>
      <c r="AK133" s="232">
        <f t="shared" si="5"/>
        <v>0</v>
      </c>
      <c r="AL133" s="227">
        <f t="shared" si="6"/>
        <v>0</v>
      </c>
      <c r="AM133" s="193">
        <v>133</v>
      </c>
    </row>
    <row r="134" spans="1:39" x14ac:dyDescent="0.25">
      <c r="A134" s="123" t="s">
        <v>60</v>
      </c>
      <c r="B134" s="59"/>
      <c r="C134" s="24"/>
      <c r="D134" s="21"/>
      <c r="E134" s="21"/>
      <c r="F134" s="99" t="s">
        <v>98</v>
      </c>
      <c r="G134" s="25"/>
      <c r="H134" s="201">
        <f>SUM(H135:H150)</f>
        <v>0</v>
      </c>
      <c r="I134" s="202">
        <f>SUM(I135:I150)</f>
        <v>0</v>
      </c>
      <c r="J134" s="172"/>
      <c r="K134" s="172"/>
      <c r="L134" s="25">
        <v>0</v>
      </c>
      <c r="M134" s="201">
        <f>SUM(M135:M150)</f>
        <v>0</v>
      </c>
      <c r="N134" s="202">
        <f>SUM(N135:N150)</f>
        <v>0</v>
      </c>
      <c r="O134" s="172"/>
      <c r="P134" s="172"/>
      <c r="Q134" s="25">
        <v>0</v>
      </c>
      <c r="R134" s="201">
        <f>SUM(R135:R150)</f>
        <v>0</v>
      </c>
      <c r="S134" s="202">
        <f>SUM(S135:S150)</f>
        <v>0</v>
      </c>
      <c r="T134" s="172"/>
      <c r="U134" s="172"/>
      <c r="V134" s="25">
        <v>0</v>
      </c>
      <c r="W134" s="201">
        <f>SUM(W135:W150)</f>
        <v>0</v>
      </c>
      <c r="X134" s="202">
        <f>SUM(X135:X150)</f>
        <v>0</v>
      </c>
      <c r="Y134" s="172"/>
      <c r="Z134" s="172"/>
      <c r="AA134" s="25">
        <v>0</v>
      </c>
      <c r="AB134" s="201">
        <f>SUM(AB135:AB150)</f>
        <v>0</v>
      </c>
      <c r="AC134" s="202">
        <f>SUM(AC135:AC150)</f>
        <v>0</v>
      </c>
      <c r="AD134" s="184"/>
      <c r="AE134" s="183"/>
      <c r="AF134" s="25">
        <v>0</v>
      </c>
      <c r="AG134" s="201">
        <f>SUM(AG135:AG150)</f>
        <v>0</v>
      </c>
      <c r="AH134" s="202">
        <f>SUM(AH135:AH150)</f>
        <v>0</v>
      </c>
      <c r="AI134" s="178"/>
      <c r="AJ134" s="188"/>
      <c r="AK134" s="216">
        <f>SUM(AK135:AK150)</f>
        <v>0</v>
      </c>
      <c r="AL134" s="223">
        <f>SUM(AL135:AL150)</f>
        <v>0</v>
      </c>
      <c r="AM134" s="193">
        <v>134</v>
      </c>
    </row>
    <row r="135" spans="1:39" x14ac:dyDescent="0.25">
      <c r="A135" s="124" t="s">
        <v>72</v>
      </c>
      <c r="B135" s="26"/>
      <c r="C135" s="24"/>
      <c r="D135" s="21"/>
      <c r="E135" s="21"/>
      <c r="F135" s="150" t="s">
        <v>98</v>
      </c>
      <c r="G135" s="206"/>
      <c r="H135" s="29"/>
      <c r="I135" s="30">
        <v>0</v>
      </c>
      <c r="J135" s="169"/>
      <c r="K135" s="169"/>
      <c r="L135" s="206"/>
      <c r="M135" s="29"/>
      <c r="N135" s="30">
        <v>0</v>
      </c>
      <c r="O135" s="169"/>
      <c r="P135" s="169"/>
      <c r="Q135" s="206"/>
      <c r="R135" s="29"/>
      <c r="S135" s="30">
        <v>0</v>
      </c>
      <c r="T135" s="169"/>
      <c r="U135" s="169"/>
      <c r="V135" s="206"/>
      <c r="W135" s="29"/>
      <c r="X135" s="30">
        <v>0</v>
      </c>
      <c r="Y135" s="169"/>
      <c r="Z135" s="169"/>
      <c r="AA135" s="206"/>
      <c r="AB135" s="29"/>
      <c r="AC135" s="30">
        <v>0</v>
      </c>
      <c r="AD135" s="178"/>
      <c r="AE135" s="179"/>
      <c r="AF135" s="206"/>
      <c r="AG135" s="29"/>
      <c r="AH135" s="30">
        <v>0</v>
      </c>
      <c r="AI135" s="184"/>
      <c r="AJ135" s="183"/>
      <c r="AK135" s="232">
        <f>H135+R135+AB135+M135+W135+AG135</f>
        <v>0</v>
      </c>
      <c r="AL135" s="227">
        <f>I135+S135+AC135+N135+X135+AH135</f>
        <v>0</v>
      </c>
      <c r="AM135" s="193">
        <v>135</v>
      </c>
    </row>
    <row r="136" spans="1:39" x14ac:dyDescent="0.25">
      <c r="A136" s="124" t="s">
        <v>72</v>
      </c>
      <c r="B136" s="26"/>
      <c r="C136" s="24"/>
      <c r="D136" s="21"/>
      <c r="E136" s="21"/>
      <c r="F136" s="150" t="s">
        <v>98</v>
      </c>
      <c r="G136" s="206"/>
      <c r="H136" s="29"/>
      <c r="I136" s="30">
        <v>0</v>
      </c>
      <c r="J136" s="169"/>
      <c r="K136" s="169"/>
      <c r="L136" s="28"/>
      <c r="M136" s="29"/>
      <c r="N136" s="30">
        <v>0</v>
      </c>
      <c r="O136" s="169"/>
      <c r="P136" s="169"/>
      <c r="Q136" s="28"/>
      <c r="R136" s="29"/>
      <c r="S136" s="30">
        <v>0</v>
      </c>
      <c r="T136" s="169"/>
      <c r="U136" s="169"/>
      <c r="V136" s="28"/>
      <c r="W136" s="29"/>
      <c r="X136" s="30">
        <v>0</v>
      </c>
      <c r="Y136" s="169"/>
      <c r="Z136" s="169"/>
      <c r="AA136" s="28"/>
      <c r="AB136" s="29"/>
      <c r="AC136" s="30">
        <v>0</v>
      </c>
      <c r="AD136" s="178"/>
      <c r="AE136" s="179"/>
      <c r="AF136" s="206"/>
      <c r="AG136" s="29"/>
      <c r="AH136" s="30">
        <v>0</v>
      </c>
      <c r="AI136" s="178"/>
      <c r="AJ136" s="179"/>
      <c r="AK136" s="232">
        <f t="shared" ref="AK136:AK150" si="7">H136+R136+AB136+M136+W136</f>
        <v>0</v>
      </c>
      <c r="AL136" s="227">
        <f t="shared" ref="AL136:AL150" si="8">I136+S136+AC136+N136+X136+AH136</f>
        <v>0</v>
      </c>
      <c r="AM136" s="193">
        <v>136</v>
      </c>
    </row>
    <row r="137" spans="1:39" x14ac:dyDescent="0.25">
      <c r="A137" s="124" t="s">
        <v>72</v>
      </c>
      <c r="B137" s="26"/>
      <c r="C137" s="24"/>
      <c r="D137" s="21"/>
      <c r="E137" s="21"/>
      <c r="F137" s="150" t="s">
        <v>98</v>
      </c>
      <c r="G137" s="206"/>
      <c r="H137" s="29"/>
      <c r="I137" s="30">
        <v>0</v>
      </c>
      <c r="J137" s="169"/>
      <c r="K137" s="169"/>
      <c r="L137" s="28"/>
      <c r="M137" s="29"/>
      <c r="N137" s="30">
        <v>0</v>
      </c>
      <c r="O137" s="169"/>
      <c r="P137" s="169"/>
      <c r="Q137" s="28"/>
      <c r="R137" s="29"/>
      <c r="S137" s="30">
        <v>0</v>
      </c>
      <c r="T137" s="169"/>
      <c r="U137" s="169"/>
      <c r="V137" s="28"/>
      <c r="W137" s="29"/>
      <c r="X137" s="30">
        <v>0</v>
      </c>
      <c r="Y137" s="169"/>
      <c r="Z137" s="169"/>
      <c r="AA137" s="28"/>
      <c r="AB137" s="29"/>
      <c r="AC137" s="30">
        <v>0</v>
      </c>
      <c r="AD137" s="178"/>
      <c r="AE137" s="179"/>
      <c r="AF137" s="206"/>
      <c r="AG137" s="29"/>
      <c r="AH137" s="30">
        <v>0</v>
      </c>
      <c r="AI137" s="178"/>
      <c r="AJ137" s="179"/>
      <c r="AK137" s="232">
        <f t="shared" si="7"/>
        <v>0</v>
      </c>
      <c r="AL137" s="227">
        <f t="shared" si="8"/>
        <v>0</v>
      </c>
      <c r="AM137" s="193">
        <v>137</v>
      </c>
    </row>
    <row r="138" spans="1:39" x14ac:dyDescent="0.25">
      <c r="A138" s="124" t="s">
        <v>72</v>
      </c>
      <c r="B138" s="26"/>
      <c r="C138" s="24"/>
      <c r="D138" s="21"/>
      <c r="E138" s="21"/>
      <c r="F138" s="150" t="s">
        <v>98</v>
      </c>
      <c r="G138" s="206"/>
      <c r="H138" s="29"/>
      <c r="I138" s="30">
        <v>0</v>
      </c>
      <c r="J138" s="169"/>
      <c r="K138" s="169"/>
      <c r="L138" s="28"/>
      <c r="M138" s="29"/>
      <c r="N138" s="30">
        <v>0</v>
      </c>
      <c r="O138" s="169"/>
      <c r="P138" s="169"/>
      <c r="Q138" s="28"/>
      <c r="R138" s="29"/>
      <c r="S138" s="30">
        <v>0</v>
      </c>
      <c r="T138" s="169"/>
      <c r="U138" s="169"/>
      <c r="V138" s="28"/>
      <c r="W138" s="29"/>
      <c r="X138" s="30">
        <v>0</v>
      </c>
      <c r="Y138" s="169"/>
      <c r="Z138" s="169"/>
      <c r="AA138" s="28"/>
      <c r="AB138" s="29"/>
      <c r="AC138" s="30">
        <v>0</v>
      </c>
      <c r="AD138" s="178"/>
      <c r="AE138" s="179"/>
      <c r="AF138" s="206"/>
      <c r="AG138" s="29"/>
      <c r="AH138" s="30">
        <v>0</v>
      </c>
      <c r="AI138" s="178"/>
      <c r="AJ138" s="179"/>
      <c r="AK138" s="232">
        <f t="shared" si="7"/>
        <v>0</v>
      </c>
      <c r="AL138" s="227">
        <f t="shared" si="8"/>
        <v>0</v>
      </c>
      <c r="AM138" s="193">
        <v>138</v>
      </c>
    </row>
    <row r="139" spans="1:39" x14ac:dyDescent="0.25">
      <c r="A139" s="124" t="s">
        <v>72</v>
      </c>
      <c r="B139" s="26"/>
      <c r="C139" s="24"/>
      <c r="D139" s="21"/>
      <c r="E139" s="21"/>
      <c r="F139" s="150" t="s">
        <v>98</v>
      </c>
      <c r="G139" s="206"/>
      <c r="H139" s="29"/>
      <c r="I139" s="30">
        <v>0</v>
      </c>
      <c r="J139" s="169"/>
      <c r="K139" s="169"/>
      <c r="L139" s="28"/>
      <c r="M139" s="29"/>
      <c r="N139" s="30">
        <v>0</v>
      </c>
      <c r="O139" s="169"/>
      <c r="P139" s="169"/>
      <c r="Q139" s="28"/>
      <c r="R139" s="29"/>
      <c r="S139" s="30">
        <v>0</v>
      </c>
      <c r="T139" s="169"/>
      <c r="U139" s="169"/>
      <c r="V139" s="28"/>
      <c r="W139" s="29"/>
      <c r="X139" s="30">
        <v>0</v>
      </c>
      <c r="Y139" s="169"/>
      <c r="Z139" s="169"/>
      <c r="AA139" s="28"/>
      <c r="AB139" s="29"/>
      <c r="AC139" s="30">
        <v>0</v>
      </c>
      <c r="AD139" s="178"/>
      <c r="AE139" s="179"/>
      <c r="AF139" s="206"/>
      <c r="AG139" s="29"/>
      <c r="AH139" s="30">
        <v>0</v>
      </c>
      <c r="AI139" s="178"/>
      <c r="AJ139" s="179"/>
      <c r="AK139" s="232">
        <f t="shared" si="7"/>
        <v>0</v>
      </c>
      <c r="AL139" s="227">
        <f t="shared" si="8"/>
        <v>0</v>
      </c>
      <c r="AM139" s="193">
        <v>139</v>
      </c>
    </row>
    <row r="140" spans="1:39" x14ac:dyDescent="0.25">
      <c r="A140" s="124" t="s">
        <v>72</v>
      </c>
      <c r="B140" s="26"/>
      <c r="C140" s="24"/>
      <c r="D140" s="21"/>
      <c r="E140" s="21"/>
      <c r="F140" s="150" t="s">
        <v>98</v>
      </c>
      <c r="G140" s="206"/>
      <c r="H140" s="29"/>
      <c r="I140" s="30">
        <v>0</v>
      </c>
      <c r="J140" s="169"/>
      <c r="K140" s="169"/>
      <c r="L140" s="28"/>
      <c r="M140" s="29"/>
      <c r="N140" s="30">
        <v>0</v>
      </c>
      <c r="O140" s="169"/>
      <c r="P140" s="169"/>
      <c r="Q140" s="28"/>
      <c r="R140" s="29"/>
      <c r="S140" s="30">
        <v>0</v>
      </c>
      <c r="T140" s="169"/>
      <c r="U140" s="169"/>
      <c r="V140" s="28"/>
      <c r="W140" s="29"/>
      <c r="X140" s="30">
        <v>0</v>
      </c>
      <c r="Y140" s="169"/>
      <c r="Z140" s="169"/>
      <c r="AA140" s="28"/>
      <c r="AB140" s="29"/>
      <c r="AC140" s="30">
        <v>0</v>
      </c>
      <c r="AD140" s="178"/>
      <c r="AE140" s="179"/>
      <c r="AF140" s="206"/>
      <c r="AG140" s="29"/>
      <c r="AH140" s="30">
        <v>0</v>
      </c>
      <c r="AI140" s="178"/>
      <c r="AJ140" s="179"/>
      <c r="AK140" s="232">
        <f t="shared" si="7"/>
        <v>0</v>
      </c>
      <c r="AL140" s="227">
        <f t="shared" si="8"/>
        <v>0</v>
      </c>
      <c r="AM140" s="193">
        <v>140</v>
      </c>
    </row>
    <row r="141" spans="1:39" x14ac:dyDescent="0.25">
      <c r="A141" s="124" t="s">
        <v>72</v>
      </c>
      <c r="B141" s="26"/>
      <c r="C141" s="24"/>
      <c r="D141" s="21"/>
      <c r="E141" s="21"/>
      <c r="F141" s="150" t="s">
        <v>98</v>
      </c>
      <c r="G141" s="206"/>
      <c r="H141" s="29"/>
      <c r="I141" s="30">
        <v>0</v>
      </c>
      <c r="J141" s="169"/>
      <c r="K141" s="169"/>
      <c r="L141" s="28"/>
      <c r="M141" s="29"/>
      <c r="N141" s="30">
        <v>0</v>
      </c>
      <c r="O141" s="169"/>
      <c r="P141" s="169"/>
      <c r="Q141" s="28"/>
      <c r="R141" s="29"/>
      <c r="S141" s="30">
        <v>0</v>
      </c>
      <c r="T141" s="169"/>
      <c r="U141" s="169"/>
      <c r="V141" s="28"/>
      <c r="W141" s="29"/>
      <c r="X141" s="30">
        <v>0</v>
      </c>
      <c r="Y141" s="169"/>
      <c r="Z141" s="169"/>
      <c r="AA141" s="28"/>
      <c r="AB141" s="29"/>
      <c r="AC141" s="30">
        <v>0</v>
      </c>
      <c r="AD141" s="178"/>
      <c r="AE141" s="179"/>
      <c r="AF141" s="206"/>
      <c r="AG141" s="29"/>
      <c r="AH141" s="30">
        <v>0</v>
      </c>
      <c r="AI141" s="178"/>
      <c r="AJ141" s="179"/>
      <c r="AK141" s="232">
        <f t="shared" si="7"/>
        <v>0</v>
      </c>
      <c r="AL141" s="227">
        <f t="shared" si="8"/>
        <v>0</v>
      </c>
      <c r="AM141" s="193">
        <v>141</v>
      </c>
    </row>
    <row r="142" spans="1:39" x14ac:dyDescent="0.25">
      <c r="A142" s="124" t="s">
        <v>72</v>
      </c>
      <c r="B142" s="26"/>
      <c r="C142" s="24"/>
      <c r="D142" s="21"/>
      <c r="E142" s="21"/>
      <c r="F142" s="150" t="s">
        <v>98</v>
      </c>
      <c r="G142" s="206"/>
      <c r="H142" s="29"/>
      <c r="I142" s="30">
        <v>0</v>
      </c>
      <c r="J142" s="169"/>
      <c r="K142" s="169"/>
      <c r="L142" s="28"/>
      <c r="M142" s="29"/>
      <c r="N142" s="30">
        <v>0</v>
      </c>
      <c r="O142" s="169"/>
      <c r="P142" s="169"/>
      <c r="Q142" s="28"/>
      <c r="R142" s="29"/>
      <c r="S142" s="30">
        <v>0</v>
      </c>
      <c r="T142" s="169"/>
      <c r="U142" s="169"/>
      <c r="V142" s="28"/>
      <c r="W142" s="29"/>
      <c r="X142" s="30">
        <v>0</v>
      </c>
      <c r="Y142" s="169"/>
      <c r="Z142" s="169"/>
      <c r="AA142" s="28"/>
      <c r="AB142" s="29"/>
      <c r="AC142" s="30">
        <v>0</v>
      </c>
      <c r="AD142" s="178"/>
      <c r="AE142" s="179"/>
      <c r="AF142" s="206"/>
      <c r="AG142" s="29"/>
      <c r="AH142" s="30">
        <v>0</v>
      </c>
      <c r="AI142" s="178"/>
      <c r="AJ142" s="179"/>
      <c r="AK142" s="232">
        <f t="shared" si="7"/>
        <v>0</v>
      </c>
      <c r="AL142" s="227">
        <f t="shared" si="8"/>
        <v>0</v>
      </c>
      <c r="AM142" s="193">
        <v>142</v>
      </c>
    </row>
    <row r="143" spans="1:39" x14ac:dyDescent="0.25">
      <c r="A143" s="124" t="s">
        <v>72</v>
      </c>
      <c r="B143" s="26"/>
      <c r="C143" s="24"/>
      <c r="D143" s="21"/>
      <c r="E143" s="21"/>
      <c r="F143" s="150" t="s">
        <v>98</v>
      </c>
      <c r="G143" s="28"/>
      <c r="H143" s="29"/>
      <c r="I143" s="30">
        <v>0</v>
      </c>
      <c r="J143" s="169"/>
      <c r="K143" s="169"/>
      <c r="L143" s="28"/>
      <c r="M143" s="29"/>
      <c r="N143" s="30">
        <v>0</v>
      </c>
      <c r="O143" s="169"/>
      <c r="P143" s="169"/>
      <c r="Q143" s="28"/>
      <c r="R143" s="29"/>
      <c r="S143" s="30">
        <v>0</v>
      </c>
      <c r="T143" s="169"/>
      <c r="U143" s="169"/>
      <c r="V143" s="28"/>
      <c r="W143" s="29"/>
      <c r="X143" s="30">
        <v>0</v>
      </c>
      <c r="Y143" s="169"/>
      <c r="Z143" s="169"/>
      <c r="AA143" s="28"/>
      <c r="AB143" s="29"/>
      <c r="AC143" s="30">
        <v>0</v>
      </c>
      <c r="AD143" s="178"/>
      <c r="AE143" s="179"/>
      <c r="AF143" s="206"/>
      <c r="AG143" s="29"/>
      <c r="AH143" s="30">
        <v>0</v>
      </c>
      <c r="AI143" s="178"/>
      <c r="AJ143" s="179"/>
      <c r="AK143" s="232">
        <f t="shared" si="7"/>
        <v>0</v>
      </c>
      <c r="AL143" s="227">
        <f t="shared" si="8"/>
        <v>0</v>
      </c>
      <c r="AM143" s="193">
        <v>143</v>
      </c>
    </row>
    <row r="144" spans="1:39" x14ac:dyDescent="0.25">
      <c r="A144" s="124" t="s">
        <v>72</v>
      </c>
      <c r="B144" s="26"/>
      <c r="C144" s="24"/>
      <c r="D144" s="21"/>
      <c r="E144" s="21"/>
      <c r="F144" s="150" t="s">
        <v>98</v>
      </c>
      <c r="G144" s="28"/>
      <c r="H144" s="29"/>
      <c r="I144" s="30">
        <v>0</v>
      </c>
      <c r="J144" s="169"/>
      <c r="K144" s="169"/>
      <c r="L144" s="28"/>
      <c r="M144" s="29"/>
      <c r="N144" s="30">
        <v>0</v>
      </c>
      <c r="O144" s="169"/>
      <c r="P144" s="169"/>
      <c r="Q144" s="28"/>
      <c r="R144" s="29"/>
      <c r="S144" s="30">
        <v>0</v>
      </c>
      <c r="T144" s="169"/>
      <c r="U144" s="169"/>
      <c r="V144" s="28"/>
      <c r="W144" s="29"/>
      <c r="X144" s="30">
        <v>0</v>
      </c>
      <c r="Y144" s="169"/>
      <c r="Z144" s="169"/>
      <c r="AA144" s="28"/>
      <c r="AB144" s="29"/>
      <c r="AC144" s="30">
        <v>0</v>
      </c>
      <c r="AD144" s="178"/>
      <c r="AE144" s="179"/>
      <c r="AF144" s="206"/>
      <c r="AG144" s="29"/>
      <c r="AH144" s="30">
        <v>0</v>
      </c>
      <c r="AI144" s="178"/>
      <c r="AJ144" s="179"/>
      <c r="AK144" s="232">
        <f t="shared" si="7"/>
        <v>0</v>
      </c>
      <c r="AL144" s="227">
        <f t="shared" si="8"/>
        <v>0</v>
      </c>
      <c r="AM144" s="193">
        <v>144</v>
      </c>
    </row>
    <row r="145" spans="1:39" x14ac:dyDescent="0.25">
      <c r="A145" s="124" t="s">
        <v>72</v>
      </c>
      <c r="B145" s="26"/>
      <c r="C145" s="24"/>
      <c r="D145" s="21"/>
      <c r="E145" s="21"/>
      <c r="F145" s="150" t="s">
        <v>98</v>
      </c>
      <c r="G145" s="28"/>
      <c r="H145" s="29"/>
      <c r="I145" s="30">
        <v>0</v>
      </c>
      <c r="J145" s="169"/>
      <c r="K145" s="169"/>
      <c r="L145" s="28"/>
      <c r="M145" s="29"/>
      <c r="N145" s="30">
        <v>0</v>
      </c>
      <c r="O145" s="169"/>
      <c r="P145" s="169"/>
      <c r="Q145" s="28"/>
      <c r="R145" s="29"/>
      <c r="S145" s="30">
        <v>0</v>
      </c>
      <c r="T145" s="169"/>
      <c r="U145" s="169"/>
      <c r="V145" s="28"/>
      <c r="W145" s="29"/>
      <c r="X145" s="30">
        <v>0</v>
      </c>
      <c r="Y145" s="169"/>
      <c r="Z145" s="169"/>
      <c r="AA145" s="28"/>
      <c r="AB145" s="29"/>
      <c r="AC145" s="30">
        <v>0</v>
      </c>
      <c r="AD145" s="178"/>
      <c r="AE145" s="179"/>
      <c r="AF145" s="206"/>
      <c r="AG145" s="29"/>
      <c r="AH145" s="30">
        <v>0</v>
      </c>
      <c r="AI145" s="178"/>
      <c r="AJ145" s="179"/>
      <c r="AK145" s="232">
        <f t="shared" si="7"/>
        <v>0</v>
      </c>
      <c r="AL145" s="227">
        <f t="shared" si="8"/>
        <v>0</v>
      </c>
      <c r="AM145" s="193">
        <v>145</v>
      </c>
    </row>
    <row r="146" spans="1:39" x14ac:dyDescent="0.25">
      <c r="A146" s="124" t="s">
        <v>72</v>
      </c>
      <c r="B146" s="26"/>
      <c r="C146" s="24"/>
      <c r="D146" s="21"/>
      <c r="E146" s="21"/>
      <c r="F146" s="150" t="s">
        <v>98</v>
      </c>
      <c r="G146" s="28"/>
      <c r="H146" s="29"/>
      <c r="I146" s="30">
        <v>0</v>
      </c>
      <c r="J146" s="169"/>
      <c r="K146" s="169"/>
      <c r="L146" s="28"/>
      <c r="M146" s="29"/>
      <c r="N146" s="30">
        <v>0</v>
      </c>
      <c r="O146" s="169"/>
      <c r="P146" s="169"/>
      <c r="Q146" s="28"/>
      <c r="R146" s="29"/>
      <c r="S146" s="30">
        <v>0</v>
      </c>
      <c r="T146" s="169"/>
      <c r="U146" s="169"/>
      <c r="V146" s="28"/>
      <c r="W146" s="29"/>
      <c r="X146" s="30">
        <v>0</v>
      </c>
      <c r="Y146" s="169"/>
      <c r="Z146" s="169"/>
      <c r="AA146" s="28"/>
      <c r="AB146" s="29"/>
      <c r="AC146" s="30">
        <v>0</v>
      </c>
      <c r="AD146" s="178"/>
      <c r="AE146" s="179"/>
      <c r="AF146" s="206"/>
      <c r="AG146" s="29"/>
      <c r="AH146" s="30">
        <v>0</v>
      </c>
      <c r="AI146" s="178"/>
      <c r="AJ146" s="179"/>
      <c r="AK146" s="232">
        <f t="shared" si="7"/>
        <v>0</v>
      </c>
      <c r="AL146" s="227">
        <f t="shared" si="8"/>
        <v>0</v>
      </c>
      <c r="AM146" s="193">
        <v>146</v>
      </c>
    </row>
    <row r="147" spans="1:39" x14ac:dyDescent="0.25">
      <c r="A147" s="124" t="s">
        <v>72</v>
      </c>
      <c r="B147" s="26"/>
      <c r="C147" s="24"/>
      <c r="D147" s="21"/>
      <c r="E147" s="21"/>
      <c r="F147" s="150" t="s">
        <v>98</v>
      </c>
      <c r="G147" s="28"/>
      <c r="H147" s="29"/>
      <c r="I147" s="30">
        <v>0</v>
      </c>
      <c r="J147" s="169"/>
      <c r="K147" s="169"/>
      <c r="L147" s="28"/>
      <c r="M147" s="29"/>
      <c r="N147" s="30">
        <v>0</v>
      </c>
      <c r="O147" s="169"/>
      <c r="P147" s="169"/>
      <c r="Q147" s="28"/>
      <c r="R147" s="29"/>
      <c r="S147" s="30">
        <v>0</v>
      </c>
      <c r="T147" s="169"/>
      <c r="U147" s="169"/>
      <c r="V147" s="28"/>
      <c r="W147" s="29"/>
      <c r="X147" s="30">
        <v>0</v>
      </c>
      <c r="Y147" s="169"/>
      <c r="Z147" s="169"/>
      <c r="AA147" s="28"/>
      <c r="AB147" s="29"/>
      <c r="AC147" s="30">
        <v>0</v>
      </c>
      <c r="AD147" s="178"/>
      <c r="AE147" s="179"/>
      <c r="AF147" s="206"/>
      <c r="AG147" s="29"/>
      <c r="AH147" s="30">
        <v>0</v>
      </c>
      <c r="AI147" s="178"/>
      <c r="AJ147" s="179"/>
      <c r="AK147" s="232">
        <f t="shared" si="7"/>
        <v>0</v>
      </c>
      <c r="AL147" s="227">
        <f t="shared" si="8"/>
        <v>0</v>
      </c>
      <c r="AM147" s="193">
        <v>147</v>
      </c>
    </row>
    <row r="148" spans="1:39" x14ac:dyDescent="0.25">
      <c r="A148" s="124" t="s">
        <v>72</v>
      </c>
      <c r="B148" s="26"/>
      <c r="C148" s="24"/>
      <c r="D148" s="21"/>
      <c r="E148" s="21"/>
      <c r="F148" s="150" t="s">
        <v>98</v>
      </c>
      <c r="G148" s="28"/>
      <c r="H148" s="29"/>
      <c r="I148" s="30">
        <v>0</v>
      </c>
      <c r="J148" s="169"/>
      <c r="K148" s="169"/>
      <c r="L148" s="28"/>
      <c r="M148" s="29"/>
      <c r="N148" s="30">
        <v>0</v>
      </c>
      <c r="O148" s="169"/>
      <c r="P148" s="169"/>
      <c r="Q148" s="28"/>
      <c r="R148" s="29"/>
      <c r="S148" s="30">
        <v>0</v>
      </c>
      <c r="T148" s="169"/>
      <c r="U148" s="169"/>
      <c r="V148" s="28"/>
      <c r="W148" s="29"/>
      <c r="X148" s="30">
        <v>0</v>
      </c>
      <c r="Y148" s="169"/>
      <c r="Z148" s="169"/>
      <c r="AA148" s="28"/>
      <c r="AB148" s="29"/>
      <c r="AC148" s="30">
        <v>0</v>
      </c>
      <c r="AD148" s="178"/>
      <c r="AE148" s="179"/>
      <c r="AF148" s="206"/>
      <c r="AG148" s="29"/>
      <c r="AH148" s="30">
        <v>0</v>
      </c>
      <c r="AI148" s="178"/>
      <c r="AJ148" s="179"/>
      <c r="AK148" s="232">
        <f t="shared" si="7"/>
        <v>0</v>
      </c>
      <c r="AL148" s="227">
        <f t="shared" si="8"/>
        <v>0</v>
      </c>
      <c r="AM148" s="193">
        <v>148</v>
      </c>
    </row>
    <row r="149" spans="1:39" x14ac:dyDescent="0.25">
      <c r="A149" s="124" t="s">
        <v>72</v>
      </c>
      <c r="B149" s="26"/>
      <c r="C149" s="24"/>
      <c r="D149" s="21"/>
      <c r="E149" s="21"/>
      <c r="F149" s="150" t="s">
        <v>98</v>
      </c>
      <c r="G149" s="28"/>
      <c r="H149" s="29"/>
      <c r="I149" s="30">
        <v>0</v>
      </c>
      <c r="J149" s="169"/>
      <c r="K149" s="169"/>
      <c r="L149" s="28"/>
      <c r="M149" s="29"/>
      <c r="N149" s="30">
        <v>0</v>
      </c>
      <c r="O149" s="169"/>
      <c r="P149" s="169"/>
      <c r="Q149" s="28"/>
      <c r="R149" s="29"/>
      <c r="S149" s="30">
        <v>0</v>
      </c>
      <c r="T149" s="169"/>
      <c r="U149" s="169"/>
      <c r="V149" s="28"/>
      <c r="W149" s="29"/>
      <c r="X149" s="30">
        <v>0</v>
      </c>
      <c r="Y149" s="169"/>
      <c r="Z149" s="169"/>
      <c r="AA149" s="28"/>
      <c r="AB149" s="29"/>
      <c r="AC149" s="30">
        <v>0</v>
      </c>
      <c r="AD149" s="178"/>
      <c r="AE149" s="179"/>
      <c r="AF149" s="206"/>
      <c r="AG149" s="29"/>
      <c r="AH149" s="30">
        <v>0</v>
      </c>
      <c r="AI149" s="178"/>
      <c r="AJ149" s="179"/>
      <c r="AK149" s="232">
        <f t="shared" si="7"/>
        <v>0</v>
      </c>
      <c r="AL149" s="227">
        <f t="shared" si="8"/>
        <v>0</v>
      </c>
      <c r="AM149" s="193">
        <v>149</v>
      </c>
    </row>
    <row r="150" spans="1:39" x14ac:dyDescent="0.25">
      <c r="A150" s="133"/>
      <c r="B150" s="59"/>
      <c r="C150" s="24"/>
      <c r="D150" s="21"/>
      <c r="E150" s="21"/>
      <c r="F150" s="150" t="s">
        <v>98</v>
      </c>
      <c r="G150" s="28"/>
      <c r="H150" s="29"/>
      <c r="I150" s="30">
        <v>0</v>
      </c>
      <c r="J150" s="169"/>
      <c r="K150" s="169"/>
      <c r="L150" s="28"/>
      <c r="M150" s="29"/>
      <c r="N150" s="30">
        <v>0</v>
      </c>
      <c r="O150" s="169"/>
      <c r="P150" s="169"/>
      <c r="Q150" s="28"/>
      <c r="R150" s="29"/>
      <c r="S150" s="30">
        <v>0</v>
      </c>
      <c r="T150" s="169"/>
      <c r="U150" s="169"/>
      <c r="V150" s="28"/>
      <c r="W150" s="29"/>
      <c r="X150" s="30">
        <v>0</v>
      </c>
      <c r="Y150" s="169"/>
      <c r="Z150" s="169"/>
      <c r="AA150" s="28"/>
      <c r="AB150" s="29"/>
      <c r="AC150" s="30">
        <v>0</v>
      </c>
      <c r="AD150" s="178"/>
      <c r="AE150" s="179"/>
      <c r="AF150" s="206"/>
      <c r="AG150" s="29"/>
      <c r="AH150" s="30">
        <v>0</v>
      </c>
      <c r="AI150" s="178"/>
      <c r="AJ150" s="179"/>
      <c r="AK150" s="232">
        <f t="shared" si="7"/>
        <v>0</v>
      </c>
      <c r="AL150" s="227">
        <f t="shared" si="8"/>
        <v>0</v>
      </c>
      <c r="AM150" s="193">
        <v>150</v>
      </c>
    </row>
    <row r="151" spans="1:39" x14ac:dyDescent="0.25">
      <c r="A151" s="123" t="s">
        <v>60</v>
      </c>
      <c r="B151" s="59"/>
      <c r="C151" s="24"/>
      <c r="D151" s="21"/>
      <c r="E151" s="21"/>
      <c r="F151" s="99" t="s">
        <v>98</v>
      </c>
      <c r="G151" s="25"/>
      <c r="H151" s="201">
        <f>SUM(H152:H162)</f>
        <v>0</v>
      </c>
      <c r="I151" s="202">
        <f>SUM(I152:I162)</f>
        <v>0</v>
      </c>
      <c r="J151" s="172"/>
      <c r="K151" s="172"/>
      <c r="L151" s="25">
        <v>0</v>
      </c>
      <c r="M151" s="201">
        <f>SUM(M152:M162)</f>
        <v>0</v>
      </c>
      <c r="N151" s="202">
        <f>SUM(N152:N162)</f>
        <v>0</v>
      </c>
      <c r="O151" s="172"/>
      <c r="P151" s="172"/>
      <c r="Q151" s="25">
        <v>0</v>
      </c>
      <c r="R151" s="201">
        <f>SUM(R152:R162)</f>
        <v>0</v>
      </c>
      <c r="S151" s="202">
        <f>SUM(S152:S162)</f>
        <v>0</v>
      </c>
      <c r="T151" s="172"/>
      <c r="U151" s="172"/>
      <c r="V151" s="25">
        <v>0</v>
      </c>
      <c r="W151" s="201">
        <f>SUM(W152:W162)</f>
        <v>0</v>
      </c>
      <c r="X151" s="202">
        <f>SUM(X152:X162)</f>
        <v>0</v>
      </c>
      <c r="Y151" s="172"/>
      <c r="Z151" s="172"/>
      <c r="AA151" s="25">
        <v>0</v>
      </c>
      <c r="AB151" s="201">
        <f>SUM(AB152:AB162)</f>
        <v>0</v>
      </c>
      <c r="AC151" s="202">
        <f>SUM(AC152:AC162)</f>
        <v>0</v>
      </c>
      <c r="AD151" s="184"/>
      <c r="AE151" s="183"/>
      <c r="AF151" s="25">
        <v>0</v>
      </c>
      <c r="AG151" s="201">
        <f>SUM(AG152:AG162)</f>
        <v>0</v>
      </c>
      <c r="AH151" s="202">
        <f>SUM(AH152:AH162)</f>
        <v>0</v>
      </c>
      <c r="AI151" s="178"/>
      <c r="AJ151" s="179"/>
      <c r="AK151" s="216">
        <f>SUM(AK152:AK162)</f>
        <v>0</v>
      </c>
      <c r="AL151" s="223">
        <f>SUM(AL152:AL162)</f>
        <v>0</v>
      </c>
      <c r="AM151" s="193">
        <v>151</v>
      </c>
    </row>
    <row r="152" spans="1:39" ht="15.75" thickBot="1" x14ac:dyDescent="0.3">
      <c r="A152" s="124" t="s">
        <v>72</v>
      </c>
      <c r="B152" s="26"/>
      <c r="C152" s="24"/>
      <c r="D152" s="21"/>
      <c r="E152" s="21"/>
      <c r="F152" s="150" t="s">
        <v>98</v>
      </c>
      <c r="G152" s="206"/>
      <c r="H152" s="29"/>
      <c r="I152" s="30">
        <v>0</v>
      </c>
      <c r="J152" s="169"/>
      <c r="K152" s="169"/>
      <c r="L152" s="206"/>
      <c r="M152" s="29"/>
      <c r="N152" s="30">
        <v>0</v>
      </c>
      <c r="O152" s="169"/>
      <c r="P152" s="169"/>
      <c r="Q152" s="206"/>
      <c r="R152" s="29"/>
      <c r="S152" s="30">
        <v>0</v>
      </c>
      <c r="T152" s="169"/>
      <c r="U152" s="169"/>
      <c r="V152" s="206"/>
      <c r="W152" s="29"/>
      <c r="X152" s="30">
        <v>0</v>
      </c>
      <c r="Y152" s="169"/>
      <c r="Z152" s="169"/>
      <c r="AA152" s="206"/>
      <c r="AB152" s="29"/>
      <c r="AC152" s="30">
        <v>0</v>
      </c>
      <c r="AD152" s="178"/>
      <c r="AE152" s="179"/>
      <c r="AF152" s="206"/>
      <c r="AG152" s="29"/>
      <c r="AH152" s="30">
        <v>0</v>
      </c>
      <c r="AI152" s="184"/>
      <c r="AJ152" s="183"/>
      <c r="AK152" s="232">
        <f>H152+R152+AB152+M152+W152+AG152</f>
        <v>0</v>
      </c>
      <c r="AL152" s="227">
        <f>I152+S152+AC152+N152+X152+AH152</f>
        <v>0</v>
      </c>
      <c r="AM152" s="193">
        <v>152</v>
      </c>
    </row>
    <row r="153" spans="1:39" ht="15.75" thickBot="1" x14ac:dyDescent="0.3">
      <c r="A153" s="124" t="s">
        <v>72</v>
      </c>
      <c r="B153" s="26"/>
      <c r="C153" s="23"/>
      <c r="D153" s="23"/>
      <c r="E153" s="23"/>
      <c r="F153" s="234" t="s">
        <v>98</v>
      </c>
      <c r="G153" s="233"/>
      <c r="H153" s="29"/>
      <c r="I153" s="231">
        <v>0</v>
      </c>
      <c r="J153" s="169"/>
      <c r="K153" s="169"/>
      <c r="L153" s="206"/>
      <c r="M153" s="29"/>
      <c r="N153" s="231">
        <v>0</v>
      </c>
      <c r="O153" s="169"/>
      <c r="P153" s="169"/>
      <c r="Q153" s="206"/>
      <c r="R153" s="29"/>
      <c r="S153" s="231">
        <v>0</v>
      </c>
      <c r="T153" s="169"/>
      <c r="U153" s="169"/>
      <c r="V153" s="206"/>
      <c r="W153" s="29"/>
      <c r="X153" s="231">
        <v>0</v>
      </c>
      <c r="Y153" s="169"/>
      <c r="Z153" s="169"/>
      <c r="AA153" s="206"/>
      <c r="AB153" s="29"/>
      <c r="AC153" s="231">
        <v>0</v>
      </c>
      <c r="AD153" s="184"/>
      <c r="AE153" s="185"/>
      <c r="AF153" s="206"/>
      <c r="AG153" s="29"/>
      <c r="AH153" s="229">
        <v>0</v>
      </c>
      <c r="AI153" s="184"/>
      <c r="AJ153" s="185"/>
      <c r="AK153" s="232">
        <f t="shared" ref="AK153:AK162" si="9">H153+R153+AB153+M153+W153+AG153</f>
        <v>0</v>
      </c>
      <c r="AL153" s="227">
        <f t="shared" ref="AL153:AL162" si="10">I153+S153+AC153+N153+X153</f>
        <v>0</v>
      </c>
      <c r="AM153" s="230">
        <v>153</v>
      </c>
    </row>
    <row r="154" spans="1:39" ht="15.75" thickBot="1" x14ac:dyDescent="0.3">
      <c r="A154" s="124" t="s">
        <v>72</v>
      </c>
      <c r="B154" s="26"/>
      <c r="C154" s="23"/>
      <c r="D154" s="23"/>
      <c r="E154" s="23"/>
      <c r="F154" s="234" t="s">
        <v>98</v>
      </c>
      <c r="G154" s="233"/>
      <c r="H154" s="29"/>
      <c r="I154" s="231">
        <v>0</v>
      </c>
      <c r="J154" s="169"/>
      <c r="K154" s="169"/>
      <c r="L154" s="206"/>
      <c r="M154" s="29"/>
      <c r="N154" s="231">
        <v>0</v>
      </c>
      <c r="O154" s="169"/>
      <c r="P154" s="169"/>
      <c r="Q154" s="206"/>
      <c r="R154" s="29"/>
      <c r="S154" s="231">
        <v>0</v>
      </c>
      <c r="T154" s="169"/>
      <c r="U154" s="169"/>
      <c r="V154" s="206"/>
      <c r="W154" s="29"/>
      <c r="X154" s="231">
        <v>0</v>
      </c>
      <c r="Y154" s="169"/>
      <c r="Z154" s="169"/>
      <c r="AA154" s="206"/>
      <c r="AB154" s="29"/>
      <c r="AC154" s="231">
        <v>0</v>
      </c>
      <c r="AD154" s="184"/>
      <c r="AE154" s="185"/>
      <c r="AF154" s="206"/>
      <c r="AG154" s="29"/>
      <c r="AH154" s="229">
        <v>0</v>
      </c>
      <c r="AI154" s="184"/>
      <c r="AJ154" s="185"/>
      <c r="AK154" s="232">
        <f t="shared" si="9"/>
        <v>0</v>
      </c>
      <c r="AL154" s="227">
        <f t="shared" si="10"/>
        <v>0</v>
      </c>
      <c r="AM154" s="230">
        <v>154</v>
      </c>
    </row>
    <row r="155" spans="1:39" ht="15.75" thickBot="1" x14ac:dyDescent="0.3">
      <c r="A155" s="124" t="s">
        <v>72</v>
      </c>
      <c r="B155" s="26"/>
      <c r="C155" s="23"/>
      <c r="D155" s="23"/>
      <c r="E155" s="23"/>
      <c r="F155" s="234" t="s">
        <v>98</v>
      </c>
      <c r="G155" s="233"/>
      <c r="H155" s="29"/>
      <c r="I155" s="231">
        <v>0</v>
      </c>
      <c r="J155" s="169"/>
      <c r="K155" s="169"/>
      <c r="L155" s="206"/>
      <c r="M155" s="29"/>
      <c r="N155" s="231">
        <v>0</v>
      </c>
      <c r="O155" s="169"/>
      <c r="P155" s="169"/>
      <c r="Q155" s="206"/>
      <c r="R155" s="29"/>
      <c r="S155" s="231">
        <v>0</v>
      </c>
      <c r="T155" s="169"/>
      <c r="U155" s="169"/>
      <c r="V155" s="206"/>
      <c r="W155" s="29"/>
      <c r="X155" s="231">
        <v>0</v>
      </c>
      <c r="Y155" s="169"/>
      <c r="Z155" s="169"/>
      <c r="AA155" s="206"/>
      <c r="AB155" s="29"/>
      <c r="AC155" s="231">
        <v>0</v>
      </c>
      <c r="AD155" s="184"/>
      <c r="AE155" s="185"/>
      <c r="AF155" s="206"/>
      <c r="AG155" s="29"/>
      <c r="AH155" s="229">
        <v>0</v>
      </c>
      <c r="AI155" s="184"/>
      <c r="AJ155" s="185"/>
      <c r="AK155" s="232">
        <f t="shared" si="9"/>
        <v>0</v>
      </c>
      <c r="AL155" s="227">
        <f t="shared" si="10"/>
        <v>0</v>
      </c>
      <c r="AM155" s="230">
        <v>155</v>
      </c>
    </row>
    <row r="156" spans="1:39" ht="15.75" thickBot="1" x14ac:dyDescent="0.3">
      <c r="A156" s="124" t="s">
        <v>72</v>
      </c>
      <c r="B156" s="26"/>
      <c r="C156" s="23"/>
      <c r="D156" s="23"/>
      <c r="E156" s="23"/>
      <c r="F156" s="234" t="s">
        <v>98</v>
      </c>
      <c r="G156" s="233"/>
      <c r="H156" s="29"/>
      <c r="I156" s="231">
        <v>0</v>
      </c>
      <c r="J156" s="169"/>
      <c r="K156" s="169"/>
      <c r="L156" s="206"/>
      <c r="M156" s="29"/>
      <c r="N156" s="231">
        <v>0</v>
      </c>
      <c r="O156" s="169"/>
      <c r="P156" s="169"/>
      <c r="Q156" s="206"/>
      <c r="R156" s="29"/>
      <c r="S156" s="231">
        <v>0</v>
      </c>
      <c r="T156" s="169"/>
      <c r="U156" s="169"/>
      <c r="V156" s="206"/>
      <c r="W156" s="29"/>
      <c r="X156" s="231">
        <v>0</v>
      </c>
      <c r="Y156" s="169"/>
      <c r="Z156" s="169"/>
      <c r="AA156" s="206"/>
      <c r="AB156" s="29"/>
      <c r="AC156" s="231">
        <v>0</v>
      </c>
      <c r="AD156" s="184"/>
      <c r="AE156" s="185"/>
      <c r="AF156" s="206"/>
      <c r="AG156" s="29"/>
      <c r="AH156" s="229">
        <v>0</v>
      </c>
      <c r="AI156" s="184"/>
      <c r="AJ156" s="185"/>
      <c r="AK156" s="232">
        <f t="shared" si="9"/>
        <v>0</v>
      </c>
      <c r="AL156" s="227">
        <f t="shared" si="10"/>
        <v>0</v>
      </c>
      <c r="AM156" s="230">
        <v>156</v>
      </c>
    </row>
    <row r="157" spans="1:39" ht="15.75" thickBot="1" x14ac:dyDescent="0.3">
      <c r="A157" s="124" t="s">
        <v>72</v>
      </c>
      <c r="B157" s="26"/>
      <c r="C157" s="23"/>
      <c r="D157" s="23"/>
      <c r="E157" s="23"/>
      <c r="F157" s="234" t="s">
        <v>98</v>
      </c>
      <c r="G157" s="233"/>
      <c r="H157" s="29"/>
      <c r="I157" s="231">
        <v>0</v>
      </c>
      <c r="J157" s="169"/>
      <c r="K157" s="169"/>
      <c r="L157" s="206"/>
      <c r="M157" s="29"/>
      <c r="N157" s="231">
        <v>0</v>
      </c>
      <c r="O157" s="169"/>
      <c r="P157" s="169"/>
      <c r="Q157" s="206"/>
      <c r="R157" s="29"/>
      <c r="S157" s="231">
        <v>0</v>
      </c>
      <c r="T157" s="169"/>
      <c r="U157" s="169"/>
      <c r="V157" s="206"/>
      <c r="W157" s="29"/>
      <c r="X157" s="231">
        <v>0</v>
      </c>
      <c r="Y157" s="169"/>
      <c r="Z157" s="169"/>
      <c r="AA157" s="206"/>
      <c r="AB157" s="29"/>
      <c r="AC157" s="231">
        <v>0</v>
      </c>
      <c r="AD157" s="184"/>
      <c r="AE157" s="185"/>
      <c r="AF157" s="206"/>
      <c r="AG157" s="29"/>
      <c r="AH157" s="229">
        <v>0</v>
      </c>
      <c r="AI157" s="184"/>
      <c r="AJ157" s="185"/>
      <c r="AK157" s="232">
        <f t="shared" si="9"/>
        <v>0</v>
      </c>
      <c r="AL157" s="227">
        <f t="shared" si="10"/>
        <v>0</v>
      </c>
      <c r="AM157" s="230">
        <v>157</v>
      </c>
    </row>
    <row r="158" spans="1:39" ht="15.75" thickBot="1" x14ac:dyDescent="0.3">
      <c r="A158" s="124" t="s">
        <v>72</v>
      </c>
      <c r="B158" s="26"/>
      <c r="C158" s="23"/>
      <c r="D158" s="23"/>
      <c r="E158" s="23"/>
      <c r="F158" s="234" t="s">
        <v>98</v>
      </c>
      <c r="G158" s="233"/>
      <c r="H158" s="29"/>
      <c r="I158" s="231">
        <v>0</v>
      </c>
      <c r="J158" s="169"/>
      <c r="K158" s="169"/>
      <c r="L158" s="206"/>
      <c r="M158" s="29"/>
      <c r="N158" s="231">
        <v>0</v>
      </c>
      <c r="O158" s="169"/>
      <c r="P158" s="169"/>
      <c r="Q158" s="206"/>
      <c r="R158" s="29"/>
      <c r="S158" s="231">
        <v>0</v>
      </c>
      <c r="T158" s="169"/>
      <c r="U158" s="169"/>
      <c r="V158" s="206"/>
      <c r="W158" s="29"/>
      <c r="X158" s="231">
        <v>0</v>
      </c>
      <c r="Y158" s="169"/>
      <c r="Z158" s="169"/>
      <c r="AA158" s="206"/>
      <c r="AB158" s="29"/>
      <c r="AC158" s="231">
        <v>0</v>
      </c>
      <c r="AD158" s="184"/>
      <c r="AE158" s="185"/>
      <c r="AF158" s="206"/>
      <c r="AG158" s="29"/>
      <c r="AH158" s="229">
        <v>0</v>
      </c>
      <c r="AI158" s="184"/>
      <c r="AJ158" s="185"/>
      <c r="AK158" s="232">
        <f t="shared" si="9"/>
        <v>0</v>
      </c>
      <c r="AL158" s="227">
        <f t="shared" si="10"/>
        <v>0</v>
      </c>
      <c r="AM158" s="230">
        <v>158</v>
      </c>
    </row>
    <row r="159" spans="1:39" ht="15.75" thickBot="1" x14ac:dyDescent="0.3">
      <c r="A159" s="124" t="s">
        <v>72</v>
      </c>
      <c r="B159" s="26"/>
      <c r="C159" s="23"/>
      <c r="D159" s="23"/>
      <c r="E159" s="23"/>
      <c r="F159" s="234" t="s">
        <v>98</v>
      </c>
      <c r="G159" s="233"/>
      <c r="H159" s="29"/>
      <c r="I159" s="231">
        <v>0</v>
      </c>
      <c r="J159" s="169"/>
      <c r="K159" s="169"/>
      <c r="L159" s="206"/>
      <c r="M159" s="29"/>
      <c r="N159" s="231">
        <v>0</v>
      </c>
      <c r="O159" s="169"/>
      <c r="P159" s="169"/>
      <c r="Q159" s="206"/>
      <c r="R159" s="29"/>
      <c r="S159" s="231">
        <v>0</v>
      </c>
      <c r="T159" s="169"/>
      <c r="U159" s="169"/>
      <c r="V159" s="206"/>
      <c r="W159" s="29"/>
      <c r="X159" s="231">
        <v>0</v>
      </c>
      <c r="Y159" s="169"/>
      <c r="Z159" s="169"/>
      <c r="AA159" s="206"/>
      <c r="AB159" s="29"/>
      <c r="AC159" s="231">
        <v>0</v>
      </c>
      <c r="AD159" s="184"/>
      <c r="AE159" s="185"/>
      <c r="AF159" s="206"/>
      <c r="AG159" s="29"/>
      <c r="AH159" s="229">
        <v>0</v>
      </c>
      <c r="AI159" s="184"/>
      <c r="AJ159" s="185"/>
      <c r="AK159" s="232">
        <f t="shared" si="9"/>
        <v>0</v>
      </c>
      <c r="AL159" s="227">
        <f t="shared" si="10"/>
        <v>0</v>
      </c>
      <c r="AM159" s="230">
        <v>159</v>
      </c>
    </row>
    <row r="160" spans="1:39" ht="15.75" thickBot="1" x14ac:dyDescent="0.3">
      <c r="A160" s="124" t="s">
        <v>72</v>
      </c>
      <c r="B160" s="26"/>
      <c r="C160" s="23"/>
      <c r="D160" s="23"/>
      <c r="E160" s="23"/>
      <c r="F160" s="234" t="s">
        <v>98</v>
      </c>
      <c r="G160" s="233"/>
      <c r="H160" s="29"/>
      <c r="I160" s="231">
        <v>0</v>
      </c>
      <c r="J160" s="169"/>
      <c r="K160" s="169"/>
      <c r="L160" s="206"/>
      <c r="M160" s="29"/>
      <c r="N160" s="231">
        <v>0</v>
      </c>
      <c r="O160" s="169"/>
      <c r="P160" s="169"/>
      <c r="Q160" s="206"/>
      <c r="R160" s="29"/>
      <c r="S160" s="231">
        <v>0</v>
      </c>
      <c r="T160" s="169"/>
      <c r="U160" s="169"/>
      <c r="V160" s="206"/>
      <c r="W160" s="29"/>
      <c r="X160" s="231">
        <v>0</v>
      </c>
      <c r="Y160" s="169"/>
      <c r="Z160" s="169"/>
      <c r="AA160" s="206"/>
      <c r="AB160" s="29"/>
      <c r="AC160" s="231">
        <v>0</v>
      </c>
      <c r="AD160" s="184"/>
      <c r="AE160" s="185"/>
      <c r="AF160" s="206"/>
      <c r="AG160" s="29"/>
      <c r="AH160" s="229">
        <v>0</v>
      </c>
      <c r="AI160" s="184"/>
      <c r="AJ160" s="185"/>
      <c r="AK160" s="232">
        <f t="shared" si="9"/>
        <v>0</v>
      </c>
      <c r="AL160" s="227">
        <f t="shared" si="10"/>
        <v>0</v>
      </c>
      <c r="AM160" s="230">
        <v>160</v>
      </c>
    </row>
    <row r="161" spans="1:39" x14ac:dyDescent="0.25">
      <c r="A161" s="124" t="s">
        <v>72</v>
      </c>
      <c r="B161" s="26"/>
      <c r="C161" s="24"/>
      <c r="D161" s="21"/>
      <c r="E161" s="21"/>
      <c r="F161" s="150" t="s">
        <v>98</v>
      </c>
      <c r="G161" s="28"/>
      <c r="H161" s="29"/>
      <c r="I161" s="30">
        <v>0</v>
      </c>
      <c r="J161" s="169"/>
      <c r="K161" s="169"/>
      <c r="L161" s="28"/>
      <c r="M161" s="29"/>
      <c r="N161" s="30">
        <v>0</v>
      </c>
      <c r="O161" s="169"/>
      <c r="P161" s="169"/>
      <c r="Q161" s="206"/>
      <c r="R161" s="29"/>
      <c r="S161" s="30">
        <v>0</v>
      </c>
      <c r="T161" s="169"/>
      <c r="U161" s="169"/>
      <c r="V161" s="206"/>
      <c r="W161" s="29"/>
      <c r="X161" s="30">
        <v>0</v>
      </c>
      <c r="Y161" s="169"/>
      <c r="Z161" s="169"/>
      <c r="AA161" s="206"/>
      <c r="AB161" s="29"/>
      <c r="AC161" s="30">
        <v>0</v>
      </c>
      <c r="AD161" s="178"/>
      <c r="AE161" s="179"/>
      <c r="AF161" s="206"/>
      <c r="AG161" s="29"/>
      <c r="AH161" s="30">
        <v>0</v>
      </c>
      <c r="AI161" s="178"/>
      <c r="AJ161" s="179"/>
      <c r="AK161" s="232">
        <f t="shared" si="9"/>
        <v>0</v>
      </c>
      <c r="AL161" s="227">
        <f t="shared" si="10"/>
        <v>0</v>
      </c>
      <c r="AM161" s="193">
        <v>161</v>
      </c>
    </row>
    <row r="162" spans="1:39" x14ac:dyDescent="0.25">
      <c r="A162" s="133"/>
      <c r="B162" s="59"/>
      <c r="C162" s="24"/>
      <c r="D162" s="21"/>
      <c r="E162" s="21"/>
      <c r="F162" s="150" t="s">
        <v>98</v>
      </c>
      <c r="G162" s="28"/>
      <c r="H162" s="29"/>
      <c r="I162" s="30">
        <v>0</v>
      </c>
      <c r="J162" s="169"/>
      <c r="K162" s="169"/>
      <c r="L162" s="28"/>
      <c r="M162" s="29"/>
      <c r="N162" s="30">
        <v>0</v>
      </c>
      <c r="O162" s="169"/>
      <c r="P162" s="169"/>
      <c r="Q162" s="206"/>
      <c r="R162" s="29"/>
      <c r="S162" s="30">
        <v>0</v>
      </c>
      <c r="T162" s="169"/>
      <c r="U162" s="169"/>
      <c r="V162" s="206"/>
      <c r="W162" s="29"/>
      <c r="X162" s="30">
        <v>0</v>
      </c>
      <c r="Y162" s="169"/>
      <c r="Z162" s="169"/>
      <c r="AA162" s="206"/>
      <c r="AB162" s="29"/>
      <c r="AC162" s="30">
        <v>0</v>
      </c>
      <c r="AD162" s="178"/>
      <c r="AE162" s="179"/>
      <c r="AF162" s="206"/>
      <c r="AG162" s="29"/>
      <c r="AH162" s="30">
        <v>0</v>
      </c>
      <c r="AI162" s="178"/>
      <c r="AJ162" s="179"/>
      <c r="AK162" s="232">
        <f t="shared" si="9"/>
        <v>0</v>
      </c>
      <c r="AL162" s="227">
        <f t="shared" si="10"/>
        <v>0</v>
      </c>
      <c r="AM162" s="193">
        <v>162</v>
      </c>
    </row>
    <row r="163" spans="1:39" x14ac:dyDescent="0.25">
      <c r="A163" s="123" t="s">
        <v>60</v>
      </c>
      <c r="B163" s="59"/>
      <c r="C163" s="24"/>
      <c r="D163" s="21"/>
      <c r="E163" s="21"/>
      <c r="F163" s="99" t="s">
        <v>98</v>
      </c>
      <c r="G163" s="25"/>
      <c r="H163" s="201">
        <f>SUM(H164:H177)</f>
        <v>0</v>
      </c>
      <c r="I163" s="202">
        <f>SUM(I164:I177)</f>
        <v>0</v>
      </c>
      <c r="J163" s="172"/>
      <c r="K163" s="172"/>
      <c r="L163" s="60"/>
      <c r="M163" s="201">
        <f>SUM(M164:M177)</f>
        <v>0</v>
      </c>
      <c r="N163" s="202">
        <f>SUM(N164:N177)</f>
        <v>0</v>
      </c>
      <c r="O163" s="172"/>
      <c r="P163" s="172"/>
      <c r="Q163" s="25">
        <v>0</v>
      </c>
      <c r="R163" s="201">
        <f>SUM(R164:R177)</f>
        <v>0</v>
      </c>
      <c r="S163" s="236">
        <f>SUM(S164:S177)</f>
        <v>0</v>
      </c>
      <c r="T163" s="172"/>
      <c r="U163" s="172"/>
      <c r="V163" s="25">
        <v>0</v>
      </c>
      <c r="W163" s="201">
        <f>SUM(W164:W177)</f>
        <v>0</v>
      </c>
      <c r="X163" s="236">
        <f>SUM(X164:X177)</f>
        <v>0</v>
      </c>
      <c r="Y163" s="172"/>
      <c r="Z163" s="172"/>
      <c r="AA163" s="25">
        <v>0</v>
      </c>
      <c r="AB163" s="201">
        <f>SUM(AB164:AB177)</f>
        <v>0</v>
      </c>
      <c r="AC163" s="202">
        <f>SUM(AC164:AC177)</f>
        <v>0</v>
      </c>
      <c r="AD163" s="184"/>
      <c r="AE163" s="183"/>
      <c r="AF163" s="25">
        <v>0</v>
      </c>
      <c r="AG163" s="201">
        <f>SUM(AG164:AG177)</f>
        <v>0</v>
      </c>
      <c r="AH163" s="202">
        <f>SUM(AH164:AH177)</f>
        <v>0</v>
      </c>
      <c r="AI163" s="178"/>
      <c r="AJ163" s="179"/>
      <c r="AK163" s="216">
        <f>SUM(AK164:AK177)</f>
        <v>0</v>
      </c>
      <c r="AL163" s="223">
        <f>SUM(AL164:AL177)</f>
        <v>0</v>
      </c>
      <c r="AM163" s="193">
        <v>163</v>
      </c>
    </row>
    <row r="164" spans="1:39" x14ac:dyDescent="0.25">
      <c r="A164" s="124" t="s">
        <v>72</v>
      </c>
      <c r="B164" s="26"/>
      <c r="C164" s="24"/>
      <c r="D164" s="21"/>
      <c r="E164" s="21"/>
      <c r="F164" s="150" t="s">
        <v>98</v>
      </c>
      <c r="G164" s="206"/>
      <c r="H164" s="29"/>
      <c r="I164" s="30">
        <v>0</v>
      </c>
      <c r="J164" s="169"/>
      <c r="K164" s="169"/>
      <c r="L164" s="28"/>
      <c r="M164" s="29"/>
      <c r="N164" s="30">
        <v>0</v>
      </c>
      <c r="O164" s="169"/>
      <c r="P164" s="169"/>
      <c r="Q164" s="28"/>
      <c r="R164" s="29"/>
      <c r="S164" s="30">
        <v>0</v>
      </c>
      <c r="T164" s="169"/>
      <c r="U164" s="169"/>
      <c r="V164" s="28"/>
      <c r="W164" s="29"/>
      <c r="X164" s="30">
        <v>0</v>
      </c>
      <c r="Y164" s="169"/>
      <c r="Z164" s="169"/>
      <c r="AA164" s="28"/>
      <c r="AB164" s="29"/>
      <c r="AC164" s="30">
        <v>0</v>
      </c>
      <c r="AD164" s="178"/>
      <c r="AE164" s="179"/>
      <c r="AF164" s="206"/>
      <c r="AG164" s="29"/>
      <c r="AH164" s="30">
        <v>0</v>
      </c>
      <c r="AI164" s="184"/>
      <c r="AJ164" s="183"/>
      <c r="AK164" s="232">
        <f>H164+R164+AB164+M164+W164+AG164</f>
        <v>0</v>
      </c>
      <c r="AL164" s="227">
        <f>I164+S164+AC164+N164+X164</f>
        <v>0</v>
      </c>
      <c r="AM164" s="193">
        <v>164</v>
      </c>
    </row>
    <row r="165" spans="1:39" x14ac:dyDescent="0.25">
      <c r="A165" s="124" t="s">
        <v>72</v>
      </c>
      <c r="B165" s="26"/>
      <c r="C165" s="24"/>
      <c r="D165" s="21"/>
      <c r="E165" s="21"/>
      <c r="F165" s="150" t="s">
        <v>98</v>
      </c>
      <c r="G165" s="206"/>
      <c r="H165" s="29"/>
      <c r="I165" s="30">
        <v>0</v>
      </c>
      <c r="J165" s="169"/>
      <c r="K165" s="169"/>
      <c r="L165" s="28"/>
      <c r="M165" s="29"/>
      <c r="N165" s="30">
        <v>0</v>
      </c>
      <c r="O165" s="169"/>
      <c r="P165" s="169"/>
      <c r="Q165" s="28"/>
      <c r="R165" s="29"/>
      <c r="S165" s="30">
        <v>0</v>
      </c>
      <c r="T165" s="169"/>
      <c r="U165" s="169"/>
      <c r="V165" s="28"/>
      <c r="W165" s="29"/>
      <c r="X165" s="30">
        <v>0</v>
      </c>
      <c r="Y165" s="169"/>
      <c r="Z165" s="169"/>
      <c r="AA165" s="28"/>
      <c r="AB165" s="29"/>
      <c r="AC165" s="30">
        <v>0</v>
      </c>
      <c r="AD165" s="178"/>
      <c r="AE165" s="179"/>
      <c r="AF165" s="206"/>
      <c r="AG165" s="29"/>
      <c r="AH165" s="30">
        <v>0</v>
      </c>
      <c r="AI165" s="178"/>
      <c r="AJ165" s="179"/>
      <c r="AK165" s="232">
        <f t="shared" ref="AK165:AK177" si="11">H165+R165+AB165+M165+W165+AG165</f>
        <v>0</v>
      </c>
      <c r="AL165" s="227">
        <f t="shared" ref="AL165:AL177" si="12">I165+S165+AC165+N165+X165</f>
        <v>0</v>
      </c>
      <c r="AM165" s="193">
        <v>165</v>
      </c>
    </row>
    <row r="166" spans="1:39" ht="15.75" thickBot="1" x14ac:dyDescent="0.3">
      <c r="A166" s="124" t="s">
        <v>72</v>
      </c>
      <c r="B166" s="26"/>
      <c r="C166" s="24"/>
      <c r="D166" s="21"/>
      <c r="E166" s="21"/>
      <c r="F166" s="150" t="s">
        <v>98</v>
      </c>
      <c r="G166" s="206"/>
      <c r="H166" s="29"/>
      <c r="I166" s="30">
        <v>0</v>
      </c>
      <c r="J166" s="169"/>
      <c r="K166" s="169"/>
      <c r="L166" s="28"/>
      <c r="M166" s="29"/>
      <c r="N166" s="30">
        <v>0</v>
      </c>
      <c r="O166" s="169"/>
      <c r="P166" s="169"/>
      <c r="Q166" s="28"/>
      <c r="R166" s="29"/>
      <c r="S166" s="30">
        <v>0</v>
      </c>
      <c r="T166" s="169"/>
      <c r="U166" s="169"/>
      <c r="V166" s="28"/>
      <c r="W166" s="29"/>
      <c r="X166" s="30">
        <v>0</v>
      </c>
      <c r="Y166" s="169"/>
      <c r="Z166" s="169"/>
      <c r="AA166" s="28"/>
      <c r="AB166" s="29"/>
      <c r="AC166" s="30">
        <v>0</v>
      </c>
      <c r="AD166" s="178"/>
      <c r="AE166" s="179"/>
      <c r="AF166" s="206"/>
      <c r="AG166" s="29"/>
      <c r="AH166" s="30">
        <v>0</v>
      </c>
      <c r="AI166" s="178"/>
      <c r="AJ166" s="179"/>
      <c r="AK166" s="232">
        <f t="shared" si="11"/>
        <v>0</v>
      </c>
      <c r="AL166" s="227">
        <f t="shared" si="12"/>
        <v>0</v>
      </c>
      <c r="AM166" s="193">
        <v>166</v>
      </c>
    </row>
    <row r="167" spans="1:39" ht="15.75" thickBot="1" x14ac:dyDescent="0.3">
      <c r="A167" s="124" t="s">
        <v>72</v>
      </c>
      <c r="B167" s="26"/>
      <c r="C167" s="23"/>
      <c r="D167" s="23"/>
      <c r="E167" s="23"/>
      <c r="F167" s="150" t="s">
        <v>98</v>
      </c>
      <c r="G167" s="233"/>
      <c r="H167" s="29"/>
      <c r="I167" s="231">
        <v>0</v>
      </c>
      <c r="J167" s="169"/>
      <c r="K167" s="169"/>
      <c r="L167" s="28"/>
      <c r="M167" s="29"/>
      <c r="N167" s="231">
        <v>0</v>
      </c>
      <c r="O167" s="169"/>
      <c r="P167" s="169"/>
      <c r="Q167" s="28"/>
      <c r="R167" s="29"/>
      <c r="S167" s="231">
        <v>0</v>
      </c>
      <c r="T167" s="169"/>
      <c r="U167" s="169"/>
      <c r="V167" s="28"/>
      <c r="W167" s="29"/>
      <c r="X167" s="231">
        <v>0</v>
      </c>
      <c r="Y167" s="169"/>
      <c r="Z167" s="169"/>
      <c r="AA167" s="28"/>
      <c r="AB167" s="29"/>
      <c r="AC167" s="231">
        <v>0</v>
      </c>
      <c r="AD167" s="184"/>
      <c r="AE167" s="185"/>
      <c r="AF167" s="206"/>
      <c r="AG167" s="29"/>
      <c r="AH167" s="229">
        <v>0</v>
      </c>
      <c r="AI167" s="184"/>
      <c r="AJ167" s="185"/>
      <c r="AK167" s="232">
        <f t="shared" si="11"/>
        <v>0</v>
      </c>
      <c r="AL167" s="227">
        <f t="shared" si="12"/>
        <v>0</v>
      </c>
      <c r="AM167" s="230">
        <v>167</v>
      </c>
    </row>
    <row r="168" spans="1:39" ht="15.75" thickBot="1" x14ac:dyDescent="0.3">
      <c r="A168" s="124" t="s">
        <v>72</v>
      </c>
      <c r="B168" s="26"/>
      <c r="C168" s="23"/>
      <c r="D168" s="23"/>
      <c r="E168" s="23"/>
      <c r="F168" s="150" t="s">
        <v>98</v>
      </c>
      <c r="G168" s="233"/>
      <c r="H168" s="29"/>
      <c r="I168" s="231">
        <v>0</v>
      </c>
      <c r="J168" s="169"/>
      <c r="K168" s="169"/>
      <c r="L168" s="28"/>
      <c r="M168" s="29"/>
      <c r="N168" s="231">
        <v>0</v>
      </c>
      <c r="O168" s="169"/>
      <c r="P168" s="169"/>
      <c r="Q168" s="28"/>
      <c r="R168" s="29"/>
      <c r="S168" s="231">
        <v>0</v>
      </c>
      <c r="T168" s="169"/>
      <c r="U168" s="169"/>
      <c r="V168" s="28"/>
      <c r="W168" s="29"/>
      <c r="X168" s="231">
        <v>0</v>
      </c>
      <c r="Y168" s="169"/>
      <c r="Z168" s="169"/>
      <c r="AA168" s="28"/>
      <c r="AB168" s="29"/>
      <c r="AC168" s="231">
        <v>0</v>
      </c>
      <c r="AD168" s="184"/>
      <c r="AE168" s="185"/>
      <c r="AF168" s="206"/>
      <c r="AG168" s="29"/>
      <c r="AH168" s="229">
        <v>0</v>
      </c>
      <c r="AI168" s="184"/>
      <c r="AJ168" s="185"/>
      <c r="AK168" s="232">
        <f t="shared" si="11"/>
        <v>0</v>
      </c>
      <c r="AL168" s="227">
        <f t="shared" si="12"/>
        <v>0</v>
      </c>
      <c r="AM168" s="230">
        <v>168</v>
      </c>
    </row>
    <row r="169" spans="1:39" ht="15.75" thickBot="1" x14ac:dyDescent="0.3">
      <c r="A169" s="124" t="s">
        <v>72</v>
      </c>
      <c r="B169" s="26"/>
      <c r="C169" s="23"/>
      <c r="D169" s="23"/>
      <c r="E169" s="23"/>
      <c r="F169" s="150" t="s">
        <v>98</v>
      </c>
      <c r="G169" s="233"/>
      <c r="H169" s="29"/>
      <c r="I169" s="231">
        <v>0</v>
      </c>
      <c r="J169" s="169"/>
      <c r="K169" s="169"/>
      <c r="L169" s="28"/>
      <c r="M169" s="29"/>
      <c r="N169" s="231">
        <v>0</v>
      </c>
      <c r="O169" s="169"/>
      <c r="P169" s="169"/>
      <c r="Q169" s="28"/>
      <c r="R169" s="29"/>
      <c r="S169" s="231">
        <v>0</v>
      </c>
      <c r="T169" s="169"/>
      <c r="U169" s="169"/>
      <c r="V169" s="28"/>
      <c r="W169" s="29"/>
      <c r="X169" s="231">
        <v>0</v>
      </c>
      <c r="Y169" s="169"/>
      <c r="Z169" s="169"/>
      <c r="AA169" s="28"/>
      <c r="AB169" s="29"/>
      <c r="AC169" s="231">
        <v>0</v>
      </c>
      <c r="AD169" s="184"/>
      <c r="AE169" s="185"/>
      <c r="AF169" s="206"/>
      <c r="AG169" s="29"/>
      <c r="AH169" s="229">
        <v>0</v>
      </c>
      <c r="AI169" s="184"/>
      <c r="AJ169" s="185"/>
      <c r="AK169" s="232">
        <f t="shared" si="11"/>
        <v>0</v>
      </c>
      <c r="AL169" s="227">
        <f t="shared" si="12"/>
        <v>0</v>
      </c>
      <c r="AM169" s="230">
        <v>169</v>
      </c>
    </row>
    <row r="170" spans="1:39" ht="15.75" thickBot="1" x14ac:dyDescent="0.3">
      <c r="A170" s="124" t="s">
        <v>72</v>
      </c>
      <c r="B170" s="26"/>
      <c r="C170" s="23"/>
      <c r="D170" s="23"/>
      <c r="E170" s="23"/>
      <c r="F170" s="150" t="s">
        <v>98</v>
      </c>
      <c r="G170" s="233"/>
      <c r="H170" s="29"/>
      <c r="I170" s="231">
        <v>0</v>
      </c>
      <c r="J170" s="169"/>
      <c r="K170" s="169"/>
      <c r="L170" s="28"/>
      <c r="M170" s="29"/>
      <c r="N170" s="231">
        <v>0</v>
      </c>
      <c r="O170" s="169"/>
      <c r="P170" s="169"/>
      <c r="Q170" s="28"/>
      <c r="R170" s="29"/>
      <c r="S170" s="231">
        <v>0</v>
      </c>
      <c r="T170" s="169"/>
      <c r="U170" s="169"/>
      <c r="V170" s="28"/>
      <c r="W170" s="29"/>
      <c r="X170" s="231">
        <v>0</v>
      </c>
      <c r="Y170" s="169"/>
      <c r="Z170" s="169"/>
      <c r="AA170" s="28"/>
      <c r="AB170" s="29"/>
      <c r="AC170" s="231">
        <v>0</v>
      </c>
      <c r="AD170" s="184"/>
      <c r="AE170" s="185"/>
      <c r="AF170" s="206"/>
      <c r="AG170" s="29"/>
      <c r="AH170" s="229">
        <v>0</v>
      </c>
      <c r="AI170" s="184"/>
      <c r="AJ170" s="185"/>
      <c r="AK170" s="232">
        <f t="shared" si="11"/>
        <v>0</v>
      </c>
      <c r="AL170" s="227">
        <f t="shared" si="12"/>
        <v>0</v>
      </c>
      <c r="AM170" s="230">
        <v>170</v>
      </c>
    </row>
    <row r="171" spans="1:39" ht="15.75" thickBot="1" x14ac:dyDescent="0.3">
      <c r="A171" s="124" t="s">
        <v>72</v>
      </c>
      <c r="B171" s="26"/>
      <c r="C171" s="23"/>
      <c r="D171" s="23"/>
      <c r="E171" s="23"/>
      <c r="F171" s="150" t="s">
        <v>98</v>
      </c>
      <c r="G171" s="233"/>
      <c r="H171" s="29"/>
      <c r="I171" s="231">
        <v>0</v>
      </c>
      <c r="J171" s="169"/>
      <c r="K171" s="169"/>
      <c r="L171" s="28"/>
      <c r="M171" s="29"/>
      <c r="N171" s="231">
        <v>0</v>
      </c>
      <c r="O171" s="169"/>
      <c r="P171" s="169"/>
      <c r="Q171" s="28"/>
      <c r="R171" s="29"/>
      <c r="S171" s="231">
        <v>0</v>
      </c>
      <c r="T171" s="169"/>
      <c r="U171" s="169"/>
      <c r="V171" s="28"/>
      <c r="W171" s="29"/>
      <c r="X171" s="231">
        <v>0</v>
      </c>
      <c r="Y171" s="169"/>
      <c r="Z171" s="169"/>
      <c r="AA171" s="28"/>
      <c r="AB171" s="29"/>
      <c r="AC171" s="231">
        <v>0</v>
      </c>
      <c r="AD171" s="184"/>
      <c r="AE171" s="185"/>
      <c r="AF171" s="206"/>
      <c r="AG171" s="29"/>
      <c r="AH171" s="229">
        <v>0</v>
      </c>
      <c r="AI171" s="184"/>
      <c r="AJ171" s="185"/>
      <c r="AK171" s="232">
        <f t="shared" si="11"/>
        <v>0</v>
      </c>
      <c r="AL171" s="227">
        <f t="shared" si="12"/>
        <v>0</v>
      </c>
      <c r="AM171" s="230">
        <v>171</v>
      </c>
    </row>
    <row r="172" spans="1:39" ht="15.75" thickBot="1" x14ac:dyDescent="0.3">
      <c r="A172" s="124" t="s">
        <v>72</v>
      </c>
      <c r="B172" s="26"/>
      <c r="C172" s="23"/>
      <c r="D172" s="23"/>
      <c r="E172" s="23"/>
      <c r="F172" s="150" t="s">
        <v>98</v>
      </c>
      <c r="G172" s="233"/>
      <c r="H172" s="29"/>
      <c r="I172" s="231">
        <v>0</v>
      </c>
      <c r="J172" s="169"/>
      <c r="K172" s="169"/>
      <c r="L172" s="28"/>
      <c r="M172" s="29"/>
      <c r="N172" s="231">
        <v>0</v>
      </c>
      <c r="O172" s="169"/>
      <c r="P172" s="169"/>
      <c r="Q172" s="28"/>
      <c r="R172" s="29"/>
      <c r="S172" s="231">
        <v>0</v>
      </c>
      <c r="T172" s="169"/>
      <c r="U172" s="169"/>
      <c r="V172" s="28"/>
      <c r="W172" s="29"/>
      <c r="X172" s="231">
        <v>0</v>
      </c>
      <c r="Y172" s="169"/>
      <c r="Z172" s="169"/>
      <c r="AA172" s="28"/>
      <c r="AB172" s="29"/>
      <c r="AC172" s="231">
        <v>0</v>
      </c>
      <c r="AD172" s="184"/>
      <c r="AE172" s="185"/>
      <c r="AF172" s="206"/>
      <c r="AG172" s="29"/>
      <c r="AH172" s="229">
        <v>0</v>
      </c>
      <c r="AI172" s="184"/>
      <c r="AJ172" s="185"/>
      <c r="AK172" s="232">
        <f t="shared" si="11"/>
        <v>0</v>
      </c>
      <c r="AL172" s="227">
        <f t="shared" si="12"/>
        <v>0</v>
      </c>
      <c r="AM172" s="230">
        <v>172</v>
      </c>
    </row>
    <row r="173" spans="1:39" ht="15.75" thickBot="1" x14ac:dyDescent="0.3">
      <c r="A173" s="124" t="s">
        <v>72</v>
      </c>
      <c r="B173" s="26"/>
      <c r="C173" s="23"/>
      <c r="D173" s="23"/>
      <c r="E173" s="23"/>
      <c r="F173" s="150" t="s">
        <v>98</v>
      </c>
      <c r="G173" s="233"/>
      <c r="H173" s="29"/>
      <c r="I173" s="231">
        <v>0</v>
      </c>
      <c r="J173" s="169"/>
      <c r="K173" s="169"/>
      <c r="L173" s="28"/>
      <c r="M173" s="29"/>
      <c r="N173" s="231">
        <v>0</v>
      </c>
      <c r="O173" s="169"/>
      <c r="P173" s="169"/>
      <c r="Q173" s="28"/>
      <c r="R173" s="29"/>
      <c r="S173" s="231">
        <v>0</v>
      </c>
      <c r="T173" s="169"/>
      <c r="U173" s="169"/>
      <c r="V173" s="28"/>
      <c r="W173" s="29"/>
      <c r="X173" s="231">
        <v>0</v>
      </c>
      <c r="Y173" s="169"/>
      <c r="Z173" s="169"/>
      <c r="AA173" s="28"/>
      <c r="AB173" s="29"/>
      <c r="AC173" s="231">
        <v>0</v>
      </c>
      <c r="AD173" s="184"/>
      <c r="AE173" s="185"/>
      <c r="AF173" s="206"/>
      <c r="AG173" s="29"/>
      <c r="AH173" s="229">
        <v>0</v>
      </c>
      <c r="AI173" s="184"/>
      <c r="AJ173" s="185"/>
      <c r="AK173" s="232">
        <f t="shared" si="11"/>
        <v>0</v>
      </c>
      <c r="AL173" s="227">
        <f t="shared" si="12"/>
        <v>0</v>
      </c>
      <c r="AM173" s="230">
        <v>173</v>
      </c>
    </row>
    <row r="174" spans="1:39" x14ac:dyDescent="0.25">
      <c r="A174" s="124" t="s">
        <v>72</v>
      </c>
      <c r="B174" s="26"/>
      <c r="C174" s="24"/>
      <c r="D174" s="21"/>
      <c r="E174" s="21"/>
      <c r="F174" s="150" t="s">
        <v>98</v>
      </c>
      <c r="G174" s="28"/>
      <c r="H174" s="29"/>
      <c r="I174" s="30">
        <v>0</v>
      </c>
      <c r="J174" s="169"/>
      <c r="K174" s="169"/>
      <c r="L174" s="28"/>
      <c r="M174" s="29"/>
      <c r="N174" s="30">
        <v>0</v>
      </c>
      <c r="O174" s="169"/>
      <c r="P174" s="169"/>
      <c r="Q174" s="28"/>
      <c r="R174" s="29"/>
      <c r="S174" s="30">
        <v>0</v>
      </c>
      <c r="T174" s="169"/>
      <c r="U174" s="169"/>
      <c r="V174" s="28"/>
      <c r="W174" s="29"/>
      <c r="X174" s="30">
        <v>0</v>
      </c>
      <c r="Y174" s="169"/>
      <c r="Z174" s="169"/>
      <c r="AA174" s="28"/>
      <c r="AB174" s="29"/>
      <c r="AC174" s="30">
        <v>0</v>
      </c>
      <c r="AD174" s="178"/>
      <c r="AE174" s="179"/>
      <c r="AF174" s="206"/>
      <c r="AG174" s="29"/>
      <c r="AH174" s="30">
        <v>0</v>
      </c>
      <c r="AI174" s="178"/>
      <c r="AJ174" s="179"/>
      <c r="AK174" s="232">
        <f t="shared" si="11"/>
        <v>0</v>
      </c>
      <c r="AL174" s="227">
        <f t="shared" si="12"/>
        <v>0</v>
      </c>
      <c r="AM174" s="193">
        <v>174</v>
      </c>
    </row>
    <row r="175" spans="1:39" x14ac:dyDescent="0.25">
      <c r="A175" s="124" t="s">
        <v>72</v>
      </c>
      <c r="B175" s="26"/>
      <c r="C175" s="24"/>
      <c r="D175" s="21"/>
      <c r="E175" s="21"/>
      <c r="F175" s="150" t="s">
        <v>98</v>
      </c>
      <c r="G175" s="28"/>
      <c r="H175" s="29"/>
      <c r="I175" s="30">
        <v>0</v>
      </c>
      <c r="J175" s="169"/>
      <c r="K175" s="169"/>
      <c r="L175" s="28"/>
      <c r="M175" s="29"/>
      <c r="N175" s="30">
        <v>0</v>
      </c>
      <c r="O175" s="169"/>
      <c r="P175" s="169"/>
      <c r="Q175" s="28"/>
      <c r="R175" s="29"/>
      <c r="S175" s="30">
        <v>0</v>
      </c>
      <c r="T175" s="169"/>
      <c r="U175" s="169"/>
      <c r="V175" s="28"/>
      <c r="W175" s="29"/>
      <c r="X175" s="30">
        <v>0</v>
      </c>
      <c r="Y175" s="169"/>
      <c r="Z175" s="169"/>
      <c r="AA175" s="28"/>
      <c r="AB175" s="29"/>
      <c r="AC175" s="30">
        <v>0</v>
      </c>
      <c r="AD175" s="178"/>
      <c r="AE175" s="179"/>
      <c r="AF175" s="206"/>
      <c r="AG175" s="29"/>
      <c r="AH175" s="30">
        <v>0</v>
      </c>
      <c r="AI175" s="178"/>
      <c r="AJ175" s="179"/>
      <c r="AK175" s="232">
        <f t="shared" si="11"/>
        <v>0</v>
      </c>
      <c r="AL175" s="227">
        <f t="shared" si="12"/>
        <v>0</v>
      </c>
      <c r="AM175" s="193">
        <v>175</v>
      </c>
    </row>
    <row r="176" spans="1:39" x14ac:dyDescent="0.25">
      <c r="A176" s="124" t="s">
        <v>72</v>
      </c>
      <c r="B176" s="26"/>
      <c r="C176" s="24"/>
      <c r="D176" s="21"/>
      <c r="E176" s="21"/>
      <c r="F176" s="150" t="s">
        <v>98</v>
      </c>
      <c r="G176" s="28"/>
      <c r="H176" s="29"/>
      <c r="I176" s="30">
        <v>0</v>
      </c>
      <c r="J176" s="169"/>
      <c r="K176" s="169"/>
      <c r="L176" s="28"/>
      <c r="M176" s="29"/>
      <c r="N176" s="30">
        <v>0</v>
      </c>
      <c r="O176" s="169"/>
      <c r="P176" s="169"/>
      <c r="Q176" s="28"/>
      <c r="R176" s="29"/>
      <c r="S176" s="30">
        <v>0</v>
      </c>
      <c r="T176" s="169"/>
      <c r="U176" s="169"/>
      <c r="V176" s="28"/>
      <c r="W176" s="29"/>
      <c r="X176" s="30">
        <v>0</v>
      </c>
      <c r="Y176" s="169"/>
      <c r="Z176" s="169"/>
      <c r="AA176" s="28"/>
      <c r="AB176" s="29"/>
      <c r="AC176" s="30">
        <v>0</v>
      </c>
      <c r="AD176" s="178"/>
      <c r="AE176" s="179"/>
      <c r="AF176" s="206"/>
      <c r="AG176" s="29"/>
      <c r="AH176" s="30">
        <v>0</v>
      </c>
      <c r="AI176" s="178"/>
      <c r="AJ176" s="179"/>
      <c r="AK176" s="232">
        <f t="shared" si="11"/>
        <v>0</v>
      </c>
      <c r="AL176" s="227">
        <f t="shared" si="12"/>
        <v>0</v>
      </c>
      <c r="AM176" s="193">
        <v>176</v>
      </c>
    </row>
    <row r="177" spans="1:39" x14ac:dyDescent="0.25">
      <c r="A177" s="133"/>
      <c r="B177" s="59"/>
      <c r="C177" s="24"/>
      <c r="D177" s="21"/>
      <c r="E177" s="21"/>
      <c r="F177" s="150" t="s">
        <v>98</v>
      </c>
      <c r="G177" s="28"/>
      <c r="H177" s="29"/>
      <c r="I177" s="30">
        <v>0</v>
      </c>
      <c r="J177" s="169"/>
      <c r="K177" s="169"/>
      <c r="L177" s="28"/>
      <c r="M177" s="29"/>
      <c r="N177" s="30">
        <v>0</v>
      </c>
      <c r="O177" s="169"/>
      <c r="P177" s="169"/>
      <c r="Q177" s="28"/>
      <c r="R177" s="29"/>
      <c r="S177" s="30">
        <v>0</v>
      </c>
      <c r="T177" s="169"/>
      <c r="U177" s="169"/>
      <c r="V177" s="28"/>
      <c r="W177" s="29"/>
      <c r="X177" s="30">
        <v>0</v>
      </c>
      <c r="Y177" s="169"/>
      <c r="Z177" s="169"/>
      <c r="AA177" s="28"/>
      <c r="AB177" s="29"/>
      <c r="AC177" s="30">
        <v>0</v>
      </c>
      <c r="AD177" s="178"/>
      <c r="AE177" s="179"/>
      <c r="AF177" s="206"/>
      <c r="AG177" s="29"/>
      <c r="AH177" s="30">
        <v>0</v>
      </c>
      <c r="AI177" s="178"/>
      <c r="AJ177" s="179"/>
      <c r="AK177" s="232">
        <f t="shared" si="11"/>
        <v>0</v>
      </c>
      <c r="AL177" s="227">
        <f t="shared" si="12"/>
        <v>0</v>
      </c>
      <c r="AM177" s="193">
        <v>177</v>
      </c>
    </row>
    <row r="178" spans="1:39" x14ac:dyDescent="0.25">
      <c r="A178" s="123" t="s">
        <v>60</v>
      </c>
      <c r="B178" s="59"/>
      <c r="C178" s="24"/>
      <c r="D178" s="21"/>
      <c r="E178" s="21"/>
      <c r="F178" s="99" t="s">
        <v>98</v>
      </c>
      <c r="G178" s="25"/>
      <c r="H178" s="201">
        <f>SUM(H179:H192)</f>
        <v>0</v>
      </c>
      <c r="I178" s="202">
        <f>SUM(I179:I192)</f>
        <v>0</v>
      </c>
      <c r="J178" s="172"/>
      <c r="K178" s="172"/>
      <c r="L178" s="60"/>
      <c r="M178" s="201">
        <f>SUM(M179:M192)</f>
        <v>0</v>
      </c>
      <c r="N178" s="202">
        <f>SUM(N179:N192)</f>
        <v>0</v>
      </c>
      <c r="O178" s="172"/>
      <c r="P178" s="172"/>
      <c r="Q178" s="25">
        <v>0</v>
      </c>
      <c r="R178" s="201">
        <f>SUM(R179:R192)</f>
        <v>0</v>
      </c>
      <c r="S178" s="202">
        <f>SUM(S179:S192)</f>
        <v>0</v>
      </c>
      <c r="T178" s="172"/>
      <c r="U178" s="172"/>
      <c r="V178" s="25">
        <v>0</v>
      </c>
      <c r="W178" s="201">
        <f>SUM(W179:W192)</f>
        <v>0</v>
      </c>
      <c r="X178" s="202">
        <f>SUM(X179:X192)</f>
        <v>0</v>
      </c>
      <c r="Y178" s="172"/>
      <c r="Z178" s="172"/>
      <c r="AA178" s="25">
        <v>0</v>
      </c>
      <c r="AB178" s="201">
        <f>SUM(AB179:AB192)</f>
        <v>0</v>
      </c>
      <c r="AC178" s="202">
        <f>SUM(AC179:AC192)</f>
        <v>0</v>
      </c>
      <c r="AD178" s="184"/>
      <c r="AE178" s="183"/>
      <c r="AF178" s="25">
        <v>0</v>
      </c>
      <c r="AG178" s="201">
        <f>SUM(AG179:AG192)</f>
        <v>0</v>
      </c>
      <c r="AH178" s="202">
        <f>SUM(AH179:AH192)</f>
        <v>0</v>
      </c>
      <c r="AI178" s="178"/>
      <c r="AJ178" s="179"/>
      <c r="AK178" s="216">
        <f>SUM(AK179:AK192)</f>
        <v>0</v>
      </c>
      <c r="AL178" s="223">
        <f>SUM(AL179:AL192)</f>
        <v>0</v>
      </c>
      <c r="AM178" s="193">
        <v>178</v>
      </c>
    </row>
    <row r="179" spans="1:39" ht="15.75" thickBot="1" x14ac:dyDescent="0.3">
      <c r="A179" s="124" t="s">
        <v>72</v>
      </c>
      <c r="B179" s="26"/>
      <c r="C179" s="24"/>
      <c r="D179" s="21"/>
      <c r="E179" s="21"/>
      <c r="F179" s="150" t="s">
        <v>98</v>
      </c>
      <c r="G179" s="206"/>
      <c r="H179" s="29"/>
      <c r="I179" s="30">
        <v>0</v>
      </c>
      <c r="J179" s="169"/>
      <c r="K179" s="169"/>
      <c r="L179" s="206"/>
      <c r="M179" s="29"/>
      <c r="N179" s="30">
        <v>0</v>
      </c>
      <c r="O179" s="169"/>
      <c r="P179" s="169"/>
      <c r="Q179" s="206"/>
      <c r="R179" s="29"/>
      <c r="S179" s="30">
        <v>0</v>
      </c>
      <c r="T179" s="169"/>
      <c r="U179" s="169"/>
      <c r="V179" s="206"/>
      <c r="W179" s="29"/>
      <c r="X179" s="30">
        <v>0</v>
      </c>
      <c r="Y179" s="169"/>
      <c r="Z179" s="169"/>
      <c r="AA179" s="206"/>
      <c r="AB179" s="29"/>
      <c r="AC179" s="30">
        <v>0</v>
      </c>
      <c r="AD179" s="178"/>
      <c r="AE179" s="179"/>
      <c r="AF179" s="206"/>
      <c r="AG179" s="29"/>
      <c r="AH179" s="30">
        <v>0</v>
      </c>
      <c r="AI179" s="184"/>
      <c r="AJ179" s="183"/>
      <c r="AK179" s="210">
        <f>H179+R179+AB179+M179+W179+AG179</f>
        <v>0</v>
      </c>
      <c r="AL179" s="227">
        <f>I179+S179+AC179+N179+X179+AH179</f>
        <v>0</v>
      </c>
      <c r="AM179" s="193">
        <v>179</v>
      </c>
    </row>
    <row r="180" spans="1:39" ht="15.75" thickBot="1" x14ac:dyDescent="0.3">
      <c r="A180" s="124" t="s">
        <v>72</v>
      </c>
      <c r="B180" s="23"/>
      <c r="C180" s="23"/>
      <c r="D180" s="23"/>
      <c r="E180" s="23"/>
      <c r="F180" s="234" t="s">
        <v>98</v>
      </c>
      <c r="G180" s="233"/>
      <c r="H180" s="29"/>
      <c r="I180" s="231">
        <v>0</v>
      </c>
      <c r="J180" s="169"/>
      <c r="K180" s="169"/>
      <c r="L180" s="206"/>
      <c r="M180" s="29"/>
      <c r="N180" s="231">
        <v>0</v>
      </c>
      <c r="O180" s="169"/>
      <c r="P180" s="169"/>
      <c r="Q180" s="206"/>
      <c r="R180" s="29"/>
      <c r="S180" s="231">
        <v>0</v>
      </c>
      <c r="T180" s="169"/>
      <c r="U180" s="169"/>
      <c r="V180" s="206"/>
      <c r="W180" s="29"/>
      <c r="X180" s="231">
        <v>0</v>
      </c>
      <c r="Y180" s="169"/>
      <c r="Z180" s="169"/>
      <c r="AA180" s="206"/>
      <c r="AB180" s="29"/>
      <c r="AC180" s="231">
        <v>0</v>
      </c>
      <c r="AD180" s="184"/>
      <c r="AE180" s="185"/>
      <c r="AF180" s="206"/>
      <c r="AG180" s="29"/>
      <c r="AH180" s="229">
        <v>0</v>
      </c>
      <c r="AI180" s="184"/>
      <c r="AJ180" s="185"/>
      <c r="AK180" s="210">
        <f t="shared" ref="AK180:AK192" si="13">H180+R180+AB180+M180+W180+AG180</f>
        <v>0</v>
      </c>
      <c r="AL180" s="227">
        <f t="shared" ref="AL180:AL192" si="14">I180+S180+AC180+N180+X180+AH180</f>
        <v>0</v>
      </c>
      <c r="AM180" s="230">
        <v>180</v>
      </c>
    </row>
    <row r="181" spans="1:39" ht="15.75" thickBot="1" x14ac:dyDescent="0.3">
      <c r="A181" s="124" t="s">
        <v>72</v>
      </c>
      <c r="B181" s="23"/>
      <c r="C181" s="23"/>
      <c r="D181" s="23"/>
      <c r="E181" s="23"/>
      <c r="F181" s="234" t="s">
        <v>98</v>
      </c>
      <c r="G181" s="233"/>
      <c r="H181" s="29"/>
      <c r="I181" s="231">
        <v>0</v>
      </c>
      <c r="J181" s="169"/>
      <c r="K181" s="169"/>
      <c r="L181" s="206"/>
      <c r="M181" s="29"/>
      <c r="N181" s="231">
        <v>0</v>
      </c>
      <c r="O181" s="169"/>
      <c r="P181" s="169"/>
      <c r="Q181" s="206"/>
      <c r="R181" s="29"/>
      <c r="S181" s="231">
        <v>0</v>
      </c>
      <c r="T181" s="169"/>
      <c r="U181" s="169"/>
      <c r="V181" s="206"/>
      <c r="W181" s="29"/>
      <c r="X181" s="231">
        <v>0</v>
      </c>
      <c r="Y181" s="169"/>
      <c r="Z181" s="169"/>
      <c r="AA181" s="206"/>
      <c r="AB181" s="29"/>
      <c r="AC181" s="231">
        <v>0</v>
      </c>
      <c r="AD181" s="184"/>
      <c r="AE181" s="185"/>
      <c r="AF181" s="206"/>
      <c r="AG181" s="29"/>
      <c r="AH181" s="229">
        <v>0</v>
      </c>
      <c r="AI181" s="184"/>
      <c r="AJ181" s="185"/>
      <c r="AK181" s="210">
        <f t="shared" si="13"/>
        <v>0</v>
      </c>
      <c r="AL181" s="227">
        <f t="shared" si="14"/>
        <v>0</v>
      </c>
      <c r="AM181" s="230">
        <v>181</v>
      </c>
    </row>
    <row r="182" spans="1:39" ht="15.75" thickBot="1" x14ac:dyDescent="0.3">
      <c r="A182" s="124" t="s">
        <v>72</v>
      </c>
      <c r="B182" s="23"/>
      <c r="C182" s="23"/>
      <c r="D182" s="23"/>
      <c r="E182" s="23"/>
      <c r="F182" s="234" t="s">
        <v>98</v>
      </c>
      <c r="G182" s="233"/>
      <c r="H182" s="29"/>
      <c r="I182" s="231">
        <v>0</v>
      </c>
      <c r="J182" s="169"/>
      <c r="K182" s="169"/>
      <c r="L182" s="206"/>
      <c r="M182" s="29"/>
      <c r="N182" s="231">
        <v>0</v>
      </c>
      <c r="O182" s="169"/>
      <c r="P182" s="169"/>
      <c r="Q182" s="206"/>
      <c r="R182" s="29"/>
      <c r="S182" s="231">
        <v>0</v>
      </c>
      <c r="T182" s="169"/>
      <c r="U182" s="169"/>
      <c r="V182" s="206"/>
      <c r="W182" s="29"/>
      <c r="X182" s="231">
        <v>0</v>
      </c>
      <c r="Y182" s="169"/>
      <c r="Z182" s="169"/>
      <c r="AA182" s="206"/>
      <c r="AB182" s="29"/>
      <c r="AC182" s="231">
        <v>0</v>
      </c>
      <c r="AD182" s="184"/>
      <c r="AE182" s="185"/>
      <c r="AF182" s="206"/>
      <c r="AG182" s="29"/>
      <c r="AH182" s="229">
        <v>0</v>
      </c>
      <c r="AI182" s="184"/>
      <c r="AJ182" s="185"/>
      <c r="AK182" s="210">
        <f t="shared" si="13"/>
        <v>0</v>
      </c>
      <c r="AL182" s="227">
        <f t="shared" si="14"/>
        <v>0</v>
      </c>
      <c r="AM182" s="230">
        <v>182</v>
      </c>
    </row>
    <row r="183" spans="1:39" ht="15.75" thickBot="1" x14ac:dyDescent="0.3">
      <c r="A183" s="124" t="s">
        <v>72</v>
      </c>
      <c r="B183" s="23"/>
      <c r="C183" s="23"/>
      <c r="D183" s="23"/>
      <c r="E183" s="23"/>
      <c r="F183" s="234" t="s">
        <v>98</v>
      </c>
      <c r="G183" s="233"/>
      <c r="H183" s="29"/>
      <c r="I183" s="231">
        <v>0</v>
      </c>
      <c r="J183" s="169"/>
      <c r="K183" s="169"/>
      <c r="L183" s="206"/>
      <c r="M183" s="29"/>
      <c r="N183" s="231">
        <v>0</v>
      </c>
      <c r="O183" s="169"/>
      <c r="P183" s="169"/>
      <c r="Q183" s="206"/>
      <c r="R183" s="29"/>
      <c r="S183" s="231">
        <v>0</v>
      </c>
      <c r="T183" s="169"/>
      <c r="U183" s="169"/>
      <c r="V183" s="206"/>
      <c r="W183" s="29"/>
      <c r="X183" s="231">
        <v>0</v>
      </c>
      <c r="Y183" s="169"/>
      <c r="Z183" s="169"/>
      <c r="AA183" s="206"/>
      <c r="AB183" s="29"/>
      <c r="AC183" s="231">
        <v>0</v>
      </c>
      <c r="AD183" s="184"/>
      <c r="AE183" s="185"/>
      <c r="AF183" s="206"/>
      <c r="AG183" s="29"/>
      <c r="AH183" s="229">
        <v>0</v>
      </c>
      <c r="AI183" s="184"/>
      <c r="AJ183" s="185"/>
      <c r="AK183" s="210">
        <f t="shared" si="13"/>
        <v>0</v>
      </c>
      <c r="AL183" s="227">
        <f t="shared" si="14"/>
        <v>0</v>
      </c>
      <c r="AM183" s="230">
        <v>183</v>
      </c>
    </row>
    <row r="184" spans="1:39" ht="15.75" thickBot="1" x14ac:dyDescent="0.3">
      <c r="A184" s="124" t="s">
        <v>72</v>
      </c>
      <c r="B184" s="23"/>
      <c r="C184" s="23"/>
      <c r="D184" s="23"/>
      <c r="E184" s="23"/>
      <c r="F184" s="234" t="s">
        <v>98</v>
      </c>
      <c r="G184" s="233"/>
      <c r="H184" s="29"/>
      <c r="I184" s="231">
        <v>0</v>
      </c>
      <c r="J184" s="169"/>
      <c r="K184" s="169"/>
      <c r="L184" s="206"/>
      <c r="M184" s="29"/>
      <c r="N184" s="231">
        <v>0</v>
      </c>
      <c r="O184" s="169"/>
      <c r="P184" s="169"/>
      <c r="Q184" s="206"/>
      <c r="R184" s="29"/>
      <c r="S184" s="231">
        <v>0</v>
      </c>
      <c r="T184" s="169"/>
      <c r="U184" s="169"/>
      <c r="V184" s="206"/>
      <c r="W184" s="29"/>
      <c r="X184" s="231">
        <v>0</v>
      </c>
      <c r="Y184" s="169"/>
      <c r="Z184" s="169"/>
      <c r="AA184" s="206"/>
      <c r="AB184" s="29"/>
      <c r="AC184" s="231">
        <v>0</v>
      </c>
      <c r="AD184" s="184"/>
      <c r="AE184" s="185"/>
      <c r="AF184" s="206"/>
      <c r="AG184" s="29"/>
      <c r="AH184" s="229">
        <v>0</v>
      </c>
      <c r="AI184" s="184"/>
      <c r="AJ184" s="185"/>
      <c r="AK184" s="210">
        <f t="shared" si="13"/>
        <v>0</v>
      </c>
      <c r="AL184" s="227">
        <f t="shared" si="14"/>
        <v>0</v>
      </c>
      <c r="AM184" s="230">
        <v>184</v>
      </c>
    </row>
    <row r="185" spans="1:39" ht="15.75" thickBot="1" x14ac:dyDescent="0.3">
      <c r="A185" s="124" t="s">
        <v>72</v>
      </c>
      <c r="B185" s="23"/>
      <c r="C185" s="23"/>
      <c r="D185" s="23"/>
      <c r="E185" s="23"/>
      <c r="F185" s="234" t="s">
        <v>98</v>
      </c>
      <c r="G185" s="233"/>
      <c r="H185" s="29"/>
      <c r="I185" s="231">
        <v>0</v>
      </c>
      <c r="J185" s="169"/>
      <c r="K185" s="169"/>
      <c r="L185" s="206"/>
      <c r="M185" s="29"/>
      <c r="N185" s="231">
        <v>0</v>
      </c>
      <c r="O185" s="169"/>
      <c r="P185" s="169"/>
      <c r="Q185" s="206"/>
      <c r="R185" s="29"/>
      <c r="S185" s="231">
        <v>0</v>
      </c>
      <c r="T185" s="169"/>
      <c r="U185" s="169"/>
      <c r="V185" s="206"/>
      <c r="W185" s="29"/>
      <c r="X185" s="231">
        <v>0</v>
      </c>
      <c r="Y185" s="169"/>
      <c r="Z185" s="169"/>
      <c r="AA185" s="206"/>
      <c r="AB185" s="29"/>
      <c r="AC185" s="231">
        <v>0</v>
      </c>
      <c r="AD185" s="184"/>
      <c r="AE185" s="185"/>
      <c r="AF185" s="206"/>
      <c r="AG185" s="29"/>
      <c r="AH185" s="229">
        <v>0</v>
      </c>
      <c r="AI185" s="184"/>
      <c r="AJ185" s="185"/>
      <c r="AK185" s="210">
        <f t="shared" si="13"/>
        <v>0</v>
      </c>
      <c r="AL185" s="227">
        <f t="shared" si="14"/>
        <v>0</v>
      </c>
      <c r="AM185" s="230">
        <v>185</v>
      </c>
    </row>
    <row r="186" spans="1:39" ht="15.75" thickBot="1" x14ac:dyDescent="0.3">
      <c r="A186" s="124" t="s">
        <v>72</v>
      </c>
      <c r="B186" s="23"/>
      <c r="C186" s="23"/>
      <c r="D186" s="23"/>
      <c r="E186" s="23"/>
      <c r="F186" s="234" t="s">
        <v>98</v>
      </c>
      <c r="G186" s="233"/>
      <c r="H186" s="29"/>
      <c r="I186" s="231">
        <v>0</v>
      </c>
      <c r="J186" s="169"/>
      <c r="K186" s="169"/>
      <c r="L186" s="206"/>
      <c r="M186" s="29"/>
      <c r="N186" s="231">
        <v>0</v>
      </c>
      <c r="O186" s="169"/>
      <c r="P186" s="169"/>
      <c r="Q186" s="206"/>
      <c r="R186" s="29"/>
      <c r="S186" s="231">
        <v>0</v>
      </c>
      <c r="T186" s="169"/>
      <c r="U186" s="169"/>
      <c r="V186" s="206"/>
      <c r="W186" s="29"/>
      <c r="X186" s="231">
        <v>0</v>
      </c>
      <c r="Y186" s="169"/>
      <c r="Z186" s="169"/>
      <c r="AA186" s="206"/>
      <c r="AB186" s="29"/>
      <c r="AC186" s="231">
        <v>0</v>
      </c>
      <c r="AD186" s="184"/>
      <c r="AE186" s="185"/>
      <c r="AF186" s="206"/>
      <c r="AG186" s="29"/>
      <c r="AH186" s="229">
        <v>0</v>
      </c>
      <c r="AI186" s="184"/>
      <c r="AJ186" s="185"/>
      <c r="AK186" s="210">
        <f t="shared" si="13"/>
        <v>0</v>
      </c>
      <c r="AL186" s="227">
        <f t="shared" si="14"/>
        <v>0</v>
      </c>
      <c r="AM186" s="230">
        <v>186</v>
      </c>
    </row>
    <row r="187" spans="1:39" x14ac:dyDescent="0.25">
      <c r="A187" s="124" t="s">
        <v>72</v>
      </c>
      <c r="B187" s="26"/>
      <c r="C187" s="24"/>
      <c r="D187" s="21"/>
      <c r="E187" s="21"/>
      <c r="F187" s="150" t="s">
        <v>98</v>
      </c>
      <c r="G187" s="28"/>
      <c r="H187" s="29"/>
      <c r="I187" s="30">
        <v>0</v>
      </c>
      <c r="J187" s="169"/>
      <c r="K187" s="169"/>
      <c r="L187" s="206"/>
      <c r="M187" s="29"/>
      <c r="N187" s="30">
        <v>0</v>
      </c>
      <c r="O187" s="169"/>
      <c r="P187" s="169"/>
      <c r="Q187" s="206"/>
      <c r="R187" s="29"/>
      <c r="S187" s="30">
        <v>0</v>
      </c>
      <c r="T187" s="169"/>
      <c r="U187" s="169"/>
      <c r="V187" s="28"/>
      <c r="W187" s="29"/>
      <c r="X187" s="30">
        <v>0</v>
      </c>
      <c r="Y187" s="169"/>
      <c r="Z187" s="169"/>
      <c r="AA187" s="206"/>
      <c r="AB187" s="29"/>
      <c r="AC187" s="30">
        <v>0</v>
      </c>
      <c r="AD187" s="178"/>
      <c r="AE187" s="179"/>
      <c r="AF187" s="206"/>
      <c r="AG187" s="29"/>
      <c r="AH187" s="30">
        <v>0</v>
      </c>
      <c r="AI187" s="178"/>
      <c r="AJ187" s="179"/>
      <c r="AK187" s="210">
        <f t="shared" si="13"/>
        <v>0</v>
      </c>
      <c r="AL187" s="227">
        <f t="shared" si="14"/>
        <v>0</v>
      </c>
      <c r="AM187" s="193">
        <v>187</v>
      </c>
    </row>
    <row r="188" spans="1:39" x14ac:dyDescent="0.25">
      <c r="A188" s="124" t="s">
        <v>72</v>
      </c>
      <c r="B188" s="26"/>
      <c r="C188" s="24"/>
      <c r="D188" s="21"/>
      <c r="E188" s="21"/>
      <c r="F188" s="150" t="s">
        <v>98</v>
      </c>
      <c r="G188" s="28"/>
      <c r="H188" s="29"/>
      <c r="I188" s="30">
        <v>0</v>
      </c>
      <c r="J188" s="169"/>
      <c r="K188" s="169"/>
      <c r="L188" s="206"/>
      <c r="M188" s="29"/>
      <c r="N188" s="30">
        <v>0</v>
      </c>
      <c r="O188" s="169"/>
      <c r="P188" s="169"/>
      <c r="Q188" s="28"/>
      <c r="R188" s="29"/>
      <c r="S188" s="30">
        <v>0</v>
      </c>
      <c r="T188" s="169"/>
      <c r="U188" s="169"/>
      <c r="V188" s="28"/>
      <c r="W188" s="29"/>
      <c r="X188" s="30">
        <v>0</v>
      </c>
      <c r="Y188" s="169"/>
      <c r="Z188" s="169"/>
      <c r="AA188" s="206"/>
      <c r="AB188" s="29"/>
      <c r="AC188" s="30">
        <v>0</v>
      </c>
      <c r="AD188" s="178"/>
      <c r="AE188" s="179"/>
      <c r="AF188" s="206"/>
      <c r="AG188" s="29"/>
      <c r="AH188" s="30">
        <v>0</v>
      </c>
      <c r="AI188" s="178"/>
      <c r="AJ188" s="179"/>
      <c r="AK188" s="210">
        <f t="shared" si="13"/>
        <v>0</v>
      </c>
      <c r="AL188" s="227">
        <f t="shared" si="14"/>
        <v>0</v>
      </c>
      <c r="AM188" s="193">
        <v>188</v>
      </c>
    </row>
    <row r="189" spans="1:39" x14ac:dyDescent="0.25">
      <c r="A189" s="124" t="s">
        <v>72</v>
      </c>
      <c r="B189" s="26"/>
      <c r="C189" s="24"/>
      <c r="D189" s="21"/>
      <c r="E189" s="21"/>
      <c r="F189" s="150" t="s">
        <v>98</v>
      </c>
      <c r="G189" s="28"/>
      <c r="H189" s="29"/>
      <c r="I189" s="30">
        <v>0</v>
      </c>
      <c r="J189" s="169"/>
      <c r="K189" s="169"/>
      <c r="L189" s="206"/>
      <c r="M189" s="29"/>
      <c r="N189" s="30">
        <v>0</v>
      </c>
      <c r="O189" s="169"/>
      <c r="P189" s="169"/>
      <c r="Q189" s="28"/>
      <c r="R189" s="29"/>
      <c r="S189" s="30">
        <v>0</v>
      </c>
      <c r="T189" s="169"/>
      <c r="U189" s="169"/>
      <c r="V189" s="28"/>
      <c r="W189" s="29"/>
      <c r="X189" s="30">
        <v>0</v>
      </c>
      <c r="Y189" s="169"/>
      <c r="Z189" s="169"/>
      <c r="AA189" s="206"/>
      <c r="AB189" s="29"/>
      <c r="AC189" s="30">
        <v>0</v>
      </c>
      <c r="AD189" s="178"/>
      <c r="AE189" s="179"/>
      <c r="AF189" s="206"/>
      <c r="AG189" s="29"/>
      <c r="AH189" s="30">
        <v>0</v>
      </c>
      <c r="AI189" s="178"/>
      <c r="AJ189" s="179"/>
      <c r="AK189" s="210">
        <f t="shared" si="13"/>
        <v>0</v>
      </c>
      <c r="AL189" s="227">
        <f t="shared" si="14"/>
        <v>0</v>
      </c>
      <c r="AM189" s="193">
        <v>189</v>
      </c>
    </row>
    <row r="190" spans="1:39" x14ac:dyDescent="0.25">
      <c r="A190" s="124" t="s">
        <v>72</v>
      </c>
      <c r="B190" s="26"/>
      <c r="C190" s="24"/>
      <c r="D190" s="21"/>
      <c r="E190" s="21"/>
      <c r="F190" s="150" t="s">
        <v>98</v>
      </c>
      <c r="G190" s="28"/>
      <c r="H190" s="29"/>
      <c r="I190" s="30">
        <v>0</v>
      </c>
      <c r="J190" s="169"/>
      <c r="K190" s="169"/>
      <c r="L190" s="206"/>
      <c r="M190" s="29"/>
      <c r="N190" s="30">
        <v>0</v>
      </c>
      <c r="O190" s="169"/>
      <c r="P190" s="169"/>
      <c r="Q190" s="28"/>
      <c r="R190" s="29"/>
      <c r="S190" s="30">
        <v>0</v>
      </c>
      <c r="T190" s="169"/>
      <c r="U190" s="169"/>
      <c r="V190" s="28"/>
      <c r="W190" s="29"/>
      <c r="X190" s="30">
        <v>0</v>
      </c>
      <c r="Y190" s="169"/>
      <c r="Z190" s="169"/>
      <c r="AA190" s="206"/>
      <c r="AB190" s="29"/>
      <c r="AC190" s="30">
        <v>0</v>
      </c>
      <c r="AD190" s="178"/>
      <c r="AE190" s="179"/>
      <c r="AF190" s="206"/>
      <c r="AG190" s="29"/>
      <c r="AH190" s="30">
        <v>0</v>
      </c>
      <c r="AI190" s="178"/>
      <c r="AJ190" s="179"/>
      <c r="AK190" s="210">
        <f t="shared" si="13"/>
        <v>0</v>
      </c>
      <c r="AL190" s="227">
        <f t="shared" si="14"/>
        <v>0</v>
      </c>
      <c r="AM190" s="193">
        <v>190</v>
      </c>
    </row>
    <row r="191" spans="1:39" x14ac:dyDescent="0.25">
      <c r="A191" s="124" t="s">
        <v>72</v>
      </c>
      <c r="B191" s="26"/>
      <c r="C191" s="24"/>
      <c r="D191" s="21"/>
      <c r="E191" s="21"/>
      <c r="F191" s="150" t="s">
        <v>98</v>
      </c>
      <c r="G191" s="28"/>
      <c r="H191" s="29"/>
      <c r="I191" s="30">
        <v>0</v>
      </c>
      <c r="J191" s="169"/>
      <c r="K191" s="169"/>
      <c r="L191" s="206"/>
      <c r="M191" s="29"/>
      <c r="N191" s="30">
        <v>0</v>
      </c>
      <c r="O191" s="169"/>
      <c r="P191" s="169"/>
      <c r="Q191" s="28"/>
      <c r="R191" s="29"/>
      <c r="S191" s="30">
        <v>0</v>
      </c>
      <c r="T191" s="169"/>
      <c r="U191" s="169"/>
      <c r="V191" s="28"/>
      <c r="W191" s="29"/>
      <c r="X191" s="30">
        <v>0</v>
      </c>
      <c r="Y191" s="169"/>
      <c r="Z191" s="169"/>
      <c r="AA191" s="206"/>
      <c r="AB191" s="29"/>
      <c r="AC191" s="30">
        <v>0</v>
      </c>
      <c r="AD191" s="178"/>
      <c r="AE191" s="179"/>
      <c r="AF191" s="206"/>
      <c r="AG191" s="29"/>
      <c r="AH191" s="30">
        <v>0</v>
      </c>
      <c r="AI191" s="178"/>
      <c r="AJ191" s="179"/>
      <c r="AK191" s="210">
        <f t="shared" si="13"/>
        <v>0</v>
      </c>
      <c r="AL191" s="227">
        <f t="shared" si="14"/>
        <v>0</v>
      </c>
      <c r="AM191" s="193">
        <v>191</v>
      </c>
    </row>
    <row r="192" spans="1:39" x14ac:dyDescent="0.25">
      <c r="A192" s="133"/>
      <c r="B192" s="59"/>
      <c r="C192" s="24"/>
      <c r="D192" s="21"/>
      <c r="E192" s="21"/>
      <c r="F192" s="150" t="s">
        <v>98</v>
      </c>
      <c r="G192" s="28"/>
      <c r="H192" s="29"/>
      <c r="I192" s="30">
        <v>0</v>
      </c>
      <c r="J192" s="169"/>
      <c r="K192" s="169"/>
      <c r="L192" s="206"/>
      <c r="M192" s="29"/>
      <c r="N192" s="30">
        <v>0</v>
      </c>
      <c r="O192" s="169"/>
      <c r="P192" s="169"/>
      <c r="Q192" s="28"/>
      <c r="R192" s="29"/>
      <c r="S192" s="30">
        <v>0</v>
      </c>
      <c r="T192" s="169"/>
      <c r="U192" s="169"/>
      <c r="V192" s="28"/>
      <c r="W192" s="29"/>
      <c r="X192" s="30">
        <v>0</v>
      </c>
      <c r="Y192" s="169"/>
      <c r="Z192" s="169"/>
      <c r="AA192" s="206"/>
      <c r="AB192" s="29"/>
      <c r="AC192" s="30">
        <v>0</v>
      </c>
      <c r="AD192" s="178"/>
      <c r="AE192" s="179"/>
      <c r="AF192" s="206"/>
      <c r="AG192" s="29"/>
      <c r="AH192" s="30">
        <v>0</v>
      </c>
      <c r="AI192" s="178"/>
      <c r="AJ192" s="179"/>
      <c r="AK192" s="210">
        <f t="shared" si="13"/>
        <v>0</v>
      </c>
      <c r="AL192" s="227">
        <f t="shared" si="14"/>
        <v>0</v>
      </c>
      <c r="AM192" s="193">
        <v>192</v>
      </c>
    </row>
    <row r="193" spans="1:39" x14ac:dyDescent="0.25">
      <c r="A193" s="123" t="s">
        <v>60</v>
      </c>
      <c r="B193" s="59"/>
      <c r="C193" s="24"/>
      <c r="D193" s="21"/>
      <c r="E193" s="21"/>
      <c r="F193" s="99" t="s">
        <v>98</v>
      </c>
      <c r="G193" s="25"/>
      <c r="H193" s="201">
        <f>SUM(H194:H205)</f>
        <v>0</v>
      </c>
      <c r="I193" s="202">
        <f>SUM(I194:I205)</f>
        <v>0</v>
      </c>
      <c r="J193" s="172"/>
      <c r="K193" s="172"/>
      <c r="L193" s="60"/>
      <c r="M193" s="201">
        <f>SUM(M194:M205)</f>
        <v>0</v>
      </c>
      <c r="N193" s="202">
        <f>SUM(N194:N205)</f>
        <v>0</v>
      </c>
      <c r="O193" s="172"/>
      <c r="P193" s="172"/>
      <c r="Q193" s="25">
        <v>0</v>
      </c>
      <c r="R193" s="201">
        <f>SUM(R194:R205)</f>
        <v>0</v>
      </c>
      <c r="S193" s="202">
        <f>SUM(S194:S205)</f>
        <v>0</v>
      </c>
      <c r="T193" s="172"/>
      <c r="U193" s="172"/>
      <c r="V193" s="25">
        <v>0</v>
      </c>
      <c r="W193" s="201">
        <f>SUM(W194:W205)</f>
        <v>0</v>
      </c>
      <c r="X193" s="202">
        <f>SUM(X194:X205)</f>
        <v>0</v>
      </c>
      <c r="Y193" s="172"/>
      <c r="Z193" s="172"/>
      <c r="AA193" s="25">
        <v>0</v>
      </c>
      <c r="AB193" s="201">
        <f>SUM(AB194:AB205)</f>
        <v>0</v>
      </c>
      <c r="AC193" s="202">
        <f>SUM(AC194:AC205)</f>
        <v>0</v>
      </c>
      <c r="AD193" s="184"/>
      <c r="AE193" s="183"/>
      <c r="AF193" s="25">
        <v>0</v>
      </c>
      <c r="AG193" s="201">
        <f>SUM(AG194:AG205)</f>
        <v>0</v>
      </c>
      <c r="AH193" s="202">
        <f>SUM(AH194:AH205)</f>
        <v>0</v>
      </c>
      <c r="AI193" s="178"/>
      <c r="AJ193" s="179"/>
      <c r="AK193" s="216">
        <f>SUM(AK194:AK205)</f>
        <v>0</v>
      </c>
      <c r="AL193" s="223">
        <f>SUM(AL194:AL205)</f>
        <v>0</v>
      </c>
      <c r="AM193" s="193">
        <v>193</v>
      </c>
    </row>
    <row r="194" spans="1:39" x14ac:dyDescent="0.25">
      <c r="A194" s="124" t="s">
        <v>72</v>
      </c>
      <c r="B194" s="26"/>
      <c r="C194" s="24"/>
      <c r="D194" s="21"/>
      <c r="E194" s="21"/>
      <c r="F194" s="150" t="s">
        <v>98</v>
      </c>
      <c r="G194" s="206"/>
      <c r="H194" s="29"/>
      <c r="I194" s="30">
        <v>0</v>
      </c>
      <c r="J194" s="169"/>
      <c r="K194" s="169"/>
      <c r="L194" s="28"/>
      <c r="M194" s="29"/>
      <c r="N194" s="30">
        <v>0</v>
      </c>
      <c r="O194" s="169"/>
      <c r="P194" s="169"/>
      <c r="Q194" s="28"/>
      <c r="R194" s="29"/>
      <c r="S194" s="30">
        <v>0</v>
      </c>
      <c r="T194" s="169"/>
      <c r="U194" s="169"/>
      <c r="V194" s="28"/>
      <c r="W194" s="29"/>
      <c r="X194" s="30">
        <v>0</v>
      </c>
      <c r="Y194" s="169"/>
      <c r="Z194" s="169"/>
      <c r="AA194" s="28"/>
      <c r="AB194" s="29"/>
      <c r="AC194" s="30">
        <v>0</v>
      </c>
      <c r="AD194" s="178"/>
      <c r="AE194" s="179"/>
      <c r="AF194" s="28"/>
      <c r="AG194" s="29"/>
      <c r="AH194" s="30">
        <v>0</v>
      </c>
      <c r="AI194" s="184"/>
      <c r="AJ194" s="183"/>
      <c r="AK194" s="210">
        <f>H194+R194+AB194+M194+W194+AG194</f>
        <v>0</v>
      </c>
      <c r="AL194" s="227">
        <f>I194+S194+AC194+N194+X194+AH194</f>
        <v>0</v>
      </c>
      <c r="AM194" s="193">
        <v>194</v>
      </c>
    </row>
    <row r="195" spans="1:39" x14ac:dyDescent="0.25">
      <c r="A195" s="124" t="s">
        <v>72</v>
      </c>
      <c r="B195" s="26"/>
      <c r="C195" s="24"/>
      <c r="D195" s="21"/>
      <c r="E195" s="21"/>
      <c r="F195" s="150" t="s">
        <v>98</v>
      </c>
      <c r="G195" s="28"/>
      <c r="H195" s="29"/>
      <c r="I195" s="30">
        <v>0</v>
      </c>
      <c r="J195" s="169"/>
      <c r="K195" s="169"/>
      <c r="L195" s="28"/>
      <c r="M195" s="29"/>
      <c r="N195" s="30">
        <v>0</v>
      </c>
      <c r="O195" s="169"/>
      <c r="P195" s="169"/>
      <c r="Q195" s="28"/>
      <c r="R195" s="29"/>
      <c r="S195" s="30">
        <v>0</v>
      </c>
      <c r="T195" s="169"/>
      <c r="U195" s="169"/>
      <c r="V195" s="28"/>
      <c r="W195" s="29"/>
      <c r="X195" s="30">
        <v>0</v>
      </c>
      <c r="Y195" s="169"/>
      <c r="Z195" s="169"/>
      <c r="AA195" s="28"/>
      <c r="AB195" s="29"/>
      <c r="AC195" s="30">
        <v>0</v>
      </c>
      <c r="AD195" s="178"/>
      <c r="AE195" s="179"/>
      <c r="AF195" s="28"/>
      <c r="AG195" s="29"/>
      <c r="AH195" s="30">
        <v>0</v>
      </c>
      <c r="AI195" s="178"/>
      <c r="AJ195" s="179"/>
      <c r="AK195" s="210">
        <f t="shared" ref="AK195:AK205" si="15">H195+R195+AB195+M195+W195+AG195</f>
        <v>0</v>
      </c>
      <c r="AL195" s="227">
        <f t="shared" ref="AL195:AL205" si="16">I195+S195+AC195+N195+X195+AH195</f>
        <v>0</v>
      </c>
      <c r="AM195" s="193">
        <v>195</v>
      </c>
    </row>
    <row r="196" spans="1:39" x14ac:dyDescent="0.25">
      <c r="A196" s="124" t="s">
        <v>72</v>
      </c>
      <c r="B196" s="26"/>
      <c r="C196" s="24"/>
      <c r="D196" s="21"/>
      <c r="E196" s="21"/>
      <c r="F196" s="150" t="s">
        <v>98</v>
      </c>
      <c r="G196" s="28"/>
      <c r="H196" s="29"/>
      <c r="I196" s="30">
        <v>0</v>
      </c>
      <c r="J196" s="169"/>
      <c r="K196" s="169"/>
      <c r="L196" s="28"/>
      <c r="M196" s="29"/>
      <c r="N196" s="30">
        <v>0</v>
      </c>
      <c r="O196" s="169"/>
      <c r="P196" s="169"/>
      <c r="Q196" s="28"/>
      <c r="R196" s="29"/>
      <c r="S196" s="30">
        <v>0</v>
      </c>
      <c r="T196" s="169"/>
      <c r="U196" s="169"/>
      <c r="V196" s="28"/>
      <c r="W196" s="29"/>
      <c r="X196" s="30">
        <v>0</v>
      </c>
      <c r="Y196" s="169"/>
      <c r="Z196" s="169"/>
      <c r="AA196" s="28"/>
      <c r="AB196" s="29"/>
      <c r="AC196" s="30">
        <v>0</v>
      </c>
      <c r="AD196" s="178"/>
      <c r="AE196" s="179"/>
      <c r="AF196" s="28"/>
      <c r="AG196" s="29"/>
      <c r="AH196" s="30">
        <v>0</v>
      </c>
      <c r="AI196" s="178"/>
      <c r="AJ196" s="179"/>
      <c r="AK196" s="210">
        <f t="shared" si="15"/>
        <v>0</v>
      </c>
      <c r="AL196" s="227">
        <f t="shared" si="16"/>
        <v>0</v>
      </c>
      <c r="AM196" s="193">
        <v>196</v>
      </c>
    </row>
    <row r="197" spans="1:39" x14ac:dyDescent="0.25">
      <c r="A197" s="124" t="s">
        <v>72</v>
      </c>
      <c r="B197" s="26"/>
      <c r="C197" s="24"/>
      <c r="D197" s="21"/>
      <c r="E197" s="21"/>
      <c r="F197" s="150" t="s">
        <v>98</v>
      </c>
      <c r="G197" s="28"/>
      <c r="H197" s="29"/>
      <c r="I197" s="30">
        <v>0</v>
      </c>
      <c r="J197" s="169"/>
      <c r="K197" s="169"/>
      <c r="L197" s="28"/>
      <c r="M197" s="29"/>
      <c r="N197" s="30">
        <v>0</v>
      </c>
      <c r="O197" s="169"/>
      <c r="P197" s="169"/>
      <c r="Q197" s="28"/>
      <c r="R197" s="29"/>
      <c r="S197" s="30">
        <v>0</v>
      </c>
      <c r="T197" s="169"/>
      <c r="U197" s="169"/>
      <c r="V197" s="28"/>
      <c r="W197" s="29"/>
      <c r="X197" s="30">
        <v>0</v>
      </c>
      <c r="Y197" s="169"/>
      <c r="Z197" s="169"/>
      <c r="AA197" s="28"/>
      <c r="AB197" s="29"/>
      <c r="AC197" s="30">
        <v>0</v>
      </c>
      <c r="AD197" s="178"/>
      <c r="AE197" s="179"/>
      <c r="AF197" s="28"/>
      <c r="AG197" s="29"/>
      <c r="AH197" s="30">
        <v>0</v>
      </c>
      <c r="AI197" s="178"/>
      <c r="AJ197" s="179"/>
      <c r="AK197" s="210">
        <f t="shared" si="15"/>
        <v>0</v>
      </c>
      <c r="AL197" s="227">
        <f t="shared" si="16"/>
        <v>0</v>
      </c>
      <c r="AM197" s="193">
        <v>197</v>
      </c>
    </row>
    <row r="198" spans="1:39" x14ac:dyDescent="0.25">
      <c r="A198" s="124" t="s">
        <v>72</v>
      </c>
      <c r="B198" s="26"/>
      <c r="C198" s="24"/>
      <c r="D198" s="21"/>
      <c r="E198" s="21"/>
      <c r="F198" s="150" t="s">
        <v>98</v>
      </c>
      <c r="G198" s="28"/>
      <c r="H198" s="29"/>
      <c r="I198" s="30">
        <v>0</v>
      </c>
      <c r="J198" s="169"/>
      <c r="K198" s="169"/>
      <c r="L198" s="28"/>
      <c r="M198" s="29"/>
      <c r="N198" s="30">
        <v>0</v>
      </c>
      <c r="O198" s="169"/>
      <c r="P198" s="169"/>
      <c r="Q198" s="28"/>
      <c r="R198" s="29"/>
      <c r="S198" s="30">
        <v>0</v>
      </c>
      <c r="T198" s="169"/>
      <c r="U198" s="169"/>
      <c r="V198" s="28"/>
      <c r="W198" s="29"/>
      <c r="X198" s="30">
        <v>0</v>
      </c>
      <c r="Y198" s="169"/>
      <c r="Z198" s="169"/>
      <c r="AA198" s="28"/>
      <c r="AB198" s="29"/>
      <c r="AC198" s="30">
        <v>0</v>
      </c>
      <c r="AD198" s="178"/>
      <c r="AE198" s="179"/>
      <c r="AF198" s="28"/>
      <c r="AG198" s="29"/>
      <c r="AH198" s="30">
        <v>0</v>
      </c>
      <c r="AI198" s="178"/>
      <c r="AJ198" s="179"/>
      <c r="AK198" s="210">
        <f t="shared" si="15"/>
        <v>0</v>
      </c>
      <c r="AL198" s="227">
        <f t="shared" si="16"/>
        <v>0</v>
      </c>
      <c r="AM198" s="193">
        <v>198</v>
      </c>
    </row>
    <row r="199" spans="1:39" x14ac:dyDescent="0.25">
      <c r="A199" s="124" t="s">
        <v>72</v>
      </c>
      <c r="B199" s="26"/>
      <c r="C199" s="24"/>
      <c r="D199" s="21"/>
      <c r="E199" s="21"/>
      <c r="F199" s="150" t="s">
        <v>98</v>
      </c>
      <c r="G199" s="28"/>
      <c r="H199" s="29"/>
      <c r="I199" s="30">
        <v>0</v>
      </c>
      <c r="J199" s="169"/>
      <c r="K199" s="169"/>
      <c r="L199" s="28"/>
      <c r="M199" s="29"/>
      <c r="N199" s="30">
        <v>0</v>
      </c>
      <c r="O199" s="169"/>
      <c r="P199" s="169"/>
      <c r="Q199" s="28"/>
      <c r="R199" s="29"/>
      <c r="S199" s="30">
        <v>0</v>
      </c>
      <c r="T199" s="169"/>
      <c r="U199" s="169"/>
      <c r="V199" s="28"/>
      <c r="W199" s="29"/>
      <c r="X199" s="30">
        <v>0</v>
      </c>
      <c r="Y199" s="169"/>
      <c r="Z199" s="169"/>
      <c r="AA199" s="28"/>
      <c r="AB199" s="29"/>
      <c r="AC199" s="30">
        <v>0</v>
      </c>
      <c r="AD199" s="178"/>
      <c r="AE199" s="179"/>
      <c r="AF199" s="28"/>
      <c r="AG199" s="29"/>
      <c r="AH199" s="30">
        <v>0</v>
      </c>
      <c r="AI199" s="178"/>
      <c r="AJ199" s="179"/>
      <c r="AK199" s="210">
        <f t="shared" si="15"/>
        <v>0</v>
      </c>
      <c r="AL199" s="227">
        <f t="shared" si="16"/>
        <v>0</v>
      </c>
      <c r="AM199" s="193">
        <v>199</v>
      </c>
    </row>
    <row r="200" spans="1:39" x14ac:dyDescent="0.25">
      <c r="A200" s="124" t="s">
        <v>72</v>
      </c>
      <c r="B200" s="26"/>
      <c r="C200" s="24"/>
      <c r="D200" s="21"/>
      <c r="E200" s="21"/>
      <c r="F200" s="150" t="s">
        <v>98</v>
      </c>
      <c r="G200" s="28"/>
      <c r="H200" s="29"/>
      <c r="I200" s="30">
        <v>0</v>
      </c>
      <c r="J200" s="169"/>
      <c r="K200" s="169"/>
      <c r="L200" s="28"/>
      <c r="M200" s="29"/>
      <c r="N200" s="30">
        <v>0</v>
      </c>
      <c r="O200" s="169"/>
      <c r="P200" s="169"/>
      <c r="Q200" s="28"/>
      <c r="R200" s="29"/>
      <c r="S200" s="30">
        <v>0</v>
      </c>
      <c r="T200" s="169"/>
      <c r="U200" s="169"/>
      <c r="V200" s="28"/>
      <c r="W200" s="29"/>
      <c r="X200" s="30">
        <v>0</v>
      </c>
      <c r="Y200" s="169"/>
      <c r="Z200" s="169"/>
      <c r="AA200" s="28"/>
      <c r="AB200" s="29"/>
      <c r="AC200" s="30">
        <v>0</v>
      </c>
      <c r="AD200" s="178"/>
      <c r="AE200" s="179"/>
      <c r="AF200" s="28"/>
      <c r="AG200" s="29"/>
      <c r="AH200" s="30">
        <v>0</v>
      </c>
      <c r="AI200" s="178"/>
      <c r="AJ200" s="179"/>
      <c r="AK200" s="210">
        <f t="shared" si="15"/>
        <v>0</v>
      </c>
      <c r="AL200" s="227">
        <f t="shared" si="16"/>
        <v>0</v>
      </c>
      <c r="AM200" s="193">
        <v>200</v>
      </c>
    </row>
    <row r="201" spans="1:39" x14ac:dyDescent="0.25">
      <c r="A201" s="124" t="s">
        <v>72</v>
      </c>
      <c r="B201" s="26"/>
      <c r="C201" s="24"/>
      <c r="D201" s="21"/>
      <c r="E201" s="21"/>
      <c r="F201" s="150" t="s">
        <v>98</v>
      </c>
      <c r="G201" s="28"/>
      <c r="H201" s="29"/>
      <c r="I201" s="30">
        <v>0</v>
      </c>
      <c r="J201" s="169"/>
      <c r="K201" s="169"/>
      <c r="L201" s="28"/>
      <c r="M201" s="29"/>
      <c r="N201" s="30">
        <v>0</v>
      </c>
      <c r="O201" s="169"/>
      <c r="P201" s="169"/>
      <c r="Q201" s="28"/>
      <c r="R201" s="29"/>
      <c r="S201" s="30">
        <v>0</v>
      </c>
      <c r="T201" s="169"/>
      <c r="U201" s="169"/>
      <c r="V201" s="28"/>
      <c r="W201" s="29"/>
      <c r="X201" s="30">
        <v>0</v>
      </c>
      <c r="Y201" s="169"/>
      <c r="Z201" s="169"/>
      <c r="AA201" s="28"/>
      <c r="AB201" s="29"/>
      <c r="AC201" s="30">
        <v>0</v>
      </c>
      <c r="AD201" s="178"/>
      <c r="AE201" s="179"/>
      <c r="AF201" s="28"/>
      <c r="AG201" s="29"/>
      <c r="AH201" s="30">
        <v>0</v>
      </c>
      <c r="AI201" s="178"/>
      <c r="AJ201" s="179"/>
      <c r="AK201" s="210">
        <f t="shared" si="15"/>
        <v>0</v>
      </c>
      <c r="AL201" s="227">
        <f t="shared" si="16"/>
        <v>0</v>
      </c>
      <c r="AM201" s="193">
        <v>201</v>
      </c>
    </row>
    <row r="202" spans="1:39" x14ac:dyDescent="0.25">
      <c r="A202" s="124" t="s">
        <v>72</v>
      </c>
      <c r="B202" s="26"/>
      <c r="C202" s="24"/>
      <c r="D202" s="21"/>
      <c r="E202" s="21"/>
      <c r="F202" s="150" t="s">
        <v>98</v>
      </c>
      <c r="G202" s="28"/>
      <c r="H202" s="29"/>
      <c r="I202" s="30">
        <v>0</v>
      </c>
      <c r="J202" s="169"/>
      <c r="K202" s="169"/>
      <c r="L202" s="28"/>
      <c r="M202" s="29"/>
      <c r="N202" s="30">
        <v>0</v>
      </c>
      <c r="O202" s="169"/>
      <c r="P202" s="169"/>
      <c r="Q202" s="28"/>
      <c r="R202" s="29"/>
      <c r="S202" s="30">
        <v>0</v>
      </c>
      <c r="T202" s="169"/>
      <c r="U202" s="169"/>
      <c r="V202" s="28"/>
      <c r="W202" s="29"/>
      <c r="X202" s="30">
        <v>0</v>
      </c>
      <c r="Y202" s="169"/>
      <c r="Z202" s="169"/>
      <c r="AA202" s="28"/>
      <c r="AB202" s="29"/>
      <c r="AC202" s="30">
        <v>0</v>
      </c>
      <c r="AD202" s="178"/>
      <c r="AE202" s="179"/>
      <c r="AF202" s="28"/>
      <c r="AG202" s="29"/>
      <c r="AH202" s="30">
        <v>0</v>
      </c>
      <c r="AI202" s="178"/>
      <c r="AJ202" s="179"/>
      <c r="AK202" s="210">
        <f t="shared" si="15"/>
        <v>0</v>
      </c>
      <c r="AL202" s="227">
        <f t="shared" si="16"/>
        <v>0</v>
      </c>
      <c r="AM202" s="193">
        <v>202</v>
      </c>
    </row>
    <row r="203" spans="1:39" x14ac:dyDescent="0.25">
      <c r="A203" s="124" t="s">
        <v>72</v>
      </c>
      <c r="B203" s="26"/>
      <c r="C203" s="24"/>
      <c r="D203" s="21"/>
      <c r="E203" s="21"/>
      <c r="F203" s="150" t="s">
        <v>98</v>
      </c>
      <c r="G203" s="28"/>
      <c r="H203" s="29"/>
      <c r="I203" s="30">
        <v>0</v>
      </c>
      <c r="J203" s="169"/>
      <c r="K203" s="169"/>
      <c r="L203" s="28"/>
      <c r="M203" s="29"/>
      <c r="N203" s="30">
        <v>0</v>
      </c>
      <c r="O203" s="169"/>
      <c r="P203" s="169"/>
      <c r="Q203" s="28"/>
      <c r="R203" s="29"/>
      <c r="S203" s="30">
        <v>0</v>
      </c>
      <c r="T203" s="169"/>
      <c r="U203" s="169"/>
      <c r="V203" s="28"/>
      <c r="W203" s="29"/>
      <c r="X203" s="30">
        <v>0</v>
      </c>
      <c r="Y203" s="169"/>
      <c r="Z203" s="169"/>
      <c r="AA203" s="28"/>
      <c r="AB203" s="29"/>
      <c r="AC203" s="30">
        <v>0</v>
      </c>
      <c r="AD203" s="178"/>
      <c r="AE203" s="179"/>
      <c r="AF203" s="28"/>
      <c r="AG203" s="29"/>
      <c r="AH203" s="30">
        <v>0</v>
      </c>
      <c r="AI203" s="178"/>
      <c r="AJ203" s="179"/>
      <c r="AK203" s="210">
        <f t="shared" si="15"/>
        <v>0</v>
      </c>
      <c r="AL203" s="227">
        <f t="shared" si="16"/>
        <v>0</v>
      </c>
      <c r="AM203" s="193">
        <v>203</v>
      </c>
    </row>
    <row r="204" spans="1:39" x14ac:dyDescent="0.25">
      <c r="A204" s="124" t="s">
        <v>72</v>
      </c>
      <c r="B204" s="26"/>
      <c r="C204" s="24"/>
      <c r="D204" s="21"/>
      <c r="E204" s="21"/>
      <c r="F204" s="150" t="s">
        <v>98</v>
      </c>
      <c r="G204" s="28"/>
      <c r="H204" s="29"/>
      <c r="I204" s="30">
        <v>0</v>
      </c>
      <c r="J204" s="169"/>
      <c r="K204" s="169"/>
      <c r="L204" s="28"/>
      <c r="M204" s="29"/>
      <c r="N204" s="30">
        <v>0</v>
      </c>
      <c r="O204" s="169"/>
      <c r="P204" s="169"/>
      <c r="Q204" s="28"/>
      <c r="R204" s="29"/>
      <c r="S204" s="30">
        <v>0</v>
      </c>
      <c r="T204" s="169"/>
      <c r="U204" s="169"/>
      <c r="V204" s="28"/>
      <c r="W204" s="29"/>
      <c r="X204" s="30">
        <v>0</v>
      </c>
      <c r="Y204" s="169"/>
      <c r="Z204" s="169"/>
      <c r="AA204" s="28"/>
      <c r="AB204" s="29"/>
      <c r="AC204" s="30">
        <v>0</v>
      </c>
      <c r="AD204" s="178"/>
      <c r="AE204" s="179"/>
      <c r="AF204" s="28"/>
      <c r="AG204" s="29"/>
      <c r="AH204" s="30">
        <v>0</v>
      </c>
      <c r="AI204" s="178"/>
      <c r="AJ204" s="179"/>
      <c r="AK204" s="210">
        <f t="shared" si="15"/>
        <v>0</v>
      </c>
      <c r="AL204" s="227">
        <f t="shared" si="16"/>
        <v>0</v>
      </c>
      <c r="AM204" s="193">
        <v>204</v>
      </c>
    </row>
    <row r="205" spans="1:39" x14ac:dyDescent="0.25">
      <c r="A205" s="133"/>
      <c r="B205" s="59"/>
      <c r="C205" s="24"/>
      <c r="D205" s="21"/>
      <c r="E205" s="21"/>
      <c r="F205" s="150" t="s">
        <v>98</v>
      </c>
      <c r="G205" s="28"/>
      <c r="H205" s="29"/>
      <c r="I205" s="30">
        <v>0</v>
      </c>
      <c r="J205" s="169"/>
      <c r="K205" s="169"/>
      <c r="L205" s="28"/>
      <c r="M205" s="29"/>
      <c r="N205" s="30">
        <v>0</v>
      </c>
      <c r="O205" s="169"/>
      <c r="P205" s="169"/>
      <c r="Q205" s="28"/>
      <c r="R205" s="29"/>
      <c r="S205" s="30">
        <v>0</v>
      </c>
      <c r="T205" s="169"/>
      <c r="U205" s="169"/>
      <c r="V205" s="28"/>
      <c r="W205" s="29"/>
      <c r="X205" s="30">
        <v>0</v>
      </c>
      <c r="Y205" s="169"/>
      <c r="Z205" s="169"/>
      <c r="AA205" s="28"/>
      <c r="AB205" s="29"/>
      <c r="AC205" s="30">
        <v>0</v>
      </c>
      <c r="AD205" s="178"/>
      <c r="AE205" s="179"/>
      <c r="AF205" s="28"/>
      <c r="AG205" s="29"/>
      <c r="AH205" s="30">
        <v>0</v>
      </c>
      <c r="AI205" s="178"/>
      <c r="AJ205" s="179"/>
      <c r="AK205" s="210">
        <f t="shared" si="15"/>
        <v>0</v>
      </c>
      <c r="AL205" s="227">
        <f t="shared" si="16"/>
        <v>0</v>
      </c>
      <c r="AM205" s="193">
        <v>205</v>
      </c>
    </row>
    <row r="206" spans="1:39" x14ac:dyDescent="0.25">
      <c r="A206" s="123" t="s">
        <v>60</v>
      </c>
      <c r="B206" s="59"/>
      <c r="C206" s="24"/>
      <c r="D206" s="21"/>
      <c r="E206" s="21"/>
      <c r="F206" s="99" t="s">
        <v>98</v>
      </c>
      <c r="G206" s="25"/>
      <c r="H206" s="201">
        <f>SUM(H207:H219)</f>
        <v>0</v>
      </c>
      <c r="I206" s="202">
        <f>SUM(I207:I219)</f>
        <v>0</v>
      </c>
      <c r="J206" s="172"/>
      <c r="K206" s="172"/>
      <c r="L206" s="60"/>
      <c r="M206" s="201">
        <f>SUM(M207:M219)</f>
        <v>0</v>
      </c>
      <c r="N206" s="202">
        <f>SUM(N207:N219)</f>
        <v>0</v>
      </c>
      <c r="O206" s="172"/>
      <c r="P206" s="172"/>
      <c r="Q206" s="25">
        <v>0</v>
      </c>
      <c r="R206" s="201">
        <f>SUM(R207:R219)</f>
        <v>0</v>
      </c>
      <c r="S206" s="202">
        <f>SUM(S207:S219)</f>
        <v>0</v>
      </c>
      <c r="T206" s="172"/>
      <c r="U206" s="172"/>
      <c r="V206" s="25">
        <v>0</v>
      </c>
      <c r="W206" s="201">
        <f>SUM(W207:W219)</f>
        <v>0</v>
      </c>
      <c r="X206" s="202">
        <f>SUM(X207:X219)</f>
        <v>0</v>
      </c>
      <c r="Y206" s="172"/>
      <c r="Z206" s="172"/>
      <c r="AA206" s="25">
        <v>0</v>
      </c>
      <c r="AB206" s="201">
        <f>SUM(AB207:AB219)</f>
        <v>0</v>
      </c>
      <c r="AC206" s="202">
        <f>SUM(AC207:AC219)</f>
        <v>0</v>
      </c>
      <c r="AD206" s="184"/>
      <c r="AE206" s="183"/>
      <c r="AF206" s="25">
        <v>0</v>
      </c>
      <c r="AG206" s="201">
        <f>SUM(AG207:AG219)</f>
        <v>0</v>
      </c>
      <c r="AH206" s="202">
        <f>SUM(AH207:AH219)</f>
        <v>0</v>
      </c>
      <c r="AI206" s="178"/>
      <c r="AJ206" s="179"/>
      <c r="AK206" s="216">
        <f>SUM(AK207:AK219)</f>
        <v>0</v>
      </c>
      <c r="AL206" s="223">
        <f>SUM(AL207:AL219)</f>
        <v>0</v>
      </c>
      <c r="AM206" s="193">
        <v>206</v>
      </c>
    </row>
    <row r="207" spans="1:39" x14ac:dyDescent="0.25">
      <c r="A207" s="124" t="s">
        <v>72</v>
      </c>
      <c r="B207" s="26"/>
      <c r="C207" s="24"/>
      <c r="D207" s="21"/>
      <c r="E207" s="21"/>
      <c r="F207" s="150" t="s">
        <v>98</v>
      </c>
      <c r="G207" s="206"/>
      <c r="H207" s="29"/>
      <c r="I207" s="30">
        <v>0</v>
      </c>
      <c r="J207" s="169"/>
      <c r="K207" s="169"/>
      <c r="L207" s="28"/>
      <c r="M207" s="29"/>
      <c r="N207" s="30">
        <v>0</v>
      </c>
      <c r="O207" s="169"/>
      <c r="P207" s="169"/>
      <c r="Q207" s="28"/>
      <c r="R207" s="29"/>
      <c r="S207" s="30">
        <v>0</v>
      </c>
      <c r="T207" s="169"/>
      <c r="U207" s="169"/>
      <c r="V207" s="28"/>
      <c r="W207" s="29"/>
      <c r="X207" s="30">
        <v>0</v>
      </c>
      <c r="Y207" s="169"/>
      <c r="Z207" s="169"/>
      <c r="AA207" s="28"/>
      <c r="AB207" s="29"/>
      <c r="AC207" s="30">
        <v>0</v>
      </c>
      <c r="AD207" s="178"/>
      <c r="AE207" s="179"/>
      <c r="AF207" s="28"/>
      <c r="AG207" s="29"/>
      <c r="AH207" s="30">
        <v>0</v>
      </c>
      <c r="AI207" s="184"/>
      <c r="AJ207" s="183"/>
      <c r="AK207" s="210">
        <f>H207+R207+AB207+M207+W207+AG207</f>
        <v>0</v>
      </c>
      <c r="AL207" s="227">
        <f>I207+S207+AC207+N207+X207+AH207</f>
        <v>0</v>
      </c>
      <c r="AM207" s="193">
        <v>207</v>
      </c>
    </row>
    <row r="208" spans="1:39" x14ac:dyDescent="0.25">
      <c r="A208" s="124" t="s">
        <v>72</v>
      </c>
      <c r="B208" s="26"/>
      <c r="C208" s="24"/>
      <c r="D208" s="21"/>
      <c r="E208" s="21"/>
      <c r="F208" s="150" t="s">
        <v>98</v>
      </c>
      <c r="G208" s="28"/>
      <c r="H208" s="29"/>
      <c r="I208" s="30">
        <v>0</v>
      </c>
      <c r="J208" s="169"/>
      <c r="K208" s="169"/>
      <c r="L208" s="28"/>
      <c r="M208" s="29"/>
      <c r="N208" s="30">
        <v>0</v>
      </c>
      <c r="O208" s="169"/>
      <c r="P208" s="169"/>
      <c r="Q208" s="28"/>
      <c r="R208" s="29"/>
      <c r="S208" s="30">
        <v>0</v>
      </c>
      <c r="T208" s="169"/>
      <c r="U208" s="169"/>
      <c r="V208" s="28"/>
      <c r="W208" s="29"/>
      <c r="X208" s="30">
        <v>0</v>
      </c>
      <c r="Y208" s="169"/>
      <c r="Z208" s="169"/>
      <c r="AA208" s="28"/>
      <c r="AB208" s="29"/>
      <c r="AC208" s="30">
        <v>0</v>
      </c>
      <c r="AD208" s="178"/>
      <c r="AE208" s="179"/>
      <c r="AF208" s="28"/>
      <c r="AG208" s="29"/>
      <c r="AH208" s="30">
        <v>0</v>
      </c>
      <c r="AI208" s="178"/>
      <c r="AJ208" s="179"/>
      <c r="AK208" s="210">
        <f t="shared" ref="AK208:AK219" si="17">H208+R208+AB208+M208+W208+AG208</f>
        <v>0</v>
      </c>
      <c r="AL208" s="227">
        <f t="shared" ref="AL208:AL219" si="18">I208+S208+AC208+N208+X208+AH208</f>
        <v>0</v>
      </c>
      <c r="AM208" s="193">
        <v>208</v>
      </c>
    </row>
    <row r="209" spans="1:39" x14ac:dyDescent="0.25">
      <c r="A209" s="124" t="s">
        <v>72</v>
      </c>
      <c r="B209" s="26"/>
      <c r="C209" s="24"/>
      <c r="D209" s="21"/>
      <c r="E209" s="21"/>
      <c r="F209" s="150" t="s">
        <v>98</v>
      </c>
      <c r="G209" s="28"/>
      <c r="H209" s="29"/>
      <c r="I209" s="30">
        <v>0</v>
      </c>
      <c r="J209" s="169"/>
      <c r="K209" s="169"/>
      <c r="L209" s="28"/>
      <c r="M209" s="29"/>
      <c r="N209" s="30">
        <v>0</v>
      </c>
      <c r="O209" s="169"/>
      <c r="P209" s="169"/>
      <c r="Q209" s="28"/>
      <c r="R209" s="29"/>
      <c r="S209" s="30">
        <v>0</v>
      </c>
      <c r="T209" s="169"/>
      <c r="U209" s="169"/>
      <c r="V209" s="28"/>
      <c r="W209" s="29"/>
      <c r="X209" s="30">
        <v>0</v>
      </c>
      <c r="Y209" s="169"/>
      <c r="Z209" s="169"/>
      <c r="AA209" s="28"/>
      <c r="AB209" s="29"/>
      <c r="AC209" s="30">
        <v>0</v>
      </c>
      <c r="AD209" s="178"/>
      <c r="AE209" s="179"/>
      <c r="AF209" s="28"/>
      <c r="AG209" s="29"/>
      <c r="AH209" s="30">
        <v>0</v>
      </c>
      <c r="AI209" s="178"/>
      <c r="AJ209" s="179"/>
      <c r="AK209" s="210">
        <f t="shared" si="17"/>
        <v>0</v>
      </c>
      <c r="AL209" s="227">
        <f t="shared" si="18"/>
        <v>0</v>
      </c>
      <c r="AM209" s="193">
        <v>209</v>
      </c>
    </row>
    <row r="210" spans="1:39" x14ac:dyDescent="0.25">
      <c r="A210" s="124" t="s">
        <v>72</v>
      </c>
      <c r="B210" s="26"/>
      <c r="C210" s="24"/>
      <c r="D210" s="21"/>
      <c r="E210" s="21"/>
      <c r="F210" s="150" t="s">
        <v>98</v>
      </c>
      <c r="G210" s="28"/>
      <c r="H210" s="29"/>
      <c r="I210" s="30">
        <v>0</v>
      </c>
      <c r="J210" s="169"/>
      <c r="K210" s="169"/>
      <c r="L210" s="28"/>
      <c r="M210" s="29"/>
      <c r="N210" s="30">
        <v>0</v>
      </c>
      <c r="O210" s="169"/>
      <c r="P210" s="169"/>
      <c r="Q210" s="28"/>
      <c r="R210" s="29"/>
      <c r="S210" s="30">
        <v>0</v>
      </c>
      <c r="T210" s="169"/>
      <c r="U210" s="169"/>
      <c r="V210" s="28"/>
      <c r="W210" s="29"/>
      <c r="X210" s="30">
        <v>0</v>
      </c>
      <c r="Y210" s="169"/>
      <c r="Z210" s="169"/>
      <c r="AA210" s="28"/>
      <c r="AB210" s="29"/>
      <c r="AC210" s="30">
        <v>0</v>
      </c>
      <c r="AD210" s="178"/>
      <c r="AE210" s="179"/>
      <c r="AF210" s="28"/>
      <c r="AG210" s="29"/>
      <c r="AH210" s="30">
        <v>0</v>
      </c>
      <c r="AI210" s="178"/>
      <c r="AJ210" s="179"/>
      <c r="AK210" s="210">
        <f t="shared" si="17"/>
        <v>0</v>
      </c>
      <c r="AL210" s="227">
        <f t="shared" si="18"/>
        <v>0</v>
      </c>
      <c r="AM210" s="193">
        <v>210</v>
      </c>
    </row>
    <row r="211" spans="1:39" x14ac:dyDescent="0.25">
      <c r="A211" s="124" t="s">
        <v>72</v>
      </c>
      <c r="B211" s="26"/>
      <c r="C211" s="24"/>
      <c r="D211" s="21"/>
      <c r="E211" s="21"/>
      <c r="F211" s="150" t="s">
        <v>98</v>
      </c>
      <c r="G211" s="28"/>
      <c r="H211" s="29"/>
      <c r="I211" s="30">
        <v>0</v>
      </c>
      <c r="J211" s="169"/>
      <c r="K211" s="169"/>
      <c r="L211" s="28"/>
      <c r="M211" s="29"/>
      <c r="N211" s="30">
        <v>0</v>
      </c>
      <c r="O211" s="169"/>
      <c r="P211" s="169"/>
      <c r="Q211" s="28"/>
      <c r="R211" s="29"/>
      <c r="S211" s="30">
        <v>0</v>
      </c>
      <c r="T211" s="169"/>
      <c r="U211" s="169"/>
      <c r="V211" s="28"/>
      <c r="W211" s="29"/>
      <c r="X211" s="30">
        <v>0</v>
      </c>
      <c r="Y211" s="169"/>
      <c r="Z211" s="169"/>
      <c r="AA211" s="28"/>
      <c r="AB211" s="29"/>
      <c r="AC211" s="30">
        <v>0</v>
      </c>
      <c r="AD211" s="178"/>
      <c r="AE211" s="179"/>
      <c r="AF211" s="28"/>
      <c r="AG211" s="29"/>
      <c r="AH211" s="30">
        <v>0</v>
      </c>
      <c r="AI211" s="178"/>
      <c r="AJ211" s="179"/>
      <c r="AK211" s="210">
        <f t="shared" si="17"/>
        <v>0</v>
      </c>
      <c r="AL211" s="227">
        <f t="shared" si="18"/>
        <v>0</v>
      </c>
      <c r="AM211" s="193">
        <v>211</v>
      </c>
    </row>
    <row r="212" spans="1:39" x14ac:dyDescent="0.25">
      <c r="A212" s="124" t="s">
        <v>72</v>
      </c>
      <c r="B212" s="26"/>
      <c r="C212" s="24"/>
      <c r="D212" s="21"/>
      <c r="E212" s="21"/>
      <c r="F212" s="150" t="s">
        <v>98</v>
      </c>
      <c r="G212" s="28"/>
      <c r="H212" s="29"/>
      <c r="I212" s="30">
        <v>0</v>
      </c>
      <c r="J212" s="169"/>
      <c r="K212" s="169"/>
      <c r="L212" s="28"/>
      <c r="M212" s="29"/>
      <c r="N212" s="30">
        <v>0</v>
      </c>
      <c r="O212" s="169"/>
      <c r="P212" s="169"/>
      <c r="Q212" s="28"/>
      <c r="R212" s="29"/>
      <c r="S212" s="30">
        <v>0</v>
      </c>
      <c r="T212" s="169"/>
      <c r="U212" s="169"/>
      <c r="V212" s="28"/>
      <c r="W212" s="29"/>
      <c r="X212" s="30">
        <v>0</v>
      </c>
      <c r="Y212" s="169"/>
      <c r="Z212" s="169"/>
      <c r="AA212" s="28"/>
      <c r="AB212" s="29"/>
      <c r="AC212" s="30">
        <v>0</v>
      </c>
      <c r="AD212" s="178"/>
      <c r="AE212" s="179"/>
      <c r="AF212" s="28"/>
      <c r="AG212" s="29"/>
      <c r="AH212" s="30">
        <v>0</v>
      </c>
      <c r="AI212" s="178"/>
      <c r="AJ212" s="179"/>
      <c r="AK212" s="210">
        <f t="shared" si="17"/>
        <v>0</v>
      </c>
      <c r="AL212" s="227">
        <f t="shared" si="18"/>
        <v>0</v>
      </c>
      <c r="AM212" s="193">
        <v>212</v>
      </c>
    </row>
    <row r="213" spans="1:39" x14ac:dyDescent="0.25">
      <c r="A213" s="124" t="s">
        <v>72</v>
      </c>
      <c r="B213" s="26"/>
      <c r="C213" s="24"/>
      <c r="D213" s="21"/>
      <c r="E213" s="21"/>
      <c r="F213" s="150" t="s">
        <v>98</v>
      </c>
      <c r="G213" s="28"/>
      <c r="H213" s="29"/>
      <c r="I213" s="30">
        <v>0</v>
      </c>
      <c r="J213" s="169"/>
      <c r="K213" s="169"/>
      <c r="L213" s="28"/>
      <c r="M213" s="29"/>
      <c r="N213" s="30">
        <v>0</v>
      </c>
      <c r="O213" s="169"/>
      <c r="P213" s="169"/>
      <c r="Q213" s="28"/>
      <c r="R213" s="29"/>
      <c r="S213" s="30">
        <v>0</v>
      </c>
      <c r="T213" s="169"/>
      <c r="U213" s="169"/>
      <c r="V213" s="28"/>
      <c r="W213" s="29"/>
      <c r="X213" s="30">
        <v>0</v>
      </c>
      <c r="Y213" s="169"/>
      <c r="Z213" s="169"/>
      <c r="AA213" s="28"/>
      <c r="AB213" s="29"/>
      <c r="AC213" s="30">
        <v>0</v>
      </c>
      <c r="AD213" s="178"/>
      <c r="AE213" s="179"/>
      <c r="AF213" s="28"/>
      <c r="AG213" s="29"/>
      <c r="AH213" s="30">
        <v>0</v>
      </c>
      <c r="AI213" s="178"/>
      <c r="AJ213" s="179"/>
      <c r="AK213" s="210">
        <f t="shared" si="17"/>
        <v>0</v>
      </c>
      <c r="AL213" s="227">
        <f t="shared" si="18"/>
        <v>0</v>
      </c>
      <c r="AM213" s="193">
        <v>213</v>
      </c>
    </row>
    <row r="214" spans="1:39" x14ac:dyDescent="0.25">
      <c r="A214" s="124" t="s">
        <v>72</v>
      </c>
      <c r="B214" s="26"/>
      <c r="C214" s="24"/>
      <c r="D214" s="21"/>
      <c r="E214" s="21"/>
      <c r="F214" s="150" t="s">
        <v>98</v>
      </c>
      <c r="G214" s="28"/>
      <c r="H214" s="29"/>
      <c r="I214" s="30">
        <v>0</v>
      </c>
      <c r="J214" s="169"/>
      <c r="K214" s="169"/>
      <c r="L214" s="28"/>
      <c r="M214" s="29"/>
      <c r="N214" s="30">
        <v>0</v>
      </c>
      <c r="O214" s="169"/>
      <c r="P214" s="169"/>
      <c r="Q214" s="28"/>
      <c r="R214" s="29"/>
      <c r="S214" s="30">
        <v>0</v>
      </c>
      <c r="T214" s="169"/>
      <c r="U214" s="169"/>
      <c r="V214" s="28"/>
      <c r="W214" s="29"/>
      <c r="X214" s="30">
        <v>0</v>
      </c>
      <c r="Y214" s="169"/>
      <c r="Z214" s="169"/>
      <c r="AA214" s="28"/>
      <c r="AB214" s="29"/>
      <c r="AC214" s="30">
        <v>0</v>
      </c>
      <c r="AD214" s="178"/>
      <c r="AE214" s="179"/>
      <c r="AF214" s="28"/>
      <c r="AG214" s="29"/>
      <c r="AH214" s="30">
        <v>0</v>
      </c>
      <c r="AI214" s="178"/>
      <c r="AJ214" s="179"/>
      <c r="AK214" s="210">
        <f t="shared" si="17"/>
        <v>0</v>
      </c>
      <c r="AL214" s="227">
        <f t="shared" si="18"/>
        <v>0</v>
      </c>
      <c r="AM214" s="193">
        <v>214</v>
      </c>
    </row>
    <row r="215" spans="1:39" x14ac:dyDescent="0.25">
      <c r="A215" s="124" t="s">
        <v>72</v>
      </c>
      <c r="B215" s="26"/>
      <c r="C215" s="24"/>
      <c r="D215" s="21"/>
      <c r="E215" s="21"/>
      <c r="F215" s="150" t="s">
        <v>98</v>
      </c>
      <c r="G215" s="28"/>
      <c r="H215" s="29"/>
      <c r="I215" s="30">
        <v>0</v>
      </c>
      <c r="J215" s="169"/>
      <c r="K215" s="169"/>
      <c r="L215" s="28"/>
      <c r="M215" s="29"/>
      <c r="N215" s="30">
        <v>0</v>
      </c>
      <c r="O215" s="169"/>
      <c r="P215" s="169"/>
      <c r="Q215" s="28"/>
      <c r="R215" s="29"/>
      <c r="S215" s="30">
        <v>0</v>
      </c>
      <c r="T215" s="169"/>
      <c r="U215" s="169"/>
      <c r="V215" s="28"/>
      <c r="W215" s="29"/>
      <c r="X215" s="30">
        <v>0</v>
      </c>
      <c r="Y215" s="169"/>
      <c r="Z215" s="169"/>
      <c r="AA215" s="28"/>
      <c r="AB215" s="29"/>
      <c r="AC215" s="30">
        <v>0</v>
      </c>
      <c r="AD215" s="178"/>
      <c r="AE215" s="179"/>
      <c r="AF215" s="28"/>
      <c r="AG215" s="29"/>
      <c r="AH215" s="30">
        <v>0</v>
      </c>
      <c r="AI215" s="178"/>
      <c r="AJ215" s="179"/>
      <c r="AK215" s="210">
        <f t="shared" si="17"/>
        <v>0</v>
      </c>
      <c r="AL215" s="227">
        <f t="shared" si="18"/>
        <v>0</v>
      </c>
      <c r="AM215" s="193">
        <v>215</v>
      </c>
    </row>
    <row r="216" spans="1:39" x14ac:dyDescent="0.25">
      <c r="A216" s="124" t="s">
        <v>72</v>
      </c>
      <c r="B216" s="26"/>
      <c r="C216" s="24"/>
      <c r="D216" s="21"/>
      <c r="E216" s="21"/>
      <c r="F216" s="150" t="s">
        <v>98</v>
      </c>
      <c r="G216" s="28"/>
      <c r="H216" s="29"/>
      <c r="I216" s="30">
        <v>0</v>
      </c>
      <c r="J216" s="169"/>
      <c r="K216" s="169"/>
      <c r="L216" s="28"/>
      <c r="M216" s="29"/>
      <c r="N216" s="30">
        <v>0</v>
      </c>
      <c r="O216" s="169"/>
      <c r="P216" s="169"/>
      <c r="Q216" s="28"/>
      <c r="R216" s="29"/>
      <c r="S216" s="30">
        <v>0</v>
      </c>
      <c r="T216" s="169"/>
      <c r="U216" s="169"/>
      <c r="V216" s="28"/>
      <c r="W216" s="29"/>
      <c r="X216" s="30">
        <v>0</v>
      </c>
      <c r="Y216" s="169"/>
      <c r="Z216" s="169"/>
      <c r="AA216" s="28"/>
      <c r="AB216" s="29"/>
      <c r="AC216" s="30">
        <v>0</v>
      </c>
      <c r="AD216" s="178"/>
      <c r="AE216" s="179"/>
      <c r="AF216" s="28"/>
      <c r="AG216" s="29"/>
      <c r="AH216" s="30">
        <v>0</v>
      </c>
      <c r="AI216" s="178"/>
      <c r="AJ216" s="179"/>
      <c r="AK216" s="210">
        <f t="shared" si="17"/>
        <v>0</v>
      </c>
      <c r="AL216" s="227">
        <f t="shared" si="18"/>
        <v>0</v>
      </c>
      <c r="AM216" s="193">
        <v>216</v>
      </c>
    </row>
    <row r="217" spans="1:39" x14ac:dyDescent="0.25">
      <c r="A217" s="124" t="s">
        <v>72</v>
      </c>
      <c r="B217" s="26"/>
      <c r="C217" s="24"/>
      <c r="D217" s="21"/>
      <c r="E217" s="21"/>
      <c r="F217" s="150" t="s">
        <v>98</v>
      </c>
      <c r="G217" s="28"/>
      <c r="H217" s="29"/>
      <c r="I217" s="30">
        <v>0</v>
      </c>
      <c r="J217" s="169"/>
      <c r="K217" s="169"/>
      <c r="L217" s="28"/>
      <c r="M217" s="29"/>
      <c r="N217" s="30">
        <v>0</v>
      </c>
      <c r="O217" s="169"/>
      <c r="P217" s="169"/>
      <c r="Q217" s="28"/>
      <c r="R217" s="29"/>
      <c r="S217" s="30">
        <v>0</v>
      </c>
      <c r="T217" s="169"/>
      <c r="U217" s="169"/>
      <c r="V217" s="28"/>
      <c r="W217" s="29"/>
      <c r="X217" s="30">
        <v>0</v>
      </c>
      <c r="Y217" s="169"/>
      <c r="Z217" s="169"/>
      <c r="AA217" s="28"/>
      <c r="AB217" s="29"/>
      <c r="AC217" s="30">
        <v>0</v>
      </c>
      <c r="AD217" s="178"/>
      <c r="AE217" s="179"/>
      <c r="AF217" s="28"/>
      <c r="AG217" s="29"/>
      <c r="AH217" s="30">
        <v>0</v>
      </c>
      <c r="AI217" s="178"/>
      <c r="AJ217" s="179"/>
      <c r="AK217" s="210">
        <f t="shared" si="17"/>
        <v>0</v>
      </c>
      <c r="AL217" s="227">
        <f t="shared" si="18"/>
        <v>0</v>
      </c>
      <c r="AM217" s="193">
        <v>217</v>
      </c>
    </row>
    <row r="218" spans="1:39" x14ac:dyDescent="0.25">
      <c r="A218" s="124" t="s">
        <v>72</v>
      </c>
      <c r="B218" s="26"/>
      <c r="C218" s="24"/>
      <c r="D218" s="21"/>
      <c r="E218" s="21"/>
      <c r="F218" s="150" t="s">
        <v>98</v>
      </c>
      <c r="G218" s="28"/>
      <c r="H218" s="29"/>
      <c r="I218" s="30">
        <v>0</v>
      </c>
      <c r="J218" s="169"/>
      <c r="K218" s="169"/>
      <c r="L218" s="28"/>
      <c r="M218" s="29"/>
      <c r="N218" s="30">
        <v>0</v>
      </c>
      <c r="O218" s="169"/>
      <c r="P218" s="169"/>
      <c r="Q218" s="28"/>
      <c r="R218" s="29"/>
      <c r="S218" s="30">
        <v>0</v>
      </c>
      <c r="T218" s="169"/>
      <c r="U218" s="169"/>
      <c r="V218" s="28"/>
      <c r="W218" s="29"/>
      <c r="X218" s="30">
        <v>0</v>
      </c>
      <c r="Y218" s="169"/>
      <c r="Z218" s="169"/>
      <c r="AA218" s="28"/>
      <c r="AB218" s="29"/>
      <c r="AC218" s="30">
        <v>0</v>
      </c>
      <c r="AD218" s="178"/>
      <c r="AE218" s="179"/>
      <c r="AF218" s="28"/>
      <c r="AG218" s="29"/>
      <c r="AH218" s="30">
        <v>0</v>
      </c>
      <c r="AI218" s="178"/>
      <c r="AJ218" s="179"/>
      <c r="AK218" s="210">
        <f t="shared" si="17"/>
        <v>0</v>
      </c>
      <c r="AL218" s="227">
        <f t="shared" si="18"/>
        <v>0</v>
      </c>
      <c r="AM218" s="193">
        <v>218</v>
      </c>
    </row>
    <row r="219" spans="1:39" x14ac:dyDescent="0.25">
      <c r="A219" s="133"/>
      <c r="B219" s="59"/>
      <c r="C219" s="24"/>
      <c r="D219" s="21"/>
      <c r="E219" s="21"/>
      <c r="F219" s="150" t="s">
        <v>98</v>
      </c>
      <c r="G219" s="28"/>
      <c r="H219" s="29"/>
      <c r="I219" s="30">
        <v>0</v>
      </c>
      <c r="J219" s="169"/>
      <c r="K219" s="169"/>
      <c r="L219" s="28"/>
      <c r="M219" s="29"/>
      <c r="N219" s="30">
        <v>0</v>
      </c>
      <c r="O219" s="169"/>
      <c r="P219" s="169"/>
      <c r="Q219" s="28"/>
      <c r="R219" s="29"/>
      <c r="S219" s="30">
        <v>0</v>
      </c>
      <c r="T219" s="169"/>
      <c r="U219" s="169"/>
      <c r="V219" s="28"/>
      <c r="W219" s="29"/>
      <c r="X219" s="30">
        <v>0</v>
      </c>
      <c r="Y219" s="169"/>
      <c r="Z219" s="169"/>
      <c r="AA219" s="28"/>
      <c r="AB219" s="29"/>
      <c r="AC219" s="30">
        <v>0</v>
      </c>
      <c r="AD219" s="178"/>
      <c r="AE219" s="179"/>
      <c r="AF219" s="28"/>
      <c r="AG219" s="29"/>
      <c r="AH219" s="30">
        <v>0</v>
      </c>
      <c r="AI219" s="178"/>
      <c r="AJ219" s="179"/>
      <c r="AK219" s="210">
        <f t="shared" si="17"/>
        <v>0</v>
      </c>
      <c r="AL219" s="227">
        <f t="shared" si="18"/>
        <v>0</v>
      </c>
      <c r="AM219" s="193">
        <v>219</v>
      </c>
    </row>
    <row r="220" spans="1:39" x14ac:dyDescent="0.25">
      <c r="A220" s="123" t="s">
        <v>60</v>
      </c>
      <c r="B220" s="59"/>
      <c r="C220" s="24"/>
      <c r="D220" s="21"/>
      <c r="E220" s="21"/>
      <c r="F220" s="99" t="s">
        <v>98</v>
      </c>
      <c r="G220" s="25"/>
      <c r="H220" s="201">
        <f>SUM(H221:H232)</f>
        <v>0</v>
      </c>
      <c r="I220" s="202">
        <f>SUM(I221:I232)</f>
        <v>0</v>
      </c>
      <c r="J220" s="172"/>
      <c r="K220" s="172"/>
      <c r="L220" s="60"/>
      <c r="M220" s="201">
        <f>SUM(M221:M232)</f>
        <v>0</v>
      </c>
      <c r="N220" s="202">
        <f>SUM(N221:N232)</f>
        <v>0</v>
      </c>
      <c r="O220" s="172"/>
      <c r="P220" s="172"/>
      <c r="Q220" s="25">
        <v>0</v>
      </c>
      <c r="R220" s="201">
        <f>SUM(R221:R232)</f>
        <v>0</v>
      </c>
      <c r="S220" s="202">
        <f>SUM(S221:S232)</f>
        <v>0</v>
      </c>
      <c r="T220" s="172"/>
      <c r="U220" s="172"/>
      <c r="V220" s="25">
        <v>0</v>
      </c>
      <c r="W220" s="201">
        <f>SUM(W221:W232)</f>
        <v>0</v>
      </c>
      <c r="X220" s="202">
        <f>SUM(X221:X232)</f>
        <v>0</v>
      </c>
      <c r="Y220" s="172"/>
      <c r="Z220" s="172"/>
      <c r="AA220" s="25">
        <v>0</v>
      </c>
      <c r="AB220" s="201">
        <f>SUM(AB221:AB232)</f>
        <v>0</v>
      </c>
      <c r="AC220" s="202">
        <f>SUM(AC221:AC232)</f>
        <v>0</v>
      </c>
      <c r="AD220" s="184"/>
      <c r="AE220" s="183"/>
      <c r="AF220" s="25">
        <v>0</v>
      </c>
      <c r="AG220" s="201">
        <f>SUM(AG221:AG232)</f>
        <v>0</v>
      </c>
      <c r="AH220" s="202">
        <f>SUM(AH221:AH232)</f>
        <v>0</v>
      </c>
      <c r="AI220" s="178"/>
      <c r="AJ220" s="179"/>
      <c r="AK220" s="216">
        <f>SUM(AK221:AK232)</f>
        <v>0</v>
      </c>
      <c r="AL220" s="223">
        <f>SUM(AL221:AL232)</f>
        <v>0</v>
      </c>
      <c r="AM220" s="193">
        <v>220</v>
      </c>
    </row>
    <row r="221" spans="1:39" x14ac:dyDescent="0.25">
      <c r="A221" s="124" t="s">
        <v>72</v>
      </c>
      <c r="B221" s="26"/>
      <c r="C221" s="24"/>
      <c r="D221" s="21"/>
      <c r="E221" s="21"/>
      <c r="F221" s="150" t="s">
        <v>98</v>
      </c>
      <c r="G221" s="206"/>
      <c r="H221" s="29"/>
      <c r="I221" s="30">
        <v>0</v>
      </c>
      <c r="J221" s="169"/>
      <c r="K221" s="169"/>
      <c r="L221" s="28"/>
      <c r="M221" s="29"/>
      <c r="N221" s="30">
        <v>0</v>
      </c>
      <c r="O221" s="169"/>
      <c r="P221" s="169"/>
      <c r="Q221" s="28"/>
      <c r="R221" s="29"/>
      <c r="S221" s="30">
        <v>0</v>
      </c>
      <c r="T221" s="169"/>
      <c r="U221" s="169"/>
      <c r="V221" s="28"/>
      <c r="W221" s="29"/>
      <c r="X221" s="30">
        <v>0</v>
      </c>
      <c r="Y221" s="169"/>
      <c r="Z221" s="169"/>
      <c r="AA221" s="28"/>
      <c r="AB221" s="29"/>
      <c r="AC221" s="30">
        <v>0</v>
      </c>
      <c r="AD221" s="178"/>
      <c r="AE221" s="179"/>
      <c r="AF221" s="28"/>
      <c r="AG221" s="29"/>
      <c r="AH221" s="30">
        <v>0</v>
      </c>
      <c r="AI221" s="184"/>
      <c r="AJ221" s="183"/>
      <c r="AK221" s="210">
        <f>H221+R221+AB221+M221+W221+AG221</f>
        <v>0</v>
      </c>
      <c r="AL221" s="227">
        <f>I221+S221+AC221+N221+X221+AH221</f>
        <v>0</v>
      </c>
      <c r="AM221" s="193">
        <v>221</v>
      </c>
    </row>
    <row r="222" spans="1:39" x14ac:dyDescent="0.25">
      <c r="A222" s="124" t="s">
        <v>72</v>
      </c>
      <c r="B222" s="26"/>
      <c r="C222" s="24"/>
      <c r="D222" s="21"/>
      <c r="E222" s="21"/>
      <c r="F222" s="150" t="s">
        <v>98</v>
      </c>
      <c r="G222" s="28"/>
      <c r="H222" s="29"/>
      <c r="I222" s="30">
        <v>0</v>
      </c>
      <c r="J222" s="169"/>
      <c r="K222" s="169"/>
      <c r="L222" s="28"/>
      <c r="M222" s="29"/>
      <c r="N222" s="30">
        <v>0</v>
      </c>
      <c r="O222" s="169"/>
      <c r="P222" s="169"/>
      <c r="Q222" s="28"/>
      <c r="R222" s="29"/>
      <c r="S222" s="30">
        <v>0</v>
      </c>
      <c r="T222" s="169"/>
      <c r="U222" s="169"/>
      <c r="V222" s="28"/>
      <c r="W222" s="29"/>
      <c r="X222" s="30">
        <v>0</v>
      </c>
      <c r="Y222" s="169"/>
      <c r="Z222" s="169"/>
      <c r="AA222" s="28"/>
      <c r="AB222" s="29"/>
      <c r="AC222" s="30">
        <v>0</v>
      </c>
      <c r="AD222" s="178"/>
      <c r="AE222" s="179"/>
      <c r="AF222" s="28"/>
      <c r="AG222" s="29"/>
      <c r="AH222" s="30">
        <v>0</v>
      </c>
      <c r="AI222" s="178"/>
      <c r="AJ222" s="179"/>
      <c r="AK222" s="210">
        <f t="shared" ref="AK222:AK232" si="19">H222+R222+AB222+M222+W222+AG222</f>
        <v>0</v>
      </c>
      <c r="AL222" s="227">
        <f t="shared" ref="AL222:AL232" si="20">I222+S222+AC222+N222+X222+AH222</f>
        <v>0</v>
      </c>
      <c r="AM222" s="193">
        <v>222</v>
      </c>
    </row>
    <row r="223" spans="1:39" x14ac:dyDescent="0.25">
      <c r="A223" s="124" t="s">
        <v>72</v>
      </c>
      <c r="B223" s="26"/>
      <c r="C223" s="24"/>
      <c r="D223" s="21"/>
      <c r="E223" s="21"/>
      <c r="F223" s="150" t="s">
        <v>98</v>
      </c>
      <c r="G223" s="28"/>
      <c r="H223" s="29"/>
      <c r="I223" s="30">
        <v>0</v>
      </c>
      <c r="J223" s="169"/>
      <c r="K223" s="169"/>
      <c r="L223" s="28"/>
      <c r="M223" s="29"/>
      <c r="N223" s="30">
        <v>0</v>
      </c>
      <c r="O223" s="169"/>
      <c r="P223" s="169"/>
      <c r="Q223" s="28"/>
      <c r="R223" s="29"/>
      <c r="S223" s="30">
        <v>0</v>
      </c>
      <c r="T223" s="169"/>
      <c r="U223" s="169"/>
      <c r="V223" s="28"/>
      <c r="W223" s="29"/>
      <c r="X223" s="30">
        <v>0</v>
      </c>
      <c r="Y223" s="169"/>
      <c r="Z223" s="169"/>
      <c r="AA223" s="28"/>
      <c r="AB223" s="29"/>
      <c r="AC223" s="30">
        <v>0</v>
      </c>
      <c r="AD223" s="178"/>
      <c r="AE223" s="179"/>
      <c r="AF223" s="28"/>
      <c r="AG223" s="29"/>
      <c r="AH223" s="30">
        <v>0</v>
      </c>
      <c r="AI223" s="178"/>
      <c r="AJ223" s="179"/>
      <c r="AK223" s="210">
        <f t="shared" si="19"/>
        <v>0</v>
      </c>
      <c r="AL223" s="227">
        <f t="shared" si="20"/>
        <v>0</v>
      </c>
      <c r="AM223" s="193">
        <v>223</v>
      </c>
    </row>
    <row r="224" spans="1:39" x14ac:dyDescent="0.25">
      <c r="A224" s="124" t="s">
        <v>72</v>
      </c>
      <c r="B224" s="26"/>
      <c r="C224" s="24"/>
      <c r="D224" s="21"/>
      <c r="E224" s="21"/>
      <c r="F224" s="150" t="s">
        <v>98</v>
      </c>
      <c r="G224" s="28"/>
      <c r="H224" s="29"/>
      <c r="I224" s="30">
        <v>0</v>
      </c>
      <c r="J224" s="169"/>
      <c r="K224" s="169"/>
      <c r="L224" s="28"/>
      <c r="M224" s="29"/>
      <c r="N224" s="30">
        <v>0</v>
      </c>
      <c r="O224" s="169"/>
      <c r="P224" s="169"/>
      <c r="Q224" s="28"/>
      <c r="R224" s="29"/>
      <c r="S224" s="30">
        <v>0</v>
      </c>
      <c r="T224" s="169"/>
      <c r="U224" s="169"/>
      <c r="V224" s="28"/>
      <c r="W224" s="29"/>
      <c r="X224" s="30">
        <v>0</v>
      </c>
      <c r="Y224" s="169"/>
      <c r="Z224" s="169"/>
      <c r="AA224" s="28"/>
      <c r="AB224" s="29"/>
      <c r="AC224" s="30">
        <v>0</v>
      </c>
      <c r="AD224" s="178"/>
      <c r="AE224" s="179"/>
      <c r="AF224" s="28"/>
      <c r="AG224" s="29"/>
      <c r="AH224" s="30">
        <v>0</v>
      </c>
      <c r="AI224" s="178"/>
      <c r="AJ224" s="179"/>
      <c r="AK224" s="210">
        <f t="shared" si="19"/>
        <v>0</v>
      </c>
      <c r="AL224" s="227">
        <f t="shared" si="20"/>
        <v>0</v>
      </c>
      <c r="AM224" s="193">
        <v>224</v>
      </c>
    </row>
    <row r="225" spans="1:39" x14ac:dyDescent="0.25">
      <c r="A225" s="124" t="s">
        <v>72</v>
      </c>
      <c r="B225" s="26"/>
      <c r="C225" s="24"/>
      <c r="D225" s="21"/>
      <c r="E225" s="21"/>
      <c r="F225" s="150" t="s">
        <v>98</v>
      </c>
      <c r="G225" s="28"/>
      <c r="H225" s="29"/>
      <c r="I225" s="30">
        <v>0</v>
      </c>
      <c r="J225" s="169"/>
      <c r="K225" s="169"/>
      <c r="L225" s="28"/>
      <c r="M225" s="29"/>
      <c r="N225" s="30">
        <v>0</v>
      </c>
      <c r="O225" s="169"/>
      <c r="P225" s="169"/>
      <c r="Q225" s="28"/>
      <c r="R225" s="29"/>
      <c r="S225" s="30">
        <v>0</v>
      </c>
      <c r="T225" s="169"/>
      <c r="U225" s="169"/>
      <c r="V225" s="28"/>
      <c r="W225" s="29"/>
      <c r="X225" s="30">
        <v>0</v>
      </c>
      <c r="Y225" s="169"/>
      <c r="Z225" s="169"/>
      <c r="AA225" s="28"/>
      <c r="AB225" s="29"/>
      <c r="AC225" s="30">
        <v>0</v>
      </c>
      <c r="AD225" s="178"/>
      <c r="AE225" s="179"/>
      <c r="AF225" s="28"/>
      <c r="AG225" s="29"/>
      <c r="AH225" s="30">
        <v>0</v>
      </c>
      <c r="AI225" s="178"/>
      <c r="AJ225" s="179"/>
      <c r="AK225" s="210">
        <f t="shared" si="19"/>
        <v>0</v>
      </c>
      <c r="AL225" s="227">
        <f t="shared" si="20"/>
        <v>0</v>
      </c>
      <c r="AM225" s="193">
        <v>225</v>
      </c>
    </row>
    <row r="226" spans="1:39" x14ac:dyDescent="0.25">
      <c r="A226" s="124" t="s">
        <v>72</v>
      </c>
      <c r="B226" s="26"/>
      <c r="C226" s="24"/>
      <c r="D226" s="21"/>
      <c r="E226" s="21"/>
      <c r="F226" s="150" t="s">
        <v>98</v>
      </c>
      <c r="G226" s="28"/>
      <c r="H226" s="29"/>
      <c r="I226" s="30">
        <v>0</v>
      </c>
      <c r="J226" s="169"/>
      <c r="K226" s="169"/>
      <c r="L226" s="28"/>
      <c r="M226" s="29"/>
      <c r="N226" s="30">
        <v>0</v>
      </c>
      <c r="O226" s="169"/>
      <c r="P226" s="169"/>
      <c r="Q226" s="28"/>
      <c r="R226" s="29"/>
      <c r="S226" s="30">
        <v>0</v>
      </c>
      <c r="T226" s="169"/>
      <c r="U226" s="169"/>
      <c r="V226" s="28"/>
      <c r="W226" s="29"/>
      <c r="X226" s="30">
        <v>0</v>
      </c>
      <c r="Y226" s="169"/>
      <c r="Z226" s="169"/>
      <c r="AA226" s="28"/>
      <c r="AB226" s="29"/>
      <c r="AC226" s="30">
        <v>0</v>
      </c>
      <c r="AD226" s="178"/>
      <c r="AE226" s="179"/>
      <c r="AF226" s="28"/>
      <c r="AG226" s="29"/>
      <c r="AH226" s="30">
        <v>0</v>
      </c>
      <c r="AI226" s="178"/>
      <c r="AJ226" s="179"/>
      <c r="AK226" s="210">
        <f t="shared" si="19"/>
        <v>0</v>
      </c>
      <c r="AL226" s="227">
        <f t="shared" si="20"/>
        <v>0</v>
      </c>
      <c r="AM226" s="193">
        <v>226</v>
      </c>
    </row>
    <row r="227" spans="1:39" x14ac:dyDescent="0.25">
      <c r="A227" s="124" t="s">
        <v>72</v>
      </c>
      <c r="B227" s="26"/>
      <c r="C227" s="24"/>
      <c r="D227" s="21"/>
      <c r="E227" s="21"/>
      <c r="F227" s="150" t="s">
        <v>98</v>
      </c>
      <c r="G227" s="28"/>
      <c r="H227" s="29"/>
      <c r="I227" s="30">
        <v>0</v>
      </c>
      <c r="J227" s="169"/>
      <c r="K227" s="169"/>
      <c r="L227" s="28"/>
      <c r="M227" s="29"/>
      <c r="N227" s="30">
        <v>0</v>
      </c>
      <c r="O227" s="169"/>
      <c r="P227" s="169"/>
      <c r="Q227" s="28"/>
      <c r="R227" s="29"/>
      <c r="S227" s="30">
        <v>0</v>
      </c>
      <c r="T227" s="169"/>
      <c r="U227" s="169"/>
      <c r="V227" s="28"/>
      <c r="W227" s="29"/>
      <c r="X227" s="30">
        <v>0</v>
      </c>
      <c r="Y227" s="169"/>
      <c r="Z227" s="169"/>
      <c r="AA227" s="28"/>
      <c r="AB227" s="29"/>
      <c r="AC227" s="30">
        <v>0</v>
      </c>
      <c r="AD227" s="178"/>
      <c r="AE227" s="179"/>
      <c r="AF227" s="28"/>
      <c r="AG227" s="29"/>
      <c r="AH227" s="30">
        <v>0</v>
      </c>
      <c r="AI227" s="178"/>
      <c r="AJ227" s="179"/>
      <c r="AK227" s="210">
        <f t="shared" si="19"/>
        <v>0</v>
      </c>
      <c r="AL227" s="227">
        <f t="shared" si="20"/>
        <v>0</v>
      </c>
      <c r="AM227" s="193">
        <v>227</v>
      </c>
    </row>
    <row r="228" spans="1:39" x14ac:dyDescent="0.25">
      <c r="A228" s="124" t="s">
        <v>72</v>
      </c>
      <c r="B228" s="26"/>
      <c r="C228" s="24"/>
      <c r="D228" s="21"/>
      <c r="E228" s="21"/>
      <c r="F228" s="150" t="s">
        <v>98</v>
      </c>
      <c r="G228" s="28"/>
      <c r="H228" s="29"/>
      <c r="I228" s="30">
        <v>0</v>
      </c>
      <c r="J228" s="169"/>
      <c r="K228" s="169"/>
      <c r="L228" s="28"/>
      <c r="M228" s="29"/>
      <c r="N228" s="30">
        <v>0</v>
      </c>
      <c r="O228" s="169"/>
      <c r="P228" s="169"/>
      <c r="Q228" s="28"/>
      <c r="R228" s="29"/>
      <c r="S228" s="30">
        <v>0</v>
      </c>
      <c r="T228" s="169"/>
      <c r="U228" s="169"/>
      <c r="V228" s="28"/>
      <c r="W228" s="29"/>
      <c r="X228" s="30">
        <v>0</v>
      </c>
      <c r="Y228" s="169"/>
      <c r="Z228" s="169"/>
      <c r="AA228" s="28"/>
      <c r="AB228" s="29"/>
      <c r="AC228" s="30">
        <v>0</v>
      </c>
      <c r="AD228" s="178"/>
      <c r="AE228" s="179"/>
      <c r="AF228" s="28"/>
      <c r="AG228" s="29"/>
      <c r="AH228" s="30">
        <v>0</v>
      </c>
      <c r="AI228" s="178"/>
      <c r="AJ228" s="179"/>
      <c r="AK228" s="210">
        <f t="shared" si="19"/>
        <v>0</v>
      </c>
      <c r="AL228" s="227">
        <f t="shared" si="20"/>
        <v>0</v>
      </c>
      <c r="AM228" s="193">
        <v>228</v>
      </c>
    </row>
    <row r="229" spans="1:39" x14ac:dyDescent="0.25">
      <c r="A229" s="124" t="s">
        <v>72</v>
      </c>
      <c r="B229" s="26"/>
      <c r="C229" s="24"/>
      <c r="D229" s="21"/>
      <c r="E229" s="21"/>
      <c r="F229" s="150" t="s">
        <v>98</v>
      </c>
      <c r="G229" s="28"/>
      <c r="H229" s="29"/>
      <c r="I229" s="30">
        <v>0</v>
      </c>
      <c r="J229" s="169"/>
      <c r="K229" s="169"/>
      <c r="L229" s="28"/>
      <c r="M229" s="29"/>
      <c r="N229" s="30">
        <v>0</v>
      </c>
      <c r="O229" s="169"/>
      <c r="P229" s="169"/>
      <c r="Q229" s="28"/>
      <c r="R229" s="29"/>
      <c r="S229" s="30">
        <v>0</v>
      </c>
      <c r="T229" s="169"/>
      <c r="U229" s="169"/>
      <c r="V229" s="28"/>
      <c r="W229" s="29"/>
      <c r="X229" s="30">
        <v>0</v>
      </c>
      <c r="Y229" s="169"/>
      <c r="Z229" s="169"/>
      <c r="AA229" s="28"/>
      <c r="AB229" s="29"/>
      <c r="AC229" s="30">
        <v>0</v>
      </c>
      <c r="AD229" s="178"/>
      <c r="AE229" s="179"/>
      <c r="AF229" s="28"/>
      <c r="AG229" s="29"/>
      <c r="AH229" s="30">
        <v>0</v>
      </c>
      <c r="AI229" s="178"/>
      <c r="AJ229" s="179"/>
      <c r="AK229" s="210">
        <f t="shared" si="19"/>
        <v>0</v>
      </c>
      <c r="AL229" s="227">
        <f t="shared" si="20"/>
        <v>0</v>
      </c>
      <c r="AM229" s="193">
        <v>229</v>
      </c>
    </row>
    <row r="230" spans="1:39" x14ac:dyDescent="0.25">
      <c r="A230" s="124" t="s">
        <v>72</v>
      </c>
      <c r="B230" s="26"/>
      <c r="C230" s="24"/>
      <c r="D230" s="21"/>
      <c r="E230" s="21"/>
      <c r="F230" s="150" t="s">
        <v>98</v>
      </c>
      <c r="G230" s="28"/>
      <c r="H230" s="29"/>
      <c r="I230" s="30">
        <v>0</v>
      </c>
      <c r="J230" s="169"/>
      <c r="K230" s="169"/>
      <c r="L230" s="28"/>
      <c r="M230" s="29"/>
      <c r="N230" s="30">
        <v>0</v>
      </c>
      <c r="O230" s="169"/>
      <c r="P230" s="169"/>
      <c r="Q230" s="28"/>
      <c r="R230" s="29"/>
      <c r="S230" s="30">
        <v>0</v>
      </c>
      <c r="T230" s="169"/>
      <c r="U230" s="169"/>
      <c r="V230" s="28"/>
      <c r="W230" s="29"/>
      <c r="X230" s="30">
        <v>0</v>
      </c>
      <c r="Y230" s="169"/>
      <c r="Z230" s="169"/>
      <c r="AA230" s="28"/>
      <c r="AB230" s="29"/>
      <c r="AC230" s="30">
        <v>0</v>
      </c>
      <c r="AD230" s="178"/>
      <c r="AE230" s="179"/>
      <c r="AF230" s="28"/>
      <c r="AG230" s="29"/>
      <c r="AH230" s="30">
        <v>0</v>
      </c>
      <c r="AI230" s="178"/>
      <c r="AJ230" s="179"/>
      <c r="AK230" s="210">
        <f t="shared" si="19"/>
        <v>0</v>
      </c>
      <c r="AL230" s="227">
        <f t="shared" si="20"/>
        <v>0</v>
      </c>
      <c r="AM230" s="193">
        <v>230</v>
      </c>
    </row>
    <row r="231" spans="1:39" x14ac:dyDescent="0.25">
      <c r="A231" s="124" t="s">
        <v>72</v>
      </c>
      <c r="B231" s="26"/>
      <c r="C231" s="24"/>
      <c r="D231" s="21"/>
      <c r="E231" s="21"/>
      <c r="F231" s="150" t="s">
        <v>98</v>
      </c>
      <c r="G231" s="28"/>
      <c r="H231" s="29"/>
      <c r="I231" s="30">
        <v>0</v>
      </c>
      <c r="J231" s="169"/>
      <c r="K231" s="169"/>
      <c r="L231" s="28"/>
      <c r="M231" s="29"/>
      <c r="N231" s="30">
        <v>0</v>
      </c>
      <c r="O231" s="169"/>
      <c r="P231" s="169"/>
      <c r="Q231" s="28"/>
      <c r="R231" s="29"/>
      <c r="S231" s="30">
        <v>0</v>
      </c>
      <c r="T231" s="169"/>
      <c r="U231" s="169"/>
      <c r="V231" s="28"/>
      <c r="W231" s="29"/>
      <c r="X231" s="30">
        <v>0</v>
      </c>
      <c r="Y231" s="169"/>
      <c r="Z231" s="169"/>
      <c r="AA231" s="28"/>
      <c r="AB231" s="29"/>
      <c r="AC231" s="30">
        <v>0</v>
      </c>
      <c r="AD231" s="178"/>
      <c r="AE231" s="179"/>
      <c r="AF231" s="28"/>
      <c r="AG231" s="29"/>
      <c r="AH231" s="30">
        <v>0</v>
      </c>
      <c r="AI231" s="178"/>
      <c r="AJ231" s="179"/>
      <c r="AK231" s="210">
        <f t="shared" si="19"/>
        <v>0</v>
      </c>
      <c r="AL231" s="227">
        <f t="shared" si="20"/>
        <v>0</v>
      </c>
      <c r="AM231" s="193">
        <v>231</v>
      </c>
    </row>
    <row r="232" spans="1:39" x14ac:dyDescent="0.25">
      <c r="A232" s="124"/>
      <c r="B232" s="59"/>
      <c r="C232" s="24"/>
      <c r="D232" s="21"/>
      <c r="E232" s="21"/>
      <c r="F232" s="150" t="s">
        <v>98</v>
      </c>
      <c r="G232" s="28"/>
      <c r="H232" s="29"/>
      <c r="I232" s="30">
        <v>0</v>
      </c>
      <c r="J232" s="169"/>
      <c r="K232" s="169"/>
      <c r="L232" s="28"/>
      <c r="M232" s="29"/>
      <c r="N232" s="30">
        <v>0</v>
      </c>
      <c r="O232" s="169"/>
      <c r="P232" s="169"/>
      <c r="Q232" s="28"/>
      <c r="R232" s="29"/>
      <c r="S232" s="30">
        <v>0</v>
      </c>
      <c r="T232" s="169"/>
      <c r="U232" s="169"/>
      <c r="V232" s="28"/>
      <c r="W232" s="29"/>
      <c r="X232" s="30">
        <v>0</v>
      </c>
      <c r="Y232" s="169"/>
      <c r="Z232" s="169"/>
      <c r="AA232" s="28"/>
      <c r="AB232" s="29"/>
      <c r="AC232" s="30">
        <v>0</v>
      </c>
      <c r="AD232" s="178"/>
      <c r="AE232" s="179"/>
      <c r="AF232" s="28"/>
      <c r="AG232" s="29"/>
      <c r="AH232" s="30">
        <v>0</v>
      </c>
      <c r="AI232" s="178"/>
      <c r="AJ232" s="179"/>
      <c r="AK232" s="210">
        <f t="shared" si="19"/>
        <v>0</v>
      </c>
      <c r="AL232" s="227">
        <f t="shared" si="20"/>
        <v>0</v>
      </c>
      <c r="AM232" s="193">
        <v>232</v>
      </c>
    </row>
    <row r="233" spans="1:39" x14ac:dyDescent="0.25">
      <c r="A233" s="123"/>
      <c r="B233" s="23"/>
      <c r="C233" s="24"/>
      <c r="D233" s="21"/>
      <c r="E233" s="21"/>
      <c r="F233" s="99" t="s">
        <v>98</v>
      </c>
      <c r="G233" s="25"/>
      <c r="H233" s="24"/>
      <c r="I233" s="44"/>
      <c r="J233" s="172"/>
      <c r="K233" s="172"/>
      <c r="L233" s="25">
        <v>0</v>
      </c>
      <c r="M233" s="24">
        <v>0</v>
      </c>
      <c r="N233" s="44"/>
      <c r="O233" s="172"/>
      <c r="P233" s="172"/>
      <c r="Q233" s="25">
        <v>0</v>
      </c>
      <c r="R233" s="24">
        <v>0</v>
      </c>
      <c r="S233" s="44"/>
      <c r="T233" s="172"/>
      <c r="U233" s="172"/>
      <c r="V233" s="25">
        <v>0</v>
      </c>
      <c r="W233" s="24">
        <v>0</v>
      </c>
      <c r="X233" s="44"/>
      <c r="Y233" s="172"/>
      <c r="Z233" s="172"/>
      <c r="AA233" s="25">
        <v>0</v>
      </c>
      <c r="AB233" s="24">
        <v>0</v>
      </c>
      <c r="AC233" s="44"/>
      <c r="AD233" s="184"/>
      <c r="AE233" s="185"/>
      <c r="AF233" s="25"/>
      <c r="AG233" s="272"/>
      <c r="AH233" s="44"/>
      <c r="AI233" s="178"/>
      <c r="AJ233" s="179"/>
      <c r="AK233" s="212"/>
      <c r="AL233" s="223"/>
      <c r="AM233" s="193">
        <v>233</v>
      </c>
    </row>
    <row r="234" spans="1:39" x14ac:dyDescent="0.25">
      <c r="A234" s="123" t="s">
        <v>191</v>
      </c>
      <c r="B234" s="23"/>
      <c r="C234" s="24"/>
      <c r="D234" s="21"/>
      <c r="E234" s="21"/>
      <c r="F234" s="99" t="s">
        <v>98</v>
      </c>
      <c r="G234" s="25"/>
      <c r="H234" s="284">
        <f>H220+H206+H193+H178+H163+H151+H134+H114+H101</f>
        <v>0</v>
      </c>
      <c r="I234" s="283">
        <f>I220+I206+I193+I178+I163+I151+I134+I114+I101</f>
        <v>0</v>
      </c>
      <c r="J234" s="172"/>
      <c r="K234" s="172"/>
      <c r="L234" s="25"/>
      <c r="M234" s="284">
        <f>M220+M206+M193+M178+M163+M151+M134+M114+M101</f>
        <v>0</v>
      </c>
      <c r="N234" s="283">
        <f>N220+N206+N193+N178+N163+N151+N134+N114+N101</f>
        <v>0</v>
      </c>
      <c r="O234" s="172"/>
      <c r="P234" s="172"/>
      <c r="Q234" s="25"/>
      <c r="R234" s="284">
        <f>R220+R206+R193+R178+R163+R151+R134+R114+R101</f>
        <v>0</v>
      </c>
      <c r="S234" s="283">
        <f>S220+S206+S193+S178+S163+S151+S134+S114+S101</f>
        <v>0</v>
      </c>
      <c r="T234" s="172"/>
      <c r="U234" s="172"/>
      <c r="V234" s="25"/>
      <c r="W234" s="284">
        <f>W220+W206+W193+W178+W163+W151+W134+W114+W101</f>
        <v>0</v>
      </c>
      <c r="X234" s="283">
        <f>X220+X206+X193+X178+X163+X151+X134+X114+X101</f>
        <v>0</v>
      </c>
      <c r="Y234" s="172"/>
      <c r="Z234" s="172"/>
      <c r="AA234" s="25"/>
      <c r="AB234" s="284">
        <f>AB220+AB206+AB193+AB178+AB163+AB151+AB134+AB114+AB101</f>
        <v>0</v>
      </c>
      <c r="AC234" s="283">
        <f>AC220+AC206+AC193+AC178+AC163+AC151+AC134+AC114+AC101</f>
        <v>0</v>
      </c>
      <c r="AD234" s="184"/>
      <c r="AE234" s="185"/>
      <c r="AF234" s="25"/>
      <c r="AG234" s="284">
        <f>AG220+AG206+AG193+AG178+AG163+AG151+AG134+AG114+AG101</f>
        <v>0</v>
      </c>
      <c r="AH234" s="283">
        <f>AH220+AH206+AH193+AH178+AH163+AH151+AH134+AH114+AH101</f>
        <v>0</v>
      </c>
      <c r="AI234" s="184"/>
      <c r="AJ234" s="185"/>
      <c r="AK234" s="285">
        <f>H234+AB234+W234+R234+M234</f>
        <v>0</v>
      </c>
      <c r="AL234" s="237">
        <f>AL220+AL206+AL193+AL178+AL163+AL151+AL134+AL114+AL101</f>
        <v>0</v>
      </c>
      <c r="AM234" s="195">
        <v>234</v>
      </c>
    </row>
    <row r="235" spans="1:39" x14ac:dyDescent="0.25">
      <c r="A235" s="270" t="s">
        <v>192</v>
      </c>
      <c r="B235" s="23"/>
      <c r="C235" s="24"/>
      <c r="D235" s="21"/>
      <c r="E235" s="21"/>
      <c r="F235" s="99" t="s">
        <v>98</v>
      </c>
      <c r="G235" s="25"/>
      <c r="H235" s="24"/>
      <c r="I235" s="44"/>
      <c r="J235" s="172"/>
      <c r="K235" s="172"/>
      <c r="L235" s="25"/>
      <c r="M235" s="24"/>
      <c r="N235" s="44"/>
      <c r="O235" s="172"/>
      <c r="P235" s="172"/>
      <c r="Q235" s="25"/>
      <c r="R235" s="24"/>
      <c r="S235" s="44"/>
      <c r="T235" s="172"/>
      <c r="U235" s="172"/>
      <c r="V235" s="25"/>
      <c r="W235" s="24"/>
      <c r="X235" s="44"/>
      <c r="Y235" s="172"/>
      <c r="Z235" s="172"/>
      <c r="AA235" s="25"/>
      <c r="AB235" s="24"/>
      <c r="AC235" s="44"/>
      <c r="AD235" s="184"/>
      <c r="AE235" s="185"/>
      <c r="AF235" s="25"/>
      <c r="AG235" s="272"/>
      <c r="AH235" s="44"/>
      <c r="AI235" s="184"/>
      <c r="AJ235" s="185"/>
      <c r="AK235" s="212"/>
      <c r="AL235" s="223"/>
      <c r="AM235" s="193">
        <v>235</v>
      </c>
    </row>
    <row r="236" spans="1:39" x14ac:dyDescent="0.25">
      <c r="A236" s="123" t="s">
        <v>28</v>
      </c>
      <c r="B236" s="23" t="s">
        <v>149</v>
      </c>
      <c r="C236" s="24"/>
      <c r="D236" s="21"/>
      <c r="E236" s="21"/>
      <c r="F236" s="99" t="s">
        <v>98</v>
      </c>
      <c r="G236" s="151">
        <v>0</v>
      </c>
      <c r="H236" s="279">
        <f>+I234</f>
        <v>0</v>
      </c>
      <c r="I236" s="47">
        <v>0</v>
      </c>
      <c r="J236" s="172"/>
      <c r="K236" s="172"/>
      <c r="L236" s="151">
        <v>0</v>
      </c>
      <c r="M236" s="279">
        <f>+N234</f>
        <v>0</v>
      </c>
      <c r="N236" s="47">
        <v>0</v>
      </c>
      <c r="O236" s="172"/>
      <c r="P236" s="172"/>
      <c r="Q236" s="151">
        <v>0</v>
      </c>
      <c r="R236" s="279">
        <f>+S234</f>
        <v>0</v>
      </c>
      <c r="S236" s="47">
        <v>0</v>
      </c>
      <c r="T236" s="172"/>
      <c r="U236" s="172"/>
      <c r="V236" s="151">
        <v>0</v>
      </c>
      <c r="W236" s="279">
        <f>+X234</f>
        <v>0</v>
      </c>
      <c r="X236" s="47">
        <v>0</v>
      </c>
      <c r="Y236" s="172"/>
      <c r="Z236" s="172"/>
      <c r="AA236" s="151">
        <v>0</v>
      </c>
      <c r="AB236" s="279">
        <f>+AC234</f>
        <v>0</v>
      </c>
      <c r="AC236" s="47">
        <v>0</v>
      </c>
      <c r="AD236" s="184"/>
      <c r="AE236" s="185"/>
      <c r="AF236" s="151">
        <v>0</v>
      </c>
      <c r="AG236" s="279">
        <f>AH234</f>
        <v>0</v>
      </c>
      <c r="AH236" s="47">
        <v>0</v>
      </c>
      <c r="AI236" s="184"/>
      <c r="AJ236" s="185"/>
      <c r="AK236" s="212"/>
      <c r="AL236" s="224">
        <f>I236+S236+AC236+N236+X236</f>
        <v>0</v>
      </c>
      <c r="AM236" s="193">
        <v>236</v>
      </c>
    </row>
    <row r="237" spans="1:39" x14ac:dyDescent="0.25">
      <c r="A237" s="123" t="s">
        <v>28</v>
      </c>
      <c r="B237" s="23" t="s">
        <v>86</v>
      </c>
      <c r="C237" s="24"/>
      <c r="D237" s="21"/>
      <c r="E237" s="21"/>
      <c r="F237" s="99" t="s">
        <v>98</v>
      </c>
      <c r="G237" s="151">
        <v>0</v>
      </c>
      <c r="H237" s="279">
        <f>+I234</f>
        <v>0</v>
      </c>
      <c r="I237" s="47">
        <v>0</v>
      </c>
      <c r="J237" s="172"/>
      <c r="K237" s="172"/>
      <c r="L237" s="151">
        <v>0</v>
      </c>
      <c r="M237" s="279">
        <f>+N234</f>
        <v>0</v>
      </c>
      <c r="N237" s="47">
        <v>0</v>
      </c>
      <c r="O237" s="172"/>
      <c r="P237" s="172"/>
      <c r="Q237" s="151">
        <v>0</v>
      </c>
      <c r="R237" s="279">
        <f>+S234</f>
        <v>0</v>
      </c>
      <c r="S237" s="47">
        <v>0</v>
      </c>
      <c r="T237" s="172"/>
      <c r="U237" s="172"/>
      <c r="V237" s="151">
        <v>0</v>
      </c>
      <c r="W237" s="279">
        <f>+X234</f>
        <v>0</v>
      </c>
      <c r="X237" s="47">
        <v>0</v>
      </c>
      <c r="Y237" s="172"/>
      <c r="Z237" s="172"/>
      <c r="AA237" s="151">
        <v>0</v>
      </c>
      <c r="AB237" s="279">
        <f>+AC234</f>
        <v>0</v>
      </c>
      <c r="AC237" s="47">
        <v>0</v>
      </c>
      <c r="AD237" s="184"/>
      <c r="AE237" s="185"/>
      <c r="AF237" s="151">
        <v>0</v>
      </c>
      <c r="AG237" s="279">
        <f>AH234</f>
        <v>0</v>
      </c>
      <c r="AH237" s="47">
        <v>0</v>
      </c>
      <c r="AI237" s="184"/>
      <c r="AJ237" s="185"/>
      <c r="AK237" s="212"/>
      <c r="AL237" s="224">
        <f>I237+S237+AC237+N237+X237</f>
        <v>0</v>
      </c>
      <c r="AM237" s="193">
        <v>237</v>
      </c>
    </row>
    <row r="238" spans="1:39" x14ac:dyDescent="0.25">
      <c r="A238" s="123" t="s">
        <v>22</v>
      </c>
      <c r="B238" s="23" t="s">
        <v>22</v>
      </c>
      <c r="C238" s="24"/>
      <c r="D238" s="21"/>
      <c r="E238" s="21"/>
      <c r="F238" s="99" t="s">
        <v>98</v>
      </c>
      <c r="G238" s="151">
        <v>0</v>
      </c>
      <c r="H238" s="279">
        <f>SUM(I236:I237)</f>
        <v>0</v>
      </c>
      <c r="I238" s="47">
        <v>0</v>
      </c>
      <c r="J238" s="172"/>
      <c r="K238" s="172"/>
      <c r="L238" s="151">
        <v>0</v>
      </c>
      <c r="M238" s="279">
        <f>+N236+N237</f>
        <v>0</v>
      </c>
      <c r="N238" s="47">
        <v>0</v>
      </c>
      <c r="O238" s="172"/>
      <c r="P238" s="172"/>
      <c r="Q238" s="151">
        <v>0</v>
      </c>
      <c r="R238" s="279">
        <f>+S236+S237</f>
        <v>0</v>
      </c>
      <c r="S238" s="47">
        <v>0</v>
      </c>
      <c r="T238" s="172"/>
      <c r="U238" s="172"/>
      <c r="V238" s="151">
        <v>0</v>
      </c>
      <c r="W238" s="279">
        <f>+X236+X237</f>
        <v>0</v>
      </c>
      <c r="X238" s="47">
        <v>0</v>
      </c>
      <c r="Y238" s="172"/>
      <c r="Z238" s="172"/>
      <c r="AA238" s="151">
        <v>0</v>
      </c>
      <c r="AB238" s="279">
        <f>SUM(AC236:AC237)</f>
        <v>0</v>
      </c>
      <c r="AC238" s="47">
        <v>0</v>
      </c>
      <c r="AD238" s="184"/>
      <c r="AE238" s="185"/>
      <c r="AF238" s="151">
        <v>0</v>
      </c>
      <c r="AG238" s="279">
        <f>SUM(AH236:AH237)</f>
        <v>0</v>
      </c>
      <c r="AH238" s="47">
        <v>0</v>
      </c>
      <c r="AI238" s="184"/>
      <c r="AJ238" s="185"/>
      <c r="AK238" s="212"/>
      <c r="AL238" s="224">
        <f>I238+S238+AC238+N238+X238</f>
        <v>0</v>
      </c>
      <c r="AM238" s="193">
        <v>238</v>
      </c>
    </row>
    <row r="239" spans="1:39" x14ac:dyDescent="0.25">
      <c r="A239" s="123" t="s">
        <v>29</v>
      </c>
      <c r="B239" s="23"/>
      <c r="C239" s="24"/>
      <c r="D239" s="21"/>
      <c r="E239" s="21"/>
      <c r="F239" s="99" t="s">
        <v>98</v>
      </c>
      <c r="G239" s="25"/>
      <c r="H239" s="24"/>
      <c r="I239" s="198"/>
      <c r="J239" s="172"/>
      <c r="K239" s="172"/>
      <c r="L239" s="25"/>
      <c r="M239" s="24"/>
      <c r="N239" s="198"/>
      <c r="O239" s="172"/>
      <c r="P239" s="172"/>
      <c r="Q239" s="25"/>
      <c r="R239" s="24"/>
      <c r="S239" s="198"/>
      <c r="T239" s="172"/>
      <c r="U239" s="172"/>
      <c r="V239" s="25"/>
      <c r="W239" s="24"/>
      <c r="X239" s="198"/>
      <c r="Y239" s="172"/>
      <c r="Z239" s="172"/>
      <c r="AA239" s="25"/>
      <c r="AB239" s="24"/>
      <c r="AC239" s="198"/>
      <c r="AD239" s="184"/>
      <c r="AE239" s="185"/>
      <c r="AF239" s="25"/>
      <c r="AG239" s="24"/>
      <c r="AH239" s="198"/>
      <c r="AI239" s="184"/>
      <c r="AJ239" s="185"/>
      <c r="AK239" s="212"/>
      <c r="AL239" s="223"/>
      <c r="AM239" s="193">
        <v>239</v>
      </c>
    </row>
    <row r="240" spans="1:39" x14ac:dyDescent="0.25">
      <c r="A240" s="123" t="s">
        <v>30</v>
      </c>
      <c r="B240" s="23"/>
      <c r="C240" s="24"/>
      <c r="D240" s="21"/>
      <c r="E240" s="21"/>
      <c r="F240" s="99" t="s">
        <v>98</v>
      </c>
      <c r="G240" s="25"/>
      <c r="H240" s="24"/>
      <c r="I240" s="47">
        <v>0</v>
      </c>
      <c r="J240" s="172"/>
      <c r="K240" s="172"/>
      <c r="L240" s="25"/>
      <c r="M240" s="24"/>
      <c r="N240" s="47">
        <v>0</v>
      </c>
      <c r="O240" s="172"/>
      <c r="P240" s="172"/>
      <c r="Q240" s="25"/>
      <c r="R240" s="24"/>
      <c r="S240" s="47">
        <v>0</v>
      </c>
      <c r="T240" s="172"/>
      <c r="U240" s="172"/>
      <c r="V240" s="25"/>
      <c r="W240" s="24"/>
      <c r="X240" s="47">
        <v>0</v>
      </c>
      <c r="Y240" s="172"/>
      <c r="Z240" s="172"/>
      <c r="AA240" s="25"/>
      <c r="AB240" s="24"/>
      <c r="AC240" s="47">
        <v>0</v>
      </c>
      <c r="AD240" s="184"/>
      <c r="AE240" s="185"/>
      <c r="AF240" s="25"/>
      <c r="AG240" s="24"/>
      <c r="AH240" s="47">
        <v>0</v>
      </c>
      <c r="AI240" s="184"/>
      <c r="AJ240" s="185"/>
      <c r="AK240" s="212"/>
      <c r="AL240" s="224">
        <f>I240+S240+AC240+N240+X240</f>
        <v>0</v>
      </c>
      <c r="AM240" s="193">
        <v>240</v>
      </c>
    </row>
    <row r="241" spans="1:46" x14ac:dyDescent="0.25">
      <c r="A241" s="123" t="s">
        <v>31</v>
      </c>
      <c r="B241" s="23"/>
      <c r="C241" s="24"/>
      <c r="D241" s="21"/>
      <c r="E241" s="21"/>
      <c r="F241" s="99" t="s">
        <v>98</v>
      </c>
      <c r="G241" s="25"/>
      <c r="H241" s="24"/>
      <c r="I241" s="47">
        <v>0</v>
      </c>
      <c r="J241" s="172"/>
      <c r="K241" s="172"/>
      <c r="L241" s="25"/>
      <c r="M241" s="24"/>
      <c r="N241" s="47">
        <v>0</v>
      </c>
      <c r="O241" s="172"/>
      <c r="P241" s="172"/>
      <c r="Q241" s="25"/>
      <c r="R241" s="24"/>
      <c r="S241" s="47">
        <v>0</v>
      </c>
      <c r="T241" s="172"/>
      <c r="U241" s="172"/>
      <c r="V241" s="25"/>
      <c r="W241" s="24"/>
      <c r="X241" s="47">
        <v>0</v>
      </c>
      <c r="Y241" s="172"/>
      <c r="Z241" s="172"/>
      <c r="AA241" s="25"/>
      <c r="AB241" s="24"/>
      <c r="AC241" s="47">
        <v>0</v>
      </c>
      <c r="AD241" s="184"/>
      <c r="AE241" s="185"/>
      <c r="AF241" s="25"/>
      <c r="AG241" s="24"/>
      <c r="AH241" s="47">
        <v>0</v>
      </c>
      <c r="AI241" s="184"/>
      <c r="AJ241" s="185"/>
      <c r="AK241" s="212"/>
      <c r="AL241" s="224">
        <f>I241+S241+AC241+N241+X241</f>
        <v>0</v>
      </c>
      <c r="AM241" s="195">
        <v>241</v>
      </c>
    </row>
    <row r="242" spans="1:46" x14ac:dyDescent="0.25">
      <c r="A242" s="123"/>
      <c r="B242" s="23"/>
      <c r="C242" s="24"/>
      <c r="D242" s="21"/>
      <c r="E242" s="21"/>
      <c r="F242" s="99" t="s">
        <v>98</v>
      </c>
      <c r="G242" s="25"/>
      <c r="H242" s="24"/>
      <c r="I242" s="44"/>
      <c r="J242" s="172"/>
      <c r="K242" s="172"/>
      <c r="L242" s="25"/>
      <c r="M242" s="24"/>
      <c r="N242" s="42"/>
      <c r="O242" s="172"/>
      <c r="P242" s="172"/>
      <c r="Q242" s="25"/>
      <c r="R242" s="24"/>
      <c r="S242" s="44"/>
      <c r="T242" s="172"/>
      <c r="U242" s="172"/>
      <c r="V242" s="25"/>
      <c r="W242" s="24"/>
      <c r="X242" s="44"/>
      <c r="Y242" s="172"/>
      <c r="Z242" s="172"/>
      <c r="AA242" s="25"/>
      <c r="AB242" s="24"/>
      <c r="AC242" s="44"/>
      <c r="AD242" s="184"/>
      <c r="AE242" s="185"/>
      <c r="AF242" s="25"/>
      <c r="AG242" s="272"/>
      <c r="AH242" s="44"/>
      <c r="AI242" s="184"/>
      <c r="AJ242" s="185"/>
      <c r="AK242" s="212"/>
      <c r="AL242" s="223"/>
      <c r="AM242" s="193">
        <v>242</v>
      </c>
    </row>
    <row r="243" spans="1:46" x14ac:dyDescent="0.25">
      <c r="A243" s="135" t="s">
        <v>32</v>
      </c>
      <c r="B243" s="33"/>
      <c r="C243" s="34"/>
      <c r="D243" s="35"/>
      <c r="E243" s="35"/>
      <c r="F243" s="99" t="s">
        <v>98</v>
      </c>
      <c r="G243" s="36"/>
      <c r="H243" s="284">
        <f>H234+H78</f>
        <v>0</v>
      </c>
      <c r="I243" s="38">
        <v>0</v>
      </c>
      <c r="J243" s="170"/>
      <c r="K243" s="170"/>
      <c r="L243" s="36"/>
      <c r="M243" s="284">
        <f>M234+M78</f>
        <v>0</v>
      </c>
      <c r="N243" s="38">
        <v>0</v>
      </c>
      <c r="O243" s="170"/>
      <c r="P243" s="170"/>
      <c r="Q243" s="36"/>
      <c r="R243" s="284">
        <f>R234+R78</f>
        <v>0</v>
      </c>
      <c r="S243" s="38">
        <v>0</v>
      </c>
      <c r="T243" s="170"/>
      <c r="U243" s="170"/>
      <c r="V243" s="36"/>
      <c r="W243" s="284">
        <f>W234+W78</f>
        <v>0</v>
      </c>
      <c r="X243" s="38">
        <v>0</v>
      </c>
      <c r="Y243" s="170"/>
      <c r="Z243" s="170"/>
      <c r="AA243" s="36"/>
      <c r="AB243" s="284">
        <f>AB234+AB78</f>
        <v>0</v>
      </c>
      <c r="AC243" s="38">
        <v>0</v>
      </c>
      <c r="AD243" s="180"/>
      <c r="AE243" s="181"/>
      <c r="AF243" s="36"/>
      <c r="AG243" s="284">
        <f>AG234+AG78</f>
        <v>0</v>
      </c>
      <c r="AH243" s="38">
        <v>0</v>
      </c>
      <c r="AI243" s="184"/>
      <c r="AJ243" s="185"/>
      <c r="AK243" s="214">
        <f>AK234+AK78</f>
        <v>0</v>
      </c>
      <c r="AL243" s="237">
        <f>AL96+AL241</f>
        <v>0</v>
      </c>
      <c r="AM243" s="195">
        <v>243</v>
      </c>
    </row>
    <row r="244" spans="1:46" x14ac:dyDescent="0.25">
      <c r="A244" s="130"/>
      <c r="B244" s="23"/>
      <c r="C244" s="24"/>
      <c r="D244" s="21"/>
      <c r="E244" s="21"/>
      <c r="F244" s="99" t="s">
        <v>98</v>
      </c>
      <c r="G244" s="25"/>
      <c r="H244" s="24"/>
      <c r="I244" s="44"/>
      <c r="J244" s="172"/>
      <c r="K244" s="172"/>
      <c r="L244" s="25"/>
      <c r="M244" s="24"/>
      <c r="N244" s="44"/>
      <c r="O244" s="172"/>
      <c r="P244" s="172"/>
      <c r="Q244" s="25"/>
      <c r="R244" s="24"/>
      <c r="S244" s="44"/>
      <c r="T244" s="172"/>
      <c r="U244" s="172"/>
      <c r="V244" s="25"/>
      <c r="W244" s="24"/>
      <c r="X244" s="44"/>
      <c r="Y244" s="172"/>
      <c r="Z244" s="172"/>
      <c r="AA244" s="25"/>
      <c r="AB244" s="24"/>
      <c r="AC244" s="44"/>
      <c r="AD244" s="184"/>
      <c r="AE244" s="185"/>
      <c r="AF244" s="25"/>
      <c r="AG244" s="272"/>
      <c r="AH244" s="44"/>
      <c r="AI244" s="180"/>
      <c r="AJ244" s="181"/>
      <c r="AK244" s="212"/>
      <c r="AL244" s="223"/>
      <c r="AM244" s="193">
        <v>244</v>
      </c>
    </row>
    <row r="245" spans="1:46" x14ac:dyDescent="0.25">
      <c r="A245" s="131" t="s">
        <v>33</v>
      </c>
      <c r="B245" s="23"/>
      <c r="C245" s="24"/>
      <c r="D245" s="21"/>
      <c r="E245" s="21"/>
      <c r="F245" s="99" t="s">
        <v>98</v>
      </c>
      <c r="G245" s="25"/>
      <c r="H245" s="43" t="s">
        <v>16</v>
      </c>
      <c r="I245" s="44" t="s">
        <v>98</v>
      </c>
      <c r="J245" s="172"/>
      <c r="K245" s="172"/>
      <c r="L245" s="25"/>
      <c r="M245" s="43" t="s">
        <v>16</v>
      </c>
      <c r="N245" s="44" t="s">
        <v>98</v>
      </c>
      <c r="O245" s="172"/>
      <c r="P245" s="172"/>
      <c r="Q245" s="25"/>
      <c r="R245" s="43" t="s">
        <v>16</v>
      </c>
      <c r="S245" s="44" t="s">
        <v>98</v>
      </c>
      <c r="T245" s="172"/>
      <c r="U245" s="172"/>
      <c r="V245" s="25"/>
      <c r="W245" s="43" t="s">
        <v>16</v>
      </c>
      <c r="X245" s="44" t="s">
        <v>98</v>
      </c>
      <c r="Y245" s="172"/>
      <c r="Z245" s="172"/>
      <c r="AA245" s="25"/>
      <c r="AB245" s="43" t="s">
        <v>16</v>
      </c>
      <c r="AC245" s="44" t="s">
        <v>98</v>
      </c>
      <c r="AD245" s="184"/>
      <c r="AE245" s="185"/>
      <c r="AF245" s="25"/>
      <c r="AG245" s="275" t="s">
        <v>16</v>
      </c>
      <c r="AH245" s="44" t="s">
        <v>98</v>
      </c>
      <c r="AI245" s="184"/>
      <c r="AJ245" s="185"/>
      <c r="AK245" s="212"/>
      <c r="AL245" s="223"/>
      <c r="AM245" s="193">
        <v>245</v>
      </c>
    </row>
    <row r="246" spans="1:46" x14ac:dyDescent="0.25">
      <c r="A246" s="123" t="s">
        <v>34</v>
      </c>
      <c r="B246" s="23"/>
      <c r="C246" s="24"/>
      <c r="D246" s="21"/>
      <c r="E246" s="21"/>
      <c r="F246" s="99" t="s">
        <v>98</v>
      </c>
      <c r="G246" s="282">
        <v>0</v>
      </c>
      <c r="H246" s="280">
        <f>I96-I95</f>
        <v>0</v>
      </c>
      <c r="I246" s="47">
        <v>0</v>
      </c>
      <c r="J246" s="172"/>
      <c r="K246" s="172"/>
      <c r="L246" s="282">
        <v>0</v>
      </c>
      <c r="M246" s="280">
        <f>N96-N95</f>
        <v>0</v>
      </c>
      <c r="N246" s="47">
        <v>0</v>
      </c>
      <c r="O246" s="172"/>
      <c r="P246" s="172"/>
      <c r="Q246" s="282">
        <v>0</v>
      </c>
      <c r="R246" s="280">
        <f>S96-S95</f>
        <v>0</v>
      </c>
      <c r="S246" s="47">
        <v>0</v>
      </c>
      <c r="T246" s="172"/>
      <c r="U246" s="172"/>
      <c r="V246" s="282">
        <v>0</v>
      </c>
      <c r="W246" s="280">
        <f>X96-X95</f>
        <v>0</v>
      </c>
      <c r="X246" s="47">
        <v>0</v>
      </c>
      <c r="Y246" s="172"/>
      <c r="Z246" s="172"/>
      <c r="AA246" s="282">
        <v>0</v>
      </c>
      <c r="AB246" s="280">
        <f>AC96-AC95</f>
        <v>0</v>
      </c>
      <c r="AC246" s="47">
        <v>0</v>
      </c>
      <c r="AD246" s="184"/>
      <c r="AE246" s="185"/>
      <c r="AF246" s="282">
        <v>0</v>
      </c>
      <c r="AG246" s="280">
        <f>AH96-AH95</f>
        <v>0</v>
      </c>
      <c r="AH246" s="47">
        <v>0</v>
      </c>
      <c r="AI246" s="184"/>
      <c r="AJ246" s="185"/>
      <c r="AK246" s="212"/>
      <c r="AL246" s="224">
        <f>I246+S246+AC246+N246+X246</f>
        <v>0</v>
      </c>
      <c r="AM246" s="193">
        <v>246</v>
      </c>
    </row>
    <row r="247" spans="1:46" x14ac:dyDescent="0.25">
      <c r="A247" s="123" t="s">
        <v>35</v>
      </c>
      <c r="B247" s="23"/>
      <c r="C247" s="24"/>
      <c r="D247" s="21"/>
      <c r="E247" s="21"/>
      <c r="F247" s="99" t="s">
        <v>98</v>
      </c>
      <c r="G247" s="282">
        <v>0</v>
      </c>
      <c r="H247" s="280">
        <f>I241</f>
        <v>0</v>
      </c>
      <c r="I247" s="47">
        <v>0</v>
      </c>
      <c r="J247" s="172"/>
      <c r="K247" s="172"/>
      <c r="L247" s="282">
        <v>0</v>
      </c>
      <c r="M247" s="280">
        <f>N241</f>
        <v>0</v>
      </c>
      <c r="N247" s="47">
        <v>0</v>
      </c>
      <c r="O247" s="172"/>
      <c r="P247" s="172"/>
      <c r="Q247" s="282">
        <v>0</v>
      </c>
      <c r="R247" s="280">
        <f>S241</f>
        <v>0</v>
      </c>
      <c r="S247" s="47">
        <v>0</v>
      </c>
      <c r="T247" s="172"/>
      <c r="U247" s="172"/>
      <c r="V247" s="282">
        <v>0</v>
      </c>
      <c r="W247" s="280">
        <f>X241</f>
        <v>0</v>
      </c>
      <c r="X247" s="47">
        <v>0</v>
      </c>
      <c r="Y247" s="172"/>
      <c r="Z247" s="172"/>
      <c r="AA247" s="282">
        <v>0</v>
      </c>
      <c r="AB247" s="280">
        <f>AC241</f>
        <v>0</v>
      </c>
      <c r="AC247" s="47">
        <v>0</v>
      </c>
      <c r="AD247" s="184"/>
      <c r="AE247" s="185"/>
      <c r="AF247" s="282">
        <v>0</v>
      </c>
      <c r="AG247" s="280">
        <f>AH241</f>
        <v>0</v>
      </c>
      <c r="AH247" s="47">
        <v>0</v>
      </c>
      <c r="AI247" s="184"/>
      <c r="AJ247" s="185"/>
      <c r="AK247" s="212"/>
      <c r="AL247" s="224">
        <f>I247+S247+AC247+N247+X247</f>
        <v>0</v>
      </c>
      <c r="AM247" s="193">
        <v>247</v>
      </c>
    </row>
    <row r="248" spans="1:46" x14ac:dyDescent="0.25">
      <c r="A248" s="123" t="s">
        <v>36</v>
      </c>
      <c r="B248" s="23"/>
      <c r="C248" s="24"/>
      <c r="D248" s="21"/>
      <c r="E248" s="21"/>
      <c r="F248" s="99" t="s">
        <v>98</v>
      </c>
      <c r="G248" s="25"/>
      <c r="H248" s="24"/>
      <c r="I248" s="47">
        <f>SUM(I246:I247)</f>
        <v>0</v>
      </c>
      <c r="J248" s="172"/>
      <c r="K248" s="172"/>
      <c r="L248" s="25"/>
      <c r="M248" s="24"/>
      <c r="N248" s="47">
        <f>SUM(N246:N247)</f>
        <v>0</v>
      </c>
      <c r="O248" s="172"/>
      <c r="P248" s="172"/>
      <c r="Q248" s="25"/>
      <c r="R248" s="24"/>
      <c r="S248" s="47">
        <f>SUM(S246:S247)</f>
        <v>0</v>
      </c>
      <c r="T248" s="172"/>
      <c r="U248" s="172"/>
      <c r="V248" s="25"/>
      <c r="W248" s="24"/>
      <c r="X248" s="47">
        <f>SUM(X246:X247)</f>
        <v>0</v>
      </c>
      <c r="Y248" s="172"/>
      <c r="Z248" s="172"/>
      <c r="AA248" s="25"/>
      <c r="AB248" s="24"/>
      <c r="AC248" s="47">
        <f>SUM(AC246:AC247)</f>
        <v>0</v>
      </c>
      <c r="AD248" s="184"/>
      <c r="AE248" s="185"/>
      <c r="AF248" s="25"/>
      <c r="AG248" s="272"/>
      <c r="AH248" s="47">
        <f>SUM(AH246:AH247)</f>
        <v>0</v>
      </c>
      <c r="AI248" s="184"/>
      <c r="AJ248" s="185"/>
      <c r="AK248" s="212"/>
      <c r="AL248" s="224">
        <f>SUM(AL246:AL247)</f>
        <v>0</v>
      </c>
      <c r="AM248" s="195">
        <v>248</v>
      </c>
    </row>
    <row r="249" spans="1:46" x14ac:dyDescent="0.25">
      <c r="A249" s="123"/>
      <c r="B249" s="23"/>
      <c r="C249" s="24"/>
      <c r="D249" s="21"/>
      <c r="E249" s="21"/>
      <c r="F249" s="99" t="s">
        <v>98</v>
      </c>
      <c r="G249" s="25"/>
      <c r="H249" s="24"/>
      <c r="I249" s="44"/>
      <c r="J249" s="172"/>
      <c r="K249" s="172"/>
      <c r="L249" s="25"/>
      <c r="M249" s="24"/>
      <c r="N249" s="44"/>
      <c r="O249" s="172"/>
      <c r="P249" s="172"/>
      <c r="Q249" s="25"/>
      <c r="R249" s="24"/>
      <c r="S249" s="44"/>
      <c r="T249" s="172"/>
      <c r="U249" s="172"/>
      <c r="V249" s="25"/>
      <c r="W249" s="24"/>
      <c r="X249" s="44"/>
      <c r="Y249" s="172"/>
      <c r="Z249" s="172"/>
      <c r="AA249" s="25"/>
      <c r="AB249" s="24"/>
      <c r="AC249" s="44"/>
      <c r="AD249" s="184"/>
      <c r="AE249" s="185"/>
      <c r="AF249" s="25"/>
      <c r="AG249" s="272"/>
      <c r="AH249" s="44"/>
      <c r="AI249" s="184"/>
      <c r="AJ249" s="185"/>
      <c r="AK249" s="212"/>
      <c r="AL249" s="223"/>
      <c r="AM249" s="193">
        <v>249</v>
      </c>
    </row>
    <row r="250" spans="1:46" x14ac:dyDescent="0.25">
      <c r="A250" s="135" t="s">
        <v>37</v>
      </c>
      <c r="B250" s="33"/>
      <c r="C250" s="34"/>
      <c r="D250" s="35"/>
      <c r="E250" s="35"/>
      <c r="F250" s="99" t="s">
        <v>98</v>
      </c>
      <c r="G250" s="36"/>
      <c r="H250" s="34"/>
      <c r="I250" s="38">
        <v>0</v>
      </c>
      <c r="J250" s="170"/>
      <c r="K250" s="170"/>
      <c r="L250" s="36"/>
      <c r="M250" s="34"/>
      <c r="N250" s="38">
        <v>0</v>
      </c>
      <c r="O250" s="170"/>
      <c r="P250" s="170"/>
      <c r="Q250" s="36"/>
      <c r="R250" s="34"/>
      <c r="S250" s="38">
        <v>0</v>
      </c>
      <c r="T250" s="170"/>
      <c r="U250" s="170"/>
      <c r="V250" s="36"/>
      <c r="W250" s="34"/>
      <c r="X250" s="38">
        <v>0</v>
      </c>
      <c r="Y250" s="170"/>
      <c r="Z250" s="170"/>
      <c r="AA250" s="36"/>
      <c r="AB250" s="34"/>
      <c r="AC250" s="38">
        <v>0</v>
      </c>
      <c r="AD250" s="180"/>
      <c r="AE250" s="181"/>
      <c r="AF250" s="36"/>
      <c r="AG250" s="286"/>
      <c r="AH250" s="38">
        <v>0</v>
      </c>
      <c r="AI250" s="184"/>
      <c r="AJ250" s="185"/>
      <c r="AK250" s="214"/>
      <c r="AL250" s="237">
        <f>I250+N250+S250+X250+AC250</f>
        <v>0</v>
      </c>
      <c r="AM250" s="195">
        <v>250</v>
      </c>
    </row>
    <row r="251" spans="1:46" x14ac:dyDescent="0.25">
      <c r="A251" s="123"/>
      <c r="B251" s="23"/>
      <c r="C251" s="24"/>
      <c r="D251" s="21"/>
      <c r="E251" s="21"/>
      <c r="F251" s="99" t="s">
        <v>98</v>
      </c>
      <c r="G251" s="25"/>
      <c r="H251" s="24"/>
      <c r="I251" s="44"/>
      <c r="J251" s="172"/>
      <c r="K251" s="172"/>
      <c r="L251" s="25"/>
      <c r="M251" s="24"/>
      <c r="N251" s="44"/>
      <c r="O251" s="172"/>
      <c r="P251" s="172"/>
      <c r="Q251" s="25"/>
      <c r="R251" s="24"/>
      <c r="S251" s="44"/>
      <c r="T251" s="172"/>
      <c r="U251" s="172"/>
      <c r="V251" s="25"/>
      <c r="W251" s="24"/>
      <c r="X251" s="44"/>
      <c r="Y251" s="172"/>
      <c r="Z251" s="172"/>
      <c r="AA251" s="25"/>
      <c r="AB251" s="24"/>
      <c r="AC251" s="44"/>
      <c r="AD251" s="184"/>
      <c r="AE251" s="185"/>
      <c r="AF251" s="25"/>
      <c r="AG251" s="272"/>
      <c r="AH251" s="44"/>
      <c r="AI251" s="180"/>
      <c r="AJ251" s="181"/>
      <c r="AK251" s="212"/>
      <c r="AL251" s="223"/>
      <c r="AM251" s="193">
        <v>251</v>
      </c>
    </row>
    <row r="252" spans="1:46" x14ac:dyDescent="0.25">
      <c r="A252" s="135" t="s">
        <v>38</v>
      </c>
      <c r="B252" s="23"/>
      <c r="C252" s="24"/>
      <c r="D252" s="21"/>
      <c r="E252" s="21"/>
      <c r="F252" s="99" t="s">
        <v>98</v>
      </c>
      <c r="G252" s="25"/>
      <c r="H252" s="24"/>
      <c r="I252" s="44"/>
      <c r="J252" s="172"/>
      <c r="K252" s="172"/>
      <c r="L252" s="25"/>
      <c r="M252" s="24"/>
      <c r="N252" s="44"/>
      <c r="O252" s="172"/>
      <c r="P252" s="172"/>
      <c r="Q252" s="25"/>
      <c r="R252" s="24"/>
      <c r="S252" s="44"/>
      <c r="T252" s="172"/>
      <c r="U252" s="172"/>
      <c r="V252" s="25"/>
      <c r="W252" s="24"/>
      <c r="X252" s="44"/>
      <c r="Y252" s="172"/>
      <c r="Z252" s="172"/>
      <c r="AA252" s="25"/>
      <c r="AB252" s="24"/>
      <c r="AC252" s="44"/>
      <c r="AD252" s="184"/>
      <c r="AE252" s="185"/>
      <c r="AF252" s="25"/>
      <c r="AG252" s="274"/>
      <c r="AH252" s="44"/>
      <c r="AI252" s="184"/>
      <c r="AJ252" s="185"/>
      <c r="AK252" s="212"/>
      <c r="AL252" s="223"/>
      <c r="AM252" s="193">
        <v>252</v>
      </c>
    </row>
    <row r="253" spans="1:46" x14ac:dyDescent="0.25">
      <c r="A253" s="123" t="s">
        <v>39</v>
      </c>
      <c r="B253" s="23"/>
      <c r="C253" s="24"/>
      <c r="D253" s="21"/>
      <c r="E253" s="21"/>
      <c r="F253" s="99" t="s">
        <v>98</v>
      </c>
      <c r="G253" s="25"/>
      <c r="H253" s="24"/>
      <c r="I253" s="47">
        <f>SUM(I254:I255)</f>
        <v>0</v>
      </c>
      <c r="J253" s="172"/>
      <c r="K253" s="172"/>
      <c r="L253" s="41"/>
      <c r="M253" s="23"/>
      <c r="N253" s="47">
        <f>SUM(N254:N255)</f>
        <v>0</v>
      </c>
      <c r="O253" s="172"/>
      <c r="P253" s="172"/>
      <c r="Q253" s="41"/>
      <c r="R253" s="23"/>
      <c r="S253" s="47">
        <f>SUM(S254:S255)</f>
        <v>0</v>
      </c>
      <c r="T253" s="172"/>
      <c r="U253" s="172"/>
      <c r="V253" s="41"/>
      <c r="W253" s="23"/>
      <c r="X253" s="47">
        <f>SUM(X254:X255)</f>
        <v>0</v>
      </c>
      <c r="Y253" s="172"/>
      <c r="Z253" s="172"/>
      <c r="AA253" s="41"/>
      <c r="AB253" s="23"/>
      <c r="AC253" s="47">
        <f>SUM(AC254:AC255)</f>
        <v>0</v>
      </c>
      <c r="AD253" s="184"/>
      <c r="AE253" s="185"/>
      <c r="AF253" s="41"/>
      <c r="AG253" s="274"/>
      <c r="AH253" s="47">
        <f>SUM(AH254:AH255)</f>
        <v>0</v>
      </c>
      <c r="AI253" s="184"/>
      <c r="AJ253" s="185"/>
      <c r="AK253" s="211"/>
      <c r="AL253" s="237">
        <f>SUM(AL254:AL255)</f>
        <v>0</v>
      </c>
      <c r="AM253" s="193">
        <v>253</v>
      </c>
    </row>
    <row r="254" spans="1:46" x14ac:dyDescent="0.25">
      <c r="A254" s="136" t="s">
        <v>40</v>
      </c>
      <c r="B254" s="23"/>
      <c r="C254" s="24"/>
      <c r="D254" s="21"/>
      <c r="E254" s="21"/>
      <c r="F254" s="99" t="s">
        <v>98</v>
      </c>
      <c r="G254" s="25"/>
      <c r="H254" s="24"/>
      <c r="I254" s="198"/>
      <c r="J254" s="172"/>
      <c r="K254" s="172"/>
      <c r="L254" s="25"/>
      <c r="M254" s="51"/>
      <c r="N254" s="198"/>
      <c r="O254" s="172"/>
      <c r="P254" s="172"/>
      <c r="Q254" s="25"/>
      <c r="R254" s="24"/>
      <c r="S254" s="198"/>
      <c r="T254" s="172"/>
      <c r="U254" s="172"/>
      <c r="V254" s="25"/>
      <c r="W254" s="24"/>
      <c r="X254" s="198"/>
      <c r="Y254" s="172"/>
      <c r="Z254" s="172"/>
      <c r="AA254" s="25"/>
      <c r="AB254" s="24"/>
      <c r="AC254" s="198"/>
      <c r="AD254" s="184"/>
      <c r="AE254" s="185"/>
      <c r="AF254" s="25"/>
      <c r="AG254" s="274"/>
      <c r="AH254" s="198"/>
      <c r="AI254" s="184"/>
      <c r="AJ254" s="185"/>
      <c r="AK254" s="212"/>
      <c r="AL254" s="224">
        <f>I254+S254+AC254+N254+X254</f>
        <v>0</v>
      </c>
      <c r="AM254" s="195">
        <v>254</v>
      </c>
    </row>
    <row r="255" spans="1:46" x14ac:dyDescent="0.25">
      <c r="A255" s="136" t="s">
        <v>41</v>
      </c>
      <c r="B255" s="23"/>
      <c r="C255" s="24"/>
      <c r="D255" s="21"/>
      <c r="E255" s="21"/>
      <c r="F255" s="99" t="s">
        <v>98</v>
      </c>
      <c r="G255" s="25"/>
      <c r="H255" s="24"/>
      <c r="I255" s="198"/>
      <c r="J255" s="172"/>
      <c r="K255" s="172"/>
      <c r="L255" s="25"/>
      <c r="M255" s="51"/>
      <c r="N255" s="198"/>
      <c r="O255" s="172"/>
      <c r="P255" s="172"/>
      <c r="Q255" s="25"/>
      <c r="R255" s="24"/>
      <c r="S255" s="198"/>
      <c r="T255" s="172"/>
      <c r="U255" s="172"/>
      <c r="V255" s="25"/>
      <c r="W255" s="24"/>
      <c r="X255" s="198"/>
      <c r="Y255" s="172"/>
      <c r="Z255" s="172"/>
      <c r="AA255" s="25"/>
      <c r="AB255" s="24"/>
      <c r="AC255" s="198"/>
      <c r="AD255" s="184"/>
      <c r="AE255" s="185"/>
      <c r="AF255" s="25"/>
      <c r="AG255" s="274"/>
      <c r="AH255" s="198"/>
      <c r="AI255" s="184"/>
      <c r="AJ255" s="185"/>
      <c r="AK255" s="212"/>
      <c r="AL255" s="224">
        <f>I255+S255+AC255+N255+X255</f>
        <v>0</v>
      </c>
      <c r="AM255" s="193">
        <v>255</v>
      </c>
    </row>
    <row r="256" spans="1:46" s="6" customFormat="1" x14ac:dyDescent="0.25">
      <c r="A256" s="129"/>
      <c r="B256" s="23"/>
      <c r="C256" s="23"/>
      <c r="D256" s="40"/>
      <c r="E256" s="40"/>
      <c r="F256" s="99" t="s">
        <v>98</v>
      </c>
      <c r="G256" s="41"/>
      <c r="H256" s="23"/>
      <c r="I256" s="42"/>
      <c r="J256" s="172"/>
      <c r="K256" s="172"/>
      <c r="L256" s="41"/>
      <c r="M256" s="23"/>
      <c r="N256" s="42"/>
      <c r="O256" s="172"/>
      <c r="P256" s="172"/>
      <c r="Q256" s="41"/>
      <c r="R256" s="23"/>
      <c r="S256" s="42"/>
      <c r="T256" s="172"/>
      <c r="U256" s="172"/>
      <c r="V256" s="41"/>
      <c r="W256" s="23"/>
      <c r="X256" s="42"/>
      <c r="Y256" s="172"/>
      <c r="Z256" s="172"/>
      <c r="AA256" s="41"/>
      <c r="AB256" s="23"/>
      <c r="AC256" s="42"/>
      <c r="AD256" s="184"/>
      <c r="AE256" s="185"/>
      <c r="AF256" s="41"/>
      <c r="AG256" s="274"/>
      <c r="AH256" s="42"/>
      <c r="AI256" s="184"/>
      <c r="AJ256" s="185"/>
      <c r="AK256" s="211"/>
      <c r="AL256" s="225"/>
      <c r="AM256" s="195">
        <v>256</v>
      </c>
      <c r="AN256"/>
      <c r="AO256"/>
      <c r="AP256"/>
      <c r="AQ256"/>
      <c r="AR256"/>
      <c r="AS256"/>
      <c r="AT256"/>
    </row>
    <row r="257" spans="1:46" x14ac:dyDescent="0.25">
      <c r="A257" s="129" t="s">
        <v>42</v>
      </c>
      <c r="B257" s="23"/>
      <c r="C257" s="23"/>
      <c r="D257" s="40"/>
      <c r="E257" s="40"/>
      <c r="F257" s="99" t="s">
        <v>98</v>
      </c>
      <c r="G257" s="41"/>
      <c r="H257" s="43" t="s">
        <v>16</v>
      </c>
      <c r="I257" s="44" t="s">
        <v>98</v>
      </c>
      <c r="J257" s="172"/>
      <c r="K257" s="172"/>
      <c r="L257" s="25"/>
      <c r="M257" s="43" t="s">
        <v>16</v>
      </c>
      <c r="N257" s="44" t="s">
        <v>98</v>
      </c>
      <c r="O257" s="172"/>
      <c r="P257" s="172"/>
      <c r="Q257" s="25"/>
      <c r="R257" s="43" t="s">
        <v>16</v>
      </c>
      <c r="S257" s="44" t="s">
        <v>98</v>
      </c>
      <c r="T257" s="172"/>
      <c r="U257" s="172"/>
      <c r="V257" s="25"/>
      <c r="W257" s="43" t="s">
        <v>16</v>
      </c>
      <c r="X257" s="44" t="s">
        <v>98</v>
      </c>
      <c r="Y257" s="172"/>
      <c r="Z257" s="172"/>
      <c r="AA257" s="25"/>
      <c r="AB257" s="43" t="s">
        <v>16</v>
      </c>
      <c r="AC257" s="44" t="s">
        <v>98</v>
      </c>
      <c r="AD257" s="184"/>
      <c r="AE257" s="185"/>
      <c r="AF257" s="25"/>
      <c r="AG257" s="287" t="s">
        <v>16</v>
      </c>
      <c r="AH257" s="44" t="s">
        <v>98</v>
      </c>
      <c r="AI257" s="184"/>
      <c r="AJ257" s="185"/>
      <c r="AK257" s="212"/>
      <c r="AL257" s="225"/>
      <c r="AM257" s="193">
        <v>257</v>
      </c>
    </row>
    <row r="258" spans="1:46" x14ac:dyDescent="0.25">
      <c r="A258" s="136" t="s">
        <v>28</v>
      </c>
      <c r="B258" s="62" t="s">
        <v>197</v>
      </c>
      <c r="C258" s="24"/>
      <c r="D258" s="21"/>
      <c r="E258" s="21"/>
      <c r="F258" s="99" t="s">
        <v>98</v>
      </c>
      <c r="G258" s="151">
        <v>0</v>
      </c>
      <c r="H258" s="279">
        <f>+I255</f>
        <v>0</v>
      </c>
      <c r="I258" s="47">
        <v>0</v>
      </c>
      <c r="J258" s="172"/>
      <c r="K258" s="172"/>
      <c r="L258" s="151">
        <v>0</v>
      </c>
      <c r="M258" s="279">
        <f>+N255</f>
        <v>0</v>
      </c>
      <c r="N258" s="47">
        <v>0</v>
      </c>
      <c r="O258" s="172"/>
      <c r="P258" s="172"/>
      <c r="Q258" s="151">
        <v>0</v>
      </c>
      <c r="R258" s="279">
        <f>+S255</f>
        <v>0</v>
      </c>
      <c r="S258" s="47">
        <v>0</v>
      </c>
      <c r="T258" s="172"/>
      <c r="U258" s="172"/>
      <c r="V258" s="151">
        <v>0</v>
      </c>
      <c r="W258" s="279">
        <f>+X255</f>
        <v>0</v>
      </c>
      <c r="X258" s="47">
        <v>0</v>
      </c>
      <c r="Y258" s="172"/>
      <c r="Z258" s="172"/>
      <c r="AA258" s="151">
        <v>0</v>
      </c>
      <c r="AB258" s="279">
        <f>+AC255</f>
        <v>0</v>
      </c>
      <c r="AC258" s="47">
        <v>0</v>
      </c>
      <c r="AD258" s="184"/>
      <c r="AE258" s="185"/>
      <c r="AF258" s="151">
        <v>0</v>
      </c>
      <c r="AG258" s="279">
        <f>AH255</f>
        <v>0</v>
      </c>
      <c r="AH258" s="47">
        <v>0</v>
      </c>
      <c r="AI258" s="184"/>
      <c r="AJ258" s="185"/>
      <c r="AK258" s="212"/>
      <c r="AL258" s="224">
        <f>I258+S258+AC258+N258+X258</f>
        <v>0</v>
      </c>
      <c r="AM258" s="195">
        <v>258</v>
      </c>
    </row>
    <row r="259" spans="1:46" x14ac:dyDescent="0.25">
      <c r="A259" s="136" t="s">
        <v>22</v>
      </c>
      <c r="B259" s="23" t="s">
        <v>22</v>
      </c>
      <c r="C259" s="24"/>
      <c r="D259" s="21"/>
      <c r="E259" s="21"/>
      <c r="F259" s="99" t="s">
        <v>98</v>
      </c>
      <c r="G259" s="151">
        <v>0</v>
      </c>
      <c r="H259" s="279">
        <f>I258+I254</f>
        <v>0</v>
      </c>
      <c r="I259" s="47">
        <v>0</v>
      </c>
      <c r="J259" s="172"/>
      <c r="K259" s="172"/>
      <c r="L259" s="151">
        <v>0</v>
      </c>
      <c r="M259" s="279">
        <f>N258+N254</f>
        <v>0</v>
      </c>
      <c r="N259" s="47">
        <v>0</v>
      </c>
      <c r="O259" s="172"/>
      <c r="P259" s="172"/>
      <c r="Q259" s="151">
        <v>0</v>
      </c>
      <c r="R259" s="279">
        <f>S258+S254</f>
        <v>0</v>
      </c>
      <c r="S259" s="47">
        <v>0</v>
      </c>
      <c r="T259" s="172"/>
      <c r="U259" s="172"/>
      <c r="V259" s="151">
        <v>0</v>
      </c>
      <c r="W259" s="279">
        <f>X258+X254</f>
        <v>0</v>
      </c>
      <c r="X259" s="47">
        <v>0</v>
      </c>
      <c r="Y259" s="172"/>
      <c r="Z259" s="172"/>
      <c r="AA259" s="151">
        <v>0</v>
      </c>
      <c r="AB259" s="279">
        <f>AC258+AC254</f>
        <v>0</v>
      </c>
      <c r="AC259" s="47">
        <v>0</v>
      </c>
      <c r="AD259" s="184"/>
      <c r="AE259" s="185"/>
      <c r="AF259" s="151">
        <v>0</v>
      </c>
      <c r="AG259" s="279">
        <f>AH258+AH254</f>
        <v>0</v>
      </c>
      <c r="AH259" s="47">
        <v>0</v>
      </c>
      <c r="AI259" s="184"/>
      <c r="AJ259" s="185"/>
      <c r="AK259" s="212"/>
      <c r="AL259" s="224">
        <f>I259+S259+AC259+N259+X259</f>
        <v>0</v>
      </c>
      <c r="AM259" s="193">
        <v>259</v>
      </c>
    </row>
    <row r="260" spans="1:46" x14ac:dyDescent="0.25">
      <c r="A260" s="129" t="s">
        <v>43</v>
      </c>
      <c r="B260" s="23"/>
      <c r="C260" s="23"/>
      <c r="D260" s="40"/>
      <c r="E260" s="40"/>
      <c r="F260" s="99" t="s">
        <v>98</v>
      </c>
      <c r="G260" s="41"/>
      <c r="H260" s="23"/>
      <c r="I260" s="47">
        <f>SUM(I253,I258,I259)</f>
        <v>0</v>
      </c>
      <c r="J260" s="172"/>
      <c r="K260" s="172"/>
      <c r="L260" s="25"/>
      <c r="M260" s="24"/>
      <c r="N260" s="47">
        <f>SUM(N253,N258,N259)</f>
        <v>0</v>
      </c>
      <c r="O260" s="172"/>
      <c r="P260" s="172"/>
      <c r="Q260" s="25"/>
      <c r="R260" s="24"/>
      <c r="S260" s="47">
        <f>SUM(S253,S258,S259)</f>
        <v>0</v>
      </c>
      <c r="T260" s="172"/>
      <c r="U260" s="172"/>
      <c r="V260" s="25"/>
      <c r="W260" s="24"/>
      <c r="X260" s="47">
        <f>SUM(X253,X258,X259)</f>
        <v>0</v>
      </c>
      <c r="Y260" s="172"/>
      <c r="Z260" s="172"/>
      <c r="AA260" s="25"/>
      <c r="AB260" s="24"/>
      <c r="AC260" s="47">
        <f>SUM(AC253,AC258,AC259)</f>
        <v>0</v>
      </c>
      <c r="AD260" s="184"/>
      <c r="AE260" s="185"/>
      <c r="AF260" s="25"/>
      <c r="AG260" s="42"/>
      <c r="AH260" s="47">
        <f>SUM(AH253,AH258,AH259)</f>
        <v>0</v>
      </c>
      <c r="AI260" s="184"/>
      <c r="AJ260" s="185"/>
      <c r="AK260" s="212"/>
      <c r="AL260" s="237">
        <f>SUM(AL253,AL258,AL259)</f>
        <v>0</v>
      </c>
      <c r="AM260" s="195">
        <v>260</v>
      </c>
    </row>
    <row r="261" spans="1:46" s="6" customFormat="1" x14ac:dyDescent="0.25">
      <c r="A261" s="137"/>
      <c r="B261" s="23"/>
      <c r="C261" s="23"/>
      <c r="D261" s="40"/>
      <c r="E261" s="40"/>
      <c r="F261" s="99" t="s">
        <v>98</v>
      </c>
      <c r="G261" s="41"/>
      <c r="H261" s="23"/>
      <c r="I261" s="42"/>
      <c r="J261" s="172"/>
      <c r="K261" s="172"/>
      <c r="L261" s="41"/>
      <c r="M261" s="23"/>
      <c r="N261" s="42"/>
      <c r="O261" s="172"/>
      <c r="P261" s="172"/>
      <c r="Q261" s="41"/>
      <c r="R261" s="23"/>
      <c r="S261" s="42"/>
      <c r="T261" s="172"/>
      <c r="U261" s="172"/>
      <c r="V261" s="41"/>
      <c r="W261" s="23"/>
      <c r="X261" s="42"/>
      <c r="Y261" s="172"/>
      <c r="Z261" s="172"/>
      <c r="AA261" s="41"/>
      <c r="AB261" s="23"/>
      <c r="AC261" s="42"/>
      <c r="AD261" s="184"/>
      <c r="AE261" s="185"/>
      <c r="AF261" s="41"/>
      <c r="AG261" s="274"/>
      <c r="AH261" s="42"/>
      <c r="AI261" s="184"/>
      <c r="AJ261" s="185"/>
      <c r="AK261" s="211"/>
      <c r="AL261" s="225"/>
      <c r="AM261" s="193">
        <v>261</v>
      </c>
      <c r="AN261"/>
      <c r="AO261"/>
      <c r="AP261"/>
      <c r="AQ261"/>
      <c r="AR261"/>
      <c r="AS261"/>
      <c r="AT261"/>
    </row>
    <row r="262" spans="1:46" x14ac:dyDescent="0.25">
      <c r="A262" s="123"/>
      <c r="B262" s="23"/>
      <c r="C262" s="24"/>
      <c r="D262" s="21"/>
      <c r="E262" s="21"/>
      <c r="F262" s="99" t="s">
        <v>98</v>
      </c>
      <c r="G262" s="25"/>
      <c r="H262" s="24"/>
      <c r="I262" s="44"/>
      <c r="J262" s="172"/>
      <c r="K262" s="172"/>
      <c r="L262" s="25"/>
      <c r="M262" s="24"/>
      <c r="N262" s="44"/>
      <c r="O262" s="172"/>
      <c r="P262" s="172"/>
      <c r="Q262" s="25"/>
      <c r="R262" s="24"/>
      <c r="S262" s="44"/>
      <c r="T262" s="172"/>
      <c r="U262" s="172"/>
      <c r="V262" s="25"/>
      <c r="W262" s="24"/>
      <c r="X262" s="44"/>
      <c r="Y262" s="172"/>
      <c r="Z262" s="172"/>
      <c r="AA262" s="25"/>
      <c r="AB262" s="24"/>
      <c r="AC262" s="44"/>
      <c r="AD262" s="184"/>
      <c r="AE262" s="185"/>
      <c r="AF262" s="25"/>
      <c r="AG262" s="272"/>
      <c r="AH262" s="44"/>
      <c r="AI262" s="184"/>
      <c r="AJ262" s="185"/>
      <c r="AK262" s="212"/>
      <c r="AL262" s="225"/>
      <c r="AM262" s="193">
        <v>262</v>
      </c>
    </row>
    <row r="263" spans="1:46" ht="15.75" thickBot="1" x14ac:dyDescent="0.3">
      <c r="A263" s="138" t="s">
        <v>44</v>
      </c>
      <c r="B263" s="139"/>
      <c r="C263" s="140"/>
      <c r="D263" s="141"/>
      <c r="E263" s="141"/>
      <c r="F263" s="99" t="s">
        <v>98</v>
      </c>
      <c r="G263" s="142"/>
      <c r="H263" s="288">
        <f>H243</f>
        <v>0</v>
      </c>
      <c r="I263" s="143">
        <v>0</v>
      </c>
      <c r="J263" s="175"/>
      <c r="K263" s="175"/>
      <c r="L263" s="142"/>
      <c r="M263" s="288">
        <f>M243</f>
        <v>0</v>
      </c>
      <c r="N263" s="143">
        <v>0</v>
      </c>
      <c r="O263" s="175"/>
      <c r="P263" s="175"/>
      <c r="Q263" s="142"/>
      <c r="R263" s="288">
        <f>R243</f>
        <v>0</v>
      </c>
      <c r="S263" s="143">
        <v>0</v>
      </c>
      <c r="T263" s="175"/>
      <c r="U263" s="175"/>
      <c r="V263" s="142"/>
      <c r="W263" s="288">
        <f>W243</f>
        <v>0</v>
      </c>
      <c r="X263" s="143">
        <v>0</v>
      </c>
      <c r="Y263" s="175"/>
      <c r="Z263" s="175"/>
      <c r="AA263" s="142"/>
      <c r="AB263" s="288">
        <f>AB243</f>
        <v>0</v>
      </c>
      <c r="AC263" s="143">
        <v>0</v>
      </c>
      <c r="AD263" s="189"/>
      <c r="AE263" s="190"/>
      <c r="AF263" s="142"/>
      <c r="AG263" s="288">
        <f>AG243</f>
        <v>0</v>
      </c>
      <c r="AH263" s="143">
        <v>0</v>
      </c>
      <c r="AI263" s="184"/>
      <c r="AJ263" s="185"/>
      <c r="AK263" s="217">
        <f>H263+M263+R263+W263+AB263+AG263</f>
        <v>0</v>
      </c>
      <c r="AL263" s="228">
        <f>I263+N263+S263+X263+AC263</f>
        <v>0</v>
      </c>
      <c r="AM263" s="197">
        <v>263</v>
      </c>
    </row>
    <row r="264" spans="1:46" x14ac:dyDescent="0.25">
      <c r="A264" s="63"/>
      <c r="B264" s="64"/>
      <c r="C264" s="64"/>
      <c r="D264" s="64"/>
      <c r="E264" s="64"/>
      <c r="F264" s="64"/>
      <c r="G264" s="64"/>
      <c r="H264" s="64"/>
      <c r="I264" s="65"/>
      <c r="J264" s="164"/>
      <c r="K264" s="165"/>
      <c r="L264" s="64"/>
      <c r="M264" s="65"/>
      <c r="N264" s="64"/>
      <c r="O264" s="165"/>
      <c r="P264" s="165"/>
      <c r="Q264" s="64"/>
      <c r="R264" s="65"/>
      <c r="S264" s="64"/>
      <c r="T264" s="165"/>
      <c r="U264" s="165"/>
      <c r="V264" s="64"/>
      <c r="W264" s="65"/>
      <c r="X264" s="64"/>
      <c r="Y264" s="165"/>
      <c r="Z264" s="165"/>
      <c r="AA264" s="64"/>
      <c r="AB264" s="65"/>
    </row>
    <row r="265" spans="1:46" x14ac:dyDescent="0.25">
      <c r="A265" s="63"/>
      <c r="B265" s="64"/>
      <c r="C265" s="64"/>
      <c r="D265" s="64"/>
      <c r="E265" s="64"/>
      <c r="F265" s="64"/>
      <c r="G265" s="64"/>
      <c r="H265" s="64"/>
      <c r="I265" s="65"/>
      <c r="J265" s="164"/>
      <c r="K265" s="165"/>
      <c r="L265" s="64"/>
      <c r="M265" s="65"/>
      <c r="N265" s="64"/>
      <c r="O265" s="165"/>
      <c r="P265" s="165"/>
      <c r="Q265" s="64"/>
      <c r="R265" s="65"/>
      <c r="S265" s="64"/>
      <c r="T265" s="165"/>
      <c r="U265" s="165"/>
      <c r="V265" s="64"/>
      <c r="W265" s="65"/>
      <c r="X265" s="64"/>
      <c r="Y265" s="165"/>
      <c r="Z265" s="165"/>
      <c r="AA265" s="64"/>
      <c r="AB265" s="65"/>
    </row>
    <row r="266" spans="1:46" x14ac:dyDescent="0.25">
      <c r="A266" s="39"/>
    </row>
    <row r="267" spans="1:46" ht="15.75" thickBot="1" x14ac:dyDescent="0.3"/>
    <row r="268" spans="1:46" ht="15.75" thickBot="1" x14ac:dyDescent="0.3">
      <c r="A268" s="66" t="s">
        <v>45</v>
      </c>
      <c r="B268" s="67" t="s">
        <v>13</v>
      </c>
      <c r="C268" s="68" t="s">
        <v>46</v>
      </c>
      <c r="D268" s="69"/>
      <c r="E268" s="69"/>
      <c r="F268" s="69"/>
    </row>
    <row r="269" spans="1:46" x14ac:dyDescent="0.25">
      <c r="A269" s="70" t="s">
        <v>27</v>
      </c>
      <c r="B269" s="71">
        <f>AL234</f>
        <v>0</v>
      </c>
      <c r="C269" s="72"/>
      <c r="G269" s="4"/>
      <c r="I269" s="2"/>
      <c r="J269" s="163"/>
      <c r="K269" s="162"/>
      <c r="M269" s="2"/>
      <c r="N269" s="4"/>
      <c r="O269" s="162"/>
      <c r="P269" s="162"/>
      <c r="R269" s="2"/>
      <c r="S269" s="4"/>
      <c r="T269" s="162"/>
      <c r="U269" s="162"/>
      <c r="V269" s="5"/>
      <c r="AB269" s="2"/>
      <c r="AC269" s="2"/>
      <c r="AD269" s="163"/>
      <c r="AE269" s="163"/>
      <c r="AF269" s="163"/>
      <c r="AG269" s="163"/>
      <c r="AH269" s="163"/>
      <c r="AI269" s="163"/>
      <c r="AJ269" s="163"/>
      <c r="AK269" s="2"/>
    </row>
    <row r="270" spans="1:46" x14ac:dyDescent="0.25">
      <c r="A270" s="73" t="s">
        <v>47</v>
      </c>
      <c r="B270" s="74">
        <f>+AL240</f>
        <v>0</v>
      </c>
      <c r="C270" s="75"/>
      <c r="G270" s="4"/>
      <c r="I270" s="2"/>
      <c r="J270" s="163"/>
      <c r="K270" s="162"/>
      <c r="M270" s="2"/>
      <c r="N270" s="4"/>
      <c r="O270" s="162"/>
      <c r="P270" s="162"/>
      <c r="R270" s="2"/>
      <c r="S270" s="4"/>
      <c r="T270" s="162"/>
      <c r="U270" s="162"/>
      <c r="V270" s="5"/>
      <c r="AB270" s="2"/>
      <c r="AC270" s="2"/>
      <c r="AD270" s="163"/>
      <c r="AE270" s="163"/>
      <c r="AF270" s="163"/>
      <c r="AG270" s="163"/>
      <c r="AH270" s="163"/>
      <c r="AI270" s="163"/>
      <c r="AJ270" s="163"/>
      <c r="AK270" s="2"/>
    </row>
    <row r="271" spans="1:46" x14ac:dyDescent="0.25">
      <c r="A271" s="76" t="s">
        <v>35</v>
      </c>
      <c r="B271" s="77">
        <f>AL247</f>
        <v>0</v>
      </c>
      <c r="C271" s="78"/>
      <c r="G271" s="4"/>
      <c r="I271" s="2"/>
      <c r="J271" s="163"/>
      <c r="K271" s="162"/>
      <c r="M271" s="2"/>
      <c r="N271" s="4"/>
      <c r="O271" s="162"/>
      <c r="P271" s="162"/>
      <c r="R271" s="2"/>
      <c r="S271" s="4"/>
      <c r="T271" s="162"/>
      <c r="U271" s="162"/>
      <c r="V271" s="5"/>
      <c r="AB271" s="2"/>
      <c r="AC271" s="2"/>
      <c r="AD271" s="163"/>
      <c r="AE271" s="163"/>
      <c r="AF271" s="163"/>
      <c r="AG271" s="163"/>
      <c r="AH271" s="163"/>
      <c r="AI271" s="163"/>
      <c r="AJ271" s="163"/>
      <c r="AK271" s="2"/>
    </row>
    <row r="272" spans="1:46" ht="15.75" thickBot="1" x14ac:dyDescent="0.3">
      <c r="A272" s="79" t="s">
        <v>48</v>
      </c>
      <c r="B272" s="80">
        <f>B270+B271</f>
        <v>0</v>
      </c>
      <c r="C272" s="81" t="e">
        <f>B272/B269</f>
        <v>#DIV/0!</v>
      </c>
      <c r="D272" s="82"/>
      <c r="E272" s="82"/>
      <c r="F272" s="82"/>
    </row>
    <row r="274" spans="1:37" ht="15.75" thickBot="1" x14ac:dyDescent="0.3"/>
    <row r="275" spans="1:37" ht="15.75" thickBot="1" x14ac:dyDescent="0.3">
      <c r="A275" s="66" t="s">
        <v>49</v>
      </c>
      <c r="B275" s="67" t="s">
        <v>13</v>
      </c>
      <c r="C275" s="68" t="s">
        <v>46</v>
      </c>
      <c r="D275" s="69"/>
      <c r="E275" s="69"/>
      <c r="F275" s="69"/>
    </row>
    <row r="276" spans="1:37" x14ac:dyDescent="0.25">
      <c r="A276" s="70" t="s">
        <v>14</v>
      </c>
      <c r="B276" s="71">
        <f>AL96</f>
        <v>0</v>
      </c>
      <c r="C276" s="72"/>
      <c r="D276" s="4"/>
      <c r="E276" s="4"/>
      <c r="H276" s="4"/>
      <c r="I276" s="5"/>
      <c r="J276" s="166"/>
      <c r="K276" s="162"/>
      <c r="M276" s="2"/>
      <c r="R276" s="2"/>
      <c r="W276" s="2"/>
      <c r="AB276" s="2"/>
      <c r="AC276" s="2"/>
      <c r="AD276" s="163"/>
      <c r="AE276" s="163"/>
      <c r="AF276" s="163"/>
      <c r="AG276" s="163"/>
      <c r="AH276" s="163"/>
      <c r="AI276" s="163"/>
      <c r="AJ276" s="163"/>
      <c r="AK276" s="2"/>
    </row>
    <row r="277" spans="1:37" ht="15.75" thickBot="1" x14ac:dyDescent="0.3">
      <c r="A277" s="79" t="s">
        <v>50</v>
      </c>
      <c r="B277" s="80">
        <f>$AL$246</f>
        <v>0</v>
      </c>
      <c r="C277" s="83" t="e">
        <f>B277/B276</f>
        <v>#DIV/0!</v>
      </c>
      <c r="D277" s="84"/>
      <c r="E277" s="84"/>
      <c r="F277" s="84"/>
    </row>
    <row r="279" spans="1:37" ht="45" customHeight="1" x14ac:dyDescent="0.25">
      <c r="A279" s="382"/>
      <c r="B279" s="382"/>
      <c r="C279" s="382"/>
      <c r="D279" s="382"/>
      <c r="E279" s="382"/>
      <c r="F279" s="382"/>
      <c r="G279" s="382"/>
      <c r="H279" s="382"/>
      <c r="I279" s="383"/>
      <c r="J279" s="383"/>
      <c r="K279" s="383"/>
      <c r="L279" s="383"/>
      <c r="M279" s="383"/>
      <c r="N279" s="383"/>
      <c r="O279" s="167"/>
      <c r="P279" s="167"/>
    </row>
    <row r="280" spans="1:37" ht="18.75" x14ac:dyDescent="0.3">
      <c r="A280" s="336" t="s">
        <v>238</v>
      </c>
    </row>
    <row r="281" spans="1:37" ht="16.5" thickBot="1" x14ac:dyDescent="0.3">
      <c r="A281" s="328" t="s">
        <v>237</v>
      </c>
      <c r="B281" s="335" t="s">
        <v>233</v>
      </c>
      <c r="C281" s="335" t="s">
        <v>234</v>
      </c>
      <c r="D281" s="335" t="s">
        <v>235</v>
      </c>
    </row>
    <row r="282" spans="1:37" ht="48" thickBot="1" x14ac:dyDescent="0.3">
      <c r="A282" s="334" t="s">
        <v>236</v>
      </c>
      <c r="B282" s="338" t="s">
        <v>244</v>
      </c>
      <c r="C282" s="333" t="s">
        <v>241</v>
      </c>
      <c r="D282" s="338" t="s">
        <v>242</v>
      </c>
    </row>
    <row r="283" spans="1:37" ht="15.75" x14ac:dyDescent="0.25">
      <c r="A283" s="329" t="str">
        <f>G5</f>
        <v>Ordering Period Year 1</v>
      </c>
      <c r="B283" s="329" t="e">
        <f>I248/H243</f>
        <v>#DIV/0!</v>
      </c>
      <c r="C283" s="337" t="e">
        <f t="shared" ref="C283:C288" si="21">ROUND(B283,2)</f>
        <v>#DIV/0!</v>
      </c>
      <c r="D283" s="332" t="e">
        <f>C283*H243</f>
        <v>#DIV/0!</v>
      </c>
    </row>
    <row r="284" spans="1:37" ht="15.75" x14ac:dyDescent="0.25">
      <c r="A284" s="331" t="str">
        <f>L5</f>
        <v>Ordering Period Year 2</v>
      </c>
      <c r="B284" s="331" t="e">
        <f>N248/M243</f>
        <v>#DIV/0!</v>
      </c>
      <c r="C284" s="337" t="e">
        <f t="shared" si="21"/>
        <v>#DIV/0!</v>
      </c>
      <c r="D284" s="330" t="e">
        <f>C284*M243</f>
        <v>#DIV/0!</v>
      </c>
    </row>
    <row r="285" spans="1:37" ht="15.75" x14ac:dyDescent="0.25">
      <c r="A285" s="331" t="str">
        <f>Q5</f>
        <v>Ordering Period Year 3</v>
      </c>
      <c r="B285" s="331" t="e">
        <f>S248/R243</f>
        <v>#DIV/0!</v>
      </c>
      <c r="C285" s="337" t="e">
        <f t="shared" si="21"/>
        <v>#DIV/0!</v>
      </c>
      <c r="D285" s="330" t="e">
        <f>C285*R243</f>
        <v>#DIV/0!</v>
      </c>
    </row>
    <row r="286" spans="1:37" ht="15.75" x14ac:dyDescent="0.25">
      <c r="A286" s="331" t="str">
        <f>V5</f>
        <v>Ordering Period Year 4</v>
      </c>
      <c r="B286" s="331" t="e">
        <f>X248/W243</f>
        <v>#DIV/0!</v>
      </c>
      <c r="C286" s="337" t="e">
        <f t="shared" si="21"/>
        <v>#DIV/0!</v>
      </c>
      <c r="D286" s="330" t="e">
        <f>C286*W243</f>
        <v>#DIV/0!</v>
      </c>
    </row>
    <row r="287" spans="1:37" ht="15.75" x14ac:dyDescent="0.25">
      <c r="A287" s="331" t="str">
        <f>AA5</f>
        <v>Ordering Period Year 5</v>
      </c>
      <c r="B287" s="331" t="e">
        <f>AC248/AB243</f>
        <v>#DIV/0!</v>
      </c>
      <c r="C287" s="337" t="e">
        <f t="shared" si="21"/>
        <v>#DIV/0!</v>
      </c>
      <c r="D287" s="330" t="e">
        <f>C287*AB243</f>
        <v>#DIV/0!</v>
      </c>
    </row>
    <row r="288" spans="1:37" ht="15.75" x14ac:dyDescent="0.25">
      <c r="A288" s="331" t="str">
        <f>AF5</f>
        <v>Ordering Period Year 6</v>
      </c>
      <c r="B288" s="331" t="e">
        <f>AH248/AG243</f>
        <v>#DIV/0!</v>
      </c>
      <c r="C288" s="337" t="e">
        <f t="shared" si="21"/>
        <v>#DIV/0!</v>
      </c>
      <c r="D288" s="330" t="e">
        <f>C288*AG243</f>
        <v>#DIV/0!</v>
      </c>
    </row>
  </sheetData>
  <sheetProtection selectLockedCells="1"/>
  <mergeCells count="14">
    <mergeCell ref="A279:N279"/>
    <mergeCell ref="G5:I5"/>
    <mergeCell ref="J5:K5"/>
    <mergeCell ref="AK5:AL5"/>
    <mergeCell ref="L5:N5"/>
    <mergeCell ref="AA5:AC5"/>
    <mergeCell ref="V5:X5"/>
    <mergeCell ref="Q5:S5"/>
    <mergeCell ref="O5:P5"/>
    <mergeCell ref="T5:U5"/>
    <mergeCell ref="Y5:Z5"/>
    <mergeCell ref="AD5:AE5"/>
    <mergeCell ref="AF5:AH5"/>
    <mergeCell ref="AI5:AJ5"/>
  </mergeCells>
  <conditionalFormatting sqref="D283">
    <cfRule type="expression" dxfId="12" priority="6">
      <formula>$D$283=$I$248</formula>
    </cfRule>
    <cfRule type="expression" dxfId="11" priority="12">
      <formula>$D$285&lt;&gt;$I$248</formula>
    </cfRule>
  </conditionalFormatting>
  <conditionalFormatting sqref="D284">
    <cfRule type="expression" dxfId="10" priority="5">
      <formula>$D$284=$N$248</formula>
    </cfRule>
    <cfRule type="expression" dxfId="9" priority="11">
      <formula>$D$286&lt;&gt;$N$248</formula>
    </cfRule>
  </conditionalFormatting>
  <conditionalFormatting sqref="D285">
    <cfRule type="expression" dxfId="8" priority="4">
      <formula>$D$285=$S$248</formula>
    </cfRule>
    <cfRule type="expression" dxfId="7" priority="10">
      <formula>$D$287&lt;&gt;$S$248</formula>
    </cfRule>
  </conditionalFormatting>
  <conditionalFormatting sqref="D286">
    <cfRule type="expression" dxfId="6" priority="3">
      <formula>$D$286=$X$248</formula>
    </cfRule>
    <cfRule type="expression" dxfId="5" priority="9">
      <formula>$D$288&lt;&gt;$X$248</formula>
    </cfRule>
  </conditionalFormatting>
  <conditionalFormatting sqref="D287">
    <cfRule type="expression" dxfId="4" priority="2">
      <formula>$D$287=$AC$248</formula>
    </cfRule>
    <cfRule type="expression" dxfId="3" priority="8">
      <formula>$D$289&lt;&gt;$AC$248</formula>
    </cfRule>
  </conditionalFormatting>
  <conditionalFormatting sqref="D288">
    <cfRule type="expression" dxfId="2" priority="1">
      <formula>$D$288=$AH$248</formula>
    </cfRule>
    <cfRule type="expression" dxfId="1" priority="7">
      <formula>$D$290&lt;&gt;$AH$248</formula>
    </cfRule>
  </conditionalFormatting>
  <conditionalFormatting sqref="G9:G77">
    <cfRule type="cellIs" dxfId="0" priority="13" operator="lessThan">
      <formula>F9</formula>
    </cfRule>
  </conditionalFormatting>
  <dataValidations count="1">
    <dataValidation type="list" allowBlank="1" showInputMessage="1" showErrorMessage="1" sqref="B9:B76 B135:B149 B194:B204 B207:B218 B102:B112 B115:B132 B152:B161 B164:B176 B179:B191 B221:B231" xr:uid="{00000000-0002-0000-0200-000000000000}">
      <formula1>INDIRECT("Labor_Categories[Labor Categories]")</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6" max="203" man="1"/>
    <brk id="10" max="203" man="1"/>
    <brk id="13" max="203" man="1"/>
    <brk id="18" max="203" man="1"/>
    <brk id="23" max="203" man="1"/>
    <brk id="28" max="203" man="1"/>
  </colBreaks>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154C-B05E-4B3F-B5E7-4265668B37E3}">
  <sheetPr>
    <tabColor theme="5" tint="0.59999389629810485"/>
  </sheetPr>
  <dimension ref="A2:I26"/>
  <sheetViews>
    <sheetView tabSelected="1" workbookViewId="0">
      <selection activeCell="R9" sqref="R9"/>
    </sheetView>
  </sheetViews>
  <sheetFormatPr defaultRowHeight="15" x14ac:dyDescent="0.25"/>
  <cols>
    <col min="2" max="2" width="1.5703125" customWidth="1"/>
    <col min="3" max="3" width="17.7109375" bestFit="1" customWidth="1"/>
    <col min="4" max="4" width="2.140625" customWidth="1"/>
    <col min="5" max="5" width="15.42578125" customWidth="1"/>
    <col min="6" max="6" width="1.85546875" customWidth="1"/>
    <col min="7" max="7" width="15.5703125" customWidth="1"/>
    <col min="8" max="8" width="1.28515625" customWidth="1"/>
    <col min="9" max="9" width="18.28515625" customWidth="1"/>
  </cols>
  <sheetData>
    <row r="2" spans="1:9" x14ac:dyDescent="0.25">
      <c r="A2" s="400" t="s">
        <v>271</v>
      </c>
      <c r="C2" s="400" t="s">
        <v>276</v>
      </c>
      <c r="E2" s="400" t="s">
        <v>296</v>
      </c>
      <c r="G2" s="400" t="s">
        <v>56</v>
      </c>
      <c r="I2" s="400" t="s">
        <v>297</v>
      </c>
    </row>
    <row r="3" spans="1:9" x14ac:dyDescent="0.25">
      <c r="C3" s="399"/>
      <c r="I3" s="402"/>
    </row>
    <row r="4" spans="1:9" x14ac:dyDescent="0.25">
      <c r="A4" s="398" t="s">
        <v>272</v>
      </c>
      <c r="C4" s="399" t="s">
        <v>277</v>
      </c>
      <c r="E4" s="399"/>
      <c r="I4" s="402">
        <f>E4+G4</f>
        <v>0</v>
      </c>
    </row>
    <row r="5" spans="1:9" x14ac:dyDescent="0.25">
      <c r="A5" s="398" t="s">
        <v>273</v>
      </c>
      <c r="C5" s="399" t="s">
        <v>300</v>
      </c>
      <c r="E5" s="399"/>
      <c r="I5" s="402">
        <f t="shared" ref="I5:I23" si="0">E5+G5</f>
        <v>0</v>
      </c>
    </row>
    <row r="6" spans="1:9" x14ac:dyDescent="0.25">
      <c r="A6" s="398" t="s">
        <v>274</v>
      </c>
      <c r="C6" s="399" t="s">
        <v>278</v>
      </c>
      <c r="E6" s="399"/>
      <c r="I6" s="402">
        <f t="shared" si="0"/>
        <v>0</v>
      </c>
    </row>
    <row r="7" spans="1:9" x14ac:dyDescent="0.25">
      <c r="A7" s="398" t="s">
        <v>275</v>
      </c>
      <c r="C7" s="399" t="s">
        <v>279</v>
      </c>
      <c r="E7" s="399" t="s">
        <v>298</v>
      </c>
      <c r="I7" s="402"/>
    </row>
    <row r="8" spans="1:9" x14ac:dyDescent="0.25">
      <c r="A8" s="399">
        <v>1001</v>
      </c>
      <c r="C8" s="399" t="s">
        <v>280</v>
      </c>
      <c r="E8" s="399"/>
      <c r="I8" s="402">
        <f t="shared" si="0"/>
        <v>0</v>
      </c>
    </row>
    <row r="9" spans="1:9" x14ac:dyDescent="0.25">
      <c r="A9" s="399">
        <v>1002</v>
      </c>
      <c r="C9" s="399" t="s">
        <v>281</v>
      </c>
      <c r="E9" s="399"/>
      <c r="I9" s="402">
        <f t="shared" si="0"/>
        <v>0</v>
      </c>
    </row>
    <row r="10" spans="1:9" x14ac:dyDescent="0.25">
      <c r="A10" s="399">
        <v>1003</v>
      </c>
      <c r="C10" s="399" t="s">
        <v>282</v>
      </c>
      <c r="E10" s="399"/>
      <c r="I10" s="402">
        <f t="shared" si="0"/>
        <v>0</v>
      </c>
    </row>
    <row r="11" spans="1:9" x14ac:dyDescent="0.25">
      <c r="A11" s="399">
        <v>1004</v>
      </c>
      <c r="C11" s="399" t="s">
        <v>283</v>
      </c>
      <c r="E11" s="399" t="s">
        <v>298</v>
      </c>
      <c r="I11" s="402"/>
    </row>
    <row r="12" spans="1:9" x14ac:dyDescent="0.25">
      <c r="A12" s="399">
        <v>2001</v>
      </c>
      <c r="C12" s="399" t="s">
        <v>284</v>
      </c>
      <c r="E12" s="399"/>
      <c r="I12" s="402">
        <f t="shared" si="0"/>
        <v>0</v>
      </c>
    </row>
    <row r="13" spans="1:9" x14ac:dyDescent="0.25">
      <c r="A13" s="399">
        <v>2002</v>
      </c>
      <c r="C13" s="399" t="s">
        <v>285</v>
      </c>
      <c r="E13" s="399"/>
      <c r="I13" s="402">
        <f t="shared" si="0"/>
        <v>0</v>
      </c>
    </row>
    <row r="14" spans="1:9" x14ac:dyDescent="0.25">
      <c r="A14" s="399">
        <v>2003</v>
      </c>
      <c r="C14" s="399" t="s">
        <v>286</v>
      </c>
      <c r="E14" s="399"/>
      <c r="I14" s="402">
        <f t="shared" si="0"/>
        <v>0</v>
      </c>
    </row>
    <row r="15" spans="1:9" x14ac:dyDescent="0.25">
      <c r="A15" s="399">
        <v>2004</v>
      </c>
      <c r="C15" s="399" t="s">
        <v>287</v>
      </c>
      <c r="E15" s="399" t="s">
        <v>298</v>
      </c>
      <c r="I15" s="402"/>
    </row>
    <row r="16" spans="1:9" x14ac:dyDescent="0.25">
      <c r="A16" s="399">
        <v>3001</v>
      </c>
      <c r="C16" s="399" t="s">
        <v>288</v>
      </c>
      <c r="E16" s="399"/>
      <c r="I16" s="402">
        <f t="shared" si="0"/>
        <v>0</v>
      </c>
    </row>
    <row r="17" spans="1:9" x14ac:dyDescent="0.25">
      <c r="A17" s="399">
        <v>3002</v>
      </c>
      <c r="C17" s="399" t="s">
        <v>289</v>
      </c>
      <c r="E17" s="399"/>
      <c r="I17" s="402">
        <f t="shared" si="0"/>
        <v>0</v>
      </c>
    </row>
    <row r="18" spans="1:9" x14ac:dyDescent="0.25">
      <c r="A18" s="399">
        <v>3003</v>
      </c>
      <c r="C18" s="399" t="s">
        <v>290</v>
      </c>
      <c r="E18" s="399"/>
      <c r="I18" s="402">
        <f t="shared" si="0"/>
        <v>0</v>
      </c>
    </row>
    <row r="19" spans="1:9" x14ac:dyDescent="0.25">
      <c r="A19" s="399">
        <v>3004</v>
      </c>
      <c r="C19" s="399" t="s">
        <v>291</v>
      </c>
      <c r="E19" s="399" t="s">
        <v>298</v>
      </c>
      <c r="I19" s="402"/>
    </row>
    <row r="20" spans="1:9" x14ac:dyDescent="0.25">
      <c r="A20" s="399">
        <v>4001</v>
      </c>
      <c r="C20" s="399" t="s">
        <v>292</v>
      </c>
      <c r="E20" s="399"/>
      <c r="I20" s="402">
        <f t="shared" si="0"/>
        <v>0</v>
      </c>
    </row>
    <row r="21" spans="1:9" x14ac:dyDescent="0.25">
      <c r="A21" s="399">
        <v>4002</v>
      </c>
      <c r="C21" s="399" t="s">
        <v>293</v>
      </c>
      <c r="E21" s="399"/>
      <c r="I21" s="402">
        <f t="shared" si="0"/>
        <v>0</v>
      </c>
    </row>
    <row r="22" spans="1:9" x14ac:dyDescent="0.25">
      <c r="A22" s="399">
        <v>4003</v>
      </c>
      <c r="C22" s="399" t="s">
        <v>294</v>
      </c>
      <c r="E22" s="399"/>
      <c r="I22" s="402">
        <f t="shared" si="0"/>
        <v>0</v>
      </c>
    </row>
    <row r="23" spans="1:9" x14ac:dyDescent="0.25">
      <c r="A23" s="399">
        <v>4004</v>
      </c>
      <c r="C23" s="399" t="s">
        <v>295</v>
      </c>
      <c r="E23" s="399" t="s">
        <v>298</v>
      </c>
      <c r="I23" s="402"/>
    </row>
    <row r="25" spans="1:9" ht="15.75" thickBot="1" x14ac:dyDescent="0.3">
      <c r="A25" s="401" t="s">
        <v>299</v>
      </c>
      <c r="E25" s="403" cm="1">
        <f t="array" ref="E25">SUM(E4:E6+E8:E10+E12:E14+E16:E18+E20:E22)</f>
        <v>0</v>
      </c>
      <c r="F25" s="402"/>
      <c r="G25" s="403" cm="1">
        <f t="array" ref="G25">SUM(G4:G6+G8:G10+G12:G14+G16:G18+G20:G22)</f>
        <v>0</v>
      </c>
      <c r="H25" s="402" cm="1">
        <f t="array" ref="H25">SUM(H4:H6+H8:H10+H12:H14+H16:H18+H20:H22)</f>
        <v>0</v>
      </c>
      <c r="I25" s="403" cm="1">
        <f t="array" ref="I25">SUM(I4:I6+I8:I10+I12:I14+I16:I18+I20:I22)</f>
        <v>0</v>
      </c>
    </row>
    <row r="26" spans="1:9" ht="15.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2" tint="-9.9978637043366805E-2"/>
  </sheetPr>
  <dimension ref="A2:HQ47"/>
  <sheetViews>
    <sheetView zoomScale="110" zoomScaleNormal="110" workbookViewId="0">
      <selection activeCell="A17" sqref="A17"/>
    </sheetView>
  </sheetViews>
  <sheetFormatPr defaultRowHeight="15" x14ac:dyDescent="0.25"/>
  <cols>
    <col min="1" max="1" width="77.5703125" bestFit="1" customWidth="1"/>
    <col min="2" max="2" width="29.28515625" customWidth="1"/>
    <col min="3" max="3" width="26.28515625" customWidth="1"/>
    <col min="4" max="4" width="25.140625" customWidth="1"/>
    <col min="5" max="5" width="20" customWidth="1"/>
    <col min="6" max="6" width="22.42578125" customWidth="1"/>
    <col min="7" max="7" width="17.140625" customWidth="1"/>
    <col min="8" max="8" width="22.42578125" customWidth="1"/>
    <col min="9" max="9" width="17.140625" customWidth="1"/>
    <col min="10" max="10" width="22.42578125" customWidth="1"/>
    <col min="11" max="11" width="17.140625" customWidth="1"/>
    <col min="12" max="12" width="22.42578125" customWidth="1"/>
    <col min="13" max="13" width="17.140625" customWidth="1"/>
    <col min="18" max="18" width="45.42578125" customWidth="1"/>
  </cols>
  <sheetData>
    <row r="2" spans="1:225" ht="30" x14ac:dyDescent="0.25">
      <c r="A2" s="339" t="s">
        <v>245</v>
      </c>
      <c r="B2" s="339" t="s">
        <v>12</v>
      </c>
      <c r="C2" s="339" t="s">
        <v>107</v>
      </c>
      <c r="D2" s="119" t="s">
        <v>151</v>
      </c>
      <c r="E2" s="119" t="s">
        <v>89</v>
      </c>
      <c r="F2" s="119" t="s">
        <v>153</v>
      </c>
      <c r="G2" s="119" t="s">
        <v>90</v>
      </c>
      <c r="H2" s="119" t="s">
        <v>251</v>
      </c>
      <c r="I2" s="119" t="s">
        <v>250</v>
      </c>
      <c r="J2" s="119" t="s">
        <v>154</v>
      </c>
      <c r="K2" s="119" t="s">
        <v>91</v>
      </c>
      <c r="L2" s="119" t="s">
        <v>188</v>
      </c>
      <c r="M2" s="149" t="s">
        <v>249</v>
      </c>
    </row>
    <row r="3" spans="1:225" s="249" customFormat="1" ht="15" customHeight="1" x14ac:dyDescent="0.25">
      <c r="A3" s="346" t="s">
        <v>265</v>
      </c>
      <c r="B3" s="350" t="s">
        <v>248</v>
      </c>
      <c r="C3" s="350" t="s">
        <v>246</v>
      </c>
      <c r="D3" s="350">
        <v>3840</v>
      </c>
      <c r="E3" s="350">
        <v>0</v>
      </c>
      <c r="F3" s="350">
        <v>3840</v>
      </c>
      <c r="G3" s="350">
        <v>0</v>
      </c>
      <c r="H3" s="350">
        <v>3840</v>
      </c>
      <c r="I3" s="350">
        <v>0</v>
      </c>
      <c r="J3" s="350">
        <v>3840</v>
      </c>
      <c r="K3" s="350">
        <v>0</v>
      </c>
      <c r="L3" s="350">
        <v>3840</v>
      </c>
      <c r="M3" s="350">
        <v>0</v>
      </c>
      <c r="N3" s="269"/>
      <c r="O3" s="269"/>
      <c r="P3" s="269"/>
      <c r="Q3" s="269"/>
      <c r="R3" s="269"/>
      <c r="S3" s="269"/>
      <c r="T3" s="269"/>
      <c r="U3" s="269"/>
      <c r="V3" s="269"/>
      <c r="W3" s="269"/>
      <c r="X3" s="269"/>
      <c r="Y3" s="269"/>
      <c r="Z3" s="269"/>
      <c r="AA3" s="269"/>
      <c r="AB3" s="269"/>
      <c r="AC3" s="269"/>
      <c r="AD3" s="269"/>
      <c r="AE3" s="269"/>
      <c r="AF3" s="269"/>
      <c r="AG3" s="269"/>
      <c r="AH3" s="269"/>
      <c r="AI3" s="269"/>
      <c r="AJ3" s="269"/>
      <c r="AK3" s="269"/>
      <c r="AL3" s="269"/>
      <c r="AM3" s="269"/>
      <c r="AN3" s="269"/>
      <c r="AO3" s="269"/>
      <c r="AP3" s="269"/>
      <c r="AQ3" s="269"/>
      <c r="AR3" s="269"/>
      <c r="AS3" s="269"/>
      <c r="AT3" s="269"/>
      <c r="AU3" s="269"/>
      <c r="AV3" s="269"/>
      <c r="AW3" s="269"/>
      <c r="AX3" s="269"/>
      <c r="AY3" s="269"/>
      <c r="AZ3" s="269"/>
      <c r="BA3" s="269"/>
      <c r="BB3" s="269"/>
      <c r="BC3" s="269"/>
      <c r="BD3" s="269"/>
      <c r="BE3" s="269"/>
      <c r="BF3" s="269"/>
      <c r="BG3" s="269"/>
      <c r="BH3" s="269"/>
      <c r="BI3" s="269"/>
      <c r="BJ3" s="269"/>
      <c r="BK3" s="269"/>
      <c r="BL3" s="269"/>
      <c r="BM3" s="269"/>
      <c r="BN3" s="269"/>
      <c r="BO3" s="269"/>
      <c r="BP3" s="269"/>
      <c r="BQ3" s="269"/>
      <c r="BR3" s="269"/>
      <c r="BS3" s="269"/>
      <c r="BT3" s="269"/>
      <c r="BU3" s="269"/>
      <c r="BV3" s="269"/>
      <c r="BW3" s="269"/>
      <c r="BX3" s="269"/>
      <c r="BY3" s="269"/>
      <c r="BZ3" s="269"/>
      <c r="CA3" s="269"/>
      <c r="CB3" s="269"/>
      <c r="CC3" s="269"/>
      <c r="CD3" s="269"/>
      <c r="CE3" s="269"/>
      <c r="CF3" s="269"/>
      <c r="CG3" s="269"/>
      <c r="CH3" s="269"/>
      <c r="CI3" s="269"/>
      <c r="CJ3" s="269"/>
      <c r="CK3" s="269"/>
      <c r="CL3" s="269"/>
      <c r="CM3" s="269"/>
      <c r="CN3" s="269"/>
      <c r="CO3" s="269"/>
      <c r="CP3" s="269"/>
      <c r="CQ3" s="269"/>
      <c r="CR3" s="269"/>
      <c r="CS3" s="269"/>
      <c r="CT3" s="269"/>
      <c r="CU3" s="269"/>
      <c r="CV3" s="269"/>
      <c r="CW3" s="269"/>
      <c r="CX3" s="269"/>
      <c r="CY3" s="269"/>
      <c r="CZ3" s="269"/>
      <c r="DA3" s="269"/>
      <c r="DB3" s="269"/>
      <c r="DC3" s="269"/>
      <c r="DD3" s="269"/>
      <c r="DE3" s="269"/>
      <c r="DF3" s="269"/>
      <c r="DG3" s="269"/>
      <c r="DH3" s="269"/>
      <c r="DI3" s="269"/>
      <c r="DJ3" s="269"/>
      <c r="DK3" s="269"/>
      <c r="DL3" s="269"/>
      <c r="DM3" s="269"/>
      <c r="DN3" s="269"/>
      <c r="DO3" s="269"/>
      <c r="DP3" s="269"/>
      <c r="DQ3" s="269"/>
      <c r="DR3" s="269"/>
      <c r="DS3" s="269"/>
      <c r="DT3" s="269"/>
      <c r="DU3" s="269"/>
      <c r="DV3" s="269"/>
      <c r="DW3" s="269"/>
      <c r="DX3" s="269"/>
      <c r="DY3" s="269"/>
      <c r="DZ3" s="269"/>
      <c r="EA3" s="269"/>
      <c r="EB3" s="269"/>
      <c r="EC3" s="269"/>
      <c r="ED3" s="269"/>
      <c r="EE3" s="269"/>
      <c r="EF3" s="269"/>
      <c r="EG3" s="269"/>
      <c r="EH3" s="269"/>
      <c r="EI3" s="269"/>
      <c r="EJ3" s="269"/>
      <c r="EK3" s="269"/>
      <c r="EL3" s="269"/>
      <c r="EM3" s="269"/>
      <c r="EN3" s="269"/>
      <c r="EO3" s="269"/>
      <c r="EP3" s="269"/>
      <c r="EQ3" s="269"/>
      <c r="ER3" s="269"/>
      <c r="ES3" s="269"/>
      <c r="ET3" s="269"/>
      <c r="EU3" s="269"/>
      <c r="EV3" s="269"/>
      <c r="EW3" s="269"/>
      <c r="EX3" s="269"/>
      <c r="EY3" s="269"/>
      <c r="EZ3" s="269"/>
      <c r="FA3" s="269"/>
      <c r="FB3" s="269"/>
      <c r="FC3" s="269"/>
      <c r="FD3" s="269"/>
      <c r="FE3" s="269"/>
      <c r="FF3" s="269"/>
      <c r="FG3" s="269"/>
      <c r="FH3" s="269"/>
      <c r="FI3" s="269"/>
      <c r="FJ3" s="269"/>
      <c r="FK3" s="269"/>
      <c r="FL3" s="269"/>
      <c r="FM3" s="269"/>
      <c r="FN3" s="269"/>
      <c r="FO3" s="269"/>
      <c r="FP3" s="269"/>
      <c r="FQ3" s="269"/>
      <c r="FR3" s="269"/>
      <c r="FS3" s="269"/>
      <c r="FT3" s="269"/>
      <c r="FU3" s="269"/>
      <c r="FV3" s="269"/>
      <c r="FW3" s="269"/>
      <c r="FX3" s="269"/>
      <c r="FY3" s="269"/>
      <c r="FZ3" s="269"/>
      <c r="GA3" s="269"/>
      <c r="GB3" s="269"/>
      <c r="GC3" s="269"/>
      <c r="GD3" s="269"/>
      <c r="GE3" s="269"/>
      <c r="GF3" s="269"/>
      <c r="GG3" s="269"/>
      <c r="GH3" s="269"/>
      <c r="GI3" s="269"/>
      <c r="GJ3" s="269"/>
      <c r="GK3" s="269"/>
      <c r="GL3" s="269"/>
      <c r="GM3" s="269"/>
      <c r="GN3" s="269"/>
      <c r="GO3" s="269"/>
      <c r="GP3" s="269"/>
      <c r="GQ3" s="269"/>
      <c r="GR3" s="269"/>
      <c r="GS3" s="269"/>
      <c r="GT3" s="269"/>
      <c r="GU3" s="269"/>
      <c r="GV3" s="269"/>
      <c r="GW3" s="269"/>
      <c r="GX3" s="269"/>
      <c r="GY3" s="269"/>
      <c r="GZ3" s="269"/>
      <c r="HA3" s="269"/>
      <c r="HB3" s="269"/>
      <c r="HC3" s="269"/>
      <c r="HD3" s="269"/>
      <c r="HE3" s="269"/>
      <c r="HF3" s="269"/>
      <c r="HG3" s="269"/>
      <c r="HH3" s="269"/>
      <c r="HI3" s="269"/>
      <c r="HJ3" s="269"/>
      <c r="HK3" s="269"/>
      <c r="HL3" s="269"/>
      <c r="HM3" s="269"/>
      <c r="HN3" s="269"/>
      <c r="HO3" s="269"/>
      <c r="HP3" s="269"/>
      <c r="HQ3" s="269"/>
    </row>
    <row r="4" spans="1:225" s="249" customFormat="1" ht="15" customHeight="1" x14ac:dyDescent="0.25">
      <c r="A4" s="240" t="s">
        <v>252</v>
      </c>
      <c r="B4" s="353" t="s">
        <v>248</v>
      </c>
      <c r="C4" s="353" t="s">
        <v>246</v>
      </c>
      <c r="D4" s="353">
        <v>3840</v>
      </c>
      <c r="E4" s="353">
        <v>0</v>
      </c>
      <c r="F4" s="353">
        <v>3840</v>
      </c>
      <c r="G4" s="353">
        <v>0</v>
      </c>
      <c r="H4" s="353">
        <v>3840</v>
      </c>
      <c r="I4" s="353">
        <v>0</v>
      </c>
      <c r="J4" s="353">
        <v>3840</v>
      </c>
      <c r="K4" s="353">
        <v>0</v>
      </c>
      <c r="L4" s="353">
        <v>3840</v>
      </c>
      <c r="M4" s="353">
        <v>0</v>
      </c>
      <c r="N4" s="269"/>
      <c r="O4" s="269"/>
      <c r="P4" s="269"/>
      <c r="Q4" s="269"/>
      <c r="R4" s="269"/>
      <c r="S4" s="269"/>
      <c r="T4" s="269"/>
      <c r="U4" s="269"/>
      <c r="V4" s="269"/>
      <c r="W4" s="269"/>
      <c r="X4" s="269"/>
      <c r="Y4" s="269"/>
      <c r="Z4" s="269"/>
      <c r="AA4" s="269"/>
      <c r="AB4" s="269"/>
      <c r="AC4" s="269"/>
      <c r="AD4" s="269"/>
      <c r="AE4" s="269"/>
      <c r="AF4" s="269"/>
      <c r="AG4" s="269"/>
      <c r="AH4" s="269"/>
      <c r="AI4" s="269"/>
      <c r="AJ4" s="269"/>
      <c r="AK4" s="269"/>
      <c r="AL4" s="269"/>
      <c r="AM4" s="269"/>
      <c r="AN4" s="269"/>
      <c r="AO4" s="269"/>
      <c r="AP4" s="269"/>
      <c r="AQ4" s="269"/>
      <c r="AR4" s="269"/>
      <c r="AS4" s="269"/>
      <c r="AT4" s="269"/>
      <c r="AU4" s="269"/>
      <c r="AV4" s="269"/>
      <c r="AW4" s="269"/>
      <c r="AX4" s="269"/>
      <c r="AY4" s="269"/>
      <c r="AZ4" s="269"/>
      <c r="BA4" s="269"/>
      <c r="BB4" s="269"/>
      <c r="BC4" s="269"/>
      <c r="BD4" s="269"/>
      <c r="BE4" s="269"/>
      <c r="BF4" s="269"/>
      <c r="BG4" s="269"/>
      <c r="BH4" s="269"/>
      <c r="BI4" s="269"/>
      <c r="BJ4" s="269"/>
      <c r="BK4" s="269"/>
      <c r="BL4" s="269"/>
      <c r="BM4" s="269"/>
      <c r="BN4" s="269"/>
      <c r="BO4" s="269"/>
      <c r="BP4" s="269"/>
      <c r="BQ4" s="269"/>
      <c r="BR4" s="269"/>
      <c r="BS4" s="269"/>
      <c r="BT4" s="269"/>
      <c r="BU4" s="269"/>
      <c r="BV4" s="269"/>
      <c r="BW4" s="269"/>
      <c r="BX4" s="269"/>
      <c r="BY4" s="269"/>
      <c r="BZ4" s="269"/>
      <c r="CA4" s="269"/>
      <c r="CB4" s="269"/>
      <c r="CC4" s="269"/>
      <c r="CD4" s="269"/>
      <c r="CE4" s="269"/>
      <c r="CF4" s="269"/>
      <c r="CG4" s="269"/>
      <c r="CH4" s="269"/>
      <c r="CI4" s="269"/>
      <c r="CJ4" s="269"/>
      <c r="CK4" s="269"/>
      <c r="CL4" s="269"/>
      <c r="CM4" s="269"/>
      <c r="CN4" s="269"/>
      <c r="CO4" s="269"/>
      <c r="CP4" s="269"/>
      <c r="CQ4" s="269"/>
      <c r="CR4" s="269"/>
      <c r="CS4" s="269"/>
      <c r="CT4" s="269"/>
      <c r="CU4" s="269"/>
      <c r="CV4" s="269"/>
      <c r="CW4" s="269"/>
      <c r="CX4" s="269"/>
      <c r="CY4" s="269"/>
      <c r="CZ4" s="269"/>
      <c r="DA4" s="269"/>
      <c r="DB4" s="269"/>
      <c r="DC4" s="269"/>
      <c r="DD4" s="269"/>
      <c r="DE4" s="269"/>
      <c r="DF4" s="269"/>
      <c r="DG4" s="269"/>
      <c r="DH4" s="269"/>
      <c r="DI4" s="269"/>
      <c r="DJ4" s="269"/>
      <c r="DK4" s="269"/>
      <c r="DL4" s="269"/>
      <c r="DM4" s="269"/>
      <c r="DN4" s="269"/>
      <c r="DO4" s="269"/>
      <c r="DP4" s="269"/>
      <c r="DQ4" s="269"/>
      <c r="DR4" s="269"/>
      <c r="DS4" s="269"/>
      <c r="DT4" s="269"/>
      <c r="DU4" s="269"/>
      <c r="DV4" s="269"/>
      <c r="DW4" s="269"/>
      <c r="DX4" s="269"/>
      <c r="DY4" s="269"/>
      <c r="DZ4" s="269"/>
      <c r="EA4" s="269"/>
      <c r="EB4" s="269"/>
      <c r="EC4" s="269"/>
      <c r="ED4" s="269"/>
      <c r="EE4" s="269"/>
      <c r="EF4" s="269"/>
      <c r="EG4" s="269"/>
      <c r="EH4" s="269"/>
      <c r="EI4" s="269"/>
      <c r="EJ4" s="269"/>
      <c r="EK4" s="269"/>
      <c r="EL4" s="269"/>
      <c r="EM4" s="269"/>
      <c r="EN4" s="269"/>
      <c r="EO4" s="269"/>
      <c r="EP4" s="269"/>
      <c r="EQ4" s="269"/>
      <c r="ER4" s="269"/>
      <c r="ES4" s="269"/>
      <c r="ET4" s="269"/>
      <c r="EU4" s="269"/>
      <c r="EV4" s="269"/>
      <c r="EW4" s="269"/>
      <c r="EX4" s="269"/>
      <c r="EY4" s="269"/>
      <c r="EZ4" s="269"/>
      <c r="FA4" s="269"/>
      <c r="FB4" s="269"/>
      <c r="FC4" s="269"/>
      <c r="FD4" s="269"/>
      <c r="FE4" s="269"/>
      <c r="FF4" s="269"/>
      <c r="FG4" s="269"/>
      <c r="FH4" s="269"/>
      <c r="FI4" s="269"/>
      <c r="FJ4" s="269"/>
      <c r="FK4" s="269"/>
      <c r="FL4" s="269"/>
      <c r="FM4" s="269"/>
      <c r="FN4" s="269"/>
      <c r="FO4" s="269"/>
      <c r="FP4" s="269"/>
      <c r="FQ4" s="269"/>
      <c r="FR4" s="269"/>
      <c r="FS4" s="269"/>
      <c r="FT4" s="269"/>
      <c r="FU4" s="269"/>
      <c r="FV4" s="269"/>
      <c r="FW4" s="269"/>
      <c r="FX4" s="269"/>
      <c r="FY4" s="269"/>
      <c r="FZ4" s="269"/>
      <c r="GA4" s="269"/>
      <c r="GB4" s="269"/>
      <c r="GC4" s="269"/>
      <c r="GD4" s="269"/>
      <c r="GE4" s="269"/>
      <c r="GF4" s="269"/>
      <c r="GG4" s="269"/>
      <c r="GH4" s="269"/>
      <c r="GI4" s="269"/>
      <c r="GJ4" s="269"/>
      <c r="GK4" s="269"/>
      <c r="GL4" s="269"/>
      <c r="GM4" s="269"/>
      <c r="GN4" s="269"/>
      <c r="GO4" s="269"/>
      <c r="GP4" s="269"/>
      <c r="GQ4" s="269"/>
      <c r="GR4" s="269"/>
      <c r="GS4" s="269"/>
      <c r="GT4" s="269"/>
      <c r="GU4" s="269"/>
      <c r="GV4" s="269"/>
      <c r="GW4" s="269"/>
      <c r="GX4" s="269"/>
      <c r="GY4" s="269"/>
      <c r="GZ4" s="269"/>
      <c r="HA4" s="269"/>
      <c r="HB4" s="269"/>
      <c r="HC4" s="269"/>
      <c r="HD4" s="269"/>
      <c r="HE4" s="269"/>
      <c r="HF4" s="269"/>
      <c r="HG4" s="269"/>
      <c r="HH4" s="269"/>
      <c r="HI4" s="269"/>
      <c r="HJ4" s="269"/>
      <c r="HK4" s="269"/>
      <c r="HL4" s="269"/>
      <c r="HM4" s="269"/>
      <c r="HN4" s="269"/>
      <c r="HO4" s="269"/>
      <c r="HP4" s="269"/>
      <c r="HQ4" s="269"/>
    </row>
    <row r="5" spans="1:225" s="249" customFormat="1" ht="15" customHeight="1" x14ac:dyDescent="0.25">
      <c r="A5" s="346" t="s">
        <v>253</v>
      </c>
      <c r="B5" s="350" t="s">
        <v>248</v>
      </c>
      <c r="C5" s="350" t="s">
        <v>246</v>
      </c>
      <c r="D5" s="350">
        <v>3840</v>
      </c>
      <c r="E5" s="350">
        <v>0</v>
      </c>
      <c r="F5" s="350">
        <v>3840</v>
      </c>
      <c r="G5" s="350">
        <v>0</v>
      </c>
      <c r="H5" s="350">
        <v>3840</v>
      </c>
      <c r="I5" s="350">
        <v>0</v>
      </c>
      <c r="J5" s="350">
        <v>3840</v>
      </c>
      <c r="K5" s="350">
        <v>0</v>
      </c>
      <c r="L5" s="350">
        <v>3840</v>
      </c>
      <c r="M5" s="350">
        <v>0</v>
      </c>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269"/>
      <c r="BD5" s="269"/>
      <c r="BE5" s="269"/>
      <c r="BF5" s="269"/>
      <c r="BG5" s="269"/>
      <c r="BH5" s="269"/>
      <c r="BI5" s="269"/>
      <c r="BJ5" s="269"/>
      <c r="BK5" s="269"/>
      <c r="BL5" s="269"/>
      <c r="BM5" s="269"/>
      <c r="BN5" s="269"/>
      <c r="BO5" s="269"/>
      <c r="BP5" s="269"/>
      <c r="BQ5" s="269"/>
      <c r="BR5" s="269"/>
      <c r="BS5" s="269"/>
      <c r="BT5" s="269"/>
      <c r="BU5" s="269"/>
      <c r="BV5" s="269"/>
      <c r="BW5" s="269"/>
      <c r="BX5" s="269"/>
      <c r="BY5" s="269"/>
      <c r="BZ5" s="269"/>
      <c r="CA5" s="269"/>
      <c r="CB5" s="269"/>
      <c r="CC5" s="269"/>
      <c r="CD5" s="269"/>
      <c r="CE5" s="269"/>
      <c r="CF5" s="269"/>
      <c r="CG5" s="269"/>
      <c r="CH5" s="269"/>
      <c r="CI5" s="269"/>
      <c r="CJ5" s="269"/>
      <c r="CK5" s="269"/>
      <c r="CL5" s="269"/>
      <c r="CM5" s="269"/>
      <c r="CN5" s="269"/>
      <c r="CO5" s="269"/>
      <c r="CP5" s="269"/>
      <c r="CQ5" s="269"/>
      <c r="CR5" s="269"/>
      <c r="CS5" s="269"/>
      <c r="CT5" s="269"/>
      <c r="CU5" s="269"/>
      <c r="CV5" s="269"/>
      <c r="CW5" s="269"/>
      <c r="CX5" s="269"/>
      <c r="CY5" s="269"/>
      <c r="CZ5" s="269"/>
      <c r="DA5" s="269"/>
      <c r="DB5" s="269"/>
      <c r="DC5" s="269"/>
      <c r="DD5" s="269"/>
      <c r="DE5" s="269"/>
      <c r="DF5" s="269"/>
      <c r="DG5" s="269"/>
      <c r="DH5" s="269"/>
      <c r="DI5" s="269"/>
      <c r="DJ5" s="269"/>
      <c r="DK5" s="269"/>
      <c r="DL5" s="269"/>
      <c r="DM5" s="269"/>
      <c r="DN5" s="269"/>
      <c r="DO5" s="269"/>
      <c r="DP5" s="269"/>
      <c r="DQ5" s="269"/>
      <c r="DR5" s="269"/>
      <c r="DS5" s="269"/>
      <c r="DT5" s="269"/>
      <c r="DU5" s="269"/>
      <c r="DV5" s="269"/>
      <c r="DW5" s="269"/>
      <c r="DX5" s="269"/>
      <c r="DY5" s="269"/>
      <c r="DZ5" s="269"/>
      <c r="EA5" s="269"/>
      <c r="EB5" s="269"/>
      <c r="EC5" s="269"/>
      <c r="ED5" s="269"/>
      <c r="EE5" s="269"/>
      <c r="EF5" s="269"/>
      <c r="EG5" s="269"/>
      <c r="EH5" s="269"/>
      <c r="EI5" s="269"/>
      <c r="EJ5" s="269"/>
      <c r="EK5" s="269"/>
      <c r="EL5" s="269"/>
      <c r="EM5" s="269"/>
      <c r="EN5" s="269"/>
      <c r="EO5" s="269"/>
      <c r="EP5" s="269"/>
      <c r="EQ5" s="269"/>
      <c r="ER5" s="269"/>
      <c r="ES5" s="269"/>
      <c r="ET5" s="269"/>
      <c r="EU5" s="269"/>
      <c r="EV5" s="269"/>
      <c r="EW5" s="269"/>
      <c r="EX5" s="269"/>
      <c r="EY5" s="269"/>
      <c r="EZ5" s="269"/>
      <c r="FA5" s="269"/>
      <c r="FB5" s="269"/>
      <c r="FC5" s="269"/>
      <c r="FD5" s="269"/>
      <c r="FE5" s="269"/>
      <c r="FF5" s="269"/>
      <c r="FG5" s="269"/>
      <c r="FH5" s="269"/>
      <c r="FI5" s="269"/>
      <c r="FJ5" s="269"/>
      <c r="FK5" s="269"/>
      <c r="FL5" s="269"/>
      <c r="FM5" s="269"/>
      <c r="FN5" s="269"/>
      <c r="FO5" s="269"/>
      <c r="FP5" s="269"/>
      <c r="FQ5" s="269"/>
      <c r="FR5" s="269"/>
      <c r="FS5" s="269"/>
      <c r="FT5" s="269"/>
      <c r="FU5" s="269"/>
      <c r="FV5" s="269"/>
      <c r="FW5" s="269"/>
      <c r="FX5" s="269"/>
      <c r="FY5" s="269"/>
      <c r="FZ5" s="269"/>
      <c r="GA5" s="269"/>
      <c r="GB5" s="269"/>
      <c r="GC5" s="269"/>
      <c r="GD5" s="269"/>
      <c r="GE5" s="269"/>
      <c r="GF5" s="269"/>
      <c r="GG5" s="269"/>
      <c r="GH5" s="269"/>
      <c r="GI5" s="269"/>
      <c r="GJ5" s="269"/>
      <c r="GK5" s="269"/>
      <c r="GL5" s="269"/>
      <c r="GM5" s="269"/>
      <c r="GN5" s="269"/>
      <c r="GO5" s="269"/>
      <c r="GP5" s="269"/>
      <c r="GQ5" s="269"/>
      <c r="GR5" s="269"/>
      <c r="GS5" s="269"/>
      <c r="GT5" s="269"/>
      <c r="GU5" s="269"/>
      <c r="GV5" s="269"/>
      <c r="GW5" s="269"/>
      <c r="GX5" s="269"/>
      <c r="GY5" s="269"/>
      <c r="GZ5" s="269"/>
      <c r="HA5" s="269"/>
      <c r="HB5" s="269"/>
      <c r="HC5" s="269"/>
      <c r="HD5" s="269"/>
      <c r="HE5" s="269"/>
      <c r="HF5" s="269"/>
      <c r="HG5" s="269"/>
      <c r="HH5" s="269"/>
      <c r="HI5" s="269"/>
      <c r="HJ5" s="269"/>
      <c r="HK5" s="269"/>
      <c r="HL5" s="269"/>
      <c r="HM5" s="269"/>
      <c r="HN5" s="269"/>
      <c r="HO5" s="269"/>
      <c r="HP5" s="269"/>
      <c r="HQ5" s="269"/>
    </row>
    <row r="6" spans="1:225" s="249" customFormat="1" ht="15" customHeight="1" x14ac:dyDescent="0.25">
      <c r="A6" s="117" t="s">
        <v>254</v>
      </c>
      <c r="B6" s="350" t="s">
        <v>248</v>
      </c>
      <c r="C6" s="350" t="s">
        <v>246</v>
      </c>
      <c r="D6" s="350">
        <v>1920</v>
      </c>
      <c r="E6" s="350">
        <v>0</v>
      </c>
      <c r="F6" s="350">
        <v>1920</v>
      </c>
      <c r="G6" s="350">
        <v>0</v>
      </c>
      <c r="H6" s="350">
        <v>1920</v>
      </c>
      <c r="I6" s="350">
        <v>0</v>
      </c>
      <c r="J6" s="350">
        <v>1920</v>
      </c>
      <c r="K6" s="350">
        <v>0</v>
      </c>
      <c r="L6" s="350">
        <v>1920</v>
      </c>
      <c r="M6" s="350">
        <v>0</v>
      </c>
      <c r="N6" s="269"/>
      <c r="O6" s="269"/>
      <c r="P6" s="269"/>
      <c r="Q6" s="269"/>
      <c r="R6" s="269"/>
      <c r="S6" s="269"/>
      <c r="T6" s="269"/>
      <c r="U6" s="269"/>
      <c r="V6" s="269"/>
      <c r="W6" s="269"/>
      <c r="X6" s="269"/>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69"/>
      <c r="BK6" s="269"/>
      <c r="BL6" s="269"/>
      <c r="BM6" s="269"/>
      <c r="BN6" s="269"/>
      <c r="BO6" s="269"/>
      <c r="BP6" s="269"/>
      <c r="BQ6" s="269"/>
      <c r="BR6" s="269"/>
      <c r="BS6" s="269"/>
      <c r="BT6" s="269"/>
      <c r="BU6" s="269"/>
      <c r="BV6" s="269"/>
      <c r="BW6" s="269"/>
      <c r="BX6" s="269"/>
      <c r="BY6" s="269"/>
      <c r="BZ6" s="269"/>
      <c r="CA6" s="269"/>
      <c r="CB6" s="269"/>
      <c r="CC6" s="269"/>
      <c r="CD6" s="269"/>
      <c r="CE6" s="269"/>
      <c r="CF6" s="269"/>
      <c r="CG6" s="269"/>
      <c r="CH6" s="269"/>
      <c r="CI6" s="269"/>
      <c r="CJ6" s="269"/>
      <c r="CK6" s="269"/>
      <c r="CL6" s="269"/>
      <c r="CM6" s="269"/>
      <c r="CN6" s="269"/>
      <c r="CO6" s="269"/>
      <c r="CP6" s="269"/>
      <c r="CQ6" s="269"/>
      <c r="CR6" s="269"/>
      <c r="CS6" s="269"/>
      <c r="CT6" s="269"/>
      <c r="CU6" s="269"/>
      <c r="CV6" s="269"/>
      <c r="CW6" s="269"/>
      <c r="CX6" s="269"/>
      <c r="CY6" s="269"/>
      <c r="CZ6" s="269"/>
      <c r="DA6" s="269"/>
      <c r="DB6" s="269"/>
      <c r="DC6" s="269"/>
      <c r="DD6" s="269"/>
      <c r="DE6" s="269"/>
      <c r="DF6" s="269"/>
      <c r="DG6" s="269"/>
      <c r="DH6" s="269"/>
      <c r="DI6" s="269"/>
      <c r="DJ6" s="269"/>
      <c r="DK6" s="269"/>
      <c r="DL6" s="269"/>
      <c r="DM6" s="269"/>
      <c r="DN6" s="269"/>
      <c r="DO6" s="269"/>
      <c r="DP6" s="269"/>
      <c r="DQ6" s="269"/>
      <c r="DR6" s="269"/>
      <c r="DS6" s="269"/>
      <c r="DT6" s="269"/>
      <c r="DU6" s="269"/>
      <c r="DV6" s="269"/>
      <c r="DW6" s="269"/>
      <c r="DX6" s="269"/>
      <c r="DY6" s="269"/>
      <c r="DZ6" s="269"/>
      <c r="EA6" s="269"/>
      <c r="EB6" s="269"/>
      <c r="EC6" s="269"/>
      <c r="ED6" s="269"/>
      <c r="EE6" s="269"/>
      <c r="EF6" s="269"/>
      <c r="EG6" s="269"/>
      <c r="EH6" s="269"/>
      <c r="EI6" s="269"/>
      <c r="EJ6" s="269"/>
      <c r="EK6" s="269"/>
      <c r="EL6" s="269"/>
      <c r="EM6" s="269"/>
      <c r="EN6" s="269"/>
      <c r="EO6" s="269"/>
      <c r="EP6" s="269"/>
      <c r="EQ6" s="269"/>
      <c r="ER6" s="269"/>
      <c r="ES6" s="269"/>
      <c r="ET6" s="269"/>
      <c r="EU6" s="269"/>
      <c r="EV6" s="269"/>
      <c r="EW6" s="269"/>
      <c r="EX6" s="269"/>
      <c r="EY6" s="269"/>
      <c r="EZ6" s="269"/>
      <c r="FA6" s="269"/>
      <c r="FB6" s="269"/>
      <c r="FC6" s="269"/>
      <c r="FD6" s="269"/>
      <c r="FE6" s="269"/>
      <c r="FF6" s="269"/>
      <c r="FG6" s="269"/>
      <c r="FH6" s="269"/>
      <c r="FI6" s="269"/>
      <c r="FJ6" s="269"/>
      <c r="FK6" s="269"/>
      <c r="FL6" s="269"/>
      <c r="FM6" s="269"/>
      <c r="FN6" s="269"/>
      <c r="FO6" s="269"/>
      <c r="FP6" s="269"/>
      <c r="FQ6" s="269"/>
      <c r="FR6" s="269"/>
      <c r="FS6" s="269"/>
      <c r="FT6" s="269"/>
      <c r="FU6" s="269"/>
      <c r="FV6" s="269"/>
      <c r="FW6" s="269"/>
      <c r="FX6" s="269"/>
      <c r="FY6" s="269"/>
      <c r="FZ6" s="269"/>
      <c r="GA6" s="269"/>
      <c r="GB6" s="269"/>
      <c r="GC6" s="269"/>
      <c r="GD6" s="269"/>
      <c r="GE6" s="269"/>
      <c r="GF6" s="269"/>
      <c r="GG6" s="269"/>
      <c r="GH6" s="269"/>
      <c r="GI6" s="269"/>
      <c r="GJ6" s="269"/>
      <c r="GK6" s="269"/>
      <c r="GL6" s="269"/>
      <c r="GM6" s="269"/>
      <c r="GN6" s="269"/>
      <c r="GO6" s="269"/>
      <c r="GP6" s="269"/>
      <c r="GQ6" s="269"/>
      <c r="GR6" s="269"/>
      <c r="GS6" s="269"/>
      <c r="GT6" s="269"/>
      <c r="GU6" s="269"/>
      <c r="GV6" s="269"/>
      <c r="GW6" s="269"/>
      <c r="GX6" s="269"/>
      <c r="GY6" s="269"/>
      <c r="GZ6" s="269"/>
      <c r="HA6" s="269"/>
      <c r="HB6" s="269"/>
      <c r="HC6" s="269"/>
      <c r="HD6" s="269"/>
      <c r="HE6" s="269"/>
      <c r="HF6" s="269"/>
      <c r="HG6" s="269"/>
      <c r="HH6" s="269"/>
      <c r="HI6" s="269"/>
      <c r="HJ6" s="269"/>
      <c r="HK6" s="269"/>
      <c r="HL6" s="269"/>
      <c r="HM6" s="269"/>
      <c r="HN6" s="269"/>
      <c r="HO6" s="269"/>
      <c r="HP6" s="269"/>
      <c r="HQ6" s="269"/>
    </row>
    <row r="7" spans="1:225" s="249" customFormat="1" ht="15" customHeight="1" x14ac:dyDescent="0.25">
      <c r="A7" s="345" t="s">
        <v>266</v>
      </c>
      <c r="B7" s="353" t="s">
        <v>248</v>
      </c>
      <c r="C7" s="353" t="s">
        <v>246</v>
      </c>
      <c r="D7" s="353">
        <v>3840</v>
      </c>
      <c r="E7" s="353">
        <v>0</v>
      </c>
      <c r="F7" s="353">
        <v>3840</v>
      </c>
      <c r="G7" s="353">
        <v>0</v>
      </c>
      <c r="H7" s="353">
        <v>3840</v>
      </c>
      <c r="I7" s="353">
        <v>0</v>
      </c>
      <c r="J7" s="353">
        <v>3840</v>
      </c>
      <c r="K7" s="353">
        <v>0</v>
      </c>
      <c r="L7" s="353">
        <v>3840</v>
      </c>
      <c r="M7" s="353">
        <v>0</v>
      </c>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69"/>
      <c r="BK7" s="269"/>
      <c r="BL7" s="269"/>
      <c r="BM7" s="269"/>
      <c r="BN7" s="269"/>
      <c r="BO7" s="269"/>
      <c r="BP7" s="269"/>
      <c r="BQ7" s="269"/>
      <c r="BR7" s="269"/>
      <c r="BS7" s="269"/>
      <c r="BT7" s="269"/>
      <c r="BU7" s="269"/>
      <c r="BV7" s="269"/>
      <c r="BW7" s="269"/>
      <c r="BX7" s="269"/>
      <c r="BY7" s="269"/>
      <c r="BZ7" s="269"/>
      <c r="CA7" s="269"/>
      <c r="CB7" s="269"/>
      <c r="CC7" s="269"/>
      <c r="CD7" s="269"/>
      <c r="CE7" s="269"/>
      <c r="CF7" s="269"/>
      <c r="CG7" s="269"/>
      <c r="CH7" s="269"/>
      <c r="CI7" s="269"/>
      <c r="CJ7" s="269"/>
      <c r="CK7" s="269"/>
      <c r="CL7" s="269"/>
      <c r="CM7" s="269"/>
      <c r="CN7" s="269"/>
      <c r="CO7" s="269"/>
      <c r="CP7" s="269"/>
      <c r="CQ7" s="269"/>
      <c r="CR7" s="269"/>
      <c r="CS7" s="269"/>
      <c r="CT7" s="269"/>
      <c r="CU7" s="269"/>
      <c r="CV7" s="269"/>
      <c r="CW7" s="269"/>
      <c r="CX7" s="269"/>
      <c r="CY7" s="269"/>
      <c r="CZ7" s="269"/>
      <c r="DA7" s="269"/>
      <c r="DB7" s="269"/>
      <c r="DC7" s="269"/>
      <c r="DD7" s="269"/>
      <c r="DE7" s="269"/>
      <c r="DF7" s="269"/>
      <c r="DG7" s="269"/>
      <c r="DH7" s="269"/>
      <c r="DI7" s="269"/>
      <c r="DJ7" s="269"/>
      <c r="DK7" s="269"/>
      <c r="DL7" s="269"/>
      <c r="DM7" s="269"/>
      <c r="DN7" s="269"/>
      <c r="DO7" s="269"/>
      <c r="DP7" s="269"/>
      <c r="DQ7" s="269"/>
      <c r="DR7" s="269"/>
      <c r="DS7" s="269"/>
      <c r="DT7" s="269"/>
      <c r="DU7" s="269"/>
      <c r="DV7" s="269"/>
      <c r="DW7" s="269"/>
      <c r="DX7" s="269"/>
      <c r="DY7" s="269"/>
      <c r="DZ7" s="269"/>
      <c r="EA7" s="269"/>
      <c r="EB7" s="269"/>
      <c r="EC7" s="269"/>
      <c r="ED7" s="269"/>
      <c r="EE7" s="269"/>
      <c r="EF7" s="269"/>
      <c r="EG7" s="269"/>
      <c r="EH7" s="269"/>
      <c r="EI7" s="269"/>
      <c r="EJ7" s="269"/>
      <c r="EK7" s="269"/>
      <c r="EL7" s="269"/>
      <c r="EM7" s="269"/>
      <c r="EN7" s="269"/>
      <c r="EO7" s="269"/>
      <c r="EP7" s="269"/>
      <c r="EQ7" s="269"/>
      <c r="ER7" s="269"/>
      <c r="ES7" s="269"/>
      <c r="ET7" s="269"/>
      <c r="EU7" s="269"/>
      <c r="EV7" s="269"/>
      <c r="EW7" s="269"/>
      <c r="EX7" s="269"/>
      <c r="EY7" s="269"/>
      <c r="EZ7" s="269"/>
      <c r="FA7" s="269"/>
      <c r="FB7" s="269"/>
      <c r="FC7" s="269"/>
      <c r="FD7" s="269"/>
      <c r="FE7" s="269"/>
      <c r="FF7" s="269"/>
      <c r="FG7" s="269"/>
      <c r="FH7" s="269"/>
      <c r="FI7" s="269"/>
      <c r="FJ7" s="269"/>
      <c r="FK7" s="269"/>
      <c r="FL7" s="269"/>
      <c r="FM7" s="269"/>
      <c r="FN7" s="269"/>
      <c r="FO7" s="269"/>
      <c r="FP7" s="269"/>
      <c r="FQ7" s="269"/>
      <c r="FR7" s="269"/>
      <c r="FS7" s="269"/>
      <c r="FT7" s="269"/>
      <c r="FU7" s="269"/>
      <c r="FV7" s="269"/>
      <c r="FW7" s="269"/>
      <c r="FX7" s="269"/>
      <c r="FY7" s="269"/>
      <c r="FZ7" s="269"/>
      <c r="GA7" s="269"/>
      <c r="GB7" s="269"/>
      <c r="GC7" s="269"/>
      <c r="GD7" s="269"/>
      <c r="GE7" s="269"/>
      <c r="GF7" s="269"/>
      <c r="GG7" s="269"/>
      <c r="GH7" s="269"/>
      <c r="GI7" s="269"/>
      <c r="GJ7" s="269"/>
      <c r="GK7" s="269"/>
      <c r="GL7" s="269"/>
      <c r="GM7" s="269"/>
      <c r="GN7" s="269"/>
      <c r="GO7" s="269"/>
      <c r="GP7" s="269"/>
      <c r="GQ7" s="269"/>
      <c r="GR7" s="269"/>
      <c r="GS7" s="269"/>
      <c r="GT7" s="269"/>
      <c r="GU7" s="269"/>
      <c r="GV7" s="269"/>
      <c r="GW7" s="269"/>
      <c r="GX7" s="269"/>
      <c r="GY7" s="269"/>
      <c r="GZ7" s="269"/>
      <c r="HA7" s="269"/>
      <c r="HB7" s="269"/>
      <c r="HC7" s="269"/>
      <c r="HD7" s="269"/>
      <c r="HE7" s="269"/>
      <c r="HF7" s="269"/>
      <c r="HG7" s="269"/>
      <c r="HH7" s="269"/>
      <c r="HI7" s="269"/>
      <c r="HJ7" s="269"/>
      <c r="HK7" s="269"/>
      <c r="HL7" s="269"/>
      <c r="HM7" s="269"/>
      <c r="HN7" s="269"/>
      <c r="HO7" s="269"/>
      <c r="HP7" s="269"/>
      <c r="HQ7" s="269"/>
    </row>
    <row r="8" spans="1:225" s="249" customFormat="1" ht="15" customHeight="1" x14ac:dyDescent="0.25">
      <c r="A8" s="117" t="s">
        <v>255</v>
      </c>
      <c r="B8" s="350" t="s">
        <v>248</v>
      </c>
      <c r="C8" s="350" t="s">
        <v>246</v>
      </c>
      <c r="D8" s="350">
        <v>3840</v>
      </c>
      <c r="E8" s="350">
        <v>0</v>
      </c>
      <c r="F8" s="350">
        <v>3840</v>
      </c>
      <c r="G8" s="350">
        <v>0</v>
      </c>
      <c r="H8" s="350">
        <v>3840</v>
      </c>
      <c r="I8" s="350">
        <v>0</v>
      </c>
      <c r="J8" s="350">
        <v>3840</v>
      </c>
      <c r="K8" s="350">
        <v>0</v>
      </c>
      <c r="L8" s="350">
        <v>3840</v>
      </c>
      <c r="M8" s="350">
        <v>0</v>
      </c>
      <c r="N8" s="269"/>
      <c r="O8" s="269"/>
      <c r="P8" s="269"/>
      <c r="Q8" s="269"/>
      <c r="R8" s="269"/>
      <c r="S8" s="269"/>
      <c r="T8" s="269"/>
      <c r="U8" s="269"/>
      <c r="V8" s="269"/>
      <c r="W8" s="269"/>
      <c r="X8" s="269"/>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c r="BK8" s="269"/>
      <c r="BL8" s="269"/>
      <c r="BM8" s="269"/>
      <c r="BN8" s="269"/>
      <c r="BO8" s="269"/>
      <c r="BP8" s="269"/>
      <c r="BQ8" s="269"/>
      <c r="BR8" s="269"/>
      <c r="BS8" s="269"/>
      <c r="BT8" s="269"/>
      <c r="BU8" s="269"/>
      <c r="BV8" s="269"/>
      <c r="BW8" s="269"/>
      <c r="BX8" s="269"/>
      <c r="BY8" s="269"/>
      <c r="BZ8" s="269"/>
      <c r="CA8" s="269"/>
      <c r="CB8" s="269"/>
      <c r="CC8" s="269"/>
      <c r="CD8" s="269"/>
      <c r="CE8" s="269"/>
      <c r="CF8" s="269"/>
      <c r="CG8" s="269"/>
      <c r="CH8" s="269"/>
      <c r="CI8" s="269"/>
      <c r="CJ8" s="269"/>
      <c r="CK8" s="269"/>
      <c r="CL8" s="269"/>
      <c r="CM8" s="269"/>
      <c r="CN8" s="269"/>
      <c r="CO8" s="269"/>
      <c r="CP8" s="269"/>
      <c r="CQ8" s="269"/>
      <c r="CR8" s="269"/>
      <c r="CS8" s="269"/>
      <c r="CT8" s="269"/>
      <c r="CU8" s="269"/>
      <c r="CV8" s="269"/>
      <c r="CW8" s="269"/>
      <c r="CX8" s="269"/>
      <c r="CY8" s="269"/>
      <c r="CZ8" s="269"/>
      <c r="DA8" s="269"/>
      <c r="DB8" s="269"/>
      <c r="DC8" s="269"/>
      <c r="DD8" s="269"/>
      <c r="DE8" s="269"/>
      <c r="DF8" s="269"/>
      <c r="DG8" s="269"/>
      <c r="DH8" s="269"/>
      <c r="DI8" s="269"/>
      <c r="DJ8" s="269"/>
      <c r="DK8" s="269"/>
      <c r="DL8" s="269"/>
      <c r="DM8" s="269"/>
      <c r="DN8" s="269"/>
      <c r="DO8" s="269"/>
      <c r="DP8" s="269"/>
      <c r="DQ8" s="269"/>
      <c r="DR8" s="269"/>
      <c r="DS8" s="269"/>
      <c r="DT8" s="269"/>
      <c r="DU8" s="269"/>
      <c r="DV8" s="269"/>
      <c r="DW8" s="269"/>
      <c r="DX8" s="269"/>
      <c r="DY8" s="269"/>
      <c r="DZ8" s="269"/>
      <c r="EA8" s="269"/>
      <c r="EB8" s="269"/>
      <c r="EC8" s="269"/>
      <c r="ED8" s="269"/>
      <c r="EE8" s="269"/>
      <c r="EF8" s="269"/>
      <c r="EG8" s="269"/>
      <c r="EH8" s="269"/>
      <c r="EI8" s="269"/>
      <c r="EJ8" s="269"/>
      <c r="EK8" s="269"/>
      <c r="EL8" s="269"/>
      <c r="EM8" s="269"/>
      <c r="EN8" s="269"/>
      <c r="EO8" s="269"/>
      <c r="EP8" s="269"/>
      <c r="EQ8" s="269"/>
      <c r="ER8" s="269"/>
      <c r="ES8" s="269"/>
      <c r="ET8" s="269"/>
      <c r="EU8" s="269"/>
      <c r="EV8" s="269"/>
      <c r="EW8" s="269"/>
      <c r="EX8" s="269"/>
      <c r="EY8" s="269"/>
      <c r="EZ8" s="269"/>
      <c r="FA8" s="269"/>
      <c r="FB8" s="269"/>
      <c r="FC8" s="269"/>
      <c r="FD8" s="269"/>
      <c r="FE8" s="269"/>
      <c r="FF8" s="269"/>
      <c r="FG8" s="269"/>
      <c r="FH8" s="269"/>
      <c r="FI8" s="269"/>
      <c r="FJ8" s="269"/>
      <c r="FK8" s="269"/>
      <c r="FL8" s="269"/>
      <c r="FM8" s="269"/>
      <c r="FN8" s="269"/>
      <c r="FO8" s="269"/>
      <c r="FP8" s="269"/>
      <c r="FQ8" s="269"/>
      <c r="FR8" s="269"/>
      <c r="FS8" s="269"/>
      <c r="FT8" s="269"/>
      <c r="FU8" s="269"/>
      <c r="FV8" s="269"/>
      <c r="FW8" s="269"/>
      <c r="FX8" s="269"/>
      <c r="FY8" s="269"/>
      <c r="FZ8" s="269"/>
      <c r="GA8" s="269"/>
      <c r="GB8" s="269"/>
      <c r="GC8" s="269"/>
      <c r="GD8" s="269"/>
      <c r="GE8" s="269"/>
      <c r="GF8" s="269"/>
      <c r="GG8" s="269"/>
      <c r="GH8" s="269"/>
      <c r="GI8" s="269"/>
      <c r="GJ8" s="269"/>
      <c r="GK8" s="269"/>
      <c r="GL8" s="269"/>
      <c r="GM8" s="269"/>
      <c r="GN8" s="269"/>
      <c r="GO8" s="269"/>
      <c r="GP8" s="269"/>
      <c r="GQ8" s="269"/>
      <c r="GR8" s="269"/>
      <c r="GS8" s="269"/>
      <c r="GT8" s="269"/>
      <c r="GU8" s="269"/>
      <c r="GV8" s="269"/>
      <c r="GW8" s="269"/>
      <c r="GX8" s="269"/>
      <c r="GY8" s="269"/>
      <c r="GZ8" s="269"/>
      <c r="HA8" s="269"/>
      <c r="HB8" s="269"/>
      <c r="HC8" s="269"/>
      <c r="HD8" s="269"/>
      <c r="HE8" s="269"/>
      <c r="HF8" s="269"/>
      <c r="HG8" s="269"/>
      <c r="HH8" s="269"/>
      <c r="HI8" s="269"/>
      <c r="HJ8" s="269"/>
      <c r="HK8" s="269"/>
      <c r="HL8" s="269"/>
      <c r="HM8" s="269"/>
      <c r="HN8" s="269"/>
      <c r="HO8" s="269"/>
      <c r="HP8" s="269"/>
      <c r="HQ8" s="269"/>
    </row>
    <row r="9" spans="1:225" s="249" customFormat="1" ht="23.25" customHeight="1" x14ac:dyDescent="0.25">
      <c r="A9" s="117" t="s">
        <v>256</v>
      </c>
      <c r="B9" s="350" t="s">
        <v>248</v>
      </c>
      <c r="C9" s="350" t="s">
        <v>246</v>
      </c>
      <c r="D9" s="350">
        <v>3840</v>
      </c>
      <c r="E9" s="350">
        <v>0</v>
      </c>
      <c r="F9" s="350">
        <v>3840</v>
      </c>
      <c r="G9" s="350">
        <v>0</v>
      </c>
      <c r="H9" s="350">
        <v>3840</v>
      </c>
      <c r="I9" s="350">
        <v>0</v>
      </c>
      <c r="J9" s="350">
        <v>3840</v>
      </c>
      <c r="K9" s="350">
        <v>0</v>
      </c>
      <c r="L9" s="350">
        <v>3840</v>
      </c>
      <c r="M9" s="350">
        <v>0</v>
      </c>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c r="BM9" s="269"/>
      <c r="BN9" s="269"/>
      <c r="BO9" s="269"/>
      <c r="BP9" s="269"/>
      <c r="BQ9" s="269"/>
      <c r="BR9" s="269"/>
      <c r="BS9" s="269"/>
      <c r="BT9" s="269"/>
      <c r="BU9" s="269"/>
      <c r="BV9" s="269"/>
      <c r="BW9" s="269"/>
      <c r="BX9" s="269"/>
      <c r="BY9" s="269"/>
      <c r="BZ9" s="269"/>
      <c r="CA9" s="269"/>
      <c r="CB9" s="269"/>
      <c r="CC9" s="269"/>
      <c r="CD9" s="269"/>
      <c r="CE9" s="269"/>
      <c r="CF9" s="269"/>
      <c r="CG9" s="269"/>
      <c r="CH9" s="269"/>
      <c r="CI9" s="269"/>
      <c r="CJ9" s="269"/>
      <c r="CK9" s="269"/>
      <c r="CL9" s="269"/>
      <c r="CM9" s="269"/>
      <c r="CN9" s="269"/>
      <c r="CO9" s="269"/>
      <c r="CP9" s="269"/>
      <c r="CQ9" s="269"/>
      <c r="CR9" s="269"/>
      <c r="CS9" s="269"/>
      <c r="CT9" s="269"/>
      <c r="CU9" s="269"/>
      <c r="CV9" s="269"/>
      <c r="CW9" s="269"/>
      <c r="CX9" s="269"/>
      <c r="CY9" s="269"/>
      <c r="CZ9" s="269"/>
      <c r="DA9" s="269"/>
      <c r="DB9" s="269"/>
      <c r="DC9" s="269"/>
      <c r="DD9" s="269"/>
      <c r="DE9" s="269"/>
      <c r="DF9" s="269"/>
      <c r="DG9" s="269"/>
      <c r="DH9" s="269"/>
      <c r="DI9" s="269"/>
      <c r="DJ9" s="269"/>
      <c r="DK9" s="269"/>
      <c r="DL9" s="269"/>
      <c r="DM9" s="269"/>
      <c r="DN9" s="269"/>
      <c r="DO9" s="269"/>
      <c r="DP9" s="269"/>
      <c r="DQ9" s="269"/>
      <c r="DR9" s="269"/>
      <c r="DS9" s="269"/>
      <c r="DT9" s="269"/>
      <c r="DU9" s="269"/>
      <c r="DV9" s="269"/>
      <c r="DW9" s="269"/>
      <c r="DX9" s="269"/>
      <c r="DY9" s="269"/>
      <c r="DZ9" s="269"/>
      <c r="EA9" s="269"/>
      <c r="EB9" s="269"/>
      <c r="EC9" s="269"/>
      <c r="ED9" s="269"/>
      <c r="EE9" s="269"/>
      <c r="EF9" s="269"/>
      <c r="EG9" s="269"/>
      <c r="EH9" s="269"/>
      <c r="EI9" s="269"/>
      <c r="EJ9" s="269"/>
      <c r="EK9" s="269"/>
      <c r="EL9" s="269"/>
      <c r="EM9" s="269"/>
      <c r="EN9" s="269"/>
      <c r="EO9" s="269"/>
      <c r="EP9" s="269"/>
      <c r="EQ9" s="269"/>
      <c r="ER9" s="269"/>
      <c r="ES9" s="269"/>
      <c r="ET9" s="269"/>
      <c r="EU9" s="269"/>
      <c r="EV9" s="269"/>
      <c r="EW9" s="269"/>
      <c r="EX9" s="269"/>
      <c r="EY9" s="269"/>
      <c r="EZ9" s="269"/>
      <c r="FA9" s="269"/>
      <c r="FB9" s="269"/>
      <c r="FC9" s="269"/>
      <c r="FD9" s="269"/>
      <c r="FE9" s="269"/>
      <c r="FF9" s="269"/>
      <c r="FG9" s="269"/>
      <c r="FH9" s="269"/>
      <c r="FI9" s="269"/>
      <c r="FJ9" s="269"/>
      <c r="FK9" s="269"/>
      <c r="FL9" s="269"/>
      <c r="FM9" s="269"/>
      <c r="FN9" s="269"/>
      <c r="FO9" s="269"/>
      <c r="FP9" s="269"/>
      <c r="FQ9" s="269"/>
      <c r="FR9" s="269"/>
      <c r="FS9" s="269"/>
      <c r="FT9" s="269"/>
      <c r="FU9" s="269"/>
      <c r="FV9" s="269"/>
      <c r="FW9" s="269"/>
      <c r="FX9" s="269"/>
      <c r="FY9" s="269"/>
      <c r="FZ9" s="269"/>
      <c r="GA9" s="269"/>
      <c r="GB9" s="269"/>
      <c r="GC9" s="269"/>
      <c r="GD9" s="269"/>
      <c r="GE9" s="269"/>
      <c r="GF9" s="269"/>
      <c r="GG9" s="269"/>
      <c r="GH9" s="269"/>
      <c r="GI9" s="269"/>
      <c r="GJ9" s="269"/>
      <c r="GK9" s="269"/>
      <c r="GL9" s="269"/>
      <c r="GM9" s="269"/>
      <c r="GN9" s="269"/>
      <c r="GO9" s="269"/>
      <c r="GP9" s="269"/>
      <c r="GQ9" s="269"/>
      <c r="GR9" s="269"/>
      <c r="GS9" s="269"/>
      <c r="GT9" s="269"/>
      <c r="GU9" s="269"/>
      <c r="GV9" s="269"/>
      <c r="GW9" s="269"/>
      <c r="GX9" s="269"/>
      <c r="GY9" s="269"/>
      <c r="GZ9" s="269"/>
      <c r="HA9" s="269"/>
      <c r="HB9" s="269"/>
      <c r="HC9" s="269"/>
      <c r="HD9" s="269"/>
      <c r="HE9" s="269"/>
      <c r="HF9" s="269"/>
      <c r="HG9" s="269"/>
      <c r="HH9" s="269"/>
      <c r="HI9" s="269"/>
      <c r="HJ9" s="269"/>
      <c r="HK9" s="269"/>
      <c r="HL9" s="269"/>
      <c r="HM9" s="269"/>
      <c r="HN9" s="269"/>
      <c r="HO9" s="269"/>
      <c r="HP9" s="269"/>
      <c r="HQ9" s="269"/>
    </row>
    <row r="10" spans="1:225" s="251" customFormat="1" ht="24" customHeight="1" x14ac:dyDescent="0.25">
      <c r="A10" s="345" t="s">
        <v>270</v>
      </c>
      <c r="B10" s="353" t="s">
        <v>248</v>
      </c>
      <c r="C10" s="353" t="s">
        <v>246</v>
      </c>
      <c r="D10" s="353">
        <v>1920</v>
      </c>
      <c r="E10" s="353">
        <v>0</v>
      </c>
      <c r="F10" s="353">
        <v>1920</v>
      </c>
      <c r="G10" s="353">
        <v>0</v>
      </c>
      <c r="H10" s="353">
        <v>1920</v>
      </c>
      <c r="I10" s="353">
        <v>0</v>
      </c>
      <c r="J10" s="353">
        <v>1920</v>
      </c>
      <c r="K10" s="353">
        <v>0</v>
      </c>
      <c r="L10" s="353">
        <v>1920</v>
      </c>
      <c r="M10" s="353">
        <v>0</v>
      </c>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c r="BM10" s="269"/>
      <c r="BN10" s="269"/>
      <c r="BO10" s="269"/>
      <c r="BP10" s="269"/>
      <c r="BQ10" s="269"/>
      <c r="BR10" s="269"/>
      <c r="BS10" s="269"/>
      <c r="BT10" s="269"/>
      <c r="BU10" s="269"/>
      <c r="BV10" s="269"/>
      <c r="BW10" s="269"/>
      <c r="BX10" s="269"/>
      <c r="BY10" s="269"/>
      <c r="BZ10" s="269"/>
      <c r="CA10" s="269"/>
      <c r="CB10" s="269"/>
      <c r="CC10" s="269"/>
      <c r="CD10" s="269"/>
      <c r="CE10" s="269"/>
      <c r="CF10" s="269"/>
      <c r="CG10" s="269"/>
      <c r="CH10" s="269"/>
      <c r="CI10" s="269"/>
      <c r="CJ10" s="269"/>
      <c r="CK10" s="269"/>
      <c r="CL10" s="269"/>
      <c r="CM10" s="269"/>
      <c r="CN10" s="269"/>
      <c r="CO10" s="269"/>
      <c r="CP10" s="269"/>
      <c r="CQ10" s="269"/>
      <c r="CR10" s="269"/>
      <c r="CS10" s="269"/>
      <c r="CT10" s="269"/>
      <c r="CU10" s="269"/>
      <c r="CV10" s="269"/>
      <c r="CW10" s="269"/>
      <c r="CX10" s="269"/>
      <c r="CY10" s="269"/>
      <c r="CZ10" s="269"/>
      <c r="DA10" s="269"/>
      <c r="DB10" s="269"/>
      <c r="DC10" s="269"/>
      <c r="DD10" s="269"/>
      <c r="DE10" s="269"/>
      <c r="DF10" s="269"/>
      <c r="DG10" s="269"/>
      <c r="DH10" s="269"/>
      <c r="DI10" s="269"/>
      <c r="DJ10" s="269"/>
      <c r="DK10" s="269"/>
      <c r="DL10" s="269"/>
      <c r="DM10" s="269"/>
      <c r="DN10" s="269"/>
      <c r="DO10" s="269"/>
      <c r="DP10" s="269"/>
      <c r="DQ10" s="269"/>
      <c r="DR10" s="269"/>
      <c r="DS10" s="269"/>
      <c r="DT10" s="269"/>
      <c r="DU10" s="269"/>
      <c r="DV10" s="269"/>
      <c r="DW10" s="269"/>
      <c r="DX10" s="269"/>
      <c r="DY10" s="269"/>
      <c r="DZ10" s="269"/>
      <c r="EA10" s="269"/>
      <c r="EB10" s="269"/>
      <c r="EC10" s="269"/>
      <c r="ED10" s="269"/>
      <c r="EE10" s="269"/>
      <c r="EF10" s="269"/>
      <c r="EG10" s="269"/>
      <c r="EH10" s="269"/>
      <c r="EI10" s="269"/>
      <c r="EJ10" s="269"/>
      <c r="EK10" s="269"/>
      <c r="EL10" s="269"/>
      <c r="EM10" s="269"/>
      <c r="EN10" s="269"/>
      <c r="EO10" s="269"/>
      <c r="EP10" s="269"/>
      <c r="EQ10" s="269"/>
      <c r="ER10" s="269"/>
      <c r="ES10" s="269"/>
      <c r="ET10" s="269"/>
      <c r="EU10" s="269"/>
      <c r="EV10" s="269"/>
      <c r="EW10" s="269"/>
      <c r="EX10" s="269"/>
      <c r="EY10" s="269"/>
      <c r="EZ10" s="269"/>
      <c r="FA10" s="269"/>
      <c r="FB10" s="269"/>
      <c r="FC10" s="269"/>
      <c r="FD10" s="269"/>
      <c r="FE10" s="269"/>
      <c r="FF10" s="269"/>
      <c r="FG10" s="269"/>
      <c r="FH10" s="269"/>
      <c r="FI10" s="269"/>
      <c r="FJ10" s="269"/>
      <c r="FK10" s="269"/>
      <c r="FL10" s="269"/>
      <c r="FM10" s="269"/>
      <c r="FN10" s="269"/>
      <c r="FO10" s="269"/>
      <c r="FP10" s="269"/>
      <c r="FQ10" s="269"/>
      <c r="FR10" s="269"/>
      <c r="FS10" s="269"/>
      <c r="FT10" s="269"/>
      <c r="FU10" s="269"/>
      <c r="FV10" s="269"/>
      <c r="FW10" s="269"/>
      <c r="FX10" s="269"/>
      <c r="FY10" s="269"/>
      <c r="FZ10" s="269"/>
      <c r="GA10" s="269"/>
      <c r="GB10" s="269"/>
      <c r="GC10" s="269"/>
      <c r="GD10" s="269"/>
      <c r="GE10" s="269"/>
      <c r="GF10" s="269"/>
      <c r="GG10" s="269"/>
      <c r="GH10" s="269"/>
      <c r="GI10" s="269"/>
      <c r="GJ10" s="269"/>
      <c r="GK10" s="269"/>
      <c r="GL10" s="269"/>
      <c r="GM10" s="269"/>
      <c r="GN10" s="269"/>
      <c r="GO10" s="269"/>
      <c r="GP10" s="269"/>
      <c r="GQ10" s="269"/>
      <c r="GR10" s="269"/>
      <c r="GS10" s="269"/>
      <c r="GT10" s="269"/>
      <c r="GU10" s="269"/>
      <c r="GV10" s="269"/>
      <c r="GW10" s="269"/>
      <c r="GX10" s="269"/>
      <c r="GY10" s="269"/>
      <c r="GZ10" s="269"/>
      <c r="HA10" s="269"/>
      <c r="HB10" s="269"/>
      <c r="HC10" s="269"/>
      <c r="HD10" s="269"/>
      <c r="HE10" s="269"/>
      <c r="HF10" s="269"/>
      <c r="HG10" s="269"/>
      <c r="HH10" s="269"/>
      <c r="HI10" s="269"/>
      <c r="HJ10" s="269"/>
      <c r="HK10" s="269"/>
      <c r="HL10" s="269"/>
      <c r="HM10" s="269"/>
      <c r="HN10" s="269"/>
      <c r="HO10" s="269"/>
      <c r="HP10" s="269"/>
      <c r="HQ10" s="269"/>
    </row>
    <row r="11" spans="1:225" s="251" customFormat="1" ht="15" customHeight="1" x14ac:dyDescent="0.25">
      <c r="A11" s="345" t="s">
        <v>257</v>
      </c>
      <c r="B11" s="353" t="s">
        <v>248</v>
      </c>
      <c r="C11" s="353" t="s">
        <v>246</v>
      </c>
      <c r="D11" s="353">
        <v>1920</v>
      </c>
      <c r="E11" s="357"/>
      <c r="F11" s="353">
        <v>1920</v>
      </c>
      <c r="G11" s="357"/>
      <c r="H11" s="353">
        <v>1920</v>
      </c>
      <c r="I11" s="357"/>
      <c r="J11" s="353">
        <v>1920</v>
      </c>
      <c r="K11" s="357"/>
      <c r="L11" s="353">
        <v>1920</v>
      </c>
      <c r="M11" s="358"/>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69"/>
      <c r="BW11" s="269"/>
      <c r="BX11" s="269"/>
      <c r="BY11" s="269"/>
      <c r="BZ11" s="269"/>
      <c r="CA11" s="269"/>
      <c r="CB11" s="269"/>
      <c r="CC11" s="269"/>
      <c r="CD11" s="269"/>
      <c r="CE11" s="269"/>
      <c r="CF11" s="269"/>
      <c r="CG11" s="269"/>
      <c r="CH11" s="269"/>
      <c r="CI11" s="269"/>
      <c r="CJ11" s="269"/>
      <c r="CK11" s="269"/>
      <c r="CL11" s="269"/>
      <c r="CM11" s="269"/>
      <c r="CN11" s="269"/>
      <c r="CO11" s="269"/>
      <c r="CP11" s="269"/>
      <c r="CQ11" s="269"/>
      <c r="CR11" s="269"/>
      <c r="CS11" s="269"/>
      <c r="CT11" s="269"/>
      <c r="CU11" s="269"/>
      <c r="CV11" s="269"/>
      <c r="CW11" s="269"/>
      <c r="CX11" s="269"/>
      <c r="CY11" s="269"/>
      <c r="CZ11" s="269"/>
      <c r="DA11" s="269"/>
      <c r="DB11" s="269"/>
      <c r="DC11" s="269"/>
      <c r="DD11" s="269"/>
      <c r="DE11" s="269"/>
      <c r="DF11" s="269"/>
      <c r="DG11" s="269"/>
      <c r="DH11" s="269"/>
      <c r="DI11" s="269"/>
      <c r="DJ11" s="269"/>
      <c r="DK11" s="269"/>
      <c r="DL11" s="269"/>
      <c r="DM11" s="269"/>
      <c r="DN11" s="269"/>
      <c r="DO11" s="269"/>
      <c r="DP11" s="269"/>
      <c r="DQ11" s="269"/>
      <c r="DR11" s="269"/>
      <c r="DS11" s="269"/>
      <c r="DT11" s="269"/>
      <c r="DU11" s="269"/>
      <c r="DV11" s="269"/>
      <c r="DW11" s="269"/>
      <c r="DX11" s="269"/>
      <c r="DY11" s="269"/>
      <c r="DZ11" s="269"/>
      <c r="EA11" s="269"/>
      <c r="EB11" s="269"/>
      <c r="EC11" s="269"/>
      <c r="ED11" s="269"/>
      <c r="EE11" s="269"/>
      <c r="EF11" s="269"/>
      <c r="EG11" s="269"/>
      <c r="EH11" s="269"/>
      <c r="EI11" s="269"/>
      <c r="EJ11" s="269"/>
      <c r="EK11" s="269"/>
      <c r="EL11" s="269"/>
      <c r="EM11" s="269"/>
      <c r="EN11" s="269"/>
      <c r="EO11" s="269"/>
      <c r="EP11" s="269"/>
      <c r="EQ11" s="269"/>
      <c r="ER11" s="269"/>
      <c r="ES11" s="269"/>
      <c r="ET11" s="269"/>
      <c r="EU11" s="269"/>
      <c r="EV11" s="269"/>
      <c r="EW11" s="269"/>
      <c r="EX11" s="269"/>
      <c r="EY11" s="269"/>
      <c r="EZ11" s="269"/>
      <c r="FA11" s="269"/>
      <c r="FB11" s="269"/>
      <c r="FC11" s="269"/>
      <c r="FD11" s="269"/>
      <c r="FE11" s="269"/>
      <c r="FF11" s="269"/>
      <c r="FG11" s="269"/>
      <c r="FH11" s="269"/>
      <c r="FI11" s="269"/>
      <c r="FJ11" s="269"/>
      <c r="FK11" s="269"/>
      <c r="FL11" s="269"/>
      <c r="FM11" s="269"/>
      <c r="FN11" s="269"/>
      <c r="FO11" s="269"/>
      <c r="FP11" s="269"/>
      <c r="FQ11" s="269"/>
      <c r="FR11" s="269"/>
      <c r="FS11" s="269"/>
      <c r="FT11" s="269"/>
      <c r="FU11" s="269"/>
      <c r="FV11" s="269"/>
      <c r="FW11" s="269"/>
      <c r="FX11" s="269"/>
      <c r="FY11" s="269"/>
      <c r="FZ11" s="269"/>
      <c r="GA11" s="269"/>
      <c r="GB11" s="269"/>
      <c r="GC11" s="269"/>
      <c r="GD11" s="269"/>
      <c r="GE11" s="269"/>
      <c r="GF11" s="269"/>
      <c r="GG11" s="269"/>
      <c r="GH11" s="269"/>
      <c r="GI11" s="269"/>
      <c r="GJ11" s="269"/>
      <c r="GK11" s="269"/>
      <c r="GL11" s="269"/>
      <c r="GM11" s="269"/>
      <c r="GN11" s="269"/>
      <c r="GO11" s="269"/>
      <c r="GP11" s="269"/>
      <c r="GQ11" s="269"/>
      <c r="GR11" s="269"/>
      <c r="GS11" s="269"/>
      <c r="GT11" s="269"/>
      <c r="GU11" s="269"/>
      <c r="GV11" s="269"/>
      <c r="GW11" s="269"/>
      <c r="GX11" s="269"/>
      <c r="GY11" s="269"/>
      <c r="GZ11" s="269"/>
      <c r="HA11" s="269"/>
      <c r="HB11" s="269"/>
      <c r="HC11" s="269"/>
      <c r="HD11" s="269"/>
      <c r="HE11" s="269"/>
      <c r="HF11" s="269"/>
      <c r="HG11" s="269"/>
      <c r="HH11" s="269"/>
      <c r="HI11" s="269"/>
      <c r="HJ11" s="269"/>
      <c r="HK11" s="269"/>
      <c r="HL11" s="269"/>
      <c r="HM11" s="269"/>
      <c r="HN11" s="269"/>
      <c r="HO11" s="269"/>
      <c r="HP11" s="269"/>
      <c r="HQ11" s="269"/>
    </row>
    <row r="12" spans="1:225" s="251" customFormat="1" ht="15" customHeight="1" x14ac:dyDescent="0.25">
      <c r="A12" s="253" t="s">
        <v>258</v>
      </c>
      <c r="B12" s="350" t="s">
        <v>248</v>
      </c>
      <c r="C12" s="350" t="s">
        <v>246</v>
      </c>
      <c r="D12" s="350">
        <v>7680</v>
      </c>
      <c r="E12" s="350">
        <v>0</v>
      </c>
      <c r="F12" s="350">
        <v>7680</v>
      </c>
      <c r="G12" s="350">
        <v>0</v>
      </c>
      <c r="H12" s="350">
        <v>7680</v>
      </c>
      <c r="I12" s="350">
        <v>0</v>
      </c>
      <c r="J12" s="350">
        <v>7680</v>
      </c>
      <c r="K12" s="350">
        <v>0</v>
      </c>
      <c r="L12" s="350">
        <v>7680</v>
      </c>
      <c r="M12" s="350">
        <v>0</v>
      </c>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c r="BK12" s="269"/>
      <c r="BL12" s="269"/>
      <c r="BM12" s="269"/>
      <c r="BN12" s="269"/>
      <c r="BO12" s="269"/>
      <c r="BP12" s="269"/>
      <c r="BQ12" s="269"/>
      <c r="BR12" s="269"/>
      <c r="BS12" s="269"/>
      <c r="BT12" s="269"/>
      <c r="BU12" s="269"/>
      <c r="BV12" s="269"/>
      <c r="BW12" s="269"/>
      <c r="BX12" s="269"/>
      <c r="BY12" s="269"/>
      <c r="BZ12" s="269"/>
      <c r="CA12" s="269"/>
      <c r="CB12" s="269"/>
      <c r="CC12" s="269"/>
      <c r="CD12" s="269"/>
      <c r="CE12" s="269"/>
      <c r="CF12" s="269"/>
      <c r="CG12" s="269"/>
      <c r="CH12" s="269"/>
      <c r="CI12" s="269"/>
      <c r="CJ12" s="269"/>
      <c r="CK12" s="269"/>
      <c r="CL12" s="269"/>
      <c r="CM12" s="269"/>
      <c r="CN12" s="269"/>
      <c r="CO12" s="269"/>
      <c r="CP12" s="269"/>
      <c r="CQ12" s="269"/>
      <c r="CR12" s="269"/>
      <c r="CS12" s="269"/>
      <c r="CT12" s="269"/>
      <c r="CU12" s="269"/>
      <c r="CV12" s="269"/>
      <c r="CW12" s="269"/>
      <c r="CX12" s="269"/>
      <c r="CY12" s="269"/>
      <c r="CZ12" s="269"/>
      <c r="DA12" s="269"/>
      <c r="DB12" s="269"/>
      <c r="DC12" s="269"/>
      <c r="DD12" s="269"/>
      <c r="DE12" s="269"/>
      <c r="DF12" s="269"/>
      <c r="DG12" s="269"/>
      <c r="DH12" s="269"/>
      <c r="DI12" s="269"/>
      <c r="DJ12" s="269"/>
      <c r="DK12" s="269"/>
      <c r="DL12" s="269"/>
      <c r="DM12" s="269"/>
      <c r="DN12" s="269"/>
      <c r="DO12" s="269"/>
      <c r="DP12" s="269"/>
      <c r="DQ12" s="269"/>
      <c r="DR12" s="269"/>
      <c r="DS12" s="269"/>
      <c r="DT12" s="269"/>
      <c r="DU12" s="269"/>
      <c r="DV12" s="269"/>
      <c r="DW12" s="269"/>
      <c r="DX12" s="269"/>
      <c r="DY12" s="269"/>
      <c r="DZ12" s="269"/>
      <c r="EA12" s="269"/>
      <c r="EB12" s="269"/>
      <c r="EC12" s="269"/>
      <c r="ED12" s="269"/>
      <c r="EE12" s="269"/>
      <c r="EF12" s="269"/>
      <c r="EG12" s="269"/>
      <c r="EH12" s="269"/>
      <c r="EI12" s="269"/>
      <c r="EJ12" s="269"/>
      <c r="EK12" s="269"/>
      <c r="EL12" s="269"/>
      <c r="EM12" s="269"/>
      <c r="EN12" s="269"/>
      <c r="EO12" s="269"/>
      <c r="EP12" s="269"/>
      <c r="EQ12" s="269"/>
      <c r="ER12" s="269"/>
      <c r="ES12" s="269"/>
      <c r="ET12" s="269"/>
      <c r="EU12" s="269"/>
      <c r="EV12" s="269"/>
      <c r="EW12" s="269"/>
      <c r="EX12" s="269"/>
      <c r="EY12" s="269"/>
      <c r="EZ12" s="269"/>
      <c r="FA12" s="269"/>
      <c r="FB12" s="269"/>
      <c r="FC12" s="269"/>
      <c r="FD12" s="269"/>
      <c r="FE12" s="269"/>
      <c r="FF12" s="269"/>
      <c r="FG12" s="269"/>
      <c r="FH12" s="269"/>
      <c r="FI12" s="269"/>
      <c r="FJ12" s="269"/>
      <c r="FK12" s="269"/>
      <c r="FL12" s="269"/>
      <c r="FM12" s="269"/>
      <c r="FN12" s="269"/>
      <c r="FO12" s="269"/>
      <c r="FP12" s="269"/>
      <c r="FQ12" s="269"/>
      <c r="FR12" s="269"/>
      <c r="FS12" s="269"/>
      <c r="FT12" s="269"/>
      <c r="FU12" s="269"/>
      <c r="FV12" s="269"/>
      <c r="FW12" s="269"/>
      <c r="FX12" s="269"/>
      <c r="FY12" s="269"/>
      <c r="FZ12" s="269"/>
      <c r="GA12" s="269"/>
      <c r="GB12" s="269"/>
      <c r="GC12" s="269"/>
      <c r="GD12" s="269"/>
      <c r="GE12" s="269"/>
      <c r="GF12" s="269"/>
      <c r="GG12" s="269"/>
      <c r="GH12" s="269"/>
      <c r="GI12" s="269"/>
      <c r="GJ12" s="269"/>
      <c r="GK12" s="269"/>
      <c r="GL12" s="269"/>
      <c r="GM12" s="269"/>
      <c r="GN12" s="269"/>
      <c r="GO12" s="269"/>
      <c r="GP12" s="269"/>
      <c r="GQ12" s="269"/>
      <c r="GR12" s="269"/>
      <c r="GS12" s="269"/>
      <c r="GT12" s="269"/>
      <c r="GU12" s="269"/>
      <c r="GV12" s="269"/>
      <c r="GW12" s="269"/>
      <c r="GX12" s="269"/>
      <c r="GY12" s="269"/>
      <c r="GZ12" s="269"/>
      <c r="HA12" s="269"/>
      <c r="HB12" s="269"/>
      <c r="HC12" s="269"/>
      <c r="HD12" s="269"/>
      <c r="HE12" s="269"/>
      <c r="HF12" s="269"/>
      <c r="HG12" s="269"/>
      <c r="HH12" s="269"/>
      <c r="HI12" s="269"/>
      <c r="HJ12" s="269"/>
      <c r="HK12" s="269"/>
      <c r="HL12" s="269"/>
      <c r="HM12" s="269"/>
      <c r="HN12" s="269"/>
      <c r="HO12" s="269"/>
      <c r="HP12" s="269"/>
      <c r="HQ12" s="269"/>
    </row>
    <row r="13" spans="1:225" s="251" customFormat="1" ht="15" customHeight="1" x14ac:dyDescent="0.25">
      <c r="A13" s="253" t="s">
        <v>259</v>
      </c>
      <c r="B13" s="350" t="s">
        <v>248</v>
      </c>
      <c r="C13" s="350" t="s">
        <v>246</v>
      </c>
      <c r="D13" s="350">
        <v>3840</v>
      </c>
      <c r="E13" s="350">
        <v>0</v>
      </c>
      <c r="F13" s="350">
        <v>3840</v>
      </c>
      <c r="G13" s="350">
        <v>0</v>
      </c>
      <c r="H13" s="350">
        <v>3840</v>
      </c>
      <c r="I13" s="350">
        <v>0</v>
      </c>
      <c r="J13" s="350">
        <v>3840</v>
      </c>
      <c r="K13" s="350">
        <v>0</v>
      </c>
      <c r="L13" s="350">
        <v>3840</v>
      </c>
      <c r="M13" s="120">
        <v>0</v>
      </c>
      <c r="N13" s="269"/>
      <c r="O13" s="269"/>
      <c r="P13" s="269"/>
      <c r="Q13" s="269"/>
      <c r="R13" s="269"/>
      <c r="S13" s="269"/>
      <c r="T13" s="269"/>
      <c r="U13" s="269"/>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c r="BK13" s="269"/>
      <c r="BL13" s="269"/>
      <c r="BM13" s="269"/>
      <c r="BN13" s="269"/>
      <c r="BO13" s="269"/>
      <c r="BP13" s="269"/>
      <c r="BQ13" s="269"/>
      <c r="BR13" s="269"/>
      <c r="BS13" s="269"/>
      <c r="BT13" s="269"/>
      <c r="BU13" s="269"/>
      <c r="BV13" s="269"/>
      <c r="BW13" s="269"/>
      <c r="BX13" s="269"/>
      <c r="BY13" s="269"/>
      <c r="BZ13" s="269"/>
      <c r="CA13" s="269"/>
      <c r="CB13" s="269"/>
      <c r="CC13" s="269"/>
      <c r="CD13" s="269"/>
      <c r="CE13" s="269"/>
      <c r="CF13" s="269"/>
      <c r="CG13" s="269"/>
      <c r="CH13" s="269"/>
      <c r="CI13" s="269"/>
      <c r="CJ13" s="269"/>
      <c r="CK13" s="269"/>
      <c r="CL13" s="269"/>
      <c r="CM13" s="269"/>
      <c r="CN13" s="269"/>
      <c r="CO13" s="269"/>
      <c r="CP13" s="269"/>
      <c r="CQ13" s="269"/>
      <c r="CR13" s="269"/>
      <c r="CS13" s="269"/>
      <c r="CT13" s="269"/>
      <c r="CU13" s="269"/>
      <c r="CV13" s="269"/>
      <c r="CW13" s="269"/>
      <c r="CX13" s="269"/>
      <c r="CY13" s="269"/>
      <c r="CZ13" s="269"/>
      <c r="DA13" s="269"/>
      <c r="DB13" s="269"/>
      <c r="DC13" s="269"/>
      <c r="DD13" s="269"/>
      <c r="DE13" s="269"/>
      <c r="DF13" s="269"/>
      <c r="DG13" s="269"/>
      <c r="DH13" s="269"/>
      <c r="DI13" s="269"/>
      <c r="DJ13" s="269"/>
      <c r="DK13" s="269"/>
      <c r="DL13" s="269"/>
      <c r="DM13" s="269"/>
      <c r="DN13" s="269"/>
      <c r="DO13" s="269"/>
      <c r="DP13" s="269"/>
      <c r="DQ13" s="269"/>
      <c r="DR13" s="269"/>
      <c r="DS13" s="269"/>
      <c r="DT13" s="269"/>
      <c r="DU13" s="269"/>
      <c r="DV13" s="269"/>
      <c r="DW13" s="269"/>
      <c r="DX13" s="269"/>
      <c r="DY13" s="269"/>
      <c r="DZ13" s="269"/>
      <c r="EA13" s="269"/>
      <c r="EB13" s="269"/>
      <c r="EC13" s="269"/>
      <c r="ED13" s="269"/>
      <c r="EE13" s="269"/>
      <c r="EF13" s="269"/>
      <c r="EG13" s="269"/>
      <c r="EH13" s="269"/>
      <c r="EI13" s="269"/>
      <c r="EJ13" s="269"/>
      <c r="EK13" s="269"/>
      <c r="EL13" s="269"/>
      <c r="EM13" s="269"/>
      <c r="EN13" s="269"/>
      <c r="EO13" s="269"/>
      <c r="EP13" s="269"/>
      <c r="EQ13" s="269"/>
      <c r="ER13" s="269"/>
      <c r="ES13" s="269"/>
      <c r="ET13" s="269"/>
      <c r="EU13" s="269"/>
      <c r="EV13" s="269"/>
      <c r="EW13" s="269"/>
      <c r="EX13" s="269"/>
      <c r="EY13" s="269"/>
      <c r="EZ13" s="269"/>
      <c r="FA13" s="269"/>
      <c r="FB13" s="269"/>
      <c r="FC13" s="269"/>
      <c r="FD13" s="269"/>
      <c r="FE13" s="269"/>
      <c r="FF13" s="269"/>
      <c r="FG13" s="269"/>
      <c r="FH13" s="269"/>
      <c r="FI13" s="269"/>
      <c r="FJ13" s="269"/>
      <c r="FK13" s="269"/>
      <c r="FL13" s="269"/>
      <c r="FM13" s="269"/>
      <c r="FN13" s="269"/>
      <c r="FO13" s="269"/>
      <c r="FP13" s="269"/>
      <c r="FQ13" s="269"/>
      <c r="FR13" s="269"/>
      <c r="FS13" s="269"/>
      <c r="FT13" s="269"/>
      <c r="FU13" s="269"/>
      <c r="FV13" s="269"/>
      <c r="FW13" s="269"/>
      <c r="FX13" s="269"/>
      <c r="FY13" s="269"/>
      <c r="FZ13" s="269"/>
      <c r="GA13" s="269"/>
      <c r="GB13" s="269"/>
      <c r="GC13" s="269"/>
      <c r="GD13" s="269"/>
      <c r="GE13" s="269"/>
      <c r="GF13" s="269"/>
      <c r="GG13" s="269"/>
      <c r="GH13" s="269"/>
      <c r="GI13" s="269"/>
      <c r="GJ13" s="269"/>
      <c r="GK13" s="269"/>
      <c r="GL13" s="269"/>
      <c r="GM13" s="269"/>
      <c r="GN13" s="269"/>
      <c r="GO13" s="269"/>
      <c r="GP13" s="269"/>
      <c r="GQ13" s="269"/>
      <c r="GR13" s="269"/>
      <c r="GS13" s="269"/>
      <c r="GT13" s="269"/>
      <c r="GU13" s="269"/>
      <c r="GV13" s="269"/>
      <c r="GW13" s="269"/>
      <c r="GX13" s="269"/>
      <c r="GY13" s="269"/>
      <c r="GZ13" s="269"/>
      <c r="HA13" s="269"/>
      <c r="HB13" s="269"/>
      <c r="HC13" s="269"/>
      <c r="HD13" s="269"/>
      <c r="HE13" s="269"/>
      <c r="HF13" s="269"/>
      <c r="HG13" s="269"/>
      <c r="HH13" s="269"/>
      <c r="HI13" s="269"/>
      <c r="HJ13" s="269"/>
      <c r="HK13" s="269"/>
      <c r="HL13" s="269"/>
      <c r="HM13" s="269"/>
      <c r="HN13" s="269"/>
      <c r="HO13" s="269"/>
      <c r="HP13" s="269"/>
      <c r="HQ13" s="269"/>
    </row>
    <row r="14" spans="1:225" s="249" customFormat="1" x14ac:dyDescent="0.25">
      <c r="A14" s="345" t="s">
        <v>260</v>
      </c>
      <c r="B14" s="353" t="s">
        <v>248</v>
      </c>
      <c r="C14" s="353" t="s">
        <v>246</v>
      </c>
      <c r="D14" s="353">
        <v>1920</v>
      </c>
      <c r="E14" s="353">
        <v>0</v>
      </c>
      <c r="F14" s="353">
        <v>1920</v>
      </c>
      <c r="G14" s="353">
        <v>0</v>
      </c>
      <c r="H14" s="353">
        <v>1920</v>
      </c>
      <c r="I14" s="353">
        <v>0</v>
      </c>
      <c r="J14" s="353">
        <v>1920</v>
      </c>
      <c r="K14" s="353">
        <v>0</v>
      </c>
      <c r="L14" s="353">
        <v>1920</v>
      </c>
      <c r="M14" s="248">
        <v>0</v>
      </c>
      <c r="N14" s="269"/>
      <c r="O14" s="269"/>
      <c r="P14" s="269"/>
      <c r="Q14" s="269"/>
      <c r="R14" s="269"/>
      <c r="S14" s="269"/>
      <c r="T14" s="269"/>
      <c r="U14" s="269"/>
      <c r="V14" s="269"/>
      <c r="W14" s="269"/>
      <c r="X14" s="269"/>
      <c r="Y14" s="269"/>
      <c r="Z14" s="269"/>
      <c r="AA14" s="269"/>
      <c r="AB14" s="269"/>
      <c r="AC14" s="269"/>
      <c r="AD14" s="269"/>
      <c r="AE14" s="269"/>
      <c r="AF14" s="269"/>
      <c r="AG14" s="269"/>
      <c r="AH14" s="269"/>
      <c r="AI14" s="269"/>
      <c r="AJ14" s="269"/>
      <c r="AK14" s="269"/>
      <c r="AL14" s="269"/>
      <c r="AM14" s="269"/>
      <c r="AN14" s="269"/>
      <c r="AO14" s="269"/>
      <c r="AP14" s="269"/>
      <c r="AQ14" s="269"/>
      <c r="AR14" s="269"/>
      <c r="AS14" s="269"/>
      <c r="AT14" s="269"/>
      <c r="AU14" s="269"/>
      <c r="AV14" s="269"/>
      <c r="AW14" s="269"/>
      <c r="AX14" s="269"/>
      <c r="AY14" s="269"/>
      <c r="AZ14" s="269"/>
      <c r="BA14" s="269"/>
      <c r="BB14" s="269"/>
      <c r="BC14" s="269"/>
      <c r="BD14" s="269"/>
      <c r="BE14" s="269"/>
      <c r="BF14" s="269"/>
      <c r="BG14" s="269"/>
      <c r="BH14" s="269"/>
      <c r="BI14" s="269"/>
      <c r="BJ14" s="269"/>
      <c r="BK14" s="269"/>
      <c r="BL14" s="269"/>
      <c r="BM14" s="269"/>
      <c r="BN14" s="269"/>
      <c r="BO14" s="269"/>
      <c r="BP14" s="269"/>
      <c r="BQ14" s="269"/>
      <c r="BR14" s="269"/>
      <c r="BS14" s="269"/>
      <c r="BT14" s="269"/>
      <c r="BU14" s="269"/>
      <c r="BV14" s="269"/>
      <c r="BW14" s="269"/>
      <c r="BX14" s="269"/>
      <c r="BY14" s="269"/>
      <c r="BZ14" s="269"/>
      <c r="CA14" s="269"/>
      <c r="CB14" s="269"/>
      <c r="CC14" s="269"/>
      <c r="CD14" s="269"/>
      <c r="CE14" s="269"/>
      <c r="CF14" s="269"/>
      <c r="CG14" s="269"/>
      <c r="CH14" s="269"/>
      <c r="CI14" s="269"/>
      <c r="CJ14" s="269"/>
      <c r="CK14" s="269"/>
      <c r="CL14" s="269"/>
      <c r="CM14" s="269"/>
      <c r="CN14" s="269"/>
      <c r="CO14" s="269"/>
      <c r="CP14" s="269"/>
      <c r="CQ14" s="269"/>
      <c r="CR14" s="269"/>
      <c r="CS14" s="269"/>
      <c r="CT14" s="269"/>
      <c r="CU14" s="269"/>
      <c r="CV14" s="269"/>
      <c r="CW14" s="269"/>
      <c r="CX14" s="269"/>
      <c r="CY14" s="269"/>
      <c r="CZ14" s="269"/>
      <c r="DA14" s="269"/>
      <c r="DB14" s="269"/>
      <c r="DC14" s="269"/>
      <c r="DD14" s="269"/>
      <c r="DE14" s="269"/>
      <c r="DF14" s="269"/>
      <c r="DG14" s="269"/>
      <c r="DH14" s="269"/>
      <c r="DI14" s="269"/>
      <c r="DJ14" s="269"/>
      <c r="DK14" s="269"/>
      <c r="DL14" s="269"/>
      <c r="DM14" s="269"/>
      <c r="DN14" s="269"/>
      <c r="DO14" s="269"/>
      <c r="DP14" s="269"/>
      <c r="DQ14" s="269"/>
      <c r="DR14" s="269"/>
      <c r="DS14" s="269"/>
      <c r="DT14" s="269"/>
      <c r="DU14" s="269"/>
      <c r="DV14" s="269"/>
      <c r="DW14" s="269"/>
      <c r="DX14" s="269"/>
      <c r="DY14" s="269"/>
      <c r="DZ14" s="269"/>
      <c r="EA14" s="269"/>
      <c r="EB14" s="269"/>
      <c r="EC14" s="269"/>
      <c r="ED14" s="269"/>
      <c r="EE14" s="269"/>
      <c r="EF14" s="269"/>
      <c r="EG14" s="269"/>
      <c r="EH14" s="269"/>
      <c r="EI14" s="269"/>
      <c r="EJ14" s="269"/>
      <c r="EK14" s="269"/>
      <c r="EL14" s="269"/>
      <c r="EM14" s="269"/>
      <c r="EN14" s="269"/>
      <c r="EO14" s="269"/>
      <c r="EP14" s="269"/>
      <c r="EQ14" s="269"/>
      <c r="ER14" s="269"/>
      <c r="ES14" s="269"/>
      <c r="ET14" s="269"/>
      <c r="EU14" s="269"/>
      <c r="EV14" s="269"/>
      <c r="EW14" s="269"/>
      <c r="EX14" s="269"/>
      <c r="EY14" s="269"/>
      <c r="EZ14" s="269"/>
      <c r="FA14" s="269"/>
      <c r="FB14" s="269"/>
      <c r="FC14" s="269"/>
      <c r="FD14" s="269"/>
      <c r="FE14" s="269"/>
      <c r="FF14" s="269"/>
      <c r="FG14" s="269"/>
      <c r="FH14" s="269"/>
      <c r="FI14" s="269"/>
      <c r="FJ14" s="269"/>
      <c r="FK14" s="269"/>
      <c r="FL14" s="269"/>
      <c r="FM14" s="269"/>
      <c r="FN14" s="269"/>
      <c r="FO14" s="269"/>
      <c r="FP14" s="269"/>
      <c r="FQ14" s="269"/>
      <c r="FR14" s="269"/>
      <c r="FS14" s="269"/>
      <c r="FT14" s="269"/>
      <c r="FU14" s="269"/>
      <c r="FV14" s="269"/>
      <c r="FW14" s="269"/>
      <c r="FX14" s="269"/>
      <c r="FY14" s="269"/>
      <c r="FZ14" s="269"/>
      <c r="GA14" s="269"/>
      <c r="GB14" s="269"/>
      <c r="GC14" s="269"/>
      <c r="GD14" s="269"/>
      <c r="GE14" s="269"/>
      <c r="GF14" s="269"/>
      <c r="GG14" s="269"/>
      <c r="GH14" s="269"/>
      <c r="GI14" s="269"/>
      <c r="GJ14" s="269"/>
      <c r="GK14" s="269"/>
      <c r="GL14" s="269"/>
      <c r="GM14" s="269"/>
      <c r="GN14" s="269"/>
      <c r="GO14" s="269"/>
      <c r="GP14" s="269"/>
      <c r="GQ14" s="269"/>
      <c r="GR14" s="269"/>
      <c r="GS14" s="269"/>
      <c r="GT14" s="269"/>
      <c r="GU14" s="269"/>
      <c r="GV14" s="269"/>
      <c r="GW14" s="269"/>
      <c r="GX14" s="269"/>
      <c r="GY14" s="269"/>
      <c r="GZ14" s="269"/>
      <c r="HA14" s="269"/>
      <c r="HB14" s="269"/>
      <c r="HC14" s="269"/>
      <c r="HD14" s="269"/>
      <c r="HE14" s="269"/>
      <c r="HF14" s="269"/>
      <c r="HG14" s="269"/>
      <c r="HH14" s="269"/>
      <c r="HI14" s="269"/>
      <c r="HJ14" s="269"/>
      <c r="HK14" s="269"/>
      <c r="HL14" s="269"/>
      <c r="HM14" s="269"/>
      <c r="HN14" s="269"/>
      <c r="HO14" s="269"/>
      <c r="HP14" s="269"/>
      <c r="HQ14" s="269"/>
    </row>
    <row r="15" spans="1:225" s="251" customFormat="1" x14ac:dyDescent="0.25">
      <c r="A15" s="253" t="s">
        <v>269</v>
      </c>
      <c r="B15" s="350" t="s">
        <v>248</v>
      </c>
      <c r="C15" s="350" t="s">
        <v>246</v>
      </c>
      <c r="D15" s="350">
        <v>1920</v>
      </c>
      <c r="E15" s="350">
        <v>0</v>
      </c>
      <c r="F15" s="350">
        <v>1920</v>
      </c>
      <c r="G15" s="350">
        <v>0</v>
      </c>
      <c r="H15" s="350">
        <v>1920</v>
      </c>
      <c r="I15" s="350">
        <v>0</v>
      </c>
      <c r="J15" s="350">
        <v>1920</v>
      </c>
      <c r="K15" s="350">
        <v>0</v>
      </c>
      <c r="L15" s="350">
        <v>1920</v>
      </c>
      <c r="M15" s="120">
        <v>0</v>
      </c>
      <c r="N15" s="269"/>
      <c r="O15" s="269"/>
      <c r="P15" s="269"/>
      <c r="Q15" s="269"/>
      <c r="R15" s="269"/>
      <c r="S15" s="269"/>
      <c r="T15" s="269"/>
      <c r="U15" s="269"/>
      <c r="V15" s="269"/>
      <c r="W15" s="269"/>
      <c r="X15" s="269"/>
      <c r="Y15" s="269"/>
      <c r="Z15" s="269"/>
      <c r="AA15" s="269"/>
      <c r="AB15" s="269"/>
      <c r="AC15" s="269"/>
      <c r="AD15" s="269"/>
      <c r="AE15" s="269"/>
      <c r="AF15" s="269"/>
      <c r="AG15" s="269"/>
      <c r="AH15" s="269"/>
      <c r="AI15" s="269"/>
      <c r="AJ15" s="269"/>
      <c r="AK15" s="269"/>
      <c r="AL15" s="269"/>
      <c r="AM15" s="269"/>
      <c r="AN15" s="269"/>
      <c r="AO15" s="269"/>
      <c r="AP15" s="269"/>
      <c r="AQ15" s="269"/>
      <c r="AR15" s="269"/>
      <c r="AS15" s="269"/>
      <c r="AT15" s="269"/>
      <c r="AU15" s="269"/>
      <c r="AV15" s="269"/>
      <c r="AW15" s="269"/>
      <c r="AX15" s="269"/>
      <c r="AY15" s="269"/>
      <c r="AZ15" s="269"/>
      <c r="BA15" s="269"/>
      <c r="BB15" s="269"/>
      <c r="BC15" s="269"/>
      <c r="BD15" s="269"/>
      <c r="BE15" s="269"/>
      <c r="BF15" s="269"/>
      <c r="BG15" s="269"/>
      <c r="BH15" s="269"/>
      <c r="BI15" s="269"/>
      <c r="BJ15" s="269"/>
      <c r="BK15" s="269"/>
      <c r="BL15" s="269"/>
      <c r="BM15" s="269"/>
      <c r="BN15" s="269"/>
      <c r="BO15" s="269"/>
      <c r="BP15" s="269"/>
      <c r="BQ15" s="269"/>
      <c r="BR15" s="269"/>
      <c r="BS15" s="269"/>
      <c r="BT15" s="269"/>
      <c r="BU15" s="269"/>
      <c r="BV15" s="269"/>
      <c r="BW15" s="269"/>
      <c r="BX15" s="269"/>
      <c r="BY15" s="269"/>
      <c r="BZ15" s="269"/>
      <c r="CA15" s="269"/>
      <c r="CB15" s="269"/>
      <c r="CC15" s="269"/>
      <c r="CD15" s="269"/>
      <c r="CE15" s="269"/>
      <c r="CF15" s="269"/>
      <c r="CG15" s="269"/>
      <c r="CH15" s="269"/>
      <c r="CI15" s="269"/>
      <c r="CJ15" s="269"/>
      <c r="CK15" s="269"/>
      <c r="CL15" s="269"/>
      <c r="CM15" s="269"/>
      <c r="CN15" s="269"/>
      <c r="CO15" s="269"/>
      <c r="CP15" s="269"/>
      <c r="CQ15" s="269"/>
      <c r="CR15" s="269"/>
      <c r="CS15" s="269"/>
      <c r="CT15" s="269"/>
      <c r="CU15" s="269"/>
      <c r="CV15" s="269"/>
      <c r="CW15" s="269"/>
      <c r="CX15" s="269"/>
      <c r="CY15" s="269"/>
      <c r="CZ15" s="269"/>
      <c r="DA15" s="269"/>
      <c r="DB15" s="269"/>
      <c r="DC15" s="269"/>
      <c r="DD15" s="269"/>
      <c r="DE15" s="269"/>
      <c r="DF15" s="269"/>
      <c r="DG15" s="269"/>
      <c r="DH15" s="269"/>
      <c r="DI15" s="269"/>
      <c r="DJ15" s="269"/>
      <c r="DK15" s="269"/>
      <c r="DL15" s="269"/>
      <c r="DM15" s="269"/>
      <c r="DN15" s="269"/>
      <c r="DO15" s="269"/>
      <c r="DP15" s="269"/>
      <c r="DQ15" s="269"/>
      <c r="DR15" s="269"/>
      <c r="DS15" s="269"/>
      <c r="DT15" s="269"/>
      <c r="DU15" s="269"/>
      <c r="DV15" s="269"/>
      <c r="DW15" s="269"/>
      <c r="DX15" s="269"/>
      <c r="DY15" s="269"/>
      <c r="DZ15" s="269"/>
      <c r="EA15" s="269"/>
      <c r="EB15" s="269"/>
      <c r="EC15" s="269"/>
      <c r="ED15" s="269"/>
      <c r="EE15" s="269"/>
      <c r="EF15" s="269"/>
      <c r="EG15" s="269"/>
      <c r="EH15" s="269"/>
      <c r="EI15" s="269"/>
      <c r="EJ15" s="269"/>
      <c r="EK15" s="269"/>
      <c r="EL15" s="269"/>
      <c r="EM15" s="269"/>
      <c r="EN15" s="269"/>
      <c r="EO15" s="269"/>
      <c r="EP15" s="269"/>
      <c r="EQ15" s="269"/>
      <c r="ER15" s="269"/>
      <c r="ES15" s="269"/>
      <c r="ET15" s="269"/>
      <c r="EU15" s="269"/>
      <c r="EV15" s="269"/>
      <c r="EW15" s="269"/>
      <c r="EX15" s="269"/>
      <c r="EY15" s="269"/>
      <c r="EZ15" s="269"/>
      <c r="FA15" s="269"/>
      <c r="FB15" s="269"/>
      <c r="FC15" s="269"/>
      <c r="FD15" s="269"/>
      <c r="FE15" s="269"/>
      <c r="FF15" s="269"/>
      <c r="FG15" s="269"/>
      <c r="FH15" s="269"/>
      <c r="FI15" s="269"/>
      <c r="FJ15" s="269"/>
      <c r="FK15" s="269"/>
      <c r="FL15" s="269"/>
      <c r="FM15" s="269"/>
      <c r="FN15" s="269"/>
      <c r="FO15" s="269"/>
      <c r="FP15" s="269"/>
      <c r="FQ15" s="269"/>
      <c r="FR15" s="269"/>
      <c r="FS15" s="269"/>
      <c r="FT15" s="269"/>
      <c r="FU15" s="269"/>
      <c r="FV15" s="269"/>
      <c r="FW15" s="269"/>
      <c r="FX15" s="269"/>
      <c r="FY15" s="269"/>
      <c r="FZ15" s="269"/>
      <c r="GA15" s="269"/>
      <c r="GB15" s="269"/>
      <c r="GC15" s="269"/>
      <c r="GD15" s="269"/>
      <c r="GE15" s="269"/>
      <c r="GF15" s="269"/>
      <c r="GG15" s="269"/>
      <c r="GH15" s="269"/>
      <c r="GI15" s="269"/>
      <c r="GJ15" s="269"/>
      <c r="GK15" s="269"/>
      <c r="GL15" s="269"/>
      <c r="GM15" s="269"/>
      <c r="GN15" s="269"/>
      <c r="GO15" s="269"/>
      <c r="GP15" s="269"/>
      <c r="GQ15" s="269"/>
      <c r="GR15" s="269"/>
      <c r="GS15" s="269"/>
      <c r="GT15" s="269"/>
      <c r="GU15" s="269"/>
      <c r="GV15" s="269"/>
      <c r="GW15" s="269"/>
      <c r="GX15" s="269"/>
      <c r="GY15" s="269"/>
      <c r="GZ15" s="269"/>
      <c r="HA15" s="269"/>
      <c r="HB15" s="269"/>
      <c r="HC15" s="269"/>
      <c r="HD15" s="269"/>
      <c r="HE15" s="269"/>
      <c r="HF15" s="269"/>
      <c r="HG15" s="269"/>
      <c r="HH15" s="269"/>
      <c r="HI15" s="269"/>
      <c r="HJ15" s="269"/>
      <c r="HK15" s="269"/>
      <c r="HL15" s="269"/>
      <c r="HM15" s="269"/>
      <c r="HN15" s="269"/>
      <c r="HO15" s="269"/>
      <c r="HP15" s="269"/>
      <c r="HQ15" s="269"/>
    </row>
    <row r="16" spans="1:225" s="249" customFormat="1" x14ac:dyDescent="0.25">
      <c r="A16" s="354" t="s">
        <v>261</v>
      </c>
      <c r="B16" s="351" t="s">
        <v>248</v>
      </c>
      <c r="C16" s="351" t="s">
        <v>246</v>
      </c>
      <c r="D16" s="351">
        <v>900</v>
      </c>
      <c r="E16" s="351">
        <v>0</v>
      </c>
      <c r="F16" s="351">
        <v>900</v>
      </c>
      <c r="G16" s="351">
        <v>0</v>
      </c>
      <c r="H16" s="351">
        <v>900</v>
      </c>
      <c r="I16" s="351">
        <v>0</v>
      </c>
      <c r="J16" s="351">
        <v>900</v>
      </c>
      <c r="K16" s="351">
        <v>0</v>
      </c>
      <c r="L16" s="351">
        <v>900</v>
      </c>
      <c r="M16" s="248">
        <v>0</v>
      </c>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69"/>
      <c r="BK16" s="269"/>
      <c r="BL16" s="269"/>
      <c r="BM16" s="269"/>
      <c r="BN16" s="269"/>
      <c r="BO16" s="269"/>
      <c r="BP16" s="269"/>
      <c r="BQ16" s="269"/>
      <c r="BR16" s="269"/>
      <c r="BS16" s="269"/>
      <c r="BT16" s="269"/>
      <c r="BU16" s="269"/>
      <c r="BV16" s="269"/>
      <c r="BW16" s="269"/>
      <c r="BX16" s="269"/>
      <c r="BY16" s="269"/>
      <c r="BZ16" s="269"/>
      <c r="CA16" s="269"/>
      <c r="CB16" s="269"/>
      <c r="CC16" s="269"/>
      <c r="CD16" s="269"/>
      <c r="CE16" s="269"/>
      <c r="CF16" s="269"/>
      <c r="CG16" s="269"/>
      <c r="CH16" s="269"/>
      <c r="CI16" s="269"/>
      <c r="CJ16" s="269"/>
      <c r="CK16" s="269"/>
      <c r="CL16" s="269"/>
      <c r="CM16" s="269"/>
      <c r="CN16" s="269"/>
      <c r="CO16" s="269"/>
      <c r="CP16" s="269"/>
      <c r="CQ16" s="269"/>
      <c r="CR16" s="269"/>
      <c r="CS16" s="269"/>
      <c r="CT16" s="269"/>
      <c r="CU16" s="269"/>
      <c r="CV16" s="269"/>
      <c r="CW16" s="269"/>
      <c r="CX16" s="269"/>
      <c r="CY16" s="269"/>
      <c r="CZ16" s="269"/>
      <c r="DA16" s="269"/>
      <c r="DB16" s="269"/>
      <c r="DC16" s="269"/>
      <c r="DD16" s="269"/>
      <c r="DE16" s="269"/>
      <c r="DF16" s="269"/>
      <c r="DG16" s="269"/>
      <c r="DH16" s="269"/>
      <c r="DI16" s="269"/>
      <c r="DJ16" s="269"/>
      <c r="DK16" s="269"/>
      <c r="DL16" s="269"/>
      <c r="DM16" s="269"/>
      <c r="DN16" s="269"/>
      <c r="DO16" s="269"/>
      <c r="DP16" s="269"/>
      <c r="DQ16" s="269"/>
      <c r="DR16" s="269"/>
      <c r="DS16" s="269"/>
      <c r="DT16" s="269"/>
      <c r="DU16" s="269"/>
      <c r="DV16" s="269"/>
      <c r="DW16" s="269"/>
      <c r="DX16" s="269"/>
      <c r="DY16" s="269"/>
      <c r="DZ16" s="269"/>
      <c r="EA16" s="269"/>
      <c r="EB16" s="269"/>
      <c r="EC16" s="269"/>
      <c r="ED16" s="269"/>
      <c r="EE16" s="269"/>
      <c r="EF16" s="269"/>
      <c r="EG16" s="269"/>
      <c r="EH16" s="269"/>
      <c r="EI16" s="269"/>
      <c r="EJ16" s="269"/>
      <c r="EK16" s="269"/>
      <c r="EL16" s="269"/>
      <c r="EM16" s="269"/>
      <c r="EN16" s="269"/>
      <c r="EO16" s="269"/>
      <c r="EP16" s="269"/>
      <c r="EQ16" s="269"/>
      <c r="ER16" s="269"/>
      <c r="ES16" s="269"/>
      <c r="ET16" s="269"/>
      <c r="EU16" s="269"/>
      <c r="EV16" s="269"/>
      <c r="EW16" s="269"/>
      <c r="EX16" s="269"/>
      <c r="EY16" s="269"/>
      <c r="EZ16" s="269"/>
      <c r="FA16" s="269"/>
      <c r="FB16" s="269"/>
      <c r="FC16" s="269"/>
      <c r="FD16" s="269"/>
      <c r="FE16" s="269"/>
      <c r="FF16" s="269"/>
      <c r="FG16" s="269"/>
      <c r="FH16" s="269"/>
      <c r="FI16" s="269"/>
      <c r="FJ16" s="269"/>
      <c r="FK16" s="269"/>
      <c r="FL16" s="269"/>
      <c r="FM16" s="269"/>
      <c r="FN16" s="269"/>
      <c r="FO16" s="269"/>
      <c r="FP16" s="269"/>
      <c r="FQ16" s="269"/>
      <c r="FR16" s="269"/>
      <c r="FS16" s="269"/>
      <c r="FT16" s="269"/>
      <c r="FU16" s="269"/>
      <c r="FV16" s="269"/>
      <c r="FW16" s="269"/>
      <c r="FX16" s="269"/>
      <c r="FY16" s="269"/>
      <c r="FZ16" s="269"/>
      <c r="GA16" s="269"/>
      <c r="GB16" s="269"/>
      <c r="GC16" s="269"/>
      <c r="GD16" s="269"/>
      <c r="GE16" s="269"/>
      <c r="GF16" s="269"/>
      <c r="GG16" s="269"/>
      <c r="GH16" s="269"/>
      <c r="GI16" s="269"/>
      <c r="GJ16" s="269"/>
      <c r="GK16" s="269"/>
      <c r="GL16" s="269"/>
      <c r="GM16" s="269"/>
      <c r="GN16" s="269"/>
      <c r="GO16" s="269"/>
      <c r="GP16" s="269"/>
      <c r="GQ16" s="269"/>
      <c r="GR16" s="269"/>
      <c r="GS16" s="269"/>
      <c r="GT16" s="269"/>
      <c r="GU16" s="269"/>
      <c r="GV16" s="269"/>
      <c r="GW16" s="269"/>
      <c r="GX16" s="269"/>
      <c r="GY16" s="269"/>
      <c r="GZ16" s="269"/>
      <c r="HA16" s="269"/>
      <c r="HB16" s="269"/>
      <c r="HC16" s="269"/>
      <c r="HD16" s="269"/>
      <c r="HE16" s="269"/>
      <c r="HF16" s="269"/>
      <c r="HG16" s="269"/>
      <c r="HH16" s="269"/>
      <c r="HI16" s="269"/>
      <c r="HJ16" s="269"/>
      <c r="HK16" s="269"/>
      <c r="HL16" s="269"/>
      <c r="HM16" s="269"/>
      <c r="HN16" s="269"/>
      <c r="HO16" s="269"/>
      <c r="HP16" s="269"/>
      <c r="HQ16" s="269"/>
    </row>
    <row r="17" spans="1:225" s="249" customFormat="1" x14ac:dyDescent="0.25">
      <c r="A17" s="118" t="s">
        <v>268</v>
      </c>
      <c r="B17" s="353" t="s">
        <v>248</v>
      </c>
      <c r="C17" s="353" t="s">
        <v>246</v>
      </c>
      <c r="D17" s="353">
        <v>4140</v>
      </c>
      <c r="E17" s="353">
        <v>0</v>
      </c>
      <c r="F17" s="353">
        <v>4140</v>
      </c>
      <c r="G17" s="353">
        <v>0</v>
      </c>
      <c r="H17" s="353">
        <v>4140</v>
      </c>
      <c r="I17" s="353">
        <v>0</v>
      </c>
      <c r="J17" s="353">
        <v>4140</v>
      </c>
      <c r="K17" s="353">
        <v>0</v>
      </c>
      <c r="L17" s="353">
        <v>4140</v>
      </c>
      <c r="M17" s="248">
        <v>0</v>
      </c>
      <c r="N17" s="269"/>
      <c r="O17" s="269"/>
      <c r="P17" s="269"/>
      <c r="Q17" s="269"/>
      <c r="R17" s="269"/>
      <c r="S17" s="269"/>
      <c r="T17" s="269"/>
      <c r="U17" s="269"/>
      <c r="V17" s="269"/>
      <c r="W17" s="269"/>
      <c r="X17" s="269"/>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c r="BK17" s="269"/>
      <c r="BL17" s="269"/>
      <c r="BM17" s="269"/>
      <c r="BN17" s="269"/>
      <c r="BO17" s="269"/>
      <c r="BP17" s="269"/>
      <c r="BQ17" s="269"/>
      <c r="BR17" s="269"/>
      <c r="BS17" s="269"/>
      <c r="BT17" s="269"/>
      <c r="BU17" s="269"/>
      <c r="BV17" s="269"/>
      <c r="BW17" s="269"/>
      <c r="BX17" s="269"/>
      <c r="BY17" s="269"/>
      <c r="BZ17" s="269"/>
      <c r="CA17" s="269"/>
      <c r="CB17" s="269"/>
      <c r="CC17" s="269"/>
      <c r="CD17" s="269"/>
      <c r="CE17" s="269"/>
      <c r="CF17" s="269"/>
      <c r="CG17" s="269"/>
      <c r="CH17" s="269"/>
      <c r="CI17" s="269"/>
      <c r="CJ17" s="269"/>
      <c r="CK17" s="269"/>
      <c r="CL17" s="269"/>
      <c r="CM17" s="269"/>
      <c r="CN17" s="269"/>
      <c r="CO17" s="269"/>
      <c r="CP17" s="269"/>
      <c r="CQ17" s="269"/>
      <c r="CR17" s="269"/>
      <c r="CS17" s="269"/>
      <c r="CT17" s="269"/>
      <c r="CU17" s="269"/>
      <c r="CV17" s="269"/>
      <c r="CW17" s="269"/>
      <c r="CX17" s="269"/>
      <c r="CY17" s="269"/>
      <c r="CZ17" s="269"/>
      <c r="DA17" s="269"/>
      <c r="DB17" s="269"/>
      <c r="DC17" s="269"/>
      <c r="DD17" s="269"/>
      <c r="DE17" s="269"/>
      <c r="DF17" s="269"/>
      <c r="DG17" s="269"/>
      <c r="DH17" s="269"/>
      <c r="DI17" s="269"/>
      <c r="DJ17" s="269"/>
      <c r="DK17" s="269"/>
      <c r="DL17" s="269"/>
      <c r="DM17" s="269"/>
      <c r="DN17" s="269"/>
      <c r="DO17" s="269"/>
      <c r="DP17" s="269"/>
      <c r="DQ17" s="269"/>
      <c r="DR17" s="269"/>
      <c r="DS17" s="269"/>
      <c r="DT17" s="269"/>
      <c r="DU17" s="269"/>
      <c r="DV17" s="269"/>
      <c r="DW17" s="269"/>
      <c r="DX17" s="269"/>
      <c r="DY17" s="269"/>
      <c r="DZ17" s="269"/>
      <c r="EA17" s="269"/>
      <c r="EB17" s="269"/>
      <c r="EC17" s="269"/>
      <c r="ED17" s="269"/>
      <c r="EE17" s="269"/>
      <c r="EF17" s="269"/>
      <c r="EG17" s="269"/>
      <c r="EH17" s="269"/>
      <c r="EI17" s="269"/>
      <c r="EJ17" s="269"/>
      <c r="EK17" s="269"/>
      <c r="EL17" s="269"/>
      <c r="EM17" s="269"/>
      <c r="EN17" s="269"/>
      <c r="EO17" s="269"/>
      <c r="EP17" s="269"/>
      <c r="EQ17" s="269"/>
      <c r="ER17" s="269"/>
      <c r="ES17" s="269"/>
      <c r="ET17" s="269"/>
      <c r="EU17" s="269"/>
      <c r="EV17" s="269"/>
      <c r="EW17" s="269"/>
      <c r="EX17" s="269"/>
      <c r="EY17" s="269"/>
      <c r="EZ17" s="269"/>
      <c r="FA17" s="269"/>
      <c r="FB17" s="269"/>
      <c r="FC17" s="269"/>
      <c r="FD17" s="269"/>
      <c r="FE17" s="269"/>
      <c r="FF17" s="269"/>
      <c r="FG17" s="269"/>
      <c r="FH17" s="269"/>
      <c r="FI17" s="269"/>
      <c r="FJ17" s="269"/>
      <c r="FK17" s="269"/>
      <c r="FL17" s="269"/>
      <c r="FM17" s="269"/>
      <c r="FN17" s="269"/>
      <c r="FO17" s="269"/>
      <c r="FP17" s="269"/>
      <c r="FQ17" s="269"/>
      <c r="FR17" s="269"/>
      <c r="FS17" s="269"/>
      <c r="FT17" s="269"/>
      <c r="FU17" s="269"/>
      <c r="FV17" s="269"/>
      <c r="FW17" s="269"/>
      <c r="FX17" s="269"/>
      <c r="FY17" s="269"/>
      <c r="FZ17" s="269"/>
      <c r="GA17" s="269"/>
      <c r="GB17" s="269"/>
      <c r="GC17" s="269"/>
      <c r="GD17" s="269"/>
      <c r="GE17" s="269"/>
      <c r="GF17" s="269"/>
      <c r="GG17" s="269"/>
      <c r="GH17" s="269"/>
      <c r="GI17" s="269"/>
      <c r="GJ17" s="269"/>
      <c r="GK17" s="269"/>
      <c r="GL17" s="269"/>
      <c r="GM17" s="269"/>
      <c r="GN17" s="269"/>
      <c r="GO17" s="269"/>
      <c r="GP17" s="269"/>
      <c r="GQ17" s="269"/>
      <c r="GR17" s="269"/>
      <c r="GS17" s="269"/>
      <c r="GT17" s="269"/>
      <c r="GU17" s="269"/>
      <c r="GV17" s="269"/>
      <c r="GW17" s="269"/>
      <c r="GX17" s="269"/>
      <c r="GY17" s="269"/>
      <c r="GZ17" s="269"/>
      <c r="HA17" s="269"/>
      <c r="HB17" s="269"/>
      <c r="HC17" s="269"/>
      <c r="HD17" s="269"/>
      <c r="HE17" s="269"/>
      <c r="HF17" s="269"/>
      <c r="HG17" s="269"/>
      <c r="HH17" s="269"/>
      <c r="HI17" s="269"/>
      <c r="HJ17" s="269"/>
      <c r="HK17" s="269"/>
      <c r="HL17" s="269"/>
      <c r="HM17" s="269"/>
      <c r="HN17" s="269"/>
      <c r="HO17" s="269"/>
      <c r="HP17" s="269"/>
      <c r="HQ17" s="269"/>
    </row>
    <row r="18" spans="1:225" s="251" customFormat="1" x14ac:dyDescent="0.25">
      <c r="A18" s="250" t="s">
        <v>262</v>
      </c>
      <c r="B18" s="352" t="s">
        <v>248</v>
      </c>
      <c r="C18" s="352" t="s">
        <v>246</v>
      </c>
      <c r="D18" s="352">
        <v>1920</v>
      </c>
      <c r="E18" s="352">
        <v>0</v>
      </c>
      <c r="F18" s="352">
        <v>1920</v>
      </c>
      <c r="G18" s="352">
        <v>0</v>
      </c>
      <c r="H18" s="352">
        <v>1920</v>
      </c>
      <c r="I18" s="352">
        <v>0</v>
      </c>
      <c r="J18" s="352">
        <v>1920</v>
      </c>
      <c r="K18" s="352">
        <v>0</v>
      </c>
      <c r="L18" s="352">
        <v>1920</v>
      </c>
      <c r="M18" s="352">
        <v>0</v>
      </c>
      <c r="N18" s="269"/>
      <c r="O18" s="269"/>
      <c r="P18" s="269"/>
      <c r="Q18" s="269"/>
      <c r="R18" s="269"/>
      <c r="S18" s="269"/>
      <c r="T18" s="269"/>
      <c r="U18" s="269"/>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69"/>
      <c r="BK18" s="269"/>
      <c r="BL18" s="269"/>
      <c r="BM18" s="269"/>
      <c r="BN18" s="269"/>
      <c r="BO18" s="269"/>
      <c r="BP18" s="269"/>
      <c r="BQ18" s="269"/>
      <c r="BR18" s="269"/>
      <c r="BS18" s="269"/>
      <c r="BT18" s="269"/>
      <c r="BU18" s="269"/>
      <c r="BV18" s="269"/>
      <c r="BW18" s="269"/>
      <c r="BX18" s="269"/>
      <c r="BY18" s="269"/>
      <c r="BZ18" s="269"/>
      <c r="CA18" s="269"/>
      <c r="CB18" s="269"/>
      <c r="CC18" s="269"/>
      <c r="CD18" s="269"/>
      <c r="CE18" s="269"/>
      <c r="CF18" s="269"/>
      <c r="CG18" s="269"/>
      <c r="CH18" s="269"/>
      <c r="CI18" s="269"/>
      <c r="CJ18" s="269"/>
      <c r="CK18" s="269"/>
      <c r="CL18" s="269"/>
      <c r="CM18" s="269"/>
      <c r="CN18" s="269"/>
      <c r="CO18" s="269"/>
      <c r="CP18" s="269"/>
      <c r="CQ18" s="269"/>
      <c r="CR18" s="269"/>
      <c r="CS18" s="269"/>
      <c r="CT18" s="269"/>
      <c r="CU18" s="269"/>
      <c r="CV18" s="269"/>
      <c r="CW18" s="269"/>
      <c r="CX18" s="269"/>
      <c r="CY18" s="269"/>
      <c r="CZ18" s="269"/>
      <c r="DA18" s="269"/>
      <c r="DB18" s="269"/>
      <c r="DC18" s="269"/>
      <c r="DD18" s="269"/>
      <c r="DE18" s="269"/>
      <c r="DF18" s="269"/>
      <c r="DG18" s="269"/>
      <c r="DH18" s="269"/>
      <c r="DI18" s="269"/>
      <c r="DJ18" s="269"/>
      <c r="DK18" s="269"/>
      <c r="DL18" s="269"/>
      <c r="DM18" s="269"/>
      <c r="DN18" s="269"/>
      <c r="DO18" s="269"/>
      <c r="DP18" s="269"/>
      <c r="DQ18" s="269"/>
      <c r="DR18" s="269"/>
      <c r="DS18" s="269"/>
      <c r="DT18" s="269"/>
      <c r="DU18" s="269"/>
      <c r="DV18" s="269"/>
      <c r="DW18" s="269"/>
      <c r="DX18" s="269"/>
      <c r="DY18" s="269"/>
      <c r="DZ18" s="269"/>
      <c r="EA18" s="269"/>
      <c r="EB18" s="269"/>
      <c r="EC18" s="269"/>
      <c r="ED18" s="269"/>
      <c r="EE18" s="269"/>
      <c r="EF18" s="269"/>
      <c r="EG18" s="269"/>
      <c r="EH18" s="269"/>
      <c r="EI18" s="269"/>
      <c r="EJ18" s="269"/>
      <c r="EK18" s="269"/>
      <c r="EL18" s="269"/>
      <c r="EM18" s="269"/>
      <c r="EN18" s="269"/>
      <c r="EO18" s="269"/>
      <c r="EP18" s="269"/>
      <c r="EQ18" s="269"/>
      <c r="ER18" s="269"/>
      <c r="ES18" s="269"/>
      <c r="ET18" s="269"/>
      <c r="EU18" s="269"/>
      <c r="EV18" s="269"/>
      <c r="EW18" s="269"/>
      <c r="EX18" s="269"/>
      <c r="EY18" s="269"/>
      <c r="EZ18" s="269"/>
      <c r="FA18" s="269"/>
      <c r="FB18" s="269"/>
      <c r="FC18" s="269"/>
      <c r="FD18" s="269"/>
      <c r="FE18" s="269"/>
      <c r="FF18" s="269"/>
      <c r="FG18" s="269"/>
      <c r="FH18" s="269"/>
      <c r="FI18" s="269"/>
      <c r="FJ18" s="269"/>
      <c r="FK18" s="269"/>
      <c r="FL18" s="269"/>
      <c r="FM18" s="269"/>
      <c r="FN18" s="269"/>
      <c r="FO18" s="269"/>
      <c r="FP18" s="269"/>
      <c r="FQ18" s="269"/>
      <c r="FR18" s="269"/>
      <c r="FS18" s="269"/>
      <c r="FT18" s="269"/>
      <c r="FU18" s="269"/>
      <c r="FV18" s="269"/>
      <c r="FW18" s="269"/>
      <c r="FX18" s="269"/>
      <c r="FY18" s="269"/>
      <c r="FZ18" s="269"/>
      <c r="GA18" s="269"/>
      <c r="GB18" s="269"/>
      <c r="GC18" s="269"/>
      <c r="GD18" s="269"/>
      <c r="GE18" s="269"/>
      <c r="GF18" s="269"/>
      <c r="GG18" s="269"/>
      <c r="GH18" s="269"/>
      <c r="GI18" s="269"/>
      <c r="GJ18" s="269"/>
      <c r="GK18" s="269"/>
      <c r="GL18" s="269"/>
      <c r="GM18" s="269"/>
      <c r="GN18" s="269"/>
      <c r="GO18" s="269"/>
      <c r="GP18" s="269"/>
      <c r="GQ18" s="269"/>
      <c r="GR18" s="269"/>
      <c r="GS18" s="269"/>
      <c r="GT18" s="269"/>
      <c r="GU18" s="269"/>
      <c r="GV18" s="269"/>
      <c r="GW18" s="269"/>
      <c r="GX18" s="269"/>
      <c r="GY18" s="269"/>
      <c r="GZ18" s="269"/>
      <c r="HA18" s="269"/>
      <c r="HB18" s="269"/>
      <c r="HC18" s="269"/>
      <c r="HD18" s="269"/>
      <c r="HE18" s="269"/>
      <c r="HF18" s="269"/>
      <c r="HG18" s="269"/>
      <c r="HH18" s="269"/>
      <c r="HI18" s="269"/>
      <c r="HJ18" s="269"/>
      <c r="HK18" s="269"/>
      <c r="HL18" s="269"/>
      <c r="HM18" s="269"/>
      <c r="HN18" s="269"/>
      <c r="HO18" s="269"/>
      <c r="HP18" s="269"/>
      <c r="HQ18" s="269"/>
    </row>
    <row r="19" spans="1:225" s="251" customFormat="1" x14ac:dyDescent="0.25">
      <c r="A19" s="117" t="s">
        <v>263</v>
      </c>
      <c r="B19" s="350" t="s">
        <v>248</v>
      </c>
      <c r="C19" s="350" t="s">
        <v>246</v>
      </c>
      <c r="D19" s="350">
        <v>480</v>
      </c>
      <c r="E19" s="350">
        <v>0</v>
      </c>
      <c r="F19" s="350">
        <v>480</v>
      </c>
      <c r="G19" s="350">
        <v>0</v>
      </c>
      <c r="H19" s="350">
        <v>480</v>
      </c>
      <c r="I19" s="350">
        <v>0</v>
      </c>
      <c r="J19" s="350">
        <v>480</v>
      </c>
      <c r="K19" s="350">
        <v>0</v>
      </c>
      <c r="L19" s="350">
        <v>480</v>
      </c>
      <c r="M19" s="350">
        <v>0</v>
      </c>
      <c r="N19" s="269"/>
      <c r="O19" s="269"/>
      <c r="P19" s="269"/>
      <c r="Q19" s="269"/>
      <c r="R19" s="269"/>
      <c r="S19" s="269"/>
      <c r="T19" s="269"/>
      <c r="U19" s="269"/>
      <c r="V19" s="269"/>
      <c r="W19" s="269"/>
      <c r="X19" s="269"/>
      <c r="Y19" s="269"/>
      <c r="Z19" s="269"/>
      <c r="AA19" s="269"/>
      <c r="AB19" s="269"/>
      <c r="AC19" s="269"/>
      <c r="AD19" s="269"/>
      <c r="AE19" s="269"/>
      <c r="AF19" s="269"/>
      <c r="AG19" s="269"/>
      <c r="AH19" s="269"/>
      <c r="AI19" s="269"/>
      <c r="AJ19" s="269"/>
      <c r="AK19" s="269"/>
      <c r="AL19" s="269"/>
      <c r="AM19" s="269"/>
      <c r="AN19" s="269"/>
      <c r="AO19" s="269"/>
      <c r="AP19" s="269"/>
      <c r="AQ19" s="269"/>
      <c r="AR19" s="269"/>
      <c r="AS19" s="269"/>
      <c r="AT19" s="269"/>
      <c r="AU19" s="269"/>
      <c r="AV19" s="269"/>
      <c r="AW19" s="269"/>
      <c r="AX19" s="269"/>
      <c r="AY19" s="269"/>
      <c r="AZ19" s="269"/>
      <c r="BA19" s="269"/>
      <c r="BB19" s="269"/>
      <c r="BC19" s="269"/>
      <c r="BD19" s="269"/>
      <c r="BE19" s="269"/>
      <c r="BF19" s="269"/>
      <c r="BG19" s="269"/>
      <c r="BH19" s="269"/>
      <c r="BI19" s="269"/>
      <c r="BJ19" s="269"/>
      <c r="BK19" s="269"/>
      <c r="BL19" s="269"/>
      <c r="BM19" s="269"/>
      <c r="BN19" s="269"/>
      <c r="BO19" s="269"/>
      <c r="BP19" s="269"/>
      <c r="BQ19" s="269"/>
      <c r="BR19" s="269"/>
      <c r="BS19" s="269"/>
      <c r="BT19" s="269"/>
      <c r="BU19" s="269"/>
      <c r="BV19" s="269"/>
      <c r="BW19" s="269"/>
      <c r="BX19" s="269"/>
      <c r="BY19" s="269"/>
      <c r="BZ19" s="269"/>
      <c r="CA19" s="269"/>
      <c r="CB19" s="269"/>
      <c r="CC19" s="269"/>
      <c r="CD19" s="269"/>
      <c r="CE19" s="269"/>
      <c r="CF19" s="269"/>
      <c r="CG19" s="269"/>
      <c r="CH19" s="269"/>
      <c r="CI19" s="269"/>
      <c r="CJ19" s="269"/>
      <c r="CK19" s="269"/>
      <c r="CL19" s="269"/>
      <c r="CM19" s="269"/>
      <c r="CN19" s="269"/>
      <c r="CO19" s="269"/>
      <c r="CP19" s="269"/>
      <c r="CQ19" s="269"/>
      <c r="CR19" s="269"/>
      <c r="CS19" s="269"/>
      <c r="CT19" s="269"/>
      <c r="CU19" s="269"/>
      <c r="CV19" s="269"/>
      <c r="CW19" s="269"/>
      <c r="CX19" s="269"/>
      <c r="CY19" s="269"/>
      <c r="CZ19" s="269"/>
      <c r="DA19" s="269"/>
      <c r="DB19" s="269"/>
      <c r="DC19" s="269"/>
      <c r="DD19" s="269"/>
      <c r="DE19" s="269"/>
      <c r="DF19" s="269"/>
      <c r="DG19" s="269"/>
      <c r="DH19" s="269"/>
      <c r="DI19" s="269"/>
      <c r="DJ19" s="269"/>
      <c r="DK19" s="269"/>
      <c r="DL19" s="269"/>
      <c r="DM19" s="269"/>
      <c r="DN19" s="269"/>
      <c r="DO19" s="269"/>
      <c r="DP19" s="269"/>
      <c r="DQ19" s="269"/>
      <c r="DR19" s="269"/>
      <c r="DS19" s="269"/>
      <c r="DT19" s="269"/>
      <c r="DU19" s="269"/>
      <c r="DV19" s="269"/>
      <c r="DW19" s="269"/>
      <c r="DX19" s="269"/>
      <c r="DY19" s="269"/>
      <c r="DZ19" s="269"/>
      <c r="EA19" s="269"/>
      <c r="EB19" s="269"/>
      <c r="EC19" s="269"/>
      <c r="ED19" s="269"/>
      <c r="EE19" s="269"/>
      <c r="EF19" s="269"/>
      <c r="EG19" s="269"/>
      <c r="EH19" s="269"/>
      <c r="EI19" s="269"/>
      <c r="EJ19" s="269"/>
      <c r="EK19" s="269"/>
      <c r="EL19" s="269"/>
      <c r="EM19" s="269"/>
      <c r="EN19" s="269"/>
      <c r="EO19" s="269"/>
      <c r="EP19" s="269"/>
      <c r="EQ19" s="269"/>
      <c r="ER19" s="269"/>
      <c r="ES19" s="269"/>
      <c r="ET19" s="269"/>
      <c r="EU19" s="269"/>
      <c r="EV19" s="269"/>
      <c r="EW19" s="269"/>
      <c r="EX19" s="269"/>
      <c r="EY19" s="269"/>
      <c r="EZ19" s="269"/>
      <c r="FA19" s="269"/>
      <c r="FB19" s="269"/>
      <c r="FC19" s="269"/>
      <c r="FD19" s="269"/>
      <c r="FE19" s="269"/>
      <c r="FF19" s="269"/>
      <c r="FG19" s="269"/>
      <c r="FH19" s="269"/>
      <c r="FI19" s="269"/>
      <c r="FJ19" s="269"/>
      <c r="FK19" s="269"/>
      <c r="FL19" s="269"/>
      <c r="FM19" s="269"/>
      <c r="FN19" s="269"/>
      <c r="FO19" s="269"/>
      <c r="FP19" s="269"/>
      <c r="FQ19" s="269"/>
      <c r="FR19" s="269"/>
      <c r="FS19" s="269"/>
      <c r="FT19" s="269"/>
      <c r="FU19" s="269"/>
      <c r="FV19" s="269"/>
      <c r="FW19" s="269"/>
      <c r="FX19" s="269"/>
      <c r="FY19" s="269"/>
      <c r="FZ19" s="269"/>
      <c r="GA19" s="269"/>
      <c r="GB19" s="269"/>
      <c r="GC19" s="269"/>
      <c r="GD19" s="269"/>
      <c r="GE19" s="269"/>
      <c r="GF19" s="269"/>
      <c r="GG19" s="269"/>
      <c r="GH19" s="269"/>
      <c r="GI19" s="269"/>
      <c r="GJ19" s="269"/>
      <c r="GK19" s="269"/>
      <c r="GL19" s="269"/>
      <c r="GM19" s="269"/>
      <c r="GN19" s="269"/>
      <c r="GO19" s="269"/>
      <c r="GP19" s="269"/>
      <c r="GQ19" s="269"/>
      <c r="GR19" s="269"/>
      <c r="GS19" s="269"/>
      <c r="GT19" s="269"/>
      <c r="GU19" s="269"/>
      <c r="GV19" s="269"/>
      <c r="GW19" s="269"/>
      <c r="GX19" s="269"/>
      <c r="GY19" s="269"/>
      <c r="GZ19" s="269"/>
      <c r="HA19" s="269"/>
      <c r="HB19" s="269"/>
      <c r="HC19" s="269"/>
      <c r="HD19" s="269"/>
      <c r="HE19" s="269"/>
      <c r="HF19" s="269"/>
      <c r="HG19" s="269"/>
      <c r="HH19" s="269"/>
      <c r="HI19" s="269"/>
      <c r="HJ19" s="269"/>
      <c r="HK19" s="269"/>
      <c r="HL19" s="269"/>
      <c r="HM19" s="269"/>
      <c r="HN19" s="269"/>
      <c r="HO19" s="269"/>
      <c r="HP19" s="269"/>
      <c r="HQ19" s="269"/>
    </row>
    <row r="20" spans="1:225" s="249" customFormat="1" x14ac:dyDescent="0.25">
      <c r="A20" s="247"/>
      <c r="B20" s="351"/>
      <c r="C20" s="351"/>
      <c r="D20" s="247"/>
      <c r="E20" s="247"/>
      <c r="F20" s="247"/>
      <c r="G20" s="247"/>
      <c r="H20" s="247"/>
      <c r="I20" s="247"/>
      <c r="J20" s="247"/>
      <c r="K20" s="247"/>
      <c r="L20" s="247"/>
      <c r="M20" s="247"/>
      <c r="N20" s="269"/>
      <c r="O20" s="269"/>
      <c r="P20" s="269"/>
      <c r="Q20" s="269"/>
      <c r="R20" s="269"/>
      <c r="S20" s="269"/>
      <c r="T20" s="269"/>
      <c r="U20" s="269"/>
      <c r="V20" s="269"/>
      <c r="W20" s="269"/>
      <c r="X20" s="269"/>
      <c r="Y20" s="269"/>
      <c r="Z20" s="269"/>
      <c r="AA20" s="269"/>
      <c r="AB20" s="269"/>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69"/>
      <c r="BG20" s="269"/>
      <c r="BH20" s="269"/>
      <c r="BI20" s="269"/>
      <c r="BJ20" s="269"/>
      <c r="BK20" s="269"/>
      <c r="BL20" s="269"/>
      <c r="BM20" s="269"/>
      <c r="BN20" s="269"/>
      <c r="BO20" s="269"/>
      <c r="BP20" s="269"/>
      <c r="BQ20" s="269"/>
      <c r="BR20" s="269"/>
      <c r="BS20" s="269"/>
      <c r="BT20" s="269"/>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69"/>
      <c r="CS20" s="269"/>
      <c r="CT20" s="269"/>
      <c r="CU20" s="269"/>
      <c r="CV20" s="269"/>
      <c r="CW20" s="269"/>
      <c r="CX20" s="269"/>
      <c r="CY20" s="269"/>
      <c r="CZ20" s="269"/>
      <c r="DA20" s="269"/>
      <c r="DB20" s="269"/>
      <c r="DC20" s="269"/>
      <c r="DD20" s="269"/>
      <c r="DE20" s="269"/>
      <c r="DF20" s="269"/>
      <c r="DG20" s="269"/>
      <c r="DH20" s="269"/>
      <c r="DI20" s="269"/>
      <c r="DJ20" s="269"/>
      <c r="DK20" s="269"/>
      <c r="DL20" s="269"/>
      <c r="DM20" s="269"/>
      <c r="DN20" s="269"/>
      <c r="DO20" s="269"/>
      <c r="DP20" s="269"/>
      <c r="DQ20" s="269"/>
      <c r="DR20" s="269"/>
      <c r="DS20" s="269"/>
      <c r="DT20" s="269"/>
      <c r="DU20" s="269"/>
      <c r="DV20" s="269"/>
      <c r="DW20" s="269"/>
      <c r="DX20" s="269"/>
      <c r="DY20" s="269"/>
      <c r="DZ20" s="269"/>
      <c r="EA20" s="269"/>
      <c r="EB20" s="269"/>
      <c r="EC20" s="269"/>
      <c r="ED20" s="269"/>
      <c r="EE20" s="269"/>
      <c r="EF20" s="269"/>
      <c r="EG20" s="269"/>
      <c r="EH20" s="269"/>
      <c r="EI20" s="269"/>
      <c r="EJ20" s="269"/>
      <c r="EK20" s="269"/>
      <c r="EL20" s="269"/>
      <c r="EM20" s="269"/>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c r="FP20" s="269"/>
      <c r="FQ20" s="269"/>
      <c r="FR20" s="269"/>
      <c r="FS20" s="269"/>
      <c r="FT20" s="269"/>
      <c r="FU20" s="269"/>
      <c r="FV20" s="269"/>
      <c r="FW20" s="269"/>
      <c r="FX20" s="269"/>
      <c r="FY20" s="269"/>
      <c r="FZ20" s="269"/>
      <c r="GA20" s="269"/>
      <c r="GB20" s="269"/>
      <c r="GC20" s="269"/>
      <c r="GD20" s="269"/>
      <c r="GE20" s="269"/>
      <c r="GF20" s="269"/>
      <c r="GG20" s="269"/>
      <c r="GH20" s="269"/>
      <c r="GI20" s="269"/>
      <c r="GJ20" s="269"/>
      <c r="GK20" s="269"/>
      <c r="GL20" s="269"/>
      <c r="GM20" s="269"/>
      <c r="GN20" s="269"/>
      <c r="GO20" s="269"/>
      <c r="GP20" s="269"/>
      <c r="GQ20" s="269"/>
      <c r="GR20" s="269"/>
      <c r="GS20" s="269"/>
      <c r="GT20" s="269"/>
      <c r="GU20" s="269"/>
      <c r="GV20" s="269"/>
      <c r="GW20" s="269"/>
      <c r="GX20" s="269"/>
      <c r="GY20" s="269"/>
      <c r="GZ20" s="269"/>
      <c r="HA20" s="269"/>
      <c r="HB20" s="269"/>
      <c r="HC20" s="269"/>
      <c r="HD20" s="269"/>
      <c r="HE20" s="269"/>
      <c r="HF20" s="269"/>
      <c r="HG20" s="269"/>
      <c r="HH20" s="269"/>
      <c r="HI20" s="269"/>
      <c r="HJ20" s="269"/>
      <c r="HK20" s="269"/>
      <c r="HL20" s="269"/>
      <c r="HM20" s="269"/>
      <c r="HN20" s="269"/>
      <c r="HO20" s="269"/>
      <c r="HP20" s="269"/>
      <c r="HQ20" s="269"/>
    </row>
    <row r="21" spans="1:225" s="251" customFormat="1" x14ac:dyDescent="0.25">
      <c r="A21" s="250"/>
      <c r="B21" s="120"/>
      <c r="C21" s="355"/>
      <c r="D21" s="253"/>
      <c r="E21" s="253"/>
      <c r="F21" s="253"/>
      <c r="G21" s="253"/>
      <c r="H21" s="253"/>
      <c r="I21" s="253"/>
      <c r="J21" s="253"/>
      <c r="K21" s="253"/>
      <c r="L21" s="253"/>
      <c r="M21" s="253"/>
      <c r="N21" s="269"/>
      <c r="O21" s="269"/>
      <c r="P21" s="269"/>
      <c r="Q21" s="269"/>
      <c r="R21" s="269"/>
      <c r="S21" s="269"/>
      <c r="T21" s="269"/>
      <c r="U21" s="269"/>
      <c r="V21" s="269"/>
      <c r="W21" s="269"/>
      <c r="X21" s="269"/>
      <c r="Y21" s="269"/>
      <c r="Z21" s="269"/>
      <c r="AA21" s="269"/>
      <c r="AB21" s="269"/>
      <c r="AC21" s="269"/>
      <c r="AD21" s="269"/>
      <c r="AE21" s="269"/>
      <c r="AF21" s="269"/>
      <c r="AG21" s="269"/>
      <c r="AH21" s="269"/>
      <c r="AI21" s="269"/>
      <c r="AJ21" s="269"/>
      <c r="AK21" s="269"/>
      <c r="AL21" s="269"/>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69"/>
      <c r="BK21" s="269"/>
      <c r="BL21" s="269"/>
      <c r="BM21" s="269"/>
      <c r="BN21" s="269"/>
      <c r="BO21" s="269"/>
      <c r="BP21" s="269"/>
      <c r="BQ21" s="269"/>
      <c r="BR21" s="269"/>
      <c r="BS21" s="269"/>
      <c r="BT21" s="269"/>
      <c r="BU21" s="269"/>
      <c r="BV21" s="269"/>
      <c r="BW21" s="269"/>
      <c r="BX21" s="269"/>
      <c r="BY21" s="269"/>
      <c r="BZ21" s="269"/>
      <c r="CA21" s="269"/>
      <c r="CB21" s="269"/>
      <c r="CC21" s="269"/>
      <c r="CD21" s="269"/>
      <c r="CE21" s="269"/>
      <c r="CF21" s="269"/>
      <c r="CG21" s="269"/>
      <c r="CH21" s="269"/>
      <c r="CI21" s="269"/>
      <c r="CJ21" s="269"/>
      <c r="CK21" s="269"/>
      <c r="CL21" s="269"/>
      <c r="CM21" s="269"/>
      <c r="CN21" s="269"/>
      <c r="CO21" s="269"/>
      <c r="CP21" s="269"/>
      <c r="CQ21" s="269"/>
      <c r="CR21" s="269"/>
      <c r="CS21" s="269"/>
      <c r="CT21" s="269"/>
      <c r="CU21" s="269"/>
      <c r="CV21" s="269"/>
      <c r="CW21" s="269"/>
      <c r="CX21" s="269"/>
      <c r="CY21" s="269"/>
      <c r="CZ21" s="269"/>
      <c r="DA21" s="269"/>
      <c r="DB21" s="269"/>
      <c r="DC21" s="269"/>
      <c r="DD21" s="269"/>
      <c r="DE21" s="269"/>
      <c r="DF21" s="269"/>
      <c r="DG21" s="269"/>
      <c r="DH21" s="269"/>
      <c r="DI21" s="269"/>
      <c r="DJ21" s="269"/>
      <c r="DK21" s="269"/>
      <c r="DL21" s="269"/>
      <c r="DM21" s="269"/>
      <c r="DN21" s="269"/>
      <c r="DO21" s="269"/>
      <c r="DP21" s="269"/>
      <c r="DQ21" s="269"/>
      <c r="DR21" s="269"/>
      <c r="DS21" s="269"/>
      <c r="DT21" s="269"/>
      <c r="DU21" s="269"/>
      <c r="DV21" s="269"/>
      <c r="DW21" s="269"/>
      <c r="DX21" s="269"/>
      <c r="DY21" s="269"/>
      <c r="DZ21" s="269"/>
      <c r="EA21" s="269"/>
      <c r="EB21" s="269"/>
      <c r="EC21" s="269"/>
      <c r="ED21" s="269"/>
      <c r="EE21" s="269"/>
      <c r="EF21" s="269"/>
      <c r="EG21" s="269"/>
      <c r="EH21" s="269"/>
      <c r="EI21" s="269"/>
      <c r="EJ21" s="269"/>
      <c r="EK21" s="269"/>
      <c r="EL21" s="269"/>
      <c r="EM21" s="269"/>
      <c r="EN21" s="269"/>
      <c r="EO21" s="269"/>
      <c r="EP21" s="269"/>
      <c r="EQ21" s="269"/>
      <c r="ER21" s="269"/>
      <c r="ES21" s="269"/>
      <c r="ET21" s="269"/>
      <c r="EU21" s="269"/>
      <c r="EV21" s="269"/>
      <c r="EW21" s="269"/>
      <c r="EX21" s="269"/>
      <c r="EY21" s="269"/>
      <c r="EZ21" s="269"/>
      <c r="FA21" s="269"/>
      <c r="FB21" s="269"/>
      <c r="FC21" s="269"/>
      <c r="FD21" s="269"/>
      <c r="FE21" s="269"/>
      <c r="FF21" s="269"/>
      <c r="FG21" s="269"/>
      <c r="FH21" s="269"/>
      <c r="FI21" s="269"/>
      <c r="FJ21" s="269"/>
      <c r="FK21" s="269"/>
      <c r="FL21" s="269"/>
      <c r="FM21" s="269"/>
      <c r="FN21" s="269"/>
      <c r="FO21" s="269"/>
      <c r="FP21" s="269"/>
      <c r="FQ21" s="269"/>
      <c r="FR21" s="269"/>
      <c r="FS21" s="269"/>
      <c r="FT21" s="269"/>
      <c r="FU21" s="269"/>
      <c r="FV21" s="269"/>
      <c r="FW21" s="269"/>
      <c r="FX21" s="269"/>
      <c r="FY21" s="269"/>
      <c r="FZ21" s="269"/>
      <c r="GA21" s="269"/>
      <c r="GB21" s="269"/>
      <c r="GC21" s="269"/>
      <c r="GD21" s="269"/>
      <c r="GE21" s="269"/>
      <c r="GF21" s="269"/>
      <c r="GG21" s="269"/>
      <c r="GH21" s="269"/>
      <c r="GI21" s="269"/>
      <c r="GJ21" s="269"/>
      <c r="GK21" s="269"/>
      <c r="GL21" s="269"/>
      <c r="GM21" s="269"/>
      <c r="GN21" s="269"/>
      <c r="GO21" s="269"/>
      <c r="GP21" s="269"/>
      <c r="GQ21" s="269"/>
      <c r="GR21" s="269"/>
      <c r="GS21" s="269"/>
      <c r="GT21" s="269"/>
      <c r="GU21" s="269"/>
      <c r="GV21" s="269"/>
      <c r="GW21" s="269"/>
      <c r="GX21" s="269"/>
      <c r="GY21" s="269"/>
      <c r="GZ21" s="269"/>
      <c r="HA21" s="269"/>
      <c r="HB21" s="269"/>
      <c r="HC21" s="269"/>
      <c r="HD21" s="269"/>
      <c r="HE21" s="269"/>
      <c r="HF21" s="269"/>
      <c r="HG21" s="269"/>
      <c r="HH21" s="269"/>
      <c r="HI21" s="269"/>
      <c r="HJ21" s="269"/>
      <c r="HK21" s="269"/>
      <c r="HL21" s="269"/>
      <c r="HM21" s="269"/>
      <c r="HN21" s="269"/>
      <c r="HO21" s="269"/>
      <c r="HP21" s="269"/>
      <c r="HQ21" s="269"/>
    </row>
    <row r="22" spans="1:225" s="251" customFormat="1" x14ac:dyDescent="0.25">
      <c r="A22" s="250"/>
      <c r="B22" s="120"/>
      <c r="C22" s="120"/>
      <c r="D22" s="253"/>
      <c r="E22" s="253"/>
      <c r="F22" s="253"/>
      <c r="G22" s="253"/>
      <c r="H22" s="253"/>
      <c r="I22" s="253"/>
      <c r="J22" s="253"/>
      <c r="K22" s="253"/>
      <c r="L22" s="253"/>
      <c r="M22" s="253"/>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269"/>
      <c r="BH22" s="269"/>
      <c r="BI22" s="269"/>
      <c r="BJ22" s="269"/>
      <c r="BK22" s="269"/>
      <c r="BL22" s="269"/>
      <c r="BM22" s="269"/>
      <c r="BN22" s="269"/>
      <c r="BO22" s="269"/>
      <c r="BP22" s="269"/>
      <c r="BQ22" s="269"/>
      <c r="BR22" s="269"/>
      <c r="BS22" s="269"/>
      <c r="BT22" s="269"/>
      <c r="BU22" s="269"/>
      <c r="BV22" s="269"/>
      <c r="BW22" s="269"/>
      <c r="BX22" s="269"/>
      <c r="BY22" s="269"/>
      <c r="BZ22" s="269"/>
      <c r="CA22" s="269"/>
      <c r="CB22" s="269"/>
      <c r="CC22" s="269"/>
      <c r="CD22" s="269"/>
      <c r="CE22" s="269"/>
      <c r="CF22" s="269"/>
      <c r="CG22" s="269"/>
      <c r="CH22" s="269"/>
      <c r="CI22" s="269"/>
      <c r="CJ22" s="269"/>
      <c r="CK22" s="269"/>
      <c r="CL22" s="269"/>
      <c r="CM22" s="269"/>
      <c r="CN22" s="269"/>
      <c r="CO22" s="269"/>
      <c r="CP22" s="269"/>
      <c r="CQ22" s="269"/>
      <c r="CR22" s="269"/>
      <c r="CS22" s="269"/>
      <c r="CT22" s="269"/>
      <c r="CU22" s="269"/>
      <c r="CV22" s="269"/>
      <c r="CW22" s="269"/>
      <c r="CX22" s="269"/>
      <c r="CY22" s="269"/>
      <c r="CZ22" s="269"/>
      <c r="DA22" s="269"/>
      <c r="DB22" s="269"/>
      <c r="DC22" s="269"/>
      <c r="DD22" s="269"/>
      <c r="DE22" s="269"/>
      <c r="DF22" s="269"/>
      <c r="DG22" s="269"/>
      <c r="DH22" s="269"/>
      <c r="DI22" s="269"/>
      <c r="DJ22" s="269"/>
      <c r="DK22" s="269"/>
      <c r="DL22" s="269"/>
      <c r="DM22" s="269"/>
      <c r="DN22" s="269"/>
      <c r="DO22" s="269"/>
      <c r="DP22" s="269"/>
      <c r="DQ22" s="269"/>
      <c r="DR22" s="269"/>
      <c r="DS22" s="269"/>
      <c r="DT22" s="269"/>
      <c r="DU22" s="269"/>
      <c r="DV22" s="269"/>
      <c r="DW22" s="269"/>
      <c r="DX22" s="269"/>
      <c r="DY22" s="269"/>
      <c r="DZ22" s="269"/>
      <c r="EA22" s="269"/>
      <c r="EB22" s="269"/>
      <c r="EC22" s="269"/>
      <c r="ED22" s="269"/>
      <c r="EE22" s="269"/>
      <c r="EF22" s="269"/>
      <c r="EG22" s="269"/>
      <c r="EH22" s="269"/>
      <c r="EI22" s="269"/>
      <c r="EJ22" s="269"/>
      <c r="EK22" s="269"/>
      <c r="EL22" s="269"/>
      <c r="EM22" s="269"/>
      <c r="EN22" s="269"/>
      <c r="EO22" s="269"/>
      <c r="EP22" s="269"/>
      <c r="EQ22" s="269"/>
      <c r="ER22" s="269"/>
      <c r="ES22" s="269"/>
      <c r="ET22" s="269"/>
      <c r="EU22" s="269"/>
      <c r="EV22" s="269"/>
      <c r="EW22" s="269"/>
      <c r="EX22" s="269"/>
      <c r="EY22" s="269"/>
      <c r="EZ22" s="269"/>
      <c r="FA22" s="269"/>
      <c r="FB22" s="269"/>
      <c r="FC22" s="269"/>
      <c r="FD22" s="269"/>
      <c r="FE22" s="269"/>
      <c r="FF22" s="269"/>
      <c r="FG22" s="269"/>
      <c r="FH22" s="269"/>
      <c r="FI22" s="269"/>
      <c r="FJ22" s="269"/>
      <c r="FK22" s="269"/>
      <c r="FL22" s="269"/>
      <c r="FM22" s="269"/>
      <c r="FN22" s="269"/>
      <c r="FO22" s="269"/>
      <c r="FP22" s="269"/>
      <c r="FQ22" s="269"/>
      <c r="FR22" s="269"/>
      <c r="FS22" s="269"/>
      <c r="FT22" s="269"/>
      <c r="FU22" s="269"/>
      <c r="FV22" s="269"/>
      <c r="FW22" s="269"/>
      <c r="FX22" s="269"/>
      <c r="FY22" s="269"/>
      <c r="FZ22" s="269"/>
      <c r="GA22" s="269"/>
      <c r="GB22" s="269"/>
      <c r="GC22" s="269"/>
      <c r="GD22" s="269"/>
      <c r="GE22" s="269"/>
      <c r="GF22" s="269"/>
      <c r="GG22" s="269"/>
      <c r="GH22" s="269"/>
      <c r="GI22" s="269"/>
      <c r="GJ22" s="269"/>
      <c r="GK22" s="269"/>
      <c r="GL22" s="269"/>
      <c r="GM22" s="269"/>
      <c r="GN22" s="269"/>
      <c r="GO22" s="269"/>
      <c r="GP22" s="269"/>
      <c r="GQ22" s="269"/>
      <c r="GR22" s="269"/>
      <c r="GS22" s="269"/>
      <c r="GT22" s="269"/>
      <c r="GU22" s="269"/>
      <c r="GV22" s="269"/>
      <c r="GW22" s="269"/>
      <c r="GX22" s="269"/>
      <c r="GY22" s="269"/>
      <c r="GZ22" s="269"/>
      <c r="HA22" s="269"/>
      <c r="HB22" s="269"/>
      <c r="HC22" s="269"/>
      <c r="HD22" s="269"/>
      <c r="HE22" s="269"/>
      <c r="HF22" s="269"/>
      <c r="HG22" s="269"/>
      <c r="HH22" s="269"/>
      <c r="HI22" s="269"/>
      <c r="HJ22" s="269"/>
      <c r="HK22" s="269"/>
      <c r="HL22" s="269"/>
      <c r="HM22" s="269"/>
      <c r="HN22" s="269"/>
      <c r="HO22" s="269"/>
      <c r="HP22" s="269"/>
      <c r="HQ22" s="269"/>
    </row>
    <row r="23" spans="1:225" s="249" customFormat="1" x14ac:dyDescent="0.25">
      <c r="A23" s="247"/>
      <c r="B23" s="248"/>
      <c r="C23" s="248"/>
      <c r="D23" s="247"/>
      <c r="E23" s="247"/>
      <c r="F23" s="247"/>
      <c r="G23" s="247"/>
      <c r="H23" s="247"/>
      <c r="I23" s="247"/>
      <c r="J23" s="247"/>
      <c r="K23" s="247"/>
      <c r="L23" s="247"/>
      <c r="M23" s="247"/>
      <c r="N23" s="269"/>
      <c r="O23" s="269"/>
      <c r="P23" s="269"/>
      <c r="Q23" s="269"/>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9"/>
      <c r="BA23" s="269"/>
      <c r="BB23" s="269"/>
      <c r="BC23" s="269"/>
      <c r="BD23" s="269"/>
      <c r="BE23" s="269"/>
      <c r="BF23" s="269"/>
      <c r="BG23" s="269"/>
      <c r="BH23" s="269"/>
      <c r="BI23" s="269"/>
      <c r="BJ23" s="269"/>
      <c r="BK23" s="269"/>
      <c r="BL23" s="269"/>
      <c r="BM23" s="269"/>
      <c r="BN23" s="269"/>
      <c r="BO23" s="269"/>
      <c r="BP23" s="269"/>
      <c r="BQ23" s="269"/>
      <c r="BR23" s="269"/>
      <c r="BS23" s="269"/>
      <c r="BT23" s="269"/>
      <c r="BU23" s="269"/>
      <c r="BV23" s="269"/>
      <c r="BW23" s="269"/>
      <c r="BX23" s="269"/>
      <c r="BY23" s="269"/>
      <c r="BZ23" s="269"/>
      <c r="CA23" s="269"/>
      <c r="CB23" s="269"/>
      <c r="CC23" s="269"/>
      <c r="CD23" s="269"/>
      <c r="CE23" s="269"/>
      <c r="CF23" s="269"/>
      <c r="CG23" s="269"/>
      <c r="CH23" s="269"/>
      <c r="CI23" s="269"/>
      <c r="CJ23" s="269"/>
      <c r="CK23" s="269"/>
      <c r="CL23" s="269"/>
      <c r="CM23" s="269"/>
      <c r="CN23" s="269"/>
      <c r="CO23" s="269"/>
      <c r="CP23" s="269"/>
      <c r="CQ23" s="269"/>
      <c r="CR23" s="269"/>
      <c r="CS23" s="269"/>
      <c r="CT23" s="269"/>
      <c r="CU23" s="269"/>
      <c r="CV23" s="269"/>
      <c r="CW23" s="269"/>
      <c r="CX23" s="269"/>
      <c r="CY23" s="269"/>
      <c r="CZ23" s="269"/>
      <c r="DA23" s="269"/>
      <c r="DB23" s="269"/>
      <c r="DC23" s="269"/>
      <c r="DD23" s="269"/>
      <c r="DE23" s="269"/>
      <c r="DF23" s="269"/>
      <c r="DG23" s="269"/>
      <c r="DH23" s="269"/>
      <c r="DI23" s="269"/>
      <c r="DJ23" s="269"/>
      <c r="DK23" s="269"/>
      <c r="DL23" s="269"/>
      <c r="DM23" s="269"/>
      <c r="DN23" s="269"/>
      <c r="DO23" s="269"/>
      <c r="DP23" s="269"/>
      <c r="DQ23" s="269"/>
      <c r="DR23" s="269"/>
      <c r="DS23" s="269"/>
      <c r="DT23" s="269"/>
      <c r="DU23" s="269"/>
      <c r="DV23" s="269"/>
      <c r="DW23" s="269"/>
      <c r="DX23" s="269"/>
      <c r="DY23" s="269"/>
      <c r="DZ23" s="269"/>
      <c r="EA23" s="269"/>
      <c r="EB23" s="269"/>
      <c r="EC23" s="269"/>
      <c r="ED23" s="269"/>
      <c r="EE23" s="269"/>
      <c r="EF23" s="269"/>
      <c r="EG23" s="269"/>
      <c r="EH23" s="269"/>
      <c r="EI23" s="269"/>
      <c r="EJ23" s="269"/>
      <c r="EK23" s="269"/>
      <c r="EL23" s="269"/>
      <c r="EM23" s="269"/>
      <c r="EN23" s="269"/>
      <c r="EO23" s="269"/>
      <c r="EP23" s="269"/>
      <c r="EQ23" s="269"/>
      <c r="ER23" s="269"/>
      <c r="ES23" s="269"/>
      <c r="ET23" s="269"/>
      <c r="EU23" s="269"/>
      <c r="EV23" s="269"/>
      <c r="EW23" s="269"/>
      <c r="EX23" s="269"/>
      <c r="EY23" s="269"/>
      <c r="EZ23" s="269"/>
      <c r="FA23" s="269"/>
      <c r="FB23" s="269"/>
      <c r="FC23" s="269"/>
      <c r="FD23" s="269"/>
      <c r="FE23" s="269"/>
      <c r="FF23" s="269"/>
      <c r="FG23" s="269"/>
      <c r="FH23" s="269"/>
      <c r="FI23" s="269"/>
      <c r="FJ23" s="269"/>
      <c r="FK23" s="269"/>
      <c r="FL23" s="269"/>
      <c r="FM23" s="269"/>
      <c r="FN23" s="269"/>
      <c r="FO23" s="269"/>
      <c r="FP23" s="269"/>
      <c r="FQ23" s="269"/>
      <c r="FR23" s="269"/>
      <c r="FS23" s="269"/>
      <c r="FT23" s="269"/>
      <c r="FU23" s="269"/>
      <c r="FV23" s="269"/>
      <c r="FW23" s="269"/>
      <c r="FX23" s="269"/>
      <c r="FY23" s="269"/>
      <c r="FZ23" s="269"/>
      <c r="GA23" s="269"/>
      <c r="GB23" s="269"/>
      <c r="GC23" s="269"/>
      <c r="GD23" s="269"/>
      <c r="GE23" s="269"/>
      <c r="GF23" s="269"/>
      <c r="GG23" s="269"/>
      <c r="GH23" s="269"/>
      <c r="GI23" s="269"/>
      <c r="GJ23" s="269"/>
      <c r="GK23" s="269"/>
      <c r="GL23" s="269"/>
      <c r="GM23" s="269"/>
      <c r="GN23" s="269"/>
      <c r="GO23" s="269"/>
      <c r="GP23" s="269"/>
      <c r="GQ23" s="269"/>
      <c r="GR23" s="269"/>
      <c r="GS23" s="269"/>
      <c r="GT23" s="269"/>
      <c r="GU23" s="269"/>
      <c r="GV23" s="269"/>
      <c r="GW23" s="269"/>
      <c r="GX23" s="269"/>
      <c r="GY23" s="269"/>
      <c r="GZ23" s="269"/>
      <c r="HA23" s="269"/>
      <c r="HB23" s="269"/>
      <c r="HC23" s="269"/>
      <c r="HD23" s="269"/>
      <c r="HE23" s="269"/>
      <c r="HF23" s="269"/>
      <c r="HG23" s="269"/>
      <c r="HH23" s="269"/>
      <c r="HI23" s="269"/>
      <c r="HJ23" s="269"/>
      <c r="HK23" s="269"/>
      <c r="HL23" s="269"/>
      <c r="HM23" s="269"/>
      <c r="HN23" s="269"/>
      <c r="HO23" s="269"/>
      <c r="HP23" s="269"/>
      <c r="HQ23" s="269"/>
    </row>
    <row r="24" spans="1:225" s="249" customFormat="1" x14ac:dyDescent="0.25">
      <c r="A24" s="247"/>
      <c r="B24" s="248"/>
      <c r="C24" s="248"/>
      <c r="D24" s="247"/>
      <c r="E24" s="247"/>
      <c r="F24" s="247"/>
      <c r="G24" s="247"/>
      <c r="H24" s="247"/>
      <c r="I24" s="247"/>
      <c r="J24" s="247"/>
      <c r="K24" s="247"/>
      <c r="L24" s="247"/>
      <c r="M24" s="247"/>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c r="AX24" s="269"/>
      <c r="AY24" s="269"/>
      <c r="AZ24" s="269"/>
      <c r="BA24" s="269"/>
      <c r="BB24" s="269"/>
      <c r="BC24" s="269"/>
      <c r="BD24" s="269"/>
      <c r="BE24" s="269"/>
      <c r="BF24" s="269"/>
      <c r="BG24" s="269"/>
      <c r="BH24" s="269"/>
      <c r="BI24" s="269"/>
      <c r="BJ24" s="269"/>
      <c r="BK24" s="269"/>
      <c r="BL24" s="269"/>
      <c r="BM24" s="269"/>
      <c r="BN24" s="269"/>
      <c r="BO24" s="269"/>
      <c r="BP24" s="269"/>
      <c r="BQ24" s="269"/>
      <c r="BR24" s="269"/>
      <c r="BS24" s="269"/>
      <c r="BT24" s="269"/>
      <c r="BU24" s="269"/>
      <c r="BV24" s="269"/>
      <c r="BW24" s="269"/>
      <c r="BX24" s="269"/>
      <c r="BY24" s="269"/>
      <c r="BZ24" s="269"/>
      <c r="CA24" s="269"/>
      <c r="CB24" s="269"/>
      <c r="CC24" s="269"/>
      <c r="CD24" s="269"/>
      <c r="CE24" s="269"/>
      <c r="CF24" s="269"/>
      <c r="CG24" s="269"/>
      <c r="CH24" s="269"/>
      <c r="CI24" s="269"/>
      <c r="CJ24" s="269"/>
      <c r="CK24" s="269"/>
      <c r="CL24" s="269"/>
      <c r="CM24" s="269"/>
      <c r="CN24" s="269"/>
      <c r="CO24" s="269"/>
      <c r="CP24" s="269"/>
      <c r="CQ24" s="269"/>
      <c r="CR24" s="269"/>
      <c r="CS24" s="269"/>
      <c r="CT24" s="269"/>
      <c r="CU24" s="269"/>
      <c r="CV24" s="269"/>
      <c r="CW24" s="269"/>
      <c r="CX24" s="269"/>
      <c r="CY24" s="269"/>
      <c r="CZ24" s="269"/>
      <c r="DA24" s="269"/>
      <c r="DB24" s="269"/>
      <c r="DC24" s="269"/>
      <c r="DD24" s="269"/>
      <c r="DE24" s="269"/>
      <c r="DF24" s="269"/>
      <c r="DG24" s="269"/>
      <c r="DH24" s="269"/>
      <c r="DI24" s="269"/>
      <c r="DJ24" s="269"/>
      <c r="DK24" s="269"/>
      <c r="DL24" s="269"/>
      <c r="DM24" s="269"/>
      <c r="DN24" s="269"/>
      <c r="DO24" s="269"/>
      <c r="DP24" s="269"/>
      <c r="DQ24" s="269"/>
      <c r="DR24" s="269"/>
      <c r="DS24" s="269"/>
      <c r="DT24" s="269"/>
      <c r="DU24" s="269"/>
      <c r="DV24" s="269"/>
      <c r="DW24" s="269"/>
      <c r="DX24" s="269"/>
      <c r="DY24" s="269"/>
      <c r="DZ24" s="269"/>
      <c r="EA24" s="269"/>
      <c r="EB24" s="269"/>
      <c r="EC24" s="269"/>
      <c r="ED24" s="269"/>
      <c r="EE24" s="269"/>
      <c r="EF24" s="269"/>
      <c r="EG24" s="269"/>
      <c r="EH24" s="269"/>
      <c r="EI24" s="269"/>
      <c r="EJ24" s="269"/>
      <c r="EK24" s="269"/>
      <c r="EL24" s="269"/>
      <c r="EM24" s="269"/>
      <c r="EN24" s="269"/>
      <c r="EO24" s="269"/>
      <c r="EP24" s="269"/>
      <c r="EQ24" s="269"/>
      <c r="ER24" s="269"/>
      <c r="ES24" s="269"/>
      <c r="ET24" s="269"/>
      <c r="EU24" s="269"/>
      <c r="EV24" s="269"/>
      <c r="EW24" s="269"/>
      <c r="EX24" s="269"/>
      <c r="EY24" s="269"/>
      <c r="EZ24" s="269"/>
      <c r="FA24" s="269"/>
      <c r="FB24" s="269"/>
      <c r="FC24" s="269"/>
      <c r="FD24" s="269"/>
      <c r="FE24" s="269"/>
      <c r="FF24" s="269"/>
      <c r="FG24" s="269"/>
      <c r="FH24" s="269"/>
      <c r="FI24" s="269"/>
      <c r="FJ24" s="269"/>
      <c r="FK24" s="269"/>
      <c r="FL24" s="269"/>
      <c r="FM24" s="269"/>
      <c r="FN24" s="269"/>
      <c r="FO24" s="269"/>
      <c r="FP24" s="269"/>
      <c r="FQ24" s="269"/>
      <c r="FR24" s="269"/>
      <c r="FS24" s="269"/>
      <c r="FT24" s="269"/>
      <c r="FU24" s="269"/>
      <c r="FV24" s="269"/>
      <c r="FW24" s="269"/>
      <c r="FX24" s="269"/>
      <c r="FY24" s="269"/>
      <c r="FZ24" s="269"/>
      <c r="GA24" s="269"/>
      <c r="GB24" s="269"/>
      <c r="GC24" s="269"/>
      <c r="GD24" s="269"/>
      <c r="GE24" s="269"/>
      <c r="GF24" s="269"/>
      <c r="GG24" s="269"/>
      <c r="GH24" s="269"/>
      <c r="GI24" s="269"/>
      <c r="GJ24" s="269"/>
      <c r="GK24" s="269"/>
      <c r="GL24" s="269"/>
      <c r="GM24" s="269"/>
      <c r="GN24" s="269"/>
      <c r="GO24" s="269"/>
      <c r="GP24" s="269"/>
      <c r="GQ24" s="269"/>
      <c r="GR24" s="269"/>
      <c r="GS24" s="269"/>
      <c r="GT24" s="269"/>
      <c r="GU24" s="269"/>
      <c r="GV24" s="269"/>
      <c r="GW24" s="269"/>
      <c r="GX24" s="269"/>
      <c r="GY24" s="269"/>
      <c r="GZ24" s="269"/>
      <c r="HA24" s="269"/>
      <c r="HB24" s="269"/>
      <c r="HC24" s="269"/>
      <c r="HD24" s="269"/>
      <c r="HE24" s="269"/>
      <c r="HF24" s="269"/>
      <c r="HG24" s="269"/>
      <c r="HH24" s="269"/>
      <c r="HI24" s="269"/>
      <c r="HJ24" s="269"/>
      <c r="HK24" s="269"/>
      <c r="HL24" s="269"/>
      <c r="HM24" s="269"/>
      <c r="HN24" s="269"/>
      <c r="HO24" s="269"/>
      <c r="HP24" s="269"/>
      <c r="HQ24" s="269"/>
    </row>
    <row r="25" spans="1:225" s="249" customFormat="1" x14ac:dyDescent="0.25">
      <c r="A25" s="118"/>
      <c r="B25" s="248"/>
      <c r="C25" s="248"/>
      <c r="D25" s="240"/>
      <c r="E25" s="240"/>
      <c r="F25" s="240"/>
      <c r="G25" s="240"/>
      <c r="H25" s="240"/>
      <c r="I25" s="240"/>
      <c r="J25" s="240"/>
      <c r="K25" s="240"/>
      <c r="L25" s="240"/>
      <c r="M25" s="240"/>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269"/>
      <c r="BB25" s="269"/>
      <c r="BC25" s="269"/>
      <c r="BD25" s="269"/>
      <c r="BE25" s="269"/>
      <c r="BF25" s="269"/>
      <c r="BG25" s="269"/>
      <c r="BH25" s="269"/>
      <c r="BI25" s="269"/>
      <c r="BJ25" s="269"/>
      <c r="BK25" s="269"/>
      <c r="BL25" s="269"/>
      <c r="BM25" s="269"/>
      <c r="BN25" s="269"/>
      <c r="BO25" s="269"/>
      <c r="BP25" s="269"/>
      <c r="BQ25" s="269"/>
      <c r="BR25" s="269"/>
      <c r="BS25" s="269"/>
      <c r="BT25" s="269"/>
      <c r="BU25" s="269"/>
      <c r="BV25" s="269"/>
      <c r="BW25" s="269"/>
      <c r="BX25" s="269"/>
      <c r="BY25" s="269"/>
      <c r="BZ25" s="269"/>
      <c r="CA25" s="269"/>
      <c r="CB25" s="269"/>
      <c r="CC25" s="269"/>
      <c r="CD25" s="269"/>
      <c r="CE25" s="269"/>
      <c r="CF25" s="269"/>
      <c r="CG25" s="269"/>
      <c r="CH25" s="269"/>
      <c r="CI25" s="269"/>
      <c r="CJ25" s="269"/>
      <c r="CK25" s="269"/>
      <c r="CL25" s="269"/>
      <c r="CM25" s="269"/>
      <c r="CN25" s="269"/>
      <c r="CO25" s="269"/>
      <c r="CP25" s="269"/>
      <c r="CQ25" s="269"/>
      <c r="CR25" s="269"/>
      <c r="CS25" s="269"/>
      <c r="CT25" s="269"/>
      <c r="CU25" s="269"/>
      <c r="CV25" s="269"/>
      <c r="CW25" s="269"/>
      <c r="CX25" s="269"/>
      <c r="CY25" s="269"/>
      <c r="CZ25" s="269"/>
      <c r="DA25" s="269"/>
      <c r="DB25" s="269"/>
      <c r="DC25" s="269"/>
      <c r="DD25" s="269"/>
      <c r="DE25" s="269"/>
      <c r="DF25" s="269"/>
      <c r="DG25" s="269"/>
      <c r="DH25" s="269"/>
      <c r="DI25" s="269"/>
      <c r="DJ25" s="269"/>
      <c r="DK25" s="269"/>
      <c r="DL25" s="269"/>
      <c r="DM25" s="269"/>
      <c r="DN25" s="269"/>
      <c r="DO25" s="269"/>
      <c r="DP25" s="269"/>
      <c r="DQ25" s="269"/>
      <c r="DR25" s="269"/>
      <c r="DS25" s="269"/>
      <c r="DT25" s="269"/>
      <c r="DU25" s="269"/>
      <c r="DV25" s="269"/>
      <c r="DW25" s="269"/>
      <c r="DX25" s="269"/>
      <c r="DY25" s="269"/>
      <c r="DZ25" s="269"/>
      <c r="EA25" s="269"/>
      <c r="EB25" s="269"/>
      <c r="EC25" s="269"/>
      <c r="ED25" s="269"/>
      <c r="EE25" s="269"/>
      <c r="EF25" s="269"/>
      <c r="EG25" s="269"/>
      <c r="EH25" s="269"/>
      <c r="EI25" s="269"/>
      <c r="EJ25" s="269"/>
      <c r="EK25" s="269"/>
      <c r="EL25" s="269"/>
      <c r="EM25" s="269"/>
      <c r="EN25" s="269"/>
      <c r="EO25" s="269"/>
      <c r="EP25" s="269"/>
      <c r="EQ25" s="269"/>
      <c r="ER25" s="269"/>
      <c r="ES25" s="269"/>
      <c r="ET25" s="269"/>
      <c r="EU25" s="269"/>
      <c r="EV25" s="269"/>
      <c r="EW25" s="269"/>
      <c r="EX25" s="269"/>
      <c r="EY25" s="269"/>
      <c r="EZ25" s="269"/>
      <c r="FA25" s="269"/>
      <c r="FB25" s="269"/>
      <c r="FC25" s="269"/>
      <c r="FD25" s="269"/>
      <c r="FE25" s="269"/>
      <c r="FF25" s="269"/>
      <c r="FG25" s="269"/>
      <c r="FH25" s="269"/>
      <c r="FI25" s="269"/>
      <c r="FJ25" s="269"/>
      <c r="FK25" s="269"/>
      <c r="FL25" s="269"/>
      <c r="FM25" s="269"/>
      <c r="FN25" s="269"/>
      <c r="FO25" s="269"/>
      <c r="FP25" s="269"/>
      <c r="FQ25" s="269"/>
      <c r="FR25" s="269"/>
      <c r="FS25" s="269"/>
      <c r="FT25" s="269"/>
      <c r="FU25" s="269"/>
      <c r="FV25" s="269"/>
      <c r="FW25" s="269"/>
      <c r="FX25" s="269"/>
      <c r="FY25" s="269"/>
      <c r="FZ25" s="269"/>
      <c r="GA25" s="269"/>
      <c r="GB25" s="269"/>
      <c r="GC25" s="269"/>
      <c r="GD25" s="269"/>
      <c r="GE25" s="269"/>
      <c r="GF25" s="269"/>
      <c r="GG25" s="269"/>
      <c r="GH25" s="269"/>
      <c r="GI25" s="269"/>
      <c r="GJ25" s="269"/>
      <c r="GK25" s="269"/>
      <c r="GL25" s="269"/>
      <c r="GM25" s="269"/>
      <c r="GN25" s="269"/>
      <c r="GO25" s="269"/>
      <c r="GP25" s="269"/>
      <c r="GQ25" s="269"/>
      <c r="GR25" s="269"/>
      <c r="GS25" s="269"/>
      <c r="GT25" s="269"/>
      <c r="GU25" s="269"/>
      <c r="GV25" s="269"/>
      <c r="GW25" s="269"/>
      <c r="GX25" s="269"/>
      <c r="GY25" s="269"/>
      <c r="GZ25" s="269"/>
      <c r="HA25" s="269"/>
      <c r="HB25" s="269"/>
      <c r="HC25" s="269"/>
      <c r="HD25" s="269"/>
      <c r="HE25" s="269"/>
      <c r="HF25" s="269"/>
      <c r="HG25" s="269"/>
      <c r="HH25" s="269"/>
      <c r="HI25" s="269"/>
      <c r="HJ25" s="269"/>
      <c r="HK25" s="269"/>
      <c r="HL25" s="269"/>
      <c r="HM25" s="269"/>
      <c r="HN25" s="269"/>
      <c r="HO25" s="269"/>
      <c r="HP25" s="269"/>
      <c r="HQ25" s="269"/>
    </row>
    <row r="26" spans="1:225" s="251" customFormat="1" x14ac:dyDescent="0.25">
      <c r="A26" s="250"/>
      <c r="B26" s="120"/>
      <c r="C26" s="120"/>
      <c r="D26" s="253"/>
      <c r="E26" s="253"/>
      <c r="F26" s="253"/>
      <c r="G26" s="253"/>
      <c r="H26" s="253"/>
      <c r="I26" s="253"/>
      <c r="J26" s="253"/>
      <c r="K26" s="253"/>
      <c r="L26" s="253"/>
      <c r="M26" s="253"/>
      <c r="N26" s="269"/>
      <c r="O26" s="269"/>
      <c r="P26" s="269"/>
      <c r="Q26" s="269"/>
      <c r="R26" s="269"/>
      <c r="S26" s="269"/>
      <c r="T26" s="269"/>
      <c r="U26" s="269"/>
      <c r="V26" s="269"/>
      <c r="W26" s="269"/>
      <c r="X26" s="269"/>
      <c r="Y26" s="269"/>
      <c r="Z26" s="269"/>
      <c r="AA26" s="269"/>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269"/>
      <c r="BB26" s="269"/>
      <c r="BC26" s="269"/>
      <c r="BD26" s="269"/>
      <c r="BE26" s="269"/>
      <c r="BF26" s="269"/>
      <c r="BG26" s="269"/>
      <c r="BH26" s="269"/>
      <c r="BI26" s="269"/>
      <c r="BJ26" s="269"/>
      <c r="BK26" s="269"/>
      <c r="BL26" s="269"/>
      <c r="BM26" s="269"/>
      <c r="BN26" s="269"/>
      <c r="BO26" s="269"/>
      <c r="BP26" s="269"/>
      <c r="BQ26" s="269"/>
      <c r="BR26" s="269"/>
      <c r="BS26" s="269"/>
      <c r="BT26" s="269"/>
      <c r="BU26" s="269"/>
      <c r="BV26" s="269"/>
      <c r="BW26" s="269"/>
      <c r="BX26" s="269"/>
      <c r="BY26" s="269"/>
      <c r="BZ26" s="269"/>
      <c r="CA26" s="269"/>
      <c r="CB26" s="269"/>
      <c r="CC26" s="269"/>
      <c r="CD26" s="269"/>
      <c r="CE26" s="269"/>
      <c r="CF26" s="269"/>
      <c r="CG26" s="269"/>
      <c r="CH26" s="269"/>
      <c r="CI26" s="269"/>
      <c r="CJ26" s="269"/>
      <c r="CK26" s="269"/>
      <c r="CL26" s="269"/>
      <c r="CM26" s="269"/>
      <c r="CN26" s="269"/>
      <c r="CO26" s="269"/>
      <c r="CP26" s="269"/>
      <c r="CQ26" s="269"/>
      <c r="CR26" s="269"/>
      <c r="CS26" s="269"/>
      <c r="CT26" s="269"/>
      <c r="CU26" s="269"/>
      <c r="CV26" s="269"/>
      <c r="CW26" s="269"/>
      <c r="CX26" s="269"/>
      <c r="CY26" s="269"/>
      <c r="CZ26" s="269"/>
      <c r="DA26" s="269"/>
      <c r="DB26" s="269"/>
      <c r="DC26" s="269"/>
      <c r="DD26" s="269"/>
      <c r="DE26" s="269"/>
      <c r="DF26" s="269"/>
      <c r="DG26" s="269"/>
      <c r="DH26" s="269"/>
      <c r="DI26" s="269"/>
      <c r="DJ26" s="269"/>
      <c r="DK26" s="269"/>
      <c r="DL26" s="269"/>
      <c r="DM26" s="269"/>
      <c r="DN26" s="269"/>
      <c r="DO26" s="269"/>
      <c r="DP26" s="269"/>
      <c r="DQ26" s="269"/>
      <c r="DR26" s="269"/>
      <c r="DS26" s="269"/>
      <c r="DT26" s="269"/>
      <c r="DU26" s="269"/>
      <c r="DV26" s="269"/>
      <c r="DW26" s="269"/>
      <c r="DX26" s="269"/>
      <c r="DY26" s="269"/>
      <c r="DZ26" s="269"/>
      <c r="EA26" s="269"/>
      <c r="EB26" s="269"/>
      <c r="EC26" s="269"/>
      <c r="ED26" s="269"/>
      <c r="EE26" s="269"/>
      <c r="EF26" s="269"/>
      <c r="EG26" s="269"/>
      <c r="EH26" s="269"/>
      <c r="EI26" s="269"/>
      <c r="EJ26" s="269"/>
      <c r="EK26" s="269"/>
      <c r="EL26" s="269"/>
      <c r="EM26" s="269"/>
      <c r="EN26" s="269"/>
      <c r="EO26" s="269"/>
      <c r="EP26" s="269"/>
      <c r="EQ26" s="269"/>
      <c r="ER26" s="269"/>
      <c r="ES26" s="269"/>
      <c r="ET26" s="269"/>
      <c r="EU26" s="269"/>
      <c r="EV26" s="269"/>
      <c r="EW26" s="269"/>
      <c r="EX26" s="269"/>
      <c r="EY26" s="269"/>
      <c r="EZ26" s="269"/>
      <c r="FA26" s="269"/>
      <c r="FB26" s="269"/>
      <c r="FC26" s="269"/>
      <c r="FD26" s="269"/>
      <c r="FE26" s="269"/>
      <c r="FF26" s="269"/>
      <c r="FG26" s="269"/>
      <c r="FH26" s="269"/>
      <c r="FI26" s="269"/>
      <c r="FJ26" s="269"/>
      <c r="FK26" s="269"/>
      <c r="FL26" s="269"/>
      <c r="FM26" s="269"/>
      <c r="FN26" s="269"/>
      <c r="FO26" s="269"/>
      <c r="FP26" s="269"/>
      <c r="FQ26" s="269"/>
      <c r="FR26" s="269"/>
      <c r="FS26" s="269"/>
      <c r="FT26" s="269"/>
      <c r="FU26" s="269"/>
      <c r="FV26" s="269"/>
      <c r="FW26" s="269"/>
      <c r="FX26" s="269"/>
      <c r="FY26" s="269"/>
      <c r="FZ26" s="269"/>
      <c r="GA26" s="269"/>
      <c r="GB26" s="269"/>
      <c r="GC26" s="269"/>
      <c r="GD26" s="269"/>
      <c r="GE26" s="269"/>
      <c r="GF26" s="269"/>
      <c r="GG26" s="269"/>
      <c r="GH26" s="269"/>
      <c r="GI26" s="269"/>
      <c r="GJ26" s="269"/>
      <c r="GK26" s="269"/>
      <c r="GL26" s="269"/>
      <c r="GM26" s="269"/>
      <c r="GN26" s="269"/>
      <c r="GO26" s="269"/>
      <c r="GP26" s="269"/>
      <c r="GQ26" s="269"/>
      <c r="GR26" s="269"/>
      <c r="GS26" s="269"/>
      <c r="GT26" s="269"/>
      <c r="GU26" s="269"/>
      <c r="GV26" s="269"/>
      <c r="GW26" s="269"/>
      <c r="GX26" s="269"/>
      <c r="GY26" s="269"/>
      <c r="GZ26" s="269"/>
      <c r="HA26" s="269"/>
      <c r="HB26" s="269"/>
      <c r="HC26" s="269"/>
      <c r="HD26" s="269"/>
      <c r="HE26" s="269"/>
      <c r="HF26" s="269"/>
      <c r="HG26" s="269"/>
      <c r="HH26" s="269"/>
      <c r="HI26" s="269"/>
      <c r="HJ26" s="269"/>
      <c r="HK26" s="269"/>
      <c r="HL26" s="269"/>
      <c r="HM26" s="269"/>
      <c r="HN26" s="269"/>
      <c r="HO26" s="269"/>
      <c r="HP26" s="269"/>
      <c r="HQ26" s="269"/>
    </row>
    <row r="27" spans="1:225" s="251" customFormat="1" x14ac:dyDescent="0.25">
      <c r="A27" s="117"/>
      <c r="B27" s="120"/>
      <c r="C27" s="120"/>
      <c r="D27" s="117"/>
      <c r="E27" s="117"/>
      <c r="F27" s="117"/>
      <c r="G27" s="117"/>
      <c r="H27" s="117"/>
      <c r="I27" s="117"/>
      <c r="J27" s="117"/>
      <c r="K27" s="117"/>
      <c r="L27" s="117"/>
      <c r="M27" s="117"/>
      <c r="N27" s="269"/>
      <c r="O27" s="269"/>
      <c r="P27" s="269"/>
      <c r="Q27" s="269"/>
      <c r="R27" s="269"/>
      <c r="S27" s="269"/>
      <c r="T27" s="269"/>
      <c r="U27" s="269"/>
      <c r="V27" s="269"/>
      <c r="W27" s="269"/>
      <c r="X27" s="269"/>
      <c r="Y27" s="269"/>
      <c r="Z27" s="269"/>
      <c r="AA27" s="269"/>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c r="AX27" s="269"/>
      <c r="AY27" s="269"/>
      <c r="AZ27" s="269"/>
      <c r="BA27" s="269"/>
      <c r="BB27" s="269"/>
      <c r="BC27" s="269"/>
      <c r="BD27" s="269"/>
      <c r="BE27" s="269"/>
      <c r="BF27" s="269"/>
      <c r="BG27" s="269"/>
      <c r="BH27" s="269"/>
      <c r="BI27" s="269"/>
      <c r="BJ27" s="269"/>
      <c r="BK27" s="269"/>
      <c r="BL27" s="269"/>
      <c r="BM27" s="269"/>
      <c r="BN27" s="269"/>
      <c r="BO27" s="269"/>
      <c r="BP27" s="269"/>
      <c r="BQ27" s="269"/>
      <c r="BR27" s="269"/>
      <c r="BS27" s="269"/>
      <c r="BT27" s="269"/>
      <c r="BU27" s="269"/>
      <c r="BV27" s="269"/>
      <c r="BW27" s="269"/>
      <c r="BX27" s="269"/>
      <c r="BY27" s="269"/>
      <c r="BZ27" s="269"/>
      <c r="CA27" s="269"/>
      <c r="CB27" s="269"/>
      <c r="CC27" s="269"/>
      <c r="CD27" s="269"/>
      <c r="CE27" s="269"/>
      <c r="CF27" s="269"/>
      <c r="CG27" s="269"/>
      <c r="CH27" s="269"/>
      <c r="CI27" s="269"/>
      <c r="CJ27" s="269"/>
      <c r="CK27" s="269"/>
      <c r="CL27" s="269"/>
      <c r="CM27" s="269"/>
      <c r="CN27" s="269"/>
      <c r="CO27" s="269"/>
      <c r="CP27" s="269"/>
      <c r="CQ27" s="269"/>
      <c r="CR27" s="269"/>
      <c r="CS27" s="269"/>
      <c r="CT27" s="269"/>
      <c r="CU27" s="269"/>
      <c r="CV27" s="269"/>
      <c r="CW27" s="269"/>
      <c r="CX27" s="269"/>
      <c r="CY27" s="269"/>
      <c r="CZ27" s="269"/>
      <c r="DA27" s="269"/>
      <c r="DB27" s="269"/>
      <c r="DC27" s="269"/>
      <c r="DD27" s="269"/>
      <c r="DE27" s="269"/>
      <c r="DF27" s="269"/>
      <c r="DG27" s="269"/>
      <c r="DH27" s="269"/>
      <c r="DI27" s="269"/>
      <c r="DJ27" s="269"/>
      <c r="DK27" s="269"/>
      <c r="DL27" s="269"/>
      <c r="DM27" s="269"/>
      <c r="DN27" s="269"/>
      <c r="DO27" s="269"/>
      <c r="DP27" s="269"/>
      <c r="DQ27" s="269"/>
      <c r="DR27" s="269"/>
      <c r="DS27" s="269"/>
      <c r="DT27" s="269"/>
      <c r="DU27" s="269"/>
      <c r="DV27" s="269"/>
      <c r="DW27" s="269"/>
      <c r="DX27" s="269"/>
      <c r="DY27" s="269"/>
      <c r="DZ27" s="269"/>
      <c r="EA27" s="269"/>
      <c r="EB27" s="269"/>
      <c r="EC27" s="269"/>
      <c r="ED27" s="269"/>
      <c r="EE27" s="269"/>
      <c r="EF27" s="269"/>
      <c r="EG27" s="269"/>
      <c r="EH27" s="269"/>
      <c r="EI27" s="269"/>
      <c r="EJ27" s="269"/>
      <c r="EK27" s="269"/>
      <c r="EL27" s="269"/>
      <c r="EM27" s="269"/>
      <c r="EN27" s="269"/>
      <c r="EO27" s="269"/>
      <c r="EP27" s="269"/>
      <c r="EQ27" s="269"/>
      <c r="ER27" s="269"/>
      <c r="ES27" s="269"/>
      <c r="ET27" s="269"/>
      <c r="EU27" s="269"/>
      <c r="EV27" s="269"/>
      <c r="EW27" s="269"/>
      <c r="EX27" s="269"/>
      <c r="EY27" s="269"/>
      <c r="EZ27" s="269"/>
      <c r="FA27" s="269"/>
      <c r="FB27" s="269"/>
      <c r="FC27" s="269"/>
      <c r="FD27" s="269"/>
      <c r="FE27" s="269"/>
      <c r="FF27" s="269"/>
      <c r="FG27" s="269"/>
      <c r="FH27" s="269"/>
      <c r="FI27" s="269"/>
      <c r="FJ27" s="269"/>
      <c r="FK27" s="269"/>
      <c r="FL27" s="269"/>
      <c r="FM27" s="269"/>
      <c r="FN27" s="269"/>
      <c r="FO27" s="269"/>
      <c r="FP27" s="269"/>
      <c r="FQ27" s="269"/>
      <c r="FR27" s="269"/>
      <c r="FS27" s="269"/>
      <c r="FT27" s="269"/>
      <c r="FU27" s="269"/>
      <c r="FV27" s="269"/>
      <c r="FW27" s="269"/>
      <c r="FX27" s="269"/>
      <c r="FY27" s="269"/>
      <c r="FZ27" s="269"/>
      <c r="GA27" s="269"/>
      <c r="GB27" s="269"/>
      <c r="GC27" s="269"/>
      <c r="GD27" s="269"/>
      <c r="GE27" s="269"/>
      <c r="GF27" s="269"/>
      <c r="GG27" s="269"/>
      <c r="GH27" s="269"/>
      <c r="GI27" s="269"/>
      <c r="GJ27" s="269"/>
      <c r="GK27" s="269"/>
      <c r="GL27" s="269"/>
      <c r="GM27" s="269"/>
      <c r="GN27" s="269"/>
      <c r="GO27" s="269"/>
      <c r="GP27" s="269"/>
      <c r="GQ27" s="269"/>
      <c r="GR27" s="269"/>
      <c r="GS27" s="269"/>
      <c r="GT27" s="269"/>
      <c r="GU27" s="269"/>
      <c r="GV27" s="269"/>
      <c r="GW27" s="269"/>
      <c r="GX27" s="269"/>
      <c r="GY27" s="269"/>
      <c r="GZ27" s="269"/>
      <c r="HA27" s="269"/>
      <c r="HB27" s="269"/>
      <c r="HC27" s="269"/>
      <c r="HD27" s="269"/>
      <c r="HE27" s="269"/>
      <c r="HF27" s="269"/>
      <c r="HG27" s="269"/>
      <c r="HH27" s="269"/>
      <c r="HI27" s="269"/>
      <c r="HJ27" s="269"/>
      <c r="HK27" s="269"/>
      <c r="HL27" s="269"/>
      <c r="HM27" s="269"/>
      <c r="HN27" s="269"/>
      <c r="HO27" s="269"/>
      <c r="HP27" s="269"/>
      <c r="HQ27" s="269"/>
    </row>
    <row r="28" spans="1:225" s="251" customFormat="1" x14ac:dyDescent="0.25">
      <c r="A28" s="117"/>
      <c r="B28" s="120"/>
      <c r="C28" s="120"/>
      <c r="D28" s="117"/>
      <c r="E28" s="117"/>
      <c r="F28" s="117"/>
      <c r="G28" s="117"/>
      <c r="H28" s="117"/>
      <c r="I28" s="117"/>
      <c r="J28" s="117"/>
      <c r="K28" s="117"/>
      <c r="L28" s="117"/>
      <c r="M28" s="117"/>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69"/>
      <c r="AX28" s="269"/>
      <c r="AY28" s="269"/>
      <c r="AZ28" s="269"/>
      <c r="BA28" s="269"/>
      <c r="BB28" s="269"/>
      <c r="BC28" s="269"/>
      <c r="BD28" s="269"/>
      <c r="BE28" s="269"/>
      <c r="BF28" s="269"/>
      <c r="BG28" s="269"/>
      <c r="BH28" s="269"/>
      <c r="BI28" s="269"/>
      <c r="BJ28" s="269"/>
      <c r="BK28" s="269"/>
      <c r="BL28" s="269"/>
      <c r="BM28" s="269"/>
      <c r="BN28" s="269"/>
      <c r="BO28" s="269"/>
      <c r="BP28" s="269"/>
      <c r="BQ28" s="269"/>
      <c r="BR28" s="269"/>
      <c r="BS28" s="269"/>
      <c r="BT28" s="269"/>
      <c r="BU28" s="269"/>
      <c r="BV28" s="269"/>
      <c r="BW28" s="269"/>
      <c r="BX28" s="269"/>
      <c r="BY28" s="269"/>
      <c r="BZ28" s="269"/>
      <c r="CA28" s="269"/>
      <c r="CB28" s="269"/>
      <c r="CC28" s="269"/>
      <c r="CD28" s="269"/>
      <c r="CE28" s="269"/>
      <c r="CF28" s="269"/>
      <c r="CG28" s="269"/>
      <c r="CH28" s="269"/>
      <c r="CI28" s="269"/>
      <c r="CJ28" s="269"/>
      <c r="CK28" s="269"/>
      <c r="CL28" s="269"/>
      <c r="CM28" s="269"/>
      <c r="CN28" s="269"/>
      <c r="CO28" s="269"/>
      <c r="CP28" s="269"/>
      <c r="CQ28" s="269"/>
      <c r="CR28" s="269"/>
      <c r="CS28" s="269"/>
      <c r="CT28" s="269"/>
      <c r="CU28" s="269"/>
      <c r="CV28" s="269"/>
      <c r="CW28" s="269"/>
      <c r="CX28" s="269"/>
      <c r="CY28" s="269"/>
      <c r="CZ28" s="269"/>
      <c r="DA28" s="269"/>
      <c r="DB28" s="269"/>
      <c r="DC28" s="269"/>
      <c r="DD28" s="269"/>
      <c r="DE28" s="269"/>
      <c r="DF28" s="269"/>
      <c r="DG28" s="269"/>
      <c r="DH28" s="269"/>
      <c r="DI28" s="269"/>
      <c r="DJ28" s="269"/>
      <c r="DK28" s="269"/>
      <c r="DL28" s="269"/>
      <c r="DM28" s="269"/>
      <c r="DN28" s="269"/>
      <c r="DO28" s="269"/>
      <c r="DP28" s="269"/>
      <c r="DQ28" s="269"/>
      <c r="DR28" s="269"/>
      <c r="DS28" s="269"/>
      <c r="DT28" s="269"/>
      <c r="DU28" s="269"/>
      <c r="DV28" s="269"/>
      <c r="DW28" s="269"/>
      <c r="DX28" s="269"/>
      <c r="DY28" s="269"/>
      <c r="DZ28" s="269"/>
      <c r="EA28" s="269"/>
      <c r="EB28" s="269"/>
      <c r="EC28" s="269"/>
      <c r="ED28" s="269"/>
      <c r="EE28" s="269"/>
      <c r="EF28" s="269"/>
      <c r="EG28" s="269"/>
      <c r="EH28" s="269"/>
      <c r="EI28" s="269"/>
      <c r="EJ28" s="269"/>
      <c r="EK28" s="269"/>
      <c r="EL28" s="269"/>
      <c r="EM28" s="269"/>
      <c r="EN28" s="269"/>
      <c r="EO28" s="269"/>
      <c r="EP28" s="269"/>
      <c r="EQ28" s="269"/>
      <c r="ER28" s="269"/>
      <c r="ES28" s="269"/>
      <c r="ET28" s="269"/>
      <c r="EU28" s="269"/>
      <c r="EV28" s="269"/>
      <c r="EW28" s="269"/>
      <c r="EX28" s="269"/>
      <c r="EY28" s="269"/>
      <c r="EZ28" s="269"/>
      <c r="FA28" s="269"/>
      <c r="FB28" s="269"/>
      <c r="FC28" s="269"/>
      <c r="FD28" s="269"/>
      <c r="FE28" s="269"/>
      <c r="FF28" s="269"/>
      <c r="FG28" s="269"/>
      <c r="FH28" s="269"/>
      <c r="FI28" s="269"/>
      <c r="FJ28" s="269"/>
      <c r="FK28" s="269"/>
      <c r="FL28" s="269"/>
      <c r="FM28" s="269"/>
      <c r="FN28" s="269"/>
      <c r="FO28" s="269"/>
      <c r="FP28" s="269"/>
      <c r="FQ28" s="269"/>
      <c r="FR28" s="269"/>
      <c r="FS28" s="269"/>
      <c r="FT28" s="269"/>
      <c r="FU28" s="269"/>
      <c r="FV28" s="269"/>
      <c r="FW28" s="269"/>
      <c r="FX28" s="269"/>
      <c r="FY28" s="269"/>
      <c r="FZ28" s="269"/>
      <c r="GA28" s="269"/>
      <c r="GB28" s="269"/>
      <c r="GC28" s="269"/>
      <c r="GD28" s="269"/>
      <c r="GE28" s="269"/>
      <c r="GF28" s="269"/>
      <c r="GG28" s="269"/>
      <c r="GH28" s="269"/>
      <c r="GI28" s="269"/>
      <c r="GJ28" s="269"/>
      <c r="GK28" s="269"/>
      <c r="GL28" s="269"/>
      <c r="GM28" s="269"/>
      <c r="GN28" s="269"/>
      <c r="GO28" s="269"/>
      <c r="GP28" s="269"/>
      <c r="GQ28" s="269"/>
      <c r="GR28" s="269"/>
      <c r="GS28" s="269"/>
      <c r="GT28" s="269"/>
      <c r="GU28" s="269"/>
      <c r="GV28" s="269"/>
      <c r="GW28" s="269"/>
      <c r="GX28" s="269"/>
      <c r="GY28" s="269"/>
      <c r="GZ28" s="269"/>
      <c r="HA28" s="269"/>
      <c r="HB28" s="269"/>
      <c r="HC28" s="269"/>
      <c r="HD28" s="269"/>
      <c r="HE28" s="269"/>
      <c r="HF28" s="269"/>
      <c r="HG28" s="269"/>
      <c r="HH28" s="269"/>
      <c r="HI28" s="269"/>
      <c r="HJ28" s="269"/>
      <c r="HK28" s="269"/>
      <c r="HL28" s="269"/>
      <c r="HM28" s="269"/>
      <c r="HN28" s="269"/>
      <c r="HO28" s="269"/>
      <c r="HP28" s="269"/>
      <c r="HQ28" s="269"/>
    </row>
    <row r="29" spans="1:225" s="249" customFormat="1" x14ac:dyDescent="0.25">
      <c r="A29" s="118"/>
      <c r="B29" s="248"/>
      <c r="C29" s="248"/>
      <c r="D29" s="240"/>
      <c r="E29" s="240"/>
      <c r="F29" s="240"/>
      <c r="G29" s="240"/>
      <c r="H29" s="240"/>
      <c r="I29" s="240"/>
      <c r="J29" s="240"/>
      <c r="K29" s="240"/>
      <c r="L29" s="240"/>
      <c r="M29" s="240"/>
      <c r="N29" s="269"/>
      <c r="O29" s="269"/>
      <c r="P29" s="269"/>
      <c r="Q29" s="269"/>
      <c r="R29" s="269"/>
      <c r="S29" s="269"/>
      <c r="T29" s="269"/>
      <c r="U29" s="269"/>
      <c r="V29" s="269"/>
      <c r="W29" s="269"/>
      <c r="X29" s="269"/>
      <c r="Y29" s="269"/>
      <c r="Z29" s="269"/>
      <c r="AA29" s="269"/>
      <c r="AB29" s="269"/>
      <c r="AC29" s="269"/>
      <c r="AD29" s="269"/>
      <c r="AE29" s="269"/>
      <c r="AF29" s="269"/>
      <c r="AG29" s="269"/>
      <c r="AH29" s="269"/>
      <c r="AI29" s="269"/>
      <c r="AJ29" s="269"/>
      <c r="AK29" s="269"/>
      <c r="AL29" s="269"/>
      <c r="AM29" s="269"/>
      <c r="AN29" s="269"/>
      <c r="AO29" s="269"/>
      <c r="AP29" s="269"/>
      <c r="AQ29" s="269"/>
      <c r="AR29" s="269"/>
      <c r="AS29" s="269"/>
      <c r="AT29" s="269"/>
      <c r="AU29" s="269"/>
      <c r="AV29" s="269"/>
      <c r="AW29" s="269"/>
      <c r="AX29" s="269"/>
      <c r="AY29" s="269"/>
      <c r="AZ29" s="269"/>
      <c r="BA29" s="269"/>
      <c r="BB29" s="269"/>
      <c r="BC29" s="269"/>
      <c r="BD29" s="269"/>
      <c r="BE29" s="269"/>
      <c r="BF29" s="269"/>
      <c r="BG29" s="269"/>
      <c r="BH29" s="269"/>
      <c r="BI29" s="269"/>
      <c r="BJ29" s="269"/>
      <c r="BK29" s="269"/>
      <c r="BL29" s="269"/>
      <c r="BM29" s="269"/>
      <c r="BN29" s="269"/>
      <c r="BO29" s="269"/>
      <c r="BP29" s="269"/>
      <c r="BQ29" s="269"/>
      <c r="BR29" s="269"/>
      <c r="BS29" s="269"/>
      <c r="BT29" s="269"/>
      <c r="BU29" s="269"/>
      <c r="BV29" s="269"/>
      <c r="BW29" s="269"/>
      <c r="BX29" s="269"/>
      <c r="BY29" s="269"/>
      <c r="BZ29" s="269"/>
      <c r="CA29" s="269"/>
      <c r="CB29" s="269"/>
      <c r="CC29" s="269"/>
      <c r="CD29" s="269"/>
      <c r="CE29" s="269"/>
      <c r="CF29" s="269"/>
      <c r="CG29" s="269"/>
      <c r="CH29" s="269"/>
      <c r="CI29" s="269"/>
      <c r="CJ29" s="269"/>
      <c r="CK29" s="269"/>
      <c r="CL29" s="269"/>
      <c r="CM29" s="269"/>
      <c r="CN29" s="269"/>
      <c r="CO29" s="269"/>
      <c r="CP29" s="269"/>
      <c r="CQ29" s="269"/>
      <c r="CR29" s="269"/>
      <c r="CS29" s="269"/>
      <c r="CT29" s="269"/>
      <c r="CU29" s="269"/>
      <c r="CV29" s="269"/>
      <c r="CW29" s="269"/>
      <c r="CX29" s="269"/>
      <c r="CY29" s="269"/>
      <c r="CZ29" s="269"/>
      <c r="DA29" s="269"/>
      <c r="DB29" s="269"/>
      <c r="DC29" s="269"/>
      <c r="DD29" s="269"/>
      <c r="DE29" s="269"/>
      <c r="DF29" s="269"/>
      <c r="DG29" s="269"/>
      <c r="DH29" s="269"/>
      <c r="DI29" s="269"/>
      <c r="DJ29" s="269"/>
      <c r="DK29" s="269"/>
      <c r="DL29" s="269"/>
      <c r="DM29" s="269"/>
      <c r="DN29" s="269"/>
      <c r="DO29" s="269"/>
      <c r="DP29" s="269"/>
      <c r="DQ29" s="269"/>
      <c r="DR29" s="269"/>
      <c r="DS29" s="269"/>
      <c r="DT29" s="269"/>
      <c r="DU29" s="269"/>
      <c r="DV29" s="269"/>
      <c r="DW29" s="269"/>
      <c r="DX29" s="269"/>
      <c r="DY29" s="269"/>
      <c r="DZ29" s="269"/>
      <c r="EA29" s="269"/>
      <c r="EB29" s="269"/>
      <c r="EC29" s="269"/>
      <c r="ED29" s="269"/>
      <c r="EE29" s="269"/>
      <c r="EF29" s="269"/>
      <c r="EG29" s="269"/>
      <c r="EH29" s="269"/>
      <c r="EI29" s="269"/>
      <c r="EJ29" s="269"/>
      <c r="EK29" s="269"/>
      <c r="EL29" s="269"/>
      <c r="EM29" s="269"/>
      <c r="EN29" s="269"/>
      <c r="EO29" s="269"/>
      <c r="EP29" s="269"/>
      <c r="EQ29" s="269"/>
      <c r="ER29" s="269"/>
      <c r="ES29" s="269"/>
      <c r="ET29" s="269"/>
      <c r="EU29" s="269"/>
      <c r="EV29" s="269"/>
      <c r="EW29" s="269"/>
      <c r="EX29" s="269"/>
      <c r="EY29" s="269"/>
      <c r="EZ29" s="269"/>
      <c r="FA29" s="269"/>
      <c r="FB29" s="269"/>
      <c r="FC29" s="269"/>
      <c r="FD29" s="269"/>
      <c r="FE29" s="269"/>
      <c r="FF29" s="269"/>
      <c r="FG29" s="269"/>
      <c r="FH29" s="269"/>
      <c r="FI29" s="269"/>
      <c r="FJ29" s="269"/>
      <c r="FK29" s="269"/>
      <c r="FL29" s="269"/>
      <c r="FM29" s="269"/>
      <c r="FN29" s="269"/>
      <c r="FO29" s="269"/>
      <c r="FP29" s="269"/>
      <c r="FQ29" s="269"/>
      <c r="FR29" s="269"/>
      <c r="FS29" s="269"/>
      <c r="FT29" s="269"/>
      <c r="FU29" s="269"/>
      <c r="FV29" s="269"/>
      <c r="FW29" s="269"/>
      <c r="FX29" s="269"/>
      <c r="FY29" s="269"/>
      <c r="FZ29" s="269"/>
      <c r="GA29" s="269"/>
      <c r="GB29" s="269"/>
      <c r="GC29" s="269"/>
      <c r="GD29" s="269"/>
      <c r="GE29" s="269"/>
      <c r="GF29" s="269"/>
      <c r="GG29" s="269"/>
      <c r="GH29" s="269"/>
      <c r="GI29" s="269"/>
      <c r="GJ29" s="269"/>
      <c r="GK29" s="269"/>
      <c r="GL29" s="269"/>
      <c r="GM29" s="269"/>
      <c r="GN29" s="269"/>
      <c r="GO29" s="269"/>
      <c r="GP29" s="269"/>
      <c r="GQ29" s="269"/>
      <c r="GR29" s="269"/>
      <c r="GS29" s="269"/>
      <c r="GT29" s="269"/>
      <c r="GU29" s="269"/>
      <c r="GV29" s="269"/>
      <c r="GW29" s="269"/>
      <c r="GX29" s="269"/>
      <c r="GY29" s="269"/>
      <c r="GZ29" s="269"/>
      <c r="HA29" s="269"/>
      <c r="HB29" s="269"/>
      <c r="HC29" s="269"/>
      <c r="HD29" s="269"/>
      <c r="HE29" s="269"/>
      <c r="HF29" s="269"/>
      <c r="HG29" s="269"/>
      <c r="HH29" s="269"/>
      <c r="HI29" s="269"/>
      <c r="HJ29" s="269"/>
      <c r="HK29" s="269"/>
      <c r="HL29" s="269"/>
      <c r="HM29" s="269"/>
      <c r="HN29" s="269"/>
      <c r="HO29" s="269"/>
      <c r="HP29" s="269"/>
      <c r="HQ29" s="269"/>
    </row>
    <row r="30" spans="1:225" s="249" customFormat="1" x14ac:dyDescent="0.25">
      <c r="A30" s="247"/>
      <c r="B30" s="248"/>
      <c r="C30" s="248"/>
      <c r="D30" s="247"/>
      <c r="E30" s="247"/>
      <c r="F30" s="247"/>
      <c r="G30" s="247"/>
      <c r="H30" s="247"/>
      <c r="I30" s="247"/>
      <c r="J30" s="247"/>
      <c r="K30" s="247"/>
      <c r="L30" s="247"/>
      <c r="M30" s="247"/>
      <c r="N30" s="269"/>
      <c r="O30" s="269"/>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c r="AX30" s="269"/>
      <c r="AY30" s="269"/>
      <c r="AZ30" s="269"/>
      <c r="BA30" s="269"/>
      <c r="BB30" s="269"/>
      <c r="BC30" s="269"/>
      <c r="BD30" s="269"/>
      <c r="BE30" s="269"/>
      <c r="BF30" s="269"/>
      <c r="BG30" s="269"/>
      <c r="BH30" s="269"/>
      <c r="BI30" s="269"/>
      <c r="BJ30" s="269"/>
      <c r="BK30" s="269"/>
      <c r="BL30" s="269"/>
      <c r="BM30" s="269"/>
      <c r="BN30" s="269"/>
      <c r="BO30" s="269"/>
      <c r="BP30" s="269"/>
      <c r="BQ30" s="269"/>
      <c r="BR30" s="269"/>
      <c r="BS30" s="269"/>
      <c r="BT30" s="269"/>
      <c r="BU30" s="269"/>
      <c r="BV30" s="269"/>
      <c r="BW30" s="269"/>
      <c r="BX30" s="269"/>
      <c r="BY30" s="269"/>
      <c r="BZ30" s="269"/>
      <c r="CA30" s="269"/>
      <c r="CB30" s="269"/>
      <c r="CC30" s="269"/>
      <c r="CD30" s="269"/>
      <c r="CE30" s="269"/>
      <c r="CF30" s="269"/>
      <c r="CG30" s="269"/>
      <c r="CH30" s="269"/>
      <c r="CI30" s="269"/>
      <c r="CJ30" s="269"/>
      <c r="CK30" s="269"/>
      <c r="CL30" s="269"/>
      <c r="CM30" s="269"/>
      <c r="CN30" s="269"/>
      <c r="CO30" s="269"/>
      <c r="CP30" s="269"/>
      <c r="CQ30" s="269"/>
      <c r="CR30" s="269"/>
      <c r="CS30" s="269"/>
      <c r="CT30" s="269"/>
      <c r="CU30" s="269"/>
      <c r="CV30" s="269"/>
      <c r="CW30" s="269"/>
      <c r="CX30" s="269"/>
      <c r="CY30" s="269"/>
      <c r="CZ30" s="269"/>
      <c r="DA30" s="269"/>
      <c r="DB30" s="269"/>
      <c r="DC30" s="269"/>
      <c r="DD30" s="269"/>
      <c r="DE30" s="269"/>
      <c r="DF30" s="269"/>
      <c r="DG30" s="269"/>
      <c r="DH30" s="269"/>
      <c r="DI30" s="269"/>
      <c r="DJ30" s="269"/>
      <c r="DK30" s="269"/>
      <c r="DL30" s="269"/>
      <c r="DM30" s="269"/>
      <c r="DN30" s="269"/>
      <c r="DO30" s="269"/>
      <c r="DP30" s="269"/>
      <c r="DQ30" s="269"/>
      <c r="DR30" s="269"/>
      <c r="DS30" s="269"/>
      <c r="DT30" s="269"/>
      <c r="DU30" s="269"/>
      <c r="DV30" s="269"/>
      <c r="DW30" s="269"/>
      <c r="DX30" s="269"/>
      <c r="DY30" s="269"/>
      <c r="DZ30" s="269"/>
      <c r="EA30" s="269"/>
      <c r="EB30" s="269"/>
      <c r="EC30" s="269"/>
      <c r="ED30" s="269"/>
      <c r="EE30" s="269"/>
      <c r="EF30" s="269"/>
      <c r="EG30" s="269"/>
      <c r="EH30" s="269"/>
      <c r="EI30" s="269"/>
      <c r="EJ30" s="269"/>
      <c r="EK30" s="269"/>
      <c r="EL30" s="269"/>
      <c r="EM30" s="269"/>
      <c r="EN30" s="269"/>
      <c r="EO30" s="269"/>
      <c r="EP30" s="269"/>
      <c r="EQ30" s="269"/>
      <c r="ER30" s="269"/>
      <c r="ES30" s="269"/>
      <c r="ET30" s="269"/>
      <c r="EU30" s="269"/>
      <c r="EV30" s="269"/>
      <c r="EW30" s="269"/>
      <c r="EX30" s="269"/>
      <c r="EY30" s="269"/>
      <c r="EZ30" s="269"/>
      <c r="FA30" s="269"/>
      <c r="FB30" s="269"/>
      <c r="FC30" s="269"/>
      <c r="FD30" s="269"/>
      <c r="FE30" s="269"/>
      <c r="FF30" s="269"/>
      <c r="FG30" s="269"/>
      <c r="FH30" s="269"/>
      <c r="FI30" s="269"/>
      <c r="FJ30" s="269"/>
      <c r="FK30" s="269"/>
      <c r="FL30" s="269"/>
      <c r="FM30" s="269"/>
      <c r="FN30" s="269"/>
      <c r="FO30" s="269"/>
      <c r="FP30" s="269"/>
      <c r="FQ30" s="269"/>
      <c r="FR30" s="269"/>
      <c r="FS30" s="269"/>
      <c r="FT30" s="269"/>
      <c r="FU30" s="269"/>
      <c r="FV30" s="269"/>
      <c r="FW30" s="269"/>
      <c r="FX30" s="269"/>
      <c r="FY30" s="269"/>
      <c r="FZ30" s="269"/>
      <c r="GA30" s="269"/>
      <c r="GB30" s="269"/>
      <c r="GC30" s="269"/>
      <c r="GD30" s="269"/>
      <c r="GE30" s="269"/>
      <c r="GF30" s="269"/>
      <c r="GG30" s="269"/>
      <c r="GH30" s="269"/>
      <c r="GI30" s="269"/>
      <c r="GJ30" s="269"/>
      <c r="GK30" s="269"/>
      <c r="GL30" s="269"/>
      <c r="GM30" s="269"/>
      <c r="GN30" s="269"/>
      <c r="GO30" s="269"/>
      <c r="GP30" s="269"/>
      <c r="GQ30" s="269"/>
      <c r="GR30" s="269"/>
      <c r="GS30" s="269"/>
      <c r="GT30" s="269"/>
      <c r="GU30" s="269"/>
      <c r="GV30" s="269"/>
      <c r="GW30" s="269"/>
      <c r="GX30" s="269"/>
      <c r="GY30" s="269"/>
      <c r="GZ30" s="269"/>
      <c r="HA30" s="269"/>
      <c r="HB30" s="269"/>
      <c r="HC30" s="269"/>
      <c r="HD30" s="269"/>
      <c r="HE30" s="269"/>
      <c r="HF30" s="269"/>
      <c r="HG30" s="269"/>
      <c r="HH30" s="269"/>
      <c r="HI30" s="269"/>
      <c r="HJ30" s="269"/>
      <c r="HK30" s="269"/>
      <c r="HL30" s="269"/>
      <c r="HM30" s="269"/>
      <c r="HN30" s="269"/>
      <c r="HO30" s="269"/>
      <c r="HP30" s="269"/>
      <c r="HQ30" s="269"/>
    </row>
    <row r="31" spans="1:225" s="249" customFormat="1" x14ac:dyDescent="0.25">
      <c r="A31" s="247"/>
      <c r="B31" s="248"/>
      <c r="C31" s="248"/>
      <c r="D31" s="247"/>
      <c r="E31" s="247"/>
      <c r="F31" s="247"/>
      <c r="G31" s="247"/>
      <c r="H31" s="247"/>
      <c r="I31" s="247"/>
      <c r="J31" s="247"/>
      <c r="K31" s="247"/>
      <c r="L31" s="247"/>
      <c r="M31" s="247"/>
      <c r="N31" s="269"/>
      <c r="O31" s="269"/>
      <c r="P31" s="269"/>
      <c r="Q31" s="269"/>
      <c r="R31" s="269"/>
      <c r="S31" s="269"/>
      <c r="T31" s="269"/>
      <c r="U31" s="269"/>
      <c r="V31" s="269"/>
      <c r="W31" s="269"/>
      <c r="X31" s="269"/>
      <c r="Y31" s="269"/>
      <c r="Z31" s="269"/>
      <c r="AA31" s="269"/>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c r="AX31" s="269"/>
      <c r="AY31" s="269"/>
      <c r="AZ31" s="269"/>
      <c r="BA31" s="269"/>
      <c r="BB31" s="269"/>
      <c r="BC31" s="269"/>
      <c r="BD31" s="269"/>
      <c r="BE31" s="269"/>
      <c r="BF31" s="269"/>
      <c r="BG31" s="269"/>
      <c r="BH31" s="269"/>
      <c r="BI31" s="269"/>
      <c r="BJ31" s="269"/>
      <c r="BK31" s="269"/>
      <c r="BL31" s="269"/>
      <c r="BM31" s="269"/>
      <c r="BN31" s="269"/>
      <c r="BO31" s="269"/>
      <c r="BP31" s="269"/>
      <c r="BQ31" s="269"/>
      <c r="BR31" s="269"/>
      <c r="BS31" s="269"/>
      <c r="BT31" s="269"/>
      <c r="BU31" s="269"/>
      <c r="BV31" s="269"/>
      <c r="BW31" s="269"/>
      <c r="BX31" s="269"/>
      <c r="BY31" s="269"/>
      <c r="BZ31" s="269"/>
      <c r="CA31" s="269"/>
      <c r="CB31" s="269"/>
      <c r="CC31" s="269"/>
      <c r="CD31" s="269"/>
      <c r="CE31" s="269"/>
      <c r="CF31" s="269"/>
      <c r="CG31" s="269"/>
      <c r="CH31" s="269"/>
      <c r="CI31" s="269"/>
      <c r="CJ31" s="269"/>
      <c r="CK31" s="269"/>
      <c r="CL31" s="269"/>
      <c r="CM31" s="269"/>
      <c r="CN31" s="269"/>
      <c r="CO31" s="269"/>
      <c r="CP31" s="269"/>
      <c r="CQ31" s="269"/>
      <c r="CR31" s="269"/>
      <c r="CS31" s="269"/>
      <c r="CT31" s="269"/>
      <c r="CU31" s="269"/>
      <c r="CV31" s="269"/>
      <c r="CW31" s="269"/>
      <c r="CX31" s="269"/>
      <c r="CY31" s="269"/>
      <c r="CZ31" s="269"/>
      <c r="DA31" s="269"/>
      <c r="DB31" s="269"/>
      <c r="DC31" s="269"/>
      <c r="DD31" s="269"/>
      <c r="DE31" s="269"/>
      <c r="DF31" s="269"/>
      <c r="DG31" s="269"/>
      <c r="DH31" s="269"/>
      <c r="DI31" s="269"/>
      <c r="DJ31" s="269"/>
      <c r="DK31" s="269"/>
      <c r="DL31" s="269"/>
      <c r="DM31" s="269"/>
      <c r="DN31" s="269"/>
      <c r="DO31" s="269"/>
      <c r="DP31" s="269"/>
      <c r="DQ31" s="269"/>
      <c r="DR31" s="269"/>
      <c r="DS31" s="269"/>
      <c r="DT31" s="269"/>
      <c r="DU31" s="269"/>
      <c r="DV31" s="269"/>
      <c r="DW31" s="269"/>
      <c r="DX31" s="269"/>
      <c r="DY31" s="269"/>
      <c r="DZ31" s="269"/>
      <c r="EA31" s="269"/>
      <c r="EB31" s="269"/>
      <c r="EC31" s="269"/>
      <c r="ED31" s="269"/>
      <c r="EE31" s="269"/>
      <c r="EF31" s="269"/>
      <c r="EG31" s="269"/>
      <c r="EH31" s="269"/>
      <c r="EI31" s="269"/>
      <c r="EJ31" s="269"/>
      <c r="EK31" s="269"/>
      <c r="EL31" s="269"/>
      <c r="EM31" s="269"/>
      <c r="EN31" s="269"/>
      <c r="EO31" s="269"/>
      <c r="EP31" s="269"/>
      <c r="EQ31" s="269"/>
      <c r="ER31" s="269"/>
      <c r="ES31" s="269"/>
      <c r="ET31" s="269"/>
      <c r="EU31" s="269"/>
      <c r="EV31" s="269"/>
      <c r="EW31" s="269"/>
      <c r="EX31" s="269"/>
      <c r="EY31" s="269"/>
      <c r="EZ31" s="269"/>
      <c r="FA31" s="269"/>
      <c r="FB31" s="269"/>
      <c r="FC31" s="269"/>
      <c r="FD31" s="269"/>
      <c r="FE31" s="269"/>
      <c r="FF31" s="269"/>
      <c r="FG31" s="269"/>
      <c r="FH31" s="269"/>
      <c r="FI31" s="269"/>
      <c r="FJ31" s="269"/>
      <c r="FK31" s="269"/>
      <c r="FL31" s="269"/>
      <c r="FM31" s="269"/>
      <c r="FN31" s="269"/>
      <c r="FO31" s="269"/>
      <c r="FP31" s="269"/>
      <c r="FQ31" s="269"/>
      <c r="FR31" s="269"/>
      <c r="FS31" s="269"/>
      <c r="FT31" s="269"/>
      <c r="FU31" s="269"/>
      <c r="FV31" s="269"/>
      <c r="FW31" s="269"/>
      <c r="FX31" s="269"/>
      <c r="FY31" s="269"/>
      <c r="FZ31" s="269"/>
      <c r="GA31" s="269"/>
      <c r="GB31" s="269"/>
      <c r="GC31" s="269"/>
      <c r="GD31" s="269"/>
      <c r="GE31" s="269"/>
      <c r="GF31" s="269"/>
      <c r="GG31" s="269"/>
      <c r="GH31" s="269"/>
      <c r="GI31" s="269"/>
      <c r="GJ31" s="269"/>
      <c r="GK31" s="269"/>
      <c r="GL31" s="269"/>
      <c r="GM31" s="269"/>
      <c r="GN31" s="269"/>
      <c r="GO31" s="269"/>
      <c r="GP31" s="269"/>
      <c r="GQ31" s="269"/>
      <c r="GR31" s="269"/>
      <c r="GS31" s="269"/>
      <c r="GT31" s="269"/>
      <c r="GU31" s="269"/>
      <c r="GV31" s="269"/>
      <c r="GW31" s="269"/>
      <c r="GX31" s="269"/>
      <c r="GY31" s="269"/>
      <c r="GZ31" s="269"/>
      <c r="HA31" s="269"/>
      <c r="HB31" s="269"/>
      <c r="HC31" s="269"/>
      <c r="HD31" s="269"/>
      <c r="HE31" s="269"/>
      <c r="HF31" s="269"/>
      <c r="HG31" s="269"/>
      <c r="HH31" s="269"/>
      <c r="HI31" s="269"/>
      <c r="HJ31" s="269"/>
      <c r="HK31" s="269"/>
      <c r="HL31" s="269"/>
      <c r="HM31" s="269"/>
      <c r="HN31" s="269"/>
      <c r="HO31" s="269"/>
      <c r="HP31" s="269"/>
      <c r="HQ31" s="269"/>
    </row>
    <row r="32" spans="1:225" s="251" customFormat="1" x14ac:dyDescent="0.25">
      <c r="A32" s="250"/>
      <c r="B32" s="120"/>
      <c r="C32" s="120"/>
      <c r="D32" s="253"/>
      <c r="E32" s="253"/>
      <c r="F32" s="253"/>
      <c r="G32" s="253"/>
      <c r="H32" s="253"/>
      <c r="I32" s="253"/>
      <c r="J32" s="253"/>
      <c r="K32" s="253"/>
      <c r="L32" s="253"/>
      <c r="M32" s="253"/>
      <c r="N32" s="269"/>
      <c r="O32" s="269"/>
      <c r="P32" s="269"/>
      <c r="Q32" s="269"/>
      <c r="R32" s="269"/>
      <c r="S32" s="269"/>
      <c r="T32" s="269"/>
      <c r="U32" s="269"/>
      <c r="V32" s="269"/>
      <c r="W32" s="269"/>
      <c r="X32" s="269"/>
      <c r="Y32" s="269"/>
      <c r="Z32" s="269"/>
      <c r="AA32" s="269"/>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269"/>
      <c r="BB32" s="269"/>
      <c r="BC32" s="269"/>
      <c r="BD32" s="269"/>
      <c r="BE32" s="269"/>
      <c r="BF32" s="269"/>
      <c r="BG32" s="269"/>
      <c r="BH32" s="269"/>
      <c r="BI32" s="269"/>
      <c r="BJ32" s="269"/>
      <c r="BK32" s="269"/>
      <c r="BL32" s="269"/>
      <c r="BM32" s="269"/>
      <c r="BN32" s="269"/>
      <c r="BO32" s="269"/>
      <c r="BP32" s="269"/>
      <c r="BQ32" s="269"/>
      <c r="BR32" s="269"/>
      <c r="BS32" s="269"/>
      <c r="BT32" s="269"/>
      <c r="BU32" s="269"/>
      <c r="BV32" s="269"/>
      <c r="BW32" s="269"/>
      <c r="BX32" s="269"/>
      <c r="BY32" s="269"/>
      <c r="BZ32" s="269"/>
      <c r="CA32" s="269"/>
      <c r="CB32" s="269"/>
      <c r="CC32" s="269"/>
      <c r="CD32" s="269"/>
      <c r="CE32" s="269"/>
      <c r="CF32" s="269"/>
      <c r="CG32" s="269"/>
      <c r="CH32" s="269"/>
      <c r="CI32" s="269"/>
      <c r="CJ32" s="269"/>
      <c r="CK32" s="269"/>
      <c r="CL32" s="269"/>
      <c r="CM32" s="269"/>
      <c r="CN32" s="269"/>
      <c r="CO32" s="269"/>
      <c r="CP32" s="269"/>
      <c r="CQ32" s="269"/>
      <c r="CR32" s="269"/>
      <c r="CS32" s="269"/>
      <c r="CT32" s="269"/>
      <c r="CU32" s="269"/>
      <c r="CV32" s="269"/>
      <c r="CW32" s="269"/>
      <c r="CX32" s="269"/>
      <c r="CY32" s="269"/>
      <c r="CZ32" s="269"/>
      <c r="DA32" s="269"/>
      <c r="DB32" s="269"/>
      <c r="DC32" s="269"/>
      <c r="DD32" s="269"/>
      <c r="DE32" s="269"/>
      <c r="DF32" s="269"/>
      <c r="DG32" s="269"/>
      <c r="DH32" s="269"/>
      <c r="DI32" s="269"/>
      <c r="DJ32" s="269"/>
      <c r="DK32" s="269"/>
      <c r="DL32" s="269"/>
      <c r="DM32" s="269"/>
      <c r="DN32" s="269"/>
      <c r="DO32" s="269"/>
      <c r="DP32" s="269"/>
      <c r="DQ32" s="269"/>
      <c r="DR32" s="269"/>
      <c r="DS32" s="269"/>
      <c r="DT32" s="269"/>
      <c r="DU32" s="269"/>
      <c r="DV32" s="269"/>
      <c r="DW32" s="269"/>
      <c r="DX32" s="269"/>
      <c r="DY32" s="269"/>
      <c r="DZ32" s="269"/>
      <c r="EA32" s="269"/>
      <c r="EB32" s="269"/>
      <c r="EC32" s="269"/>
      <c r="ED32" s="269"/>
      <c r="EE32" s="269"/>
      <c r="EF32" s="269"/>
      <c r="EG32" s="269"/>
      <c r="EH32" s="269"/>
      <c r="EI32" s="269"/>
      <c r="EJ32" s="269"/>
      <c r="EK32" s="269"/>
      <c r="EL32" s="269"/>
      <c r="EM32" s="269"/>
      <c r="EN32" s="269"/>
      <c r="EO32" s="269"/>
      <c r="EP32" s="269"/>
      <c r="EQ32" s="269"/>
      <c r="ER32" s="269"/>
      <c r="ES32" s="269"/>
      <c r="ET32" s="269"/>
      <c r="EU32" s="269"/>
      <c r="EV32" s="269"/>
      <c r="EW32" s="269"/>
      <c r="EX32" s="269"/>
      <c r="EY32" s="269"/>
      <c r="EZ32" s="269"/>
      <c r="FA32" s="269"/>
      <c r="FB32" s="269"/>
      <c r="FC32" s="269"/>
      <c r="FD32" s="269"/>
      <c r="FE32" s="269"/>
      <c r="FF32" s="269"/>
      <c r="FG32" s="269"/>
      <c r="FH32" s="269"/>
      <c r="FI32" s="269"/>
      <c r="FJ32" s="269"/>
      <c r="FK32" s="269"/>
      <c r="FL32" s="269"/>
      <c r="FM32" s="269"/>
      <c r="FN32" s="269"/>
      <c r="FO32" s="269"/>
      <c r="FP32" s="269"/>
      <c r="FQ32" s="269"/>
      <c r="FR32" s="269"/>
      <c r="FS32" s="269"/>
      <c r="FT32" s="269"/>
      <c r="FU32" s="269"/>
      <c r="FV32" s="269"/>
      <c r="FW32" s="269"/>
      <c r="FX32" s="269"/>
      <c r="FY32" s="269"/>
      <c r="FZ32" s="269"/>
      <c r="GA32" s="269"/>
      <c r="GB32" s="269"/>
      <c r="GC32" s="269"/>
      <c r="GD32" s="269"/>
      <c r="GE32" s="269"/>
      <c r="GF32" s="269"/>
      <c r="GG32" s="269"/>
      <c r="GH32" s="269"/>
      <c r="GI32" s="269"/>
      <c r="GJ32" s="269"/>
      <c r="GK32" s="269"/>
      <c r="GL32" s="269"/>
      <c r="GM32" s="269"/>
      <c r="GN32" s="269"/>
      <c r="GO32" s="269"/>
      <c r="GP32" s="269"/>
      <c r="GQ32" s="269"/>
      <c r="GR32" s="269"/>
      <c r="GS32" s="269"/>
      <c r="GT32" s="269"/>
      <c r="GU32" s="269"/>
      <c r="GV32" s="269"/>
      <c r="GW32" s="269"/>
      <c r="GX32" s="269"/>
      <c r="GY32" s="269"/>
      <c r="GZ32" s="269"/>
      <c r="HA32" s="269"/>
      <c r="HB32" s="269"/>
      <c r="HC32" s="269"/>
      <c r="HD32" s="269"/>
      <c r="HE32" s="269"/>
      <c r="HF32" s="269"/>
      <c r="HG32" s="269"/>
      <c r="HH32" s="269"/>
      <c r="HI32" s="269"/>
      <c r="HJ32" s="269"/>
      <c r="HK32" s="269"/>
      <c r="HL32" s="269"/>
      <c r="HM32" s="269"/>
      <c r="HN32" s="269"/>
      <c r="HO32" s="269"/>
      <c r="HP32" s="269"/>
      <c r="HQ32" s="269"/>
    </row>
    <row r="33" spans="1:225" s="251" customFormat="1" x14ac:dyDescent="0.25">
      <c r="A33" s="252"/>
      <c r="B33" s="120"/>
      <c r="C33" s="120"/>
      <c r="D33" s="252"/>
      <c r="E33" s="252"/>
      <c r="F33" s="252"/>
      <c r="G33" s="252"/>
      <c r="H33" s="252"/>
      <c r="I33" s="252"/>
      <c r="J33" s="252"/>
      <c r="K33" s="252"/>
      <c r="L33" s="252"/>
      <c r="M33" s="252"/>
      <c r="N33" s="269"/>
      <c r="O33" s="269"/>
      <c r="P33" s="269"/>
      <c r="Q33" s="269"/>
      <c r="R33" s="269"/>
      <c r="S33" s="269"/>
      <c r="T33" s="269"/>
      <c r="U33" s="269"/>
      <c r="V33" s="269"/>
      <c r="W33" s="269"/>
      <c r="X33" s="269"/>
      <c r="Y33" s="269"/>
      <c r="Z33" s="269"/>
      <c r="AA33" s="269"/>
      <c r="AB33" s="269"/>
      <c r="AC33" s="269"/>
      <c r="AD33" s="269"/>
      <c r="AE33" s="269"/>
      <c r="AF33" s="269"/>
      <c r="AG33" s="269"/>
      <c r="AH33" s="269"/>
      <c r="AI33" s="269"/>
      <c r="AJ33" s="269"/>
      <c r="AK33" s="269"/>
      <c r="AL33" s="269"/>
      <c r="AM33" s="269"/>
      <c r="AN33" s="269"/>
      <c r="AO33" s="269"/>
      <c r="AP33" s="269"/>
      <c r="AQ33" s="269"/>
      <c r="AR33" s="269"/>
      <c r="AS33" s="269"/>
      <c r="AT33" s="269"/>
      <c r="AU33" s="269"/>
      <c r="AV33" s="269"/>
      <c r="AW33" s="269"/>
      <c r="AX33" s="269"/>
      <c r="AY33" s="269"/>
      <c r="AZ33" s="269"/>
      <c r="BA33" s="269"/>
      <c r="BB33" s="269"/>
      <c r="BC33" s="269"/>
      <c r="BD33" s="269"/>
      <c r="BE33" s="269"/>
      <c r="BF33" s="269"/>
      <c r="BG33" s="269"/>
      <c r="BH33" s="269"/>
      <c r="BI33" s="269"/>
      <c r="BJ33" s="269"/>
      <c r="BK33" s="269"/>
      <c r="BL33" s="269"/>
      <c r="BM33" s="269"/>
      <c r="BN33" s="269"/>
      <c r="BO33" s="269"/>
      <c r="BP33" s="269"/>
      <c r="BQ33" s="269"/>
      <c r="BR33" s="269"/>
      <c r="BS33" s="269"/>
      <c r="BT33" s="269"/>
      <c r="BU33" s="269"/>
      <c r="BV33" s="269"/>
      <c r="BW33" s="269"/>
      <c r="BX33" s="269"/>
      <c r="BY33" s="269"/>
      <c r="BZ33" s="269"/>
      <c r="CA33" s="269"/>
      <c r="CB33" s="269"/>
      <c r="CC33" s="269"/>
      <c r="CD33" s="269"/>
      <c r="CE33" s="269"/>
      <c r="CF33" s="269"/>
      <c r="CG33" s="269"/>
      <c r="CH33" s="269"/>
      <c r="CI33" s="269"/>
      <c r="CJ33" s="269"/>
      <c r="CK33" s="269"/>
      <c r="CL33" s="269"/>
      <c r="CM33" s="269"/>
      <c r="CN33" s="269"/>
      <c r="CO33" s="269"/>
      <c r="CP33" s="269"/>
      <c r="CQ33" s="269"/>
      <c r="CR33" s="269"/>
      <c r="CS33" s="269"/>
      <c r="CT33" s="269"/>
      <c r="CU33" s="269"/>
      <c r="CV33" s="269"/>
      <c r="CW33" s="269"/>
      <c r="CX33" s="269"/>
      <c r="CY33" s="269"/>
      <c r="CZ33" s="269"/>
      <c r="DA33" s="269"/>
      <c r="DB33" s="269"/>
      <c r="DC33" s="269"/>
      <c r="DD33" s="269"/>
      <c r="DE33" s="269"/>
      <c r="DF33" s="269"/>
      <c r="DG33" s="269"/>
      <c r="DH33" s="269"/>
      <c r="DI33" s="269"/>
      <c r="DJ33" s="269"/>
      <c r="DK33" s="269"/>
      <c r="DL33" s="269"/>
      <c r="DM33" s="269"/>
      <c r="DN33" s="269"/>
      <c r="DO33" s="269"/>
      <c r="DP33" s="269"/>
      <c r="DQ33" s="269"/>
      <c r="DR33" s="269"/>
      <c r="DS33" s="269"/>
      <c r="DT33" s="269"/>
      <c r="DU33" s="269"/>
      <c r="DV33" s="269"/>
      <c r="DW33" s="269"/>
      <c r="DX33" s="269"/>
      <c r="DY33" s="269"/>
      <c r="DZ33" s="269"/>
      <c r="EA33" s="269"/>
      <c r="EB33" s="269"/>
      <c r="EC33" s="269"/>
      <c r="ED33" s="269"/>
      <c r="EE33" s="269"/>
      <c r="EF33" s="269"/>
      <c r="EG33" s="269"/>
      <c r="EH33" s="269"/>
      <c r="EI33" s="269"/>
      <c r="EJ33" s="269"/>
      <c r="EK33" s="269"/>
      <c r="EL33" s="269"/>
      <c r="EM33" s="269"/>
      <c r="EN33" s="269"/>
      <c r="EO33" s="269"/>
      <c r="EP33" s="269"/>
      <c r="EQ33" s="269"/>
      <c r="ER33" s="269"/>
      <c r="ES33" s="269"/>
      <c r="ET33" s="269"/>
      <c r="EU33" s="269"/>
      <c r="EV33" s="269"/>
      <c r="EW33" s="269"/>
      <c r="EX33" s="269"/>
      <c r="EY33" s="269"/>
      <c r="EZ33" s="269"/>
      <c r="FA33" s="269"/>
      <c r="FB33" s="269"/>
      <c r="FC33" s="269"/>
      <c r="FD33" s="269"/>
      <c r="FE33" s="269"/>
      <c r="FF33" s="269"/>
      <c r="FG33" s="269"/>
      <c r="FH33" s="269"/>
      <c r="FI33" s="269"/>
      <c r="FJ33" s="269"/>
      <c r="FK33" s="269"/>
      <c r="FL33" s="269"/>
      <c r="FM33" s="269"/>
      <c r="FN33" s="269"/>
      <c r="FO33" s="269"/>
      <c r="FP33" s="269"/>
      <c r="FQ33" s="269"/>
      <c r="FR33" s="269"/>
      <c r="FS33" s="269"/>
      <c r="FT33" s="269"/>
      <c r="FU33" s="269"/>
      <c r="FV33" s="269"/>
      <c r="FW33" s="269"/>
      <c r="FX33" s="269"/>
      <c r="FY33" s="269"/>
      <c r="FZ33" s="269"/>
      <c r="GA33" s="269"/>
      <c r="GB33" s="269"/>
      <c r="GC33" s="269"/>
      <c r="GD33" s="269"/>
      <c r="GE33" s="269"/>
      <c r="GF33" s="269"/>
      <c r="GG33" s="269"/>
      <c r="GH33" s="269"/>
      <c r="GI33" s="269"/>
      <c r="GJ33" s="269"/>
      <c r="GK33" s="269"/>
      <c r="GL33" s="269"/>
      <c r="GM33" s="269"/>
      <c r="GN33" s="269"/>
      <c r="GO33" s="269"/>
      <c r="GP33" s="269"/>
      <c r="GQ33" s="269"/>
      <c r="GR33" s="269"/>
      <c r="GS33" s="269"/>
      <c r="GT33" s="269"/>
      <c r="GU33" s="269"/>
      <c r="GV33" s="269"/>
      <c r="GW33" s="269"/>
      <c r="GX33" s="269"/>
      <c r="GY33" s="269"/>
      <c r="GZ33" s="269"/>
      <c r="HA33" s="269"/>
      <c r="HB33" s="269"/>
      <c r="HC33" s="269"/>
      <c r="HD33" s="269"/>
      <c r="HE33" s="269"/>
      <c r="HF33" s="269"/>
      <c r="HG33" s="269"/>
      <c r="HH33" s="269"/>
      <c r="HI33" s="269"/>
      <c r="HJ33" s="269"/>
      <c r="HK33" s="269"/>
      <c r="HL33" s="269"/>
      <c r="HM33" s="269"/>
      <c r="HN33" s="269"/>
      <c r="HO33" s="269"/>
      <c r="HP33" s="269"/>
      <c r="HQ33" s="269"/>
    </row>
    <row r="34" spans="1:225" s="251" customFormat="1" x14ac:dyDescent="0.25">
      <c r="A34" s="253"/>
      <c r="B34" s="120"/>
      <c r="C34" s="120"/>
      <c r="D34" s="253"/>
      <c r="E34" s="253"/>
      <c r="F34" s="253"/>
      <c r="G34" s="253"/>
      <c r="H34" s="253"/>
      <c r="I34" s="253"/>
      <c r="J34" s="253"/>
      <c r="K34" s="253"/>
      <c r="L34" s="253"/>
      <c r="M34" s="253"/>
      <c r="N34" s="269"/>
      <c r="O34" s="269"/>
      <c r="P34" s="269"/>
      <c r="Q34" s="269"/>
      <c r="R34" s="269"/>
      <c r="S34" s="269"/>
      <c r="T34" s="269"/>
      <c r="U34" s="269"/>
      <c r="V34" s="269"/>
      <c r="W34" s="269"/>
      <c r="X34" s="269"/>
      <c r="Y34" s="269"/>
      <c r="Z34" s="269"/>
      <c r="AA34" s="269"/>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269"/>
      <c r="BB34" s="269"/>
      <c r="BC34" s="269"/>
      <c r="BD34" s="269"/>
      <c r="BE34" s="269"/>
      <c r="BF34" s="269"/>
      <c r="BG34" s="269"/>
      <c r="BH34" s="269"/>
      <c r="BI34" s="269"/>
      <c r="BJ34" s="269"/>
      <c r="BK34" s="269"/>
      <c r="BL34" s="269"/>
      <c r="BM34" s="269"/>
      <c r="BN34" s="269"/>
      <c r="BO34" s="269"/>
      <c r="BP34" s="269"/>
      <c r="BQ34" s="269"/>
      <c r="BR34" s="269"/>
      <c r="BS34" s="269"/>
      <c r="BT34" s="269"/>
      <c r="BU34" s="269"/>
      <c r="BV34" s="269"/>
      <c r="BW34" s="269"/>
      <c r="BX34" s="269"/>
      <c r="BY34" s="269"/>
      <c r="BZ34" s="269"/>
      <c r="CA34" s="269"/>
      <c r="CB34" s="269"/>
      <c r="CC34" s="269"/>
      <c r="CD34" s="269"/>
      <c r="CE34" s="269"/>
      <c r="CF34" s="269"/>
      <c r="CG34" s="269"/>
      <c r="CH34" s="269"/>
      <c r="CI34" s="269"/>
      <c r="CJ34" s="269"/>
      <c r="CK34" s="269"/>
      <c r="CL34" s="269"/>
      <c r="CM34" s="269"/>
      <c r="CN34" s="269"/>
      <c r="CO34" s="269"/>
      <c r="CP34" s="269"/>
      <c r="CQ34" s="269"/>
      <c r="CR34" s="269"/>
      <c r="CS34" s="269"/>
      <c r="CT34" s="269"/>
      <c r="CU34" s="269"/>
      <c r="CV34" s="269"/>
      <c r="CW34" s="269"/>
      <c r="CX34" s="269"/>
      <c r="CY34" s="269"/>
      <c r="CZ34" s="269"/>
      <c r="DA34" s="269"/>
      <c r="DB34" s="269"/>
      <c r="DC34" s="269"/>
      <c r="DD34" s="269"/>
      <c r="DE34" s="269"/>
      <c r="DF34" s="269"/>
      <c r="DG34" s="269"/>
      <c r="DH34" s="269"/>
      <c r="DI34" s="269"/>
      <c r="DJ34" s="269"/>
      <c r="DK34" s="269"/>
      <c r="DL34" s="269"/>
      <c r="DM34" s="269"/>
      <c r="DN34" s="269"/>
      <c r="DO34" s="269"/>
      <c r="DP34" s="269"/>
      <c r="DQ34" s="269"/>
      <c r="DR34" s="269"/>
      <c r="DS34" s="269"/>
      <c r="DT34" s="269"/>
      <c r="DU34" s="269"/>
      <c r="DV34" s="269"/>
      <c r="DW34" s="269"/>
      <c r="DX34" s="269"/>
      <c r="DY34" s="269"/>
      <c r="DZ34" s="269"/>
      <c r="EA34" s="269"/>
      <c r="EB34" s="269"/>
      <c r="EC34" s="269"/>
      <c r="ED34" s="269"/>
      <c r="EE34" s="269"/>
      <c r="EF34" s="269"/>
      <c r="EG34" s="269"/>
      <c r="EH34" s="269"/>
      <c r="EI34" s="269"/>
      <c r="EJ34" s="269"/>
      <c r="EK34" s="269"/>
      <c r="EL34" s="269"/>
      <c r="EM34" s="269"/>
      <c r="EN34" s="269"/>
      <c r="EO34" s="269"/>
      <c r="EP34" s="269"/>
      <c r="EQ34" s="269"/>
      <c r="ER34" s="269"/>
      <c r="ES34" s="269"/>
      <c r="ET34" s="269"/>
      <c r="EU34" s="269"/>
      <c r="EV34" s="269"/>
      <c r="EW34" s="269"/>
      <c r="EX34" s="269"/>
      <c r="EY34" s="269"/>
      <c r="EZ34" s="269"/>
      <c r="FA34" s="269"/>
      <c r="FB34" s="269"/>
      <c r="FC34" s="269"/>
      <c r="FD34" s="269"/>
      <c r="FE34" s="269"/>
      <c r="FF34" s="269"/>
      <c r="FG34" s="269"/>
      <c r="FH34" s="269"/>
      <c r="FI34" s="269"/>
      <c r="FJ34" s="269"/>
      <c r="FK34" s="269"/>
      <c r="FL34" s="269"/>
      <c r="FM34" s="269"/>
      <c r="FN34" s="269"/>
      <c r="FO34" s="269"/>
      <c r="FP34" s="269"/>
      <c r="FQ34" s="269"/>
      <c r="FR34" s="269"/>
      <c r="FS34" s="269"/>
      <c r="FT34" s="269"/>
      <c r="FU34" s="269"/>
      <c r="FV34" s="269"/>
      <c r="FW34" s="269"/>
      <c r="FX34" s="269"/>
      <c r="FY34" s="269"/>
      <c r="FZ34" s="269"/>
      <c r="GA34" s="269"/>
      <c r="GB34" s="269"/>
      <c r="GC34" s="269"/>
      <c r="GD34" s="269"/>
      <c r="GE34" s="269"/>
      <c r="GF34" s="269"/>
      <c r="GG34" s="269"/>
      <c r="GH34" s="269"/>
      <c r="GI34" s="269"/>
      <c r="GJ34" s="269"/>
      <c r="GK34" s="269"/>
      <c r="GL34" s="269"/>
      <c r="GM34" s="269"/>
      <c r="GN34" s="269"/>
      <c r="GO34" s="269"/>
      <c r="GP34" s="269"/>
      <c r="GQ34" s="269"/>
      <c r="GR34" s="269"/>
      <c r="GS34" s="269"/>
      <c r="GT34" s="269"/>
      <c r="GU34" s="269"/>
      <c r="GV34" s="269"/>
      <c r="GW34" s="269"/>
      <c r="GX34" s="269"/>
      <c r="GY34" s="269"/>
      <c r="GZ34" s="269"/>
      <c r="HA34" s="269"/>
      <c r="HB34" s="269"/>
      <c r="HC34" s="269"/>
      <c r="HD34" s="269"/>
      <c r="HE34" s="269"/>
      <c r="HF34" s="269"/>
      <c r="HG34" s="269"/>
      <c r="HH34" s="269"/>
      <c r="HI34" s="269"/>
      <c r="HJ34" s="269"/>
      <c r="HK34" s="269"/>
      <c r="HL34" s="269"/>
      <c r="HM34" s="269"/>
      <c r="HN34" s="269"/>
      <c r="HO34" s="269"/>
      <c r="HP34" s="269"/>
      <c r="HQ34" s="269"/>
    </row>
    <row r="35" spans="1:225" s="249" customFormat="1" x14ac:dyDescent="0.25">
      <c r="A35" s="118"/>
      <c r="B35" s="248"/>
      <c r="C35" s="248"/>
      <c r="D35" s="240"/>
      <c r="E35" s="240"/>
      <c r="F35" s="240"/>
      <c r="G35" s="240"/>
      <c r="H35" s="240"/>
      <c r="I35" s="240"/>
      <c r="J35" s="240"/>
      <c r="K35" s="240"/>
      <c r="L35" s="240"/>
      <c r="M35" s="240"/>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69"/>
      <c r="BK35" s="269"/>
      <c r="BL35" s="269"/>
      <c r="BM35" s="269"/>
      <c r="BN35" s="269"/>
      <c r="BO35" s="269"/>
      <c r="BP35" s="269"/>
      <c r="BQ35" s="269"/>
      <c r="BR35" s="269"/>
      <c r="BS35" s="269"/>
      <c r="BT35" s="269"/>
      <c r="BU35" s="269"/>
      <c r="BV35" s="269"/>
      <c r="BW35" s="269"/>
      <c r="BX35" s="269"/>
      <c r="BY35" s="269"/>
      <c r="BZ35" s="269"/>
      <c r="CA35" s="269"/>
      <c r="CB35" s="269"/>
      <c r="CC35" s="269"/>
      <c r="CD35" s="269"/>
      <c r="CE35" s="269"/>
      <c r="CF35" s="269"/>
      <c r="CG35" s="269"/>
      <c r="CH35" s="269"/>
      <c r="CI35" s="269"/>
      <c r="CJ35" s="269"/>
      <c r="CK35" s="269"/>
      <c r="CL35" s="269"/>
      <c r="CM35" s="269"/>
      <c r="CN35" s="269"/>
      <c r="CO35" s="269"/>
      <c r="CP35" s="269"/>
      <c r="CQ35" s="269"/>
      <c r="CR35" s="269"/>
      <c r="CS35" s="269"/>
      <c r="CT35" s="269"/>
      <c r="CU35" s="269"/>
      <c r="CV35" s="269"/>
      <c r="CW35" s="269"/>
      <c r="CX35" s="269"/>
      <c r="CY35" s="269"/>
      <c r="CZ35" s="269"/>
      <c r="DA35" s="269"/>
      <c r="DB35" s="269"/>
      <c r="DC35" s="269"/>
      <c r="DD35" s="269"/>
      <c r="DE35" s="269"/>
      <c r="DF35" s="269"/>
      <c r="DG35" s="269"/>
      <c r="DH35" s="269"/>
      <c r="DI35" s="269"/>
      <c r="DJ35" s="269"/>
      <c r="DK35" s="269"/>
      <c r="DL35" s="269"/>
      <c r="DM35" s="269"/>
      <c r="DN35" s="269"/>
      <c r="DO35" s="269"/>
      <c r="DP35" s="269"/>
      <c r="DQ35" s="269"/>
      <c r="DR35" s="269"/>
      <c r="DS35" s="269"/>
      <c r="DT35" s="269"/>
      <c r="DU35" s="269"/>
      <c r="DV35" s="269"/>
      <c r="DW35" s="269"/>
      <c r="DX35" s="269"/>
      <c r="DY35" s="269"/>
      <c r="DZ35" s="269"/>
      <c r="EA35" s="269"/>
      <c r="EB35" s="269"/>
      <c r="EC35" s="269"/>
      <c r="ED35" s="269"/>
      <c r="EE35" s="269"/>
      <c r="EF35" s="269"/>
      <c r="EG35" s="269"/>
      <c r="EH35" s="269"/>
      <c r="EI35" s="269"/>
      <c r="EJ35" s="269"/>
      <c r="EK35" s="269"/>
      <c r="EL35" s="269"/>
      <c r="EM35" s="269"/>
      <c r="EN35" s="269"/>
      <c r="EO35" s="269"/>
      <c r="EP35" s="269"/>
      <c r="EQ35" s="269"/>
      <c r="ER35" s="269"/>
      <c r="ES35" s="269"/>
      <c r="ET35" s="269"/>
      <c r="EU35" s="269"/>
      <c r="EV35" s="269"/>
      <c r="EW35" s="269"/>
      <c r="EX35" s="269"/>
      <c r="EY35" s="269"/>
      <c r="EZ35" s="269"/>
      <c r="FA35" s="269"/>
      <c r="FB35" s="269"/>
      <c r="FC35" s="269"/>
      <c r="FD35" s="269"/>
      <c r="FE35" s="269"/>
      <c r="FF35" s="269"/>
      <c r="FG35" s="269"/>
      <c r="FH35" s="269"/>
      <c r="FI35" s="269"/>
      <c r="FJ35" s="269"/>
      <c r="FK35" s="269"/>
      <c r="FL35" s="269"/>
      <c r="FM35" s="269"/>
      <c r="FN35" s="269"/>
      <c r="FO35" s="269"/>
      <c r="FP35" s="269"/>
      <c r="FQ35" s="269"/>
      <c r="FR35" s="269"/>
      <c r="FS35" s="269"/>
      <c r="FT35" s="269"/>
      <c r="FU35" s="269"/>
      <c r="FV35" s="269"/>
      <c r="FW35" s="269"/>
      <c r="FX35" s="269"/>
      <c r="FY35" s="269"/>
      <c r="FZ35" s="269"/>
      <c r="GA35" s="269"/>
      <c r="GB35" s="269"/>
      <c r="GC35" s="269"/>
      <c r="GD35" s="269"/>
      <c r="GE35" s="269"/>
      <c r="GF35" s="269"/>
      <c r="GG35" s="269"/>
      <c r="GH35" s="269"/>
      <c r="GI35" s="269"/>
      <c r="GJ35" s="269"/>
      <c r="GK35" s="269"/>
      <c r="GL35" s="269"/>
      <c r="GM35" s="269"/>
      <c r="GN35" s="269"/>
      <c r="GO35" s="269"/>
      <c r="GP35" s="269"/>
      <c r="GQ35" s="269"/>
      <c r="GR35" s="269"/>
      <c r="GS35" s="269"/>
      <c r="GT35" s="269"/>
      <c r="GU35" s="269"/>
      <c r="GV35" s="269"/>
      <c r="GW35" s="269"/>
      <c r="GX35" s="269"/>
      <c r="GY35" s="269"/>
      <c r="GZ35" s="269"/>
      <c r="HA35" s="269"/>
      <c r="HB35" s="269"/>
      <c r="HC35" s="269"/>
      <c r="HD35" s="269"/>
      <c r="HE35" s="269"/>
      <c r="HF35" s="269"/>
      <c r="HG35" s="269"/>
      <c r="HH35" s="269"/>
      <c r="HI35" s="269"/>
      <c r="HJ35" s="269"/>
      <c r="HK35" s="269"/>
      <c r="HL35" s="269"/>
      <c r="HM35" s="269"/>
      <c r="HN35" s="269"/>
      <c r="HO35" s="269"/>
      <c r="HP35" s="269"/>
      <c r="HQ35" s="269"/>
    </row>
    <row r="36" spans="1:225" s="249" customFormat="1" x14ac:dyDescent="0.25">
      <c r="A36" s="118"/>
      <c r="B36" s="248"/>
      <c r="C36" s="248"/>
      <c r="D36" s="240"/>
      <c r="E36" s="240"/>
      <c r="F36" s="240"/>
      <c r="G36" s="240"/>
      <c r="H36" s="240"/>
      <c r="I36" s="240"/>
      <c r="J36" s="240"/>
      <c r="K36" s="240"/>
      <c r="L36" s="240"/>
      <c r="M36" s="240"/>
      <c r="N36" s="269"/>
      <c r="O36" s="269"/>
      <c r="P36" s="269"/>
      <c r="Q36" s="269"/>
      <c r="R36" s="269"/>
      <c r="S36" s="269"/>
      <c r="T36" s="269"/>
      <c r="U36" s="269"/>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69"/>
      <c r="BQ36" s="269"/>
      <c r="BR36" s="269"/>
      <c r="BS36" s="269"/>
      <c r="BT36" s="269"/>
      <c r="BU36" s="269"/>
      <c r="BV36" s="269"/>
      <c r="BW36" s="269"/>
      <c r="BX36" s="269"/>
      <c r="BY36" s="269"/>
      <c r="BZ36" s="269"/>
      <c r="CA36" s="269"/>
      <c r="CB36" s="269"/>
      <c r="CC36" s="269"/>
      <c r="CD36" s="269"/>
      <c r="CE36" s="269"/>
      <c r="CF36" s="269"/>
      <c r="CG36" s="269"/>
      <c r="CH36" s="269"/>
      <c r="CI36" s="269"/>
      <c r="CJ36" s="269"/>
      <c r="CK36" s="269"/>
      <c r="CL36" s="269"/>
      <c r="CM36" s="269"/>
      <c r="CN36" s="269"/>
      <c r="CO36" s="269"/>
      <c r="CP36" s="269"/>
      <c r="CQ36" s="269"/>
      <c r="CR36" s="269"/>
      <c r="CS36" s="269"/>
      <c r="CT36" s="269"/>
      <c r="CU36" s="269"/>
      <c r="CV36" s="269"/>
      <c r="CW36" s="269"/>
      <c r="CX36" s="269"/>
      <c r="CY36" s="269"/>
      <c r="CZ36" s="269"/>
      <c r="DA36" s="269"/>
      <c r="DB36" s="269"/>
      <c r="DC36" s="269"/>
      <c r="DD36" s="269"/>
      <c r="DE36" s="269"/>
      <c r="DF36" s="269"/>
      <c r="DG36" s="269"/>
      <c r="DH36" s="269"/>
      <c r="DI36" s="269"/>
      <c r="DJ36" s="269"/>
      <c r="DK36" s="269"/>
      <c r="DL36" s="269"/>
      <c r="DM36" s="269"/>
      <c r="DN36" s="269"/>
      <c r="DO36" s="269"/>
      <c r="DP36" s="269"/>
      <c r="DQ36" s="269"/>
      <c r="DR36" s="269"/>
      <c r="DS36" s="269"/>
      <c r="DT36" s="269"/>
      <c r="DU36" s="269"/>
      <c r="DV36" s="269"/>
      <c r="DW36" s="269"/>
      <c r="DX36" s="269"/>
      <c r="DY36" s="269"/>
      <c r="DZ36" s="269"/>
      <c r="EA36" s="269"/>
      <c r="EB36" s="269"/>
      <c r="EC36" s="269"/>
      <c r="ED36" s="269"/>
      <c r="EE36" s="269"/>
      <c r="EF36" s="269"/>
      <c r="EG36" s="269"/>
      <c r="EH36" s="269"/>
      <c r="EI36" s="269"/>
      <c r="EJ36" s="269"/>
      <c r="EK36" s="269"/>
      <c r="EL36" s="269"/>
      <c r="EM36" s="269"/>
      <c r="EN36" s="269"/>
      <c r="EO36" s="269"/>
      <c r="EP36" s="269"/>
      <c r="EQ36" s="269"/>
      <c r="ER36" s="269"/>
      <c r="ES36" s="269"/>
      <c r="ET36" s="269"/>
      <c r="EU36" s="269"/>
      <c r="EV36" s="269"/>
      <c r="EW36" s="269"/>
      <c r="EX36" s="269"/>
      <c r="EY36" s="269"/>
      <c r="EZ36" s="269"/>
      <c r="FA36" s="269"/>
      <c r="FB36" s="269"/>
      <c r="FC36" s="269"/>
      <c r="FD36" s="269"/>
      <c r="FE36" s="269"/>
      <c r="FF36" s="269"/>
      <c r="FG36" s="269"/>
      <c r="FH36" s="269"/>
      <c r="FI36" s="269"/>
      <c r="FJ36" s="269"/>
      <c r="FK36" s="269"/>
      <c r="FL36" s="269"/>
      <c r="FM36" s="269"/>
      <c r="FN36" s="269"/>
      <c r="FO36" s="269"/>
      <c r="FP36" s="269"/>
      <c r="FQ36" s="269"/>
      <c r="FR36" s="269"/>
      <c r="FS36" s="269"/>
      <c r="FT36" s="269"/>
      <c r="FU36" s="269"/>
      <c r="FV36" s="269"/>
      <c r="FW36" s="269"/>
      <c r="FX36" s="269"/>
      <c r="FY36" s="269"/>
      <c r="FZ36" s="269"/>
      <c r="GA36" s="269"/>
      <c r="GB36" s="269"/>
      <c r="GC36" s="269"/>
      <c r="GD36" s="269"/>
      <c r="GE36" s="269"/>
      <c r="GF36" s="269"/>
      <c r="GG36" s="269"/>
      <c r="GH36" s="269"/>
      <c r="GI36" s="269"/>
      <c r="GJ36" s="269"/>
      <c r="GK36" s="269"/>
      <c r="GL36" s="269"/>
      <c r="GM36" s="269"/>
      <c r="GN36" s="269"/>
      <c r="GO36" s="269"/>
      <c r="GP36" s="269"/>
      <c r="GQ36" s="269"/>
      <c r="GR36" s="269"/>
      <c r="GS36" s="269"/>
      <c r="GT36" s="269"/>
      <c r="GU36" s="269"/>
      <c r="GV36" s="269"/>
      <c r="GW36" s="269"/>
      <c r="GX36" s="269"/>
      <c r="GY36" s="269"/>
      <c r="GZ36" s="269"/>
      <c r="HA36" s="269"/>
      <c r="HB36" s="269"/>
      <c r="HC36" s="269"/>
      <c r="HD36" s="269"/>
      <c r="HE36" s="269"/>
      <c r="HF36" s="269"/>
      <c r="HG36" s="269"/>
      <c r="HH36" s="269"/>
      <c r="HI36" s="269"/>
      <c r="HJ36" s="269"/>
      <c r="HK36" s="269"/>
      <c r="HL36" s="269"/>
      <c r="HM36" s="269"/>
      <c r="HN36" s="269"/>
      <c r="HO36" s="269"/>
      <c r="HP36" s="269"/>
      <c r="HQ36" s="269"/>
    </row>
    <row r="37" spans="1:225" s="251" customFormat="1" x14ac:dyDescent="0.25">
      <c r="A37" s="253"/>
      <c r="B37" s="120"/>
      <c r="C37" s="120"/>
      <c r="D37" s="253"/>
      <c r="E37" s="253"/>
      <c r="F37" s="253"/>
      <c r="G37" s="253"/>
      <c r="H37" s="253"/>
      <c r="I37" s="253"/>
      <c r="J37" s="253"/>
      <c r="K37" s="253"/>
      <c r="L37" s="253"/>
      <c r="M37" s="253"/>
      <c r="N37" s="269"/>
      <c r="O37" s="269"/>
      <c r="P37" s="269"/>
      <c r="Q37" s="269"/>
      <c r="R37" s="269"/>
      <c r="S37" s="269"/>
      <c r="T37" s="269"/>
      <c r="U37" s="269"/>
      <c r="V37" s="269"/>
      <c r="W37" s="269"/>
      <c r="X37" s="269"/>
      <c r="Y37" s="269"/>
      <c r="Z37" s="269"/>
      <c r="AA37" s="269"/>
      <c r="AB37" s="269"/>
      <c r="AC37" s="269"/>
      <c r="AD37" s="269"/>
      <c r="AE37" s="269"/>
      <c r="AF37" s="269"/>
      <c r="AG37" s="269"/>
      <c r="AH37" s="269"/>
      <c r="AI37" s="269"/>
      <c r="AJ37" s="269"/>
      <c r="AK37" s="269"/>
      <c r="AL37" s="269"/>
      <c r="AM37" s="269"/>
      <c r="AN37" s="269"/>
      <c r="AO37" s="269"/>
      <c r="AP37" s="269"/>
      <c r="AQ37" s="269"/>
      <c r="AR37" s="269"/>
      <c r="AS37" s="269"/>
      <c r="AT37" s="269"/>
      <c r="AU37" s="269"/>
      <c r="AV37" s="269"/>
      <c r="AW37" s="269"/>
      <c r="AX37" s="269"/>
      <c r="AY37" s="269"/>
      <c r="AZ37" s="269"/>
      <c r="BA37" s="269"/>
      <c r="BB37" s="269"/>
      <c r="BC37" s="269"/>
      <c r="BD37" s="269"/>
      <c r="BE37" s="269"/>
      <c r="BF37" s="269"/>
      <c r="BG37" s="269"/>
      <c r="BH37" s="269"/>
      <c r="BI37" s="269"/>
      <c r="BJ37" s="269"/>
      <c r="BK37" s="269"/>
      <c r="BL37" s="269"/>
      <c r="BM37" s="269"/>
      <c r="BN37" s="269"/>
      <c r="BO37" s="269"/>
      <c r="BP37" s="269"/>
      <c r="BQ37" s="269"/>
      <c r="BR37" s="269"/>
      <c r="BS37" s="269"/>
      <c r="BT37" s="269"/>
      <c r="BU37" s="269"/>
      <c r="BV37" s="269"/>
      <c r="BW37" s="269"/>
      <c r="BX37" s="269"/>
      <c r="BY37" s="269"/>
      <c r="BZ37" s="269"/>
      <c r="CA37" s="269"/>
      <c r="CB37" s="269"/>
      <c r="CC37" s="269"/>
      <c r="CD37" s="269"/>
      <c r="CE37" s="269"/>
      <c r="CF37" s="269"/>
      <c r="CG37" s="269"/>
      <c r="CH37" s="269"/>
      <c r="CI37" s="269"/>
      <c r="CJ37" s="269"/>
      <c r="CK37" s="269"/>
      <c r="CL37" s="269"/>
      <c r="CM37" s="269"/>
      <c r="CN37" s="269"/>
      <c r="CO37" s="269"/>
      <c r="CP37" s="269"/>
      <c r="CQ37" s="269"/>
      <c r="CR37" s="269"/>
      <c r="CS37" s="269"/>
      <c r="CT37" s="269"/>
      <c r="CU37" s="269"/>
      <c r="CV37" s="269"/>
      <c r="CW37" s="269"/>
      <c r="CX37" s="269"/>
      <c r="CY37" s="269"/>
      <c r="CZ37" s="269"/>
      <c r="DA37" s="269"/>
      <c r="DB37" s="269"/>
      <c r="DC37" s="269"/>
      <c r="DD37" s="269"/>
      <c r="DE37" s="269"/>
      <c r="DF37" s="269"/>
      <c r="DG37" s="269"/>
      <c r="DH37" s="269"/>
      <c r="DI37" s="269"/>
      <c r="DJ37" s="269"/>
      <c r="DK37" s="269"/>
      <c r="DL37" s="269"/>
      <c r="DM37" s="269"/>
      <c r="DN37" s="269"/>
      <c r="DO37" s="269"/>
      <c r="DP37" s="269"/>
      <c r="DQ37" s="269"/>
      <c r="DR37" s="269"/>
      <c r="DS37" s="269"/>
      <c r="DT37" s="269"/>
      <c r="DU37" s="269"/>
      <c r="DV37" s="269"/>
      <c r="DW37" s="269"/>
      <c r="DX37" s="269"/>
      <c r="DY37" s="269"/>
      <c r="DZ37" s="269"/>
      <c r="EA37" s="269"/>
      <c r="EB37" s="269"/>
      <c r="EC37" s="269"/>
      <c r="ED37" s="269"/>
      <c r="EE37" s="269"/>
      <c r="EF37" s="269"/>
      <c r="EG37" s="269"/>
      <c r="EH37" s="269"/>
      <c r="EI37" s="269"/>
      <c r="EJ37" s="269"/>
      <c r="EK37" s="269"/>
      <c r="EL37" s="269"/>
      <c r="EM37" s="269"/>
      <c r="EN37" s="269"/>
      <c r="EO37" s="269"/>
      <c r="EP37" s="269"/>
      <c r="EQ37" s="269"/>
      <c r="ER37" s="269"/>
      <c r="ES37" s="269"/>
      <c r="ET37" s="269"/>
      <c r="EU37" s="269"/>
      <c r="EV37" s="269"/>
      <c r="EW37" s="269"/>
      <c r="EX37" s="269"/>
      <c r="EY37" s="269"/>
      <c r="EZ37" s="269"/>
      <c r="FA37" s="269"/>
      <c r="FB37" s="269"/>
      <c r="FC37" s="269"/>
      <c r="FD37" s="269"/>
      <c r="FE37" s="269"/>
      <c r="FF37" s="269"/>
      <c r="FG37" s="269"/>
      <c r="FH37" s="269"/>
      <c r="FI37" s="269"/>
      <c r="FJ37" s="269"/>
      <c r="FK37" s="269"/>
      <c r="FL37" s="269"/>
      <c r="FM37" s="269"/>
      <c r="FN37" s="269"/>
      <c r="FO37" s="269"/>
      <c r="FP37" s="269"/>
      <c r="FQ37" s="269"/>
      <c r="FR37" s="269"/>
      <c r="FS37" s="269"/>
      <c r="FT37" s="269"/>
      <c r="FU37" s="269"/>
      <c r="FV37" s="269"/>
      <c r="FW37" s="269"/>
      <c r="FX37" s="269"/>
      <c r="FY37" s="269"/>
      <c r="FZ37" s="269"/>
      <c r="GA37" s="269"/>
      <c r="GB37" s="269"/>
      <c r="GC37" s="269"/>
      <c r="GD37" s="269"/>
      <c r="GE37" s="269"/>
      <c r="GF37" s="269"/>
      <c r="GG37" s="269"/>
      <c r="GH37" s="269"/>
      <c r="GI37" s="269"/>
      <c r="GJ37" s="269"/>
      <c r="GK37" s="269"/>
      <c r="GL37" s="269"/>
      <c r="GM37" s="269"/>
      <c r="GN37" s="269"/>
      <c r="GO37" s="269"/>
      <c r="GP37" s="269"/>
      <c r="GQ37" s="269"/>
      <c r="GR37" s="269"/>
      <c r="GS37" s="269"/>
      <c r="GT37" s="269"/>
      <c r="GU37" s="269"/>
      <c r="GV37" s="269"/>
      <c r="GW37" s="269"/>
      <c r="GX37" s="269"/>
      <c r="GY37" s="269"/>
      <c r="GZ37" s="269"/>
      <c r="HA37" s="269"/>
      <c r="HB37" s="269"/>
      <c r="HC37" s="269"/>
      <c r="HD37" s="269"/>
      <c r="HE37" s="269"/>
      <c r="HF37" s="269"/>
      <c r="HG37" s="269"/>
      <c r="HH37" s="269"/>
      <c r="HI37" s="269"/>
      <c r="HJ37" s="269"/>
      <c r="HK37" s="269"/>
      <c r="HL37" s="269"/>
      <c r="HM37" s="269"/>
      <c r="HN37" s="269"/>
      <c r="HO37" s="269"/>
      <c r="HP37" s="269"/>
      <c r="HQ37" s="269"/>
    </row>
    <row r="38" spans="1:225" s="251" customFormat="1" x14ac:dyDescent="0.25">
      <c r="A38" s="253"/>
      <c r="B38" s="120"/>
      <c r="C38" s="120"/>
      <c r="D38" s="253"/>
      <c r="E38" s="253"/>
      <c r="F38" s="253"/>
      <c r="G38" s="253"/>
      <c r="H38" s="253"/>
      <c r="I38" s="253"/>
      <c r="J38" s="253"/>
      <c r="K38" s="253"/>
      <c r="L38" s="253"/>
      <c r="M38" s="253"/>
      <c r="N38" s="269"/>
      <c r="O38" s="269"/>
      <c r="P38" s="269"/>
      <c r="Q38" s="269"/>
      <c r="R38" s="269"/>
      <c r="S38" s="269"/>
      <c r="T38" s="269"/>
      <c r="U38" s="269"/>
      <c r="V38" s="269"/>
      <c r="W38" s="269"/>
      <c r="X38" s="269"/>
      <c r="Y38" s="269"/>
      <c r="Z38" s="269"/>
      <c r="AA38" s="269"/>
      <c r="AB38" s="269"/>
      <c r="AC38" s="269"/>
      <c r="AD38" s="269"/>
      <c r="AE38" s="269"/>
      <c r="AF38" s="269"/>
      <c r="AG38" s="269"/>
      <c r="AH38" s="269"/>
      <c r="AI38" s="269"/>
      <c r="AJ38" s="269"/>
      <c r="AK38" s="269"/>
      <c r="AL38" s="269"/>
      <c r="AM38" s="269"/>
      <c r="AN38" s="269"/>
      <c r="AO38" s="269"/>
      <c r="AP38" s="269"/>
      <c r="AQ38" s="269"/>
      <c r="AR38" s="269"/>
      <c r="AS38" s="269"/>
      <c r="AT38" s="269"/>
      <c r="AU38" s="269"/>
      <c r="AV38" s="269"/>
      <c r="AW38" s="269"/>
      <c r="AX38" s="269"/>
      <c r="AY38" s="269"/>
      <c r="AZ38" s="269"/>
      <c r="BA38" s="269"/>
      <c r="BB38" s="269"/>
      <c r="BC38" s="269"/>
      <c r="BD38" s="269"/>
      <c r="BE38" s="269"/>
      <c r="BF38" s="269"/>
      <c r="BG38" s="269"/>
      <c r="BH38" s="269"/>
      <c r="BI38" s="269"/>
      <c r="BJ38" s="269"/>
      <c r="BK38" s="269"/>
      <c r="BL38" s="269"/>
      <c r="BM38" s="269"/>
      <c r="BN38" s="269"/>
      <c r="BO38" s="269"/>
      <c r="BP38" s="269"/>
      <c r="BQ38" s="269"/>
      <c r="BR38" s="269"/>
      <c r="BS38" s="269"/>
      <c r="BT38" s="269"/>
      <c r="BU38" s="269"/>
      <c r="BV38" s="269"/>
      <c r="BW38" s="269"/>
      <c r="BX38" s="269"/>
      <c r="BY38" s="269"/>
      <c r="BZ38" s="269"/>
      <c r="CA38" s="269"/>
      <c r="CB38" s="269"/>
      <c r="CC38" s="269"/>
      <c r="CD38" s="269"/>
      <c r="CE38" s="269"/>
      <c r="CF38" s="269"/>
      <c r="CG38" s="269"/>
      <c r="CH38" s="269"/>
      <c r="CI38" s="269"/>
      <c r="CJ38" s="269"/>
      <c r="CK38" s="269"/>
      <c r="CL38" s="269"/>
      <c r="CM38" s="269"/>
      <c r="CN38" s="269"/>
      <c r="CO38" s="269"/>
      <c r="CP38" s="269"/>
      <c r="CQ38" s="269"/>
      <c r="CR38" s="269"/>
      <c r="CS38" s="269"/>
      <c r="CT38" s="269"/>
      <c r="CU38" s="269"/>
      <c r="CV38" s="269"/>
      <c r="CW38" s="269"/>
      <c r="CX38" s="269"/>
      <c r="CY38" s="269"/>
      <c r="CZ38" s="269"/>
      <c r="DA38" s="269"/>
      <c r="DB38" s="269"/>
      <c r="DC38" s="269"/>
      <c r="DD38" s="269"/>
      <c r="DE38" s="269"/>
      <c r="DF38" s="269"/>
      <c r="DG38" s="269"/>
      <c r="DH38" s="269"/>
      <c r="DI38" s="269"/>
      <c r="DJ38" s="269"/>
      <c r="DK38" s="269"/>
      <c r="DL38" s="269"/>
      <c r="DM38" s="269"/>
      <c r="DN38" s="269"/>
      <c r="DO38" s="269"/>
      <c r="DP38" s="269"/>
      <c r="DQ38" s="269"/>
      <c r="DR38" s="269"/>
      <c r="DS38" s="269"/>
      <c r="DT38" s="269"/>
      <c r="DU38" s="269"/>
      <c r="DV38" s="269"/>
      <c r="DW38" s="269"/>
      <c r="DX38" s="269"/>
      <c r="DY38" s="269"/>
      <c r="DZ38" s="269"/>
      <c r="EA38" s="269"/>
      <c r="EB38" s="269"/>
      <c r="EC38" s="269"/>
      <c r="ED38" s="269"/>
      <c r="EE38" s="269"/>
      <c r="EF38" s="269"/>
      <c r="EG38" s="269"/>
      <c r="EH38" s="269"/>
      <c r="EI38" s="269"/>
      <c r="EJ38" s="269"/>
      <c r="EK38" s="269"/>
      <c r="EL38" s="269"/>
      <c r="EM38" s="269"/>
      <c r="EN38" s="269"/>
      <c r="EO38" s="269"/>
      <c r="EP38" s="269"/>
      <c r="EQ38" s="269"/>
      <c r="ER38" s="269"/>
      <c r="ES38" s="269"/>
      <c r="ET38" s="269"/>
      <c r="EU38" s="269"/>
      <c r="EV38" s="269"/>
      <c r="EW38" s="269"/>
      <c r="EX38" s="269"/>
      <c r="EY38" s="269"/>
      <c r="EZ38" s="269"/>
      <c r="FA38" s="269"/>
      <c r="FB38" s="269"/>
      <c r="FC38" s="269"/>
      <c r="FD38" s="269"/>
      <c r="FE38" s="269"/>
      <c r="FF38" s="269"/>
      <c r="FG38" s="269"/>
      <c r="FH38" s="269"/>
      <c r="FI38" s="269"/>
      <c r="FJ38" s="269"/>
      <c r="FK38" s="269"/>
      <c r="FL38" s="269"/>
      <c r="FM38" s="269"/>
      <c r="FN38" s="269"/>
      <c r="FO38" s="269"/>
      <c r="FP38" s="269"/>
      <c r="FQ38" s="269"/>
      <c r="FR38" s="269"/>
      <c r="FS38" s="269"/>
      <c r="FT38" s="269"/>
      <c r="FU38" s="269"/>
      <c r="FV38" s="269"/>
      <c r="FW38" s="269"/>
      <c r="FX38" s="269"/>
      <c r="FY38" s="269"/>
      <c r="FZ38" s="269"/>
      <c r="GA38" s="269"/>
      <c r="GB38" s="269"/>
      <c r="GC38" s="269"/>
      <c r="GD38" s="269"/>
      <c r="GE38" s="269"/>
      <c r="GF38" s="269"/>
      <c r="GG38" s="269"/>
      <c r="GH38" s="269"/>
      <c r="GI38" s="269"/>
      <c r="GJ38" s="269"/>
      <c r="GK38" s="269"/>
      <c r="GL38" s="269"/>
      <c r="GM38" s="269"/>
      <c r="GN38" s="269"/>
      <c r="GO38" s="269"/>
      <c r="GP38" s="269"/>
      <c r="GQ38" s="269"/>
      <c r="GR38" s="269"/>
      <c r="GS38" s="269"/>
      <c r="GT38" s="269"/>
      <c r="GU38" s="269"/>
      <c r="GV38" s="269"/>
      <c r="GW38" s="269"/>
      <c r="GX38" s="269"/>
      <c r="GY38" s="269"/>
      <c r="GZ38" s="269"/>
      <c r="HA38" s="269"/>
      <c r="HB38" s="269"/>
      <c r="HC38" s="269"/>
      <c r="HD38" s="269"/>
      <c r="HE38" s="269"/>
      <c r="HF38" s="269"/>
      <c r="HG38" s="269"/>
      <c r="HH38" s="269"/>
      <c r="HI38" s="269"/>
      <c r="HJ38" s="269"/>
      <c r="HK38" s="269"/>
      <c r="HL38" s="269"/>
      <c r="HM38" s="269"/>
      <c r="HN38" s="269"/>
      <c r="HO38" s="269"/>
      <c r="HP38" s="269"/>
      <c r="HQ38" s="269"/>
    </row>
    <row r="39" spans="1:225" s="249" customFormat="1" x14ac:dyDescent="0.25">
      <c r="A39" s="240"/>
      <c r="B39" s="248"/>
      <c r="C39" s="248"/>
      <c r="D39" s="240"/>
      <c r="E39" s="240"/>
      <c r="F39" s="240"/>
      <c r="G39" s="240"/>
      <c r="H39" s="240"/>
      <c r="I39" s="240"/>
      <c r="J39" s="240"/>
      <c r="K39" s="240"/>
      <c r="L39" s="240"/>
      <c r="M39" s="240"/>
      <c r="N39" s="269"/>
      <c r="O39" s="269"/>
      <c r="P39" s="269"/>
      <c r="Q39" s="269"/>
      <c r="R39" s="269"/>
      <c r="S39" s="269"/>
      <c r="T39" s="269"/>
      <c r="U39" s="269"/>
      <c r="V39" s="269"/>
      <c r="W39" s="269"/>
      <c r="X39" s="269"/>
      <c r="Y39" s="269"/>
      <c r="Z39" s="269"/>
      <c r="AA39" s="269"/>
      <c r="AB39" s="269"/>
      <c r="AC39" s="269"/>
      <c r="AD39" s="269"/>
      <c r="AE39" s="269"/>
      <c r="AF39" s="269"/>
      <c r="AG39" s="269"/>
      <c r="AH39" s="269"/>
      <c r="AI39" s="269"/>
      <c r="AJ39" s="269"/>
      <c r="AK39" s="269"/>
      <c r="AL39" s="269"/>
      <c r="AM39" s="269"/>
      <c r="AN39" s="269"/>
      <c r="AO39" s="269"/>
      <c r="AP39" s="269"/>
      <c r="AQ39" s="269"/>
      <c r="AR39" s="269"/>
      <c r="AS39" s="269"/>
      <c r="AT39" s="269"/>
      <c r="AU39" s="269"/>
      <c r="AV39" s="269"/>
      <c r="AW39" s="269"/>
      <c r="AX39" s="269"/>
      <c r="AY39" s="269"/>
      <c r="AZ39" s="269"/>
      <c r="BA39" s="269"/>
      <c r="BB39" s="269"/>
      <c r="BC39" s="269"/>
      <c r="BD39" s="269"/>
      <c r="BE39" s="269"/>
      <c r="BF39" s="269"/>
      <c r="BG39" s="269"/>
      <c r="BH39" s="269"/>
      <c r="BI39" s="269"/>
      <c r="BJ39" s="269"/>
      <c r="BK39" s="269"/>
      <c r="BL39" s="269"/>
      <c r="BM39" s="269"/>
      <c r="BN39" s="269"/>
      <c r="BO39" s="269"/>
      <c r="BP39" s="269"/>
      <c r="BQ39" s="269"/>
      <c r="BR39" s="269"/>
      <c r="BS39" s="269"/>
      <c r="BT39" s="269"/>
      <c r="BU39" s="269"/>
      <c r="BV39" s="269"/>
      <c r="BW39" s="269"/>
      <c r="BX39" s="269"/>
      <c r="BY39" s="269"/>
      <c r="BZ39" s="269"/>
      <c r="CA39" s="269"/>
      <c r="CB39" s="269"/>
      <c r="CC39" s="269"/>
      <c r="CD39" s="269"/>
      <c r="CE39" s="269"/>
      <c r="CF39" s="269"/>
      <c r="CG39" s="269"/>
      <c r="CH39" s="269"/>
      <c r="CI39" s="269"/>
      <c r="CJ39" s="269"/>
      <c r="CK39" s="269"/>
      <c r="CL39" s="269"/>
      <c r="CM39" s="269"/>
      <c r="CN39" s="269"/>
      <c r="CO39" s="269"/>
      <c r="CP39" s="269"/>
      <c r="CQ39" s="269"/>
      <c r="CR39" s="269"/>
      <c r="CS39" s="269"/>
      <c r="CT39" s="269"/>
      <c r="CU39" s="269"/>
      <c r="CV39" s="269"/>
      <c r="CW39" s="269"/>
      <c r="CX39" s="269"/>
      <c r="CY39" s="269"/>
      <c r="CZ39" s="269"/>
      <c r="DA39" s="269"/>
      <c r="DB39" s="269"/>
      <c r="DC39" s="269"/>
      <c r="DD39" s="269"/>
      <c r="DE39" s="269"/>
      <c r="DF39" s="269"/>
      <c r="DG39" s="269"/>
      <c r="DH39" s="269"/>
      <c r="DI39" s="269"/>
      <c r="DJ39" s="269"/>
      <c r="DK39" s="269"/>
      <c r="DL39" s="269"/>
      <c r="DM39" s="269"/>
      <c r="DN39" s="269"/>
      <c r="DO39" s="269"/>
      <c r="DP39" s="269"/>
      <c r="DQ39" s="269"/>
      <c r="DR39" s="269"/>
      <c r="DS39" s="269"/>
      <c r="DT39" s="269"/>
      <c r="DU39" s="269"/>
      <c r="DV39" s="269"/>
      <c r="DW39" s="269"/>
      <c r="DX39" s="269"/>
      <c r="DY39" s="269"/>
      <c r="DZ39" s="269"/>
      <c r="EA39" s="269"/>
      <c r="EB39" s="269"/>
      <c r="EC39" s="269"/>
      <c r="ED39" s="269"/>
      <c r="EE39" s="269"/>
      <c r="EF39" s="269"/>
      <c r="EG39" s="269"/>
      <c r="EH39" s="269"/>
      <c r="EI39" s="269"/>
      <c r="EJ39" s="269"/>
      <c r="EK39" s="269"/>
      <c r="EL39" s="269"/>
      <c r="EM39" s="269"/>
      <c r="EN39" s="269"/>
      <c r="EO39" s="269"/>
      <c r="EP39" s="269"/>
      <c r="EQ39" s="269"/>
      <c r="ER39" s="269"/>
      <c r="ES39" s="269"/>
      <c r="ET39" s="269"/>
      <c r="EU39" s="269"/>
      <c r="EV39" s="269"/>
      <c r="EW39" s="269"/>
      <c r="EX39" s="269"/>
      <c r="EY39" s="269"/>
      <c r="EZ39" s="269"/>
      <c r="FA39" s="269"/>
      <c r="FB39" s="269"/>
      <c r="FC39" s="269"/>
      <c r="FD39" s="269"/>
      <c r="FE39" s="269"/>
      <c r="FF39" s="269"/>
      <c r="FG39" s="269"/>
      <c r="FH39" s="269"/>
      <c r="FI39" s="269"/>
      <c r="FJ39" s="269"/>
      <c r="FK39" s="269"/>
      <c r="FL39" s="269"/>
      <c r="FM39" s="269"/>
      <c r="FN39" s="269"/>
      <c r="FO39" s="269"/>
      <c r="FP39" s="269"/>
      <c r="FQ39" s="269"/>
      <c r="FR39" s="269"/>
      <c r="FS39" s="269"/>
      <c r="FT39" s="269"/>
      <c r="FU39" s="269"/>
      <c r="FV39" s="269"/>
      <c r="FW39" s="269"/>
      <c r="FX39" s="269"/>
      <c r="FY39" s="269"/>
      <c r="FZ39" s="269"/>
      <c r="GA39" s="269"/>
      <c r="GB39" s="269"/>
      <c r="GC39" s="269"/>
      <c r="GD39" s="269"/>
      <c r="GE39" s="269"/>
      <c r="GF39" s="269"/>
      <c r="GG39" s="269"/>
      <c r="GH39" s="269"/>
      <c r="GI39" s="269"/>
      <c r="GJ39" s="269"/>
      <c r="GK39" s="269"/>
      <c r="GL39" s="269"/>
      <c r="GM39" s="269"/>
      <c r="GN39" s="269"/>
      <c r="GO39" s="269"/>
      <c r="GP39" s="269"/>
      <c r="GQ39" s="269"/>
      <c r="GR39" s="269"/>
      <c r="GS39" s="269"/>
      <c r="GT39" s="269"/>
      <c r="GU39" s="269"/>
      <c r="GV39" s="269"/>
      <c r="GW39" s="269"/>
      <c r="GX39" s="269"/>
      <c r="GY39" s="269"/>
      <c r="GZ39" s="269"/>
      <c r="HA39" s="269"/>
      <c r="HB39" s="269"/>
      <c r="HC39" s="269"/>
      <c r="HD39" s="269"/>
      <c r="HE39" s="269"/>
      <c r="HF39" s="269"/>
      <c r="HG39" s="269"/>
      <c r="HH39" s="269"/>
      <c r="HI39" s="269"/>
      <c r="HJ39" s="269"/>
      <c r="HK39" s="269"/>
      <c r="HL39" s="269"/>
      <c r="HM39" s="269"/>
      <c r="HN39" s="269"/>
      <c r="HO39" s="269"/>
      <c r="HP39" s="269"/>
      <c r="HQ39" s="269"/>
    </row>
    <row r="40" spans="1:225" s="249" customFormat="1" x14ac:dyDescent="0.25">
      <c r="A40" s="240"/>
      <c r="B40" s="248"/>
      <c r="C40" s="248"/>
      <c r="D40" s="240"/>
      <c r="E40" s="240"/>
      <c r="F40" s="240"/>
      <c r="G40" s="240"/>
      <c r="H40" s="240"/>
      <c r="I40" s="240"/>
      <c r="J40" s="240"/>
      <c r="K40" s="240"/>
      <c r="L40" s="240"/>
      <c r="M40" s="240"/>
      <c r="N40" s="269"/>
      <c r="O40" s="269"/>
      <c r="P40" s="269"/>
      <c r="Q40" s="269"/>
      <c r="R40" s="269"/>
      <c r="S40" s="269"/>
      <c r="T40" s="269"/>
      <c r="U40" s="269"/>
      <c r="V40" s="269"/>
      <c r="W40" s="269"/>
      <c r="X40" s="269"/>
      <c r="Y40" s="269"/>
      <c r="Z40" s="269"/>
      <c r="AA40" s="269"/>
      <c r="AB40" s="269"/>
      <c r="AC40" s="269"/>
      <c r="AD40" s="269"/>
      <c r="AE40" s="269"/>
      <c r="AF40" s="269"/>
      <c r="AG40" s="269"/>
      <c r="AH40" s="269"/>
      <c r="AI40" s="269"/>
      <c r="AJ40" s="269"/>
      <c r="AK40" s="269"/>
      <c r="AL40" s="269"/>
      <c r="AM40" s="269"/>
      <c r="AN40" s="269"/>
      <c r="AO40" s="269"/>
      <c r="AP40" s="269"/>
      <c r="AQ40" s="269"/>
      <c r="AR40" s="269"/>
      <c r="AS40" s="269"/>
      <c r="AT40" s="269"/>
      <c r="AU40" s="269"/>
      <c r="AV40" s="269"/>
      <c r="AW40" s="269"/>
      <c r="AX40" s="269"/>
      <c r="AY40" s="269"/>
      <c r="AZ40" s="269"/>
      <c r="BA40" s="269"/>
      <c r="BB40" s="269"/>
      <c r="BC40" s="269"/>
      <c r="BD40" s="269"/>
      <c r="BE40" s="269"/>
      <c r="BF40" s="269"/>
      <c r="BG40" s="269"/>
      <c r="BH40" s="269"/>
      <c r="BI40" s="269"/>
      <c r="BJ40" s="269"/>
      <c r="BK40" s="269"/>
      <c r="BL40" s="269"/>
      <c r="BM40" s="269"/>
      <c r="BN40" s="269"/>
      <c r="BO40" s="269"/>
      <c r="BP40" s="269"/>
      <c r="BQ40" s="269"/>
      <c r="BR40" s="269"/>
      <c r="BS40" s="269"/>
      <c r="BT40" s="269"/>
      <c r="BU40" s="269"/>
      <c r="BV40" s="269"/>
      <c r="BW40" s="269"/>
      <c r="BX40" s="269"/>
      <c r="BY40" s="269"/>
      <c r="BZ40" s="269"/>
      <c r="CA40" s="269"/>
      <c r="CB40" s="269"/>
      <c r="CC40" s="269"/>
      <c r="CD40" s="269"/>
      <c r="CE40" s="269"/>
      <c r="CF40" s="269"/>
      <c r="CG40" s="269"/>
      <c r="CH40" s="269"/>
      <c r="CI40" s="269"/>
      <c r="CJ40" s="269"/>
      <c r="CK40" s="269"/>
      <c r="CL40" s="269"/>
      <c r="CM40" s="269"/>
      <c r="CN40" s="269"/>
      <c r="CO40" s="269"/>
      <c r="CP40" s="269"/>
      <c r="CQ40" s="269"/>
      <c r="CR40" s="269"/>
      <c r="CS40" s="269"/>
      <c r="CT40" s="269"/>
      <c r="CU40" s="269"/>
      <c r="CV40" s="269"/>
      <c r="CW40" s="269"/>
      <c r="CX40" s="269"/>
      <c r="CY40" s="269"/>
      <c r="CZ40" s="269"/>
      <c r="DA40" s="269"/>
      <c r="DB40" s="269"/>
      <c r="DC40" s="269"/>
      <c r="DD40" s="269"/>
      <c r="DE40" s="269"/>
      <c r="DF40" s="269"/>
      <c r="DG40" s="269"/>
      <c r="DH40" s="269"/>
      <c r="DI40" s="269"/>
      <c r="DJ40" s="269"/>
      <c r="DK40" s="269"/>
      <c r="DL40" s="269"/>
      <c r="DM40" s="269"/>
      <c r="DN40" s="269"/>
      <c r="DO40" s="269"/>
      <c r="DP40" s="269"/>
      <c r="DQ40" s="269"/>
      <c r="DR40" s="269"/>
      <c r="DS40" s="269"/>
      <c r="DT40" s="269"/>
      <c r="DU40" s="269"/>
      <c r="DV40" s="269"/>
      <c r="DW40" s="269"/>
      <c r="DX40" s="269"/>
      <c r="DY40" s="269"/>
      <c r="DZ40" s="269"/>
      <c r="EA40" s="269"/>
      <c r="EB40" s="269"/>
      <c r="EC40" s="269"/>
      <c r="ED40" s="269"/>
      <c r="EE40" s="269"/>
      <c r="EF40" s="269"/>
      <c r="EG40" s="269"/>
      <c r="EH40" s="269"/>
      <c r="EI40" s="269"/>
      <c r="EJ40" s="269"/>
      <c r="EK40" s="269"/>
      <c r="EL40" s="269"/>
      <c r="EM40" s="269"/>
      <c r="EN40" s="269"/>
      <c r="EO40" s="269"/>
      <c r="EP40" s="269"/>
      <c r="EQ40" s="269"/>
      <c r="ER40" s="269"/>
      <c r="ES40" s="269"/>
      <c r="ET40" s="269"/>
      <c r="EU40" s="269"/>
      <c r="EV40" s="269"/>
      <c r="EW40" s="269"/>
      <c r="EX40" s="269"/>
      <c r="EY40" s="269"/>
      <c r="EZ40" s="269"/>
      <c r="FA40" s="269"/>
      <c r="FB40" s="269"/>
      <c r="FC40" s="269"/>
      <c r="FD40" s="269"/>
      <c r="FE40" s="269"/>
      <c r="FF40" s="269"/>
      <c r="FG40" s="269"/>
      <c r="FH40" s="269"/>
      <c r="FI40" s="269"/>
      <c r="FJ40" s="269"/>
      <c r="FK40" s="269"/>
      <c r="FL40" s="269"/>
      <c r="FM40" s="269"/>
      <c r="FN40" s="269"/>
      <c r="FO40" s="269"/>
      <c r="FP40" s="269"/>
      <c r="FQ40" s="269"/>
      <c r="FR40" s="269"/>
      <c r="FS40" s="269"/>
      <c r="FT40" s="269"/>
      <c r="FU40" s="269"/>
      <c r="FV40" s="269"/>
      <c r="FW40" s="269"/>
      <c r="FX40" s="269"/>
      <c r="FY40" s="269"/>
      <c r="FZ40" s="269"/>
      <c r="GA40" s="269"/>
      <c r="GB40" s="269"/>
      <c r="GC40" s="269"/>
      <c r="GD40" s="269"/>
      <c r="GE40" s="269"/>
      <c r="GF40" s="269"/>
      <c r="GG40" s="269"/>
      <c r="GH40" s="269"/>
      <c r="GI40" s="269"/>
      <c r="GJ40" s="269"/>
      <c r="GK40" s="269"/>
      <c r="GL40" s="269"/>
      <c r="GM40" s="269"/>
      <c r="GN40" s="269"/>
      <c r="GO40" s="269"/>
      <c r="GP40" s="269"/>
      <c r="GQ40" s="269"/>
      <c r="GR40" s="269"/>
      <c r="GS40" s="269"/>
      <c r="GT40" s="269"/>
      <c r="GU40" s="269"/>
      <c r="GV40" s="269"/>
      <c r="GW40" s="269"/>
      <c r="GX40" s="269"/>
      <c r="GY40" s="269"/>
      <c r="GZ40" s="269"/>
      <c r="HA40" s="269"/>
      <c r="HB40" s="269"/>
      <c r="HC40" s="269"/>
      <c r="HD40" s="269"/>
      <c r="HE40" s="269"/>
      <c r="HF40" s="269"/>
      <c r="HG40" s="269"/>
      <c r="HH40" s="269"/>
      <c r="HI40" s="269"/>
      <c r="HJ40" s="269"/>
      <c r="HK40" s="269"/>
      <c r="HL40" s="269"/>
      <c r="HM40" s="269"/>
      <c r="HN40" s="269"/>
      <c r="HO40" s="269"/>
      <c r="HP40" s="269"/>
      <c r="HQ40" s="269"/>
    </row>
    <row r="41" spans="1:225" s="251" customFormat="1" x14ac:dyDescent="0.25">
      <c r="A41" s="253"/>
      <c r="B41" s="120"/>
      <c r="C41" s="120"/>
      <c r="D41" s="253"/>
      <c r="E41" s="253"/>
      <c r="F41" s="253"/>
      <c r="G41" s="253"/>
      <c r="H41" s="253"/>
      <c r="I41" s="253"/>
      <c r="J41" s="253"/>
      <c r="K41" s="253"/>
      <c r="L41" s="253"/>
      <c r="M41" s="253"/>
      <c r="N41" s="269"/>
      <c r="O41" s="269"/>
      <c r="P41" s="269"/>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69"/>
      <c r="BW41" s="269"/>
      <c r="BX41" s="269"/>
      <c r="BY41" s="269"/>
      <c r="BZ41" s="269"/>
      <c r="CA41" s="269"/>
      <c r="CB41" s="269"/>
      <c r="CC41" s="269"/>
      <c r="CD41" s="269"/>
      <c r="CE41" s="269"/>
      <c r="CF41" s="269"/>
      <c r="CG41" s="269"/>
      <c r="CH41" s="269"/>
      <c r="CI41" s="269"/>
      <c r="CJ41" s="269"/>
      <c r="CK41" s="269"/>
      <c r="CL41" s="269"/>
      <c r="CM41" s="269"/>
      <c r="CN41" s="269"/>
      <c r="CO41" s="269"/>
      <c r="CP41" s="269"/>
      <c r="CQ41" s="269"/>
      <c r="CR41" s="269"/>
      <c r="CS41" s="269"/>
      <c r="CT41" s="269"/>
      <c r="CU41" s="269"/>
      <c r="CV41" s="269"/>
      <c r="CW41" s="269"/>
      <c r="CX41" s="269"/>
      <c r="CY41" s="269"/>
      <c r="CZ41" s="269"/>
      <c r="DA41" s="269"/>
      <c r="DB41" s="269"/>
      <c r="DC41" s="269"/>
      <c r="DD41" s="269"/>
      <c r="DE41" s="269"/>
      <c r="DF41" s="269"/>
      <c r="DG41" s="269"/>
      <c r="DH41" s="269"/>
      <c r="DI41" s="269"/>
      <c r="DJ41" s="269"/>
      <c r="DK41" s="269"/>
      <c r="DL41" s="269"/>
      <c r="DM41" s="269"/>
      <c r="DN41" s="269"/>
      <c r="DO41" s="269"/>
      <c r="DP41" s="269"/>
      <c r="DQ41" s="269"/>
      <c r="DR41" s="269"/>
      <c r="DS41" s="269"/>
      <c r="DT41" s="269"/>
      <c r="DU41" s="269"/>
      <c r="DV41" s="269"/>
      <c r="DW41" s="269"/>
      <c r="DX41" s="269"/>
      <c r="DY41" s="269"/>
      <c r="DZ41" s="269"/>
      <c r="EA41" s="269"/>
      <c r="EB41" s="269"/>
      <c r="EC41" s="269"/>
      <c r="ED41" s="269"/>
      <c r="EE41" s="269"/>
      <c r="EF41" s="269"/>
      <c r="EG41" s="269"/>
      <c r="EH41" s="269"/>
      <c r="EI41" s="269"/>
      <c r="EJ41" s="269"/>
      <c r="EK41" s="269"/>
      <c r="EL41" s="269"/>
      <c r="EM41" s="269"/>
      <c r="EN41" s="269"/>
      <c r="EO41" s="269"/>
      <c r="EP41" s="269"/>
      <c r="EQ41" s="269"/>
      <c r="ER41" s="269"/>
      <c r="ES41" s="269"/>
      <c r="ET41" s="269"/>
      <c r="EU41" s="269"/>
      <c r="EV41" s="269"/>
      <c r="EW41" s="269"/>
      <c r="EX41" s="269"/>
      <c r="EY41" s="269"/>
      <c r="EZ41" s="269"/>
      <c r="FA41" s="269"/>
      <c r="FB41" s="269"/>
      <c r="FC41" s="269"/>
      <c r="FD41" s="269"/>
      <c r="FE41" s="269"/>
      <c r="FF41" s="269"/>
      <c r="FG41" s="269"/>
      <c r="FH41" s="269"/>
      <c r="FI41" s="269"/>
      <c r="FJ41" s="269"/>
      <c r="FK41" s="269"/>
      <c r="FL41" s="269"/>
      <c r="FM41" s="269"/>
      <c r="FN41" s="269"/>
      <c r="FO41" s="269"/>
      <c r="FP41" s="269"/>
      <c r="FQ41" s="269"/>
      <c r="FR41" s="269"/>
      <c r="FS41" s="269"/>
      <c r="FT41" s="269"/>
      <c r="FU41" s="269"/>
      <c r="FV41" s="269"/>
      <c r="FW41" s="269"/>
      <c r="FX41" s="269"/>
      <c r="FY41" s="269"/>
      <c r="FZ41" s="269"/>
      <c r="GA41" s="269"/>
      <c r="GB41" s="269"/>
      <c r="GC41" s="269"/>
      <c r="GD41" s="269"/>
      <c r="GE41" s="269"/>
      <c r="GF41" s="269"/>
      <c r="GG41" s="269"/>
      <c r="GH41" s="269"/>
      <c r="GI41" s="269"/>
      <c r="GJ41" s="269"/>
      <c r="GK41" s="269"/>
      <c r="GL41" s="269"/>
      <c r="GM41" s="269"/>
      <c r="GN41" s="269"/>
      <c r="GO41" s="269"/>
      <c r="GP41" s="269"/>
      <c r="GQ41" s="269"/>
      <c r="GR41" s="269"/>
      <c r="GS41" s="269"/>
      <c r="GT41" s="269"/>
      <c r="GU41" s="269"/>
      <c r="GV41" s="269"/>
      <c r="GW41" s="269"/>
      <c r="GX41" s="269"/>
      <c r="GY41" s="269"/>
      <c r="GZ41" s="269"/>
      <c r="HA41" s="269"/>
      <c r="HB41" s="269"/>
      <c r="HC41" s="269"/>
      <c r="HD41" s="269"/>
      <c r="HE41" s="269"/>
      <c r="HF41" s="269"/>
      <c r="HG41" s="269"/>
      <c r="HH41" s="269"/>
      <c r="HI41" s="269"/>
      <c r="HJ41" s="269"/>
      <c r="HK41" s="269"/>
      <c r="HL41" s="269"/>
      <c r="HM41" s="269"/>
      <c r="HN41" s="269"/>
      <c r="HO41" s="269"/>
      <c r="HP41" s="269"/>
      <c r="HQ41" s="269"/>
    </row>
    <row r="42" spans="1:225" s="251" customFormat="1" x14ac:dyDescent="0.25">
      <c r="A42" s="253"/>
      <c r="B42" s="120"/>
      <c r="C42" s="120"/>
      <c r="D42" s="253"/>
      <c r="E42" s="253"/>
      <c r="F42" s="253"/>
      <c r="G42" s="253"/>
      <c r="H42" s="253"/>
      <c r="I42" s="253"/>
      <c r="J42" s="253"/>
      <c r="K42" s="253"/>
      <c r="L42" s="253"/>
      <c r="M42" s="253"/>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69"/>
      <c r="BW42" s="269"/>
      <c r="BX42" s="269"/>
      <c r="BY42" s="269"/>
      <c r="BZ42" s="269"/>
      <c r="CA42" s="269"/>
      <c r="CB42" s="269"/>
      <c r="CC42" s="269"/>
      <c r="CD42" s="269"/>
      <c r="CE42" s="269"/>
      <c r="CF42" s="269"/>
      <c r="CG42" s="269"/>
      <c r="CH42" s="269"/>
      <c r="CI42" s="269"/>
      <c r="CJ42" s="269"/>
      <c r="CK42" s="269"/>
      <c r="CL42" s="269"/>
      <c r="CM42" s="269"/>
      <c r="CN42" s="269"/>
      <c r="CO42" s="269"/>
      <c r="CP42" s="269"/>
      <c r="CQ42" s="269"/>
      <c r="CR42" s="269"/>
      <c r="CS42" s="269"/>
      <c r="CT42" s="269"/>
      <c r="CU42" s="269"/>
      <c r="CV42" s="269"/>
      <c r="CW42" s="269"/>
      <c r="CX42" s="269"/>
      <c r="CY42" s="269"/>
      <c r="CZ42" s="269"/>
      <c r="DA42" s="269"/>
      <c r="DB42" s="269"/>
      <c r="DC42" s="269"/>
      <c r="DD42" s="269"/>
      <c r="DE42" s="269"/>
      <c r="DF42" s="269"/>
      <c r="DG42" s="269"/>
      <c r="DH42" s="269"/>
      <c r="DI42" s="269"/>
      <c r="DJ42" s="269"/>
      <c r="DK42" s="269"/>
      <c r="DL42" s="269"/>
      <c r="DM42" s="269"/>
      <c r="DN42" s="269"/>
      <c r="DO42" s="269"/>
      <c r="DP42" s="269"/>
      <c r="DQ42" s="269"/>
      <c r="DR42" s="269"/>
      <c r="DS42" s="269"/>
      <c r="DT42" s="269"/>
      <c r="DU42" s="269"/>
      <c r="DV42" s="269"/>
      <c r="DW42" s="269"/>
      <c r="DX42" s="269"/>
      <c r="DY42" s="269"/>
      <c r="DZ42" s="269"/>
      <c r="EA42" s="269"/>
      <c r="EB42" s="269"/>
      <c r="EC42" s="269"/>
      <c r="ED42" s="269"/>
      <c r="EE42" s="269"/>
      <c r="EF42" s="269"/>
      <c r="EG42" s="269"/>
      <c r="EH42" s="269"/>
      <c r="EI42" s="269"/>
      <c r="EJ42" s="269"/>
      <c r="EK42" s="269"/>
      <c r="EL42" s="269"/>
      <c r="EM42" s="269"/>
      <c r="EN42" s="269"/>
      <c r="EO42" s="269"/>
      <c r="EP42" s="269"/>
      <c r="EQ42" s="269"/>
      <c r="ER42" s="269"/>
      <c r="ES42" s="269"/>
      <c r="ET42" s="269"/>
      <c r="EU42" s="269"/>
      <c r="EV42" s="269"/>
      <c r="EW42" s="269"/>
      <c r="EX42" s="269"/>
      <c r="EY42" s="269"/>
      <c r="EZ42" s="269"/>
      <c r="FA42" s="269"/>
      <c r="FB42" s="269"/>
      <c r="FC42" s="269"/>
      <c r="FD42" s="269"/>
      <c r="FE42" s="269"/>
      <c r="FF42" s="269"/>
      <c r="FG42" s="269"/>
      <c r="FH42" s="269"/>
      <c r="FI42" s="269"/>
      <c r="FJ42" s="269"/>
      <c r="FK42" s="269"/>
      <c r="FL42" s="269"/>
      <c r="FM42" s="269"/>
      <c r="FN42" s="269"/>
      <c r="FO42" s="269"/>
      <c r="FP42" s="269"/>
      <c r="FQ42" s="269"/>
      <c r="FR42" s="269"/>
      <c r="FS42" s="269"/>
      <c r="FT42" s="269"/>
      <c r="FU42" s="269"/>
      <c r="FV42" s="269"/>
      <c r="FW42" s="269"/>
      <c r="FX42" s="269"/>
      <c r="FY42" s="269"/>
      <c r="FZ42" s="269"/>
      <c r="GA42" s="269"/>
      <c r="GB42" s="269"/>
      <c r="GC42" s="269"/>
      <c r="GD42" s="269"/>
      <c r="GE42" s="269"/>
      <c r="GF42" s="269"/>
      <c r="GG42" s="269"/>
      <c r="GH42" s="269"/>
      <c r="GI42" s="269"/>
      <c r="GJ42" s="269"/>
      <c r="GK42" s="269"/>
      <c r="GL42" s="269"/>
      <c r="GM42" s="269"/>
      <c r="GN42" s="269"/>
      <c r="GO42" s="269"/>
      <c r="GP42" s="269"/>
      <c r="GQ42" s="269"/>
      <c r="GR42" s="269"/>
      <c r="GS42" s="269"/>
      <c r="GT42" s="269"/>
      <c r="GU42" s="269"/>
      <c r="GV42" s="269"/>
      <c r="GW42" s="269"/>
      <c r="GX42" s="269"/>
      <c r="GY42" s="269"/>
      <c r="GZ42" s="269"/>
      <c r="HA42" s="269"/>
      <c r="HB42" s="269"/>
      <c r="HC42" s="269"/>
      <c r="HD42" s="269"/>
      <c r="HE42" s="269"/>
      <c r="HF42" s="269"/>
      <c r="HG42" s="269"/>
      <c r="HH42" s="269"/>
      <c r="HI42" s="269"/>
      <c r="HJ42" s="269"/>
      <c r="HK42" s="269"/>
      <c r="HL42" s="269"/>
      <c r="HM42" s="269"/>
      <c r="HN42" s="269"/>
      <c r="HO42" s="269"/>
      <c r="HP42" s="269"/>
      <c r="HQ42" s="269"/>
    </row>
    <row r="43" spans="1:225" s="251" customFormat="1" x14ac:dyDescent="0.25">
      <c r="A43" s="253"/>
      <c r="B43" s="120"/>
      <c r="C43" s="120"/>
      <c r="D43" s="253"/>
      <c r="E43" s="253"/>
      <c r="F43" s="253"/>
      <c r="G43" s="253"/>
      <c r="H43" s="253"/>
      <c r="I43" s="253"/>
      <c r="J43" s="253"/>
      <c r="K43" s="253"/>
      <c r="L43" s="253"/>
      <c r="M43" s="253"/>
      <c r="N43" s="269"/>
      <c r="O43" s="269"/>
      <c r="P43" s="269"/>
      <c r="Q43" s="269"/>
      <c r="R43" s="269"/>
      <c r="S43" s="269"/>
      <c r="T43" s="269"/>
      <c r="U43" s="269"/>
      <c r="V43" s="269"/>
      <c r="W43" s="269"/>
      <c r="X43" s="269"/>
      <c r="Y43" s="269"/>
      <c r="Z43" s="269"/>
      <c r="AA43" s="269"/>
      <c r="AB43" s="269"/>
      <c r="AC43" s="269"/>
      <c r="AD43" s="269"/>
      <c r="AE43" s="269"/>
      <c r="AF43" s="269"/>
      <c r="AG43" s="269"/>
      <c r="AH43" s="269"/>
      <c r="AI43" s="269"/>
      <c r="AJ43" s="269"/>
      <c r="AK43" s="269"/>
      <c r="AL43" s="269"/>
      <c r="AM43" s="269"/>
      <c r="AN43" s="269"/>
      <c r="AO43" s="269"/>
      <c r="AP43" s="269"/>
      <c r="AQ43" s="269"/>
      <c r="AR43" s="269"/>
      <c r="AS43" s="269"/>
      <c r="AT43" s="269"/>
      <c r="AU43" s="269"/>
      <c r="AV43" s="269"/>
      <c r="AW43" s="269"/>
      <c r="AX43" s="269"/>
      <c r="AY43" s="269"/>
      <c r="AZ43" s="269"/>
      <c r="BA43" s="269"/>
      <c r="BB43" s="269"/>
      <c r="BC43" s="269"/>
      <c r="BD43" s="269"/>
      <c r="BE43" s="269"/>
      <c r="BF43" s="269"/>
      <c r="BG43" s="269"/>
      <c r="BH43" s="269"/>
      <c r="BI43" s="269"/>
      <c r="BJ43" s="269"/>
      <c r="BK43" s="269"/>
      <c r="BL43" s="269"/>
      <c r="BM43" s="269"/>
      <c r="BN43" s="269"/>
      <c r="BO43" s="269"/>
      <c r="BP43" s="269"/>
      <c r="BQ43" s="269"/>
      <c r="BR43" s="269"/>
      <c r="BS43" s="269"/>
      <c r="BT43" s="269"/>
      <c r="BU43" s="269"/>
      <c r="BV43" s="269"/>
      <c r="BW43" s="269"/>
      <c r="BX43" s="269"/>
      <c r="BY43" s="269"/>
      <c r="BZ43" s="269"/>
      <c r="CA43" s="269"/>
      <c r="CB43" s="269"/>
      <c r="CC43" s="269"/>
      <c r="CD43" s="269"/>
      <c r="CE43" s="269"/>
      <c r="CF43" s="269"/>
      <c r="CG43" s="269"/>
      <c r="CH43" s="269"/>
      <c r="CI43" s="269"/>
      <c r="CJ43" s="269"/>
      <c r="CK43" s="269"/>
      <c r="CL43" s="269"/>
      <c r="CM43" s="269"/>
      <c r="CN43" s="269"/>
      <c r="CO43" s="269"/>
      <c r="CP43" s="269"/>
      <c r="CQ43" s="269"/>
      <c r="CR43" s="269"/>
      <c r="CS43" s="269"/>
      <c r="CT43" s="269"/>
      <c r="CU43" s="269"/>
      <c r="CV43" s="269"/>
      <c r="CW43" s="269"/>
      <c r="CX43" s="269"/>
      <c r="CY43" s="269"/>
      <c r="CZ43" s="269"/>
      <c r="DA43" s="269"/>
      <c r="DB43" s="269"/>
      <c r="DC43" s="269"/>
      <c r="DD43" s="269"/>
      <c r="DE43" s="269"/>
      <c r="DF43" s="269"/>
      <c r="DG43" s="269"/>
      <c r="DH43" s="269"/>
      <c r="DI43" s="269"/>
      <c r="DJ43" s="269"/>
      <c r="DK43" s="269"/>
      <c r="DL43" s="269"/>
      <c r="DM43" s="269"/>
      <c r="DN43" s="269"/>
      <c r="DO43" s="269"/>
      <c r="DP43" s="269"/>
      <c r="DQ43" s="269"/>
      <c r="DR43" s="269"/>
      <c r="DS43" s="269"/>
      <c r="DT43" s="269"/>
      <c r="DU43" s="269"/>
      <c r="DV43" s="269"/>
      <c r="DW43" s="269"/>
      <c r="DX43" s="269"/>
      <c r="DY43" s="269"/>
      <c r="DZ43" s="269"/>
      <c r="EA43" s="269"/>
      <c r="EB43" s="269"/>
      <c r="EC43" s="269"/>
      <c r="ED43" s="269"/>
      <c r="EE43" s="269"/>
      <c r="EF43" s="269"/>
      <c r="EG43" s="269"/>
      <c r="EH43" s="269"/>
      <c r="EI43" s="269"/>
      <c r="EJ43" s="269"/>
      <c r="EK43" s="269"/>
      <c r="EL43" s="269"/>
      <c r="EM43" s="269"/>
      <c r="EN43" s="269"/>
      <c r="EO43" s="269"/>
      <c r="EP43" s="269"/>
      <c r="EQ43" s="269"/>
      <c r="ER43" s="269"/>
      <c r="ES43" s="269"/>
      <c r="ET43" s="269"/>
      <c r="EU43" s="269"/>
      <c r="EV43" s="269"/>
      <c r="EW43" s="269"/>
      <c r="EX43" s="269"/>
      <c r="EY43" s="269"/>
      <c r="EZ43" s="269"/>
      <c r="FA43" s="269"/>
      <c r="FB43" s="269"/>
      <c r="FC43" s="269"/>
      <c r="FD43" s="269"/>
      <c r="FE43" s="269"/>
      <c r="FF43" s="269"/>
      <c r="FG43" s="269"/>
      <c r="FH43" s="269"/>
      <c r="FI43" s="269"/>
      <c r="FJ43" s="269"/>
      <c r="FK43" s="269"/>
      <c r="FL43" s="269"/>
      <c r="FM43" s="269"/>
      <c r="FN43" s="269"/>
      <c r="FO43" s="269"/>
      <c r="FP43" s="269"/>
      <c r="FQ43" s="269"/>
      <c r="FR43" s="269"/>
      <c r="FS43" s="269"/>
      <c r="FT43" s="269"/>
      <c r="FU43" s="269"/>
      <c r="FV43" s="269"/>
      <c r="FW43" s="269"/>
      <c r="FX43" s="269"/>
      <c r="FY43" s="269"/>
      <c r="FZ43" s="269"/>
      <c r="GA43" s="269"/>
      <c r="GB43" s="269"/>
      <c r="GC43" s="269"/>
      <c r="GD43" s="269"/>
      <c r="GE43" s="269"/>
      <c r="GF43" s="269"/>
      <c r="GG43" s="269"/>
      <c r="GH43" s="269"/>
      <c r="GI43" s="269"/>
      <c r="GJ43" s="269"/>
      <c r="GK43" s="269"/>
      <c r="GL43" s="269"/>
      <c r="GM43" s="269"/>
      <c r="GN43" s="269"/>
      <c r="GO43" s="269"/>
      <c r="GP43" s="269"/>
      <c r="GQ43" s="269"/>
      <c r="GR43" s="269"/>
      <c r="GS43" s="269"/>
      <c r="GT43" s="269"/>
      <c r="GU43" s="269"/>
      <c r="GV43" s="269"/>
      <c r="GW43" s="269"/>
      <c r="GX43" s="269"/>
      <c r="GY43" s="269"/>
      <c r="GZ43" s="269"/>
      <c r="HA43" s="269"/>
      <c r="HB43" s="269"/>
      <c r="HC43" s="269"/>
      <c r="HD43" s="269"/>
      <c r="HE43" s="269"/>
      <c r="HF43" s="269"/>
      <c r="HG43" s="269"/>
      <c r="HH43" s="269"/>
      <c r="HI43" s="269"/>
      <c r="HJ43" s="269"/>
      <c r="HK43" s="269"/>
      <c r="HL43" s="269"/>
      <c r="HM43" s="269"/>
      <c r="HN43" s="269"/>
      <c r="HO43" s="269"/>
      <c r="HP43" s="269"/>
      <c r="HQ43" s="269"/>
    </row>
    <row r="44" spans="1:225" s="249" customFormat="1" x14ac:dyDescent="0.25">
      <c r="A44" s="240"/>
      <c r="B44" s="248"/>
      <c r="C44" s="248"/>
      <c r="D44" s="240"/>
      <c r="E44" s="240"/>
      <c r="F44" s="240"/>
      <c r="G44" s="240"/>
      <c r="H44" s="240"/>
      <c r="I44" s="240"/>
      <c r="J44" s="240"/>
      <c r="K44" s="240"/>
      <c r="L44" s="240"/>
      <c r="M44" s="240"/>
      <c r="N44" s="269"/>
      <c r="O44" s="269"/>
      <c r="P44" s="269"/>
      <c r="Q44" s="269"/>
      <c r="R44" s="269"/>
      <c r="S44" s="269"/>
      <c r="T44" s="269"/>
      <c r="U44" s="269"/>
      <c r="V44" s="269"/>
      <c r="W44" s="269"/>
      <c r="X44" s="269"/>
      <c r="Y44" s="269"/>
      <c r="Z44" s="269"/>
      <c r="AA44" s="269"/>
      <c r="AB44" s="269"/>
      <c r="AC44" s="269"/>
      <c r="AD44" s="269"/>
      <c r="AE44" s="269"/>
      <c r="AF44" s="269"/>
      <c r="AG44" s="269"/>
      <c r="AH44" s="269"/>
      <c r="AI44" s="269"/>
      <c r="AJ44" s="269"/>
      <c r="AK44" s="269"/>
      <c r="AL44" s="269"/>
      <c r="AM44" s="269"/>
      <c r="AN44" s="269"/>
      <c r="AO44" s="269"/>
      <c r="AP44" s="269"/>
      <c r="AQ44" s="269"/>
      <c r="AR44" s="269"/>
      <c r="AS44" s="269"/>
      <c r="AT44" s="269"/>
      <c r="AU44" s="269"/>
      <c r="AV44" s="269"/>
      <c r="AW44" s="269"/>
      <c r="AX44" s="269"/>
      <c r="AY44" s="269"/>
      <c r="AZ44" s="269"/>
      <c r="BA44" s="269"/>
      <c r="BB44" s="269"/>
      <c r="BC44" s="269"/>
      <c r="BD44" s="269"/>
      <c r="BE44" s="269"/>
      <c r="BF44" s="269"/>
      <c r="BG44" s="269"/>
      <c r="BH44" s="269"/>
      <c r="BI44" s="269"/>
      <c r="BJ44" s="269"/>
      <c r="BK44" s="269"/>
      <c r="BL44" s="269"/>
      <c r="BM44" s="269"/>
      <c r="BN44" s="269"/>
      <c r="BO44" s="269"/>
      <c r="BP44" s="269"/>
      <c r="BQ44" s="269"/>
      <c r="BR44" s="269"/>
      <c r="BS44" s="269"/>
      <c r="BT44" s="269"/>
      <c r="BU44" s="269"/>
      <c r="BV44" s="269"/>
      <c r="BW44" s="269"/>
      <c r="BX44" s="269"/>
      <c r="BY44" s="269"/>
      <c r="BZ44" s="269"/>
      <c r="CA44" s="269"/>
      <c r="CB44" s="269"/>
      <c r="CC44" s="269"/>
      <c r="CD44" s="269"/>
      <c r="CE44" s="269"/>
      <c r="CF44" s="269"/>
      <c r="CG44" s="269"/>
      <c r="CH44" s="269"/>
      <c r="CI44" s="269"/>
      <c r="CJ44" s="269"/>
      <c r="CK44" s="269"/>
      <c r="CL44" s="269"/>
      <c r="CM44" s="269"/>
      <c r="CN44" s="269"/>
      <c r="CO44" s="269"/>
      <c r="CP44" s="269"/>
      <c r="CQ44" s="269"/>
      <c r="CR44" s="269"/>
      <c r="CS44" s="269"/>
      <c r="CT44" s="269"/>
      <c r="CU44" s="269"/>
      <c r="CV44" s="269"/>
      <c r="CW44" s="269"/>
      <c r="CX44" s="269"/>
      <c r="CY44" s="269"/>
      <c r="CZ44" s="269"/>
      <c r="DA44" s="269"/>
      <c r="DB44" s="269"/>
      <c r="DC44" s="269"/>
      <c r="DD44" s="269"/>
      <c r="DE44" s="269"/>
      <c r="DF44" s="269"/>
      <c r="DG44" s="269"/>
      <c r="DH44" s="269"/>
      <c r="DI44" s="269"/>
      <c r="DJ44" s="269"/>
      <c r="DK44" s="269"/>
      <c r="DL44" s="269"/>
      <c r="DM44" s="269"/>
      <c r="DN44" s="269"/>
      <c r="DO44" s="269"/>
      <c r="DP44" s="269"/>
      <c r="DQ44" s="269"/>
      <c r="DR44" s="269"/>
      <c r="DS44" s="269"/>
      <c r="DT44" s="269"/>
      <c r="DU44" s="269"/>
      <c r="DV44" s="269"/>
      <c r="DW44" s="269"/>
      <c r="DX44" s="269"/>
      <c r="DY44" s="269"/>
      <c r="DZ44" s="269"/>
      <c r="EA44" s="269"/>
      <c r="EB44" s="269"/>
      <c r="EC44" s="269"/>
      <c r="ED44" s="269"/>
      <c r="EE44" s="269"/>
      <c r="EF44" s="269"/>
      <c r="EG44" s="269"/>
      <c r="EH44" s="269"/>
      <c r="EI44" s="269"/>
      <c r="EJ44" s="269"/>
      <c r="EK44" s="269"/>
      <c r="EL44" s="269"/>
      <c r="EM44" s="269"/>
      <c r="EN44" s="269"/>
      <c r="EO44" s="269"/>
      <c r="EP44" s="269"/>
      <c r="EQ44" s="269"/>
      <c r="ER44" s="269"/>
      <c r="ES44" s="269"/>
      <c r="ET44" s="269"/>
      <c r="EU44" s="269"/>
      <c r="EV44" s="269"/>
      <c r="EW44" s="269"/>
      <c r="EX44" s="269"/>
      <c r="EY44" s="269"/>
      <c r="EZ44" s="269"/>
      <c r="FA44" s="269"/>
      <c r="FB44" s="269"/>
      <c r="FC44" s="269"/>
      <c r="FD44" s="269"/>
      <c r="FE44" s="269"/>
      <c r="FF44" s="269"/>
      <c r="FG44" s="269"/>
      <c r="FH44" s="269"/>
      <c r="FI44" s="269"/>
      <c r="FJ44" s="269"/>
      <c r="FK44" s="269"/>
      <c r="FL44" s="269"/>
      <c r="FM44" s="269"/>
      <c r="FN44" s="269"/>
      <c r="FO44" s="269"/>
      <c r="FP44" s="269"/>
      <c r="FQ44" s="269"/>
      <c r="FR44" s="269"/>
      <c r="FS44" s="269"/>
      <c r="FT44" s="269"/>
      <c r="FU44" s="269"/>
      <c r="FV44" s="269"/>
      <c r="FW44" s="269"/>
      <c r="FX44" s="269"/>
      <c r="FY44" s="269"/>
      <c r="FZ44" s="269"/>
      <c r="GA44" s="269"/>
      <c r="GB44" s="269"/>
      <c r="GC44" s="269"/>
      <c r="GD44" s="269"/>
      <c r="GE44" s="269"/>
      <c r="GF44" s="269"/>
      <c r="GG44" s="269"/>
      <c r="GH44" s="269"/>
      <c r="GI44" s="269"/>
      <c r="GJ44" s="269"/>
      <c r="GK44" s="269"/>
      <c r="GL44" s="269"/>
      <c r="GM44" s="269"/>
      <c r="GN44" s="269"/>
      <c r="GO44" s="269"/>
      <c r="GP44" s="269"/>
      <c r="GQ44" s="269"/>
      <c r="GR44" s="269"/>
      <c r="GS44" s="269"/>
      <c r="GT44" s="269"/>
      <c r="GU44" s="269"/>
      <c r="GV44" s="269"/>
      <c r="GW44" s="269"/>
      <c r="GX44" s="269"/>
      <c r="GY44" s="269"/>
      <c r="GZ44" s="269"/>
      <c r="HA44" s="269"/>
      <c r="HB44" s="269"/>
      <c r="HC44" s="269"/>
      <c r="HD44" s="269"/>
      <c r="HE44" s="269"/>
      <c r="HF44" s="269"/>
      <c r="HG44" s="269"/>
      <c r="HH44" s="269"/>
      <c r="HI44" s="269"/>
      <c r="HJ44" s="269"/>
      <c r="HK44" s="269"/>
      <c r="HL44" s="269"/>
      <c r="HM44" s="269"/>
      <c r="HN44" s="269"/>
      <c r="HO44" s="269"/>
      <c r="HP44" s="269"/>
      <c r="HQ44" s="269"/>
    </row>
    <row r="45" spans="1:225" s="249" customFormat="1" x14ac:dyDescent="0.25">
      <c r="A45" s="240"/>
      <c r="B45" s="248"/>
      <c r="C45" s="248"/>
      <c r="D45" s="240"/>
      <c r="E45" s="240"/>
      <c r="F45" s="240"/>
      <c r="G45" s="240"/>
      <c r="H45" s="240"/>
      <c r="I45" s="240"/>
      <c r="J45" s="240"/>
      <c r="K45" s="240"/>
      <c r="L45" s="240"/>
      <c r="M45" s="240"/>
      <c r="N45" s="269"/>
      <c r="O45" s="269"/>
      <c r="P45" s="269"/>
      <c r="Q45" s="269"/>
      <c r="R45" s="269"/>
      <c r="S45" s="269"/>
      <c r="T45" s="269"/>
      <c r="U45" s="269"/>
      <c r="V45" s="269"/>
      <c r="W45" s="269"/>
      <c r="X45" s="269"/>
      <c r="Y45" s="269"/>
      <c r="Z45" s="269"/>
      <c r="AA45" s="269"/>
      <c r="AB45" s="269"/>
      <c r="AC45" s="269"/>
      <c r="AD45" s="269"/>
      <c r="AE45" s="269"/>
      <c r="AF45" s="269"/>
      <c r="AG45" s="269"/>
      <c r="AH45" s="269"/>
      <c r="AI45" s="269"/>
      <c r="AJ45" s="269"/>
      <c r="AK45" s="269"/>
      <c r="AL45" s="269"/>
      <c r="AM45" s="269"/>
      <c r="AN45" s="269"/>
      <c r="AO45" s="269"/>
      <c r="AP45" s="269"/>
      <c r="AQ45" s="269"/>
      <c r="AR45" s="269"/>
      <c r="AS45" s="269"/>
      <c r="AT45" s="269"/>
      <c r="AU45" s="269"/>
      <c r="AV45" s="269"/>
      <c r="AW45" s="269"/>
      <c r="AX45" s="269"/>
      <c r="AY45" s="269"/>
      <c r="AZ45" s="269"/>
      <c r="BA45" s="269"/>
      <c r="BB45" s="269"/>
      <c r="BC45" s="269"/>
      <c r="BD45" s="269"/>
      <c r="BE45" s="269"/>
      <c r="BF45" s="269"/>
      <c r="BG45" s="269"/>
      <c r="BH45" s="269"/>
      <c r="BI45" s="269"/>
      <c r="BJ45" s="269"/>
      <c r="BK45" s="269"/>
      <c r="BL45" s="269"/>
      <c r="BM45" s="269"/>
      <c r="BN45" s="269"/>
      <c r="BO45" s="269"/>
      <c r="BP45" s="269"/>
      <c r="BQ45" s="269"/>
      <c r="BR45" s="269"/>
      <c r="BS45" s="269"/>
      <c r="BT45" s="269"/>
      <c r="BU45" s="269"/>
      <c r="BV45" s="269"/>
      <c r="BW45" s="269"/>
      <c r="BX45" s="269"/>
      <c r="BY45" s="269"/>
      <c r="BZ45" s="269"/>
      <c r="CA45" s="269"/>
      <c r="CB45" s="269"/>
      <c r="CC45" s="269"/>
      <c r="CD45" s="269"/>
      <c r="CE45" s="269"/>
      <c r="CF45" s="269"/>
      <c r="CG45" s="269"/>
      <c r="CH45" s="269"/>
      <c r="CI45" s="269"/>
      <c r="CJ45" s="269"/>
      <c r="CK45" s="269"/>
      <c r="CL45" s="269"/>
      <c r="CM45" s="269"/>
      <c r="CN45" s="269"/>
      <c r="CO45" s="269"/>
      <c r="CP45" s="269"/>
      <c r="CQ45" s="269"/>
      <c r="CR45" s="269"/>
      <c r="CS45" s="269"/>
      <c r="CT45" s="269"/>
      <c r="CU45" s="269"/>
      <c r="CV45" s="269"/>
      <c r="CW45" s="269"/>
      <c r="CX45" s="269"/>
      <c r="CY45" s="269"/>
      <c r="CZ45" s="269"/>
      <c r="DA45" s="269"/>
      <c r="DB45" s="269"/>
      <c r="DC45" s="269"/>
      <c r="DD45" s="269"/>
      <c r="DE45" s="269"/>
      <c r="DF45" s="269"/>
      <c r="DG45" s="269"/>
      <c r="DH45" s="269"/>
      <c r="DI45" s="269"/>
      <c r="DJ45" s="269"/>
      <c r="DK45" s="269"/>
      <c r="DL45" s="269"/>
      <c r="DM45" s="269"/>
      <c r="DN45" s="269"/>
      <c r="DO45" s="269"/>
      <c r="DP45" s="269"/>
      <c r="DQ45" s="269"/>
      <c r="DR45" s="269"/>
      <c r="DS45" s="269"/>
      <c r="DT45" s="269"/>
      <c r="DU45" s="269"/>
      <c r="DV45" s="269"/>
      <c r="DW45" s="269"/>
      <c r="DX45" s="269"/>
      <c r="DY45" s="269"/>
      <c r="DZ45" s="269"/>
      <c r="EA45" s="269"/>
      <c r="EB45" s="269"/>
      <c r="EC45" s="269"/>
      <c r="ED45" s="269"/>
      <c r="EE45" s="269"/>
      <c r="EF45" s="269"/>
      <c r="EG45" s="269"/>
      <c r="EH45" s="269"/>
      <c r="EI45" s="269"/>
      <c r="EJ45" s="269"/>
      <c r="EK45" s="269"/>
      <c r="EL45" s="269"/>
      <c r="EM45" s="269"/>
      <c r="EN45" s="269"/>
      <c r="EO45" s="269"/>
      <c r="EP45" s="269"/>
      <c r="EQ45" s="269"/>
      <c r="ER45" s="269"/>
      <c r="ES45" s="269"/>
      <c r="ET45" s="269"/>
      <c r="EU45" s="269"/>
      <c r="EV45" s="269"/>
      <c r="EW45" s="269"/>
      <c r="EX45" s="269"/>
      <c r="EY45" s="269"/>
      <c r="EZ45" s="269"/>
      <c r="FA45" s="269"/>
      <c r="FB45" s="269"/>
      <c r="FC45" s="269"/>
      <c r="FD45" s="269"/>
      <c r="FE45" s="269"/>
      <c r="FF45" s="269"/>
      <c r="FG45" s="269"/>
      <c r="FH45" s="269"/>
      <c r="FI45" s="269"/>
      <c r="FJ45" s="269"/>
      <c r="FK45" s="269"/>
      <c r="FL45" s="269"/>
      <c r="FM45" s="269"/>
      <c r="FN45" s="269"/>
      <c r="FO45" s="269"/>
      <c r="FP45" s="269"/>
      <c r="FQ45" s="269"/>
      <c r="FR45" s="269"/>
      <c r="FS45" s="269"/>
      <c r="FT45" s="269"/>
      <c r="FU45" s="269"/>
      <c r="FV45" s="269"/>
      <c r="FW45" s="269"/>
      <c r="FX45" s="269"/>
      <c r="FY45" s="269"/>
      <c r="FZ45" s="269"/>
      <c r="GA45" s="269"/>
      <c r="GB45" s="269"/>
      <c r="GC45" s="269"/>
      <c r="GD45" s="269"/>
      <c r="GE45" s="269"/>
      <c r="GF45" s="269"/>
      <c r="GG45" s="269"/>
      <c r="GH45" s="269"/>
      <c r="GI45" s="269"/>
      <c r="GJ45" s="269"/>
      <c r="GK45" s="269"/>
      <c r="GL45" s="269"/>
      <c r="GM45" s="269"/>
      <c r="GN45" s="269"/>
      <c r="GO45" s="269"/>
      <c r="GP45" s="269"/>
      <c r="GQ45" s="269"/>
      <c r="GR45" s="269"/>
      <c r="GS45" s="269"/>
      <c r="GT45" s="269"/>
      <c r="GU45" s="269"/>
      <c r="GV45" s="269"/>
      <c r="GW45" s="269"/>
      <c r="GX45" s="269"/>
      <c r="GY45" s="269"/>
      <c r="GZ45" s="269"/>
      <c r="HA45" s="269"/>
      <c r="HB45" s="269"/>
      <c r="HC45" s="269"/>
      <c r="HD45" s="269"/>
      <c r="HE45" s="269"/>
      <c r="HF45" s="269"/>
      <c r="HG45" s="269"/>
      <c r="HH45" s="269"/>
      <c r="HI45" s="269"/>
      <c r="HJ45" s="269"/>
      <c r="HK45" s="269"/>
      <c r="HL45" s="269"/>
      <c r="HM45" s="269"/>
      <c r="HN45" s="269"/>
      <c r="HO45" s="269"/>
      <c r="HP45" s="269"/>
      <c r="HQ45" s="269"/>
    </row>
    <row r="46" spans="1:225" s="251" customFormat="1" x14ac:dyDescent="0.25">
      <c r="A46" s="253"/>
      <c r="B46" s="120"/>
      <c r="C46" s="120"/>
      <c r="D46" s="253"/>
      <c r="E46" s="253"/>
      <c r="F46" s="253"/>
      <c r="G46" s="253"/>
      <c r="H46" s="253"/>
      <c r="I46" s="253"/>
      <c r="J46" s="253"/>
      <c r="K46" s="253"/>
      <c r="L46" s="253"/>
      <c r="M46" s="253"/>
      <c r="N46" s="269"/>
      <c r="O46" s="269"/>
      <c r="P46" s="269"/>
      <c r="Q46" s="269"/>
      <c r="R46" s="269"/>
      <c r="S46" s="269"/>
      <c r="T46" s="269"/>
      <c r="U46" s="269"/>
      <c r="V46" s="269"/>
      <c r="W46" s="269"/>
      <c r="X46" s="269"/>
      <c r="Y46" s="269"/>
      <c r="Z46" s="269"/>
      <c r="AA46" s="269"/>
      <c r="AB46" s="269"/>
      <c r="AC46" s="269"/>
      <c r="AD46" s="269"/>
      <c r="AE46" s="269"/>
      <c r="AF46" s="269"/>
      <c r="AG46" s="269"/>
      <c r="AH46" s="269"/>
      <c r="AI46" s="269"/>
      <c r="AJ46" s="269"/>
      <c r="AK46" s="269"/>
      <c r="AL46" s="269"/>
      <c r="AM46" s="269"/>
      <c r="AN46" s="269"/>
      <c r="AO46" s="269"/>
      <c r="AP46" s="269"/>
      <c r="AQ46" s="269"/>
      <c r="AR46" s="269"/>
      <c r="AS46" s="269"/>
      <c r="AT46" s="269"/>
      <c r="AU46" s="269"/>
      <c r="AV46" s="269"/>
      <c r="AW46" s="269"/>
      <c r="AX46" s="269"/>
      <c r="AY46" s="269"/>
      <c r="AZ46" s="269"/>
      <c r="BA46" s="269"/>
      <c r="BB46" s="269"/>
      <c r="BC46" s="269"/>
      <c r="BD46" s="269"/>
      <c r="BE46" s="269"/>
      <c r="BF46" s="269"/>
      <c r="BG46" s="269"/>
      <c r="BH46" s="269"/>
      <c r="BI46" s="269"/>
      <c r="BJ46" s="269"/>
      <c r="BK46" s="269"/>
      <c r="BL46" s="269"/>
      <c r="BM46" s="269"/>
      <c r="BN46" s="269"/>
      <c r="BO46" s="269"/>
      <c r="BP46" s="269"/>
      <c r="BQ46" s="269"/>
      <c r="BR46" s="269"/>
      <c r="BS46" s="269"/>
      <c r="BT46" s="269"/>
      <c r="BU46" s="269"/>
      <c r="BV46" s="269"/>
      <c r="BW46" s="269"/>
      <c r="BX46" s="269"/>
      <c r="BY46" s="269"/>
      <c r="BZ46" s="269"/>
      <c r="CA46" s="269"/>
      <c r="CB46" s="269"/>
      <c r="CC46" s="269"/>
      <c r="CD46" s="269"/>
      <c r="CE46" s="269"/>
      <c r="CF46" s="269"/>
      <c r="CG46" s="269"/>
      <c r="CH46" s="269"/>
      <c r="CI46" s="269"/>
      <c r="CJ46" s="269"/>
      <c r="CK46" s="269"/>
      <c r="CL46" s="269"/>
      <c r="CM46" s="269"/>
      <c r="CN46" s="269"/>
      <c r="CO46" s="269"/>
      <c r="CP46" s="269"/>
      <c r="CQ46" s="269"/>
      <c r="CR46" s="269"/>
      <c r="CS46" s="269"/>
      <c r="CT46" s="269"/>
      <c r="CU46" s="269"/>
      <c r="CV46" s="269"/>
      <c r="CW46" s="269"/>
      <c r="CX46" s="269"/>
      <c r="CY46" s="269"/>
      <c r="CZ46" s="269"/>
      <c r="DA46" s="269"/>
      <c r="DB46" s="269"/>
      <c r="DC46" s="269"/>
      <c r="DD46" s="269"/>
      <c r="DE46" s="269"/>
      <c r="DF46" s="269"/>
      <c r="DG46" s="269"/>
      <c r="DH46" s="269"/>
      <c r="DI46" s="269"/>
      <c r="DJ46" s="269"/>
      <c r="DK46" s="269"/>
      <c r="DL46" s="269"/>
      <c r="DM46" s="269"/>
      <c r="DN46" s="269"/>
      <c r="DO46" s="269"/>
      <c r="DP46" s="269"/>
      <c r="DQ46" s="269"/>
      <c r="DR46" s="269"/>
      <c r="DS46" s="269"/>
      <c r="DT46" s="269"/>
      <c r="DU46" s="269"/>
      <c r="DV46" s="269"/>
      <c r="DW46" s="269"/>
      <c r="DX46" s="269"/>
      <c r="DY46" s="269"/>
      <c r="DZ46" s="269"/>
      <c r="EA46" s="269"/>
      <c r="EB46" s="269"/>
      <c r="EC46" s="269"/>
      <c r="ED46" s="269"/>
      <c r="EE46" s="269"/>
      <c r="EF46" s="269"/>
      <c r="EG46" s="269"/>
      <c r="EH46" s="269"/>
      <c r="EI46" s="269"/>
      <c r="EJ46" s="269"/>
      <c r="EK46" s="269"/>
      <c r="EL46" s="269"/>
      <c r="EM46" s="269"/>
      <c r="EN46" s="269"/>
      <c r="EO46" s="269"/>
      <c r="EP46" s="269"/>
      <c r="EQ46" s="269"/>
      <c r="ER46" s="269"/>
      <c r="ES46" s="269"/>
      <c r="ET46" s="269"/>
      <c r="EU46" s="269"/>
      <c r="EV46" s="269"/>
      <c r="EW46" s="269"/>
      <c r="EX46" s="269"/>
      <c r="EY46" s="269"/>
      <c r="EZ46" s="269"/>
      <c r="FA46" s="269"/>
      <c r="FB46" s="269"/>
      <c r="FC46" s="269"/>
      <c r="FD46" s="269"/>
      <c r="FE46" s="269"/>
      <c r="FF46" s="269"/>
      <c r="FG46" s="269"/>
      <c r="FH46" s="269"/>
      <c r="FI46" s="269"/>
      <c r="FJ46" s="269"/>
      <c r="FK46" s="269"/>
      <c r="FL46" s="269"/>
      <c r="FM46" s="269"/>
      <c r="FN46" s="269"/>
      <c r="FO46" s="269"/>
      <c r="FP46" s="269"/>
      <c r="FQ46" s="269"/>
      <c r="FR46" s="269"/>
      <c r="FS46" s="269"/>
      <c r="FT46" s="269"/>
      <c r="FU46" s="269"/>
      <c r="FV46" s="269"/>
      <c r="FW46" s="269"/>
      <c r="FX46" s="269"/>
      <c r="FY46" s="269"/>
      <c r="FZ46" s="269"/>
      <c r="GA46" s="269"/>
      <c r="GB46" s="269"/>
      <c r="GC46" s="269"/>
      <c r="GD46" s="269"/>
      <c r="GE46" s="269"/>
      <c r="GF46" s="269"/>
      <c r="GG46" s="269"/>
      <c r="GH46" s="269"/>
      <c r="GI46" s="269"/>
      <c r="GJ46" s="269"/>
      <c r="GK46" s="269"/>
      <c r="GL46" s="269"/>
      <c r="GM46" s="269"/>
      <c r="GN46" s="269"/>
      <c r="GO46" s="269"/>
      <c r="GP46" s="269"/>
      <c r="GQ46" s="269"/>
      <c r="GR46" s="269"/>
      <c r="GS46" s="269"/>
      <c r="GT46" s="269"/>
      <c r="GU46" s="269"/>
      <c r="GV46" s="269"/>
      <c r="GW46" s="269"/>
      <c r="GX46" s="269"/>
      <c r="GY46" s="269"/>
      <c r="GZ46" s="269"/>
      <c r="HA46" s="269"/>
      <c r="HB46" s="269"/>
      <c r="HC46" s="269"/>
      <c r="HD46" s="269"/>
      <c r="HE46" s="269"/>
      <c r="HF46" s="269"/>
      <c r="HG46" s="269"/>
      <c r="HH46" s="269"/>
      <c r="HI46" s="269"/>
      <c r="HJ46" s="269"/>
      <c r="HK46" s="269"/>
      <c r="HL46" s="269"/>
      <c r="HM46" s="269"/>
      <c r="HN46" s="269"/>
      <c r="HO46" s="269"/>
      <c r="HP46" s="269"/>
      <c r="HQ46" s="269"/>
    </row>
    <row r="47" spans="1:225" x14ac:dyDescent="0.25">
      <c r="N47" s="269"/>
      <c r="O47" s="269"/>
      <c r="P47" s="269"/>
      <c r="Q47" s="269"/>
      <c r="R47" s="269"/>
      <c r="S47" s="269"/>
      <c r="T47" s="269"/>
      <c r="U47" s="269"/>
      <c r="V47" s="269"/>
      <c r="W47" s="269"/>
      <c r="X47" s="269"/>
      <c r="Y47" s="269"/>
      <c r="Z47" s="269"/>
      <c r="AA47" s="269"/>
      <c r="AB47" s="269"/>
      <c r="AC47" s="269"/>
      <c r="AD47" s="269"/>
      <c r="AE47" s="269"/>
      <c r="AF47" s="269"/>
      <c r="AG47" s="269"/>
      <c r="AH47" s="269"/>
      <c r="AI47" s="269"/>
      <c r="AJ47" s="269"/>
      <c r="AK47" s="269"/>
      <c r="AL47" s="269"/>
      <c r="AM47" s="269"/>
      <c r="AN47" s="269"/>
      <c r="AO47" s="269"/>
      <c r="AP47" s="269"/>
      <c r="AQ47" s="269"/>
      <c r="AR47" s="269"/>
      <c r="AS47" s="269"/>
      <c r="AT47" s="269"/>
      <c r="AU47" s="269"/>
      <c r="AV47" s="269"/>
      <c r="AW47" s="269"/>
      <c r="AX47" s="269"/>
      <c r="AY47" s="269"/>
      <c r="AZ47" s="269"/>
      <c r="BA47" s="269"/>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5" tint="0.59999389629810485"/>
  </sheetPr>
  <dimension ref="A1:B57"/>
  <sheetViews>
    <sheetView zoomScaleNormal="100" workbookViewId="0">
      <selection activeCell="B38" sqref="B38"/>
    </sheetView>
  </sheetViews>
  <sheetFormatPr defaultRowHeight="15" x14ac:dyDescent="0.25"/>
  <cols>
    <col min="1" max="1" width="71.5703125" customWidth="1"/>
    <col min="2" max="2" width="43.5703125" customWidth="1"/>
    <col min="3" max="3" width="47.7109375" customWidth="1"/>
    <col min="5" max="5" width="29.140625" customWidth="1"/>
    <col min="7" max="7" width="34.5703125" customWidth="1"/>
  </cols>
  <sheetData>
    <row r="1" spans="1:2" x14ac:dyDescent="0.25">
      <c r="A1" s="319" t="s">
        <v>264</v>
      </c>
      <c r="B1" s="320" t="s">
        <v>228</v>
      </c>
    </row>
    <row r="2" spans="1:2" ht="15.75" thickBot="1" x14ac:dyDescent="0.3">
      <c r="A2" s="321" t="s">
        <v>239</v>
      </c>
      <c r="B2" s="322" t="s">
        <v>227</v>
      </c>
    </row>
    <row r="3" spans="1:2" x14ac:dyDescent="0.25">
      <c r="A3" s="317" t="s">
        <v>219</v>
      </c>
      <c r="B3" s="318"/>
    </row>
    <row r="4" spans="1:2" x14ac:dyDescent="0.25">
      <c r="A4" s="316" t="s">
        <v>220</v>
      </c>
      <c r="B4" s="318"/>
    </row>
    <row r="5" spans="1:2" x14ac:dyDescent="0.25">
      <c r="A5" s="316" t="s">
        <v>221</v>
      </c>
      <c r="B5" s="318"/>
    </row>
    <row r="6" spans="1:2" x14ac:dyDescent="0.25">
      <c r="A6" s="316" t="s">
        <v>222</v>
      </c>
      <c r="B6" s="318"/>
    </row>
    <row r="7" spans="1:2" x14ac:dyDescent="0.25">
      <c r="A7" s="316" t="s">
        <v>223</v>
      </c>
      <c r="B7" s="318"/>
    </row>
    <row r="8" spans="1:2" x14ac:dyDescent="0.25">
      <c r="A8" s="316" t="s">
        <v>224</v>
      </c>
      <c r="B8" s="318"/>
    </row>
    <row r="9" spans="1:2" x14ac:dyDescent="0.25">
      <c r="A9" s="316" t="s">
        <v>225</v>
      </c>
      <c r="B9" s="318"/>
    </row>
    <row r="10" spans="1:2" x14ac:dyDescent="0.25">
      <c r="A10" s="316" t="s">
        <v>226</v>
      </c>
      <c r="B10" s="318"/>
    </row>
    <row r="12" spans="1:2" ht="45" x14ac:dyDescent="0.25">
      <c r="A12" s="324" t="s">
        <v>240</v>
      </c>
    </row>
    <row r="13" spans="1:2" x14ac:dyDescent="0.25">
      <c r="A13" s="323" t="s">
        <v>229</v>
      </c>
    </row>
    <row r="14" spans="1:2" x14ac:dyDescent="0.25">
      <c r="A14" s="323" t="s">
        <v>230</v>
      </c>
    </row>
    <row r="22" ht="15.75" hidden="1" customHeight="1" x14ac:dyDescent="0.25"/>
    <row r="26" ht="15.75" hidden="1" customHeight="1" x14ac:dyDescent="0.25"/>
    <row r="27" ht="15.75" hidden="1" customHeight="1" x14ac:dyDescent="0.25"/>
    <row r="36" ht="15.75" hidden="1" customHeight="1" x14ac:dyDescent="0.25"/>
    <row r="37" ht="15.75" hidden="1" customHeight="1" x14ac:dyDescent="0.25"/>
    <row r="41" ht="15.75" hidden="1" customHeight="1" x14ac:dyDescent="0.25"/>
    <row r="42" ht="15.75" hidden="1" customHeight="1" x14ac:dyDescent="0.25"/>
    <row r="56" ht="15.75" hidden="1" customHeight="1" x14ac:dyDescent="0.25"/>
    <row r="57" ht="15.75" hidden="1" customHeight="1" x14ac:dyDescent="0.25"/>
  </sheetData>
  <dataValidations count="1">
    <dataValidation type="list" allowBlank="1" showInputMessage="1" showErrorMessage="1" sqref="B3:B10" xr:uid="{00000000-0002-0000-0400-000000000000}"/>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O42"/>
  <sheetViews>
    <sheetView zoomScaleNormal="100" workbookViewId="0">
      <selection activeCell="B13" sqref="B13"/>
    </sheetView>
  </sheetViews>
  <sheetFormatPr defaultRowHeight="15" x14ac:dyDescent="0.25"/>
  <cols>
    <col min="1" max="1" width="7.28515625" customWidth="1"/>
    <col min="2" max="2" width="81.7109375" bestFit="1" customWidth="1"/>
    <col min="3" max="3" width="76.42578125" customWidth="1"/>
    <col min="4" max="4" width="19" customWidth="1"/>
    <col min="5" max="9" width="21.140625" customWidth="1"/>
    <col min="14" max="14" width="24.5703125" bestFit="1" customWidth="1"/>
    <col min="15" max="15" width="24.42578125" bestFit="1" customWidth="1"/>
  </cols>
  <sheetData>
    <row r="1" spans="1:15" x14ac:dyDescent="0.25">
      <c r="A1" s="94" t="s">
        <v>61</v>
      </c>
      <c r="B1" s="94" t="s">
        <v>62</v>
      </c>
      <c r="C1" s="94" t="s">
        <v>247</v>
      </c>
      <c r="D1" s="344" t="s">
        <v>92</v>
      </c>
      <c r="E1" s="94" t="s">
        <v>144</v>
      </c>
      <c r="F1" s="94" t="s">
        <v>145</v>
      </c>
      <c r="G1" s="94" t="s">
        <v>146</v>
      </c>
      <c r="H1" s="94" t="s">
        <v>147</v>
      </c>
      <c r="I1" s="94" t="s">
        <v>189</v>
      </c>
      <c r="K1" s="95" t="s">
        <v>12</v>
      </c>
      <c r="L1" s="95" t="s">
        <v>63</v>
      </c>
      <c r="N1" s="96" t="s">
        <v>64</v>
      </c>
      <c r="O1" s="96" t="s">
        <v>65</v>
      </c>
    </row>
    <row r="2" spans="1:15" x14ac:dyDescent="0.25">
      <c r="A2" s="97">
        <v>1</v>
      </c>
      <c r="B2" s="239" t="s">
        <v>265</v>
      </c>
      <c r="C2" s="340">
        <v>51.94</v>
      </c>
      <c r="D2" s="343"/>
      <c r="E2" s="343"/>
      <c r="F2" s="343"/>
      <c r="G2" s="343"/>
      <c r="H2" s="343"/>
      <c r="I2" s="343"/>
      <c r="K2" s="95" t="s">
        <v>66</v>
      </c>
      <c r="L2" s="95" t="s">
        <v>67</v>
      </c>
      <c r="N2" s="98">
        <v>9</v>
      </c>
      <c r="O2" s="96">
        <v>21</v>
      </c>
    </row>
    <row r="3" spans="1:15" x14ac:dyDescent="0.25">
      <c r="A3" s="97">
        <f>A2+1</f>
        <v>2</v>
      </c>
      <c r="B3" s="238" t="s">
        <v>252</v>
      </c>
      <c r="C3" s="340">
        <v>35.409999999999997</v>
      </c>
      <c r="D3" s="343"/>
      <c r="E3" s="343"/>
      <c r="F3" s="343"/>
      <c r="G3" s="343"/>
      <c r="H3" s="343"/>
      <c r="I3" s="343"/>
      <c r="K3" s="95" t="s">
        <v>68</v>
      </c>
      <c r="L3" s="95" t="s">
        <v>69</v>
      </c>
    </row>
    <row r="4" spans="1:15" x14ac:dyDescent="0.25">
      <c r="A4" s="343">
        <f t="shared" ref="A4:A18" si="0">A3+1</f>
        <v>3</v>
      </c>
      <c r="B4" s="239" t="s">
        <v>253</v>
      </c>
      <c r="C4" s="340">
        <v>51.94</v>
      </c>
      <c r="D4" s="343"/>
      <c r="E4" s="343"/>
      <c r="F4" s="343"/>
      <c r="G4" s="343"/>
      <c r="H4" s="343"/>
      <c r="I4" s="343"/>
      <c r="K4" s="102" t="s">
        <v>79</v>
      </c>
      <c r="N4" s="96" t="s">
        <v>70</v>
      </c>
      <c r="O4" s="96" t="s">
        <v>71</v>
      </c>
    </row>
    <row r="5" spans="1:15" x14ac:dyDescent="0.25">
      <c r="A5" s="343">
        <f t="shared" si="0"/>
        <v>4</v>
      </c>
      <c r="B5" s="238" t="s">
        <v>254</v>
      </c>
      <c r="C5" s="340">
        <v>35.409999999999997</v>
      </c>
      <c r="D5" s="343"/>
      <c r="E5" s="343"/>
      <c r="F5" s="343"/>
      <c r="G5" s="343"/>
      <c r="H5" s="343"/>
      <c r="I5" s="343"/>
      <c r="N5" s="98">
        <v>102</v>
      </c>
      <c r="O5" s="98">
        <v>102</v>
      </c>
    </row>
    <row r="6" spans="1:15" x14ac:dyDescent="0.25">
      <c r="A6" s="343">
        <f t="shared" si="0"/>
        <v>5</v>
      </c>
      <c r="B6" s="239" t="s">
        <v>266</v>
      </c>
      <c r="C6" s="340">
        <v>51.42</v>
      </c>
      <c r="D6" s="243"/>
      <c r="E6" s="243"/>
      <c r="F6" s="243"/>
      <c r="G6" s="243"/>
      <c r="H6" s="243"/>
      <c r="I6" s="243"/>
      <c r="N6" s="203" t="s">
        <v>135</v>
      </c>
      <c r="O6" s="204" t="s">
        <v>136</v>
      </c>
    </row>
    <row r="7" spans="1:15" x14ac:dyDescent="0.25">
      <c r="A7" s="343">
        <f t="shared" si="0"/>
        <v>6</v>
      </c>
      <c r="B7" s="238" t="s">
        <v>255</v>
      </c>
      <c r="C7" s="340">
        <v>35.409999999999997</v>
      </c>
      <c r="D7" s="242"/>
      <c r="E7" s="242"/>
      <c r="F7" s="242"/>
      <c r="G7" s="242"/>
      <c r="H7" s="242"/>
      <c r="I7" s="242"/>
    </row>
    <row r="8" spans="1:15" x14ac:dyDescent="0.25">
      <c r="A8" s="343">
        <f t="shared" si="0"/>
        <v>7</v>
      </c>
      <c r="B8" s="238" t="s">
        <v>256</v>
      </c>
      <c r="C8" s="340">
        <v>24.36</v>
      </c>
      <c r="D8" s="243"/>
      <c r="E8" s="243"/>
      <c r="F8" s="243"/>
      <c r="G8" s="243"/>
      <c r="H8" s="243"/>
      <c r="I8" s="243"/>
      <c r="N8" s="203" t="s">
        <v>137</v>
      </c>
    </row>
    <row r="9" spans="1:15" x14ac:dyDescent="0.25">
      <c r="A9" s="343">
        <f t="shared" si="0"/>
        <v>8</v>
      </c>
      <c r="B9" s="239" t="s">
        <v>270</v>
      </c>
      <c r="C9" s="340">
        <v>51.94</v>
      </c>
      <c r="D9" s="242" t="s">
        <v>98</v>
      </c>
      <c r="E9" s="242"/>
      <c r="F9" s="242"/>
      <c r="G9" s="242"/>
      <c r="H9" s="242"/>
      <c r="I9" s="242"/>
      <c r="N9" s="205" t="s">
        <v>60</v>
      </c>
      <c r="O9">
        <v>101</v>
      </c>
    </row>
    <row r="10" spans="1:15" x14ac:dyDescent="0.25">
      <c r="A10" s="343">
        <f t="shared" si="0"/>
        <v>9</v>
      </c>
      <c r="B10" s="239" t="s">
        <v>257</v>
      </c>
      <c r="C10" s="340">
        <v>51.94</v>
      </c>
      <c r="D10" s="254"/>
      <c r="E10" s="359"/>
      <c r="F10" s="359"/>
      <c r="G10" s="359"/>
      <c r="H10" s="359"/>
      <c r="I10" s="359"/>
      <c r="N10" s="205"/>
    </row>
    <row r="11" spans="1:15" x14ac:dyDescent="0.25">
      <c r="A11" s="343">
        <f t="shared" si="0"/>
        <v>10</v>
      </c>
      <c r="B11" s="238" t="s">
        <v>258</v>
      </c>
      <c r="C11" s="340">
        <v>31.78</v>
      </c>
      <c r="D11" s="97" t="s">
        <v>98</v>
      </c>
      <c r="E11" s="343"/>
      <c r="F11" s="343"/>
      <c r="G11" s="343"/>
      <c r="H11" s="343"/>
      <c r="I11" s="343"/>
      <c r="N11" s="205" t="s">
        <v>60</v>
      </c>
      <c r="O11">
        <v>101</v>
      </c>
    </row>
    <row r="12" spans="1:15" x14ac:dyDescent="0.25">
      <c r="A12" s="343">
        <f t="shared" si="0"/>
        <v>11</v>
      </c>
      <c r="B12" s="238" t="s">
        <v>259</v>
      </c>
      <c r="C12" s="340">
        <v>23.89</v>
      </c>
      <c r="D12" s="97" t="s">
        <v>98</v>
      </c>
      <c r="E12" s="343"/>
      <c r="F12" s="343"/>
      <c r="G12" s="343"/>
      <c r="H12" s="343"/>
      <c r="I12" s="343"/>
      <c r="N12" s="205" t="s">
        <v>60</v>
      </c>
      <c r="O12">
        <v>101</v>
      </c>
    </row>
    <row r="13" spans="1:15" x14ac:dyDescent="0.25">
      <c r="A13" s="343">
        <f t="shared" si="0"/>
        <v>12</v>
      </c>
      <c r="B13" s="239" t="s">
        <v>260</v>
      </c>
      <c r="C13" s="340">
        <v>71.680000000000007</v>
      </c>
      <c r="D13" s="97" t="s">
        <v>98</v>
      </c>
      <c r="E13" s="343"/>
      <c r="F13" s="97"/>
      <c r="G13" s="97"/>
      <c r="H13" s="97"/>
      <c r="I13" s="97"/>
      <c r="N13" s="205" t="s">
        <v>60</v>
      </c>
      <c r="O13">
        <v>101</v>
      </c>
    </row>
    <row r="14" spans="1:15" x14ac:dyDescent="0.25">
      <c r="A14" s="343">
        <f t="shared" si="0"/>
        <v>13</v>
      </c>
      <c r="B14" s="238" t="s">
        <v>269</v>
      </c>
      <c r="C14" s="340">
        <v>53.41</v>
      </c>
      <c r="D14" s="97" t="s">
        <v>98</v>
      </c>
      <c r="E14" s="343"/>
      <c r="F14" s="97"/>
      <c r="G14" s="97"/>
      <c r="H14" s="97"/>
      <c r="I14" s="97"/>
      <c r="N14" s="205" t="s">
        <v>60</v>
      </c>
      <c r="O14">
        <v>101</v>
      </c>
    </row>
    <row r="15" spans="1:15" x14ac:dyDescent="0.25">
      <c r="A15" s="343">
        <f t="shared" si="0"/>
        <v>14</v>
      </c>
      <c r="B15" s="239" t="s">
        <v>261</v>
      </c>
      <c r="C15" s="340">
        <v>51.94</v>
      </c>
      <c r="D15" s="243"/>
      <c r="E15" s="343"/>
      <c r="F15" s="97"/>
      <c r="G15" s="97"/>
      <c r="H15" s="97"/>
      <c r="I15" s="97"/>
      <c r="N15" s="205" t="s">
        <v>60</v>
      </c>
      <c r="O15">
        <v>101</v>
      </c>
    </row>
    <row r="16" spans="1:15" x14ac:dyDescent="0.25">
      <c r="A16" s="343">
        <f t="shared" si="0"/>
        <v>15</v>
      </c>
      <c r="B16" s="238" t="s">
        <v>268</v>
      </c>
      <c r="C16" s="340">
        <v>46.12</v>
      </c>
      <c r="D16" s="242"/>
      <c r="E16" s="343"/>
      <c r="F16" s="97"/>
      <c r="G16" s="97"/>
      <c r="H16" s="97"/>
      <c r="I16" s="97"/>
      <c r="N16" s="205" t="s">
        <v>60</v>
      </c>
      <c r="O16">
        <v>101</v>
      </c>
    </row>
    <row r="17" spans="1:15" x14ac:dyDescent="0.25">
      <c r="A17" s="343">
        <f t="shared" si="0"/>
        <v>16</v>
      </c>
      <c r="B17" s="238" t="s">
        <v>262</v>
      </c>
      <c r="C17" s="340">
        <v>47.78</v>
      </c>
      <c r="D17" s="243"/>
      <c r="E17" s="343"/>
      <c r="F17" s="97"/>
      <c r="G17" s="97"/>
      <c r="H17" s="97"/>
      <c r="I17" s="97"/>
      <c r="N17" s="205" t="s">
        <v>60</v>
      </c>
      <c r="O17">
        <v>101</v>
      </c>
    </row>
    <row r="18" spans="1:15" x14ac:dyDescent="0.25">
      <c r="A18" s="343">
        <f t="shared" si="0"/>
        <v>17</v>
      </c>
      <c r="B18" s="238" t="s">
        <v>263</v>
      </c>
      <c r="C18" s="340">
        <v>34.29</v>
      </c>
      <c r="D18" s="242"/>
      <c r="E18" s="343"/>
      <c r="F18" s="97"/>
      <c r="G18" s="97"/>
      <c r="H18" s="97"/>
      <c r="I18" s="97"/>
      <c r="N18" s="205"/>
    </row>
    <row r="19" spans="1:15" x14ac:dyDescent="0.25">
      <c r="A19" s="343"/>
      <c r="B19" s="238"/>
      <c r="C19" s="243"/>
      <c r="D19" s="243"/>
      <c r="E19" s="343"/>
      <c r="F19" s="97"/>
      <c r="G19" s="97"/>
      <c r="H19" s="97"/>
      <c r="I19" s="97"/>
      <c r="N19" s="205"/>
    </row>
    <row r="20" spans="1:15" x14ac:dyDescent="0.25">
      <c r="A20" s="343"/>
      <c r="B20" s="238"/>
      <c r="C20" s="343"/>
      <c r="D20" s="97" t="s">
        <v>98</v>
      </c>
      <c r="E20" s="343"/>
      <c r="F20" s="97"/>
      <c r="G20" s="97"/>
      <c r="H20" s="97"/>
      <c r="I20" s="97"/>
      <c r="N20" s="205"/>
    </row>
    <row r="21" spans="1:15" x14ac:dyDescent="0.25">
      <c r="A21" s="343"/>
      <c r="B21" s="239"/>
      <c r="C21" s="343"/>
      <c r="D21" s="97" t="s">
        <v>98</v>
      </c>
      <c r="E21" s="343"/>
      <c r="F21" s="97"/>
      <c r="G21" s="97"/>
      <c r="H21" s="97"/>
      <c r="I21" s="97"/>
      <c r="N21" s="205"/>
    </row>
    <row r="22" spans="1:15" x14ac:dyDescent="0.25">
      <c r="A22" s="343"/>
      <c r="B22" s="238"/>
      <c r="C22" s="343"/>
      <c r="D22" s="97" t="s">
        <v>98</v>
      </c>
      <c r="E22" s="343"/>
      <c r="F22" s="97"/>
      <c r="G22" s="97"/>
      <c r="H22" s="97"/>
      <c r="I22" s="97"/>
      <c r="N22" s="205"/>
    </row>
    <row r="23" spans="1:15" x14ac:dyDescent="0.25">
      <c r="A23" s="343"/>
      <c r="B23" s="238"/>
      <c r="C23" s="343"/>
      <c r="D23" s="97" t="s">
        <v>98</v>
      </c>
      <c r="E23" s="343"/>
      <c r="F23" s="97"/>
      <c r="G23" s="97"/>
      <c r="H23" s="97"/>
      <c r="I23" s="97"/>
      <c r="N23" s="205"/>
    </row>
    <row r="24" spans="1:15" x14ac:dyDescent="0.25">
      <c r="A24" s="343"/>
      <c r="B24" s="238"/>
      <c r="C24" s="343"/>
      <c r="D24" s="97" t="s">
        <v>98</v>
      </c>
      <c r="E24" s="343"/>
      <c r="F24" s="97"/>
      <c r="G24" s="97"/>
      <c r="H24" s="97"/>
      <c r="I24" s="97"/>
      <c r="N24" s="205"/>
    </row>
    <row r="25" spans="1:15" x14ac:dyDescent="0.25">
      <c r="A25" s="343"/>
      <c r="B25" s="238"/>
      <c r="C25" s="343"/>
      <c r="D25" s="97" t="s">
        <v>98</v>
      </c>
      <c r="E25" s="343"/>
      <c r="F25" s="97"/>
      <c r="G25" s="97"/>
      <c r="H25" s="97"/>
      <c r="I25" s="97"/>
      <c r="N25" s="205"/>
    </row>
    <row r="26" spans="1:15" x14ac:dyDescent="0.25">
      <c r="A26" s="343"/>
      <c r="B26" s="238"/>
      <c r="C26" s="343"/>
      <c r="D26" s="97" t="s">
        <v>98</v>
      </c>
      <c r="E26" s="343"/>
      <c r="F26" s="97"/>
      <c r="G26" s="97"/>
      <c r="H26" s="97"/>
      <c r="I26" s="97"/>
      <c r="N26" s="205"/>
    </row>
    <row r="27" spans="1:15" x14ac:dyDescent="0.25">
      <c r="A27" s="343"/>
      <c r="B27" s="238"/>
      <c r="C27" s="343"/>
      <c r="D27" s="97" t="s">
        <v>98</v>
      </c>
      <c r="E27" s="343"/>
      <c r="F27" s="97"/>
      <c r="G27" s="97"/>
      <c r="H27" s="97"/>
      <c r="I27" s="97"/>
      <c r="N27" s="205"/>
    </row>
    <row r="28" spans="1:15" x14ac:dyDescent="0.25">
      <c r="A28" s="343"/>
      <c r="B28" s="244"/>
      <c r="C28" s="343"/>
      <c r="D28" s="97" t="s">
        <v>98</v>
      </c>
      <c r="E28" s="343"/>
      <c r="F28" s="97"/>
      <c r="G28" s="97"/>
      <c r="H28" s="97"/>
      <c r="I28" s="97"/>
      <c r="N28" s="205"/>
    </row>
    <row r="29" spans="1:15" x14ac:dyDescent="0.25">
      <c r="A29" s="343"/>
      <c r="B29" s="245"/>
      <c r="C29" s="254"/>
      <c r="D29" s="241"/>
      <c r="E29" s="343"/>
      <c r="F29" s="97"/>
      <c r="G29" s="97"/>
      <c r="H29" s="97"/>
      <c r="I29" s="97"/>
      <c r="N29" s="205"/>
    </row>
    <row r="30" spans="1:15" x14ac:dyDescent="0.25">
      <c r="A30" s="343"/>
      <c r="B30" s="246"/>
      <c r="C30" s="254"/>
      <c r="D30" s="241"/>
      <c r="E30" s="343"/>
      <c r="F30" s="97"/>
      <c r="G30" s="97"/>
      <c r="H30" s="97"/>
      <c r="I30" s="97"/>
      <c r="N30" s="205"/>
    </row>
    <row r="31" spans="1:15" x14ac:dyDescent="0.25">
      <c r="A31" s="343"/>
      <c r="B31" s="238"/>
      <c r="C31" s="254"/>
      <c r="D31" s="241"/>
      <c r="E31" s="343"/>
      <c r="F31" s="97"/>
      <c r="G31" s="97"/>
      <c r="H31" s="97"/>
      <c r="I31" s="97"/>
      <c r="N31" s="205"/>
    </row>
    <row r="32" spans="1:15" x14ac:dyDescent="0.25">
      <c r="A32" s="343"/>
      <c r="B32" s="238"/>
      <c r="C32" s="254"/>
      <c r="D32" s="241"/>
      <c r="E32" s="343"/>
      <c r="F32" s="97"/>
      <c r="G32" s="97"/>
      <c r="H32" s="97"/>
      <c r="I32" s="97"/>
      <c r="N32" s="205"/>
    </row>
    <row r="33" spans="1:14" x14ac:dyDescent="0.25">
      <c r="A33" s="343"/>
      <c r="B33" s="238"/>
      <c r="C33" s="254"/>
      <c r="D33" s="254"/>
      <c r="E33" s="343"/>
      <c r="F33" s="97"/>
      <c r="G33" s="97"/>
      <c r="H33" s="97"/>
      <c r="I33" s="97"/>
      <c r="N33" s="205"/>
    </row>
    <row r="34" spans="1:14" x14ac:dyDescent="0.25">
      <c r="A34" s="343"/>
      <c r="B34" s="238"/>
      <c r="C34" s="254"/>
      <c r="D34" s="241"/>
      <c r="E34" s="343"/>
      <c r="F34" s="97"/>
      <c r="G34" s="97"/>
      <c r="H34" s="97"/>
      <c r="I34" s="97"/>
      <c r="N34" s="205"/>
    </row>
    <row r="35" spans="1:14" x14ac:dyDescent="0.25">
      <c r="N35" s="205"/>
    </row>
    <row r="36" spans="1:14" x14ac:dyDescent="0.25">
      <c r="N36" s="205"/>
    </row>
    <row r="37" spans="1:14" x14ac:dyDescent="0.25">
      <c r="N37" s="205"/>
    </row>
    <row r="38" spans="1:14" x14ac:dyDescent="0.25">
      <c r="N38" s="205"/>
    </row>
    <row r="39" spans="1:14" x14ac:dyDescent="0.25">
      <c r="N39" s="205"/>
    </row>
    <row r="40" spans="1:14" x14ac:dyDescent="0.25">
      <c r="N40" s="205"/>
    </row>
    <row r="41" spans="1:14" x14ac:dyDescent="0.25">
      <c r="N41" s="205"/>
    </row>
    <row r="42" spans="1:14" x14ac:dyDescent="0.25">
      <c r="N42" s="205"/>
    </row>
  </sheetData>
  <pageMargins left="0.7" right="0.7" top="0.75" bottom="0.75" header="0.3" footer="0.3"/>
  <pageSetup orientation="portrait" horizontalDpi="200" verticalDpi="200"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Button 1">
              <controlPr defaultSize="0" print="0" autoFill="0" autoPict="0">
                <anchor moveWithCells="1" sizeWithCells="1">
                  <from>
                    <xdr:col>10</xdr:col>
                    <xdr:colOff>57150</xdr:colOff>
                    <xdr:row>5</xdr:row>
                    <xdr:rowOff>0</xdr:rowOff>
                  </from>
                  <to>
                    <xdr:col>12</xdr:col>
                    <xdr:colOff>38100</xdr:colOff>
                    <xdr:row>6</xdr:row>
                    <xdr:rowOff>47625</xdr:rowOff>
                  </to>
                </anchor>
              </controlPr>
            </control>
          </mc:Choice>
        </mc:AlternateContent>
        <mc:AlternateContent xmlns:mc="http://schemas.openxmlformats.org/markup-compatibility/2006">
          <mc:Choice Requires="x14">
            <control shapeId="7171" r:id="rId5" name="Button 3">
              <controlPr defaultSize="0" print="0" autoFill="0" autoPict="0">
                <anchor moveWithCells="1" sizeWithCells="1">
                  <from>
                    <xdr:col>10</xdr:col>
                    <xdr:colOff>76200</xdr:colOff>
                    <xdr:row>7</xdr:row>
                    <xdr:rowOff>85725</xdr:rowOff>
                  </from>
                  <to>
                    <xdr:col>12</xdr:col>
                    <xdr:colOff>28575</xdr:colOff>
                    <xdr:row>10</xdr:row>
                    <xdr:rowOff>28575</xdr:rowOff>
                  </to>
                </anchor>
              </controlPr>
            </control>
          </mc:Choice>
        </mc:AlternateContent>
      </controls>
    </mc:Choice>
  </mc:AlternateContent>
  <tableParts count="3">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H37"/>
  <sheetViews>
    <sheetView zoomScale="80" zoomScaleNormal="80" workbookViewId="0">
      <selection activeCell="A20" sqref="A20"/>
    </sheetView>
  </sheetViews>
  <sheetFormatPr defaultRowHeight="15" x14ac:dyDescent="0.25"/>
  <cols>
    <col min="1" max="1" width="137.5703125" customWidth="1"/>
    <col min="2" max="2" width="73.5703125" bestFit="1" customWidth="1"/>
    <col min="3" max="3" width="29.42578125" customWidth="1"/>
    <col min="4" max="4" width="25" customWidth="1"/>
    <col min="5" max="5" width="17.85546875" customWidth="1"/>
    <col min="6" max="6" width="16.85546875" customWidth="1"/>
    <col min="7" max="7" width="19.42578125" customWidth="1"/>
    <col min="8" max="8" width="19.5703125" bestFit="1" customWidth="1"/>
  </cols>
  <sheetData>
    <row r="1" spans="1:8" ht="15.75" thickBot="1" x14ac:dyDescent="0.3">
      <c r="A1" s="267" t="s">
        <v>62</v>
      </c>
      <c r="B1" s="267"/>
    </row>
    <row r="2" spans="1:8" ht="16.5" thickTop="1" thickBot="1" x14ac:dyDescent="0.3">
      <c r="A2" s="341"/>
      <c r="B2" s="267" t="s">
        <v>247</v>
      </c>
      <c r="C2" s="342"/>
      <c r="D2" s="342"/>
      <c r="E2" s="342"/>
      <c r="F2" s="342"/>
      <c r="G2" s="342"/>
      <c r="H2" s="342"/>
    </row>
    <row r="3" spans="1:8" ht="15.75" thickTop="1" x14ac:dyDescent="0.25">
      <c r="A3" s="265" t="s">
        <v>265</v>
      </c>
      <c r="B3" s="356">
        <v>51.94</v>
      </c>
      <c r="C3" s="259">
        <v>0</v>
      </c>
      <c r="D3" s="259">
        <v>0</v>
      </c>
      <c r="E3" s="259">
        <v>0</v>
      </c>
      <c r="F3" s="259">
        <v>0</v>
      </c>
      <c r="G3" s="259">
        <v>0</v>
      </c>
      <c r="H3" s="259">
        <v>0</v>
      </c>
    </row>
    <row r="4" spans="1:8" x14ac:dyDescent="0.25">
      <c r="A4" s="256" t="s">
        <v>252</v>
      </c>
      <c r="B4" s="356">
        <v>35.409999999999997</v>
      </c>
      <c r="C4" s="257">
        <v>0</v>
      </c>
      <c r="D4" s="257">
        <v>0</v>
      </c>
      <c r="E4" s="257">
        <v>0</v>
      </c>
      <c r="F4" s="257">
        <v>0</v>
      </c>
      <c r="G4" s="257">
        <v>0</v>
      </c>
      <c r="H4" s="257">
        <v>0</v>
      </c>
    </row>
    <row r="5" spans="1:8" x14ac:dyDescent="0.25">
      <c r="A5" s="265" t="s">
        <v>253</v>
      </c>
      <c r="B5" s="356">
        <v>51.94</v>
      </c>
      <c r="C5" s="259">
        <v>0</v>
      </c>
      <c r="D5" s="259">
        <v>0</v>
      </c>
      <c r="E5" s="259">
        <v>0</v>
      </c>
      <c r="F5" s="259">
        <v>0</v>
      </c>
      <c r="G5" s="259">
        <v>0</v>
      </c>
      <c r="H5" s="259">
        <v>0</v>
      </c>
    </row>
    <row r="6" spans="1:8" x14ac:dyDescent="0.25">
      <c r="A6" s="256" t="s">
        <v>254</v>
      </c>
      <c r="B6" s="356">
        <v>35.409999999999997</v>
      </c>
      <c r="C6" s="257">
        <v>0</v>
      </c>
      <c r="D6" s="257">
        <v>0</v>
      </c>
      <c r="E6" s="257">
        <v>0</v>
      </c>
      <c r="F6" s="257">
        <v>0</v>
      </c>
      <c r="G6" s="257">
        <v>0</v>
      </c>
      <c r="H6" s="257">
        <v>0</v>
      </c>
    </row>
    <row r="7" spans="1:8" x14ac:dyDescent="0.25">
      <c r="A7" s="265" t="s">
        <v>266</v>
      </c>
      <c r="B7" s="356">
        <v>51.42</v>
      </c>
      <c r="C7" s="259">
        <v>0</v>
      </c>
      <c r="D7" s="259">
        <v>0</v>
      </c>
      <c r="E7" s="259">
        <v>0</v>
      </c>
      <c r="F7" s="259">
        <v>0</v>
      </c>
      <c r="G7" s="259">
        <v>0</v>
      </c>
      <c r="H7" s="259">
        <v>0</v>
      </c>
    </row>
    <row r="8" spans="1:8" x14ac:dyDescent="0.25">
      <c r="A8" s="256" t="s">
        <v>255</v>
      </c>
      <c r="B8" s="356">
        <v>35.409999999999997</v>
      </c>
      <c r="C8" s="259">
        <v>0</v>
      </c>
      <c r="D8" s="259">
        <v>0</v>
      </c>
      <c r="E8" s="259">
        <v>0</v>
      </c>
      <c r="F8" s="259">
        <v>0</v>
      </c>
      <c r="G8" s="259">
        <v>0</v>
      </c>
      <c r="H8" s="259">
        <v>0</v>
      </c>
    </row>
    <row r="9" spans="1:8" x14ac:dyDescent="0.25">
      <c r="A9" s="258" t="s">
        <v>256</v>
      </c>
      <c r="B9" s="356">
        <v>24.36</v>
      </c>
      <c r="C9" s="257">
        <v>0</v>
      </c>
      <c r="D9" s="257">
        <v>0</v>
      </c>
      <c r="E9" s="257">
        <v>0</v>
      </c>
      <c r="F9" s="257">
        <v>0</v>
      </c>
      <c r="G9" s="257">
        <v>0</v>
      </c>
      <c r="H9" s="257">
        <v>0</v>
      </c>
    </row>
    <row r="10" spans="1:8" x14ac:dyDescent="0.25">
      <c r="A10" s="264" t="s">
        <v>270</v>
      </c>
      <c r="B10" s="356">
        <v>51.94</v>
      </c>
      <c r="C10" s="259">
        <v>0</v>
      </c>
      <c r="D10" s="259">
        <v>0</v>
      </c>
      <c r="E10" s="259">
        <v>0</v>
      </c>
      <c r="F10" s="259">
        <v>0</v>
      </c>
      <c r="G10" s="259">
        <v>0</v>
      </c>
      <c r="H10" s="259">
        <v>0</v>
      </c>
    </row>
    <row r="11" spans="1:8" x14ac:dyDescent="0.25">
      <c r="A11" s="264" t="s">
        <v>257</v>
      </c>
      <c r="B11" s="356">
        <v>51.94</v>
      </c>
      <c r="C11" s="259"/>
      <c r="D11" s="259"/>
      <c r="E11" s="259"/>
      <c r="F11" s="259"/>
      <c r="G11" s="259"/>
      <c r="H11" s="259"/>
    </row>
    <row r="12" spans="1:8" x14ac:dyDescent="0.25">
      <c r="A12" s="258" t="s">
        <v>258</v>
      </c>
      <c r="B12" s="356">
        <v>31.78</v>
      </c>
      <c r="C12" s="257">
        <v>0</v>
      </c>
      <c r="D12" s="257">
        <v>0</v>
      </c>
      <c r="E12" s="257">
        <v>0</v>
      </c>
      <c r="F12" s="257">
        <v>0</v>
      </c>
      <c r="G12" s="257">
        <v>0</v>
      </c>
      <c r="H12" s="257">
        <v>0</v>
      </c>
    </row>
    <row r="13" spans="1:8" x14ac:dyDescent="0.25">
      <c r="A13" s="256" t="s">
        <v>259</v>
      </c>
      <c r="B13" s="356">
        <v>23.89</v>
      </c>
      <c r="C13" s="259">
        <v>0</v>
      </c>
      <c r="D13" s="259">
        <v>0</v>
      </c>
      <c r="E13" s="259">
        <v>0</v>
      </c>
      <c r="F13" s="259">
        <v>0</v>
      </c>
      <c r="G13" s="259">
        <v>0</v>
      </c>
      <c r="H13" s="259">
        <v>0</v>
      </c>
    </row>
    <row r="14" spans="1:8" x14ac:dyDescent="0.25">
      <c r="A14" s="265" t="s">
        <v>260</v>
      </c>
      <c r="B14" s="356">
        <v>71.680000000000007</v>
      </c>
      <c r="C14" s="257">
        <v>0</v>
      </c>
      <c r="D14" s="257">
        <v>0</v>
      </c>
      <c r="E14" s="257">
        <v>0</v>
      </c>
      <c r="F14" s="257">
        <v>0</v>
      </c>
      <c r="G14" s="257">
        <v>0</v>
      </c>
      <c r="H14" s="257">
        <v>0</v>
      </c>
    </row>
    <row r="15" spans="1:8" x14ac:dyDescent="0.25">
      <c r="A15" s="256" t="s">
        <v>269</v>
      </c>
      <c r="B15" s="356">
        <v>53.41</v>
      </c>
      <c r="C15" s="263">
        <v>0</v>
      </c>
      <c r="D15" s="263">
        <v>0</v>
      </c>
      <c r="E15" s="263">
        <v>0</v>
      </c>
      <c r="F15" s="263">
        <v>0</v>
      </c>
      <c r="G15" s="263">
        <v>0</v>
      </c>
      <c r="H15" s="263">
        <v>0</v>
      </c>
    </row>
    <row r="16" spans="1:8" x14ac:dyDescent="0.25">
      <c r="A16" s="265" t="s">
        <v>261</v>
      </c>
      <c r="B16" s="356">
        <v>51.94</v>
      </c>
      <c r="C16" s="261">
        <v>0</v>
      </c>
      <c r="D16" s="261">
        <v>0</v>
      </c>
      <c r="E16" s="261">
        <v>0</v>
      </c>
      <c r="F16" s="261">
        <v>0</v>
      </c>
      <c r="G16" s="261">
        <v>0</v>
      </c>
      <c r="H16" s="261">
        <v>0</v>
      </c>
    </row>
    <row r="17" spans="1:8" x14ac:dyDescent="0.25">
      <c r="A17" s="256" t="s">
        <v>268</v>
      </c>
      <c r="B17" s="356">
        <v>46.12</v>
      </c>
      <c r="C17" s="263">
        <v>0</v>
      </c>
      <c r="D17" s="263">
        <v>0</v>
      </c>
      <c r="E17" s="263">
        <v>0</v>
      </c>
      <c r="F17" s="263">
        <v>0</v>
      </c>
      <c r="G17" s="263">
        <v>0</v>
      </c>
      <c r="H17" s="263">
        <v>0</v>
      </c>
    </row>
    <row r="18" spans="1:8" x14ac:dyDescent="0.25">
      <c r="A18" s="258" t="s">
        <v>262</v>
      </c>
      <c r="B18" s="356">
        <v>47.78</v>
      </c>
      <c r="C18" s="257">
        <v>0</v>
      </c>
      <c r="D18" s="257">
        <v>0</v>
      </c>
      <c r="E18" s="257">
        <v>0</v>
      </c>
      <c r="F18" s="257">
        <v>0</v>
      </c>
      <c r="G18" s="257">
        <v>0</v>
      </c>
      <c r="H18" s="257">
        <v>0</v>
      </c>
    </row>
    <row r="19" spans="1:8" x14ac:dyDescent="0.25">
      <c r="A19" s="256" t="s">
        <v>263</v>
      </c>
      <c r="B19" s="356">
        <v>34.29</v>
      </c>
      <c r="C19" s="257">
        <v>0</v>
      </c>
      <c r="D19" s="257">
        <v>0</v>
      </c>
      <c r="E19" s="257">
        <v>0</v>
      </c>
      <c r="F19" s="257">
        <v>0</v>
      </c>
      <c r="G19" s="257">
        <v>0</v>
      </c>
      <c r="H19" s="257">
        <v>0</v>
      </c>
    </row>
    <row r="20" spans="1:8" x14ac:dyDescent="0.25">
      <c r="A20" s="258"/>
      <c r="B20" s="259">
        <v>0</v>
      </c>
      <c r="C20" s="259">
        <v>0</v>
      </c>
      <c r="D20" s="259">
        <v>0</v>
      </c>
      <c r="E20" s="259">
        <v>0</v>
      </c>
      <c r="F20" s="259">
        <v>0</v>
      </c>
      <c r="G20" s="259">
        <v>0</v>
      </c>
      <c r="H20" s="259">
        <v>0</v>
      </c>
    </row>
    <row r="21" spans="1:8" x14ac:dyDescent="0.25">
      <c r="A21" s="256"/>
      <c r="B21" s="257">
        <v>0</v>
      </c>
      <c r="C21" s="257">
        <v>0</v>
      </c>
      <c r="D21" s="257">
        <v>0</v>
      </c>
      <c r="E21" s="257">
        <v>0</v>
      </c>
      <c r="F21" s="257">
        <v>0</v>
      </c>
      <c r="G21" s="257">
        <v>0</v>
      </c>
      <c r="H21" s="257">
        <v>0</v>
      </c>
    </row>
    <row r="22" spans="1:8" x14ac:dyDescent="0.25">
      <c r="A22" s="265"/>
      <c r="B22" s="259">
        <v>0</v>
      </c>
      <c r="C22" s="259">
        <v>0</v>
      </c>
      <c r="D22" s="259">
        <v>0</v>
      </c>
      <c r="E22" s="259">
        <v>0</v>
      </c>
      <c r="F22" s="259">
        <v>0</v>
      </c>
      <c r="G22" s="259">
        <v>0</v>
      </c>
      <c r="H22" s="259">
        <v>0</v>
      </c>
    </row>
    <row r="23" spans="1:8" x14ac:dyDescent="0.25">
      <c r="A23" s="256"/>
      <c r="B23" s="257">
        <v>0</v>
      </c>
      <c r="C23" s="257">
        <v>0</v>
      </c>
      <c r="D23" s="257">
        <v>0</v>
      </c>
      <c r="E23" s="257">
        <v>0</v>
      </c>
      <c r="F23" s="257">
        <v>0</v>
      </c>
      <c r="G23" s="257">
        <v>0</v>
      </c>
      <c r="H23" s="257">
        <v>0</v>
      </c>
    </row>
    <row r="24" spans="1:8" x14ac:dyDescent="0.25">
      <c r="A24" s="258"/>
      <c r="B24" s="259">
        <v>0</v>
      </c>
      <c r="C24" s="259">
        <v>0</v>
      </c>
      <c r="D24" s="259">
        <v>0</v>
      </c>
      <c r="E24" s="259">
        <v>0</v>
      </c>
      <c r="F24" s="259">
        <v>0</v>
      </c>
      <c r="G24" s="259">
        <v>0</v>
      </c>
      <c r="H24" s="259">
        <v>0</v>
      </c>
    </row>
    <row r="25" spans="1:8" x14ac:dyDescent="0.25">
      <c r="A25" s="264"/>
      <c r="B25" s="257">
        <v>0</v>
      </c>
      <c r="C25" s="257">
        <v>0</v>
      </c>
      <c r="D25" s="257">
        <v>0</v>
      </c>
      <c r="E25" s="257">
        <v>0</v>
      </c>
      <c r="F25" s="257">
        <v>0</v>
      </c>
      <c r="G25" s="257">
        <v>0</v>
      </c>
      <c r="H25" s="257">
        <v>0</v>
      </c>
    </row>
    <row r="26" spans="1:8" x14ac:dyDescent="0.25">
      <c r="A26" s="258"/>
      <c r="B26" s="259">
        <v>0</v>
      </c>
      <c r="C26" s="259">
        <v>0</v>
      </c>
      <c r="D26" s="259">
        <v>0</v>
      </c>
      <c r="E26" s="259">
        <v>0</v>
      </c>
      <c r="F26" s="259">
        <v>0</v>
      </c>
      <c r="G26" s="259">
        <v>0</v>
      </c>
      <c r="H26" s="259">
        <v>0</v>
      </c>
    </row>
    <row r="27" spans="1:8" x14ac:dyDescent="0.25">
      <c r="A27" s="256"/>
      <c r="B27" s="257">
        <v>0</v>
      </c>
      <c r="C27" s="257">
        <v>0</v>
      </c>
      <c r="D27" s="257">
        <v>0</v>
      </c>
      <c r="E27" s="257">
        <v>0</v>
      </c>
      <c r="F27" s="257">
        <v>0</v>
      </c>
      <c r="G27" s="257">
        <v>0</v>
      </c>
      <c r="H27" s="257">
        <v>0</v>
      </c>
    </row>
    <row r="28" spans="1:8" x14ac:dyDescent="0.25">
      <c r="A28" s="258"/>
      <c r="B28" s="259">
        <v>0</v>
      </c>
      <c r="C28" s="259">
        <v>0</v>
      </c>
      <c r="D28" s="259">
        <v>0</v>
      </c>
      <c r="E28" s="259">
        <v>0</v>
      </c>
      <c r="F28" s="259">
        <v>0</v>
      </c>
      <c r="G28" s="259">
        <v>0</v>
      </c>
      <c r="H28" s="259">
        <v>0</v>
      </c>
    </row>
    <row r="29" spans="1:8" x14ac:dyDescent="0.25">
      <c r="A29" s="256"/>
      <c r="B29" s="257">
        <v>0</v>
      </c>
      <c r="C29" s="257">
        <v>0</v>
      </c>
      <c r="D29" s="257">
        <v>0</v>
      </c>
      <c r="E29" s="257">
        <v>0</v>
      </c>
      <c r="F29" s="257">
        <v>0</v>
      </c>
      <c r="G29" s="257">
        <v>0</v>
      </c>
      <c r="H29" s="257">
        <v>0</v>
      </c>
    </row>
    <row r="30" spans="1:8" x14ac:dyDescent="0.25">
      <c r="A30" s="258"/>
      <c r="B30" s="259">
        <v>0</v>
      </c>
      <c r="C30" s="259">
        <v>0</v>
      </c>
      <c r="D30" s="259">
        <v>0</v>
      </c>
      <c r="E30" s="259">
        <v>0</v>
      </c>
      <c r="F30" s="259">
        <v>0</v>
      </c>
      <c r="G30" s="259">
        <v>0</v>
      </c>
      <c r="H30" s="259">
        <v>0</v>
      </c>
    </row>
    <row r="31" spans="1:8" x14ac:dyDescent="0.25">
      <c r="A31" s="256"/>
      <c r="B31" s="257">
        <v>0</v>
      </c>
      <c r="C31" s="257">
        <v>0</v>
      </c>
      <c r="D31" s="257">
        <v>0</v>
      </c>
      <c r="E31" s="257">
        <v>0</v>
      </c>
      <c r="F31" s="257">
        <v>0</v>
      </c>
      <c r="G31" s="257">
        <v>0</v>
      </c>
      <c r="H31" s="257">
        <v>0</v>
      </c>
    </row>
    <row r="32" spans="1:8" x14ac:dyDescent="0.25">
      <c r="A32" s="262"/>
      <c r="B32" s="263">
        <v>0</v>
      </c>
      <c r="C32" s="263">
        <v>0</v>
      </c>
      <c r="D32" s="263">
        <v>0</v>
      </c>
      <c r="E32" s="263">
        <v>0</v>
      </c>
      <c r="F32" s="263">
        <v>0</v>
      </c>
      <c r="G32" s="263">
        <v>0</v>
      </c>
      <c r="H32" s="263">
        <v>0</v>
      </c>
    </row>
    <row r="33" spans="1:8" x14ac:dyDescent="0.25">
      <c r="A33" s="260"/>
      <c r="B33" s="261">
        <v>0</v>
      </c>
      <c r="C33" s="261">
        <v>0</v>
      </c>
      <c r="D33" s="261">
        <v>0</v>
      </c>
      <c r="E33" s="261">
        <v>0</v>
      </c>
      <c r="F33" s="261">
        <v>0</v>
      </c>
      <c r="G33" s="261">
        <v>0</v>
      </c>
      <c r="H33" s="261">
        <v>0</v>
      </c>
    </row>
    <row r="34" spans="1:8" x14ac:dyDescent="0.25">
      <c r="A34" s="266"/>
      <c r="B34" s="263">
        <v>0</v>
      </c>
      <c r="C34" s="263">
        <v>0</v>
      </c>
      <c r="D34" s="263">
        <v>0</v>
      </c>
      <c r="E34" s="263">
        <v>0</v>
      </c>
      <c r="F34" s="263">
        <v>0</v>
      </c>
      <c r="G34" s="263">
        <v>0</v>
      </c>
      <c r="H34" s="263">
        <v>0</v>
      </c>
    </row>
    <row r="35" spans="1:8" x14ac:dyDescent="0.25">
      <c r="A35" s="256"/>
      <c r="B35" s="257">
        <v>0</v>
      </c>
      <c r="C35" s="257">
        <v>0</v>
      </c>
      <c r="D35" s="257">
        <v>0</v>
      </c>
      <c r="E35" s="257">
        <v>0</v>
      </c>
      <c r="F35" s="257">
        <v>0</v>
      </c>
      <c r="G35" s="257">
        <v>0</v>
      </c>
      <c r="H35" s="257">
        <v>0</v>
      </c>
    </row>
    <row r="36" spans="1:8" x14ac:dyDescent="0.25">
      <c r="A36" s="258"/>
      <c r="B36" s="259"/>
      <c r="C36" s="259"/>
      <c r="D36" s="259"/>
      <c r="E36" s="259"/>
      <c r="F36" s="259"/>
      <c r="G36" s="259"/>
      <c r="H36" s="259"/>
    </row>
    <row r="37" spans="1:8" x14ac:dyDescent="0.25">
      <c r="A37" s="256"/>
      <c r="B37" s="257"/>
      <c r="C37" s="257"/>
      <c r="D37" s="257"/>
      <c r="E37" s="257"/>
      <c r="F37" s="257"/>
      <c r="G37" s="257"/>
      <c r="H37" s="25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0e15a99-2787-4658-9a49-e1375a37af8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E74FF56111874F8528354EA601358C" ma:contentTypeVersion="16" ma:contentTypeDescription="Create a new document." ma:contentTypeScope="" ma:versionID="358eeab01e23e786bc699c43cae0350d">
  <xsd:schema xmlns:xsd="http://www.w3.org/2001/XMLSchema" xmlns:xs="http://www.w3.org/2001/XMLSchema" xmlns:p="http://schemas.microsoft.com/office/2006/metadata/properties" xmlns:ns3="30e15a99-2787-4658-9a49-e1375a37af84" xmlns:ns4="f29e537e-536d-4c3d-a73c-f40e94626c0e" targetNamespace="http://schemas.microsoft.com/office/2006/metadata/properties" ma:root="true" ma:fieldsID="6b5f4008237f7c6a6ccb73823895f76a" ns3:_="" ns4:_="">
    <xsd:import namespace="30e15a99-2787-4658-9a49-e1375a37af84"/>
    <xsd:import namespace="f29e537e-536d-4c3d-a73c-f40e94626c0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ServiceLocatio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15a99-2787-4658-9a49-e1375a37a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29e537e-536d-4c3d-a73c-f40e94626c0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3B0B35-276D-49A0-8830-8AB2A755496D}">
  <ds:schemaRefs>
    <ds:schemaRef ds:uri="http://schemas.microsoft.com/sharepoint/v3/contenttype/forms"/>
  </ds:schemaRefs>
</ds:datastoreItem>
</file>

<file path=customXml/itemProps2.xml><?xml version="1.0" encoding="utf-8"?>
<ds:datastoreItem xmlns:ds="http://schemas.openxmlformats.org/officeDocument/2006/customXml" ds:itemID="{5E87A75F-5E84-4E55-AA69-E600BE376F04}">
  <ds:schemaRefs>
    <ds:schemaRef ds:uri="http://schemas.openxmlformats.org/package/2006/metadata/core-properties"/>
    <ds:schemaRef ds:uri="http://purl.org/dc/dcmitype/"/>
    <ds:schemaRef ds:uri="30e15a99-2787-4658-9a49-e1375a37af84"/>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f29e537e-536d-4c3d-a73c-f40e94626c0e"/>
    <ds:schemaRef ds:uri="http://www.w3.org/XML/1998/namespace"/>
  </ds:schemaRefs>
</ds:datastoreItem>
</file>

<file path=customXml/itemProps3.xml><?xml version="1.0" encoding="utf-8"?>
<ds:datastoreItem xmlns:ds="http://schemas.openxmlformats.org/officeDocument/2006/customXml" ds:itemID="{99991DA1-7576-4721-992E-1A2A11CC6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e15a99-2787-4658-9a49-e1375a37af84"/>
    <ds:schemaRef ds:uri="f29e537e-536d-4c3d-a73c-f40e94626c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Indirect Rates and Fee</vt:lpstr>
      <vt:lpstr>Cost Summary</vt:lpstr>
      <vt:lpstr>CLIN Structure</vt:lpstr>
      <vt:lpstr>Hours Check - FOR GOVT USE</vt:lpstr>
      <vt:lpstr>Total Compensation Plan</vt:lpstr>
      <vt:lpstr>Do Not Use or Delete</vt:lpstr>
      <vt:lpstr>Minimum Direct Labor Rates</vt:lpstr>
    </vt:vector>
  </TitlesOfParts>
  <Company>BAE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Chong, Kerry (US)</dc:creator>
  <cp:lastModifiedBy>Connolly, Kieran M CIV USN NAVSUPPACT LKE NJ (USA)</cp:lastModifiedBy>
  <cp:lastPrinted>2020-10-22T18:35:18Z</cp:lastPrinted>
  <dcterms:created xsi:type="dcterms:W3CDTF">2020-10-22T18:30:03Z</dcterms:created>
  <dcterms:modified xsi:type="dcterms:W3CDTF">2026-03-18T17:45:04Z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0x0101002CE74FF56111874F8528354EA601358C</vt:lpwstr>
  </property>
  <property fmtid="{D5CDD505-2E9C-101B-9397-08002B2CF9AE}" pid="3" name="Status">
    <vt:lpwstr>Ready for Final Production</vt:lpwstr>
  </property>
  <property fmtid="{D5CDD505-2E9C-101B-9397-08002B2CF9AE}" pid="4" name="Message">
    <vt:lpwstr/>
  </property>
</Properties>
</file>