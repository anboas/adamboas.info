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crmckenz\Documents\Management Documents\210P\MARS Relay\Draft RFP\"/>
    </mc:Choice>
  </mc:AlternateContent>
  <xr:revisionPtr revIDLastSave="0" documentId="8_{2A63AF10-C045-4438-BCF2-3003D63781F6}" xr6:coauthVersionLast="47" xr6:coauthVersionMax="47" xr10:uidLastSave="{00000000-0000-0000-0000-000000000000}"/>
  <bookViews>
    <workbookView xWindow="-120" yWindow="-120" windowWidth="29040" windowHeight="15720" firstSheet="6" activeTab="3" xr2:uid="{00000000-000D-0000-FFFF-FFFF00000000}"/>
  </bookViews>
  <sheets>
    <sheet name="Exh2 - Price Summary" sheetId="1" r:id="rId1"/>
    <sheet name="Exh3 - MTN" sheetId="7" r:id="rId2"/>
    <sheet name="Exh4 - MTN Mil Events" sheetId="10" r:id="rId3"/>
    <sheet name="Exh5 - T&amp;M PricingModel " sheetId="6" r:id="rId4"/>
    <sheet name="Exh6 - LMI&amp;O" sheetId="11" r:id="rId5"/>
    <sheet name="Exh7 - LI&amp;OI Mil Events" sheetId="12" r:id="rId6"/>
    <sheet name="Exh - 8 - Miss Ops" sheetId="13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6" l="1"/>
  <c r="D31" i="10"/>
  <c r="B9" i="1"/>
  <c r="L18" i="6"/>
  <c r="L17" i="6"/>
  <c r="L16" i="6"/>
  <c r="L15" i="6"/>
  <c r="L14" i="6"/>
  <c r="L13" i="6"/>
  <c r="L12" i="6"/>
  <c r="L11" i="6"/>
  <c r="L10" i="6"/>
  <c r="L9" i="6"/>
  <c r="J18" i="6"/>
  <c r="J17" i="6"/>
  <c r="J16" i="6"/>
  <c r="J15" i="6"/>
  <c r="J14" i="6"/>
  <c r="J13" i="6"/>
  <c r="J12" i="6"/>
  <c r="J11" i="6"/>
  <c r="J10" i="6"/>
  <c r="J9" i="6"/>
  <c r="H18" i="6"/>
  <c r="H17" i="6"/>
  <c r="H16" i="6"/>
  <c r="H15" i="6"/>
  <c r="H14" i="6"/>
  <c r="H13" i="6"/>
  <c r="H12" i="6"/>
  <c r="H11" i="6"/>
  <c r="H10" i="6"/>
  <c r="H9" i="6"/>
  <c r="H19" i="6" s="1"/>
  <c r="H26" i="6" s="1"/>
  <c r="F18" i="6"/>
  <c r="F17" i="6"/>
  <c r="F16" i="6"/>
  <c r="F15" i="6"/>
  <c r="F14" i="6"/>
  <c r="F13" i="6"/>
  <c r="F12" i="6"/>
  <c r="F11" i="6"/>
  <c r="F10" i="6"/>
  <c r="F9" i="6"/>
  <c r="F19" i="6" s="1"/>
  <c r="F26" i="6" s="1"/>
  <c r="D11" i="6"/>
  <c r="D12" i="6"/>
  <c r="D13" i="6"/>
  <c r="D14" i="6"/>
  <c r="D15" i="6"/>
  <c r="D16" i="6"/>
  <c r="D17" i="6"/>
  <c r="D18" i="6"/>
  <c r="D10" i="6"/>
  <c r="D9" i="6"/>
  <c r="D19" i="6" s="1"/>
  <c r="B13" i="1"/>
  <c r="C13" i="13"/>
  <c r="D13" i="13"/>
  <c r="B13" i="13"/>
  <c r="B25" i="12"/>
  <c r="B23" i="12"/>
  <c r="J19" i="6" l="1"/>
  <c r="J26" i="6" s="1"/>
  <c r="L19" i="6"/>
  <c r="L26" i="6" s="1"/>
  <c r="D26" i="6"/>
  <c r="D27" i="6" s="1"/>
  <c r="B18" i="1" s="1"/>
  <c r="B27" i="12"/>
</calcChain>
</file>

<file path=xl/sharedStrings.xml><?xml version="1.0" encoding="utf-8"?>
<sst xmlns="http://schemas.openxmlformats.org/spreadsheetml/2006/main" count="216" uniqueCount="84">
  <si>
    <t>RFP No. 80GSFC26R0011</t>
  </si>
  <si>
    <t>Proposing Entity:</t>
  </si>
  <si>
    <t>EXHIBIT 2</t>
  </si>
  <si>
    <t>PRICE SUMMARY</t>
  </si>
  <si>
    <t>DESCRIPTION</t>
  </si>
  <si>
    <t>TOTAL AMOUNT</t>
  </si>
  <si>
    <t>MTN Core Requirement (CLIN 0001)</t>
  </si>
  <si>
    <t>MTN T&amp;M Pricing Model (CLIN 0002)</t>
  </si>
  <si>
    <t>TBP</t>
  </si>
  <si>
    <t>MTN Launch, Integration &amp; Orbit Insertion (CLIN 0003)</t>
  </si>
  <si>
    <t>MTN Mission Operations (CLIN (0004-0008)</t>
  </si>
  <si>
    <t>TOTAL EVALUATED PRICE</t>
  </si>
  <si>
    <t>This exhibit contains Source Selection Information.  See FAR 3.104.</t>
  </si>
  <si>
    <t>EXHIBIT 3</t>
  </si>
  <si>
    <t>Total Proposed Fixed Price for CLIN 0001</t>
  </si>
  <si>
    <t xml:space="preserve">Base Fixed Price </t>
  </si>
  <si>
    <t>Schedule Incentive</t>
  </si>
  <si>
    <t xml:space="preserve">Total Proposed Fixed Price for CLIN 0001: </t>
  </si>
  <si>
    <t>EXHIBIT 4</t>
  </si>
  <si>
    <t>Milestone Payment Events Table</t>
  </si>
  <si>
    <t>Milestone Event/ID</t>
  </si>
  <si>
    <t>Target Date</t>
  </si>
  <si>
    <t>INTERIM PAYMENT AMOUNT</t>
  </si>
  <si>
    <t>Objective Completion Criteria</t>
  </si>
  <si>
    <t>Verification Method</t>
  </si>
  <si>
    <t>Milestone Event No 1</t>
  </si>
  <si>
    <t>Milestone Event No 2</t>
  </si>
  <si>
    <t>Milestone Event No 3</t>
  </si>
  <si>
    <t>Milestone Event No 4</t>
  </si>
  <si>
    <t>Milestone Event No 5</t>
  </si>
  <si>
    <t>Milestone Event No 6</t>
  </si>
  <si>
    <t>Milestone Event No 7</t>
  </si>
  <si>
    <t>Milestone Event No 8</t>
  </si>
  <si>
    <t>Milestone Event No 9</t>
  </si>
  <si>
    <t>Milestone Event No 10</t>
  </si>
  <si>
    <t>Total Mileston Events</t>
  </si>
  <si>
    <t>EXHIBIT 5</t>
  </si>
  <si>
    <t>TIME AND MATERIALS (T&amp;M) PRICING MODEL</t>
  </si>
  <si>
    <t>CY-1</t>
  </si>
  <si>
    <t>CY-2</t>
  </si>
  <si>
    <t>CY-3</t>
  </si>
  <si>
    <t>CY-4</t>
  </si>
  <si>
    <t>CY-5</t>
  </si>
  <si>
    <t>DIRECT LABOR (DL) CATEGORY*</t>
  </si>
  <si>
    <t>DL HOURS</t>
  </si>
  <si>
    <t>LOADED DL RATE**</t>
  </si>
  <si>
    <t>AMOUNT</t>
  </si>
  <si>
    <t>Labor Category 1</t>
  </si>
  <si>
    <t>Labor Category 2</t>
  </si>
  <si>
    <t>Labor Category 3</t>
  </si>
  <si>
    <t>Labor Category 4</t>
  </si>
  <si>
    <t>Labor Category 5</t>
  </si>
  <si>
    <t>Labor Category 6</t>
  </si>
  <si>
    <t>Labor Category 7</t>
  </si>
  <si>
    <t>Labor Category 8</t>
  </si>
  <si>
    <t>Labor Category 9</t>
  </si>
  <si>
    <t>Labor Category 10</t>
  </si>
  <si>
    <t>TOTAL DIRECT LABOR</t>
  </si>
  <si>
    <t>MATERIALS:</t>
  </si>
  <si>
    <t>Direct Materials</t>
  </si>
  <si>
    <t>Indirect Costs Applied Against Certain Materials***</t>
  </si>
  <si>
    <t>TOTAL MATERIALS</t>
  </si>
  <si>
    <t>T&amp;M  Totals</t>
  </si>
  <si>
    <t>Total T&amp;M Evaluated Price (CY 1 - CY4)</t>
  </si>
  <si>
    <t>*Identify entity performing (i.e., prime, CTA member name, or subcontractor name).</t>
  </si>
  <si>
    <r>
      <t>*</t>
    </r>
    <r>
      <rPr>
        <b/>
        <sz val="11"/>
        <color theme="1"/>
        <rFont val="Arial"/>
        <family val="2"/>
      </rPr>
      <t>*</t>
    </r>
    <r>
      <rPr>
        <sz val="11"/>
        <color theme="1"/>
        <rFont val="Arial"/>
        <family val="2"/>
      </rPr>
      <t>Clearly delineate onsite and offsite DL rates.</t>
    </r>
  </si>
  <si>
    <t>***Materials may include applicable indirect costs only when the materials a) are categorized within a SIN under the applicable GSA FSS, and b) are not already priced under the applicable GSA FSS.  No profit is allowed on materials.</t>
  </si>
  <si>
    <t>EXHIBIT  6</t>
  </si>
  <si>
    <t>Total Proposed Fixed Price for CLIN 0003</t>
  </si>
  <si>
    <t>Total Proposed Fixed Price for CLIN 0003:</t>
  </si>
  <si>
    <t>EXHIBIT 7</t>
  </si>
  <si>
    <t xml:space="preserve"> </t>
  </si>
  <si>
    <t>TOTAL INTERIM PAYMENT AMOUNT</t>
  </si>
  <si>
    <t>Delta</t>
  </si>
  <si>
    <t>EXHIBIT 8</t>
  </si>
  <si>
    <t>Total Proposed Fixed Price for CLINs 4 -8</t>
  </si>
  <si>
    <t>12 Months</t>
  </si>
  <si>
    <t>Performance Incentive</t>
  </si>
  <si>
    <t>Clin (0004) - Option 1A</t>
  </si>
  <si>
    <t>Clin (0005) - Option 2</t>
  </si>
  <si>
    <t>Clin (0008) - Option 3</t>
  </si>
  <si>
    <t>Clin (0007) - Option 4</t>
  </si>
  <si>
    <t>Clin (0008) - Option 5</t>
  </si>
  <si>
    <t>Total Proposed Fixed Price for CLIN 0004-008):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</si>
</sst>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_([$$-409]* #,##0.00_);_([$$-409]* \(#,##0.00\);_([$$-409]* &quot;-&quot;??_);_(@_)"/>
    <numFmt numFmtId="166" formatCode="_(* #,##0_);_(* \(#,##0\);_(* &quot;-&quot;??_);_(@_)"/>
    <numFmt numFmtId="167" formatCode="_([$$-409]* #,##0_);_([$$-409]* \(#,##0\);_([$$-409]* &quot;-&quot;??_);_(@_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rgb="FFFF0000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Times New Roman"/>
      <family val="1"/>
    </font>
    <font>
      <b/>
      <u/>
      <sz val="12"/>
      <color theme="1"/>
      <name val="Times New Roman"/>
      <family val="1"/>
    </font>
    <font>
      <sz val="8"/>
      <name val="Calibri"/>
      <family val="2"/>
      <scheme val="minor"/>
    </font>
    <font>
      <b/>
      <sz val="11"/>
      <name val="Arial"/>
      <family val="2"/>
    </font>
    <font>
      <sz val="11"/>
      <name val="Arial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</fills>
  <borders count="4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47">
    <xf numFmtId="0" fontId="0" fillId="0" borderId="0" xfId="0"/>
    <xf numFmtId="0" fontId="2" fillId="0" borderId="3" xfId="0" applyFont="1" applyBorder="1"/>
    <xf numFmtId="0" fontId="2" fillId="0" borderId="5" xfId="0" applyFont="1" applyBorder="1"/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3" fillId="0" borderId="9" xfId="0" applyFont="1" applyBorder="1"/>
    <xf numFmtId="0" fontId="2" fillId="0" borderId="15" xfId="0" applyFont="1" applyBorder="1"/>
    <xf numFmtId="0" fontId="3" fillId="0" borderId="16" xfId="0" applyFont="1" applyBorder="1"/>
    <xf numFmtId="0" fontId="0" fillId="0" borderId="15" xfId="0" applyBorder="1"/>
    <xf numFmtId="0" fontId="4" fillId="0" borderId="17" xfId="0" applyFont="1" applyBorder="1"/>
    <xf numFmtId="0" fontId="4" fillId="0" borderId="18" xfId="0" applyFont="1" applyBorder="1"/>
    <xf numFmtId="0" fontId="2" fillId="0" borderId="12" xfId="0" applyFont="1" applyBorder="1" applyAlignment="1">
      <alignment horizontal="left" vertical="center"/>
    </xf>
    <xf numFmtId="0" fontId="2" fillId="0" borderId="15" xfId="0" applyFont="1" applyBorder="1" applyAlignment="1">
      <alignment horizontal="left" vertical="center"/>
    </xf>
    <xf numFmtId="0" fontId="3" fillId="0" borderId="15" xfId="0" applyFont="1" applyBorder="1" applyAlignment="1">
      <alignment horizontal="left" vertical="center"/>
    </xf>
    <xf numFmtId="0" fontId="2" fillId="0" borderId="21" xfId="0" applyFont="1" applyBorder="1"/>
    <xf numFmtId="0" fontId="2" fillId="0" borderId="22" xfId="0" applyFont="1" applyBorder="1"/>
    <xf numFmtId="0" fontId="0" fillId="0" borderId="25" xfId="0" applyBorder="1"/>
    <xf numFmtId="0" fontId="3" fillId="0" borderId="10" xfId="0" applyFont="1" applyBorder="1" applyAlignment="1">
      <alignment horizontal="left" vertical="center"/>
    </xf>
    <xf numFmtId="0" fontId="2" fillId="0" borderId="27" xfId="0" applyFont="1" applyBorder="1" applyAlignment="1">
      <alignment vertical="center"/>
    </xf>
    <xf numFmtId="0" fontId="2" fillId="0" borderId="28" xfId="0" applyFont="1" applyBorder="1" applyAlignment="1">
      <alignment horizontal="center" vertical="center"/>
    </xf>
    <xf numFmtId="0" fontId="3" fillId="0" borderId="22" xfId="0" applyFont="1" applyBorder="1" applyAlignment="1">
      <alignment horizontal="left" vertical="center"/>
    </xf>
    <xf numFmtId="0" fontId="2" fillId="0" borderId="27" xfId="0" applyFont="1" applyBorder="1" applyAlignment="1">
      <alignment horizontal="left" vertical="center"/>
    </xf>
    <xf numFmtId="44" fontId="2" fillId="0" borderId="14" xfId="1" applyFont="1" applyBorder="1" applyAlignment="1">
      <alignment horizontal="center" vertical="center"/>
    </xf>
    <xf numFmtId="0" fontId="3" fillId="0" borderId="24" xfId="0" applyFont="1" applyBorder="1" applyAlignment="1">
      <alignment horizontal="left" vertical="center"/>
    </xf>
    <xf numFmtId="0" fontId="3" fillId="0" borderId="15" xfId="0" applyFont="1" applyBorder="1" applyAlignment="1">
      <alignment horizontal="center" vertical="center"/>
    </xf>
    <xf numFmtId="0" fontId="4" fillId="0" borderId="17" xfId="0" applyFont="1" applyBorder="1" applyAlignment="1">
      <alignment vertical="center"/>
    </xf>
    <xf numFmtId="0" fontId="3" fillId="0" borderId="15" xfId="0" applyFont="1" applyFill="1" applyBorder="1" applyAlignment="1">
      <alignment horizontal="left" vertical="center"/>
    </xf>
    <xf numFmtId="0" fontId="3" fillId="0" borderId="12" xfId="0" applyFont="1" applyFill="1" applyBorder="1" applyAlignment="1">
      <alignment horizontal="left" vertical="center"/>
    </xf>
    <xf numFmtId="0" fontId="3" fillId="0" borderId="15" xfId="0" applyFont="1" applyFill="1" applyBorder="1"/>
    <xf numFmtId="0" fontId="2" fillId="0" borderId="25" xfId="0" applyFont="1" applyBorder="1" applyAlignment="1">
      <alignment horizontal="center" vertical="center"/>
    </xf>
    <xf numFmtId="0" fontId="2" fillId="0" borderId="8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2" fillId="0" borderId="33" xfId="0" applyFont="1" applyBorder="1" applyAlignment="1">
      <alignment horizontal="left" vertical="center" wrapText="1"/>
    </xf>
    <xf numFmtId="0" fontId="2" fillId="0" borderId="34" xfId="0" applyFont="1" applyBorder="1" applyAlignment="1">
      <alignment horizontal="center" vertical="center"/>
    </xf>
    <xf numFmtId="0" fontId="0" fillId="0" borderId="24" xfId="0" applyBorder="1"/>
    <xf numFmtId="0" fontId="2" fillId="0" borderId="6" xfId="0" applyFont="1" applyBorder="1" applyAlignment="1">
      <alignment horizontal="left" vertical="center" wrapText="1"/>
    </xf>
    <xf numFmtId="0" fontId="6" fillId="0" borderId="0" xfId="0" applyFont="1" applyAlignment="1">
      <alignment vertical="center"/>
    </xf>
    <xf numFmtId="0" fontId="2" fillId="0" borderId="35" xfId="0" applyFont="1" applyBorder="1" applyAlignment="1">
      <alignment horizontal="center" vertical="center" wrapText="1"/>
    </xf>
    <xf numFmtId="0" fontId="2" fillId="0" borderId="36" xfId="0" applyFont="1" applyBorder="1" applyAlignment="1">
      <alignment horizontal="center" vertical="center"/>
    </xf>
    <xf numFmtId="0" fontId="2" fillId="0" borderId="35" xfId="0" applyFont="1" applyBorder="1" applyAlignment="1">
      <alignment horizontal="left" vertical="center" wrapText="1"/>
    </xf>
    <xf numFmtId="0" fontId="2" fillId="0" borderId="27" xfId="0" applyFont="1" applyBorder="1" applyAlignment="1">
      <alignment horizontal="left" vertical="center" wrapText="1"/>
    </xf>
    <xf numFmtId="44" fontId="2" fillId="0" borderId="25" xfId="1" applyFont="1" applyBorder="1" applyAlignment="1">
      <alignment horizontal="center" vertical="center"/>
    </xf>
    <xf numFmtId="44" fontId="2" fillId="0" borderId="32" xfId="1" applyFont="1" applyBorder="1" applyAlignment="1">
      <alignment horizontal="center" vertical="center"/>
    </xf>
    <xf numFmtId="44" fontId="2" fillId="0" borderId="25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2" fillId="0" borderId="36" xfId="0" applyFont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 wrapText="1"/>
    </xf>
    <xf numFmtId="0" fontId="2" fillId="0" borderId="30" xfId="0" applyFont="1" applyBorder="1" applyAlignment="1">
      <alignment horizontal="left" vertical="center" wrapText="1"/>
    </xf>
    <xf numFmtId="0" fontId="0" fillId="0" borderId="4" xfId="0" applyBorder="1"/>
    <xf numFmtId="0" fontId="4" fillId="0" borderId="31" xfId="0" applyFont="1" applyBorder="1"/>
    <xf numFmtId="0" fontId="2" fillId="0" borderId="4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left" vertical="center" wrapText="1"/>
    </xf>
    <xf numFmtId="164" fontId="0" fillId="0" borderId="16" xfId="0" applyNumberFormat="1" applyBorder="1"/>
    <xf numFmtId="0" fontId="9" fillId="0" borderId="5" xfId="0" applyFont="1" applyBorder="1"/>
    <xf numFmtId="0" fontId="10" fillId="0" borderId="9" xfId="0" applyFont="1" applyBorder="1"/>
    <xf numFmtId="0" fontId="9" fillId="0" borderId="15" xfId="0" applyFont="1" applyBorder="1"/>
    <xf numFmtId="0" fontId="10" fillId="0" borderId="16" xfId="0" applyFont="1" applyBorder="1"/>
    <xf numFmtId="0" fontId="9" fillId="0" borderId="6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left" vertical="center" wrapText="1"/>
    </xf>
    <xf numFmtId="164" fontId="10" fillId="0" borderId="11" xfId="1" applyNumberFormat="1" applyFont="1" applyBorder="1" applyAlignment="1">
      <alignment horizontal="center" vertical="center"/>
    </xf>
    <xf numFmtId="0" fontId="9" fillId="0" borderId="12" xfId="0" applyFont="1" applyBorder="1" applyAlignment="1">
      <alignment horizontal="left" vertical="center" wrapText="1"/>
    </xf>
    <xf numFmtId="164" fontId="10" fillId="0" borderId="13" xfId="1" applyNumberFormat="1" applyFont="1" applyBorder="1" applyAlignment="1">
      <alignment horizontal="center" vertical="center"/>
    </xf>
    <xf numFmtId="0" fontId="9" fillId="0" borderId="6" xfId="0" applyFont="1" applyBorder="1" applyAlignment="1">
      <alignment horizontal="left" vertical="center"/>
    </xf>
    <xf numFmtId="164" fontId="10" fillId="0" borderId="14" xfId="1" applyNumberFormat="1" applyFont="1" applyBorder="1" applyAlignment="1">
      <alignment horizontal="center" vertical="center"/>
    </xf>
    <xf numFmtId="0" fontId="2" fillId="0" borderId="38" xfId="0" applyFont="1" applyBorder="1"/>
    <xf numFmtId="165" fontId="3" fillId="0" borderId="21" xfId="1" applyNumberFormat="1" applyFont="1" applyBorder="1"/>
    <xf numFmtId="165" fontId="3" fillId="0" borderId="3" xfId="1" applyNumberFormat="1" applyFont="1" applyBorder="1"/>
    <xf numFmtId="165" fontId="3" fillId="0" borderId="19" xfId="1" applyNumberFormat="1" applyFont="1" applyBorder="1"/>
    <xf numFmtId="165" fontId="2" fillId="0" borderId="29" xfId="1" applyNumberFormat="1" applyFont="1" applyBorder="1" applyAlignment="1">
      <alignment horizontal="center" vertical="center"/>
    </xf>
    <xf numFmtId="165" fontId="2" fillId="0" borderId="14" xfId="1" applyNumberFormat="1" applyFont="1" applyBorder="1" applyAlignment="1">
      <alignment horizontal="center" vertical="center"/>
    </xf>
    <xf numFmtId="165" fontId="3" fillId="0" borderId="26" xfId="1" applyNumberFormat="1" applyFont="1" applyBorder="1" applyAlignment="1">
      <alignment horizontal="center" vertical="center"/>
    </xf>
    <xf numFmtId="165" fontId="3" fillId="0" borderId="11" xfId="1" applyNumberFormat="1" applyFont="1" applyBorder="1" applyAlignment="1">
      <alignment horizontal="center" vertical="center"/>
    </xf>
    <xf numFmtId="165" fontId="3" fillId="2" borderId="1" xfId="1" applyNumberFormat="1" applyFont="1" applyFill="1" applyBorder="1" applyAlignment="1">
      <alignment horizontal="center" vertical="center"/>
    </xf>
    <xf numFmtId="165" fontId="3" fillId="0" borderId="3" xfId="1" applyNumberFormat="1" applyFont="1" applyBorder="1" applyAlignment="1">
      <alignment horizontal="center" vertical="center"/>
    </xf>
    <xf numFmtId="165" fontId="3" fillId="0" borderId="2" xfId="1" applyNumberFormat="1" applyFont="1" applyBorder="1" applyAlignment="1">
      <alignment horizontal="center" vertical="center"/>
    </xf>
    <xf numFmtId="165" fontId="3" fillId="0" borderId="19" xfId="1" applyNumberFormat="1" applyFont="1" applyBorder="1" applyAlignment="1">
      <alignment horizontal="center" vertical="center"/>
    </xf>
    <xf numFmtId="165" fontId="3" fillId="0" borderId="29" xfId="1" applyNumberFormat="1" applyFont="1" applyBorder="1" applyAlignment="1">
      <alignment horizontal="center" vertical="center"/>
    </xf>
    <xf numFmtId="165" fontId="3" fillId="0" borderId="4" xfId="1" applyNumberFormat="1" applyFont="1" applyBorder="1" applyAlignment="1">
      <alignment horizontal="center" vertical="center"/>
    </xf>
    <xf numFmtId="165" fontId="3" fillId="0" borderId="3" xfId="1" applyNumberFormat="1" applyFont="1" applyBorder="1" applyAlignment="1">
      <alignment horizontal="center"/>
    </xf>
    <xf numFmtId="165" fontId="4" fillId="0" borderId="20" xfId="1" applyNumberFormat="1" applyFont="1" applyBorder="1" applyAlignment="1">
      <alignment vertical="center"/>
    </xf>
    <xf numFmtId="165" fontId="0" fillId="0" borderId="0" xfId="1" applyNumberFormat="1" applyFont="1"/>
    <xf numFmtId="0" fontId="5" fillId="0" borderId="22" xfId="0" applyFont="1" applyBorder="1"/>
    <xf numFmtId="0" fontId="2" fillId="0" borderId="37" xfId="0" applyFont="1" applyBorder="1"/>
    <xf numFmtId="165" fontId="3" fillId="0" borderId="39" xfId="1" applyNumberFormat="1" applyFont="1" applyBorder="1"/>
    <xf numFmtId="0" fontId="0" fillId="0" borderId="39" xfId="0" applyBorder="1"/>
    <xf numFmtId="0" fontId="0" fillId="0" borderId="36" xfId="0" applyBorder="1"/>
    <xf numFmtId="167" fontId="0" fillId="0" borderId="9" xfId="1" applyNumberFormat="1" applyFont="1" applyBorder="1"/>
    <xf numFmtId="167" fontId="0" fillId="0" borderId="16" xfId="1" applyNumberFormat="1" applyFont="1" applyBorder="1"/>
    <xf numFmtId="167" fontId="0" fillId="0" borderId="23" xfId="1" applyNumberFormat="1" applyFont="1" applyBorder="1"/>
    <xf numFmtId="167" fontId="0" fillId="0" borderId="36" xfId="1" applyNumberFormat="1" applyFont="1" applyBorder="1"/>
    <xf numFmtId="167" fontId="2" fillId="0" borderId="14" xfId="1" applyNumberFormat="1" applyFont="1" applyBorder="1" applyAlignment="1">
      <alignment horizontal="center" vertical="center"/>
    </xf>
    <xf numFmtId="167" fontId="3" fillId="0" borderId="11" xfId="1" applyNumberFormat="1" applyFont="1" applyBorder="1" applyAlignment="1">
      <alignment horizontal="center" vertical="center"/>
    </xf>
    <xf numFmtId="167" fontId="2" fillId="0" borderId="13" xfId="1" applyNumberFormat="1" applyFont="1" applyBorder="1" applyAlignment="1">
      <alignment horizontal="center" vertical="center"/>
    </xf>
    <xf numFmtId="167" fontId="0" fillId="0" borderId="16" xfId="1" applyNumberFormat="1" applyFont="1" applyBorder="1" applyAlignment="1">
      <alignment vertical="center"/>
    </xf>
    <xf numFmtId="167" fontId="3" fillId="0" borderId="13" xfId="1" applyNumberFormat="1" applyFont="1" applyBorder="1" applyAlignment="1">
      <alignment horizontal="center" vertical="center"/>
    </xf>
    <xf numFmtId="167" fontId="0" fillId="0" borderId="23" xfId="1" applyNumberFormat="1" applyFont="1" applyBorder="1" applyAlignment="1">
      <alignment vertical="center"/>
    </xf>
    <xf numFmtId="167" fontId="0" fillId="0" borderId="18" xfId="1" applyNumberFormat="1" applyFont="1" applyBorder="1" applyAlignment="1">
      <alignment vertical="center"/>
    </xf>
    <xf numFmtId="167" fontId="0" fillId="0" borderId="0" xfId="1" applyNumberFormat="1" applyFont="1"/>
    <xf numFmtId="167" fontId="0" fillId="0" borderId="25" xfId="1" applyNumberFormat="1" applyFont="1" applyBorder="1"/>
    <xf numFmtId="167" fontId="11" fillId="0" borderId="32" xfId="1" applyNumberFormat="1" applyFont="1" applyBorder="1" applyAlignment="1">
      <alignment vertical="center"/>
    </xf>
    <xf numFmtId="0" fontId="2" fillId="0" borderId="21" xfId="0" applyFont="1" applyBorder="1" applyAlignment="1">
      <alignment horizontal="right"/>
    </xf>
    <xf numFmtId="0" fontId="2" fillId="0" borderId="3" xfId="0" applyFont="1" applyBorder="1" applyAlignment="1">
      <alignment horizontal="right"/>
    </xf>
    <xf numFmtId="0" fontId="2" fillId="0" borderId="19" xfId="0" applyFont="1" applyBorder="1" applyAlignment="1">
      <alignment horizontal="right"/>
    </xf>
    <xf numFmtId="0" fontId="2" fillId="0" borderId="39" xfId="0" applyFont="1" applyBorder="1" applyAlignment="1">
      <alignment horizontal="right"/>
    </xf>
    <xf numFmtId="0" fontId="2" fillId="0" borderId="31" xfId="0" applyFont="1" applyBorder="1" applyAlignment="1">
      <alignment horizontal="right"/>
    </xf>
    <xf numFmtId="0" fontId="2" fillId="0" borderId="28" xfId="0" applyFont="1" applyBorder="1" applyAlignment="1">
      <alignment horizontal="right" vertical="center"/>
    </xf>
    <xf numFmtId="0" fontId="3" fillId="0" borderId="26" xfId="0" applyFont="1" applyBorder="1" applyAlignment="1">
      <alignment horizontal="right" vertical="center"/>
    </xf>
    <xf numFmtId="166" fontId="2" fillId="0" borderId="13" xfId="2" applyNumberFormat="1" applyFont="1" applyBorder="1" applyAlignment="1">
      <alignment horizontal="right" vertical="center"/>
    </xf>
    <xf numFmtId="0" fontId="3" fillId="0" borderId="3" xfId="0" applyFont="1" applyBorder="1" applyAlignment="1">
      <alignment horizontal="right" vertical="center"/>
    </xf>
    <xf numFmtId="0" fontId="2" fillId="0" borderId="3" xfId="0" applyFont="1" applyBorder="1" applyAlignment="1">
      <alignment horizontal="right" vertical="center"/>
    </xf>
    <xf numFmtId="0" fontId="2" fillId="0" borderId="19" xfId="0" applyFont="1" applyBorder="1" applyAlignment="1">
      <alignment horizontal="right" vertical="center"/>
    </xf>
    <xf numFmtId="0" fontId="2" fillId="0" borderId="30" xfId="0" applyFont="1" applyBorder="1" applyAlignment="1">
      <alignment horizontal="right" vertical="center"/>
    </xf>
    <xf numFmtId="0" fontId="2" fillId="0" borderId="4" xfId="0" applyFont="1" applyBorder="1" applyAlignment="1">
      <alignment horizontal="right" vertical="center"/>
    </xf>
    <xf numFmtId="0" fontId="4" fillId="0" borderId="31" xfId="0" applyFont="1" applyBorder="1" applyAlignment="1">
      <alignment horizontal="right" vertical="center"/>
    </xf>
    <xf numFmtId="0" fontId="0" fillId="0" borderId="0" xfId="0" applyAlignment="1">
      <alignment horizontal="right"/>
    </xf>
    <xf numFmtId="0" fontId="2" fillId="0" borderId="1" xfId="0" applyFont="1" applyBorder="1" applyAlignment="1">
      <alignment horizontal="left" vertical="center" wrapText="1"/>
    </xf>
    <xf numFmtId="0" fontId="0" fillId="0" borderId="1" xfId="0" applyBorder="1"/>
    <xf numFmtId="0" fontId="4" fillId="0" borderId="1" xfId="0" applyFont="1" applyBorder="1"/>
    <xf numFmtId="0" fontId="2" fillId="0" borderId="26" xfId="0" applyFont="1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center" wrapText="1"/>
    </xf>
    <xf numFmtId="0" fontId="3" fillId="0" borderId="23" xfId="0" applyFont="1" applyBorder="1"/>
    <xf numFmtId="0" fontId="6" fillId="0" borderId="17" xfId="0" applyFont="1" applyBorder="1" applyAlignment="1">
      <alignment vertical="center"/>
    </xf>
    <xf numFmtId="0" fontId="0" fillId="0" borderId="31" xfId="0" applyBorder="1"/>
    <xf numFmtId="0" fontId="0" fillId="0" borderId="18" xfId="0" applyBorder="1"/>
    <xf numFmtId="0" fontId="2" fillId="0" borderId="40" xfId="0" applyFont="1" applyBorder="1" applyAlignment="1">
      <alignment horizontal="center" vertical="center" wrapText="1"/>
    </xf>
    <xf numFmtId="0" fontId="2" fillId="0" borderId="40" xfId="0" applyFont="1" applyBorder="1" applyAlignment="1">
      <alignment horizontal="center" vertical="center"/>
    </xf>
    <xf numFmtId="0" fontId="2" fillId="0" borderId="40" xfId="0" applyFont="1" applyBorder="1" applyAlignment="1">
      <alignment horizontal="left" vertical="center" wrapText="1"/>
    </xf>
    <xf numFmtId="0" fontId="2" fillId="0" borderId="26" xfId="0" applyFont="1" applyBorder="1" applyAlignment="1">
      <alignment horizontal="center" vertical="center"/>
    </xf>
    <xf numFmtId="0" fontId="2" fillId="0" borderId="28" xfId="0" applyFont="1" applyBorder="1" applyAlignment="1">
      <alignment horizontal="left" vertical="center" wrapText="1"/>
    </xf>
    <xf numFmtId="0" fontId="2" fillId="0" borderId="14" xfId="0" applyFont="1" applyBorder="1" applyAlignment="1">
      <alignment horizontal="left" vertical="center" wrapText="1"/>
    </xf>
    <xf numFmtId="0" fontId="2" fillId="0" borderId="26" xfId="0" applyFont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7" fillId="0" borderId="37" xfId="0" applyFont="1" applyBorder="1" applyAlignment="1">
      <alignment horizontal="center" vertical="center"/>
    </xf>
    <xf numFmtId="0" fontId="7" fillId="0" borderId="39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3" fillId="0" borderId="15" xfId="0" applyFont="1" applyFill="1" applyBorder="1" applyAlignment="1">
      <alignment horizontal="left" vertical="center" wrapText="1"/>
    </xf>
    <xf numFmtId="0" fontId="3" fillId="0" borderId="3" xfId="0" applyFont="1" applyFill="1" applyBorder="1" applyAlignment="1">
      <alignment horizontal="left" vertical="center" wrapText="1"/>
    </xf>
    <xf numFmtId="0" fontId="3" fillId="0" borderId="16" xfId="0" applyFont="1" applyFill="1" applyBorder="1" applyAlignment="1">
      <alignment horizontal="left" vertical="center" wrapText="1"/>
    </xf>
    <xf numFmtId="0" fontId="7" fillId="0" borderId="0" xfId="0" applyFont="1" applyAlignment="1">
      <alignment horizontal="center" vertical="center"/>
    </xf>
  </cellXfs>
  <cellStyles count="3">
    <cellStyle name="Comma" xfId="2" builtinId="3"/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19"/>
  <sheetViews>
    <sheetView workbookViewId="0"/>
  </sheetViews>
  <sheetFormatPr defaultRowHeight="15" x14ac:dyDescent="0.25"/>
  <cols>
    <col min="1" max="1" width="44.7109375" customWidth="1"/>
    <col min="2" max="2" width="28.28515625" customWidth="1"/>
  </cols>
  <sheetData>
    <row r="1" spans="1:2" x14ac:dyDescent="0.25">
      <c r="A1" s="55" t="s">
        <v>0</v>
      </c>
      <c r="B1" s="56"/>
    </row>
    <row r="2" spans="1:2" x14ac:dyDescent="0.25">
      <c r="A2" s="57" t="s">
        <v>1</v>
      </c>
      <c r="B2" s="58"/>
    </row>
    <row r="3" spans="1:2" x14ac:dyDescent="0.25">
      <c r="A3" s="57"/>
      <c r="B3" s="58"/>
    </row>
    <row r="4" spans="1:2" x14ac:dyDescent="0.25">
      <c r="A4" s="57" t="s">
        <v>2</v>
      </c>
      <c r="B4" s="58"/>
    </row>
    <row r="5" spans="1:2" x14ac:dyDescent="0.25">
      <c r="A5" s="57" t="s">
        <v>3</v>
      </c>
      <c r="B5" s="58"/>
    </row>
    <row r="6" spans="1:2" ht="15.75" thickBot="1" x14ac:dyDescent="0.3">
      <c r="A6" s="57"/>
      <c r="B6" s="58"/>
    </row>
    <row r="7" spans="1:2" ht="15.75" thickBot="1" x14ac:dyDescent="0.3">
      <c r="A7" s="59" t="s">
        <v>4</v>
      </c>
      <c r="B7" s="60" t="s">
        <v>5</v>
      </c>
    </row>
    <row r="8" spans="1:2" ht="10.15" customHeight="1" x14ac:dyDescent="0.25">
      <c r="A8" s="61"/>
      <c r="B8" s="62"/>
    </row>
    <row r="9" spans="1:2" ht="19.899999999999999" customHeight="1" x14ac:dyDescent="0.25">
      <c r="A9" s="63" t="s">
        <v>6</v>
      </c>
      <c r="B9" s="64" t="str">
        <f>+'Exh3 - MTN'!$B$13</f>
        <v>TBP</v>
      </c>
    </row>
    <row r="10" spans="1:2" ht="10.15" customHeight="1" x14ac:dyDescent="0.25">
      <c r="A10" s="65"/>
      <c r="B10" s="66"/>
    </row>
    <row r="11" spans="1:2" ht="19.899999999999999" customHeight="1" x14ac:dyDescent="0.25">
      <c r="A11" s="65" t="s">
        <v>7</v>
      </c>
      <c r="B11" s="66" t="s">
        <v>8</v>
      </c>
    </row>
    <row r="12" spans="1:2" ht="10.15" customHeight="1" x14ac:dyDescent="0.25">
      <c r="A12" s="65"/>
      <c r="B12" s="66"/>
    </row>
    <row r="13" spans="1:2" ht="30" x14ac:dyDescent="0.25">
      <c r="A13" s="65" t="s">
        <v>9</v>
      </c>
      <c r="B13" s="66" t="str">
        <f>+'Exh6 - LMI&amp;O'!B13</f>
        <v>TBP</v>
      </c>
    </row>
    <row r="14" spans="1:2" ht="10.15" customHeight="1" x14ac:dyDescent="0.25">
      <c r="A14" s="65"/>
      <c r="B14" s="66"/>
    </row>
    <row r="15" spans="1:2" ht="19.899999999999999" customHeight="1" x14ac:dyDescent="0.25">
      <c r="A15" s="65" t="s">
        <v>10</v>
      </c>
      <c r="B15" s="66" t="s">
        <v>8</v>
      </c>
    </row>
    <row r="16" spans="1:2" ht="10.15" customHeight="1" thickBot="1" x14ac:dyDescent="0.3">
      <c r="A16" s="65"/>
      <c r="B16" s="66"/>
    </row>
    <row r="17" spans="1:2" ht="19.899999999999999" customHeight="1" thickBot="1" x14ac:dyDescent="0.3">
      <c r="A17" s="67" t="s">
        <v>11</v>
      </c>
      <c r="B17" s="68">
        <v>0</v>
      </c>
    </row>
    <row r="18" spans="1:2" x14ac:dyDescent="0.25">
      <c r="A18" s="9"/>
      <c r="B18" s="54">
        <f>SUM(B11:B17)</f>
        <v>0</v>
      </c>
    </row>
    <row r="19" spans="1:2" ht="15.75" thickBot="1" x14ac:dyDescent="0.3">
      <c r="A19" s="10" t="s">
        <v>12</v>
      </c>
      <c r="B19" s="11"/>
    </row>
  </sheetData>
  <printOptions horizontalCentered="1"/>
  <pageMargins left="0.45" right="0.45" top="0.5" bottom="0.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56116-860E-4A09-BA77-A13112010C5D}">
  <sheetPr>
    <pageSetUpPr fitToPage="1"/>
  </sheetPr>
  <dimension ref="A1:B15"/>
  <sheetViews>
    <sheetView workbookViewId="0"/>
  </sheetViews>
  <sheetFormatPr defaultRowHeight="15" x14ac:dyDescent="0.25"/>
  <cols>
    <col min="1" max="1" width="44.140625" customWidth="1"/>
    <col min="2" max="2" width="28.28515625" customWidth="1"/>
  </cols>
  <sheetData>
    <row r="1" spans="1:2" x14ac:dyDescent="0.25">
      <c r="A1" s="2" t="s">
        <v>0</v>
      </c>
      <c r="B1" s="6"/>
    </row>
    <row r="2" spans="1:2" x14ac:dyDescent="0.25">
      <c r="A2" s="7" t="s">
        <v>1</v>
      </c>
      <c r="B2" s="8"/>
    </row>
    <row r="3" spans="1:2" x14ac:dyDescent="0.25">
      <c r="A3" s="7"/>
      <c r="B3" s="8"/>
    </row>
    <row r="4" spans="1:2" x14ac:dyDescent="0.25">
      <c r="A4" s="7" t="s">
        <v>13</v>
      </c>
      <c r="B4" s="8"/>
    </row>
    <row r="5" spans="1:2" x14ac:dyDescent="0.25">
      <c r="A5" s="7" t="s">
        <v>14</v>
      </c>
      <c r="B5" s="8"/>
    </row>
    <row r="6" spans="1:2" ht="15.75" thickBot="1" x14ac:dyDescent="0.3">
      <c r="A6" s="7"/>
      <c r="B6" s="8"/>
    </row>
    <row r="7" spans="1:2" ht="15.75" thickBot="1" x14ac:dyDescent="0.3">
      <c r="A7" s="3" t="s">
        <v>4</v>
      </c>
      <c r="B7" s="4" t="s">
        <v>5</v>
      </c>
    </row>
    <row r="8" spans="1:2" ht="26.25" customHeight="1" x14ac:dyDescent="0.25">
      <c r="A8" s="31"/>
      <c r="B8" s="5"/>
    </row>
    <row r="9" spans="1:2" ht="26.25" customHeight="1" x14ac:dyDescent="0.25">
      <c r="A9" s="32" t="s">
        <v>15</v>
      </c>
      <c r="B9" s="30" t="s">
        <v>8</v>
      </c>
    </row>
    <row r="10" spans="1:2" ht="26.25" customHeight="1" x14ac:dyDescent="0.25">
      <c r="A10" s="32"/>
      <c r="B10" s="30"/>
    </row>
    <row r="11" spans="1:2" ht="26.25" customHeight="1" x14ac:dyDescent="0.25">
      <c r="A11" s="32" t="s">
        <v>16</v>
      </c>
      <c r="B11" s="30" t="s">
        <v>8</v>
      </c>
    </row>
    <row r="12" spans="1:2" ht="26.25" customHeight="1" thickBot="1" x14ac:dyDescent="0.3">
      <c r="A12" s="33"/>
      <c r="B12" s="34"/>
    </row>
    <row r="13" spans="1:2" ht="26.25" customHeight="1" thickBot="1" x14ac:dyDescent="0.3">
      <c r="A13" s="36" t="s">
        <v>17</v>
      </c>
      <c r="B13" s="4" t="s">
        <v>8</v>
      </c>
    </row>
    <row r="14" spans="1:2" x14ac:dyDescent="0.25">
      <c r="A14" s="35"/>
      <c r="B14" s="17"/>
    </row>
    <row r="15" spans="1:2" ht="15.75" thickBot="1" x14ac:dyDescent="0.3">
      <c r="A15" s="10" t="s">
        <v>12</v>
      </c>
      <c r="B15" s="11"/>
    </row>
  </sheetData>
  <phoneticPr fontId="8" type="noConversion"/>
  <printOptions horizontalCentered="1"/>
  <pageMargins left="0.45" right="0.45" top="0.5" bottom="0.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4D2A9-DD2E-474C-A70C-C4F13B99DFC1}">
  <sheetPr>
    <pageSetUpPr fitToPage="1"/>
  </sheetPr>
  <dimension ref="A1:F34"/>
  <sheetViews>
    <sheetView workbookViewId="0">
      <selection activeCell="A4" sqref="A4"/>
    </sheetView>
  </sheetViews>
  <sheetFormatPr defaultRowHeight="15" x14ac:dyDescent="0.25"/>
  <cols>
    <col min="1" max="1" width="33.140625" customWidth="1"/>
    <col min="2" max="2" width="28.28515625" customWidth="1"/>
    <col min="3" max="3" width="15.7109375" customWidth="1"/>
    <col min="4" max="4" width="20.85546875" customWidth="1"/>
    <col min="5" max="5" width="22.5703125" customWidth="1"/>
    <col min="6" max="6" width="24.42578125" customWidth="1"/>
  </cols>
  <sheetData>
    <row r="1" spans="1:6" x14ac:dyDescent="0.25">
      <c r="A1" s="2" t="s">
        <v>0</v>
      </c>
      <c r="B1" s="6"/>
    </row>
    <row r="2" spans="1:6" x14ac:dyDescent="0.25">
      <c r="A2" s="7" t="s">
        <v>1</v>
      </c>
      <c r="B2" s="8"/>
    </row>
    <row r="3" spans="1:6" x14ac:dyDescent="0.25">
      <c r="A3" s="7"/>
      <c r="B3" s="8"/>
    </row>
    <row r="4" spans="1:6" x14ac:dyDescent="0.25">
      <c r="A4" s="7" t="s">
        <v>18</v>
      </c>
      <c r="B4" s="8"/>
    </row>
    <row r="5" spans="1:6" x14ac:dyDescent="0.25">
      <c r="A5" s="7" t="s">
        <v>14</v>
      </c>
      <c r="B5" s="8"/>
    </row>
    <row r="6" spans="1:6" ht="15.75" thickBot="1" x14ac:dyDescent="0.3">
      <c r="A6" s="16"/>
      <c r="B6" s="125"/>
    </row>
    <row r="7" spans="1:6" ht="15.75" x14ac:dyDescent="0.25">
      <c r="A7" s="138" t="s">
        <v>19</v>
      </c>
      <c r="B7" s="139"/>
      <c r="C7" s="139"/>
      <c r="D7" s="139"/>
      <c r="E7" s="139"/>
      <c r="F7" s="140"/>
    </row>
    <row r="8" spans="1:6" ht="16.5" thickBot="1" x14ac:dyDescent="0.3">
      <c r="A8" s="126"/>
      <c r="B8" s="127"/>
      <c r="C8" s="127"/>
      <c r="D8" s="127"/>
      <c r="E8" s="127"/>
      <c r="F8" s="128"/>
    </row>
    <row r="9" spans="1:6" ht="45.75" thickBot="1" x14ac:dyDescent="0.3">
      <c r="A9" s="124" t="s">
        <v>20</v>
      </c>
      <c r="B9" s="124" t="s">
        <v>4</v>
      </c>
      <c r="C9" s="124" t="s">
        <v>21</v>
      </c>
      <c r="D9" s="124" t="s">
        <v>22</v>
      </c>
      <c r="E9" s="124" t="s">
        <v>23</v>
      </c>
      <c r="F9" s="124" t="s">
        <v>24</v>
      </c>
    </row>
    <row r="10" spans="1:6" ht="15.75" thickBot="1" x14ac:dyDescent="0.3">
      <c r="A10" s="129"/>
      <c r="B10" s="129"/>
      <c r="C10" s="129"/>
      <c r="D10" s="129"/>
      <c r="E10" s="129"/>
      <c r="F10" s="129"/>
    </row>
    <row r="11" spans="1:6" ht="15.75" thickBot="1" x14ac:dyDescent="0.3">
      <c r="A11" s="36" t="s">
        <v>25</v>
      </c>
      <c r="B11" s="133"/>
      <c r="C11" s="133"/>
      <c r="D11" s="20" t="s">
        <v>8</v>
      </c>
      <c r="E11" s="133"/>
      <c r="F11" s="134"/>
    </row>
    <row r="12" spans="1:6" ht="15.75" thickBot="1" x14ac:dyDescent="0.3">
      <c r="A12" s="129"/>
      <c r="B12" s="129"/>
      <c r="C12" s="129"/>
      <c r="D12" s="130"/>
      <c r="E12" s="129"/>
      <c r="F12" s="129"/>
    </row>
    <row r="13" spans="1:6" ht="15.75" thickBot="1" x14ac:dyDescent="0.3">
      <c r="A13" s="36" t="s">
        <v>26</v>
      </c>
      <c r="B13" s="133"/>
      <c r="C13" s="133"/>
      <c r="D13" s="20" t="s">
        <v>8</v>
      </c>
      <c r="E13" s="133"/>
      <c r="F13" s="134"/>
    </row>
    <row r="14" spans="1:6" ht="15.75" thickBot="1" x14ac:dyDescent="0.3">
      <c r="A14" s="131"/>
      <c r="B14" s="131"/>
      <c r="C14" s="131"/>
      <c r="D14" s="130"/>
      <c r="E14" s="131"/>
      <c r="F14" s="131"/>
    </row>
    <row r="15" spans="1:6" ht="15.75" thickBot="1" x14ac:dyDescent="0.3">
      <c r="A15" s="36" t="s">
        <v>27</v>
      </c>
      <c r="B15" s="133"/>
      <c r="C15" s="133"/>
      <c r="D15" s="20" t="s">
        <v>8</v>
      </c>
      <c r="E15" s="133"/>
      <c r="F15" s="134"/>
    </row>
    <row r="16" spans="1:6" ht="15.75" thickBot="1" x14ac:dyDescent="0.3">
      <c r="A16" s="129"/>
      <c r="B16" s="129"/>
      <c r="C16" s="129"/>
      <c r="D16" s="130"/>
      <c r="E16" s="129"/>
      <c r="F16" s="129"/>
    </row>
    <row r="17" spans="1:6" ht="15.75" thickBot="1" x14ac:dyDescent="0.3">
      <c r="A17" s="36" t="s">
        <v>28</v>
      </c>
      <c r="B17" s="133"/>
      <c r="C17" s="133"/>
      <c r="D17" s="20" t="s">
        <v>8</v>
      </c>
      <c r="E17" s="133"/>
      <c r="F17" s="134"/>
    </row>
    <row r="18" spans="1:6" ht="15.75" thickBot="1" x14ac:dyDescent="0.3">
      <c r="A18" s="131"/>
      <c r="B18" s="131"/>
      <c r="C18" s="131"/>
      <c r="D18" s="130"/>
      <c r="E18" s="131"/>
      <c r="F18" s="131"/>
    </row>
    <row r="19" spans="1:6" ht="15.75" thickBot="1" x14ac:dyDescent="0.3">
      <c r="A19" s="36" t="s">
        <v>29</v>
      </c>
      <c r="B19" s="133"/>
      <c r="C19" s="133"/>
      <c r="D19" s="20" t="s">
        <v>8</v>
      </c>
      <c r="E19" s="133"/>
      <c r="F19" s="134"/>
    </row>
    <row r="20" spans="1:6" ht="15.75" thickBot="1" x14ac:dyDescent="0.3">
      <c r="A20" s="129"/>
      <c r="B20" s="129"/>
      <c r="C20" s="129"/>
      <c r="D20" s="130"/>
      <c r="E20" s="129"/>
      <c r="F20" s="129"/>
    </row>
    <row r="21" spans="1:6" ht="15.75" thickBot="1" x14ac:dyDescent="0.3">
      <c r="A21" s="36" t="s">
        <v>30</v>
      </c>
      <c r="B21" s="133"/>
      <c r="C21" s="133"/>
      <c r="D21" s="20" t="s">
        <v>8</v>
      </c>
      <c r="E21" s="133"/>
      <c r="F21" s="134"/>
    </row>
    <row r="22" spans="1:6" ht="15.75" thickBot="1" x14ac:dyDescent="0.3">
      <c r="A22" s="131"/>
      <c r="B22" s="131"/>
      <c r="C22" s="131"/>
      <c r="D22" s="130"/>
      <c r="E22" s="131"/>
      <c r="F22" s="131"/>
    </row>
    <row r="23" spans="1:6" ht="15.75" thickBot="1" x14ac:dyDescent="0.3">
      <c r="A23" s="36" t="s">
        <v>31</v>
      </c>
      <c r="B23" s="133"/>
      <c r="C23" s="133"/>
      <c r="D23" s="20" t="s">
        <v>8</v>
      </c>
      <c r="E23" s="133"/>
      <c r="F23" s="134"/>
    </row>
    <row r="24" spans="1:6" ht="15.75" thickBot="1" x14ac:dyDescent="0.3">
      <c r="A24" s="129"/>
      <c r="B24" s="129"/>
      <c r="C24" s="129"/>
      <c r="D24" s="130"/>
      <c r="E24" s="129"/>
      <c r="F24" s="129"/>
    </row>
    <row r="25" spans="1:6" ht="15.75" thickBot="1" x14ac:dyDescent="0.3">
      <c r="A25" s="36" t="s">
        <v>32</v>
      </c>
      <c r="B25" s="133"/>
      <c r="C25" s="133"/>
      <c r="D25" s="20" t="s">
        <v>8</v>
      </c>
      <c r="E25" s="133"/>
      <c r="F25" s="134"/>
    </row>
    <row r="26" spans="1:6" ht="15.75" thickBot="1" x14ac:dyDescent="0.3">
      <c r="A26" s="131"/>
      <c r="B26" s="131"/>
      <c r="C26" s="131"/>
      <c r="D26" s="130"/>
      <c r="E26" s="131"/>
      <c r="F26" s="131"/>
    </row>
    <row r="27" spans="1:6" ht="15.75" thickBot="1" x14ac:dyDescent="0.3">
      <c r="A27" s="36" t="s">
        <v>33</v>
      </c>
      <c r="B27" s="133"/>
      <c r="C27" s="133"/>
      <c r="D27" s="20" t="s">
        <v>8</v>
      </c>
      <c r="E27" s="133"/>
      <c r="F27" s="134"/>
    </row>
    <row r="28" spans="1:6" ht="15.75" thickBot="1" x14ac:dyDescent="0.3">
      <c r="A28" s="129"/>
      <c r="B28" s="129"/>
      <c r="C28" s="129"/>
      <c r="D28" s="130"/>
      <c r="E28" s="129"/>
      <c r="F28" s="129"/>
    </row>
    <row r="29" spans="1:6" ht="15.75" thickBot="1" x14ac:dyDescent="0.3">
      <c r="A29" s="36" t="s">
        <v>34</v>
      </c>
      <c r="B29" s="133"/>
      <c r="C29" s="133"/>
      <c r="D29" s="20" t="s">
        <v>8</v>
      </c>
      <c r="E29" s="133"/>
      <c r="F29" s="134"/>
    </row>
    <row r="30" spans="1:6" ht="15.75" thickBot="1" x14ac:dyDescent="0.3">
      <c r="A30" s="129"/>
      <c r="B30" s="129"/>
      <c r="C30" s="129"/>
      <c r="D30" s="130"/>
      <c r="E30" s="123"/>
      <c r="F30" s="123"/>
    </row>
    <row r="31" spans="1:6" ht="15.75" thickBot="1" x14ac:dyDescent="0.3">
      <c r="A31" s="36" t="s">
        <v>35</v>
      </c>
      <c r="B31" s="133"/>
      <c r="C31" s="133"/>
      <c r="D31" s="23">
        <f>SUM(D11:D29)</f>
        <v>0</v>
      </c>
      <c r="E31" s="136"/>
      <c r="F31" s="137"/>
    </row>
    <row r="32" spans="1:6" x14ac:dyDescent="0.25">
      <c r="A32" s="135"/>
      <c r="B32" s="135"/>
      <c r="C32" s="135"/>
      <c r="D32" s="132"/>
      <c r="E32" s="120"/>
      <c r="F32" s="120"/>
    </row>
    <row r="33" spans="1:6" x14ac:dyDescent="0.25">
      <c r="A33" s="121"/>
      <c r="B33" s="121"/>
      <c r="C33" s="121"/>
      <c r="D33" s="121"/>
      <c r="E33" s="121"/>
      <c r="F33" s="121"/>
    </row>
    <row r="34" spans="1:6" x14ac:dyDescent="0.25">
      <c r="A34" s="122" t="s">
        <v>12</v>
      </c>
      <c r="B34" s="122"/>
      <c r="C34" s="122"/>
      <c r="D34" s="122"/>
      <c r="E34" s="122"/>
      <c r="F34" s="122"/>
    </row>
  </sheetData>
  <mergeCells count="1">
    <mergeCell ref="A7:F7"/>
  </mergeCells>
  <printOptions horizontalCentered="1"/>
  <pageMargins left="0.45" right="0.45" top="0.5" bottom="0.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L32"/>
  <sheetViews>
    <sheetView tabSelected="1" topLeftCell="A3" workbookViewId="0">
      <selection activeCell="B9" sqref="B9"/>
    </sheetView>
  </sheetViews>
  <sheetFormatPr defaultRowHeight="15" x14ac:dyDescent="0.25"/>
  <cols>
    <col min="1" max="1" width="38.140625" customWidth="1"/>
    <col min="2" max="2" width="15.42578125" style="119" customWidth="1"/>
    <col min="3" max="3" width="21.85546875" style="85" customWidth="1"/>
    <col min="4" max="4" width="19.140625" style="102" customWidth="1"/>
    <col min="5" max="5" width="23.140625" bestFit="1" customWidth="1"/>
    <col min="6" max="6" width="14" bestFit="1" customWidth="1"/>
    <col min="7" max="7" width="23.140625" bestFit="1" customWidth="1"/>
    <col min="8" max="8" width="11.85546875" bestFit="1" customWidth="1"/>
    <col min="9" max="9" width="23.140625" bestFit="1" customWidth="1"/>
    <col min="10" max="10" width="12.42578125" customWidth="1"/>
    <col min="11" max="11" width="23.140625" bestFit="1" customWidth="1"/>
    <col min="12" max="12" width="14.42578125" customWidth="1"/>
  </cols>
  <sheetData>
    <row r="1" spans="1:12" x14ac:dyDescent="0.25">
      <c r="A1" s="2" t="s">
        <v>0</v>
      </c>
      <c r="B1" s="105"/>
      <c r="C1" s="70"/>
      <c r="D1" s="91"/>
    </row>
    <row r="2" spans="1:12" x14ac:dyDescent="0.25">
      <c r="A2" s="7" t="s">
        <v>1</v>
      </c>
      <c r="B2" s="106"/>
      <c r="C2" s="71"/>
      <c r="D2" s="92"/>
    </row>
    <row r="3" spans="1:12" x14ac:dyDescent="0.25">
      <c r="A3" s="7"/>
      <c r="B3" s="106"/>
      <c r="C3" s="71"/>
      <c r="D3" s="92"/>
    </row>
    <row r="4" spans="1:12" x14ac:dyDescent="0.25">
      <c r="A4" s="7" t="s">
        <v>36</v>
      </c>
      <c r="B4" s="106"/>
      <c r="C4" s="71"/>
      <c r="D4" s="92"/>
    </row>
    <row r="5" spans="1:12" ht="16.5" thickBot="1" x14ac:dyDescent="0.3">
      <c r="A5" s="86" t="s">
        <v>37</v>
      </c>
      <c r="B5" s="107"/>
      <c r="C5" s="72"/>
      <c r="D5" s="93"/>
    </row>
    <row r="6" spans="1:12" x14ac:dyDescent="0.25">
      <c r="A6" s="87"/>
      <c r="B6" s="108"/>
      <c r="C6" s="88"/>
      <c r="D6" s="94"/>
      <c r="E6" s="89"/>
      <c r="F6" s="89"/>
      <c r="G6" s="89"/>
      <c r="H6" s="89"/>
      <c r="I6" s="89"/>
      <c r="J6" s="89"/>
      <c r="K6" s="89"/>
      <c r="L6" s="90"/>
    </row>
    <row r="7" spans="1:12" ht="15.75" thickBot="1" x14ac:dyDescent="0.3">
      <c r="A7" s="69"/>
      <c r="B7" s="109"/>
      <c r="C7" s="141" t="s">
        <v>38</v>
      </c>
      <c r="D7" s="142"/>
      <c r="E7" s="141" t="s">
        <v>39</v>
      </c>
      <c r="F7" s="142"/>
      <c r="G7" s="141" t="s">
        <v>40</v>
      </c>
      <c r="H7" s="142"/>
      <c r="I7" s="141" t="s">
        <v>41</v>
      </c>
      <c r="J7" s="142"/>
      <c r="K7" s="141" t="s">
        <v>42</v>
      </c>
      <c r="L7" s="142"/>
    </row>
    <row r="8" spans="1:12" ht="15.75" thickBot="1" x14ac:dyDescent="0.3">
      <c r="A8" s="19" t="s">
        <v>43</v>
      </c>
      <c r="B8" s="110" t="s">
        <v>44</v>
      </c>
      <c r="C8" s="73" t="s">
        <v>45</v>
      </c>
      <c r="D8" s="95" t="s">
        <v>46</v>
      </c>
      <c r="E8" s="73" t="s">
        <v>45</v>
      </c>
      <c r="F8" s="74" t="s">
        <v>46</v>
      </c>
      <c r="G8" s="73" t="s">
        <v>45</v>
      </c>
      <c r="H8" s="74" t="s">
        <v>46</v>
      </c>
      <c r="I8" s="73" t="s">
        <v>45</v>
      </c>
      <c r="J8" s="74" t="s">
        <v>46</v>
      </c>
      <c r="K8" s="73" t="s">
        <v>45</v>
      </c>
      <c r="L8" s="74" t="s">
        <v>46</v>
      </c>
    </row>
    <row r="9" spans="1:12" x14ac:dyDescent="0.25">
      <c r="A9" s="18" t="s">
        <v>47</v>
      </c>
      <c r="B9" s="111">
        <v>1250</v>
      </c>
      <c r="C9" s="75" t="s">
        <v>8</v>
      </c>
      <c r="D9" s="96" t="e">
        <f>+$B9*C9</f>
        <v>#VALUE!</v>
      </c>
      <c r="E9" s="75" t="s">
        <v>8</v>
      </c>
      <c r="F9" s="76" t="e">
        <f>+$B9*E9</f>
        <v>#VALUE!</v>
      </c>
      <c r="G9" s="75" t="s">
        <v>8</v>
      </c>
      <c r="H9" s="76" t="e">
        <f>+$B9*G9</f>
        <v>#VALUE!</v>
      </c>
      <c r="I9" s="75" t="s">
        <v>8</v>
      </c>
      <c r="J9" s="76" t="e">
        <f>+$B9*I9</f>
        <v>#VALUE!</v>
      </c>
      <c r="K9" s="75" t="s">
        <v>8</v>
      </c>
      <c r="L9" s="76" t="e">
        <f>+$B9*K9</f>
        <v>#VALUE!</v>
      </c>
    </row>
    <row r="10" spans="1:12" x14ac:dyDescent="0.25">
      <c r="A10" s="18" t="s">
        <v>48</v>
      </c>
      <c r="B10" s="111">
        <v>1200</v>
      </c>
      <c r="C10" s="75" t="s">
        <v>8</v>
      </c>
      <c r="D10" s="96" t="e">
        <f>+$B10*C10</f>
        <v>#VALUE!</v>
      </c>
      <c r="E10" s="75" t="s">
        <v>8</v>
      </c>
      <c r="F10" s="76" t="e">
        <f>+$B10*E10</f>
        <v>#VALUE!</v>
      </c>
      <c r="G10" s="75" t="s">
        <v>8</v>
      </c>
      <c r="H10" s="76" t="e">
        <f>+$B10*G10</f>
        <v>#VALUE!</v>
      </c>
      <c r="I10" s="75" t="s">
        <v>8</v>
      </c>
      <c r="J10" s="76" t="e">
        <f>+$B10*I10</f>
        <v>#VALUE!</v>
      </c>
      <c r="K10" s="75" t="s">
        <v>8</v>
      </c>
      <c r="L10" s="76" t="e">
        <f>+$B10*K10</f>
        <v>#VALUE!</v>
      </c>
    </row>
    <row r="11" spans="1:12" x14ac:dyDescent="0.25">
      <c r="A11" s="18" t="s">
        <v>49</v>
      </c>
      <c r="B11" s="111">
        <v>1150</v>
      </c>
      <c r="C11" s="75" t="s">
        <v>8</v>
      </c>
      <c r="D11" s="96" t="e">
        <f t="shared" ref="D11:F18" si="0">+$B11*C11</f>
        <v>#VALUE!</v>
      </c>
      <c r="E11" s="75" t="s">
        <v>8</v>
      </c>
      <c r="F11" s="76" t="e">
        <f t="shared" si="0"/>
        <v>#VALUE!</v>
      </c>
      <c r="G11" s="75" t="s">
        <v>8</v>
      </c>
      <c r="H11" s="76" t="e">
        <f t="shared" ref="H11" si="1">+$B11*G11</f>
        <v>#VALUE!</v>
      </c>
      <c r="I11" s="75" t="s">
        <v>8</v>
      </c>
      <c r="J11" s="76" t="e">
        <f t="shared" ref="J11" si="2">+$B11*I11</f>
        <v>#VALUE!</v>
      </c>
      <c r="K11" s="75" t="s">
        <v>8</v>
      </c>
      <c r="L11" s="76" t="e">
        <f t="shared" ref="L11" si="3">+$B11*K11</f>
        <v>#VALUE!</v>
      </c>
    </row>
    <row r="12" spans="1:12" x14ac:dyDescent="0.25">
      <c r="A12" s="18" t="s">
        <v>50</v>
      </c>
      <c r="B12" s="111">
        <v>1100</v>
      </c>
      <c r="C12" s="75" t="s">
        <v>8</v>
      </c>
      <c r="D12" s="96" t="e">
        <f t="shared" si="0"/>
        <v>#VALUE!</v>
      </c>
      <c r="E12" s="75" t="s">
        <v>8</v>
      </c>
      <c r="F12" s="76" t="e">
        <f t="shared" si="0"/>
        <v>#VALUE!</v>
      </c>
      <c r="G12" s="75" t="s">
        <v>8</v>
      </c>
      <c r="H12" s="76" t="e">
        <f t="shared" ref="H12" si="4">+$B12*G12</f>
        <v>#VALUE!</v>
      </c>
      <c r="I12" s="75" t="s">
        <v>8</v>
      </c>
      <c r="J12" s="76" t="e">
        <f t="shared" ref="J12" si="5">+$B12*I12</f>
        <v>#VALUE!</v>
      </c>
      <c r="K12" s="75" t="s">
        <v>8</v>
      </c>
      <c r="L12" s="76" t="e">
        <f t="shared" ref="L12" si="6">+$B12*K12</f>
        <v>#VALUE!</v>
      </c>
    </row>
    <row r="13" spans="1:12" x14ac:dyDescent="0.25">
      <c r="A13" s="18" t="s">
        <v>51</v>
      </c>
      <c r="B13" s="111">
        <v>1050</v>
      </c>
      <c r="C13" s="75" t="s">
        <v>8</v>
      </c>
      <c r="D13" s="96" t="e">
        <f t="shared" si="0"/>
        <v>#VALUE!</v>
      </c>
      <c r="E13" s="75" t="s">
        <v>8</v>
      </c>
      <c r="F13" s="76" t="e">
        <f t="shared" si="0"/>
        <v>#VALUE!</v>
      </c>
      <c r="G13" s="75" t="s">
        <v>8</v>
      </c>
      <c r="H13" s="76" t="e">
        <f t="shared" ref="H13" si="7">+$B13*G13</f>
        <v>#VALUE!</v>
      </c>
      <c r="I13" s="75" t="s">
        <v>8</v>
      </c>
      <c r="J13" s="76" t="e">
        <f t="shared" ref="J13" si="8">+$B13*I13</f>
        <v>#VALUE!</v>
      </c>
      <c r="K13" s="75" t="s">
        <v>8</v>
      </c>
      <c r="L13" s="76" t="e">
        <f t="shared" ref="L13" si="9">+$B13*K13</f>
        <v>#VALUE!</v>
      </c>
    </row>
    <row r="14" spans="1:12" x14ac:dyDescent="0.25">
      <c r="A14" s="18" t="s">
        <v>52</v>
      </c>
      <c r="B14" s="111">
        <v>1000</v>
      </c>
      <c r="C14" s="75" t="s">
        <v>8</v>
      </c>
      <c r="D14" s="96" t="e">
        <f t="shared" si="0"/>
        <v>#VALUE!</v>
      </c>
      <c r="E14" s="75" t="s">
        <v>8</v>
      </c>
      <c r="F14" s="76" t="e">
        <f t="shared" si="0"/>
        <v>#VALUE!</v>
      </c>
      <c r="G14" s="75" t="s">
        <v>8</v>
      </c>
      <c r="H14" s="76" t="e">
        <f t="shared" ref="H14" si="10">+$B14*G14</f>
        <v>#VALUE!</v>
      </c>
      <c r="I14" s="75" t="s">
        <v>8</v>
      </c>
      <c r="J14" s="76" t="e">
        <f t="shared" ref="J14" si="11">+$B14*I14</f>
        <v>#VALUE!</v>
      </c>
      <c r="K14" s="75" t="s">
        <v>8</v>
      </c>
      <c r="L14" s="76" t="e">
        <f t="shared" ref="L14" si="12">+$B14*K14</f>
        <v>#VALUE!</v>
      </c>
    </row>
    <row r="15" spans="1:12" x14ac:dyDescent="0.25">
      <c r="A15" s="18" t="s">
        <v>53</v>
      </c>
      <c r="B15" s="111">
        <v>950</v>
      </c>
      <c r="C15" s="75" t="s">
        <v>8</v>
      </c>
      <c r="D15" s="96" t="e">
        <f t="shared" si="0"/>
        <v>#VALUE!</v>
      </c>
      <c r="E15" s="75" t="s">
        <v>8</v>
      </c>
      <c r="F15" s="76" t="e">
        <f t="shared" si="0"/>
        <v>#VALUE!</v>
      </c>
      <c r="G15" s="75" t="s">
        <v>8</v>
      </c>
      <c r="H15" s="76" t="e">
        <f t="shared" ref="H15" si="13">+$B15*G15</f>
        <v>#VALUE!</v>
      </c>
      <c r="I15" s="75" t="s">
        <v>8</v>
      </c>
      <c r="J15" s="76" t="e">
        <f t="shared" ref="J15" si="14">+$B15*I15</f>
        <v>#VALUE!</v>
      </c>
      <c r="K15" s="75" t="s">
        <v>8</v>
      </c>
      <c r="L15" s="76" t="e">
        <f t="shared" ref="L15" si="15">+$B15*K15</f>
        <v>#VALUE!</v>
      </c>
    </row>
    <row r="16" spans="1:12" x14ac:dyDescent="0.25">
      <c r="A16" s="18" t="s">
        <v>54</v>
      </c>
      <c r="B16" s="111">
        <v>900</v>
      </c>
      <c r="C16" s="75" t="s">
        <v>8</v>
      </c>
      <c r="D16" s="96" t="e">
        <f t="shared" si="0"/>
        <v>#VALUE!</v>
      </c>
      <c r="E16" s="75" t="s">
        <v>8</v>
      </c>
      <c r="F16" s="76" t="e">
        <f t="shared" si="0"/>
        <v>#VALUE!</v>
      </c>
      <c r="G16" s="75" t="s">
        <v>8</v>
      </c>
      <c r="H16" s="76" t="e">
        <f t="shared" ref="H16" si="16">+$B16*G16</f>
        <v>#VALUE!</v>
      </c>
      <c r="I16" s="75" t="s">
        <v>8</v>
      </c>
      <c r="J16" s="76" t="e">
        <f t="shared" ref="J16" si="17">+$B16*I16</f>
        <v>#VALUE!</v>
      </c>
      <c r="K16" s="75" t="s">
        <v>8</v>
      </c>
      <c r="L16" s="76" t="e">
        <f t="shared" ref="L16" si="18">+$B16*K16</f>
        <v>#VALUE!</v>
      </c>
    </row>
    <row r="17" spans="1:12" x14ac:dyDescent="0.25">
      <c r="A17" s="18" t="s">
        <v>55</v>
      </c>
      <c r="B17" s="111">
        <v>800</v>
      </c>
      <c r="C17" s="75" t="s">
        <v>8</v>
      </c>
      <c r="D17" s="96" t="e">
        <f t="shared" si="0"/>
        <v>#VALUE!</v>
      </c>
      <c r="E17" s="75" t="s">
        <v>8</v>
      </c>
      <c r="F17" s="76" t="e">
        <f t="shared" si="0"/>
        <v>#VALUE!</v>
      </c>
      <c r="G17" s="75" t="s">
        <v>8</v>
      </c>
      <c r="H17" s="76" t="e">
        <f t="shared" ref="H17" si="19">+$B17*G17</f>
        <v>#VALUE!</v>
      </c>
      <c r="I17" s="75" t="s">
        <v>8</v>
      </c>
      <c r="J17" s="76" t="e">
        <f t="shared" ref="J17" si="20">+$B17*I17</f>
        <v>#VALUE!</v>
      </c>
      <c r="K17" s="75" t="s">
        <v>8</v>
      </c>
      <c r="L17" s="76" t="e">
        <f t="shared" ref="L17" si="21">+$B17*K17</f>
        <v>#VALUE!</v>
      </c>
    </row>
    <row r="18" spans="1:12" x14ac:dyDescent="0.25">
      <c r="A18" s="18" t="s">
        <v>56</v>
      </c>
      <c r="B18" s="111">
        <v>750</v>
      </c>
      <c r="C18" s="75" t="s">
        <v>8</v>
      </c>
      <c r="D18" s="96" t="e">
        <f t="shared" si="0"/>
        <v>#VALUE!</v>
      </c>
      <c r="E18" s="75" t="s">
        <v>8</v>
      </c>
      <c r="F18" s="76" t="e">
        <f t="shared" si="0"/>
        <v>#VALUE!</v>
      </c>
      <c r="G18" s="75" t="s">
        <v>8</v>
      </c>
      <c r="H18" s="76" t="e">
        <f t="shared" ref="H18" si="22">+$B18*G18</f>
        <v>#VALUE!</v>
      </c>
      <c r="I18" s="75" t="s">
        <v>8</v>
      </c>
      <c r="J18" s="76" t="e">
        <f t="shared" ref="J18" si="23">+$B18*I18</f>
        <v>#VALUE!</v>
      </c>
      <c r="K18" s="75" t="s">
        <v>8</v>
      </c>
      <c r="L18" s="76" t="e">
        <f t="shared" ref="L18" si="24">+$B18*K18</f>
        <v>#VALUE!</v>
      </c>
    </row>
    <row r="19" spans="1:12" ht="19.899999999999999" customHeight="1" x14ac:dyDescent="0.25">
      <c r="A19" s="12" t="s">
        <v>57</v>
      </c>
      <c r="B19" s="112">
        <f>SUM(B9:B18)</f>
        <v>10150</v>
      </c>
      <c r="C19" s="77"/>
      <c r="D19" s="97" t="e">
        <f>SUM(D9:D18)</f>
        <v>#VALUE!</v>
      </c>
      <c r="E19" s="77"/>
      <c r="F19" s="97" t="e">
        <f>SUM(F9:F18)</f>
        <v>#VALUE!</v>
      </c>
      <c r="G19" s="77"/>
      <c r="H19" s="97" t="e">
        <f>SUM(H9:H18)</f>
        <v>#VALUE!</v>
      </c>
      <c r="I19" s="77"/>
      <c r="J19" s="97" t="e">
        <f>SUM(J9:J18)</f>
        <v>#VALUE!</v>
      </c>
      <c r="K19" s="77"/>
      <c r="L19" s="97" t="e">
        <f>SUM(L9:L18)</f>
        <v>#VALUE!</v>
      </c>
    </row>
    <row r="20" spans="1:12" x14ac:dyDescent="0.25">
      <c r="A20" s="13"/>
      <c r="B20" s="113"/>
      <c r="C20" s="78"/>
      <c r="D20" s="98"/>
      <c r="E20" s="78"/>
      <c r="F20" s="98"/>
      <c r="G20" s="78"/>
      <c r="H20" s="98"/>
      <c r="I20" s="78"/>
      <c r="J20" s="98"/>
      <c r="K20" s="78"/>
      <c r="L20" s="98"/>
    </row>
    <row r="21" spans="1:12" x14ac:dyDescent="0.25">
      <c r="A21" s="13" t="s">
        <v>58</v>
      </c>
      <c r="B21" s="114"/>
      <c r="C21" s="78"/>
      <c r="D21" s="98"/>
      <c r="E21" s="78"/>
      <c r="F21" s="98"/>
      <c r="G21" s="78"/>
      <c r="H21" s="98"/>
      <c r="I21" s="78"/>
      <c r="J21" s="98"/>
      <c r="K21" s="78"/>
      <c r="L21" s="98"/>
    </row>
    <row r="22" spans="1:12" x14ac:dyDescent="0.25">
      <c r="A22" s="14" t="s">
        <v>59</v>
      </c>
      <c r="B22" s="114"/>
      <c r="C22" s="79"/>
      <c r="D22" s="99">
        <v>50000</v>
      </c>
      <c r="E22" s="79"/>
      <c r="F22" s="99">
        <v>50000</v>
      </c>
      <c r="G22" s="79"/>
      <c r="H22" s="99">
        <v>50000</v>
      </c>
      <c r="I22" s="79"/>
      <c r="J22" s="99">
        <v>50000</v>
      </c>
      <c r="K22" s="79"/>
      <c r="L22" s="99">
        <v>50000</v>
      </c>
    </row>
    <row r="23" spans="1:12" x14ac:dyDescent="0.25">
      <c r="A23" s="28" t="s">
        <v>60</v>
      </c>
      <c r="B23" s="114"/>
      <c r="C23" s="79"/>
      <c r="D23" s="99">
        <v>0</v>
      </c>
      <c r="E23" s="79"/>
      <c r="F23" s="99">
        <v>0</v>
      </c>
      <c r="G23" s="79"/>
      <c r="H23" s="99">
        <v>0</v>
      </c>
      <c r="I23" s="79"/>
      <c r="J23" s="99">
        <v>0</v>
      </c>
      <c r="K23" s="79"/>
      <c r="L23" s="99">
        <v>0</v>
      </c>
    </row>
    <row r="24" spans="1:12" ht="19.899999999999999" customHeight="1" x14ac:dyDescent="0.25">
      <c r="A24" s="13" t="s">
        <v>61</v>
      </c>
      <c r="B24" s="114"/>
      <c r="C24" s="79"/>
      <c r="D24" s="97">
        <v>0</v>
      </c>
      <c r="E24" s="79"/>
      <c r="F24" s="97">
        <v>0</v>
      </c>
      <c r="G24" s="79"/>
      <c r="H24" s="97">
        <v>0</v>
      </c>
      <c r="I24" s="79"/>
      <c r="J24" s="97">
        <v>0</v>
      </c>
      <c r="K24" s="79"/>
      <c r="L24" s="97">
        <v>0</v>
      </c>
    </row>
    <row r="25" spans="1:12" ht="15.75" thickBot="1" x14ac:dyDescent="0.3">
      <c r="A25" s="21"/>
      <c r="B25" s="115"/>
      <c r="C25" s="80"/>
      <c r="D25" s="100"/>
      <c r="E25" s="80"/>
      <c r="F25" s="100"/>
      <c r="G25" s="80"/>
      <c r="H25" s="100"/>
      <c r="I25" s="80"/>
      <c r="J25" s="100"/>
      <c r="K25" s="80"/>
      <c r="L25" s="100"/>
    </row>
    <row r="26" spans="1:12" ht="19.899999999999999" customHeight="1" thickBot="1" x14ac:dyDescent="0.3">
      <c r="A26" s="22" t="s">
        <v>62</v>
      </c>
      <c r="B26" s="116"/>
      <c r="C26" s="81"/>
      <c r="D26" s="95" t="e">
        <f>SUM(D19:D25)</f>
        <v>#VALUE!</v>
      </c>
      <c r="E26" s="81"/>
      <c r="F26" s="95" t="e">
        <f>SUM(F19:F25)</f>
        <v>#VALUE!</v>
      </c>
      <c r="G26" s="81"/>
      <c r="H26" s="95" t="e">
        <f>SUM(H19:H25)</f>
        <v>#VALUE!</v>
      </c>
      <c r="I26" s="81"/>
      <c r="J26" s="95" t="e">
        <f>SUM(J19:J25)</f>
        <v>#VALUE!</v>
      </c>
      <c r="K26" s="81"/>
      <c r="L26" s="95" t="e">
        <f>SUM(L19:L25)</f>
        <v>#VALUE!</v>
      </c>
    </row>
    <row r="27" spans="1:12" ht="30.75" customHeight="1" thickBot="1" x14ac:dyDescent="0.3">
      <c r="A27" s="24" t="s">
        <v>63</v>
      </c>
      <c r="B27" s="117"/>
      <c r="C27" s="82"/>
      <c r="D27" s="104" t="e">
        <f>SUM(D26:J26)</f>
        <v>#VALUE!</v>
      </c>
    </row>
    <row r="28" spans="1:12" ht="30.75" customHeight="1" x14ac:dyDescent="0.25">
      <c r="A28" s="29" t="s">
        <v>64</v>
      </c>
      <c r="B28" s="106"/>
      <c r="C28" s="83"/>
      <c r="D28" s="103"/>
    </row>
    <row r="29" spans="1:12" x14ac:dyDescent="0.25">
      <c r="A29" s="27" t="s">
        <v>65</v>
      </c>
      <c r="B29" s="106"/>
      <c r="C29" s="83"/>
      <c r="D29" s="92"/>
    </row>
    <row r="30" spans="1:12" ht="43.5" customHeight="1" x14ac:dyDescent="0.25">
      <c r="A30" s="143" t="s">
        <v>66</v>
      </c>
      <c r="B30" s="144"/>
      <c r="C30" s="144"/>
      <c r="D30" s="145"/>
    </row>
    <row r="31" spans="1:12" x14ac:dyDescent="0.25">
      <c r="A31" s="25"/>
      <c r="B31" s="114"/>
      <c r="C31" s="78"/>
      <c r="D31" s="98"/>
    </row>
    <row r="32" spans="1:12" ht="15.75" thickBot="1" x14ac:dyDescent="0.3">
      <c r="A32" s="26" t="s">
        <v>12</v>
      </c>
      <c r="B32" s="118"/>
      <c r="C32" s="84"/>
      <c r="D32" s="101"/>
    </row>
  </sheetData>
  <mergeCells count="6">
    <mergeCell ref="I7:J7"/>
    <mergeCell ref="K7:L7"/>
    <mergeCell ref="A30:D30"/>
    <mergeCell ref="C7:D7"/>
    <mergeCell ref="E7:F7"/>
    <mergeCell ref="G7:H7"/>
  </mergeCells>
  <phoneticPr fontId="8" type="noConversion"/>
  <printOptions horizontalCentered="1"/>
  <pageMargins left="0.45" right="0.45" top="0.5" bottom="0.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3E97B-B4C0-4B91-9405-12C7579F8B75}">
  <sheetPr>
    <pageSetUpPr fitToPage="1"/>
  </sheetPr>
  <dimension ref="A1:B15"/>
  <sheetViews>
    <sheetView workbookViewId="0">
      <selection activeCell="A5" sqref="A5"/>
    </sheetView>
  </sheetViews>
  <sheetFormatPr defaultRowHeight="15" x14ac:dyDescent="0.25"/>
  <cols>
    <col min="1" max="1" width="44.140625" customWidth="1"/>
    <col min="2" max="2" width="28.28515625" customWidth="1"/>
  </cols>
  <sheetData>
    <row r="1" spans="1:2" x14ac:dyDescent="0.25">
      <c r="A1" s="2" t="s">
        <v>0</v>
      </c>
      <c r="B1" s="6"/>
    </row>
    <row r="2" spans="1:2" x14ac:dyDescent="0.25">
      <c r="A2" s="7" t="s">
        <v>1</v>
      </c>
      <c r="B2" s="8"/>
    </row>
    <row r="3" spans="1:2" x14ac:dyDescent="0.25">
      <c r="A3" s="7"/>
      <c r="B3" s="8"/>
    </row>
    <row r="4" spans="1:2" x14ac:dyDescent="0.25">
      <c r="A4" s="7" t="s">
        <v>67</v>
      </c>
      <c r="B4" s="8"/>
    </row>
    <row r="5" spans="1:2" x14ac:dyDescent="0.25">
      <c r="A5" s="7" t="s">
        <v>68</v>
      </c>
      <c r="B5" s="8"/>
    </row>
    <row r="6" spans="1:2" ht="15.75" thickBot="1" x14ac:dyDescent="0.3">
      <c r="A6" s="7"/>
      <c r="B6" s="8"/>
    </row>
    <row r="7" spans="1:2" ht="15.75" thickBot="1" x14ac:dyDescent="0.3">
      <c r="A7" s="3" t="s">
        <v>4</v>
      </c>
      <c r="B7" s="4" t="s">
        <v>5</v>
      </c>
    </row>
    <row r="8" spans="1:2" ht="26.25" customHeight="1" x14ac:dyDescent="0.25">
      <c r="A8" s="31"/>
      <c r="B8" s="5"/>
    </row>
    <row r="9" spans="1:2" ht="26.25" customHeight="1" x14ac:dyDescent="0.25">
      <c r="A9" s="32" t="s">
        <v>15</v>
      </c>
      <c r="B9" s="30" t="s">
        <v>8</v>
      </c>
    </row>
    <row r="10" spans="1:2" ht="26.25" customHeight="1" x14ac:dyDescent="0.25">
      <c r="A10" s="32"/>
      <c r="B10" s="30"/>
    </row>
    <row r="11" spans="1:2" ht="26.25" customHeight="1" x14ac:dyDescent="0.25">
      <c r="A11" s="32" t="s">
        <v>16</v>
      </c>
      <c r="B11" s="30" t="s">
        <v>8</v>
      </c>
    </row>
    <row r="12" spans="1:2" ht="26.25" customHeight="1" thickBot="1" x14ac:dyDescent="0.3">
      <c r="A12" s="33"/>
      <c r="B12" s="34"/>
    </row>
    <row r="13" spans="1:2" ht="26.25" customHeight="1" thickBot="1" x14ac:dyDescent="0.3">
      <c r="A13" s="36" t="s">
        <v>69</v>
      </c>
      <c r="B13" s="4" t="s">
        <v>8</v>
      </c>
    </row>
    <row r="14" spans="1:2" x14ac:dyDescent="0.25">
      <c r="A14" s="35"/>
      <c r="B14" s="17"/>
    </row>
    <row r="15" spans="1:2" ht="15.75" thickBot="1" x14ac:dyDescent="0.3">
      <c r="A15" s="10" t="s">
        <v>12</v>
      </c>
      <c r="B15" s="11"/>
    </row>
  </sheetData>
  <printOptions horizontalCentered="1"/>
  <pageMargins left="0.45" right="0.45" top="0.5" bottom="0.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28585-1D3E-4ECB-8C09-EC5C7CACAFF3}">
  <sheetPr>
    <pageSetUpPr fitToPage="1"/>
  </sheetPr>
  <dimension ref="A1:B30"/>
  <sheetViews>
    <sheetView workbookViewId="0"/>
  </sheetViews>
  <sheetFormatPr defaultRowHeight="15" x14ac:dyDescent="0.25"/>
  <cols>
    <col min="1" max="1" width="44.140625" customWidth="1"/>
    <col min="2" max="2" width="28.28515625" customWidth="1"/>
  </cols>
  <sheetData>
    <row r="1" spans="1:2" x14ac:dyDescent="0.25">
      <c r="A1" s="2" t="s">
        <v>0</v>
      </c>
      <c r="B1" s="6"/>
    </row>
    <row r="2" spans="1:2" x14ac:dyDescent="0.25">
      <c r="A2" s="7" t="s">
        <v>1</v>
      </c>
      <c r="B2" s="8"/>
    </row>
    <row r="3" spans="1:2" x14ac:dyDescent="0.25">
      <c r="A3" s="7"/>
      <c r="B3" s="8"/>
    </row>
    <row r="4" spans="1:2" x14ac:dyDescent="0.25">
      <c r="A4" s="7" t="s">
        <v>70</v>
      </c>
      <c r="B4" s="8"/>
    </row>
    <row r="5" spans="1:2" x14ac:dyDescent="0.25">
      <c r="A5" s="7" t="s">
        <v>71</v>
      </c>
      <c r="B5" s="8"/>
    </row>
    <row r="6" spans="1:2" x14ac:dyDescent="0.25">
      <c r="A6" s="7"/>
      <c r="B6" s="8"/>
    </row>
    <row r="8" spans="1:2" ht="15.75" x14ac:dyDescent="0.25">
      <c r="A8" s="146" t="s">
        <v>19</v>
      </c>
      <c r="B8" s="146"/>
    </row>
    <row r="9" spans="1:2" ht="16.5" thickBot="1" x14ac:dyDescent="0.3">
      <c r="A9" s="37"/>
    </row>
    <row r="10" spans="1:2" ht="30.75" thickBot="1" x14ac:dyDescent="0.3">
      <c r="A10" s="3" t="s">
        <v>4</v>
      </c>
      <c r="B10" s="45" t="s">
        <v>72</v>
      </c>
    </row>
    <row r="11" spans="1:2" ht="15.75" thickBot="1" x14ac:dyDescent="0.3">
      <c r="A11" s="38"/>
      <c r="B11" s="46"/>
    </row>
    <row r="12" spans="1:2" ht="15.75" thickBot="1" x14ac:dyDescent="0.3">
      <c r="A12" s="40" t="s">
        <v>25</v>
      </c>
      <c r="B12" s="39" t="s">
        <v>8</v>
      </c>
    </row>
    <row r="13" spans="1:2" ht="15.75" thickBot="1" x14ac:dyDescent="0.3">
      <c r="A13" s="38"/>
      <c r="B13" s="39"/>
    </row>
    <row r="14" spans="1:2" ht="15.75" thickBot="1" x14ac:dyDescent="0.3">
      <c r="A14" s="40" t="s">
        <v>26</v>
      </c>
      <c r="B14" s="39" t="s">
        <v>8</v>
      </c>
    </row>
    <row r="15" spans="1:2" ht="15.75" thickBot="1" x14ac:dyDescent="0.3">
      <c r="A15" s="40"/>
      <c r="B15" s="39"/>
    </row>
    <row r="16" spans="1:2" ht="15.75" thickBot="1" x14ac:dyDescent="0.3">
      <c r="A16" s="40" t="s">
        <v>27</v>
      </c>
      <c r="B16" s="39" t="s">
        <v>8</v>
      </c>
    </row>
    <row r="17" spans="1:2" ht="15.75" thickBot="1" x14ac:dyDescent="0.3">
      <c r="A17" s="38"/>
      <c r="B17" s="39"/>
    </row>
    <row r="18" spans="1:2" ht="15.75" thickBot="1" x14ac:dyDescent="0.3">
      <c r="A18" s="40" t="s">
        <v>28</v>
      </c>
      <c r="B18" s="39" t="s">
        <v>8</v>
      </c>
    </row>
    <row r="19" spans="1:2" ht="15.75" thickBot="1" x14ac:dyDescent="0.3">
      <c r="A19" s="40"/>
      <c r="B19" s="39"/>
    </row>
    <row r="20" spans="1:2" ht="15.75" thickBot="1" x14ac:dyDescent="0.3">
      <c r="A20" s="40" t="s">
        <v>29</v>
      </c>
      <c r="B20" s="39" t="s">
        <v>8</v>
      </c>
    </row>
    <row r="21" spans="1:2" ht="15.75" thickBot="1" x14ac:dyDescent="0.3">
      <c r="A21" s="38"/>
      <c r="B21" s="39"/>
    </row>
    <row r="22" spans="1:2" ht="15.75" thickBot="1" x14ac:dyDescent="0.3">
      <c r="A22" s="38"/>
      <c r="B22" s="39"/>
    </row>
    <row r="23" spans="1:2" ht="15.75" thickBot="1" x14ac:dyDescent="0.3">
      <c r="A23" s="41" t="s">
        <v>35</v>
      </c>
      <c r="B23" s="43">
        <f>SUM(B12:B21)</f>
        <v>0</v>
      </c>
    </row>
    <row r="24" spans="1:2" x14ac:dyDescent="0.25">
      <c r="A24" s="32"/>
      <c r="B24" s="42"/>
    </row>
    <row r="25" spans="1:2" x14ac:dyDescent="0.25">
      <c r="A25" s="32" t="s">
        <v>15</v>
      </c>
      <c r="B25" s="30" t="str">
        <f>+'Exh6 - LMI&amp;O'!$B$9</f>
        <v>TBP</v>
      </c>
    </row>
    <row r="26" spans="1:2" x14ac:dyDescent="0.25">
      <c r="A26" s="32"/>
      <c r="B26" s="30"/>
    </row>
    <row r="27" spans="1:2" x14ac:dyDescent="0.25">
      <c r="A27" s="32" t="s">
        <v>73</v>
      </c>
      <c r="B27" s="44" t="e">
        <f>+B23-B25</f>
        <v>#VALUE!</v>
      </c>
    </row>
    <row r="28" spans="1:2" x14ac:dyDescent="0.25">
      <c r="A28" s="33"/>
      <c r="B28" s="34"/>
    </row>
    <row r="29" spans="1:2" x14ac:dyDescent="0.25">
      <c r="A29" s="35"/>
      <c r="B29" s="17"/>
    </row>
    <row r="30" spans="1:2" ht="15.75" thickBot="1" x14ac:dyDescent="0.3">
      <c r="A30" s="10" t="s">
        <v>12</v>
      </c>
      <c r="B30" s="11"/>
    </row>
  </sheetData>
  <mergeCells count="1">
    <mergeCell ref="A8:B8"/>
  </mergeCells>
  <printOptions horizontalCentered="1"/>
  <pageMargins left="0.45" right="0.45" top="0.5" bottom="0.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A3249-AFB6-43F7-AD7F-B6DB2E02AC11}">
  <sheetPr>
    <pageSetUpPr fitToPage="1"/>
  </sheetPr>
  <dimension ref="A1:D15"/>
  <sheetViews>
    <sheetView workbookViewId="0"/>
  </sheetViews>
  <sheetFormatPr defaultRowHeight="15" x14ac:dyDescent="0.25"/>
  <cols>
    <col min="1" max="3" width="44.140625" customWidth="1"/>
    <col min="4" max="4" width="28.28515625" customWidth="1"/>
  </cols>
  <sheetData>
    <row r="1" spans="1:4" x14ac:dyDescent="0.25">
      <c r="A1" s="2" t="s">
        <v>0</v>
      </c>
      <c r="B1" s="15"/>
      <c r="C1" s="15"/>
      <c r="D1" s="6"/>
    </row>
    <row r="2" spans="1:4" x14ac:dyDescent="0.25">
      <c r="A2" s="7" t="s">
        <v>1</v>
      </c>
      <c r="B2" s="1"/>
      <c r="C2" s="1"/>
      <c r="D2" s="8"/>
    </row>
    <row r="3" spans="1:4" x14ac:dyDescent="0.25">
      <c r="A3" s="7"/>
      <c r="B3" s="1"/>
      <c r="C3" s="1"/>
      <c r="D3" s="8"/>
    </row>
    <row r="4" spans="1:4" x14ac:dyDescent="0.25">
      <c r="A4" s="7" t="s">
        <v>74</v>
      </c>
      <c r="B4" s="1"/>
      <c r="C4" s="1"/>
      <c r="D4" s="8"/>
    </row>
    <row r="5" spans="1:4" x14ac:dyDescent="0.25">
      <c r="A5" s="7" t="s">
        <v>75</v>
      </c>
      <c r="B5" s="1"/>
      <c r="C5" s="1"/>
      <c r="D5" s="8"/>
    </row>
    <row r="6" spans="1:4" ht="15.75" thickBot="1" x14ac:dyDescent="0.3">
      <c r="A6" s="7"/>
      <c r="B6" s="1"/>
      <c r="C6" s="1"/>
      <c r="D6" s="8"/>
    </row>
    <row r="7" spans="1:4" ht="15.75" thickBot="1" x14ac:dyDescent="0.3">
      <c r="A7" s="3" t="s">
        <v>4</v>
      </c>
      <c r="B7" s="47" t="s">
        <v>76</v>
      </c>
      <c r="C7" s="47" t="s">
        <v>77</v>
      </c>
      <c r="D7" s="4" t="s">
        <v>5</v>
      </c>
    </row>
    <row r="8" spans="1:4" ht="26.25" customHeight="1" x14ac:dyDescent="0.25">
      <c r="A8" s="32" t="s">
        <v>78</v>
      </c>
      <c r="B8" s="51" t="s">
        <v>8</v>
      </c>
      <c r="C8" s="51" t="s">
        <v>8</v>
      </c>
      <c r="D8" s="52" t="s">
        <v>8</v>
      </c>
    </row>
    <row r="9" spans="1:4" ht="26.25" customHeight="1" x14ac:dyDescent="0.25">
      <c r="A9" s="32" t="s">
        <v>79</v>
      </c>
      <c r="B9" s="51" t="s">
        <v>8</v>
      </c>
      <c r="C9" s="51" t="s">
        <v>8</v>
      </c>
      <c r="D9" s="52" t="s">
        <v>8</v>
      </c>
    </row>
    <row r="10" spans="1:4" ht="26.25" customHeight="1" x14ac:dyDescent="0.25">
      <c r="A10" s="32" t="s">
        <v>80</v>
      </c>
      <c r="B10" s="51" t="s">
        <v>8</v>
      </c>
      <c r="C10" s="51" t="s">
        <v>8</v>
      </c>
      <c r="D10" s="52" t="s">
        <v>8</v>
      </c>
    </row>
    <row r="11" spans="1:4" ht="26.25" customHeight="1" x14ac:dyDescent="0.25">
      <c r="A11" s="32" t="s">
        <v>81</v>
      </c>
      <c r="B11" s="51" t="s">
        <v>8</v>
      </c>
      <c r="C11" s="51" t="s">
        <v>8</v>
      </c>
      <c r="D11" s="52" t="s">
        <v>8</v>
      </c>
    </row>
    <row r="12" spans="1:4" ht="26.25" customHeight="1" thickBot="1" x14ac:dyDescent="0.3">
      <c r="A12" s="32" t="s">
        <v>82</v>
      </c>
      <c r="B12" s="51" t="s">
        <v>8</v>
      </c>
      <c r="C12" s="51" t="s">
        <v>8</v>
      </c>
      <c r="D12" s="52" t="s">
        <v>8</v>
      </c>
    </row>
    <row r="13" spans="1:4" ht="26.25" customHeight="1" thickBot="1" x14ac:dyDescent="0.3">
      <c r="A13" s="36" t="s">
        <v>83</v>
      </c>
      <c r="B13" s="48">
        <f>SUM(B8:B12)</f>
        <v>0</v>
      </c>
      <c r="C13" s="48">
        <f t="shared" ref="C13:D13" si="0">SUM(C8:C12)</f>
        <v>0</v>
      </c>
      <c r="D13" s="53">
        <f t="shared" si="0"/>
        <v>0</v>
      </c>
    </row>
    <row r="14" spans="1:4" x14ac:dyDescent="0.25">
      <c r="A14" s="35"/>
      <c r="B14" s="49"/>
      <c r="C14" s="49"/>
      <c r="D14" s="17"/>
    </row>
    <row r="15" spans="1:4" ht="15.75" thickBot="1" x14ac:dyDescent="0.3">
      <c r="A15" s="10" t="s">
        <v>12</v>
      </c>
      <c r="B15" s="50"/>
      <c r="C15" s="50"/>
      <c r="D15" s="11"/>
    </row>
  </sheetData>
  <phoneticPr fontId="8" type="noConversion"/>
  <printOptions horizontalCentered="1"/>
  <pageMargins left="0.45" right="0.45" top="0.5" bottom="0.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82A1192C1CDDD4DAE0D302909C8F7C2" ma:contentTypeVersion="3" ma:contentTypeDescription="Create a new document." ma:contentTypeScope="" ma:versionID="d8bd42db0c1e674b274b609a75be4dbc">
  <xsd:schema xmlns:xsd="http://www.w3.org/2001/XMLSchema" xmlns:xs="http://www.w3.org/2001/XMLSchema" xmlns:p="http://schemas.microsoft.com/office/2006/metadata/properties" xmlns:ns2="29fc648f-a3dd-4d52-a097-3a3860182e5d" targetNamespace="http://schemas.microsoft.com/office/2006/metadata/properties" ma:root="true" ma:fieldsID="a9405893f3d3169ce53d0cd3c61eb401" ns2:_="">
    <xsd:import namespace="29fc648f-a3dd-4d52-a097-3a3860182e5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fc648f-a3dd-4d52-a097-3a3860182e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8A22B83-3FBA-4493-BD12-21C925CED6A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9fc648f-a3dd-4d52-a097-3a3860182e5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C4CCFC6-ED0E-496B-95A5-64B6389366D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0566FCE-133A-45D8-84FD-CB011468C522}">
  <ds:schemaRefs>
    <ds:schemaRef ds:uri="http://schemas.microsoft.com/office/infopath/2007/PartnerControls"/>
    <ds:schemaRef ds:uri="http://schemas.microsoft.com/office/2006/metadata/properties"/>
    <ds:schemaRef ds:uri="http://purl.org/dc/dcmitype/"/>
    <ds:schemaRef ds:uri="http://www.w3.org/XML/1998/namespace"/>
    <ds:schemaRef ds:uri="http://schemas.microsoft.com/office/2006/documentManagement/types"/>
    <ds:schemaRef ds:uri="29fc648f-a3dd-4d52-a097-3a3860182e5d"/>
    <ds:schemaRef ds:uri="http://schemas.openxmlformats.org/package/2006/metadata/core-properties"/>
    <ds:schemaRef ds:uri="http://purl.org/dc/terms/"/>
    <ds:schemaRef ds:uri="http://purl.org/dc/elements/1.1/"/>
  </ds:schemaRefs>
</ds:datastoreItem>
</file>

<file path=docMetadata/LabelInfo.xml><?xml version="1.0" encoding="utf-8"?>
<clbl:labelList xmlns:clbl="http://schemas.microsoft.com/office/2020/mipLabelMetadata">
  <clbl:label id="{7005d458-45be-48ae-8140-d43da96dd17b}" enabled="0" method="" siteId="{7005d458-45be-48ae-8140-d43da96dd17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Exh2 - Price Summary</vt:lpstr>
      <vt:lpstr>Exh3 - MTN</vt:lpstr>
      <vt:lpstr>Exh4 - MTN Mil Events</vt:lpstr>
      <vt:lpstr>Exh5 - T&amp;M PricingModel </vt:lpstr>
      <vt:lpstr>Exh6 - LMI&amp;O</vt:lpstr>
      <vt:lpstr>Exh7 - LI&amp;OI Mil Events</vt:lpstr>
      <vt:lpstr>Exh - 8 - Miss Ops</vt:lpstr>
    </vt:vector>
  </TitlesOfParts>
  <Manager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cp:keywords/>
  <dc:description/>
  <cp:revision/>
  <dcterms:created xsi:type="dcterms:W3CDTF">2015-07-28T19:19:56Z</dcterms:created>
  <dcterms:modified xsi:type="dcterms:W3CDTF">2026-03-23T20:33:07Z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0x010100182A1192C1CDDD4DAE0D302909C8F7C2</vt:lpwstr>
  </property>
</Properties>
</file>